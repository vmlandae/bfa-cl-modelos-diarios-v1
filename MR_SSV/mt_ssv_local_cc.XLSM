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vmdvorak\Riesgo Financiero2\RF_PROYECTOS\METODOLOGIAS\PROCESOS_DIARIOS_MODELOS\MANUALES\MODELOS\MR_SSV\"/>
    </mc:Choice>
  </mc:AlternateContent>
  <xr:revisionPtr revIDLastSave="0" documentId="13_ncr:1_{4443596F-8186-4AF4-92D3-FC4E1874AB31}" xr6:coauthVersionLast="47" xr6:coauthVersionMax="47" xr10:uidLastSave="{00000000-0000-0000-0000-000000000000}"/>
  <bookViews>
    <workbookView xWindow="1520" yWindow="1520" windowWidth="14400" windowHeight="7270" firstSheet="1" activeTab="2" xr2:uid="{00000000-000D-0000-FFFF-FFFF00000000}"/>
  </bookViews>
  <sheets>
    <sheet name="DESARROLLO" sheetId="1" r:id="rId1"/>
    <sheet name="DATOS" sheetId="2" r:id="rId2"/>
    <sheet name="CONTROL" sheetId="3" r:id="rId3"/>
    <sheet name="RESUMEN_HIST" sheetId="4" r:id="rId4"/>
  </sheets>
  <functionGroups builtInGroupCount="19"/>
  <definedNames>
    <definedName name="_xleta.AND" hidden="1" xlm="1">#NAME?</definedName>
  </definedNames>
  <calcPr calcId="191029"/>
  <pivotCaches>
    <pivotCache cacheId="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" l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3" i="3"/>
  <c r="R80" i="3"/>
  <c r="Q80" i="3"/>
  <c r="R79" i="3"/>
  <c r="Q79" i="3"/>
  <c r="R78" i="3"/>
  <c r="Q78" i="3"/>
  <c r="R77" i="3"/>
  <c r="Q77" i="3"/>
  <c r="R74" i="3"/>
  <c r="Q74" i="3"/>
  <c r="R73" i="3"/>
  <c r="Q73" i="3"/>
  <c r="R72" i="3"/>
  <c r="Q72" i="3"/>
  <c r="R71" i="3"/>
  <c r="Q71" i="3"/>
  <c r="R67" i="3"/>
  <c r="S74" i="3" s="1"/>
  <c r="Q67" i="3"/>
  <c r="R66" i="3"/>
  <c r="S73" i="3" s="1"/>
  <c r="Q66" i="3"/>
  <c r="R65" i="3"/>
  <c r="S72" i="3" s="1"/>
  <c r="Q65" i="3"/>
  <c r="R64" i="3"/>
  <c r="S71" i="3" s="1"/>
  <c r="Q64" i="3"/>
  <c r="R61" i="3"/>
  <c r="Q61" i="3"/>
  <c r="R60" i="3"/>
  <c r="Q60" i="3"/>
  <c r="R59" i="3"/>
  <c r="Q59" i="3"/>
  <c r="P2" i="3"/>
  <c r="A2" i="3"/>
  <c r="Q23" i="3" l="1"/>
  <c r="Q54" i="3" s="1"/>
  <c r="R9" i="3"/>
  <c r="R40" i="3" s="1"/>
  <c r="S9" i="3"/>
  <c r="S40" i="3" s="1"/>
  <c r="R21" i="3"/>
  <c r="R52" i="3" s="1"/>
  <c r="R23" i="3"/>
  <c r="R54" i="3" s="1"/>
  <c r="S5" i="3"/>
  <c r="R12" i="3"/>
  <c r="R43" i="3" s="1"/>
  <c r="R16" i="3"/>
  <c r="R47" i="3" s="1"/>
  <c r="S14" i="3"/>
  <c r="S45" i="3" s="1"/>
  <c r="S16" i="3"/>
  <c r="S47" i="3" s="1"/>
  <c r="S36" i="3" l="1"/>
  <c r="R18" i="3"/>
  <c r="R49" i="3" s="1"/>
  <c r="S23" i="3"/>
  <c r="S54" i="3" s="1"/>
  <c r="R10" i="3"/>
  <c r="R41" i="3" s="1"/>
  <c r="R8" i="3"/>
  <c r="R39" i="3" s="1"/>
  <c r="R6" i="3"/>
  <c r="R37" i="3" s="1"/>
  <c r="Q20" i="3"/>
  <c r="Q51" i="3" s="1"/>
  <c r="Q14" i="3"/>
  <c r="Q45" i="3" s="1"/>
  <c r="Q8" i="3"/>
  <c r="Q39" i="3" s="1"/>
  <c r="Q22" i="3"/>
  <c r="Q53" i="3" s="1"/>
  <c r="Q12" i="3"/>
  <c r="Q43" i="3" s="1"/>
  <c r="Q7" i="3"/>
  <c r="Q38" i="3" s="1"/>
  <c r="Q16" i="3"/>
  <c r="Q47" i="3" s="1"/>
  <c r="Q6" i="3"/>
  <c r="Q37" i="3" s="1"/>
  <c r="Q17" i="3"/>
  <c r="Q48" i="3" s="1"/>
  <c r="Q15" i="3"/>
  <c r="Q46" i="3" s="1"/>
  <c r="Q13" i="3"/>
  <c r="Q44" i="3" s="1"/>
  <c r="Q11" i="3"/>
  <c r="Q42" i="3" s="1"/>
  <c r="Q9" i="3"/>
  <c r="Q40" i="3" s="1"/>
  <c r="Q5" i="3"/>
  <c r="Q18" i="3"/>
  <c r="Q49" i="3" s="1"/>
  <c r="Q10" i="3"/>
  <c r="Q41" i="3" s="1"/>
  <c r="S15" i="3"/>
  <c r="S46" i="3" s="1"/>
  <c r="S21" i="3"/>
  <c r="S52" i="3" s="1"/>
  <c r="S11" i="3"/>
  <c r="S42" i="3" s="1"/>
  <c r="S22" i="3"/>
  <c r="S53" i="3" s="1"/>
  <c r="R15" i="3"/>
  <c r="R46" i="3" s="1"/>
  <c r="S10" i="3"/>
  <c r="S41" i="3" s="1"/>
  <c r="S20" i="3"/>
  <c r="S51" i="3" s="1"/>
  <c r="R22" i="3"/>
  <c r="R53" i="3" s="1"/>
  <c r="S17" i="3"/>
  <c r="S48" i="3" s="1"/>
  <c r="R13" i="3"/>
  <c r="R44" i="3" s="1"/>
  <c r="R17" i="3"/>
  <c r="R48" i="3" s="1"/>
  <c r="S6" i="3"/>
  <c r="S37" i="3" s="1"/>
  <c r="R7" i="3"/>
  <c r="R38" i="3" s="1"/>
  <c r="S12" i="3"/>
  <c r="S43" i="3" s="1"/>
  <c r="Q19" i="3"/>
  <c r="Q50" i="3" s="1"/>
  <c r="S8" i="3"/>
  <c r="S39" i="3" s="1"/>
  <c r="R14" i="3"/>
  <c r="R45" i="3" s="1"/>
  <c r="R19" i="3"/>
  <c r="R50" i="3" s="1"/>
  <c r="S19" i="3"/>
  <c r="S50" i="3" s="1"/>
  <c r="S7" i="3"/>
  <c r="S38" i="3" s="1"/>
  <c r="S18" i="3"/>
  <c r="S49" i="3" s="1"/>
  <c r="R20" i="3"/>
  <c r="R51" i="3" s="1"/>
  <c r="S13" i="3"/>
  <c r="S44" i="3" s="1"/>
  <c r="R11" i="3"/>
  <c r="R42" i="3" s="1"/>
  <c r="R5" i="3"/>
  <c r="Q21" i="3"/>
  <c r="Q52" i="3" s="1"/>
  <c r="Q36" i="3" l="1"/>
  <c r="Q24" i="3"/>
  <c r="Q25" i="3"/>
  <c r="Q56" i="3" s="1"/>
  <c r="S25" i="3"/>
  <c r="S56" i="3" s="1"/>
  <c r="R36" i="3"/>
  <c r="R24" i="3"/>
  <c r="R25" i="3"/>
  <c r="R56" i="3" s="1"/>
  <c r="S24" i="3"/>
  <c r="S55" i="3" l="1"/>
  <c r="S61" i="3"/>
  <c r="T61" i="3" s="1"/>
  <c r="S60" i="3"/>
  <c r="T60" i="3" s="1"/>
  <c r="R55" i="3"/>
  <c r="S59" i="3"/>
  <c r="T59" i="3" s="1"/>
  <c r="Q55" i="3"/>
</calcChain>
</file>

<file path=xl/sharedStrings.xml><?xml version="1.0" encoding="utf-8"?>
<sst xmlns="http://schemas.openxmlformats.org/spreadsheetml/2006/main" count="6937" uniqueCount="144">
  <si>
    <t>FECHA_PROCESO</t>
  </si>
  <si>
    <t>CODIGO_EMPRESA</t>
  </si>
  <si>
    <t>OPERACION</t>
  </si>
  <si>
    <t>COD_ACT/PAS</t>
  </si>
  <si>
    <t>MONEDA_ORIGEN</t>
  </si>
  <si>
    <t>MONEDA_COMPENSACION</t>
  </si>
  <si>
    <t>COMPENSACION</t>
  </si>
  <si>
    <t>CODIGO_PRODUCTO</t>
  </si>
  <si>
    <t>CODIGO_SUBPRODUCTO</t>
  </si>
  <si>
    <t>FECHA_CREACION</t>
  </si>
  <si>
    <t>NUMERO_CUOTA</t>
  </si>
  <si>
    <t>FECHA_INICIO_CUOTA</t>
  </si>
  <si>
    <t>FECHA_VENCIMIENTO_CUOTA</t>
  </si>
  <si>
    <t>FECHA_PAGO</t>
  </si>
  <si>
    <t>FECHA_REPRICING</t>
  </si>
  <si>
    <t>AMORTIZACION</t>
  </si>
  <si>
    <t>INTERES</t>
  </si>
  <si>
    <t>INTERES_DEVENGADO</t>
  </si>
  <si>
    <t>VP_AMORTIZACION</t>
  </si>
  <si>
    <t>VP_INTERES</t>
  </si>
  <si>
    <t>FACTOR_DE_RIESGO</t>
  </si>
  <si>
    <t>TIPO_CUOTA</t>
  </si>
  <si>
    <t>AREA_NEGOCIO</t>
  </si>
  <si>
    <t>CODIGO_EJECUTIVO</t>
  </si>
  <si>
    <t>CODIGO_ESTRATEGIA</t>
  </si>
  <si>
    <t>CLASIFICACION_CONTABLE</t>
  </si>
  <si>
    <t>TIPO_TASA</t>
  </si>
  <si>
    <t>INDEXADOR</t>
  </si>
  <si>
    <t>TASA_CF</t>
  </si>
  <si>
    <t>SPREAD</t>
  </si>
  <si>
    <t>PAS</t>
  </si>
  <si>
    <t>CLP</t>
  </si>
  <si>
    <t>MT_R13_CTA. CORRIENTE</t>
  </si>
  <si>
    <t>MT_R13_CTA. CORRIENTE PERSONAS_CORE</t>
  </si>
  <si>
    <t>BALANCE TASAS</t>
  </si>
  <si>
    <t>HTM</t>
  </si>
  <si>
    <t>MT_R13_CTA. CORRIENTE PERSONAS_NONCORE</t>
  </si>
  <si>
    <t>MT_R13_CTA. VISTA</t>
  </si>
  <si>
    <t>MT_R13_CTA. VISTA_CORE</t>
  </si>
  <si>
    <t>MT_R13_CTA. VISTA_NONCORE</t>
  </si>
  <si>
    <t>CLF</t>
  </si>
  <si>
    <t>MT_R13_CTA. AHORRO</t>
  </si>
  <si>
    <t>MT_R13_CTA. AHORRO G.DIF_CORE</t>
  </si>
  <si>
    <t>MT_R13_CTA. AHORRO G.DIF_NONCORE</t>
  </si>
  <si>
    <t>MT_R13_CTA. AHORRO G.INC_CORE</t>
  </si>
  <si>
    <t>MT_R13_CTA. AHORRO G.INC_NONCORE</t>
  </si>
  <si>
    <t>MT_CTA. CORRIENTE</t>
  </si>
  <si>
    <t>CTA. CORRIENTE PERSONAS_CORE_CORE</t>
  </si>
  <si>
    <t>CTA. CORRIENTE PERSONAS</t>
  </si>
  <si>
    <t>MT.CTA. VISTA</t>
  </si>
  <si>
    <t>CTA. VISTA_CORE_CORE</t>
  </si>
  <si>
    <t>CTA. VISTA</t>
  </si>
  <si>
    <t>MT_CTA. AHORRO</t>
  </si>
  <si>
    <t>CTA. AHORRO G.DIF_CORE_CORE</t>
  </si>
  <si>
    <t>CTA. AHORRO G.DIF</t>
  </si>
  <si>
    <t>CTA. AHORRO G.INC_CORE_CORE</t>
  </si>
  <si>
    <t>CTA. AHORRO G.INC</t>
  </si>
  <si>
    <t>COD_SUB_PRO</t>
  </si>
  <si>
    <t>FLUJO_MO</t>
  </si>
  <si>
    <t>PMP</t>
  </si>
  <si>
    <t>MIN_FECHA_PAGO</t>
  </si>
  <si>
    <t>MAX_FECHA_PAGO</t>
  </si>
  <si>
    <t>COD_SUB_PRO_MODELO</t>
  </si>
  <si>
    <t>MONTO_CORE_GESTION_MO</t>
  </si>
  <si>
    <t>MONEDA</t>
  </si>
  <si>
    <t>AMORTIZACION_MO</t>
  </si>
  <si>
    <t>INTERES_MO</t>
  </si>
  <si>
    <t>MONTO_CORE_R13_MO</t>
  </si>
  <si>
    <t>MDL_MT_R13_CTA. CORRIENTE</t>
  </si>
  <si>
    <t>MDL_MT_R13_CTA. CORRIENTE PERSONAS_CORE</t>
  </si>
  <si>
    <t>MDL_MT_R13_CTA. CORRIENTE PERSONAS_NONCORE</t>
  </si>
  <si>
    <t>MDL_MT_R13_CTA. VISTA</t>
  </si>
  <si>
    <t>MDL_MT_R13_CTA. VISTA_CORE</t>
  </si>
  <si>
    <t>MDL_MT_R13_CTA. VISTA_NONCORE</t>
  </si>
  <si>
    <t>MDL_MT_R13_CTA. AHORRO</t>
  </si>
  <si>
    <t>MDL_MT_R13_CTA. AHORRO G.DIF_CORE</t>
  </si>
  <si>
    <t>MDL_MT_R13_CTA. AHORRO G.DIF_NONCORE</t>
  </si>
  <si>
    <t>MDL_MT_R13_CTA. AHORRO G.INC_CORE</t>
  </si>
  <si>
    <t>MDL_MT_R13_CTA. AHORRO G.INC_NONCORE</t>
  </si>
  <si>
    <t>MDL_MT_CTA. CORRIENTE</t>
  </si>
  <si>
    <t>MDL_CTA. CORRIENTE PERSONAS_CORE_CORE</t>
  </si>
  <si>
    <t>MDL_CTA. CORRIENTE PERSONAS</t>
  </si>
  <si>
    <t>MDL_MT.CTA. VISTA</t>
  </si>
  <si>
    <t>MDL_CTA. VISTA_CORE_CORE</t>
  </si>
  <si>
    <t>MDL_CTA. VISTA</t>
  </si>
  <si>
    <t>MDL_MT_CTA. AHORRO</t>
  </si>
  <si>
    <t>MDL_CTA. AHORRO G.DIF_CORE_CORE</t>
  </si>
  <si>
    <t>MDL_CTA. AHORRO G.DIF</t>
  </si>
  <si>
    <t>MDL_CTA. AHORRO G.INC_CORE_CORE</t>
  </si>
  <si>
    <t>MDL_CTA. AHORRO G.INC</t>
  </si>
  <si>
    <t>INPT_CTA_CTE</t>
  </si>
  <si>
    <t>INPT_CTA_VTA</t>
  </si>
  <si>
    <t>INPT_AGD</t>
  </si>
  <si>
    <t>INPT_AGI</t>
  </si>
  <si>
    <t>Suma de AMORTIZACION</t>
  </si>
  <si>
    <t>Etiquetas de columna</t>
  </si>
  <si>
    <t>Etiquetas de fila</t>
  </si>
  <si>
    <t>banda</t>
  </si>
  <si>
    <t>Amortizacion + Intereses</t>
  </si>
  <si>
    <t>LIM_INF</t>
  </si>
  <si>
    <t>LIM_SUP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</si>
  <si>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</si>
  <si>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</si>
  <si>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</si>
  <si>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</si>
  <si>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</si>
  <si>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</si>
  <si>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</si>
  <si>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</si>
  <si>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</si>
  <si>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</si>
  <si>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</si>
  <si>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</si>
  <si>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</si>
  <si>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</si>
  <si>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</si>
  <si>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</si>
  <si>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</si>
  <si>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</si>
  <si>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inf</t>
  </si>
  <si>
    <t>19</t>
  </si>
  <si>
    <t>TOTAL</t>
  </si>
  <si>
    <t>TOTAL MM$</t>
  </si>
  <si>
    <t>Comparativo T y T-1</t>
  </si>
  <si>
    <t>Banda</t>
  </si>
  <si>
    <t>Producto</t>
  </si>
  <si>
    <t>INPUT</t>
  </si>
  <si>
    <t>TOTAL GESTION</t>
  </si>
  <si>
    <t>TOTAL R13</t>
  </si>
  <si>
    <t>DIF</t>
  </si>
  <si>
    <t>CTA. CORRIENTE - CLP</t>
  </si>
  <si>
    <t>CTA. VISTA - CLP</t>
  </si>
  <si>
    <t xml:space="preserve"> AHORRO - CLF</t>
  </si>
  <si>
    <t>PmP</t>
  </si>
  <si>
    <t>GESTION</t>
  </si>
  <si>
    <t>MT_R13</t>
  </si>
  <si>
    <t xml:space="preserve"> AHORRO G. DIF - CLF</t>
  </si>
  <si>
    <t xml:space="preserve"> AHORRO G. INC - CLF</t>
  </si>
  <si>
    <t>Controles R13</t>
  </si>
  <si>
    <t>|INPUT - OUTPUT |&lt; 1</t>
  </si>
  <si>
    <t>CORE COMO %FLUJO</t>
  </si>
  <si>
    <t>PmP &lt; 4.5Y</t>
  </si>
  <si>
    <t>Controles Gestion</t>
  </si>
  <si>
    <t>CORE =&lt; FLUJO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</si>
</sst>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 * #,##0_ ;_ * \-#,##0_ ;_ * &quot;-&quot;_ ;_ @_ "/>
    <numFmt numFmtId="43" formatCode="_ * #,##0.00_ ;_ * \-#,##0.00_ ;_ * &quot;-&quot;??_ ;_ @_ "/>
    <numFmt numFmtId="164" formatCode="_-* #,##0_-;\-* #,##0_-;_-* &quot;-&quot;??_-;_-@_-"/>
    <numFmt numFmtId="165" formatCode="yyyy\-mm\-dd\ h:mm:ss"/>
    <numFmt numFmtId="166" formatCode="_-* #,##0.00_-;\-* #,##0.00_-;_-* &quot;-&quot;??_-;_-@_-"/>
    <numFmt numFmtId="167" formatCode="dd\-mm\-yyyy"/>
    <numFmt numFmtId="168" formatCode="_ * #,##0.00_ ;_ * \-#,##0.00_ ;_ * &quot;-&quot;_ ;_ @_ "/>
    <numFmt numFmtId="169" formatCode="0.0"/>
    <numFmt numFmtId="170" formatCode="_(* #,##0_);_(* \(#,##0\);_(* &quot;-&quot;_);_(@_)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MS Sans Serif"/>
      <family val="2"/>
    </font>
    <font>
      <b/>
      <sz val="9"/>
      <color indexed="8"/>
      <name val="MS Sans Serif"/>
      <family val="2"/>
    </font>
    <font>
      <b/>
      <sz val="10"/>
      <color theme="1"/>
      <name val="Arial"/>
      <family val="2"/>
    </font>
    <font>
      <sz val="7.2"/>
      <color indexed="8"/>
      <name val="Arial"/>
      <family val="2"/>
    </font>
    <font>
      <sz val="10"/>
      <color theme="1"/>
      <name val="Arial"/>
      <family val="2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1" fontId="1" fillId="0" borderId="0"/>
    <xf numFmtId="9" fontId="1" fillId="0" borderId="0"/>
    <xf numFmtId="0" fontId="3" fillId="0" borderId="0"/>
    <xf numFmtId="43" fontId="6" fillId="0" borderId="0"/>
  </cellStyleXfs>
  <cellXfs count="51">
    <xf numFmtId="0" fontId="0" fillId="0" borderId="0" xfId="0"/>
    <xf numFmtId="14" fontId="0" fillId="0" borderId="0" xfId="1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14" fontId="0" fillId="0" borderId="0" xfId="0" applyNumberFormat="1"/>
    <xf numFmtId="41" fontId="1" fillId="0" borderId="0" xfId="1"/>
    <xf numFmtId="0" fontId="4" fillId="4" borderId="2" xfId="3" applyFont="1" applyFill="1" applyBorder="1"/>
    <xf numFmtId="0" fontId="4" fillId="4" borderId="3" xfId="3" applyFont="1" applyFill="1" applyBorder="1"/>
    <xf numFmtId="0" fontId="4" fillId="4" borderId="4" xfId="3" applyFont="1" applyFill="1" applyBorder="1"/>
    <xf numFmtId="0" fontId="5" fillId="0" borderId="5" xfId="3" applyFont="1" applyBorder="1" applyAlignment="1">
      <alignment vertical="center" wrapText="1"/>
    </xf>
    <xf numFmtId="164" fontId="5" fillId="0" borderId="5" xfId="4" applyNumberFormat="1" applyFont="1" applyBorder="1" applyAlignment="1">
      <alignment horizontal="center" vertical="center" wrapText="1"/>
    </xf>
    <xf numFmtId="164" fontId="5" fillId="0" borderId="6" xfId="4" applyNumberFormat="1" applyFont="1" applyBorder="1" applyAlignment="1">
      <alignment horizontal="center" vertical="center" wrapText="1"/>
    </xf>
    <xf numFmtId="0" fontId="5" fillId="0" borderId="1" xfId="3" applyFont="1" applyBorder="1" applyAlignment="1">
      <alignment horizontal="center" vertical="center" wrapText="1"/>
    </xf>
    <xf numFmtId="164" fontId="7" fillId="0" borderId="5" xfId="4" applyNumberFormat="1" applyFont="1" applyBorder="1"/>
    <xf numFmtId="164" fontId="7" fillId="0" borderId="6" xfId="4" applyNumberFormat="1" applyFont="1" applyBorder="1"/>
    <xf numFmtId="164" fontId="8" fillId="4" borderId="1" xfId="0" applyNumberFormat="1" applyFont="1" applyFill="1" applyBorder="1"/>
    <xf numFmtId="49" fontId="7" fillId="0" borderId="7" xfId="3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14" fontId="4" fillId="3" borderId="1" xfId="3" applyNumberFormat="1" applyFont="1" applyFill="1" applyBorder="1" applyAlignment="1">
      <alignment horizontal="center" vertical="center"/>
    </xf>
    <xf numFmtId="164" fontId="5" fillId="0" borderId="1" xfId="4" applyNumberFormat="1" applyFont="1" applyBorder="1" applyAlignment="1">
      <alignment horizontal="center" vertical="center"/>
    </xf>
    <xf numFmtId="164" fontId="5" fillId="0" borderId="4" xfId="4" applyNumberFormat="1" applyFont="1" applyBorder="1" applyAlignment="1">
      <alignment horizontal="center" vertical="center"/>
    </xf>
    <xf numFmtId="0" fontId="0" fillId="0" borderId="5" xfId="0" applyBorder="1"/>
    <xf numFmtId="0" fontId="0" fillId="0" borderId="9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5" borderId="0" xfId="0" applyFill="1"/>
    <xf numFmtId="0" fontId="5" fillId="5" borderId="5" xfId="3" applyFont="1" applyFill="1" applyBorder="1" applyAlignment="1">
      <alignment vertical="center" wrapText="1"/>
    </xf>
    <xf numFmtId="164" fontId="5" fillId="5" borderId="5" xfId="4" applyNumberFormat="1" applyFont="1" applyFill="1" applyBorder="1" applyAlignment="1">
      <alignment horizontal="center" vertical="center" wrapText="1"/>
    </xf>
    <xf numFmtId="164" fontId="5" fillId="5" borderId="6" xfId="4" applyNumberFormat="1" applyFont="1" applyFill="1" applyBorder="1" applyAlignment="1">
      <alignment horizontal="center" vertical="center" wrapText="1"/>
    </xf>
    <xf numFmtId="0" fontId="5" fillId="5" borderId="1" xfId="3" applyFont="1" applyFill="1" applyBorder="1" applyAlignment="1">
      <alignment horizontal="center" vertical="center" wrapText="1"/>
    </xf>
    <xf numFmtId="164" fontId="5" fillId="5" borderId="1" xfId="4" applyNumberFormat="1" applyFont="1" applyFill="1" applyBorder="1" applyAlignment="1">
      <alignment horizontal="center" vertical="center"/>
    </xf>
    <xf numFmtId="164" fontId="5" fillId="5" borderId="4" xfId="4" applyNumberFormat="1" applyFont="1" applyFill="1" applyBorder="1" applyAlignment="1">
      <alignment horizontal="center" vertical="center"/>
    </xf>
    <xf numFmtId="49" fontId="7" fillId="5" borderId="7" xfId="3" applyNumberFormat="1" applyFont="1" applyFill="1" applyBorder="1" applyAlignment="1">
      <alignment horizontal="center" vertical="center"/>
    </xf>
    <xf numFmtId="10" fontId="7" fillId="5" borderId="1" xfId="2" applyNumberFormat="1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/>
    <xf numFmtId="0" fontId="2" fillId="5" borderId="8" xfId="0" applyFont="1" applyFill="1" applyBorder="1" applyAlignment="1">
      <alignment horizontal="center"/>
    </xf>
    <xf numFmtId="0" fontId="0" fillId="5" borderId="8" xfId="0" applyFill="1" applyBorder="1"/>
    <xf numFmtId="164" fontId="9" fillId="5" borderId="8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0" fontId="1" fillId="0" borderId="8" xfId="2" applyNumberFormat="1" applyBorder="1"/>
    <xf numFmtId="169" fontId="1" fillId="0" borderId="8" xfId="1" applyNumberFormat="1" applyBorder="1" applyAlignment="1">
      <alignment horizontal="center"/>
    </xf>
    <xf numFmtId="168" fontId="1" fillId="0" borderId="8" xfId="1" applyNumberFormat="1" applyBorder="1" applyAlignment="1">
      <alignment horizontal="center" vertical="center"/>
    </xf>
    <xf numFmtId="170" fontId="0" fillId="2" borderId="0" xfId="0" applyNumberFormat="1" applyFont="1" applyFill="1" applyBorder="1" applyAlignment="1" applyProtection="1"/>
  </cellXfs>
  <cellStyles count="5">
    <cellStyle name="Millares [0]" xfId="1" builtinId="6"/>
    <cellStyle name="Millares 32" xfId="4" xr:uid="{00000000-0005-0000-0000-000004000000}"/>
    <cellStyle name="Normal" xfId="0" builtinId="0"/>
    <cellStyle name="Normal 13" xfId="3" xr:uid="{00000000-0005-0000-0000-000003000000}"/>
    <cellStyle name="Porcentaje" xfId="2" builtinId="5"/>
  </cellStyles>
  <dxfs count="1"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numFmt numFmtId="170" formatCode="_(* #,##0_);_(* \(#,##0\);_(* &quot;-&quot;_);_(@_)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Ignacio Muñoz Bozo" refreshedDate="45938.448431597222" createdVersion="8" refreshedVersion="8" minRefreshableVersion="3" recordCount="833" xr:uid="{00000000-000A-0000-FFFF-FFFF05000000}">
  <cacheSource type="worksheet">
    <worksheetSource ref="A1:AD1048576" sheet="DESARROLLO"/>
  </cacheSource>
  <cacheFields count="32">
    <cacheField name="FECHA_PROCESO" numFmtId="0">
      <sharedItems containsNonDate="0" containsDate="1" containsString="0" containsBlank="1" minDate="2025-10-06T00:00:00" maxDate="2025-10-07T00:00:00"/>
    </cacheField>
    <cacheField name="CODIGO_EMPRESA" numFmtId="0">
      <sharedItems containsString="0" containsBlank="1" containsNumber="1" containsInteger="1" minValue="1" maxValue="1"/>
    </cacheField>
    <cacheField name="OPERACION" numFmtId="0">
      <sharedItems containsNonDate="0" containsString="0" containsBlank="1"/>
    </cacheField>
    <cacheField name="COD_ACT/PAS" numFmtId="0">
      <sharedItems containsBlank="1"/>
    </cacheField>
    <cacheField name="MONEDA_ORIGEN" numFmtId="0">
      <sharedItems containsBlank="1"/>
    </cacheField>
    <cacheField name="MONEDA_COMPENSACION" numFmtId="0">
      <sharedItems containsBlank="1"/>
    </cacheField>
    <cacheField name="COMPENSACION" numFmtId="0">
      <sharedItems containsNonDate="0" containsString="0" containsBlank="1"/>
    </cacheField>
    <cacheField name="CODIGO_PRODUCTO" numFmtId="0">
      <sharedItems containsBlank="1" count="15">
        <s v="MT_R13_CTA. CORRIENTE"/>
        <s v="MT_R13_CTA. CORRIENTE PERSONAS_CORE"/>
        <s v="MT_R13_CTA. CORRIENTE PERSONAS_NONCORE"/>
        <s v="MT_R13_CTA. VISTA"/>
        <s v="MT_R13_CTA. VISTA_CORE"/>
        <s v="MT_R13_CTA. VISTA_NONCORE"/>
        <s v="MT_R13_CTA. AHORRO"/>
        <s v="MT_R13_CTA. AHORRO G.DIF_CORE"/>
        <s v="MT_R13_CTA. AHORRO G.DIF_NONCORE"/>
        <s v="MT_R13_CTA. AHORRO G.INC_CORE"/>
        <s v="MT_R13_CTA. AHORRO G.INC_NONCORE"/>
        <s v="MT_CTA. CORRIENTE"/>
        <s v="MT.CTA. VISTA"/>
        <s v="MT_CTA. AHORRO"/>
        <m/>
      </sharedItems>
    </cacheField>
    <cacheField name="CODIGO_SUBPRODUCTO" numFmtId="0">
      <sharedItems containsBlank="1"/>
    </cacheField>
    <cacheField name="FECHA_CREACION" numFmtId="0">
      <sharedItems containsNonDate="0" containsString="0" containsBlank="1"/>
    </cacheField>
    <cacheField name="NUMERO_CUOTA" numFmtId="0">
      <sharedItems containsString="0" containsBlank="1" containsNumber="1" containsInteger="1" minValue="1" maxValue="205"/>
    </cacheField>
    <cacheField name="FECHA_INICIO_CUOTA" numFmtId="0">
      <sharedItems containsNonDate="0" containsString="0" containsBlank="1"/>
    </cacheField>
    <cacheField name="FECHA_VENCIMIENTO_CUOTA" numFmtId="0">
      <sharedItems containsNonDate="0" containsDate="1" containsString="0" containsBlank="1" minDate="2025-10-07T00:00:00" maxDate="2042-11-01T00:00:00"/>
    </cacheField>
    <cacheField name="FECHA_PAGO" numFmtId="0">
      <sharedItems containsNonDate="0" containsDate="1" containsString="0" containsBlank="1" minDate="2025-08-28T00:00:00" maxDate="2042-11-01T00:00:00" count="306"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25-10-07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25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m/>
        <d v="2025-10-04T00:00:00" u="1"/>
        <d v="2025-10-03T00:00:00" u="1"/>
        <d v="2025-10-02T00:00:00" u="1"/>
        <d v="2025-10-01T00:00:00" u="1"/>
        <d v="2025-09-30T00:00:00" u="1"/>
        <d v="2025-09-27T00:00:00" u="1"/>
        <d v="2025-09-26T00:00:00" u="1"/>
        <d v="2025-09-25T00:00:00" u="1"/>
        <d v="2025-09-24T00:00:00" u="1"/>
        <d v="2025-09-23T00:00:00" u="1"/>
        <d v="2025-09-18T00:00:00" u="1"/>
        <d v="2025-09-17T00:00:00" u="1"/>
        <d v="2025-09-13T00:00:00" u="1"/>
        <d v="2025-08-31T00:00:00" u="1"/>
        <d v="2025-08-29T00:00:00" u="1"/>
        <d v="2025-08-28T00:00:00" u="1"/>
        <d v="2025-08-30T00:00:00" u="1"/>
        <d v="2025-09-01T00:00:00" u="1"/>
        <d v="2025-09-02T00:00:00" u="1"/>
        <d v="2025-09-03T00:00:00" u="1"/>
        <d v="2025-09-04T00:00:00" u="1"/>
        <d v="2025-09-05T00:00:00" u="1"/>
        <d v="2025-09-06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4T00:00:00" u="1"/>
        <d v="2025-09-15T00:00:00" u="1"/>
        <d v="2025-09-16T00:00:00" u="1"/>
        <d v="2025-09-19T00:00:00" u="1"/>
        <d v="2025-09-20T00:00:00" u="1"/>
        <d v="2025-09-21T00:00:00" u="1"/>
        <d v="2025-09-22T00:00:00" u="1"/>
        <d v="2025-09-28T00:00:00" u="1"/>
        <d v="2025-09-29T00:00:00" u="1"/>
        <d v="2025-10-05T00:00:00" u="1"/>
        <d v="2025-10-06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6T00:00:00" u="1"/>
        <d v="2025-10-17T00:00:00" u="1"/>
        <d v="2025-10-18T00:00:00" u="1"/>
        <d v="2025-10-19T00:00:00" u="1"/>
        <d v="2025-10-20T00:00:00" u="1"/>
        <d v="2025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1-01T00:00:00" u="1"/>
        <d v="2025-11-02T00:00:00" u="1"/>
        <d v="2025-11-03T00:00:00" u="1"/>
        <d v="2025-11-04T00:00:00" u="1"/>
        <d v="2025-11-05T00:00:00" u="1"/>
        <d v="2025-11-06T00:00:00" u="1"/>
        <d v="2025-11-07T00:00:00" u="1"/>
        <d v="2025-11-08T00:00:00" u="1"/>
        <d v="2025-11-09T00:00:00" u="1"/>
        <d v="2025-11-10T00:00:00" u="1"/>
        <d v="2025-11-11T00:00:00" u="1"/>
        <d v="2025-11-12T00:00:00" u="1"/>
        <d v="2025-11-13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0T00:00:00" u="1"/>
        <d v="2025-11-21T00:00:00" u="1"/>
        <d v="2025-11-22T00:00:00" u="1"/>
        <d v="2025-11-23T00:00:00" u="1"/>
        <d v="2025-11-24T00:00:00" u="1"/>
        <d v="2025-11-25T00:00:00" u="1"/>
        <d v="2025-11-26T00:00:00" u="1"/>
        <d v="2025-11-27T00:00:00" u="1"/>
        <d v="2025-11-28T00:00:00" u="1"/>
        <d v="2025-11-29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</sharedItems>
      <fieldGroup par="31"/>
    </cacheField>
    <cacheField name="FECHA_REPRICING" numFmtId="0">
      <sharedItems containsNonDate="0" containsDate="1" containsString="0" containsBlank="1" minDate="2025-10-07T00:00:00" maxDate="2042-11-01T00:00:00"/>
    </cacheField>
    <cacheField name="AMORTIZACION" numFmtId="0">
      <sharedItems containsString="0" containsBlank="1" containsNumber="1" minValue="90.917367638310537" maxValue="1004286851948.1"/>
    </cacheField>
    <cacheField name="INTERES" numFmtId="0">
      <sharedItems containsNonDate="0" containsString="0" containsBlank="1"/>
    </cacheField>
    <cacheField name="INTERES_DEVENGADO" numFmtId="0">
      <sharedItems containsNonDate="0" containsString="0" containsBlank="1"/>
    </cacheField>
    <cacheField name="VP_AMORTIZACION" numFmtId="0">
      <sharedItems containsNonDate="0" containsString="0" containsBlank="1"/>
    </cacheField>
    <cacheField name="VP_INTERES" numFmtId="0">
      <sharedItems containsNonDate="0" containsString="0" containsBlank="1"/>
    </cacheField>
    <cacheField name="FACTOR_DE_RIESGO" numFmtId="0">
      <sharedItems containsNonDate="0" containsString="0" containsBlank="1"/>
    </cacheField>
    <cacheField name="TIPO_CUOTA" numFmtId="0">
      <sharedItems containsString="0" containsBlank="1" containsNumber="1" containsInteger="1" minValue="1" maxValue="1"/>
    </cacheField>
    <cacheField name="AREA_NEGOCIO" numFmtId="0">
      <sharedItems containsBlank="1"/>
    </cacheField>
    <cacheField name="CODIGO_EJECUTIVO" numFmtId="0">
      <sharedItems containsNonDate="0" containsString="0" containsBlank="1"/>
    </cacheField>
    <cacheField name="CODIGO_ESTRATEGIA" numFmtId="0">
      <sharedItems containsBlank="1"/>
    </cacheField>
    <cacheField name="CLASIFICACION_CONTABLE" numFmtId="0">
      <sharedItems containsBlank="1"/>
    </cacheField>
    <cacheField name="TIPO_TASA" numFmtId="0">
      <sharedItems containsString="0" containsBlank="1" containsNumber="1" containsInteger="1" minValue="1" maxValue="1"/>
    </cacheField>
    <cacheField name="INDEXADOR" numFmtId="0">
      <sharedItems containsNonDate="0" containsString="0" containsBlank="1"/>
    </cacheField>
    <cacheField name="TASA_CF" numFmtId="0">
      <sharedItems containsNonDate="0" containsString="0" containsBlank="1"/>
    </cacheField>
    <cacheField name="SPREAD" numFmtId="0">
      <sharedItems containsNonDate="0" containsString="0" containsBlank="1"/>
    </cacheField>
    <cacheField name="Días (FECHA_PAGO)" numFmtId="0" databaseField="0">
      <fieldGroup base="13">
        <rangePr groupBy="days" startDate="2025-10-07T00:00:00" endDate="2042-11-01T00:00:00"/>
        <groupItems count="368">
          <s v="&lt;07-10-202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-11-2042"/>
        </groupItems>
      </fieldGroup>
    </cacheField>
    <cacheField name="Meses (FECHA_PAGO)" numFmtId="0" databaseField="0">
      <fieldGroup base="13">
        <rangePr groupBy="months" startDate="2025-10-07T00:00:00" endDate="2042-11-01T00:00:00"/>
        <groupItems count="14">
          <s v="&lt;07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11-204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3">
  <r>
    <d v="2025-10-06T00:00:00"/>
    <n v="1"/>
    <m/>
    <s v="PAS"/>
    <s v="CLP"/>
    <s v="CLP"/>
    <m/>
    <x v="0"/>
    <s v="MT_R13_CTA. CORRIENTE PERSONAS_CORE"/>
    <m/>
    <n v="1"/>
    <m/>
    <d v="2025-11-30T00:00:00"/>
    <x v="0"/>
    <d v="2025-11-30T00:00:00"/>
    <n v="9694380981.85500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"/>
    <m/>
    <d v="2025-12-31T00:00:00"/>
    <x v="1"/>
    <d v="2025-12-31T00:00:00"/>
    <n v="9600982304.623836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"/>
    <m/>
    <d v="2026-01-31T00:00:00"/>
    <x v="2"/>
    <d v="2026-01-31T00:00:00"/>
    <n v="9508587914.244611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"/>
    <m/>
    <d v="2026-02-28T00:00:00"/>
    <x v="3"/>
    <d v="2026-02-28T00:00:00"/>
    <n v="9416193523.86538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"/>
    <m/>
    <d v="2026-03-31T00:00:00"/>
    <x v="4"/>
    <d v="2026-03-31T00:00:00"/>
    <n v="9325807707.190057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"/>
    <m/>
    <d v="2026-04-30T00:00:00"/>
    <x v="5"/>
    <d v="2026-04-30T00:00:00"/>
    <n v="9235421890.514726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7"/>
    <m/>
    <d v="2026-05-31T00:00:00"/>
    <x v="6"/>
    <d v="2026-05-31T00:00:00"/>
    <n v="9146040360.691347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8"/>
    <m/>
    <d v="2026-06-30T00:00:00"/>
    <x v="7"/>
    <d v="2026-06-30T00:00:00"/>
    <n v="9057663117.719913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9"/>
    <m/>
    <d v="2026-07-31T00:00:00"/>
    <x v="8"/>
    <d v="2026-07-31T00:00:00"/>
    <n v="8970290161.600429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0"/>
    <m/>
    <d v="2026-08-31T00:00:00"/>
    <x v="9"/>
    <d v="2026-08-31T00:00:00"/>
    <n v="8883921492.332891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1"/>
    <m/>
    <d v="2026-09-30T00:00:00"/>
    <x v="10"/>
    <d v="2026-09-30T00:00:00"/>
    <n v="8798557109.917303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2"/>
    <m/>
    <d v="2026-10-31T00:00:00"/>
    <x v="11"/>
    <d v="2026-10-31T00:00:00"/>
    <n v="8713192727.501714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3"/>
    <m/>
    <d v="2026-11-30T00:00:00"/>
    <x v="12"/>
    <d v="2026-11-30T00:00:00"/>
    <n v="8628832631.93807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4"/>
    <m/>
    <d v="2026-12-31T00:00:00"/>
    <x v="13"/>
    <d v="2026-12-31T00:00:00"/>
    <n v="8545476823.226382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5"/>
    <m/>
    <d v="2027-01-31T00:00:00"/>
    <x v="14"/>
    <d v="2027-01-31T00:00:00"/>
    <n v="8463125301.36663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6"/>
    <m/>
    <d v="2027-02-28T00:00:00"/>
    <x v="15"/>
    <d v="2027-02-28T00:00:00"/>
    <n v="8381778066.358841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7"/>
    <m/>
    <d v="2027-03-31T00:00:00"/>
    <x v="16"/>
    <d v="2027-03-31T00:00:00"/>
    <n v="8300430831.351045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8"/>
    <m/>
    <d v="2027-04-30T00:00:00"/>
    <x v="17"/>
    <d v="2027-04-30T00:00:00"/>
    <n v="8221092170.047146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19"/>
    <m/>
    <d v="2027-05-31T00:00:00"/>
    <x v="18"/>
    <d v="2027-05-31T00:00:00"/>
    <n v="8141753508.743246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0"/>
    <m/>
    <d v="2027-06-30T00:00:00"/>
    <x v="19"/>
    <d v="2027-06-30T00:00:00"/>
    <n v="8062414847.439347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1"/>
    <m/>
    <d v="2027-07-31T00:00:00"/>
    <x v="20"/>
    <d v="2027-07-31T00:00:00"/>
    <n v="7985084759.839343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2"/>
    <m/>
    <d v="2027-08-31T00:00:00"/>
    <x v="21"/>
    <d v="2027-08-31T00:00:00"/>
    <n v="7907754672.239339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3"/>
    <m/>
    <d v="2027-09-30T00:00:00"/>
    <x v="22"/>
    <d v="2027-09-30T00:00:00"/>
    <n v="7831428871.491283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4"/>
    <m/>
    <d v="2027-10-31T00:00:00"/>
    <x v="23"/>
    <d v="2027-10-31T00:00:00"/>
    <n v="7756107357.595175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5"/>
    <m/>
    <d v="2027-11-30T00:00:00"/>
    <x v="24"/>
    <d v="2027-11-30T00:00:00"/>
    <n v="7680785843.6990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6"/>
    <m/>
    <d v="2027-12-31T00:00:00"/>
    <x v="25"/>
    <d v="2027-12-31T00:00:00"/>
    <n v="7606468616.65490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7"/>
    <m/>
    <d v="2028-01-31T00:00:00"/>
    <x v="26"/>
    <d v="2028-01-31T00:00:00"/>
    <n v="7533155676.46269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8"/>
    <m/>
    <d v="2028-02-29T00:00:00"/>
    <x v="27"/>
    <d v="2028-02-29T00:00:00"/>
    <n v="7460847023.122434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29"/>
    <m/>
    <d v="2028-03-31T00:00:00"/>
    <x v="28"/>
    <d v="2028-03-31T00:00:00"/>
    <n v="7388538369.782171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0"/>
    <m/>
    <d v="2028-04-30T00:00:00"/>
    <x v="29"/>
    <d v="2028-04-30T00:00:00"/>
    <n v="7317234003.293856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1"/>
    <m/>
    <d v="2028-05-31T00:00:00"/>
    <x v="30"/>
    <d v="2028-05-31T00:00:00"/>
    <n v="7246933923.657489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2"/>
    <m/>
    <d v="2028-06-30T00:00:00"/>
    <x v="31"/>
    <d v="2028-06-30T00:00:00"/>
    <n v="7176633844.0211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3"/>
    <m/>
    <d v="2028-07-31T00:00:00"/>
    <x v="32"/>
    <d v="2028-07-31T00:00:00"/>
    <n v="7107338051.236703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4"/>
    <m/>
    <d v="2028-08-31T00:00:00"/>
    <x v="33"/>
    <d v="2028-08-31T00:00:00"/>
    <n v="7039046545.304232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5"/>
    <m/>
    <d v="2028-09-30T00:00:00"/>
    <x v="34"/>
    <d v="2028-09-30T00:00:00"/>
    <n v="6970755039.371762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6"/>
    <m/>
    <d v="2028-10-31T00:00:00"/>
    <x v="35"/>
    <d v="2028-10-31T00:00:00"/>
    <n v="6903467820.291238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7"/>
    <m/>
    <d v="2028-11-30T00:00:00"/>
    <x v="36"/>
    <d v="2028-11-30T00:00:00"/>
    <n v="6837184888.06266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8"/>
    <m/>
    <d v="2028-12-31T00:00:00"/>
    <x v="37"/>
    <d v="2028-12-31T00:00:00"/>
    <n v="6770901955.834090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39"/>
    <m/>
    <d v="2029-01-31T00:00:00"/>
    <x v="38"/>
    <d v="2029-01-31T00:00:00"/>
    <n v="6705623310.457463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0"/>
    <m/>
    <d v="2029-02-28T00:00:00"/>
    <x v="39"/>
    <d v="2029-02-28T00:00:00"/>
    <n v="6641348951.93278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1"/>
    <m/>
    <d v="2029-03-31T00:00:00"/>
    <x v="40"/>
    <d v="2029-03-31T00:00:00"/>
    <n v="6577074593.408106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2"/>
    <m/>
    <d v="2029-04-30T00:00:00"/>
    <x v="41"/>
    <d v="2029-04-30T00:00:00"/>
    <n v="6513804521.735376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3"/>
    <m/>
    <d v="2029-05-31T00:00:00"/>
    <x v="42"/>
    <d v="2029-05-31T00:00:00"/>
    <n v="6450534450.062645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4"/>
    <m/>
    <d v="2029-06-30T00:00:00"/>
    <x v="43"/>
    <d v="2029-06-30T00:00:00"/>
    <n v="6388268665.24186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5"/>
    <m/>
    <d v="2029-07-31T00:00:00"/>
    <x v="44"/>
    <d v="2029-07-31T00:00:00"/>
    <n v="6327007167.273030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6"/>
    <m/>
    <d v="2029-08-31T00:00:00"/>
    <x v="45"/>
    <d v="2029-08-31T00:00:00"/>
    <n v="6265745669.304195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7"/>
    <m/>
    <d v="2029-09-30T00:00:00"/>
    <x v="46"/>
    <d v="2029-09-30T00:00:00"/>
    <n v="6205488458.187309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8"/>
    <m/>
    <d v="2029-10-31T00:00:00"/>
    <x v="47"/>
    <d v="2029-10-31T00:00:00"/>
    <n v="6145231247.070424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49"/>
    <m/>
    <d v="2029-11-30T00:00:00"/>
    <x v="48"/>
    <d v="2029-11-30T00:00:00"/>
    <n v="6085978322.805485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0"/>
    <m/>
    <d v="2029-12-31T00:00:00"/>
    <x v="49"/>
    <d v="2029-12-31T00:00:00"/>
    <n v="6026725398.540548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1"/>
    <m/>
    <d v="2030-01-31T00:00:00"/>
    <x v="50"/>
    <d v="2030-01-31T00:00:00"/>
    <n v="5968476761.127558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2"/>
    <m/>
    <d v="2030-02-28T00:00:00"/>
    <x v="51"/>
    <d v="2030-02-28T00:00:00"/>
    <n v="5911232410.566515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3"/>
    <m/>
    <d v="2030-03-31T00:00:00"/>
    <x v="52"/>
    <d v="2030-03-31T00:00:00"/>
    <n v="5853988060.00547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4"/>
    <m/>
    <d v="2030-04-30T00:00:00"/>
    <x v="53"/>
    <d v="2030-04-30T00:00:00"/>
    <n v="5797747996.29638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5"/>
    <m/>
    <d v="2030-05-31T00:00:00"/>
    <x v="54"/>
    <d v="2030-05-31T00:00:00"/>
    <n v="5741507932.58728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6"/>
    <m/>
    <d v="2030-06-30T00:00:00"/>
    <x v="55"/>
    <d v="2030-06-30T00:00:00"/>
    <n v="5686272155.730142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7"/>
    <m/>
    <d v="2030-07-31T00:00:00"/>
    <x v="56"/>
    <d v="2030-07-31T00:00:00"/>
    <n v="5631036378.872996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8"/>
    <m/>
    <d v="2030-08-31T00:00:00"/>
    <x v="57"/>
    <d v="2030-08-31T00:00:00"/>
    <n v="5576804888.867798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59"/>
    <m/>
    <d v="2030-09-30T00:00:00"/>
    <x v="58"/>
    <d v="2030-09-30T00:00:00"/>
    <n v="5523577685.7145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0"/>
    <m/>
    <d v="2030-10-31T00:00:00"/>
    <x v="59"/>
    <d v="2030-10-31T00:00:00"/>
    <n v="5470350482.561300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1"/>
    <m/>
    <d v="2030-11-30T00:00:00"/>
    <x v="60"/>
    <d v="2030-11-30T00:00:00"/>
    <n v="5417123279.408050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2"/>
    <m/>
    <d v="2030-12-31T00:00:00"/>
    <x v="61"/>
    <d v="2030-12-31T00:00:00"/>
    <n v="5364900363.106749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3"/>
    <m/>
    <d v="2031-01-31T00:00:00"/>
    <x v="62"/>
    <d v="2031-01-31T00:00:00"/>
    <n v="5312677446.805448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4"/>
    <m/>
    <d v="2031-02-28T00:00:00"/>
    <x v="63"/>
    <d v="2031-02-28T00:00:00"/>
    <n v="5261458817.356095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5"/>
    <m/>
    <d v="2031-03-31T00:00:00"/>
    <x v="64"/>
    <d v="2031-03-31T00:00:00"/>
    <n v="5211244474.758690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6"/>
    <m/>
    <d v="2031-04-30T00:00:00"/>
    <x v="65"/>
    <d v="2031-04-30T00:00:00"/>
    <n v="5161030132.161286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7"/>
    <m/>
    <d v="2031-05-31T00:00:00"/>
    <x v="66"/>
    <d v="2031-05-31T00:00:00"/>
    <n v="5110815789.56388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8"/>
    <m/>
    <d v="2031-06-30T00:00:00"/>
    <x v="67"/>
    <d v="2031-06-30T00:00:00"/>
    <n v="5061605733.8184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69"/>
    <m/>
    <d v="2031-07-31T00:00:00"/>
    <x v="68"/>
    <d v="2031-07-31T00:00:00"/>
    <n v="5012395678.072966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70"/>
    <m/>
    <d v="2031-08-31T00:00:00"/>
    <x v="69"/>
    <d v="2031-08-31T00:00:00"/>
    <n v="4964189909.179458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71"/>
    <m/>
    <d v="2031-09-30T00:00:00"/>
    <x v="70"/>
    <d v="2031-09-30T00:00:00"/>
    <n v="4915984140.285949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72"/>
    <m/>
    <d v="2031-10-31T00:00:00"/>
    <x v="71"/>
    <d v="2031-10-31T00:00:00"/>
    <n v="4868782658.244388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73"/>
    <m/>
    <d v="2031-11-30T00:00:00"/>
    <x v="72"/>
    <d v="2031-11-30T00:00:00"/>
    <n v="4821581176.202827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CORE"/>
    <m/>
    <n v="74"/>
    <m/>
    <d v="2031-12-31T00:00:00"/>
    <x v="73"/>
    <d v="2031-12-31T00:00:00"/>
    <n v="494693626106.2993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"/>
    <s v="MT_R13_CTA. CORRIENTE PERSONAS_CORE"/>
    <m/>
    <m/>
    <m/>
    <d v="2025-10-07T00:00:00"/>
    <x v="74"/>
    <d v="2025-10-07T00:00:00"/>
    <n v="1004286851948.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0"/>
    <s v="MT_R13_CTA. CORRIENTE PERSONAS_NONCORE"/>
    <m/>
    <m/>
    <m/>
    <d v="2025-10-07T00:00:00"/>
    <x v="74"/>
    <d v="2025-10-07T00:00:00"/>
    <n v="430408650834.9000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2"/>
    <s v="MT_R13_CTA. CORRIENTE PERSONAS_NONCORE"/>
    <m/>
    <m/>
    <m/>
    <d v="2025-10-07T00:00:00"/>
    <x v="74"/>
    <d v="2025-10-07T00:00:00"/>
    <n v="430408650834.9000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"/>
    <m/>
    <d v="2025-11-30T00:00:00"/>
    <x v="0"/>
    <d v="2025-11-30T00:00:00"/>
    <n v="1754834451.948074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"/>
    <m/>
    <d v="2025-12-31T00:00:00"/>
    <x v="1"/>
    <d v="2025-12-31T00:00:00"/>
    <n v="1727907213.2835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"/>
    <m/>
    <d v="2026-01-31T00:00:00"/>
    <x v="2"/>
    <d v="2026-01-31T00:00:00"/>
    <n v="1701322270.025860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"/>
    <m/>
    <d v="2026-02-28T00:00:00"/>
    <x v="3"/>
    <d v="2026-02-28T00:00:00"/>
    <n v="1675193720.64379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"/>
    <m/>
    <d v="2026-03-31T00:00:00"/>
    <x v="4"/>
    <d v="2026-03-31T00:00:00"/>
    <n v="1649407466.6684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"/>
    <m/>
    <d v="2026-04-30T00:00:00"/>
    <x v="5"/>
    <d v="2026-04-30T00:00:00"/>
    <n v="1624077606.568847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"/>
    <m/>
    <d v="2026-05-31T00:00:00"/>
    <x v="6"/>
    <d v="2026-05-31T00:00:00"/>
    <n v="1599090041.87595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"/>
    <m/>
    <d v="2026-06-30T00:00:00"/>
    <x v="7"/>
    <d v="2026-06-30T00:00:00"/>
    <n v="1574444772.58982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"/>
    <m/>
    <d v="2026-07-31T00:00:00"/>
    <x v="8"/>
    <d v="2026-07-31T00:00:00"/>
    <n v="1550255897.179354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"/>
    <m/>
    <d v="2026-08-31T00:00:00"/>
    <x v="9"/>
    <d v="2026-08-31T00:00:00"/>
    <n v="1526409317.17563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1"/>
    <m/>
    <d v="2026-09-30T00:00:00"/>
    <x v="10"/>
    <d v="2026-09-30T00:00:00"/>
    <n v="1502905032.57867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2"/>
    <m/>
    <d v="2026-10-31T00:00:00"/>
    <x v="11"/>
    <d v="2026-10-31T00:00:00"/>
    <n v="1479743043.38846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3"/>
    <m/>
    <d v="2026-11-30T00:00:00"/>
    <x v="12"/>
    <d v="2026-11-30T00:00:00"/>
    <n v="1457037448.07392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4"/>
    <m/>
    <d v="2026-12-31T00:00:00"/>
    <x v="13"/>
    <d v="2026-12-31T00:00:00"/>
    <n v="1434674148.166130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5"/>
    <m/>
    <d v="2027-01-31T00:00:00"/>
    <x v="14"/>
    <d v="2027-01-31T00:00:00"/>
    <n v="1412539045.196173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6"/>
    <m/>
    <d v="2027-02-28T00:00:00"/>
    <x v="15"/>
    <d v="2027-02-28T00:00:00"/>
    <n v="1390860336.10188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7"/>
    <m/>
    <d v="2027-03-31T00:00:00"/>
    <x v="16"/>
    <d v="2027-03-31T00:00:00"/>
    <n v="1369409823.94543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8"/>
    <m/>
    <d v="2027-04-30T00:00:00"/>
    <x v="17"/>
    <d v="2027-04-30T00:00:00"/>
    <n v="1348415705.66465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9"/>
    <m/>
    <d v="2027-05-31T00:00:00"/>
    <x v="18"/>
    <d v="2027-05-31T00:00:00"/>
    <n v="1327649784.32170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0"/>
    <m/>
    <d v="2027-06-30T00:00:00"/>
    <x v="19"/>
    <d v="2027-06-30T00:00:00"/>
    <n v="1307226158.385505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1"/>
    <m/>
    <d v="2027-07-31T00:00:00"/>
    <x v="20"/>
    <d v="2027-07-31T00:00:00"/>
    <n v="1287144827.85606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2"/>
    <m/>
    <d v="2027-08-31T00:00:00"/>
    <x v="21"/>
    <d v="2027-08-31T00:00:00"/>
    <n v="1267291694.2644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3"/>
    <m/>
    <d v="2027-09-30T00:00:00"/>
    <x v="22"/>
    <d v="2027-09-30T00:00:00"/>
    <n v="1247780856.07959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4"/>
    <m/>
    <d v="2027-10-31T00:00:00"/>
    <x v="23"/>
    <d v="2027-10-31T00:00:00"/>
    <n v="1228612313.30148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5"/>
    <m/>
    <d v="2027-11-30T00:00:00"/>
    <x v="24"/>
    <d v="2027-11-30T00:00:00"/>
    <n v="1209786065.930131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6"/>
    <m/>
    <d v="2027-12-31T00:00:00"/>
    <x v="25"/>
    <d v="2027-12-31T00:00:00"/>
    <n v="1191188015.496612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7"/>
    <m/>
    <d v="2028-01-31T00:00:00"/>
    <x v="26"/>
    <d v="2028-01-31T00:00:00"/>
    <n v="1172818162.00092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8"/>
    <m/>
    <d v="2028-02-29T00:00:00"/>
    <x v="27"/>
    <d v="2028-02-29T00:00:00"/>
    <n v="1154790603.91199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29"/>
    <m/>
    <d v="2028-03-31T00:00:00"/>
    <x v="28"/>
    <d v="2028-03-31T00:00:00"/>
    <n v="1136991242.760894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0"/>
    <m/>
    <d v="2028-04-30T00:00:00"/>
    <x v="29"/>
    <d v="2028-04-30T00:00:00"/>
    <n v="1119534177.01654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1"/>
    <m/>
    <d v="2028-05-31T00:00:00"/>
    <x v="30"/>
    <d v="2028-05-31T00:00:00"/>
    <n v="1102305308.21003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2"/>
    <m/>
    <d v="2028-06-30T00:00:00"/>
    <x v="31"/>
    <d v="2028-06-30T00:00:00"/>
    <n v="1085304636.34135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3"/>
    <m/>
    <d v="2028-07-31T00:00:00"/>
    <x v="32"/>
    <d v="2028-07-31T00:00:00"/>
    <n v="1068646259.87943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4"/>
    <m/>
    <d v="2028-08-31T00:00:00"/>
    <x v="33"/>
    <d v="2028-08-31T00:00:00"/>
    <n v="1052216080.3553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5"/>
    <m/>
    <d v="2028-09-30T00:00:00"/>
    <x v="34"/>
    <d v="2028-09-30T00:00:00"/>
    <n v="1036014097.76908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6"/>
    <m/>
    <d v="2028-10-31T00:00:00"/>
    <x v="35"/>
    <d v="2028-10-31T00:00:00"/>
    <n v="1020154410.58957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7"/>
    <m/>
    <d v="2028-11-30T00:00:00"/>
    <x v="36"/>
    <d v="2028-11-30T00:00:00"/>
    <n v="1004408821.87899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8"/>
    <m/>
    <d v="2028-12-31T00:00:00"/>
    <x v="37"/>
    <d v="2028-12-31T00:00:00"/>
    <n v="989005528.5751563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39"/>
    <m/>
    <d v="2029-01-31T00:00:00"/>
    <x v="38"/>
    <d v="2029-01-31T00:00:00"/>
    <n v="973716333.740238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0"/>
    <m/>
    <d v="2029-02-28T00:00:00"/>
    <x v="39"/>
    <d v="2029-02-28T00:00:00"/>
    <n v="958769434.3120719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1"/>
    <m/>
    <d v="2029-03-31T00:00:00"/>
    <x v="40"/>
    <d v="2029-03-31T00:00:00"/>
    <n v="944050731.8217401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2"/>
    <m/>
    <d v="2029-04-30T00:00:00"/>
    <x v="41"/>
    <d v="2029-04-30T00:00:00"/>
    <n v="929560226.26924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3"/>
    <m/>
    <d v="2029-05-31T00:00:00"/>
    <x v="42"/>
    <d v="2029-05-31T00:00:00"/>
    <n v="915183819.185663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4"/>
    <m/>
    <d v="2029-06-30T00:00:00"/>
    <x v="43"/>
    <d v="2029-06-30T00:00:00"/>
    <n v="901149707.5088353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5"/>
    <m/>
    <d v="2029-07-31T00:00:00"/>
    <x v="44"/>
    <d v="2029-07-31T00:00:00"/>
    <n v="887229694.3009246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6"/>
    <m/>
    <d v="2029-08-31T00:00:00"/>
    <x v="45"/>
    <d v="2029-08-31T00:00:00"/>
    <n v="873651976.4997659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7"/>
    <m/>
    <d v="2029-09-30T00:00:00"/>
    <x v="46"/>
    <d v="2029-09-30T00:00:00"/>
    <n v="860188357.1675245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8"/>
    <m/>
    <d v="2029-10-31T00:00:00"/>
    <x v="47"/>
    <d v="2029-10-31T00:00:00"/>
    <n v="846952934.7731177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49"/>
    <m/>
    <d v="2029-11-30T00:00:00"/>
    <x v="48"/>
    <d v="2029-11-30T00:00:00"/>
    <n v="833945709.3165456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0"/>
    <m/>
    <d v="2029-12-31T00:00:00"/>
    <x v="49"/>
    <d v="2029-12-31T00:00:00"/>
    <n v="821166680.7978080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1"/>
    <m/>
    <d v="2030-01-31T00:00:00"/>
    <x v="50"/>
    <d v="2030-01-31T00:00:00"/>
    <n v="808501750.7479877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2"/>
    <m/>
    <d v="2030-02-28T00:00:00"/>
    <x v="51"/>
    <d v="2030-02-28T00:00:00"/>
    <n v="796065017.6360019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3"/>
    <m/>
    <d v="2030-03-31T00:00:00"/>
    <x v="52"/>
    <d v="2030-03-31T00:00:00"/>
    <n v="783856481.4618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4"/>
    <m/>
    <d v="2030-04-30T00:00:00"/>
    <x v="53"/>
    <d v="2030-04-30T00:00:00"/>
    <n v="771762043.75661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5"/>
    <m/>
    <d v="2030-05-31T00:00:00"/>
    <x v="54"/>
    <d v="2030-05-31T00:00:00"/>
    <n v="759895802.9892178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6"/>
    <m/>
    <d v="2030-06-30T00:00:00"/>
    <x v="55"/>
    <d v="2030-06-30T00:00:00"/>
    <n v="748143660.6907360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7"/>
    <m/>
    <d v="2030-07-31T00:00:00"/>
    <x v="56"/>
    <d v="2030-07-31T00:00:00"/>
    <n v="736733813.7990059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8"/>
    <m/>
    <d v="2030-08-31T00:00:00"/>
    <x v="57"/>
    <d v="2030-08-31T00:00:00"/>
    <n v="725323966.9072760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59"/>
    <m/>
    <d v="2030-09-30T00:00:00"/>
    <x v="58"/>
    <d v="2030-09-30T00:00:00"/>
    <n v="714142316.9533805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0"/>
    <m/>
    <d v="2030-10-31T00:00:00"/>
    <x v="59"/>
    <d v="2030-10-31T00:00:00"/>
    <n v="703188863.9373198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1"/>
    <m/>
    <d v="2030-11-30T00:00:00"/>
    <x v="60"/>
    <d v="2030-11-30T00:00:00"/>
    <n v="692349509.390176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2"/>
    <m/>
    <d v="2030-12-31T00:00:00"/>
    <x v="61"/>
    <d v="2030-12-31T00:00:00"/>
    <n v="681738351.7808674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3"/>
    <m/>
    <d v="2031-01-31T00:00:00"/>
    <x v="62"/>
    <d v="2031-01-31T00:00:00"/>
    <n v="671241292.6404758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4"/>
    <m/>
    <d v="2031-02-28T00:00:00"/>
    <x v="63"/>
    <d v="2031-02-28T00:00:00"/>
    <n v="660972430.43791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5"/>
    <m/>
    <d v="2031-03-31T00:00:00"/>
    <x v="64"/>
    <d v="2031-03-31T00:00:00"/>
    <n v="650817666.704279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6"/>
    <m/>
    <d v="2031-04-30T00:00:00"/>
    <x v="65"/>
    <d v="2031-04-30T00:00:00"/>
    <n v="640777001.439556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7"/>
    <m/>
    <d v="2031-05-31T00:00:00"/>
    <x v="66"/>
    <d v="2031-05-31T00:00:00"/>
    <n v="630964533.1126689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8"/>
    <m/>
    <d v="2031-06-30T00:00:00"/>
    <x v="67"/>
    <d v="2031-06-30T00:00:00"/>
    <n v="621152064.7857811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69"/>
    <m/>
    <d v="2031-07-31T00:00:00"/>
    <x v="68"/>
    <d v="2031-07-31T00:00:00"/>
    <n v="611681891.865645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0"/>
    <m/>
    <d v="2031-08-31T00:00:00"/>
    <x v="69"/>
    <d v="2031-08-31T00:00:00"/>
    <n v="602211718.9455093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1"/>
    <m/>
    <d v="2031-09-30T00:00:00"/>
    <x v="70"/>
    <d v="2031-09-30T00:00:00"/>
    <n v="592969742.9632080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2"/>
    <m/>
    <d v="2031-10-31T00:00:00"/>
    <x v="71"/>
    <d v="2031-10-31T00:00:00"/>
    <n v="583841865.449824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3"/>
    <m/>
    <d v="2031-11-30T00:00:00"/>
    <x v="72"/>
    <d v="2031-11-30T00:00:00"/>
    <n v="574828086.4053573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4"/>
    <m/>
    <d v="2031-12-31T00:00:00"/>
    <x v="73"/>
    <d v="2031-12-31T00:00:00"/>
    <n v="566042504.2987252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5"/>
    <m/>
    <d v="2032-01-31T00:00:00"/>
    <x v="75"/>
    <d v="2032-01-31T00:00:00"/>
    <n v="557371020.6610103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6"/>
    <m/>
    <d v="2032-02-29T00:00:00"/>
    <x v="76"/>
    <d v="2032-02-29T00:00:00"/>
    <n v="548813635.492212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7"/>
    <m/>
    <d v="2032-03-31T00:00:00"/>
    <x v="77"/>
    <d v="2032-03-31T00:00:00"/>
    <n v="540370348.7923327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8"/>
    <m/>
    <d v="2032-04-30T00:00:00"/>
    <x v="78"/>
    <d v="2032-04-30T00:00:00"/>
    <n v="532041160.5613697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79"/>
    <m/>
    <d v="2032-05-31T00:00:00"/>
    <x v="79"/>
    <d v="2032-05-31T00:00:00"/>
    <n v="523826070.7993242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0"/>
    <m/>
    <d v="2032-06-30T00:00:00"/>
    <x v="80"/>
    <d v="2032-06-30T00:00:00"/>
    <n v="515725079.506195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1"/>
    <m/>
    <d v="2032-07-31T00:00:00"/>
    <x v="81"/>
    <d v="2032-07-31T00:00:00"/>
    <n v="507852285.1509022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2"/>
    <m/>
    <d v="2032-08-31T00:00:00"/>
    <x v="82"/>
    <d v="2032-08-31T00:00:00"/>
    <n v="499979490.7956085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3"/>
    <m/>
    <d v="2032-09-30T00:00:00"/>
    <x v="83"/>
    <d v="2032-09-30T00:00:00"/>
    <n v="492334893.3781493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4"/>
    <m/>
    <d v="2032-10-31T00:00:00"/>
    <x v="84"/>
    <d v="2032-10-31T00:00:00"/>
    <n v="484804394.429607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5"/>
    <m/>
    <d v="2032-11-30T00:00:00"/>
    <x v="85"/>
    <d v="2032-11-30T00:00:00"/>
    <n v="477273895.4810659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6"/>
    <m/>
    <d v="2032-12-31T00:00:00"/>
    <x v="86"/>
    <d v="2032-12-31T00:00:00"/>
    <n v="469971593.4703587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7"/>
    <m/>
    <d v="2033-01-31T00:00:00"/>
    <x v="87"/>
    <d v="2033-01-31T00:00:00"/>
    <n v="462783389.928568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8"/>
    <m/>
    <d v="2033-02-28T00:00:00"/>
    <x v="88"/>
    <d v="2033-02-28T00:00:00"/>
    <n v="455595186.3867787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89"/>
    <m/>
    <d v="2033-03-31T00:00:00"/>
    <x v="89"/>
    <d v="2033-03-31T00:00:00"/>
    <n v="448635179.782823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0"/>
    <m/>
    <d v="2033-04-30T00:00:00"/>
    <x v="90"/>
    <d v="2033-04-30T00:00:00"/>
    <n v="441675173.1788681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1"/>
    <m/>
    <d v="2033-05-31T00:00:00"/>
    <x v="91"/>
    <d v="2033-05-31T00:00:00"/>
    <n v="434943363.5127475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2"/>
    <m/>
    <d v="2033-06-30T00:00:00"/>
    <x v="92"/>
    <d v="2033-06-30T00:00:00"/>
    <n v="428211553.8466268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3"/>
    <m/>
    <d v="2033-07-31T00:00:00"/>
    <x v="93"/>
    <d v="2033-07-31T00:00:00"/>
    <n v="421593842.649423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4"/>
    <m/>
    <d v="2033-08-31T00:00:00"/>
    <x v="94"/>
    <d v="2033-08-31T00:00:00"/>
    <n v="415204328.3900545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5"/>
    <m/>
    <d v="2033-09-30T00:00:00"/>
    <x v="95"/>
    <d v="2033-09-30T00:00:00"/>
    <n v="408814814.1306858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6"/>
    <m/>
    <d v="2033-10-31T00:00:00"/>
    <x v="96"/>
    <d v="2033-10-31T00:00:00"/>
    <n v="402539398.3402342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7"/>
    <m/>
    <d v="2033-11-30T00:00:00"/>
    <x v="97"/>
    <d v="2033-11-30T00:00:00"/>
    <n v="396263982.5497828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8"/>
    <m/>
    <d v="2033-12-31T00:00:00"/>
    <x v="98"/>
    <d v="2033-12-31T00:00:00"/>
    <n v="390216763.6971660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99"/>
    <m/>
    <d v="2034-01-31T00:00:00"/>
    <x v="99"/>
    <d v="2034-01-31T00:00:00"/>
    <n v="384169544.8445491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0"/>
    <m/>
    <d v="2034-02-28T00:00:00"/>
    <x v="100"/>
    <d v="2034-02-28T00:00:00"/>
    <n v="378236424.4608495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1"/>
    <m/>
    <d v="2034-03-31T00:00:00"/>
    <x v="101"/>
    <d v="2034-03-31T00:00:00"/>
    <n v="372417402.5460671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2"/>
    <m/>
    <d v="2034-04-30T00:00:00"/>
    <x v="102"/>
    <d v="2034-04-30T00:00:00"/>
    <n v="366712479.1002020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3"/>
    <m/>
    <d v="2034-05-31T00:00:00"/>
    <x v="103"/>
    <d v="2034-05-31T00:00:00"/>
    <n v="361121654.123254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4"/>
    <m/>
    <d v="2034-06-30T00:00:00"/>
    <x v="104"/>
    <d v="2034-06-30T00:00:00"/>
    <n v="355530829.1463068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5"/>
    <m/>
    <d v="2034-07-31T00:00:00"/>
    <x v="105"/>
    <d v="2034-07-31T00:00:00"/>
    <n v="350054102.6382762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6"/>
    <m/>
    <d v="2034-08-31T00:00:00"/>
    <x v="106"/>
    <d v="2034-08-31T00:00:00"/>
    <n v="344691474.5991631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7"/>
    <m/>
    <d v="2034-09-30T00:00:00"/>
    <x v="107"/>
    <d v="2034-09-30T00:00:00"/>
    <n v="339442945.028967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CORE"/>
    <m/>
    <n v="108"/>
    <m/>
    <d v="2034-10-31T00:00:00"/>
    <x v="108"/>
    <d v="2034-10-31T00:00:00"/>
    <n v="21727086845.1079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4"/>
    <s v="MT_R13_CTA. VISTA_CORE"/>
    <m/>
    <m/>
    <m/>
    <d v="2025-10-07T00:00:00"/>
    <x v="74"/>
    <d v="2025-10-07T00:00:00"/>
    <n v="114098468917.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3"/>
    <s v="MT_R13_CTA. VISTA_NONCORE"/>
    <m/>
    <m/>
    <m/>
    <d v="2025-10-07T00:00:00"/>
    <x v="74"/>
    <d v="2025-10-07T00:00:00"/>
    <n v="48899343821.70001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5"/>
    <s v="MT_R13_CTA. VISTA_NONCORE"/>
    <m/>
    <m/>
    <m/>
    <d v="2025-10-07T00:00:00"/>
    <x v="74"/>
    <d v="2025-10-07T00:00:00"/>
    <n v="48899343821.70001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"/>
    <m/>
    <d v="2025-11-30T00:00:00"/>
    <x v="0"/>
    <d v="2025-11-30T00:00:00"/>
    <n v="28566.8870878780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"/>
    <m/>
    <d v="2025-12-31T00:00:00"/>
    <x v="1"/>
    <d v="2025-12-31T00:00:00"/>
    <n v="28319.07480404300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"/>
    <m/>
    <d v="2026-01-31T00:00:00"/>
    <x v="2"/>
    <d v="2026-01-31T00:00:00"/>
    <n v="28071.26252020796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"/>
    <m/>
    <d v="2026-02-28T00:00:00"/>
    <x v="3"/>
    <d v="2026-02-28T00:00:00"/>
    <n v="27823.4502363729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"/>
    <m/>
    <d v="2026-03-31T00:00:00"/>
    <x v="4"/>
    <d v="2026-03-31T00:00:00"/>
    <n v="27578.898640483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"/>
    <m/>
    <d v="2026-04-30T00:00:00"/>
    <x v="5"/>
    <d v="2026-04-30T00:00:00"/>
    <n v="27337.60773253846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7"/>
    <m/>
    <d v="2026-05-31T00:00:00"/>
    <x v="6"/>
    <d v="2026-05-31T00:00:00"/>
    <n v="27099.57751253902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8"/>
    <m/>
    <d v="2026-06-30T00:00:00"/>
    <x v="7"/>
    <d v="2026-06-30T00:00:00"/>
    <n v="26861.54729253958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9"/>
    <m/>
    <d v="2026-07-31T00:00:00"/>
    <x v="8"/>
    <d v="2026-07-31T00:00:00"/>
    <n v="26626.7777604853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0"/>
    <m/>
    <d v="2026-08-31T00:00:00"/>
    <x v="9"/>
    <d v="2026-08-31T00:00:00"/>
    <n v="26392.00822843108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1"/>
    <m/>
    <d v="2026-09-30T00:00:00"/>
    <x v="10"/>
    <d v="2026-09-30T00:00:00"/>
    <n v="26160.4993843220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2"/>
    <m/>
    <d v="2026-10-31T00:00:00"/>
    <x v="11"/>
    <d v="2026-10-31T00:00:00"/>
    <n v="25932.25122815819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3"/>
    <m/>
    <d v="2026-11-30T00:00:00"/>
    <x v="12"/>
    <d v="2026-11-30T00:00:00"/>
    <n v="25704.0030719943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4"/>
    <m/>
    <d v="2026-12-31T00:00:00"/>
    <x v="13"/>
    <d v="2026-12-31T00:00:00"/>
    <n v="25479.01560377570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5"/>
    <m/>
    <d v="2027-01-31T00:00:00"/>
    <x v="14"/>
    <d v="2027-01-31T00:00:00"/>
    <n v="25257.2888235022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6"/>
    <m/>
    <d v="2027-02-28T00:00:00"/>
    <x v="15"/>
    <d v="2027-02-28T00:00:00"/>
    <n v="25035.56204322880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7"/>
    <m/>
    <d v="2027-03-31T00:00:00"/>
    <x v="16"/>
    <d v="2027-03-31T00:00:00"/>
    <n v="24817.09595090054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8"/>
    <m/>
    <d v="2027-04-30T00:00:00"/>
    <x v="17"/>
    <d v="2027-04-30T00:00:00"/>
    <n v="24598.6298585722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19"/>
    <m/>
    <d v="2027-05-31T00:00:00"/>
    <x v="18"/>
    <d v="2027-05-31T00:00:00"/>
    <n v="24383.4244541892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0"/>
    <m/>
    <d v="2027-06-30T00:00:00"/>
    <x v="19"/>
    <d v="2027-06-30T00:00:00"/>
    <n v="24168.21904980617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1"/>
    <m/>
    <d v="2027-07-31T00:00:00"/>
    <x v="20"/>
    <d v="2027-07-31T00:00:00"/>
    <n v="23956.27433336832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2"/>
    <m/>
    <d v="2027-08-31T00:00:00"/>
    <x v="21"/>
    <d v="2027-08-31T00:00:00"/>
    <n v="23747.5903048756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3"/>
    <m/>
    <d v="2027-09-30T00:00:00"/>
    <x v="22"/>
    <d v="2027-09-30T00:00:00"/>
    <n v="23538.90627638300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4"/>
    <m/>
    <d v="2027-10-31T00:00:00"/>
    <x v="23"/>
    <d v="2027-10-31T00:00:00"/>
    <n v="23333.48293583553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5"/>
    <m/>
    <d v="2027-11-30T00:00:00"/>
    <x v="24"/>
    <d v="2027-11-30T00:00:00"/>
    <n v="23128.05959528807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6"/>
    <m/>
    <d v="2027-12-31T00:00:00"/>
    <x v="25"/>
    <d v="2027-12-31T00:00:00"/>
    <n v="22925.8969426858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7"/>
    <m/>
    <d v="2028-01-31T00:00:00"/>
    <x v="26"/>
    <d v="2028-01-31T00:00:00"/>
    <n v="22726.9949780287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8"/>
    <m/>
    <d v="2028-02-29T00:00:00"/>
    <x v="27"/>
    <d v="2028-02-29T00:00:00"/>
    <n v="22528.09301337167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29"/>
    <m/>
    <d v="2028-03-31T00:00:00"/>
    <x v="28"/>
    <d v="2028-03-31T00:00:00"/>
    <n v="22329.1910487146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0"/>
    <m/>
    <d v="2028-04-30T00:00:00"/>
    <x v="29"/>
    <d v="2028-04-30T00:00:00"/>
    <n v="22133.54977200274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1"/>
    <m/>
    <d v="2028-05-31T00:00:00"/>
    <x v="30"/>
    <d v="2028-05-31T00:00:00"/>
    <n v="21941.169183236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2"/>
    <m/>
    <d v="2028-06-30T00:00:00"/>
    <x v="31"/>
    <d v="2028-06-30T00:00:00"/>
    <n v="21748.78859446939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3"/>
    <m/>
    <d v="2028-07-31T00:00:00"/>
    <x v="32"/>
    <d v="2028-07-31T00:00:00"/>
    <n v="21556.40800570273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4"/>
    <m/>
    <d v="2028-08-31T00:00:00"/>
    <x v="33"/>
    <d v="2028-08-31T00:00:00"/>
    <n v="21367.2881048812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5"/>
    <m/>
    <d v="2028-09-30T00:00:00"/>
    <x v="34"/>
    <d v="2028-09-30T00:00:00"/>
    <n v="21181.4288920049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6"/>
    <m/>
    <d v="2028-10-31T00:00:00"/>
    <x v="35"/>
    <d v="2028-10-31T00:00:00"/>
    <n v="20995.56967912870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7"/>
    <m/>
    <d v="2028-11-30T00:00:00"/>
    <x v="36"/>
    <d v="2028-11-30T00:00:00"/>
    <n v="20809.7104662524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8"/>
    <m/>
    <d v="2028-12-31T00:00:00"/>
    <x v="37"/>
    <d v="2028-12-31T00:00:00"/>
    <n v="20630.3726292665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39"/>
    <m/>
    <d v="2029-01-31T00:00:00"/>
    <x v="38"/>
    <d v="2029-01-31T00:00:00"/>
    <n v="20447.7741043354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0"/>
    <m/>
    <d v="2029-02-28T00:00:00"/>
    <x v="39"/>
    <d v="2029-02-28T00:00:00"/>
    <n v="20268.436267349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1"/>
    <m/>
    <d v="2029-03-31T00:00:00"/>
    <x v="40"/>
    <d v="2029-03-31T00:00:00"/>
    <n v="20092.35911830891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2"/>
    <m/>
    <d v="2029-04-30T00:00:00"/>
    <x v="41"/>
    <d v="2029-04-30T00:00:00"/>
    <n v="19916.28196926823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3"/>
    <m/>
    <d v="2029-05-31T00:00:00"/>
    <x v="42"/>
    <d v="2029-05-31T00:00:00"/>
    <n v="19740.2048202275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4"/>
    <m/>
    <d v="2029-06-30T00:00:00"/>
    <x v="43"/>
    <d v="2029-06-30T00:00:00"/>
    <n v="19567.388359132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5"/>
    <m/>
    <d v="2029-07-31T00:00:00"/>
    <x v="44"/>
    <d v="2029-07-31T00:00:00"/>
    <n v="19397.8325859817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6"/>
    <m/>
    <d v="2029-08-31T00:00:00"/>
    <x v="45"/>
    <d v="2029-08-31T00:00:00"/>
    <n v="19225.01612488630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7"/>
    <m/>
    <d v="2029-09-30T00:00:00"/>
    <x v="46"/>
    <d v="2029-09-30T00:00:00"/>
    <n v="19058.72103968121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8"/>
    <m/>
    <d v="2029-10-31T00:00:00"/>
    <x v="47"/>
    <d v="2029-10-31T00:00:00"/>
    <n v="18892.42595447611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49"/>
    <m/>
    <d v="2029-11-30T00:00:00"/>
    <x v="48"/>
    <d v="2029-11-30T00:00:00"/>
    <n v="18726.1308692710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0"/>
    <m/>
    <d v="2029-12-31T00:00:00"/>
    <x v="49"/>
    <d v="2029-12-31T00:00:00"/>
    <n v="18563.09647201114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1"/>
    <m/>
    <d v="2030-01-31T00:00:00"/>
    <x v="50"/>
    <d v="2030-01-31T00:00:00"/>
    <n v="18400.0620747512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2"/>
    <m/>
    <d v="2030-02-28T00:00:00"/>
    <x v="51"/>
    <d v="2030-02-28T00:00:00"/>
    <n v="18237.02767749135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3"/>
    <m/>
    <d v="2030-03-31T00:00:00"/>
    <x v="52"/>
    <d v="2030-03-31T00:00:00"/>
    <n v="18077.25396817666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4"/>
    <m/>
    <d v="2030-04-30T00:00:00"/>
    <x v="53"/>
    <d v="2030-04-30T00:00:00"/>
    <n v="17920.74094680717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5"/>
    <m/>
    <d v="2030-05-31T00:00:00"/>
    <x v="54"/>
    <d v="2030-05-31T00:00:00"/>
    <n v="17760.96723749248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6"/>
    <m/>
    <d v="2030-06-30T00:00:00"/>
    <x v="55"/>
    <d v="2030-06-30T00:00:00"/>
    <n v="17607.7149040681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7"/>
    <m/>
    <d v="2030-07-31T00:00:00"/>
    <x v="56"/>
    <d v="2030-07-31T00:00:00"/>
    <n v="17451.201882698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8"/>
    <m/>
    <d v="2030-08-31T00:00:00"/>
    <x v="57"/>
    <d v="2030-08-31T00:00:00"/>
    <n v="17301.2102372195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59"/>
    <m/>
    <d v="2030-09-30T00:00:00"/>
    <x v="58"/>
    <d v="2030-09-30T00:00:00"/>
    <n v="17147.957903795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0"/>
    <m/>
    <d v="2030-10-31T00:00:00"/>
    <x v="59"/>
    <d v="2030-10-31T00:00:00"/>
    <n v="16997.96625831619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1"/>
    <m/>
    <d v="2030-11-30T00:00:00"/>
    <x v="60"/>
    <d v="2030-11-30T00:00:00"/>
    <n v="16847.974612837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2"/>
    <m/>
    <d v="2030-12-31T00:00:00"/>
    <x v="61"/>
    <d v="2030-12-31T00:00:00"/>
    <n v="16701.2436553031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3"/>
    <m/>
    <d v="2031-01-31T00:00:00"/>
    <x v="62"/>
    <d v="2031-01-31T00:00:00"/>
    <n v="16554.5126977692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4"/>
    <m/>
    <d v="2031-02-28T00:00:00"/>
    <x v="63"/>
    <d v="2031-02-28T00:00:00"/>
    <n v="16411.0424281805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5"/>
    <m/>
    <d v="2031-03-31T00:00:00"/>
    <x v="64"/>
    <d v="2031-03-31T00:00:00"/>
    <n v="16267.5721585918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6"/>
    <m/>
    <d v="2031-04-30T00:00:00"/>
    <x v="65"/>
    <d v="2031-04-30T00:00:00"/>
    <n v="16124.10188900317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7"/>
    <m/>
    <d v="2031-05-31T00:00:00"/>
    <x v="66"/>
    <d v="2031-05-31T00:00:00"/>
    <n v="15983.89230735967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8"/>
    <m/>
    <d v="2031-06-30T00:00:00"/>
    <x v="67"/>
    <d v="2031-06-30T00:00:00"/>
    <n v="15843.6827257161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69"/>
    <m/>
    <d v="2031-07-31T00:00:00"/>
    <x v="68"/>
    <d v="2031-07-31T00:00:00"/>
    <n v="15703.47314407265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CORE"/>
    <m/>
    <n v="70"/>
    <m/>
    <d v="2031-08-31T00:00:00"/>
    <x v="69"/>
    <d v="2031-08-31T00:00:00"/>
    <n v="1776660.822763767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7"/>
    <s v="MT_R13_CTA. AHORRO G.DIF_CORE"/>
    <m/>
    <m/>
    <m/>
    <d v="2025-10-07T00:00:00"/>
    <x v="74"/>
    <d v="2025-10-07T00:00:00"/>
    <n v="3260687.945197811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DIF_NONCORE"/>
    <m/>
    <m/>
    <m/>
    <d v="2025-10-07T00:00:00"/>
    <x v="74"/>
    <d v="2025-10-07T00:00:00"/>
    <n v="1397437.690799063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8"/>
    <s v="MT_R13_CTA. AHORRO G.DIF_NONCORE"/>
    <m/>
    <m/>
    <m/>
    <d v="2025-10-07T00:00:00"/>
    <x v="74"/>
    <d v="2025-10-07T00:00:00"/>
    <n v="1397437.690799063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"/>
    <m/>
    <d v="2025-11-30T00:00:00"/>
    <x v="0"/>
    <d v="2025-11-30T00:00:00"/>
    <n v="6854.32495501688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"/>
    <m/>
    <d v="2025-12-31T00:00:00"/>
    <x v="1"/>
    <d v="2025-12-31T00:00:00"/>
    <n v="6793.215410784138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"/>
    <m/>
    <d v="2026-01-31T00:00:00"/>
    <x v="2"/>
    <d v="2026-01-31T00:00:00"/>
    <n v="6732.879405085987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"/>
    <m/>
    <d v="2026-02-28T00:00:00"/>
    <x v="3"/>
    <d v="2026-02-28T00:00:00"/>
    <n v="6673.316937922428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"/>
    <m/>
    <d v="2026-03-31T00:00:00"/>
    <x v="4"/>
    <d v="2026-03-31T00:00:00"/>
    <n v="6614.52800929346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"/>
    <m/>
    <d v="2026-04-30T00:00:00"/>
    <x v="5"/>
    <d v="2026-04-30T00:00:00"/>
    <n v="6555.739080664492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7"/>
    <m/>
    <d v="2026-05-31T00:00:00"/>
    <x v="6"/>
    <d v="2026-05-31T00:00:00"/>
    <n v="6497.723690570116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8"/>
    <m/>
    <d v="2026-06-30T00:00:00"/>
    <x v="7"/>
    <d v="2026-06-30T00:00:00"/>
    <n v="6439.708300475741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9"/>
    <m/>
    <d v="2026-07-31T00:00:00"/>
    <x v="8"/>
    <d v="2026-07-31T00:00:00"/>
    <n v="6383.23998745054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0"/>
    <m/>
    <d v="2026-08-31T00:00:00"/>
    <x v="9"/>
    <d v="2026-08-31T00:00:00"/>
    <n v="6325.998135890762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1"/>
    <m/>
    <d v="2026-09-30T00:00:00"/>
    <x v="10"/>
    <d v="2026-09-30T00:00:00"/>
    <n v="6270.303361400163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2"/>
    <m/>
    <d v="2026-10-31T00:00:00"/>
    <x v="11"/>
    <d v="2026-10-31T00:00:00"/>
    <n v="6214.608586909561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3"/>
    <m/>
    <d v="2026-11-30T00:00:00"/>
    <x v="12"/>
    <d v="2026-11-30T00:00:00"/>
    <n v="6159.687350953552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4"/>
    <m/>
    <d v="2026-12-31T00:00:00"/>
    <x v="13"/>
    <d v="2026-12-31T00:00:00"/>
    <n v="6104.76611499754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5"/>
    <m/>
    <d v="2027-01-31T00:00:00"/>
    <x v="14"/>
    <d v="2027-01-31T00:00:00"/>
    <n v="6051.391956110717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6"/>
    <m/>
    <d v="2027-02-28T00:00:00"/>
    <x v="15"/>
    <d v="2027-02-28T00:00:00"/>
    <n v="5997.244258689300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7"/>
    <m/>
    <d v="2027-03-31T00:00:00"/>
    <x v="16"/>
    <d v="2027-03-31T00:00:00"/>
    <n v="5943.87009980247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8"/>
    <m/>
    <d v="2027-04-30T00:00:00"/>
    <x v="17"/>
    <d v="2027-04-30T00:00:00"/>
    <n v="5891.269479450238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19"/>
    <m/>
    <d v="2027-05-31T00:00:00"/>
    <x v="18"/>
    <d v="2027-05-31T00:00:00"/>
    <n v="5839.44239763259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0"/>
    <m/>
    <d v="2027-06-30T00:00:00"/>
    <x v="19"/>
    <d v="2027-06-30T00:00:00"/>
    <n v="5787.615315814954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1"/>
    <m/>
    <d v="2027-07-31T00:00:00"/>
    <x v="20"/>
    <d v="2027-07-31T00:00:00"/>
    <n v="5736.561772531903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2"/>
    <m/>
    <d v="2027-08-31T00:00:00"/>
    <x v="21"/>
    <d v="2027-08-31T00:00:00"/>
    <n v="5685.508229248852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3"/>
    <m/>
    <d v="2027-09-30T00:00:00"/>
    <x v="22"/>
    <d v="2027-09-30T00:00:00"/>
    <n v="5635.228224500392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4"/>
    <m/>
    <d v="2027-10-31T00:00:00"/>
    <x v="23"/>
    <d v="2027-10-31T00:00:00"/>
    <n v="5584.948219751933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5"/>
    <m/>
    <d v="2027-11-30T00:00:00"/>
    <x v="24"/>
    <d v="2027-11-30T00:00:00"/>
    <n v="5535.441753538066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6"/>
    <m/>
    <d v="2027-12-31T00:00:00"/>
    <x v="25"/>
    <d v="2027-12-31T00:00:00"/>
    <n v="5486.7088258587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7"/>
    <m/>
    <d v="2028-01-31T00:00:00"/>
    <x v="26"/>
    <d v="2028-01-31T00:00:00"/>
    <n v="5437.975898179514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8"/>
    <m/>
    <d v="2028-02-29T00:00:00"/>
    <x v="27"/>
    <d v="2028-02-29T00:00:00"/>
    <n v="5390.01650903483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29"/>
    <m/>
    <d v="2028-03-31T00:00:00"/>
    <x v="28"/>
    <d v="2028-03-31T00:00:00"/>
    <n v="5342.057119890146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0"/>
    <m/>
    <d v="2028-04-30T00:00:00"/>
    <x v="29"/>
    <d v="2028-04-30T00:00:00"/>
    <n v="5294.871269280054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1"/>
    <m/>
    <d v="2028-05-31T00:00:00"/>
    <x v="30"/>
    <d v="2028-05-31T00:00:00"/>
    <n v="5247.685418669961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2"/>
    <m/>
    <d v="2028-06-30T00:00:00"/>
    <x v="31"/>
    <d v="2028-06-30T00:00:00"/>
    <n v="5201.273106594460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3"/>
    <m/>
    <d v="2028-07-31T00:00:00"/>
    <x v="32"/>
    <d v="2028-07-31T00:00:00"/>
    <n v="5155.6343330535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4"/>
    <m/>
    <d v="2028-08-31T00:00:00"/>
    <x v="33"/>
    <d v="2028-08-31T00:00:00"/>
    <n v="5109.995559512642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5"/>
    <m/>
    <d v="2028-09-30T00:00:00"/>
    <x v="34"/>
    <d v="2028-09-30T00:00:00"/>
    <n v="5064.356785971733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6"/>
    <m/>
    <d v="2028-10-31T00:00:00"/>
    <x v="35"/>
    <d v="2028-10-31T00:00:00"/>
    <n v="5019.491550965415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7"/>
    <m/>
    <d v="2028-11-30T00:00:00"/>
    <x v="36"/>
    <d v="2028-11-30T00:00:00"/>
    <n v="4974.626315959098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8"/>
    <m/>
    <d v="2028-12-31T00:00:00"/>
    <x v="37"/>
    <d v="2028-12-31T00:00:00"/>
    <n v="4930.534619487372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39"/>
    <m/>
    <d v="2029-01-31T00:00:00"/>
    <x v="38"/>
    <d v="2029-01-31T00:00:00"/>
    <n v="4887.216461550237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0"/>
    <m/>
    <d v="2029-02-28T00:00:00"/>
    <x v="39"/>
    <d v="2029-02-28T00:00:00"/>
    <n v="4843.89830361310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1"/>
    <m/>
    <d v="2029-03-31T00:00:00"/>
    <x v="40"/>
    <d v="2029-03-31T00:00:00"/>
    <n v="4801.353684210561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2"/>
    <m/>
    <d v="2029-04-30T00:00:00"/>
    <x v="41"/>
    <d v="2029-04-30T00:00:00"/>
    <n v="4758.809064808019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3"/>
    <m/>
    <d v="2029-05-31T00:00:00"/>
    <x v="42"/>
    <d v="2029-05-31T00:00:00"/>
    <n v="4716.264445405477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4"/>
    <m/>
    <d v="2029-06-30T00:00:00"/>
    <x v="43"/>
    <d v="2029-06-30T00:00:00"/>
    <n v="4674.493364537525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5"/>
    <m/>
    <d v="2029-07-31T00:00:00"/>
    <x v="44"/>
    <d v="2029-07-31T00:00:00"/>
    <n v="4632.722283669576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6"/>
    <m/>
    <d v="2029-08-31T00:00:00"/>
    <x v="45"/>
    <d v="2029-08-31T00:00:00"/>
    <n v="4591.724741336217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7"/>
    <m/>
    <d v="2029-09-30T00:00:00"/>
    <x v="46"/>
    <d v="2029-09-30T00:00:00"/>
    <n v="4551.50073753744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8"/>
    <m/>
    <d v="2029-10-31T00:00:00"/>
    <x v="47"/>
    <d v="2029-10-31T00:00:00"/>
    <n v="4511.276733738681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49"/>
    <m/>
    <d v="2029-11-30T00:00:00"/>
    <x v="48"/>
    <d v="2029-11-30T00:00:00"/>
    <n v="4471.052729939914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0"/>
    <m/>
    <d v="2029-12-31T00:00:00"/>
    <x v="49"/>
    <d v="2029-12-31T00:00:00"/>
    <n v="4431.602264675738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1"/>
    <m/>
    <d v="2030-01-31T00:00:00"/>
    <x v="50"/>
    <d v="2030-01-31T00:00:00"/>
    <n v="4392.15179941156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2"/>
    <m/>
    <d v="2030-02-28T00:00:00"/>
    <x v="51"/>
    <d v="2030-02-28T00:00:00"/>
    <n v="4353.474872681978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3"/>
    <m/>
    <d v="2030-03-31T00:00:00"/>
    <x v="52"/>
    <d v="2030-03-31T00:00:00"/>
    <n v="4314.797945952394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4"/>
    <m/>
    <d v="2030-04-30T00:00:00"/>
    <x v="53"/>
    <d v="2030-04-30T00:00:00"/>
    <n v="4276.1210192228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5"/>
    <m/>
    <d v="2030-05-31T00:00:00"/>
    <x v="54"/>
    <d v="2030-05-31T00:00:00"/>
    <n v="4238.217631027818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6"/>
    <m/>
    <d v="2030-06-30T00:00:00"/>
    <x v="55"/>
    <d v="2030-06-30T00:00:00"/>
    <n v="4201.087781367417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7"/>
    <m/>
    <d v="2030-07-31T00:00:00"/>
    <x v="56"/>
    <d v="2030-07-31T00:00:00"/>
    <n v="4163.957931707017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8"/>
    <m/>
    <d v="2030-08-31T00:00:00"/>
    <x v="57"/>
    <d v="2030-08-31T00:00:00"/>
    <n v="4126.828082046616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59"/>
    <m/>
    <d v="2030-09-30T00:00:00"/>
    <x v="58"/>
    <d v="2030-09-30T00:00:00"/>
    <n v="4090.471770920807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0"/>
    <m/>
    <d v="2030-10-31T00:00:00"/>
    <x v="59"/>
    <d v="2030-10-31T00:00:00"/>
    <n v="4054.115459794998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1"/>
    <m/>
    <d v="2030-11-30T00:00:00"/>
    <x v="60"/>
    <d v="2030-11-30T00:00:00"/>
    <n v="4018.532687203780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2"/>
    <m/>
    <d v="2030-12-31T00:00:00"/>
    <x v="61"/>
    <d v="2030-12-31T00:00:00"/>
    <n v="3982.176376077971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3"/>
    <m/>
    <d v="2031-01-31T00:00:00"/>
    <x v="62"/>
    <d v="2031-01-31T00:00:00"/>
    <n v="3947.367142021345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4"/>
    <m/>
    <d v="2031-02-28T00:00:00"/>
    <x v="63"/>
    <d v="2031-02-28T00:00:00"/>
    <n v="3912.557907964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5"/>
    <m/>
    <d v="2031-03-31T00:00:00"/>
    <x v="64"/>
    <d v="2031-03-31T00:00:00"/>
    <n v="3877.748673908095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6"/>
    <m/>
    <d v="2031-04-30T00:00:00"/>
    <x v="65"/>
    <d v="2031-04-30T00:00:00"/>
    <n v="3842.939439851470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7"/>
    <m/>
    <d v="2031-05-31T00:00:00"/>
    <x v="66"/>
    <d v="2031-05-31T00:00:00"/>
    <n v="3808.903744329436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8"/>
    <m/>
    <d v="2031-06-30T00:00:00"/>
    <x v="67"/>
    <d v="2031-06-30T00:00:00"/>
    <n v="3775.6415873419928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69"/>
    <m/>
    <d v="2031-07-31T00:00:00"/>
    <x v="68"/>
    <d v="2031-07-31T00:00:00"/>
    <n v="3742.37943035455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CORE"/>
    <m/>
    <n v="70"/>
    <m/>
    <d v="2031-08-31T00:00:00"/>
    <x v="69"/>
    <d v="2031-08-31T00:00:00"/>
    <n v="418583.36014652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9"/>
    <s v="MT_R13_CTA. AHORRO G.INC_CORE"/>
    <m/>
    <m/>
    <m/>
    <d v="2025-10-07T00:00:00"/>
    <x v="74"/>
    <d v="2025-10-07T00:00:00"/>
    <n v="773538.5345916806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6"/>
    <s v="MT_R13_CTA. AHORRO G.INC_NONCORE"/>
    <m/>
    <m/>
    <m/>
    <d v="2025-10-07T00:00:00"/>
    <x v="74"/>
    <d v="2025-10-07T00:00:00"/>
    <n v="331516.5148250060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0"/>
    <s v="MT_R13_CTA. AHORRO G.INC_NONCORE"/>
    <m/>
    <m/>
    <m/>
    <d v="2025-10-07T00:00:00"/>
    <x v="74"/>
    <d v="2025-10-07T00:00:00"/>
    <n v="331516.5148250060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"/>
    <m/>
    <d v="2025-10-31T00:00:00"/>
    <x v="109"/>
    <d v="2025-10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"/>
    <m/>
    <d v="2025-11-30T00:00:00"/>
    <x v="0"/>
    <d v="2025-11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"/>
    <m/>
    <d v="2025-12-31T00:00:00"/>
    <x v="1"/>
    <d v="2025-12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4"/>
    <m/>
    <d v="2026-01-31T00:00:00"/>
    <x v="2"/>
    <d v="2026-01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5"/>
    <m/>
    <d v="2026-02-28T00:00:00"/>
    <x v="3"/>
    <d v="2026-02-28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6"/>
    <m/>
    <d v="2026-03-31T00:00:00"/>
    <x v="4"/>
    <d v="2026-03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7"/>
    <m/>
    <d v="2026-04-30T00:00:00"/>
    <x v="5"/>
    <d v="2026-04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8"/>
    <m/>
    <d v="2026-05-31T00:00:00"/>
    <x v="6"/>
    <d v="2026-05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9"/>
    <m/>
    <d v="2026-06-30T00:00:00"/>
    <x v="7"/>
    <d v="2026-06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0"/>
    <m/>
    <d v="2026-07-31T00:00:00"/>
    <x v="8"/>
    <d v="2026-07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1"/>
    <m/>
    <d v="2026-08-31T00:00:00"/>
    <x v="9"/>
    <d v="2026-08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2"/>
    <m/>
    <d v="2026-09-30T00:00:00"/>
    <x v="10"/>
    <d v="2026-09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3"/>
    <m/>
    <d v="2026-10-31T00:00:00"/>
    <x v="11"/>
    <d v="2026-10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4"/>
    <m/>
    <d v="2026-11-30T00:00:00"/>
    <x v="12"/>
    <d v="2026-11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5"/>
    <m/>
    <d v="2026-12-31T00:00:00"/>
    <x v="13"/>
    <d v="2026-12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6"/>
    <m/>
    <d v="2027-01-31T00:00:00"/>
    <x v="14"/>
    <d v="2027-01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7"/>
    <m/>
    <d v="2027-02-28T00:00:00"/>
    <x v="15"/>
    <d v="2027-02-28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8"/>
    <m/>
    <d v="2027-03-31T00:00:00"/>
    <x v="16"/>
    <d v="2027-03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19"/>
    <m/>
    <d v="2027-04-30T00:00:00"/>
    <x v="17"/>
    <d v="2027-04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0"/>
    <m/>
    <d v="2027-05-31T00:00:00"/>
    <x v="18"/>
    <d v="2027-05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1"/>
    <m/>
    <d v="2027-06-30T00:00:00"/>
    <x v="19"/>
    <d v="2027-06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2"/>
    <m/>
    <d v="2027-07-31T00:00:00"/>
    <x v="20"/>
    <d v="2027-07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3"/>
    <m/>
    <d v="2027-08-31T00:00:00"/>
    <x v="21"/>
    <d v="2027-08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4"/>
    <m/>
    <d v="2027-09-30T00:00:00"/>
    <x v="22"/>
    <d v="2027-09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5"/>
    <m/>
    <d v="2027-10-31T00:00:00"/>
    <x v="23"/>
    <d v="2027-10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6"/>
    <m/>
    <d v="2027-11-30T00:00:00"/>
    <x v="24"/>
    <d v="2027-11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7"/>
    <m/>
    <d v="2027-12-31T00:00:00"/>
    <x v="25"/>
    <d v="2027-12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8"/>
    <m/>
    <d v="2028-01-31T00:00:00"/>
    <x v="26"/>
    <d v="2028-01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29"/>
    <m/>
    <d v="2028-02-29T00:00:00"/>
    <x v="27"/>
    <d v="2028-02-29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0"/>
    <m/>
    <d v="2028-03-31T00:00:00"/>
    <x v="28"/>
    <d v="2028-03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1"/>
    <m/>
    <d v="2028-04-30T00:00:00"/>
    <x v="29"/>
    <d v="2028-04-30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2"/>
    <m/>
    <d v="2028-05-31T00:00:00"/>
    <x v="30"/>
    <d v="2028-05-31T00:00:00"/>
    <n v="36011519040.94970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3"/>
    <m/>
    <d v="2028-06-30T00:00:00"/>
    <x v="31"/>
    <d v="2028-06-30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4"/>
    <m/>
    <d v="2028-07-31T00:00:00"/>
    <x v="32"/>
    <d v="2028-07-31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5"/>
    <m/>
    <d v="2028-08-31T00:00:00"/>
    <x v="33"/>
    <d v="2028-08-31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6"/>
    <m/>
    <d v="2028-09-30T00:00:00"/>
    <x v="34"/>
    <d v="2028-09-30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7"/>
    <m/>
    <d v="2028-10-31T00:00:00"/>
    <x v="35"/>
    <d v="2028-10-31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8"/>
    <m/>
    <d v="2028-11-30T00:00:00"/>
    <x v="36"/>
    <d v="2028-11-30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39"/>
    <m/>
    <d v="2028-12-31T00:00:00"/>
    <x v="37"/>
    <d v="2028-12-31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40"/>
    <m/>
    <d v="2029-01-31T00:00:00"/>
    <x v="38"/>
    <d v="2029-01-31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41"/>
    <m/>
    <d v="2029-02-28T00:00:00"/>
    <x v="39"/>
    <d v="2029-02-28T00:00:00"/>
    <n v="3459166099.77324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_CORE_CORE"/>
    <m/>
    <n v="42"/>
    <m/>
    <d v="2029-03-31T00:00:00"/>
    <x v="40"/>
    <d v="2029-03-31T00:00:00"/>
    <n v="1255895791.649992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1"/>
    <s v="CTA. CORRIENTE PERSONAS"/>
    <m/>
    <m/>
    <m/>
    <d v="2025-10-07T00:00:00"/>
    <x v="74"/>
    <d v="2025-10-07T00:00:00"/>
    <n v="249938502783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"/>
    <m/>
    <d v="2025-10-31T00:00:00"/>
    <x v="109"/>
    <d v="2025-10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"/>
    <m/>
    <d v="2025-11-30T00:00:00"/>
    <x v="0"/>
    <d v="2025-11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"/>
    <m/>
    <d v="2025-12-31T00:00:00"/>
    <x v="1"/>
    <d v="2025-12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4"/>
    <m/>
    <d v="2026-01-31T00:00:00"/>
    <x v="2"/>
    <d v="2026-01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5"/>
    <m/>
    <d v="2026-02-28T00:00:00"/>
    <x v="3"/>
    <d v="2026-02-28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6"/>
    <m/>
    <d v="2026-03-31T00:00:00"/>
    <x v="4"/>
    <d v="2026-03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7"/>
    <m/>
    <d v="2026-04-30T00:00:00"/>
    <x v="5"/>
    <d v="2026-04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8"/>
    <m/>
    <d v="2026-05-31T00:00:00"/>
    <x v="6"/>
    <d v="2026-05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9"/>
    <m/>
    <d v="2026-06-30T00:00:00"/>
    <x v="7"/>
    <d v="2026-06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0"/>
    <m/>
    <d v="2026-07-31T00:00:00"/>
    <x v="8"/>
    <d v="2026-07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1"/>
    <m/>
    <d v="2026-08-31T00:00:00"/>
    <x v="9"/>
    <d v="2026-08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2"/>
    <m/>
    <d v="2026-09-30T00:00:00"/>
    <x v="10"/>
    <d v="2026-09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3"/>
    <m/>
    <d v="2026-10-31T00:00:00"/>
    <x v="11"/>
    <d v="2026-10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4"/>
    <m/>
    <d v="2026-11-30T00:00:00"/>
    <x v="12"/>
    <d v="2026-11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5"/>
    <m/>
    <d v="2026-12-31T00:00:00"/>
    <x v="13"/>
    <d v="2026-12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6"/>
    <m/>
    <d v="2027-01-31T00:00:00"/>
    <x v="14"/>
    <d v="2027-01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7"/>
    <m/>
    <d v="2027-02-28T00:00:00"/>
    <x v="15"/>
    <d v="2027-02-28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8"/>
    <m/>
    <d v="2027-03-31T00:00:00"/>
    <x v="16"/>
    <d v="2027-03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19"/>
    <m/>
    <d v="2027-04-30T00:00:00"/>
    <x v="17"/>
    <d v="2027-04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0"/>
    <m/>
    <d v="2027-05-31T00:00:00"/>
    <x v="18"/>
    <d v="2027-05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1"/>
    <m/>
    <d v="2027-06-30T00:00:00"/>
    <x v="19"/>
    <d v="2027-06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2"/>
    <m/>
    <d v="2027-07-31T00:00:00"/>
    <x v="20"/>
    <d v="2027-07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3"/>
    <m/>
    <d v="2027-08-31T00:00:00"/>
    <x v="21"/>
    <d v="2027-08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4"/>
    <m/>
    <d v="2027-09-30T00:00:00"/>
    <x v="22"/>
    <d v="2027-09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5"/>
    <m/>
    <d v="2027-10-31T00:00:00"/>
    <x v="23"/>
    <d v="2027-10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6"/>
    <m/>
    <d v="2027-11-30T00:00:00"/>
    <x v="24"/>
    <d v="2027-11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7"/>
    <m/>
    <d v="2027-12-31T00:00:00"/>
    <x v="25"/>
    <d v="2027-12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8"/>
    <m/>
    <d v="2028-01-31T00:00:00"/>
    <x v="26"/>
    <d v="2028-01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29"/>
    <m/>
    <d v="2028-02-29T00:00:00"/>
    <x v="27"/>
    <d v="2028-02-29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0"/>
    <m/>
    <d v="2028-03-31T00:00:00"/>
    <x v="28"/>
    <d v="2028-03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1"/>
    <m/>
    <d v="2028-04-30T00:00:00"/>
    <x v="29"/>
    <d v="2028-04-30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2"/>
    <m/>
    <d v="2028-05-31T00:00:00"/>
    <x v="30"/>
    <d v="2028-05-31T00:00:00"/>
    <n v="3833994024.276377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3"/>
    <m/>
    <d v="2028-06-30T00:00:00"/>
    <x v="31"/>
    <d v="2028-06-30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4"/>
    <m/>
    <d v="2028-07-31T00:00:00"/>
    <x v="32"/>
    <d v="2028-07-31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5"/>
    <m/>
    <d v="2028-08-31T00:00:00"/>
    <x v="33"/>
    <d v="2028-08-31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6"/>
    <m/>
    <d v="2028-09-30T00:00:00"/>
    <x v="34"/>
    <d v="2028-09-30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7"/>
    <m/>
    <d v="2028-10-31T00:00:00"/>
    <x v="35"/>
    <d v="2028-10-31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8"/>
    <m/>
    <d v="2028-11-30T00:00:00"/>
    <x v="36"/>
    <d v="2028-11-30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39"/>
    <m/>
    <d v="2028-12-31T00:00:00"/>
    <x v="37"/>
    <d v="2028-12-31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40"/>
    <m/>
    <d v="2029-01-31T00:00:00"/>
    <x v="38"/>
    <d v="2029-01-31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41"/>
    <m/>
    <d v="2029-02-28T00:00:00"/>
    <x v="39"/>
    <d v="2029-02-28T00:00:00"/>
    <n v="260558730.1587300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_CORE_CORE"/>
    <m/>
    <n v="42"/>
    <m/>
    <d v="2029-03-31T00:00:00"/>
    <x v="40"/>
    <d v="2029-03-31T00:00:00"/>
    <n v="89162651.72735761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P"/>
    <s v="CLP"/>
    <m/>
    <x v="12"/>
    <s v="CTA. VISTA"/>
    <m/>
    <m/>
    <m/>
    <d v="2025-10-07T00:00:00"/>
    <x v="74"/>
    <d v="2025-10-07T00:00:00"/>
    <n v="3787581273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"/>
    <m/>
    <d v="2025-10-31T00:00:00"/>
    <x v="109"/>
    <d v="2025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"/>
    <m/>
    <d v="2025-11-30T00:00:00"/>
    <x v="0"/>
    <d v="2025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"/>
    <m/>
    <d v="2025-12-31T00:00:00"/>
    <x v="1"/>
    <d v="2025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"/>
    <m/>
    <d v="2026-01-31T00:00:00"/>
    <x v="2"/>
    <d v="2026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"/>
    <m/>
    <d v="2026-02-28T00:00:00"/>
    <x v="3"/>
    <d v="2026-02-28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"/>
    <m/>
    <d v="2026-03-31T00:00:00"/>
    <x v="4"/>
    <d v="2026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"/>
    <m/>
    <d v="2026-04-30T00:00:00"/>
    <x v="5"/>
    <d v="2026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"/>
    <m/>
    <d v="2026-05-31T00:00:00"/>
    <x v="6"/>
    <d v="2026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"/>
    <m/>
    <d v="2026-06-30T00:00:00"/>
    <x v="7"/>
    <d v="2026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"/>
    <m/>
    <d v="2026-07-31T00:00:00"/>
    <x v="8"/>
    <d v="2026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"/>
    <m/>
    <d v="2026-08-31T00:00:00"/>
    <x v="9"/>
    <d v="2026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"/>
    <m/>
    <d v="2026-09-30T00:00:00"/>
    <x v="10"/>
    <d v="2026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"/>
    <m/>
    <d v="2026-10-31T00:00:00"/>
    <x v="11"/>
    <d v="2026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"/>
    <m/>
    <d v="2026-11-30T00:00:00"/>
    <x v="12"/>
    <d v="2026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"/>
    <m/>
    <d v="2026-12-31T00:00:00"/>
    <x v="13"/>
    <d v="2026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"/>
    <m/>
    <d v="2027-01-31T00:00:00"/>
    <x v="14"/>
    <d v="2027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"/>
    <m/>
    <d v="2027-02-28T00:00:00"/>
    <x v="15"/>
    <d v="2027-02-28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"/>
    <m/>
    <d v="2027-03-31T00:00:00"/>
    <x v="16"/>
    <d v="2027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"/>
    <m/>
    <d v="2027-04-30T00:00:00"/>
    <x v="17"/>
    <d v="2027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0"/>
    <m/>
    <d v="2027-05-31T00:00:00"/>
    <x v="18"/>
    <d v="2027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1"/>
    <m/>
    <d v="2027-06-30T00:00:00"/>
    <x v="19"/>
    <d v="2027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2"/>
    <m/>
    <d v="2027-07-31T00:00:00"/>
    <x v="20"/>
    <d v="2027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3"/>
    <m/>
    <d v="2027-08-31T00:00:00"/>
    <x v="21"/>
    <d v="2027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4"/>
    <m/>
    <d v="2027-09-30T00:00:00"/>
    <x v="22"/>
    <d v="2027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5"/>
    <m/>
    <d v="2027-10-31T00:00:00"/>
    <x v="23"/>
    <d v="2027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6"/>
    <m/>
    <d v="2027-11-30T00:00:00"/>
    <x v="24"/>
    <d v="2027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7"/>
    <m/>
    <d v="2027-12-31T00:00:00"/>
    <x v="25"/>
    <d v="2027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8"/>
    <m/>
    <d v="2028-01-31T00:00:00"/>
    <x v="26"/>
    <d v="2028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9"/>
    <m/>
    <d v="2028-02-29T00:00:00"/>
    <x v="27"/>
    <d v="2028-02-29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0"/>
    <m/>
    <d v="2028-03-31T00:00:00"/>
    <x v="28"/>
    <d v="2028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1"/>
    <m/>
    <d v="2028-04-30T00:00:00"/>
    <x v="29"/>
    <d v="2028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2"/>
    <m/>
    <d v="2028-05-31T00:00:00"/>
    <x v="30"/>
    <d v="2028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3"/>
    <m/>
    <d v="2028-06-30T00:00:00"/>
    <x v="31"/>
    <d v="2028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4"/>
    <m/>
    <d v="2028-07-31T00:00:00"/>
    <x v="32"/>
    <d v="2028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5"/>
    <m/>
    <d v="2028-08-31T00:00:00"/>
    <x v="33"/>
    <d v="2028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6"/>
    <m/>
    <d v="2028-09-30T00:00:00"/>
    <x v="34"/>
    <d v="2028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7"/>
    <m/>
    <d v="2028-10-31T00:00:00"/>
    <x v="35"/>
    <d v="2028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8"/>
    <m/>
    <d v="2028-11-30T00:00:00"/>
    <x v="36"/>
    <d v="2028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39"/>
    <m/>
    <d v="2028-12-31T00:00:00"/>
    <x v="37"/>
    <d v="2028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0"/>
    <m/>
    <d v="2029-01-31T00:00:00"/>
    <x v="38"/>
    <d v="2029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1"/>
    <m/>
    <d v="2029-02-28T00:00:00"/>
    <x v="39"/>
    <d v="2029-02-28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2"/>
    <m/>
    <d v="2029-03-31T00:00:00"/>
    <x v="40"/>
    <d v="2029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3"/>
    <m/>
    <d v="2029-04-30T00:00:00"/>
    <x v="41"/>
    <d v="2029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4"/>
    <m/>
    <d v="2029-05-31T00:00:00"/>
    <x v="42"/>
    <d v="2029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5"/>
    <m/>
    <d v="2029-06-30T00:00:00"/>
    <x v="43"/>
    <d v="2029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6"/>
    <m/>
    <d v="2029-07-31T00:00:00"/>
    <x v="44"/>
    <d v="2029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7"/>
    <m/>
    <d v="2029-08-31T00:00:00"/>
    <x v="45"/>
    <d v="2029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8"/>
    <m/>
    <d v="2029-09-30T00:00:00"/>
    <x v="46"/>
    <d v="2029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49"/>
    <m/>
    <d v="2029-10-31T00:00:00"/>
    <x v="47"/>
    <d v="2029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0"/>
    <m/>
    <d v="2029-11-30T00:00:00"/>
    <x v="48"/>
    <d v="2029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1"/>
    <m/>
    <d v="2029-12-31T00:00:00"/>
    <x v="49"/>
    <d v="2029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2"/>
    <m/>
    <d v="2030-01-31T00:00:00"/>
    <x v="50"/>
    <d v="2030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3"/>
    <m/>
    <d v="2030-02-28T00:00:00"/>
    <x v="51"/>
    <d v="2030-02-28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4"/>
    <m/>
    <d v="2030-03-31T00:00:00"/>
    <x v="52"/>
    <d v="2030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5"/>
    <m/>
    <d v="2030-04-30T00:00:00"/>
    <x v="53"/>
    <d v="2030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6"/>
    <m/>
    <d v="2030-05-31T00:00:00"/>
    <x v="54"/>
    <d v="2030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7"/>
    <m/>
    <d v="2030-06-30T00:00:00"/>
    <x v="55"/>
    <d v="2030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8"/>
    <m/>
    <d v="2030-07-31T00:00:00"/>
    <x v="56"/>
    <d v="2030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59"/>
    <m/>
    <d v="2030-08-31T00:00:00"/>
    <x v="57"/>
    <d v="2030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0"/>
    <m/>
    <d v="2030-09-30T00:00:00"/>
    <x v="58"/>
    <d v="2030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1"/>
    <m/>
    <d v="2030-10-31T00:00:00"/>
    <x v="59"/>
    <d v="2030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2"/>
    <m/>
    <d v="2030-11-30T00:00:00"/>
    <x v="60"/>
    <d v="2030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3"/>
    <m/>
    <d v="2030-12-31T00:00:00"/>
    <x v="61"/>
    <d v="2030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4"/>
    <m/>
    <d v="2031-01-31T00:00:00"/>
    <x v="62"/>
    <d v="2031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5"/>
    <m/>
    <d v="2031-02-28T00:00:00"/>
    <x v="63"/>
    <d v="2031-02-28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6"/>
    <m/>
    <d v="2031-03-31T00:00:00"/>
    <x v="64"/>
    <d v="2031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7"/>
    <m/>
    <d v="2031-04-30T00:00:00"/>
    <x v="65"/>
    <d v="2031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8"/>
    <m/>
    <d v="2031-05-31T00:00:00"/>
    <x v="66"/>
    <d v="2031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69"/>
    <m/>
    <d v="2031-06-30T00:00:00"/>
    <x v="67"/>
    <d v="2031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0"/>
    <m/>
    <d v="2031-07-31T00:00:00"/>
    <x v="68"/>
    <d v="2031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1"/>
    <m/>
    <d v="2031-08-31T00:00:00"/>
    <x v="69"/>
    <d v="2031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2"/>
    <m/>
    <d v="2031-09-30T00:00:00"/>
    <x v="70"/>
    <d v="2031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3"/>
    <m/>
    <d v="2031-10-31T00:00:00"/>
    <x v="71"/>
    <d v="2031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4"/>
    <m/>
    <d v="2031-11-30T00:00:00"/>
    <x v="72"/>
    <d v="2031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5"/>
    <m/>
    <d v="2031-12-31T00:00:00"/>
    <x v="73"/>
    <d v="2031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6"/>
    <m/>
    <d v="2032-01-31T00:00:00"/>
    <x v="75"/>
    <d v="2032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7"/>
    <m/>
    <d v="2032-02-29T00:00:00"/>
    <x v="76"/>
    <d v="2032-02-29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8"/>
    <m/>
    <d v="2032-03-31T00:00:00"/>
    <x v="77"/>
    <d v="2032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79"/>
    <m/>
    <d v="2032-04-30T00:00:00"/>
    <x v="78"/>
    <d v="2032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0"/>
    <m/>
    <d v="2032-05-31T00:00:00"/>
    <x v="79"/>
    <d v="2032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1"/>
    <m/>
    <d v="2032-06-30T00:00:00"/>
    <x v="80"/>
    <d v="2032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2"/>
    <m/>
    <d v="2032-07-31T00:00:00"/>
    <x v="81"/>
    <d v="2032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3"/>
    <m/>
    <d v="2032-08-31T00:00:00"/>
    <x v="82"/>
    <d v="2032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4"/>
    <m/>
    <d v="2032-09-30T00:00:00"/>
    <x v="83"/>
    <d v="2032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5"/>
    <m/>
    <d v="2032-10-31T00:00:00"/>
    <x v="84"/>
    <d v="2032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6"/>
    <m/>
    <d v="2032-11-30T00:00:00"/>
    <x v="85"/>
    <d v="2032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7"/>
    <m/>
    <d v="2032-12-31T00:00:00"/>
    <x v="86"/>
    <d v="2032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8"/>
    <m/>
    <d v="2033-01-31T00:00:00"/>
    <x v="87"/>
    <d v="2033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89"/>
    <m/>
    <d v="2033-02-28T00:00:00"/>
    <x v="88"/>
    <d v="2033-02-28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0"/>
    <m/>
    <d v="2033-03-31T00:00:00"/>
    <x v="89"/>
    <d v="2033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1"/>
    <m/>
    <d v="2033-04-30T00:00:00"/>
    <x v="90"/>
    <d v="2033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2"/>
    <m/>
    <d v="2033-05-31T00:00:00"/>
    <x v="91"/>
    <d v="2033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3"/>
    <m/>
    <d v="2033-06-30T00:00:00"/>
    <x v="92"/>
    <d v="2033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4"/>
    <m/>
    <d v="2033-07-31T00:00:00"/>
    <x v="93"/>
    <d v="2033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5"/>
    <m/>
    <d v="2033-08-31T00:00:00"/>
    <x v="94"/>
    <d v="2033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6"/>
    <m/>
    <d v="2033-09-30T00:00:00"/>
    <x v="95"/>
    <d v="2033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7"/>
    <m/>
    <d v="2033-10-31T00:00:00"/>
    <x v="96"/>
    <d v="2033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8"/>
    <m/>
    <d v="2033-11-30T00:00:00"/>
    <x v="97"/>
    <d v="2033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99"/>
    <m/>
    <d v="2033-12-31T00:00:00"/>
    <x v="98"/>
    <d v="2033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0"/>
    <m/>
    <d v="2034-01-31T00:00:00"/>
    <x v="99"/>
    <d v="2034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1"/>
    <m/>
    <d v="2034-02-28T00:00:00"/>
    <x v="100"/>
    <d v="2034-02-28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2"/>
    <m/>
    <d v="2034-03-31T00:00:00"/>
    <x v="101"/>
    <d v="2034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3"/>
    <m/>
    <d v="2034-04-30T00:00:00"/>
    <x v="102"/>
    <d v="2034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4"/>
    <m/>
    <d v="2034-05-31T00:00:00"/>
    <x v="103"/>
    <d v="2034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5"/>
    <m/>
    <d v="2034-06-30T00:00:00"/>
    <x v="104"/>
    <d v="2034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6"/>
    <m/>
    <d v="2034-07-31T00:00:00"/>
    <x v="105"/>
    <d v="2034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7"/>
    <m/>
    <d v="2034-08-31T00:00:00"/>
    <x v="106"/>
    <d v="2034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8"/>
    <m/>
    <d v="2034-09-30T00:00:00"/>
    <x v="107"/>
    <d v="2034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09"/>
    <m/>
    <d v="2034-10-31T00:00:00"/>
    <x v="108"/>
    <d v="2034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0"/>
    <m/>
    <d v="2034-11-30T00:00:00"/>
    <x v="110"/>
    <d v="2034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1"/>
    <m/>
    <d v="2034-12-31T00:00:00"/>
    <x v="111"/>
    <d v="2034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2"/>
    <m/>
    <d v="2035-01-31T00:00:00"/>
    <x v="112"/>
    <d v="2035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3"/>
    <m/>
    <d v="2035-02-28T00:00:00"/>
    <x v="113"/>
    <d v="2035-02-28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4"/>
    <m/>
    <d v="2035-03-31T00:00:00"/>
    <x v="114"/>
    <d v="2035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5"/>
    <m/>
    <d v="2035-04-30T00:00:00"/>
    <x v="115"/>
    <d v="2035-04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6"/>
    <m/>
    <d v="2035-05-31T00:00:00"/>
    <x v="116"/>
    <d v="2035-05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7"/>
    <m/>
    <d v="2035-06-30T00:00:00"/>
    <x v="117"/>
    <d v="2035-06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8"/>
    <m/>
    <d v="2035-07-31T00:00:00"/>
    <x v="118"/>
    <d v="2035-07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19"/>
    <m/>
    <d v="2035-08-31T00:00:00"/>
    <x v="119"/>
    <d v="2035-08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0"/>
    <m/>
    <d v="2035-09-30T00:00:00"/>
    <x v="120"/>
    <d v="2035-09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1"/>
    <m/>
    <d v="2035-10-31T00:00:00"/>
    <x v="121"/>
    <d v="2035-10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2"/>
    <m/>
    <d v="2035-11-30T00:00:00"/>
    <x v="122"/>
    <d v="2035-11-30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3"/>
    <m/>
    <d v="2035-12-31T00:00:00"/>
    <x v="123"/>
    <d v="2035-12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4"/>
    <m/>
    <d v="2036-01-31T00:00:00"/>
    <x v="124"/>
    <d v="2036-01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5"/>
    <m/>
    <d v="2036-02-29T00:00:00"/>
    <x v="125"/>
    <d v="2036-02-29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6"/>
    <m/>
    <d v="2036-03-31T00:00:00"/>
    <x v="126"/>
    <d v="2036-03-31T00:00:00"/>
    <n v="26803.587027067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7"/>
    <m/>
    <d v="2036-04-30T00:00:00"/>
    <x v="127"/>
    <d v="2036-04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8"/>
    <m/>
    <d v="2036-05-31T00:00:00"/>
    <x v="128"/>
    <d v="2036-05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29"/>
    <m/>
    <d v="2036-06-30T00:00:00"/>
    <x v="129"/>
    <d v="2036-06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0"/>
    <m/>
    <d v="2036-07-31T00:00:00"/>
    <x v="130"/>
    <d v="2036-07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1"/>
    <m/>
    <d v="2036-08-31T00:00:00"/>
    <x v="131"/>
    <d v="2036-08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2"/>
    <m/>
    <d v="2036-09-30T00:00:00"/>
    <x v="132"/>
    <d v="2036-09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3"/>
    <m/>
    <d v="2036-10-31T00:00:00"/>
    <x v="133"/>
    <d v="2036-10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4"/>
    <m/>
    <d v="2036-11-30T00:00:00"/>
    <x v="134"/>
    <d v="2036-11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5"/>
    <m/>
    <d v="2036-12-31T00:00:00"/>
    <x v="135"/>
    <d v="2036-12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6"/>
    <m/>
    <d v="2037-01-31T00:00:00"/>
    <x v="136"/>
    <d v="2037-01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7"/>
    <m/>
    <d v="2037-02-28T00:00:00"/>
    <x v="137"/>
    <d v="2037-02-28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8"/>
    <m/>
    <d v="2037-03-31T00:00:00"/>
    <x v="138"/>
    <d v="2037-03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39"/>
    <m/>
    <d v="2037-04-30T00:00:00"/>
    <x v="139"/>
    <d v="2037-04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0"/>
    <m/>
    <d v="2037-05-31T00:00:00"/>
    <x v="140"/>
    <d v="2037-05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1"/>
    <m/>
    <d v="2037-06-30T00:00:00"/>
    <x v="141"/>
    <d v="2037-06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2"/>
    <m/>
    <d v="2037-07-31T00:00:00"/>
    <x v="142"/>
    <d v="2037-07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3"/>
    <m/>
    <d v="2037-08-31T00:00:00"/>
    <x v="143"/>
    <d v="2037-08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4"/>
    <m/>
    <d v="2037-09-30T00:00:00"/>
    <x v="144"/>
    <d v="2037-09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5"/>
    <m/>
    <d v="2037-10-31T00:00:00"/>
    <x v="145"/>
    <d v="2037-10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6"/>
    <m/>
    <d v="2037-11-30T00:00:00"/>
    <x v="146"/>
    <d v="2037-11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7"/>
    <m/>
    <d v="2037-12-31T00:00:00"/>
    <x v="147"/>
    <d v="2037-12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8"/>
    <m/>
    <d v="2038-01-31T00:00:00"/>
    <x v="148"/>
    <d v="2038-01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49"/>
    <m/>
    <d v="2038-02-28T00:00:00"/>
    <x v="149"/>
    <d v="2038-02-28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0"/>
    <m/>
    <d v="2038-03-31T00:00:00"/>
    <x v="150"/>
    <d v="2038-03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1"/>
    <m/>
    <d v="2038-04-30T00:00:00"/>
    <x v="151"/>
    <d v="2038-04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2"/>
    <m/>
    <d v="2038-05-31T00:00:00"/>
    <x v="152"/>
    <d v="2038-05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3"/>
    <m/>
    <d v="2038-06-30T00:00:00"/>
    <x v="153"/>
    <d v="2038-06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4"/>
    <m/>
    <d v="2038-07-31T00:00:00"/>
    <x v="154"/>
    <d v="2038-07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5"/>
    <m/>
    <d v="2038-08-31T00:00:00"/>
    <x v="155"/>
    <d v="2038-08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6"/>
    <m/>
    <d v="2038-09-30T00:00:00"/>
    <x v="156"/>
    <d v="2038-09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7"/>
    <m/>
    <d v="2038-10-31T00:00:00"/>
    <x v="157"/>
    <d v="2038-10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8"/>
    <m/>
    <d v="2038-11-30T00:00:00"/>
    <x v="158"/>
    <d v="2038-11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59"/>
    <m/>
    <d v="2038-12-31T00:00:00"/>
    <x v="159"/>
    <d v="2038-12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0"/>
    <m/>
    <d v="2039-01-31T00:00:00"/>
    <x v="160"/>
    <d v="2039-01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1"/>
    <m/>
    <d v="2039-02-28T00:00:00"/>
    <x v="161"/>
    <d v="2039-02-28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2"/>
    <m/>
    <d v="2039-03-31T00:00:00"/>
    <x v="162"/>
    <d v="2039-03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3"/>
    <m/>
    <d v="2039-04-30T00:00:00"/>
    <x v="163"/>
    <d v="2039-04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4"/>
    <m/>
    <d v="2039-05-31T00:00:00"/>
    <x v="164"/>
    <d v="2039-05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5"/>
    <m/>
    <d v="2039-06-30T00:00:00"/>
    <x v="165"/>
    <d v="2039-06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6"/>
    <m/>
    <d v="2039-07-31T00:00:00"/>
    <x v="166"/>
    <d v="2039-07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7"/>
    <m/>
    <d v="2039-08-31T00:00:00"/>
    <x v="167"/>
    <d v="2039-08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8"/>
    <m/>
    <d v="2039-09-30T00:00:00"/>
    <x v="168"/>
    <d v="2039-09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69"/>
    <m/>
    <d v="2039-10-31T00:00:00"/>
    <x v="169"/>
    <d v="2039-10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0"/>
    <m/>
    <d v="2039-11-30T00:00:00"/>
    <x v="170"/>
    <d v="2039-11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1"/>
    <m/>
    <d v="2039-12-31T00:00:00"/>
    <x v="171"/>
    <d v="2039-12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2"/>
    <m/>
    <d v="2040-01-31T00:00:00"/>
    <x v="172"/>
    <d v="2040-01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3"/>
    <m/>
    <d v="2040-02-29T00:00:00"/>
    <x v="173"/>
    <d v="2040-02-29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4"/>
    <m/>
    <d v="2040-03-31T00:00:00"/>
    <x v="174"/>
    <d v="2040-03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5"/>
    <m/>
    <d v="2040-04-30T00:00:00"/>
    <x v="175"/>
    <d v="2040-04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6"/>
    <m/>
    <d v="2040-05-31T00:00:00"/>
    <x v="176"/>
    <d v="2040-05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7"/>
    <m/>
    <d v="2040-06-30T00:00:00"/>
    <x v="177"/>
    <d v="2040-06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8"/>
    <m/>
    <d v="2040-07-31T00:00:00"/>
    <x v="178"/>
    <d v="2040-07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79"/>
    <m/>
    <d v="2040-08-31T00:00:00"/>
    <x v="179"/>
    <d v="2040-08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0"/>
    <m/>
    <d v="2040-09-30T00:00:00"/>
    <x v="180"/>
    <d v="2040-09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1"/>
    <m/>
    <d v="2040-10-31T00:00:00"/>
    <x v="181"/>
    <d v="2040-10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2"/>
    <m/>
    <d v="2040-11-30T00:00:00"/>
    <x v="182"/>
    <d v="2040-11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3"/>
    <m/>
    <d v="2040-12-31T00:00:00"/>
    <x v="183"/>
    <d v="2040-12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4"/>
    <m/>
    <d v="2041-01-31T00:00:00"/>
    <x v="184"/>
    <d v="2041-01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5"/>
    <m/>
    <d v="2041-02-28T00:00:00"/>
    <x v="185"/>
    <d v="2041-02-28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6"/>
    <m/>
    <d v="2041-03-31T00:00:00"/>
    <x v="186"/>
    <d v="2041-03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7"/>
    <m/>
    <d v="2041-04-30T00:00:00"/>
    <x v="187"/>
    <d v="2041-04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8"/>
    <m/>
    <d v="2041-05-31T00:00:00"/>
    <x v="188"/>
    <d v="2041-05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89"/>
    <m/>
    <d v="2041-06-30T00:00:00"/>
    <x v="189"/>
    <d v="2041-06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0"/>
    <m/>
    <d v="2041-07-31T00:00:00"/>
    <x v="190"/>
    <d v="2041-07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1"/>
    <m/>
    <d v="2041-08-31T00:00:00"/>
    <x v="191"/>
    <d v="2041-08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2"/>
    <m/>
    <d v="2041-09-30T00:00:00"/>
    <x v="192"/>
    <d v="2041-09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3"/>
    <m/>
    <d v="2041-10-31T00:00:00"/>
    <x v="193"/>
    <d v="2041-10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4"/>
    <m/>
    <d v="2041-11-30T00:00:00"/>
    <x v="194"/>
    <d v="2041-11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5"/>
    <m/>
    <d v="2041-12-31T00:00:00"/>
    <x v="195"/>
    <d v="2041-12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6"/>
    <m/>
    <d v="2042-01-31T00:00:00"/>
    <x v="196"/>
    <d v="2042-01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7"/>
    <m/>
    <d v="2042-02-28T00:00:00"/>
    <x v="197"/>
    <d v="2042-02-28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8"/>
    <m/>
    <d v="2042-03-31T00:00:00"/>
    <x v="198"/>
    <d v="2042-03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199"/>
    <m/>
    <d v="2042-04-30T00:00:00"/>
    <x v="199"/>
    <d v="2042-04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00"/>
    <m/>
    <d v="2042-05-31T00:00:00"/>
    <x v="200"/>
    <d v="2042-05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01"/>
    <m/>
    <d v="2042-06-30T00:00:00"/>
    <x v="201"/>
    <d v="2042-06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02"/>
    <m/>
    <d v="2042-07-31T00:00:00"/>
    <x v="202"/>
    <d v="2042-07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03"/>
    <m/>
    <d v="2042-08-31T00:00:00"/>
    <x v="203"/>
    <d v="2042-08-31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04"/>
    <m/>
    <d v="2042-09-30T00:00:00"/>
    <x v="204"/>
    <d v="2042-09-30T00:00:00"/>
    <n v="2193.1339020672222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_CORE_CORE"/>
    <m/>
    <n v="205"/>
    <m/>
    <d v="2042-10-31T00:00:00"/>
    <x v="205"/>
    <d v="2042-10-31T00:00:00"/>
    <n v="1123.590228286733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DIF"/>
    <m/>
    <m/>
    <m/>
    <d v="2025-10-07T00:00:00"/>
    <x v="74"/>
    <d v="2025-10-07T00:00:00"/>
    <n v="1108685.635996874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"/>
    <m/>
    <d v="2025-10-31T00:00:00"/>
    <x v="109"/>
    <d v="2025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"/>
    <m/>
    <d v="2025-11-30T00:00:00"/>
    <x v="0"/>
    <d v="2025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"/>
    <m/>
    <d v="2025-12-31T00:00:00"/>
    <x v="1"/>
    <d v="2025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"/>
    <m/>
    <d v="2026-01-31T00:00:00"/>
    <x v="2"/>
    <d v="2026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"/>
    <m/>
    <d v="2026-02-28T00:00:00"/>
    <x v="3"/>
    <d v="2026-02-28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"/>
    <m/>
    <d v="2026-03-31T00:00:00"/>
    <x v="4"/>
    <d v="2026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"/>
    <m/>
    <d v="2026-04-30T00:00:00"/>
    <x v="5"/>
    <d v="2026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"/>
    <m/>
    <d v="2026-05-31T00:00:00"/>
    <x v="6"/>
    <d v="2026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"/>
    <m/>
    <d v="2026-06-30T00:00:00"/>
    <x v="7"/>
    <d v="2026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"/>
    <m/>
    <d v="2026-07-31T00:00:00"/>
    <x v="8"/>
    <d v="2026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"/>
    <m/>
    <d v="2026-08-31T00:00:00"/>
    <x v="9"/>
    <d v="2026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"/>
    <m/>
    <d v="2026-09-30T00:00:00"/>
    <x v="10"/>
    <d v="2026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"/>
    <m/>
    <d v="2026-10-31T00:00:00"/>
    <x v="11"/>
    <d v="2026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"/>
    <m/>
    <d v="2026-11-30T00:00:00"/>
    <x v="12"/>
    <d v="2026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"/>
    <m/>
    <d v="2026-12-31T00:00:00"/>
    <x v="13"/>
    <d v="2026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"/>
    <m/>
    <d v="2027-01-31T00:00:00"/>
    <x v="14"/>
    <d v="2027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"/>
    <m/>
    <d v="2027-02-28T00:00:00"/>
    <x v="15"/>
    <d v="2027-02-28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"/>
    <m/>
    <d v="2027-03-31T00:00:00"/>
    <x v="16"/>
    <d v="2027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"/>
    <m/>
    <d v="2027-04-30T00:00:00"/>
    <x v="17"/>
    <d v="2027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0"/>
    <m/>
    <d v="2027-05-31T00:00:00"/>
    <x v="18"/>
    <d v="2027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1"/>
    <m/>
    <d v="2027-06-30T00:00:00"/>
    <x v="19"/>
    <d v="2027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2"/>
    <m/>
    <d v="2027-07-31T00:00:00"/>
    <x v="20"/>
    <d v="2027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3"/>
    <m/>
    <d v="2027-08-31T00:00:00"/>
    <x v="21"/>
    <d v="2027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4"/>
    <m/>
    <d v="2027-09-30T00:00:00"/>
    <x v="22"/>
    <d v="2027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5"/>
    <m/>
    <d v="2027-10-31T00:00:00"/>
    <x v="23"/>
    <d v="2027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6"/>
    <m/>
    <d v="2027-11-30T00:00:00"/>
    <x v="24"/>
    <d v="2027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7"/>
    <m/>
    <d v="2027-12-31T00:00:00"/>
    <x v="25"/>
    <d v="2027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8"/>
    <m/>
    <d v="2028-01-31T00:00:00"/>
    <x v="26"/>
    <d v="2028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9"/>
    <m/>
    <d v="2028-02-29T00:00:00"/>
    <x v="27"/>
    <d v="2028-02-29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0"/>
    <m/>
    <d v="2028-03-31T00:00:00"/>
    <x v="28"/>
    <d v="2028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1"/>
    <m/>
    <d v="2028-04-30T00:00:00"/>
    <x v="29"/>
    <d v="2028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2"/>
    <m/>
    <d v="2028-05-31T00:00:00"/>
    <x v="30"/>
    <d v="2028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3"/>
    <m/>
    <d v="2028-06-30T00:00:00"/>
    <x v="31"/>
    <d v="2028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4"/>
    <m/>
    <d v="2028-07-31T00:00:00"/>
    <x v="32"/>
    <d v="2028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5"/>
    <m/>
    <d v="2028-08-31T00:00:00"/>
    <x v="33"/>
    <d v="2028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6"/>
    <m/>
    <d v="2028-09-30T00:00:00"/>
    <x v="34"/>
    <d v="2028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7"/>
    <m/>
    <d v="2028-10-31T00:00:00"/>
    <x v="35"/>
    <d v="2028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8"/>
    <m/>
    <d v="2028-11-30T00:00:00"/>
    <x v="36"/>
    <d v="2028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39"/>
    <m/>
    <d v="2028-12-31T00:00:00"/>
    <x v="37"/>
    <d v="2028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0"/>
    <m/>
    <d v="2029-01-31T00:00:00"/>
    <x v="38"/>
    <d v="2029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1"/>
    <m/>
    <d v="2029-02-28T00:00:00"/>
    <x v="39"/>
    <d v="2029-02-28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2"/>
    <m/>
    <d v="2029-03-31T00:00:00"/>
    <x v="40"/>
    <d v="2029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3"/>
    <m/>
    <d v="2029-04-30T00:00:00"/>
    <x v="41"/>
    <d v="2029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4"/>
    <m/>
    <d v="2029-05-31T00:00:00"/>
    <x v="42"/>
    <d v="2029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5"/>
    <m/>
    <d v="2029-06-30T00:00:00"/>
    <x v="43"/>
    <d v="2029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6"/>
    <m/>
    <d v="2029-07-31T00:00:00"/>
    <x v="44"/>
    <d v="2029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7"/>
    <m/>
    <d v="2029-08-31T00:00:00"/>
    <x v="45"/>
    <d v="2029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8"/>
    <m/>
    <d v="2029-09-30T00:00:00"/>
    <x v="46"/>
    <d v="2029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49"/>
    <m/>
    <d v="2029-10-31T00:00:00"/>
    <x v="47"/>
    <d v="2029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0"/>
    <m/>
    <d v="2029-11-30T00:00:00"/>
    <x v="48"/>
    <d v="2029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1"/>
    <m/>
    <d v="2029-12-31T00:00:00"/>
    <x v="49"/>
    <d v="2029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2"/>
    <m/>
    <d v="2030-01-31T00:00:00"/>
    <x v="50"/>
    <d v="2030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3"/>
    <m/>
    <d v="2030-02-28T00:00:00"/>
    <x v="51"/>
    <d v="2030-02-28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4"/>
    <m/>
    <d v="2030-03-31T00:00:00"/>
    <x v="52"/>
    <d v="2030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5"/>
    <m/>
    <d v="2030-04-30T00:00:00"/>
    <x v="53"/>
    <d v="2030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6"/>
    <m/>
    <d v="2030-05-31T00:00:00"/>
    <x v="54"/>
    <d v="2030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7"/>
    <m/>
    <d v="2030-06-30T00:00:00"/>
    <x v="55"/>
    <d v="2030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8"/>
    <m/>
    <d v="2030-07-31T00:00:00"/>
    <x v="56"/>
    <d v="2030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59"/>
    <m/>
    <d v="2030-08-31T00:00:00"/>
    <x v="57"/>
    <d v="2030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0"/>
    <m/>
    <d v="2030-09-30T00:00:00"/>
    <x v="58"/>
    <d v="2030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1"/>
    <m/>
    <d v="2030-10-31T00:00:00"/>
    <x v="59"/>
    <d v="2030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2"/>
    <m/>
    <d v="2030-11-30T00:00:00"/>
    <x v="60"/>
    <d v="2030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3"/>
    <m/>
    <d v="2030-12-31T00:00:00"/>
    <x v="61"/>
    <d v="2030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4"/>
    <m/>
    <d v="2031-01-31T00:00:00"/>
    <x v="62"/>
    <d v="2031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5"/>
    <m/>
    <d v="2031-02-28T00:00:00"/>
    <x v="63"/>
    <d v="2031-02-28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6"/>
    <m/>
    <d v="2031-03-31T00:00:00"/>
    <x v="64"/>
    <d v="2031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7"/>
    <m/>
    <d v="2031-04-30T00:00:00"/>
    <x v="65"/>
    <d v="2031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8"/>
    <m/>
    <d v="2031-05-31T00:00:00"/>
    <x v="66"/>
    <d v="2031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69"/>
    <m/>
    <d v="2031-06-30T00:00:00"/>
    <x v="67"/>
    <d v="2031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0"/>
    <m/>
    <d v="2031-07-31T00:00:00"/>
    <x v="68"/>
    <d v="2031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1"/>
    <m/>
    <d v="2031-08-31T00:00:00"/>
    <x v="69"/>
    <d v="2031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2"/>
    <m/>
    <d v="2031-09-30T00:00:00"/>
    <x v="70"/>
    <d v="2031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3"/>
    <m/>
    <d v="2031-10-31T00:00:00"/>
    <x v="71"/>
    <d v="2031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4"/>
    <m/>
    <d v="2031-11-30T00:00:00"/>
    <x v="72"/>
    <d v="2031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5"/>
    <m/>
    <d v="2031-12-31T00:00:00"/>
    <x v="73"/>
    <d v="2031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6"/>
    <m/>
    <d v="2032-01-31T00:00:00"/>
    <x v="75"/>
    <d v="2032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7"/>
    <m/>
    <d v="2032-02-29T00:00:00"/>
    <x v="76"/>
    <d v="2032-02-29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8"/>
    <m/>
    <d v="2032-03-31T00:00:00"/>
    <x v="77"/>
    <d v="2032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79"/>
    <m/>
    <d v="2032-04-30T00:00:00"/>
    <x v="78"/>
    <d v="2032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0"/>
    <m/>
    <d v="2032-05-31T00:00:00"/>
    <x v="79"/>
    <d v="2032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1"/>
    <m/>
    <d v="2032-06-30T00:00:00"/>
    <x v="80"/>
    <d v="2032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2"/>
    <m/>
    <d v="2032-07-31T00:00:00"/>
    <x v="81"/>
    <d v="2032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3"/>
    <m/>
    <d v="2032-08-31T00:00:00"/>
    <x v="82"/>
    <d v="2032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4"/>
    <m/>
    <d v="2032-09-30T00:00:00"/>
    <x v="83"/>
    <d v="2032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5"/>
    <m/>
    <d v="2032-10-31T00:00:00"/>
    <x v="84"/>
    <d v="2032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6"/>
    <m/>
    <d v="2032-11-30T00:00:00"/>
    <x v="85"/>
    <d v="2032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7"/>
    <m/>
    <d v="2032-12-31T00:00:00"/>
    <x v="86"/>
    <d v="2032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8"/>
    <m/>
    <d v="2033-01-31T00:00:00"/>
    <x v="87"/>
    <d v="2033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89"/>
    <m/>
    <d v="2033-02-28T00:00:00"/>
    <x v="88"/>
    <d v="2033-02-28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0"/>
    <m/>
    <d v="2033-03-31T00:00:00"/>
    <x v="89"/>
    <d v="2033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1"/>
    <m/>
    <d v="2033-04-30T00:00:00"/>
    <x v="90"/>
    <d v="2033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2"/>
    <m/>
    <d v="2033-05-31T00:00:00"/>
    <x v="91"/>
    <d v="2033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3"/>
    <m/>
    <d v="2033-06-30T00:00:00"/>
    <x v="92"/>
    <d v="2033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4"/>
    <m/>
    <d v="2033-07-31T00:00:00"/>
    <x v="93"/>
    <d v="2033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5"/>
    <m/>
    <d v="2033-08-31T00:00:00"/>
    <x v="94"/>
    <d v="2033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6"/>
    <m/>
    <d v="2033-09-30T00:00:00"/>
    <x v="95"/>
    <d v="2033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7"/>
    <m/>
    <d v="2033-10-31T00:00:00"/>
    <x v="96"/>
    <d v="2033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8"/>
    <m/>
    <d v="2033-11-30T00:00:00"/>
    <x v="97"/>
    <d v="2033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99"/>
    <m/>
    <d v="2033-12-31T00:00:00"/>
    <x v="98"/>
    <d v="2033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0"/>
    <m/>
    <d v="2034-01-31T00:00:00"/>
    <x v="99"/>
    <d v="2034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1"/>
    <m/>
    <d v="2034-02-28T00:00:00"/>
    <x v="100"/>
    <d v="2034-02-28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2"/>
    <m/>
    <d v="2034-03-31T00:00:00"/>
    <x v="101"/>
    <d v="2034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3"/>
    <m/>
    <d v="2034-04-30T00:00:00"/>
    <x v="102"/>
    <d v="2034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4"/>
    <m/>
    <d v="2034-05-31T00:00:00"/>
    <x v="103"/>
    <d v="2034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5"/>
    <m/>
    <d v="2034-06-30T00:00:00"/>
    <x v="104"/>
    <d v="2034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6"/>
    <m/>
    <d v="2034-07-31T00:00:00"/>
    <x v="105"/>
    <d v="2034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7"/>
    <m/>
    <d v="2034-08-31T00:00:00"/>
    <x v="106"/>
    <d v="2034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8"/>
    <m/>
    <d v="2034-09-30T00:00:00"/>
    <x v="107"/>
    <d v="2034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09"/>
    <m/>
    <d v="2034-10-31T00:00:00"/>
    <x v="108"/>
    <d v="2034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0"/>
    <m/>
    <d v="2034-11-30T00:00:00"/>
    <x v="110"/>
    <d v="2034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1"/>
    <m/>
    <d v="2034-12-31T00:00:00"/>
    <x v="111"/>
    <d v="2034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2"/>
    <m/>
    <d v="2035-01-31T00:00:00"/>
    <x v="112"/>
    <d v="2035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3"/>
    <m/>
    <d v="2035-02-28T00:00:00"/>
    <x v="113"/>
    <d v="2035-02-28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4"/>
    <m/>
    <d v="2035-03-31T00:00:00"/>
    <x v="114"/>
    <d v="2035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5"/>
    <m/>
    <d v="2035-04-30T00:00:00"/>
    <x v="115"/>
    <d v="2035-04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6"/>
    <m/>
    <d v="2035-05-31T00:00:00"/>
    <x v="116"/>
    <d v="2035-05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7"/>
    <m/>
    <d v="2035-06-30T00:00:00"/>
    <x v="117"/>
    <d v="2035-06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8"/>
    <m/>
    <d v="2035-07-31T00:00:00"/>
    <x v="118"/>
    <d v="2035-07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19"/>
    <m/>
    <d v="2035-08-31T00:00:00"/>
    <x v="119"/>
    <d v="2035-08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0"/>
    <m/>
    <d v="2035-09-30T00:00:00"/>
    <x v="120"/>
    <d v="2035-09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1"/>
    <m/>
    <d v="2035-10-31T00:00:00"/>
    <x v="121"/>
    <d v="2035-10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2"/>
    <m/>
    <d v="2035-11-30T00:00:00"/>
    <x v="122"/>
    <d v="2035-11-30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3"/>
    <m/>
    <d v="2035-12-31T00:00:00"/>
    <x v="123"/>
    <d v="2035-12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4"/>
    <m/>
    <d v="2036-01-31T00:00:00"/>
    <x v="124"/>
    <d v="2036-01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5"/>
    <m/>
    <d v="2036-02-29T00:00:00"/>
    <x v="125"/>
    <d v="2036-02-29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6"/>
    <m/>
    <d v="2036-03-31T00:00:00"/>
    <x v="126"/>
    <d v="2036-03-31T00:00:00"/>
    <n v="8390.977733491969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7"/>
    <m/>
    <d v="2036-04-30T00:00:00"/>
    <x v="127"/>
    <d v="2036-04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8"/>
    <m/>
    <d v="2036-05-31T00:00:00"/>
    <x v="128"/>
    <d v="2036-05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29"/>
    <m/>
    <d v="2036-06-30T00:00:00"/>
    <x v="129"/>
    <d v="2036-06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0"/>
    <m/>
    <d v="2036-07-31T00:00:00"/>
    <x v="130"/>
    <d v="2036-07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1"/>
    <m/>
    <d v="2036-08-31T00:00:00"/>
    <x v="131"/>
    <d v="2036-08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2"/>
    <m/>
    <d v="2036-09-30T00:00:00"/>
    <x v="132"/>
    <d v="2036-09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3"/>
    <m/>
    <d v="2036-10-31T00:00:00"/>
    <x v="133"/>
    <d v="2036-10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4"/>
    <m/>
    <d v="2036-11-30T00:00:00"/>
    <x v="134"/>
    <d v="2036-11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5"/>
    <m/>
    <d v="2036-12-31T00:00:00"/>
    <x v="135"/>
    <d v="2036-12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6"/>
    <m/>
    <d v="2037-01-31T00:00:00"/>
    <x v="136"/>
    <d v="2037-01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7"/>
    <m/>
    <d v="2037-02-28T00:00:00"/>
    <x v="137"/>
    <d v="2037-02-28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8"/>
    <m/>
    <d v="2037-03-31T00:00:00"/>
    <x v="138"/>
    <d v="2037-03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39"/>
    <m/>
    <d v="2037-04-30T00:00:00"/>
    <x v="139"/>
    <d v="2037-04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0"/>
    <m/>
    <d v="2037-05-31T00:00:00"/>
    <x v="140"/>
    <d v="2037-05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1"/>
    <m/>
    <d v="2037-06-30T00:00:00"/>
    <x v="141"/>
    <d v="2037-06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2"/>
    <m/>
    <d v="2037-07-31T00:00:00"/>
    <x v="142"/>
    <d v="2037-07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3"/>
    <m/>
    <d v="2037-08-31T00:00:00"/>
    <x v="143"/>
    <d v="2037-08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4"/>
    <m/>
    <d v="2037-09-30T00:00:00"/>
    <x v="144"/>
    <d v="2037-09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5"/>
    <m/>
    <d v="2037-10-31T00:00:00"/>
    <x v="145"/>
    <d v="2037-10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6"/>
    <m/>
    <d v="2037-11-30T00:00:00"/>
    <x v="146"/>
    <d v="2037-11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7"/>
    <m/>
    <d v="2037-12-31T00:00:00"/>
    <x v="147"/>
    <d v="2037-12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8"/>
    <m/>
    <d v="2038-01-31T00:00:00"/>
    <x v="148"/>
    <d v="2038-01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49"/>
    <m/>
    <d v="2038-02-28T00:00:00"/>
    <x v="149"/>
    <d v="2038-02-28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0"/>
    <m/>
    <d v="2038-03-31T00:00:00"/>
    <x v="150"/>
    <d v="2038-03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1"/>
    <m/>
    <d v="2038-04-30T00:00:00"/>
    <x v="151"/>
    <d v="2038-04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2"/>
    <m/>
    <d v="2038-05-31T00:00:00"/>
    <x v="152"/>
    <d v="2038-05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3"/>
    <m/>
    <d v="2038-06-30T00:00:00"/>
    <x v="153"/>
    <d v="2038-06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4"/>
    <m/>
    <d v="2038-07-31T00:00:00"/>
    <x v="154"/>
    <d v="2038-07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5"/>
    <m/>
    <d v="2038-08-31T00:00:00"/>
    <x v="155"/>
    <d v="2038-08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6"/>
    <m/>
    <d v="2038-09-30T00:00:00"/>
    <x v="156"/>
    <d v="2038-09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7"/>
    <m/>
    <d v="2038-10-31T00:00:00"/>
    <x v="157"/>
    <d v="2038-10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8"/>
    <m/>
    <d v="2038-11-30T00:00:00"/>
    <x v="158"/>
    <d v="2038-11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59"/>
    <m/>
    <d v="2038-12-31T00:00:00"/>
    <x v="159"/>
    <d v="2038-12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0"/>
    <m/>
    <d v="2039-01-31T00:00:00"/>
    <x v="160"/>
    <d v="2039-01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1"/>
    <m/>
    <d v="2039-02-28T00:00:00"/>
    <x v="161"/>
    <d v="2039-02-28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2"/>
    <m/>
    <d v="2039-03-31T00:00:00"/>
    <x v="162"/>
    <d v="2039-03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3"/>
    <m/>
    <d v="2039-04-30T00:00:00"/>
    <x v="163"/>
    <d v="2039-04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4"/>
    <m/>
    <d v="2039-05-31T00:00:00"/>
    <x v="164"/>
    <d v="2039-05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5"/>
    <m/>
    <d v="2039-06-30T00:00:00"/>
    <x v="165"/>
    <d v="2039-06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6"/>
    <m/>
    <d v="2039-07-31T00:00:00"/>
    <x v="166"/>
    <d v="2039-07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7"/>
    <m/>
    <d v="2039-08-31T00:00:00"/>
    <x v="167"/>
    <d v="2039-08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8"/>
    <m/>
    <d v="2039-09-30T00:00:00"/>
    <x v="168"/>
    <d v="2039-09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69"/>
    <m/>
    <d v="2039-10-31T00:00:00"/>
    <x v="169"/>
    <d v="2039-10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0"/>
    <m/>
    <d v="2039-11-30T00:00:00"/>
    <x v="170"/>
    <d v="2039-11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1"/>
    <m/>
    <d v="2039-12-31T00:00:00"/>
    <x v="171"/>
    <d v="2039-12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2"/>
    <m/>
    <d v="2040-01-31T00:00:00"/>
    <x v="172"/>
    <d v="2040-01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3"/>
    <m/>
    <d v="2040-02-29T00:00:00"/>
    <x v="173"/>
    <d v="2040-02-29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4"/>
    <m/>
    <d v="2040-03-31T00:00:00"/>
    <x v="174"/>
    <d v="2040-03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5"/>
    <m/>
    <d v="2040-04-30T00:00:00"/>
    <x v="175"/>
    <d v="2040-04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6"/>
    <m/>
    <d v="2040-05-31T00:00:00"/>
    <x v="176"/>
    <d v="2040-05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7"/>
    <m/>
    <d v="2040-06-30T00:00:00"/>
    <x v="177"/>
    <d v="2040-06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8"/>
    <m/>
    <d v="2040-07-31T00:00:00"/>
    <x v="178"/>
    <d v="2040-07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79"/>
    <m/>
    <d v="2040-08-31T00:00:00"/>
    <x v="179"/>
    <d v="2040-08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0"/>
    <m/>
    <d v="2040-09-30T00:00:00"/>
    <x v="180"/>
    <d v="2040-09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1"/>
    <m/>
    <d v="2040-10-31T00:00:00"/>
    <x v="181"/>
    <d v="2040-10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2"/>
    <m/>
    <d v="2040-11-30T00:00:00"/>
    <x v="182"/>
    <d v="2040-11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3"/>
    <m/>
    <d v="2040-12-31T00:00:00"/>
    <x v="183"/>
    <d v="2040-12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4"/>
    <m/>
    <d v="2041-01-31T00:00:00"/>
    <x v="184"/>
    <d v="2041-01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5"/>
    <m/>
    <d v="2041-02-28T00:00:00"/>
    <x v="185"/>
    <d v="2041-02-28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6"/>
    <m/>
    <d v="2041-03-31T00:00:00"/>
    <x v="186"/>
    <d v="2041-03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7"/>
    <m/>
    <d v="2041-04-30T00:00:00"/>
    <x v="187"/>
    <d v="2041-04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8"/>
    <m/>
    <d v="2041-05-31T00:00:00"/>
    <x v="188"/>
    <d v="2041-05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89"/>
    <m/>
    <d v="2041-06-30T00:00:00"/>
    <x v="189"/>
    <d v="2041-06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0"/>
    <m/>
    <d v="2041-07-31T00:00:00"/>
    <x v="190"/>
    <d v="2041-07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1"/>
    <m/>
    <d v="2041-08-31T00:00:00"/>
    <x v="191"/>
    <d v="2041-08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2"/>
    <m/>
    <d v="2041-09-30T00:00:00"/>
    <x v="192"/>
    <d v="2041-09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3"/>
    <m/>
    <d v="2041-10-31T00:00:00"/>
    <x v="193"/>
    <d v="2041-10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4"/>
    <m/>
    <d v="2041-11-30T00:00:00"/>
    <x v="194"/>
    <d v="2041-11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5"/>
    <m/>
    <d v="2041-12-31T00:00:00"/>
    <x v="195"/>
    <d v="2041-12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6"/>
    <m/>
    <d v="2042-01-31T00:00:00"/>
    <x v="196"/>
    <d v="2042-01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7"/>
    <m/>
    <d v="2042-02-28T00:00:00"/>
    <x v="197"/>
    <d v="2042-02-28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8"/>
    <m/>
    <d v="2042-03-31T00:00:00"/>
    <x v="198"/>
    <d v="2042-03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199"/>
    <m/>
    <d v="2042-04-30T00:00:00"/>
    <x v="199"/>
    <d v="2042-04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00"/>
    <m/>
    <d v="2042-05-31T00:00:00"/>
    <x v="200"/>
    <d v="2042-05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01"/>
    <m/>
    <d v="2042-06-30T00:00:00"/>
    <x v="201"/>
    <d v="2042-06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02"/>
    <m/>
    <d v="2042-07-31T00:00:00"/>
    <x v="202"/>
    <d v="2042-07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03"/>
    <m/>
    <d v="2042-08-31T00:00:00"/>
    <x v="203"/>
    <d v="2042-08-31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04"/>
    <m/>
    <d v="2042-09-30T00:00:00"/>
    <x v="204"/>
    <d v="2042-09-30T00:00:00"/>
    <n v="104.6652334919691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_CORE_CORE"/>
    <m/>
    <n v="205"/>
    <m/>
    <d v="2042-10-31T00:00:00"/>
    <x v="205"/>
    <d v="2042-10-31T00:00:00"/>
    <n v="90.917367638310537"/>
    <m/>
    <m/>
    <m/>
    <m/>
    <m/>
    <n v="1"/>
    <s v="BALANCE TASAS"/>
    <m/>
    <s v="BALANCE TASAS"/>
    <s v="HTM"/>
    <n v="1"/>
    <m/>
    <m/>
    <m/>
  </r>
  <r>
    <d v="2025-10-06T00:00:00"/>
    <n v="1"/>
    <m/>
    <s v="PAS"/>
    <s v="CLF"/>
    <s v="CLF"/>
    <m/>
    <x v="13"/>
    <s v="CTA. AHORRO G.INC"/>
    <m/>
    <m/>
    <m/>
    <d v="2025-10-07T00:00:00"/>
    <x v="74"/>
    <d v="2025-10-07T00:00:00"/>
    <n v="39537.049416686641"/>
    <m/>
    <m/>
    <m/>
    <m/>
    <m/>
    <n v="1"/>
    <s v="BALANCE TASAS"/>
    <m/>
    <s v="BALANCE TASAS"/>
    <s v="HTM"/>
    <n v="1"/>
    <m/>
    <m/>
    <m/>
  </r>
  <r>
    <m/>
    <m/>
    <m/>
    <m/>
    <m/>
    <m/>
    <m/>
    <x v="14"/>
    <m/>
    <m/>
    <m/>
    <m/>
    <m/>
    <x v="206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dinamica_control" cacheId="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B1:H208" firstHeaderRow="1" firstDataRow="2" firstDataCol="1"/>
  <pivotFields count="32"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16">
        <item x="12"/>
        <item x="13"/>
        <item x="11"/>
        <item x="6"/>
        <item h="1" x="7"/>
        <item h="1" x="8"/>
        <item h="1" x="9"/>
        <item h="1" x="10"/>
        <item x="0"/>
        <item h="1" x="1"/>
        <item h="1" x="2"/>
        <item x="3"/>
        <item h="1" x="4"/>
        <item h="1" x="5"/>
        <item h="1" x="14"/>
        <item t="default"/>
      </items>
    </pivotField>
    <pivotField showAll="0"/>
    <pivotField showAll="0"/>
    <pivotField showAll="0"/>
    <pivotField showAll="0"/>
    <pivotField showAll="0"/>
    <pivotField axis="axisRow" showAll="0">
      <items count="307">
        <item m="1" x="222"/>
        <item m="1" x="221"/>
        <item m="1" x="223"/>
        <item m="1" x="220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19"/>
        <item m="1" x="236"/>
        <item m="1" x="237"/>
        <item m="1" x="238"/>
        <item m="1" x="218"/>
        <item m="1" x="217"/>
        <item m="1" x="239"/>
        <item m="1" x="240"/>
        <item m="1" x="241"/>
        <item m="1" x="242"/>
        <item m="1" x="216"/>
        <item m="1" x="215"/>
        <item m="1" x="214"/>
        <item m="1" x="213"/>
        <item m="1" x="212"/>
        <item m="1" x="243"/>
        <item m="1" x="244"/>
        <item m="1" x="211"/>
        <item m="1" x="210"/>
        <item m="1" x="209"/>
        <item m="1" x="208"/>
        <item m="1" x="207"/>
        <item m="1" x="245"/>
        <item m="1" x="246"/>
        <item x="74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x="10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x="0"/>
        <item m="1" x="299"/>
        <item m="1" x="300"/>
        <item m="1" x="301"/>
        <item m="1" x="302"/>
        <item m="1" x="303"/>
        <item m="1" x="304"/>
        <item m="1" x="305"/>
        <item x="20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3"/>
  </rowFields>
  <rowItems count="206">
    <i>
      <x v="40"/>
    </i>
    <i>
      <x v="64"/>
    </i>
    <i>
      <x v="94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</rowItems>
  <colFields count="1">
    <field x="7"/>
  </colFields>
  <colItems count="6">
    <i>
      <x/>
    </i>
    <i>
      <x v="1"/>
    </i>
    <i>
      <x v="2"/>
    </i>
    <i>
      <x v="3"/>
    </i>
    <i>
      <x v="8"/>
    </i>
    <i>
      <x v="11"/>
    </i>
  </colItems>
  <dataFields count="1">
    <dataField name="Suma de AMORTIZACION" fld="15" baseField="0" baseItem="0" numFmtId="41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D833"/>
  <sheetViews>
    <sheetView topLeftCell="H1" workbookViewId="0">
      <selection activeCell="L1" sqref="L1"/>
    </sheetView>
  </sheetViews>
  <sheetFormatPr baseColWidth="10" defaultRowHeight="14.5" x14ac:dyDescent="0.35"/>
  <cols>
    <col min="1" max="1" width="16.6328125" style="1" bestFit="1" customWidth="1"/>
    <col min="8" max="8" width="30.1796875" customWidth="1"/>
    <col min="9" max="9" width="24.1796875" customWidth="1"/>
    <col min="10" max="10" width="33.90625" customWidth="1"/>
    <col min="13" max="15" width="10.90625" style="1" customWidth="1"/>
    <col min="16" max="16" width="16.81640625" style="5" bestFit="1" customWidth="1"/>
  </cols>
  <sheetData>
    <row r="1" spans="1:3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 x14ac:dyDescent="0.35">
      <c r="A2" s="45">
        <v>45936</v>
      </c>
      <c r="B2">
        <v>1</v>
      </c>
      <c r="D2" t="s">
        <v>30</v>
      </c>
      <c r="E2" t="s">
        <v>31</v>
      </c>
      <c r="F2" t="s">
        <v>31</v>
      </c>
      <c r="H2" t="s">
        <v>32</v>
      </c>
      <c r="I2" t="s">
        <v>33</v>
      </c>
      <c r="K2">
        <v>1</v>
      </c>
      <c r="M2" s="45">
        <v>45991</v>
      </c>
      <c r="N2" s="45">
        <v>45991</v>
      </c>
      <c r="O2" s="45">
        <v>45991</v>
      </c>
      <c r="P2">
        <v>9694380981.8550091</v>
      </c>
      <c r="V2">
        <v>1</v>
      </c>
      <c r="W2" t="s">
        <v>34</v>
      </c>
      <c r="Y2" t="s">
        <v>34</v>
      </c>
      <c r="Z2" t="s">
        <v>35</v>
      </c>
      <c r="AA2">
        <v>1</v>
      </c>
    </row>
    <row r="3" spans="1:30" x14ac:dyDescent="0.35">
      <c r="A3" s="45">
        <v>45936</v>
      </c>
      <c r="B3">
        <v>1</v>
      </c>
      <c r="D3" t="s">
        <v>30</v>
      </c>
      <c r="E3" t="s">
        <v>31</v>
      </c>
      <c r="F3" t="s">
        <v>31</v>
      </c>
      <c r="H3" t="s">
        <v>32</v>
      </c>
      <c r="I3" t="s">
        <v>33</v>
      </c>
      <c r="K3">
        <v>2</v>
      </c>
      <c r="M3" s="45">
        <v>46022</v>
      </c>
      <c r="N3" s="45">
        <v>46022</v>
      </c>
      <c r="O3" s="45">
        <v>46022</v>
      </c>
      <c r="P3">
        <v>9600982304.6238365</v>
      </c>
      <c r="V3">
        <v>1</v>
      </c>
      <c r="W3" t="s">
        <v>34</v>
      </c>
      <c r="Y3" t="s">
        <v>34</v>
      </c>
      <c r="Z3" t="s">
        <v>35</v>
      </c>
      <c r="AA3">
        <v>1</v>
      </c>
    </row>
    <row r="4" spans="1:30" x14ac:dyDescent="0.35">
      <c r="A4" s="45">
        <v>45936</v>
      </c>
      <c r="B4">
        <v>1</v>
      </c>
      <c r="D4" t="s">
        <v>30</v>
      </c>
      <c r="E4" t="s">
        <v>31</v>
      </c>
      <c r="F4" t="s">
        <v>31</v>
      </c>
      <c r="H4" t="s">
        <v>32</v>
      </c>
      <c r="I4" t="s">
        <v>33</v>
      </c>
      <c r="K4">
        <v>3</v>
      </c>
      <c r="M4" s="45">
        <v>46053</v>
      </c>
      <c r="N4" s="45">
        <v>46053</v>
      </c>
      <c r="O4" s="45">
        <v>46053</v>
      </c>
      <c r="P4">
        <v>9508587914.2446117</v>
      </c>
      <c r="V4">
        <v>1</v>
      </c>
      <c r="W4" t="s">
        <v>34</v>
      </c>
      <c r="Y4" t="s">
        <v>34</v>
      </c>
      <c r="Z4" t="s">
        <v>35</v>
      </c>
      <c r="AA4">
        <v>1</v>
      </c>
    </row>
    <row r="5" spans="1:30" x14ac:dyDescent="0.35">
      <c r="A5" s="45">
        <v>45936</v>
      </c>
      <c r="B5">
        <v>1</v>
      </c>
      <c r="D5" t="s">
        <v>30</v>
      </c>
      <c r="E5" t="s">
        <v>31</v>
      </c>
      <c r="F5" t="s">
        <v>31</v>
      </c>
      <c r="H5" t="s">
        <v>32</v>
      </c>
      <c r="I5" t="s">
        <v>33</v>
      </c>
      <c r="K5">
        <v>4</v>
      </c>
      <c r="M5" s="45">
        <v>46081</v>
      </c>
      <c r="N5" s="45">
        <v>46081</v>
      </c>
      <c r="O5" s="45">
        <v>46081</v>
      </c>
      <c r="P5">
        <v>9416193523.865387</v>
      </c>
      <c r="V5">
        <v>1</v>
      </c>
      <c r="W5" t="s">
        <v>34</v>
      </c>
      <c r="Y5" t="s">
        <v>34</v>
      </c>
      <c r="Z5" t="s">
        <v>35</v>
      </c>
      <c r="AA5">
        <v>1</v>
      </c>
    </row>
    <row r="6" spans="1:30" x14ac:dyDescent="0.35">
      <c r="A6" s="45">
        <v>45936</v>
      </c>
      <c r="B6">
        <v>1</v>
      </c>
      <c r="D6" t="s">
        <v>30</v>
      </c>
      <c r="E6" t="s">
        <v>31</v>
      </c>
      <c r="F6" t="s">
        <v>31</v>
      </c>
      <c r="H6" t="s">
        <v>32</v>
      </c>
      <c r="I6" t="s">
        <v>33</v>
      </c>
      <c r="K6">
        <v>5</v>
      </c>
      <c r="M6" s="45">
        <v>46112</v>
      </c>
      <c r="N6" s="45">
        <v>46112</v>
      </c>
      <c r="O6" s="45">
        <v>46112</v>
      </c>
      <c r="P6">
        <v>9325807707.1900578</v>
      </c>
      <c r="V6">
        <v>1</v>
      </c>
      <c r="W6" t="s">
        <v>34</v>
      </c>
      <c r="Y6" t="s">
        <v>34</v>
      </c>
      <c r="Z6" t="s">
        <v>35</v>
      </c>
      <c r="AA6">
        <v>1</v>
      </c>
    </row>
    <row r="7" spans="1:30" x14ac:dyDescent="0.35">
      <c r="A7" s="45">
        <v>45936</v>
      </c>
      <c r="B7">
        <v>1</v>
      </c>
      <c r="D7" t="s">
        <v>30</v>
      </c>
      <c r="E7" t="s">
        <v>31</v>
      </c>
      <c r="F7" t="s">
        <v>31</v>
      </c>
      <c r="H7" t="s">
        <v>32</v>
      </c>
      <c r="I7" t="s">
        <v>33</v>
      </c>
      <c r="K7">
        <v>6</v>
      </c>
      <c r="M7" s="45">
        <v>46142</v>
      </c>
      <c r="N7" s="45">
        <v>46142</v>
      </c>
      <c r="O7" s="45">
        <v>46142</v>
      </c>
      <c r="P7">
        <v>9235421890.5147266</v>
      </c>
      <c r="V7">
        <v>1</v>
      </c>
      <c r="W7" t="s">
        <v>34</v>
      </c>
      <c r="Y7" t="s">
        <v>34</v>
      </c>
      <c r="Z7" t="s">
        <v>35</v>
      </c>
      <c r="AA7">
        <v>1</v>
      </c>
    </row>
    <row r="8" spans="1:30" x14ac:dyDescent="0.35">
      <c r="A8" s="45">
        <v>45936</v>
      </c>
      <c r="B8">
        <v>1</v>
      </c>
      <c r="D8" t="s">
        <v>30</v>
      </c>
      <c r="E8" t="s">
        <v>31</v>
      </c>
      <c r="F8" t="s">
        <v>31</v>
      </c>
      <c r="H8" t="s">
        <v>32</v>
      </c>
      <c r="I8" t="s">
        <v>33</v>
      </c>
      <c r="K8">
        <v>7</v>
      </c>
      <c r="M8" s="45">
        <v>46173</v>
      </c>
      <c r="N8" s="45">
        <v>46173</v>
      </c>
      <c r="O8" s="45">
        <v>46173</v>
      </c>
      <c r="P8">
        <v>9146040360.6913471</v>
      </c>
      <c r="V8">
        <v>1</v>
      </c>
      <c r="W8" t="s">
        <v>34</v>
      </c>
      <c r="Y8" t="s">
        <v>34</v>
      </c>
      <c r="Z8" t="s">
        <v>35</v>
      </c>
      <c r="AA8">
        <v>1</v>
      </c>
    </row>
    <row r="9" spans="1:30" x14ac:dyDescent="0.35">
      <c r="A9" s="45">
        <v>45936</v>
      </c>
      <c r="B9">
        <v>1</v>
      </c>
      <c r="D9" t="s">
        <v>30</v>
      </c>
      <c r="E9" t="s">
        <v>31</v>
      </c>
      <c r="F9" t="s">
        <v>31</v>
      </c>
      <c r="H9" t="s">
        <v>32</v>
      </c>
      <c r="I9" t="s">
        <v>33</v>
      </c>
      <c r="K9">
        <v>8</v>
      </c>
      <c r="M9" s="45">
        <v>46203</v>
      </c>
      <c r="N9" s="45">
        <v>46203</v>
      </c>
      <c r="O9" s="45">
        <v>46203</v>
      </c>
      <c r="P9">
        <v>9057663117.7199135</v>
      </c>
      <c r="V9">
        <v>1</v>
      </c>
      <c r="W9" t="s">
        <v>34</v>
      </c>
      <c r="Y9" t="s">
        <v>34</v>
      </c>
      <c r="Z9" t="s">
        <v>35</v>
      </c>
      <c r="AA9">
        <v>1</v>
      </c>
    </row>
    <row r="10" spans="1:30" x14ac:dyDescent="0.35">
      <c r="A10" s="45">
        <v>45936</v>
      </c>
      <c r="B10">
        <v>1</v>
      </c>
      <c r="D10" t="s">
        <v>30</v>
      </c>
      <c r="E10" t="s">
        <v>31</v>
      </c>
      <c r="F10" t="s">
        <v>31</v>
      </c>
      <c r="H10" t="s">
        <v>32</v>
      </c>
      <c r="I10" t="s">
        <v>33</v>
      </c>
      <c r="K10">
        <v>9</v>
      </c>
      <c r="M10" s="45">
        <v>46234</v>
      </c>
      <c r="N10" s="45">
        <v>46234</v>
      </c>
      <c r="O10" s="45">
        <v>46234</v>
      </c>
      <c r="P10">
        <v>8970290161.6004295</v>
      </c>
      <c r="V10">
        <v>1</v>
      </c>
      <c r="W10" t="s">
        <v>34</v>
      </c>
      <c r="Y10" t="s">
        <v>34</v>
      </c>
      <c r="Z10" t="s">
        <v>35</v>
      </c>
      <c r="AA10">
        <v>1</v>
      </c>
    </row>
    <row r="11" spans="1:30" x14ac:dyDescent="0.35">
      <c r="A11" s="45">
        <v>45936</v>
      </c>
      <c r="B11">
        <v>1</v>
      </c>
      <c r="D11" t="s">
        <v>30</v>
      </c>
      <c r="E11" t="s">
        <v>31</v>
      </c>
      <c r="F11" t="s">
        <v>31</v>
      </c>
      <c r="H11" t="s">
        <v>32</v>
      </c>
      <c r="I11" t="s">
        <v>33</v>
      </c>
      <c r="K11">
        <v>10</v>
      </c>
      <c r="M11" s="45">
        <v>46265</v>
      </c>
      <c r="N11" s="45">
        <v>46265</v>
      </c>
      <c r="O11" s="45">
        <v>46265</v>
      </c>
      <c r="P11">
        <v>8883921492.3328915</v>
      </c>
      <c r="V11">
        <v>1</v>
      </c>
      <c r="W11" t="s">
        <v>34</v>
      </c>
      <c r="Y11" t="s">
        <v>34</v>
      </c>
      <c r="Z11" t="s">
        <v>35</v>
      </c>
      <c r="AA11">
        <v>1</v>
      </c>
    </row>
    <row r="12" spans="1:30" x14ac:dyDescent="0.35">
      <c r="A12" s="45">
        <v>45936</v>
      </c>
      <c r="B12">
        <v>1</v>
      </c>
      <c r="D12" t="s">
        <v>30</v>
      </c>
      <c r="E12" t="s">
        <v>31</v>
      </c>
      <c r="F12" t="s">
        <v>31</v>
      </c>
      <c r="H12" t="s">
        <v>32</v>
      </c>
      <c r="I12" t="s">
        <v>33</v>
      </c>
      <c r="K12">
        <v>11</v>
      </c>
      <c r="M12" s="45">
        <v>46295</v>
      </c>
      <c r="N12" s="45">
        <v>46295</v>
      </c>
      <c r="O12" s="45">
        <v>46295</v>
      </c>
      <c r="P12">
        <v>8798557109.9173031</v>
      </c>
      <c r="V12">
        <v>1</v>
      </c>
      <c r="W12" t="s">
        <v>34</v>
      </c>
      <c r="Y12" t="s">
        <v>34</v>
      </c>
      <c r="Z12" t="s">
        <v>35</v>
      </c>
      <c r="AA12">
        <v>1</v>
      </c>
    </row>
    <row r="13" spans="1:30" x14ac:dyDescent="0.35">
      <c r="A13" s="45">
        <v>45936</v>
      </c>
      <c r="B13">
        <v>1</v>
      </c>
      <c r="D13" t="s">
        <v>30</v>
      </c>
      <c r="E13" t="s">
        <v>31</v>
      </c>
      <c r="F13" t="s">
        <v>31</v>
      </c>
      <c r="H13" t="s">
        <v>32</v>
      </c>
      <c r="I13" t="s">
        <v>33</v>
      </c>
      <c r="K13">
        <v>12</v>
      </c>
      <c r="M13" s="45">
        <v>46326</v>
      </c>
      <c r="N13" s="45">
        <v>46326</v>
      </c>
      <c r="O13" s="45">
        <v>46326</v>
      </c>
      <c r="P13">
        <v>8713192727.5017147</v>
      </c>
      <c r="V13">
        <v>1</v>
      </c>
      <c r="W13" t="s">
        <v>34</v>
      </c>
      <c r="Y13" t="s">
        <v>34</v>
      </c>
      <c r="Z13" t="s">
        <v>35</v>
      </c>
      <c r="AA13">
        <v>1</v>
      </c>
    </row>
    <row r="14" spans="1:30" x14ac:dyDescent="0.35">
      <c r="A14" s="45">
        <v>45936</v>
      </c>
      <c r="B14">
        <v>1</v>
      </c>
      <c r="D14" t="s">
        <v>30</v>
      </c>
      <c r="E14" t="s">
        <v>31</v>
      </c>
      <c r="F14" t="s">
        <v>31</v>
      </c>
      <c r="H14" t="s">
        <v>32</v>
      </c>
      <c r="I14" t="s">
        <v>33</v>
      </c>
      <c r="K14">
        <v>13</v>
      </c>
      <c r="M14" s="45">
        <v>46356</v>
      </c>
      <c r="N14" s="45">
        <v>46356</v>
      </c>
      <c r="O14" s="45">
        <v>46356</v>
      </c>
      <c r="P14">
        <v>8628832631.938076</v>
      </c>
      <c r="V14">
        <v>1</v>
      </c>
      <c r="W14" t="s">
        <v>34</v>
      </c>
      <c r="Y14" t="s">
        <v>34</v>
      </c>
      <c r="Z14" t="s">
        <v>35</v>
      </c>
      <c r="AA14">
        <v>1</v>
      </c>
    </row>
    <row r="15" spans="1:30" x14ac:dyDescent="0.35">
      <c r="A15" s="45">
        <v>45936</v>
      </c>
      <c r="B15">
        <v>1</v>
      </c>
      <c r="D15" t="s">
        <v>30</v>
      </c>
      <c r="E15" t="s">
        <v>31</v>
      </c>
      <c r="F15" t="s">
        <v>31</v>
      </c>
      <c r="H15" t="s">
        <v>32</v>
      </c>
      <c r="I15" t="s">
        <v>33</v>
      </c>
      <c r="K15">
        <v>14</v>
      </c>
      <c r="M15" s="45">
        <v>46387</v>
      </c>
      <c r="N15" s="45">
        <v>46387</v>
      </c>
      <c r="O15" s="45">
        <v>46387</v>
      </c>
      <c r="P15">
        <v>8545476823.2263823</v>
      </c>
      <c r="V15">
        <v>1</v>
      </c>
      <c r="W15" t="s">
        <v>34</v>
      </c>
      <c r="Y15" t="s">
        <v>34</v>
      </c>
      <c r="Z15" t="s">
        <v>35</v>
      </c>
      <c r="AA15">
        <v>1</v>
      </c>
    </row>
    <row r="16" spans="1:30" x14ac:dyDescent="0.35">
      <c r="A16" s="45">
        <v>45936</v>
      </c>
      <c r="B16">
        <v>1</v>
      </c>
      <c r="D16" t="s">
        <v>30</v>
      </c>
      <c r="E16" t="s">
        <v>31</v>
      </c>
      <c r="F16" t="s">
        <v>31</v>
      </c>
      <c r="H16" t="s">
        <v>32</v>
      </c>
      <c r="I16" t="s">
        <v>33</v>
      </c>
      <c r="K16">
        <v>15</v>
      </c>
      <c r="M16" s="45">
        <v>46418</v>
      </c>
      <c r="N16" s="45">
        <v>46418</v>
      </c>
      <c r="O16" s="45">
        <v>46418</v>
      </c>
      <c r="P16">
        <v>8463125301.3666391</v>
      </c>
      <c r="V16">
        <v>1</v>
      </c>
      <c r="W16" t="s">
        <v>34</v>
      </c>
      <c r="Y16" t="s">
        <v>34</v>
      </c>
      <c r="Z16" t="s">
        <v>35</v>
      </c>
      <c r="AA16">
        <v>1</v>
      </c>
    </row>
    <row r="17" spans="1:27" x14ac:dyDescent="0.35">
      <c r="A17" s="45">
        <v>45936</v>
      </c>
      <c r="B17">
        <v>1</v>
      </c>
      <c r="D17" t="s">
        <v>30</v>
      </c>
      <c r="E17" t="s">
        <v>31</v>
      </c>
      <c r="F17" t="s">
        <v>31</v>
      </c>
      <c r="H17" t="s">
        <v>32</v>
      </c>
      <c r="I17" t="s">
        <v>33</v>
      </c>
      <c r="K17">
        <v>16</v>
      </c>
      <c r="M17" s="45">
        <v>46446</v>
      </c>
      <c r="N17" s="45">
        <v>46446</v>
      </c>
      <c r="O17" s="45">
        <v>46446</v>
      </c>
      <c r="P17">
        <v>8381778066.3588419</v>
      </c>
      <c r="V17">
        <v>1</v>
      </c>
      <c r="W17" t="s">
        <v>34</v>
      </c>
      <c r="Y17" t="s">
        <v>34</v>
      </c>
      <c r="Z17" t="s">
        <v>35</v>
      </c>
      <c r="AA17">
        <v>1</v>
      </c>
    </row>
    <row r="18" spans="1:27" x14ac:dyDescent="0.35">
      <c r="A18" s="45">
        <v>45936</v>
      </c>
      <c r="B18">
        <v>1</v>
      </c>
      <c r="D18" t="s">
        <v>30</v>
      </c>
      <c r="E18" t="s">
        <v>31</v>
      </c>
      <c r="F18" t="s">
        <v>31</v>
      </c>
      <c r="H18" t="s">
        <v>32</v>
      </c>
      <c r="I18" t="s">
        <v>33</v>
      </c>
      <c r="K18">
        <v>17</v>
      </c>
      <c r="M18" s="45">
        <v>46477</v>
      </c>
      <c r="N18" s="45">
        <v>46477</v>
      </c>
      <c r="O18" s="45">
        <v>46477</v>
      </c>
      <c r="P18">
        <v>8300430831.3510456</v>
      </c>
      <c r="V18">
        <v>1</v>
      </c>
      <c r="W18" t="s">
        <v>34</v>
      </c>
      <c r="Y18" t="s">
        <v>34</v>
      </c>
      <c r="Z18" t="s">
        <v>35</v>
      </c>
      <c r="AA18">
        <v>1</v>
      </c>
    </row>
    <row r="19" spans="1:27" x14ac:dyDescent="0.35">
      <c r="A19" s="45">
        <v>45936</v>
      </c>
      <c r="B19">
        <v>1</v>
      </c>
      <c r="D19" t="s">
        <v>30</v>
      </c>
      <c r="E19" t="s">
        <v>31</v>
      </c>
      <c r="F19" t="s">
        <v>31</v>
      </c>
      <c r="H19" t="s">
        <v>32</v>
      </c>
      <c r="I19" t="s">
        <v>33</v>
      </c>
      <c r="K19">
        <v>18</v>
      </c>
      <c r="M19" s="45">
        <v>46507</v>
      </c>
      <c r="N19" s="45">
        <v>46507</v>
      </c>
      <c r="O19" s="45">
        <v>46507</v>
      </c>
      <c r="P19">
        <v>8221092170.0471468</v>
      </c>
      <c r="V19">
        <v>1</v>
      </c>
      <c r="W19" t="s">
        <v>34</v>
      </c>
      <c r="Y19" t="s">
        <v>34</v>
      </c>
      <c r="Z19" t="s">
        <v>35</v>
      </c>
      <c r="AA19">
        <v>1</v>
      </c>
    </row>
    <row r="20" spans="1:27" x14ac:dyDescent="0.35">
      <c r="A20" s="45">
        <v>45936</v>
      </c>
      <c r="B20">
        <v>1</v>
      </c>
      <c r="D20" t="s">
        <v>30</v>
      </c>
      <c r="E20" t="s">
        <v>31</v>
      </c>
      <c r="F20" t="s">
        <v>31</v>
      </c>
      <c r="H20" t="s">
        <v>32</v>
      </c>
      <c r="I20" t="s">
        <v>33</v>
      </c>
      <c r="K20">
        <v>19</v>
      </c>
      <c r="M20" s="45">
        <v>46538</v>
      </c>
      <c r="N20" s="45">
        <v>46538</v>
      </c>
      <c r="O20" s="45">
        <v>46538</v>
      </c>
      <c r="P20">
        <v>8141753508.7432461</v>
      </c>
      <c r="V20">
        <v>1</v>
      </c>
      <c r="W20" t="s">
        <v>34</v>
      </c>
      <c r="Y20" t="s">
        <v>34</v>
      </c>
      <c r="Z20" t="s">
        <v>35</v>
      </c>
      <c r="AA20">
        <v>1</v>
      </c>
    </row>
    <row r="21" spans="1:27" x14ac:dyDescent="0.35">
      <c r="A21" s="45">
        <v>45936</v>
      </c>
      <c r="B21">
        <v>1</v>
      </c>
      <c r="D21" t="s">
        <v>30</v>
      </c>
      <c r="E21" t="s">
        <v>31</v>
      </c>
      <c r="F21" t="s">
        <v>31</v>
      </c>
      <c r="H21" t="s">
        <v>32</v>
      </c>
      <c r="I21" t="s">
        <v>33</v>
      </c>
      <c r="K21">
        <v>20</v>
      </c>
      <c r="M21" s="45">
        <v>46568</v>
      </c>
      <c r="N21" s="45">
        <v>46568</v>
      </c>
      <c r="O21" s="45">
        <v>46568</v>
      </c>
      <c r="P21">
        <v>8062414847.4393473</v>
      </c>
      <c r="V21">
        <v>1</v>
      </c>
      <c r="W21" t="s">
        <v>34</v>
      </c>
      <c r="Y21" t="s">
        <v>34</v>
      </c>
      <c r="Z21" t="s">
        <v>35</v>
      </c>
      <c r="AA21">
        <v>1</v>
      </c>
    </row>
    <row r="22" spans="1:27" x14ac:dyDescent="0.35">
      <c r="A22" s="45">
        <v>45936</v>
      </c>
      <c r="B22">
        <v>1</v>
      </c>
      <c r="D22" t="s">
        <v>30</v>
      </c>
      <c r="E22" t="s">
        <v>31</v>
      </c>
      <c r="F22" t="s">
        <v>31</v>
      </c>
      <c r="H22" t="s">
        <v>32</v>
      </c>
      <c r="I22" t="s">
        <v>33</v>
      </c>
      <c r="K22">
        <v>21</v>
      </c>
      <c r="M22" s="45">
        <v>46599</v>
      </c>
      <c r="N22" s="45">
        <v>46599</v>
      </c>
      <c r="O22" s="45">
        <v>46599</v>
      </c>
      <c r="P22">
        <v>7985084759.8393431</v>
      </c>
      <c r="V22">
        <v>1</v>
      </c>
      <c r="W22" t="s">
        <v>34</v>
      </c>
      <c r="Y22" t="s">
        <v>34</v>
      </c>
      <c r="Z22" t="s">
        <v>35</v>
      </c>
      <c r="AA22">
        <v>1</v>
      </c>
    </row>
    <row r="23" spans="1:27" x14ac:dyDescent="0.35">
      <c r="A23" s="45">
        <v>45936</v>
      </c>
      <c r="B23">
        <v>1</v>
      </c>
      <c r="D23" t="s">
        <v>30</v>
      </c>
      <c r="E23" t="s">
        <v>31</v>
      </c>
      <c r="F23" t="s">
        <v>31</v>
      </c>
      <c r="H23" t="s">
        <v>32</v>
      </c>
      <c r="I23" t="s">
        <v>33</v>
      </c>
      <c r="K23">
        <v>22</v>
      </c>
      <c r="M23" s="45">
        <v>46630</v>
      </c>
      <c r="N23" s="45">
        <v>46630</v>
      </c>
      <c r="O23" s="45">
        <v>46630</v>
      </c>
      <c r="P23">
        <v>7907754672.2393398</v>
      </c>
      <c r="V23">
        <v>1</v>
      </c>
      <c r="W23" t="s">
        <v>34</v>
      </c>
      <c r="Y23" t="s">
        <v>34</v>
      </c>
      <c r="Z23" t="s">
        <v>35</v>
      </c>
      <c r="AA23">
        <v>1</v>
      </c>
    </row>
    <row r="24" spans="1:27" x14ac:dyDescent="0.35">
      <c r="A24" s="45">
        <v>45936</v>
      </c>
      <c r="B24">
        <v>1</v>
      </c>
      <c r="D24" t="s">
        <v>30</v>
      </c>
      <c r="E24" t="s">
        <v>31</v>
      </c>
      <c r="F24" t="s">
        <v>31</v>
      </c>
      <c r="H24" t="s">
        <v>32</v>
      </c>
      <c r="I24" t="s">
        <v>33</v>
      </c>
      <c r="K24">
        <v>23</v>
      </c>
      <c r="M24" s="45">
        <v>46660</v>
      </c>
      <c r="N24" s="45">
        <v>46660</v>
      </c>
      <c r="O24" s="45">
        <v>46660</v>
      </c>
      <c r="P24">
        <v>7831428871.4912834</v>
      </c>
      <c r="V24">
        <v>1</v>
      </c>
      <c r="W24" t="s">
        <v>34</v>
      </c>
      <c r="Y24" t="s">
        <v>34</v>
      </c>
      <c r="Z24" t="s">
        <v>35</v>
      </c>
      <c r="AA24">
        <v>1</v>
      </c>
    </row>
    <row r="25" spans="1:27" x14ac:dyDescent="0.35">
      <c r="A25" s="45">
        <v>45936</v>
      </c>
      <c r="B25">
        <v>1</v>
      </c>
      <c r="D25" t="s">
        <v>30</v>
      </c>
      <c r="E25" t="s">
        <v>31</v>
      </c>
      <c r="F25" t="s">
        <v>31</v>
      </c>
      <c r="H25" t="s">
        <v>32</v>
      </c>
      <c r="I25" t="s">
        <v>33</v>
      </c>
      <c r="K25">
        <v>24</v>
      </c>
      <c r="M25" s="45">
        <v>46691</v>
      </c>
      <c r="N25" s="45">
        <v>46691</v>
      </c>
      <c r="O25" s="45">
        <v>46691</v>
      </c>
      <c r="P25">
        <v>7756107357.5951757</v>
      </c>
      <c r="V25">
        <v>1</v>
      </c>
      <c r="W25" t="s">
        <v>34</v>
      </c>
      <c r="Y25" t="s">
        <v>34</v>
      </c>
      <c r="Z25" t="s">
        <v>35</v>
      </c>
      <c r="AA25">
        <v>1</v>
      </c>
    </row>
    <row r="26" spans="1:27" x14ac:dyDescent="0.35">
      <c r="A26" s="45">
        <v>45936</v>
      </c>
      <c r="B26">
        <v>1</v>
      </c>
      <c r="D26" t="s">
        <v>30</v>
      </c>
      <c r="E26" t="s">
        <v>31</v>
      </c>
      <c r="F26" t="s">
        <v>31</v>
      </c>
      <c r="H26" t="s">
        <v>32</v>
      </c>
      <c r="I26" t="s">
        <v>33</v>
      </c>
      <c r="K26">
        <v>25</v>
      </c>
      <c r="M26" s="45">
        <v>46721</v>
      </c>
      <c r="N26" s="45">
        <v>46721</v>
      </c>
      <c r="O26" s="45">
        <v>46721</v>
      </c>
      <c r="P26">
        <v>7680785843.699069</v>
      </c>
      <c r="V26">
        <v>1</v>
      </c>
      <c r="W26" t="s">
        <v>34</v>
      </c>
      <c r="Y26" t="s">
        <v>34</v>
      </c>
      <c r="Z26" t="s">
        <v>35</v>
      </c>
      <c r="AA26">
        <v>1</v>
      </c>
    </row>
    <row r="27" spans="1:27" x14ac:dyDescent="0.35">
      <c r="A27" s="45">
        <v>45936</v>
      </c>
      <c r="B27">
        <v>1</v>
      </c>
      <c r="D27" t="s">
        <v>30</v>
      </c>
      <c r="E27" t="s">
        <v>31</v>
      </c>
      <c r="F27" t="s">
        <v>31</v>
      </c>
      <c r="H27" t="s">
        <v>32</v>
      </c>
      <c r="I27" t="s">
        <v>33</v>
      </c>
      <c r="K27">
        <v>26</v>
      </c>
      <c r="M27" s="45">
        <v>46752</v>
      </c>
      <c r="N27" s="45">
        <v>46752</v>
      </c>
      <c r="O27" s="45">
        <v>46752</v>
      </c>
      <c r="P27">
        <v>7606468616.6549091</v>
      </c>
      <c r="V27">
        <v>1</v>
      </c>
      <c r="W27" t="s">
        <v>34</v>
      </c>
      <c r="Y27" t="s">
        <v>34</v>
      </c>
      <c r="Z27" t="s">
        <v>35</v>
      </c>
      <c r="AA27">
        <v>1</v>
      </c>
    </row>
    <row r="28" spans="1:27" x14ac:dyDescent="0.35">
      <c r="A28" s="45">
        <v>45936</v>
      </c>
      <c r="B28">
        <v>1</v>
      </c>
      <c r="D28" t="s">
        <v>30</v>
      </c>
      <c r="E28" t="s">
        <v>31</v>
      </c>
      <c r="F28" t="s">
        <v>31</v>
      </c>
      <c r="H28" t="s">
        <v>32</v>
      </c>
      <c r="I28" t="s">
        <v>33</v>
      </c>
      <c r="K28">
        <v>27</v>
      </c>
      <c r="M28" s="45">
        <v>46783</v>
      </c>
      <c r="N28" s="45">
        <v>46783</v>
      </c>
      <c r="O28" s="45">
        <v>46783</v>
      </c>
      <c r="P28">
        <v>7533155676.462698</v>
      </c>
      <c r="V28">
        <v>1</v>
      </c>
      <c r="W28" t="s">
        <v>34</v>
      </c>
      <c r="Y28" t="s">
        <v>34</v>
      </c>
      <c r="Z28" t="s">
        <v>35</v>
      </c>
      <c r="AA28">
        <v>1</v>
      </c>
    </row>
    <row r="29" spans="1:27" x14ac:dyDescent="0.35">
      <c r="A29" s="45">
        <v>45936</v>
      </c>
      <c r="B29">
        <v>1</v>
      </c>
      <c r="D29" t="s">
        <v>30</v>
      </c>
      <c r="E29" t="s">
        <v>31</v>
      </c>
      <c r="F29" t="s">
        <v>31</v>
      </c>
      <c r="H29" t="s">
        <v>32</v>
      </c>
      <c r="I29" t="s">
        <v>33</v>
      </c>
      <c r="K29">
        <v>28</v>
      </c>
      <c r="M29" s="45">
        <v>46812</v>
      </c>
      <c r="N29" s="45">
        <v>46812</v>
      </c>
      <c r="O29" s="45">
        <v>46812</v>
      </c>
      <c r="P29">
        <v>7460847023.1224346</v>
      </c>
      <c r="V29">
        <v>1</v>
      </c>
      <c r="W29" t="s">
        <v>34</v>
      </c>
      <c r="Y29" t="s">
        <v>34</v>
      </c>
      <c r="Z29" t="s">
        <v>35</v>
      </c>
      <c r="AA29">
        <v>1</v>
      </c>
    </row>
    <row r="30" spans="1:27" x14ac:dyDescent="0.35">
      <c r="A30" s="45">
        <v>45936</v>
      </c>
      <c r="B30">
        <v>1</v>
      </c>
      <c r="D30" t="s">
        <v>30</v>
      </c>
      <c r="E30" t="s">
        <v>31</v>
      </c>
      <c r="F30" t="s">
        <v>31</v>
      </c>
      <c r="H30" t="s">
        <v>32</v>
      </c>
      <c r="I30" t="s">
        <v>33</v>
      </c>
      <c r="K30">
        <v>29</v>
      </c>
      <c r="M30" s="45">
        <v>46843</v>
      </c>
      <c r="N30" s="45">
        <v>46843</v>
      </c>
      <c r="O30" s="45">
        <v>46843</v>
      </c>
      <c r="P30">
        <v>7388538369.7821712</v>
      </c>
      <c r="V30">
        <v>1</v>
      </c>
      <c r="W30" t="s">
        <v>34</v>
      </c>
      <c r="Y30" t="s">
        <v>34</v>
      </c>
      <c r="Z30" t="s">
        <v>35</v>
      </c>
      <c r="AA30">
        <v>1</v>
      </c>
    </row>
    <row r="31" spans="1:27" x14ac:dyDescent="0.35">
      <c r="A31" s="45">
        <v>45936</v>
      </c>
      <c r="B31">
        <v>1</v>
      </c>
      <c r="D31" t="s">
        <v>30</v>
      </c>
      <c r="E31" t="s">
        <v>31</v>
      </c>
      <c r="F31" t="s">
        <v>31</v>
      </c>
      <c r="H31" t="s">
        <v>32</v>
      </c>
      <c r="I31" t="s">
        <v>33</v>
      </c>
      <c r="K31">
        <v>30</v>
      </c>
      <c r="M31" s="45">
        <v>46873</v>
      </c>
      <c r="N31" s="45">
        <v>46873</v>
      </c>
      <c r="O31" s="45">
        <v>46873</v>
      </c>
      <c r="P31">
        <v>7317234003.2938566</v>
      </c>
      <c r="V31">
        <v>1</v>
      </c>
      <c r="W31" t="s">
        <v>34</v>
      </c>
      <c r="Y31" t="s">
        <v>34</v>
      </c>
      <c r="Z31" t="s">
        <v>35</v>
      </c>
      <c r="AA31">
        <v>1</v>
      </c>
    </row>
    <row r="32" spans="1:27" x14ac:dyDescent="0.35">
      <c r="A32" s="45">
        <v>45936</v>
      </c>
      <c r="B32">
        <v>1</v>
      </c>
      <c r="D32" t="s">
        <v>30</v>
      </c>
      <c r="E32" t="s">
        <v>31</v>
      </c>
      <c r="F32" t="s">
        <v>31</v>
      </c>
      <c r="H32" t="s">
        <v>32</v>
      </c>
      <c r="I32" t="s">
        <v>33</v>
      </c>
      <c r="K32">
        <v>31</v>
      </c>
      <c r="M32" s="45">
        <v>46904</v>
      </c>
      <c r="N32" s="45">
        <v>46904</v>
      </c>
      <c r="O32" s="45">
        <v>46904</v>
      </c>
      <c r="P32">
        <v>7246933923.6574898</v>
      </c>
      <c r="V32">
        <v>1</v>
      </c>
      <c r="W32" t="s">
        <v>34</v>
      </c>
      <c r="Y32" t="s">
        <v>34</v>
      </c>
      <c r="Z32" t="s">
        <v>35</v>
      </c>
      <c r="AA32">
        <v>1</v>
      </c>
    </row>
    <row r="33" spans="1:27" x14ac:dyDescent="0.35">
      <c r="A33" s="45">
        <v>45936</v>
      </c>
      <c r="B33">
        <v>1</v>
      </c>
      <c r="D33" t="s">
        <v>30</v>
      </c>
      <c r="E33" t="s">
        <v>31</v>
      </c>
      <c r="F33" t="s">
        <v>31</v>
      </c>
      <c r="H33" t="s">
        <v>32</v>
      </c>
      <c r="I33" t="s">
        <v>33</v>
      </c>
      <c r="K33">
        <v>32</v>
      </c>
      <c r="M33" s="45">
        <v>46934</v>
      </c>
      <c r="N33" s="45">
        <v>46934</v>
      </c>
      <c r="O33" s="45">
        <v>46934</v>
      </c>
      <c r="P33">
        <v>7176633844.021122</v>
      </c>
      <c r="V33">
        <v>1</v>
      </c>
      <c r="W33" t="s">
        <v>34</v>
      </c>
      <c r="Y33" t="s">
        <v>34</v>
      </c>
      <c r="Z33" t="s">
        <v>35</v>
      </c>
      <c r="AA33">
        <v>1</v>
      </c>
    </row>
    <row r="34" spans="1:27" x14ac:dyDescent="0.35">
      <c r="A34" s="45">
        <v>45936</v>
      </c>
      <c r="B34">
        <v>1</v>
      </c>
      <c r="D34" t="s">
        <v>30</v>
      </c>
      <c r="E34" t="s">
        <v>31</v>
      </c>
      <c r="F34" t="s">
        <v>31</v>
      </c>
      <c r="H34" t="s">
        <v>32</v>
      </c>
      <c r="I34" t="s">
        <v>33</v>
      </c>
      <c r="K34">
        <v>33</v>
      </c>
      <c r="M34" s="45">
        <v>46965</v>
      </c>
      <c r="N34" s="45">
        <v>46965</v>
      </c>
      <c r="O34" s="45">
        <v>46965</v>
      </c>
      <c r="P34">
        <v>7107338051.2367039</v>
      </c>
      <c r="V34">
        <v>1</v>
      </c>
      <c r="W34" t="s">
        <v>34</v>
      </c>
      <c r="Y34" t="s">
        <v>34</v>
      </c>
      <c r="Z34" t="s">
        <v>35</v>
      </c>
      <c r="AA34">
        <v>1</v>
      </c>
    </row>
    <row r="35" spans="1:27" x14ac:dyDescent="0.35">
      <c r="A35" s="45">
        <v>45936</v>
      </c>
      <c r="B35">
        <v>1</v>
      </c>
      <c r="D35" t="s">
        <v>30</v>
      </c>
      <c r="E35" t="s">
        <v>31</v>
      </c>
      <c r="F35" t="s">
        <v>31</v>
      </c>
      <c r="H35" t="s">
        <v>32</v>
      </c>
      <c r="I35" t="s">
        <v>33</v>
      </c>
      <c r="K35">
        <v>34</v>
      </c>
      <c r="M35" s="45">
        <v>46996</v>
      </c>
      <c r="N35" s="45">
        <v>46996</v>
      </c>
      <c r="O35" s="45">
        <v>46996</v>
      </c>
      <c r="P35">
        <v>7039046545.3042326</v>
      </c>
      <c r="V35">
        <v>1</v>
      </c>
      <c r="W35" t="s">
        <v>34</v>
      </c>
      <c r="Y35" t="s">
        <v>34</v>
      </c>
      <c r="Z35" t="s">
        <v>35</v>
      </c>
      <c r="AA35">
        <v>1</v>
      </c>
    </row>
    <row r="36" spans="1:27" x14ac:dyDescent="0.35">
      <c r="A36" s="45">
        <v>45936</v>
      </c>
      <c r="B36">
        <v>1</v>
      </c>
      <c r="D36" t="s">
        <v>30</v>
      </c>
      <c r="E36" t="s">
        <v>31</v>
      </c>
      <c r="F36" t="s">
        <v>31</v>
      </c>
      <c r="H36" t="s">
        <v>32</v>
      </c>
      <c r="I36" t="s">
        <v>33</v>
      </c>
      <c r="K36">
        <v>35</v>
      </c>
      <c r="M36" s="45">
        <v>47026</v>
      </c>
      <c r="N36" s="45">
        <v>47026</v>
      </c>
      <c r="O36" s="45">
        <v>47026</v>
      </c>
      <c r="P36">
        <v>6970755039.3717623</v>
      </c>
      <c r="V36">
        <v>1</v>
      </c>
      <c r="W36" t="s">
        <v>34</v>
      </c>
      <c r="Y36" t="s">
        <v>34</v>
      </c>
      <c r="Z36" t="s">
        <v>35</v>
      </c>
      <c r="AA36">
        <v>1</v>
      </c>
    </row>
    <row r="37" spans="1:27" x14ac:dyDescent="0.35">
      <c r="A37" s="45">
        <v>45936</v>
      </c>
      <c r="B37">
        <v>1</v>
      </c>
      <c r="D37" t="s">
        <v>30</v>
      </c>
      <c r="E37" t="s">
        <v>31</v>
      </c>
      <c r="F37" t="s">
        <v>31</v>
      </c>
      <c r="H37" t="s">
        <v>32</v>
      </c>
      <c r="I37" t="s">
        <v>33</v>
      </c>
      <c r="K37">
        <v>36</v>
      </c>
      <c r="M37" s="45">
        <v>47057</v>
      </c>
      <c r="N37" s="45">
        <v>47057</v>
      </c>
      <c r="O37" s="45">
        <v>47057</v>
      </c>
      <c r="P37">
        <v>6903467820.2912388</v>
      </c>
      <c r="V37">
        <v>1</v>
      </c>
      <c r="W37" t="s">
        <v>34</v>
      </c>
      <c r="Y37" t="s">
        <v>34</v>
      </c>
      <c r="Z37" t="s">
        <v>35</v>
      </c>
      <c r="AA37">
        <v>1</v>
      </c>
    </row>
    <row r="38" spans="1:27" x14ac:dyDescent="0.35">
      <c r="A38" s="45">
        <v>45936</v>
      </c>
      <c r="B38">
        <v>1</v>
      </c>
      <c r="D38" t="s">
        <v>30</v>
      </c>
      <c r="E38" t="s">
        <v>31</v>
      </c>
      <c r="F38" t="s">
        <v>31</v>
      </c>
      <c r="H38" t="s">
        <v>32</v>
      </c>
      <c r="I38" t="s">
        <v>33</v>
      </c>
      <c r="K38">
        <v>37</v>
      </c>
      <c r="M38" s="45">
        <v>47087</v>
      </c>
      <c r="N38" s="45">
        <v>47087</v>
      </c>
      <c r="O38" s="45">
        <v>47087</v>
      </c>
      <c r="P38">
        <v>6837184888.062664</v>
      </c>
      <c r="V38">
        <v>1</v>
      </c>
      <c r="W38" t="s">
        <v>34</v>
      </c>
      <c r="Y38" t="s">
        <v>34</v>
      </c>
      <c r="Z38" t="s">
        <v>35</v>
      </c>
      <c r="AA38">
        <v>1</v>
      </c>
    </row>
    <row r="39" spans="1:27" x14ac:dyDescent="0.35">
      <c r="A39" s="45">
        <v>45936</v>
      </c>
      <c r="B39">
        <v>1</v>
      </c>
      <c r="D39" t="s">
        <v>30</v>
      </c>
      <c r="E39" t="s">
        <v>31</v>
      </c>
      <c r="F39" t="s">
        <v>31</v>
      </c>
      <c r="H39" t="s">
        <v>32</v>
      </c>
      <c r="I39" t="s">
        <v>33</v>
      </c>
      <c r="K39">
        <v>38</v>
      </c>
      <c r="M39" s="45">
        <v>47118</v>
      </c>
      <c r="N39" s="45">
        <v>47118</v>
      </c>
      <c r="O39" s="45">
        <v>47118</v>
      </c>
      <c r="P39">
        <v>6770901955.8340902</v>
      </c>
      <c r="V39">
        <v>1</v>
      </c>
      <c r="W39" t="s">
        <v>34</v>
      </c>
      <c r="Y39" t="s">
        <v>34</v>
      </c>
      <c r="Z39" t="s">
        <v>35</v>
      </c>
      <c r="AA39">
        <v>1</v>
      </c>
    </row>
    <row r="40" spans="1:27" x14ac:dyDescent="0.35">
      <c r="A40" s="45">
        <v>45936</v>
      </c>
      <c r="B40">
        <v>1</v>
      </c>
      <c r="D40" t="s">
        <v>30</v>
      </c>
      <c r="E40" t="s">
        <v>31</v>
      </c>
      <c r="F40" t="s">
        <v>31</v>
      </c>
      <c r="H40" t="s">
        <v>32</v>
      </c>
      <c r="I40" t="s">
        <v>33</v>
      </c>
      <c r="K40">
        <v>39</v>
      </c>
      <c r="M40" s="45">
        <v>47149</v>
      </c>
      <c r="N40" s="45">
        <v>47149</v>
      </c>
      <c r="O40" s="45">
        <v>47149</v>
      </c>
      <c r="P40">
        <v>6705623310.4574633</v>
      </c>
      <c r="V40">
        <v>1</v>
      </c>
      <c r="W40" t="s">
        <v>34</v>
      </c>
      <c r="Y40" t="s">
        <v>34</v>
      </c>
      <c r="Z40" t="s">
        <v>35</v>
      </c>
      <c r="AA40">
        <v>1</v>
      </c>
    </row>
    <row r="41" spans="1:27" x14ac:dyDescent="0.35">
      <c r="A41" s="45">
        <v>45936</v>
      </c>
      <c r="B41">
        <v>1</v>
      </c>
      <c r="D41" t="s">
        <v>30</v>
      </c>
      <c r="E41" t="s">
        <v>31</v>
      </c>
      <c r="F41" t="s">
        <v>31</v>
      </c>
      <c r="H41" t="s">
        <v>32</v>
      </c>
      <c r="I41" t="s">
        <v>33</v>
      </c>
      <c r="K41">
        <v>40</v>
      </c>
      <c r="M41" s="45">
        <v>47177</v>
      </c>
      <c r="N41" s="45">
        <v>47177</v>
      </c>
      <c r="O41" s="45">
        <v>47177</v>
      </c>
      <c r="P41">
        <v>6641348951.932785</v>
      </c>
      <c r="V41">
        <v>1</v>
      </c>
      <c r="W41" t="s">
        <v>34</v>
      </c>
      <c r="Y41" t="s">
        <v>34</v>
      </c>
      <c r="Z41" t="s">
        <v>35</v>
      </c>
      <c r="AA41">
        <v>1</v>
      </c>
    </row>
    <row r="42" spans="1:27" x14ac:dyDescent="0.35">
      <c r="A42" s="45">
        <v>45936</v>
      </c>
      <c r="B42">
        <v>1</v>
      </c>
      <c r="D42" t="s">
        <v>30</v>
      </c>
      <c r="E42" t="s">
        <v>31</v>
      </c>
      <c r="F42" t="s">
        <v>31</v>
      </c>
      <c r="H42" t="s">
        <v>32</v>
      </c>
      <c r="I42" t="s">
        <v>33</v>
      </c>
      <c r="K42">
        <v>41</v>
      </c>
      <c r="M42" s="45">
        <v>47208</v>
      </c>
      <c r="N42" s="45">
        <v>47208</v>
      </c>
      <c r="O42" s="45">
        <v>47208</v>
      </c>
      <c r="P42">
        <v>6577074593.4081068</v>
      </c>
      <c r="V42">
        <v>1</v>
      </c>
      <c r="W42" t="s">
        <v>34</v>
      </c>
      <c r="Y42" t="s">
        <v>34</v>
      </c>
      <c r="Z42" t="s">
        <v>35</v>
      </c>
      <c r="AA42">
        <v>1</v>
      </c>
    </row>
    <row r="43" spans="1:27" x14ac:dyDescent="0.35">
      <c r="A43" s="45">
        <v>45936</v>
      </c>
      <c r="B43">
        <v>1</v>
      </c>
      <c r="D43" t="s">
        <v>30</v>
      </c>
      <c r="E43" t="s">
        <v>31</v>
      </c>
      <c r="F43" t="s">
        <v>31</v>
      </c>
      <c r="H43" t="s">
        <v>32</v>
      </c>
      <c r="I43" t="s">
        <v>33</v>
      </c>
      <c r="K43">
        <v>42</v>
      </c>
      <c r="M43" s="45">
        <v>47238</v>
      </c>
      <c r="N43" s="45">
        <v>47238</v>
      </c>
      <c r="O43" s="45">
        <v>47238</v>
      </c>
      <c r="P43">
        <v>6513804521.7353764</v>
      </c>
      <c r="V43">
        <v>1</v>
      </c>
      <c r="W43" t="s">
        <v>34</v>
      </c>
      <c r="Y43" t="s">
        <v>34</v>
      </c>
      <c r="Z43" t="s">
        <v>35</v>
      </c>
      <c r="AA43">
        <v>1</v>
      </c>
    </row>
    <row r="44" spans="1:27" x14ac:dyDescent="0.35">
      <c r="A44" s="45">
        <v>45936</v>
      </c>
      <c r="B44">
        <v>1</v>
      </c>
      <c r="D44" t="s">
        <v>30</v>
      </c>
      <c r="E44" t="s">
        <v>31</v>
      </c>
      <c r="F44" t="s">
        <v>31</v>
      </c>
      <c r="H44" t="s">
        <v>32</v>
      </c>
      <c r="I44" t="s">
        <v>33</v>
      </c>
      <c r="K44">
        <v>43</v>
      </c>
      <c r="M44" s="45">
        <v>47269</v>
      </c>
      <c r="N44" s="45">
        <v>47269</v>
      </c>
      <c r="O44" s="45">
        <v>47269</v>
      </c>
      <c r="P44">
        <v>6450534450.0626459</v>
      </c>
      <c r="V44">
        <v>1</v>
      </c>
      <c r="W44" t="s">
        <v>34</v>
      </c>
      <c r="Y44" t="s">
        <v>34</v>
      </c>
      <c r="Z44" t="s">
        <v>35</v>
      </c>
      <c r="AA44">
        <v>1</v>
      </c>
    </row>
    <row r="45" spans="1:27" x14ac:dyDescent="0.35">
      <c r="A45" s="45">
        <v>45936</v>
      </c>
      <c r="B45">
        <v>1</v>
      </c>
      <c r="D45" t="s">
        <v>30</v>
      </c>
      <c r="E45" t="s">
        <v>31</v>
      </c>
      <c r="F45" t="s">
        <v>31</v>
      </c>
      <c r="H45" t="s">
        <v>32</v>
      </c>
      <c r="I45" t="s">
        <v>33</v>
      </c>
      <c r="K45">
        <v>44</v>
      </c>
      <c r="M45" s="45">
        <v>47299</v>
      </c>
      <c r="N45" s="45">
        <v>47299</v>
      </c>
      <c r="O45" s="45">
        <v>47299</v>
      </c>
      <c r="P45">
        <v>6388268665.2418642</v>
      </c>
      <c r="V45">
        <v>1</v>
      </c>
      <c r="W45" t="s">
        <v>34</v>
      </c>
      <c r="Y45" t="s">
        <v>34</v>
      </c>
      <c r="Z45" t="s">
        <v>35</v>
      </c>
      <c r="AA45">
        <v>1</v>
      </c>
    </row>
    <row r="46" spans="1:27" x14ac:dyDescent="0.35">
      <c r="A46" s="45">
        <v>45936</v>
      </c>
      <c r="B46">
        <v>1</v>
      </c>
      <c r="D46" t="s">
        <v>30</v>
      </c>
      <c r="E46" t="s">
        <v>31</v>
      </c>
      <c r="F46" t="s">
        <v>31</v>
      </c>
      <c r="H46" t="s">
        <v>32</v>
      </c>
      <c r="I46" t="s">
        <v>33</v>
      </c>
      <c r="K46">
        <v>45</v>
      </c>
      <c r="M46" s="45">
        <v>47330</v>
      </c>
      <c r="N46" s="45">
        <v>47330</v>
      </c>
      <c r="O46" s="45">
        <v>47330</v>
      </c>
      <c r="P46">
        <v>6327007167.2730303</v>
      </c>
      <c r="V46">
        <v>1</v>
      </c>
      <c r="W46" t="s">
        <v>34</v>
      </c>
      <c r="Y46" t="s">
        <v>34</v>
      </c>
      <c r="Z46" t="s">
        <v>35</v>
      </c>
      <c r="AA46">
        <v>1</v>
      </c>
    </row>
    <row r="47" spans="1:27" x14ac:dyDescent="0.35">
      <c r="A47" s="45">
        <v>45936</v>
      </c>
      <c r="B47">
        <v>1</v>
      </c>
      <c r="D47" t="s">
        <v>30</v>
      </c>
      <c r="E47" t="s">
        <v>31</v>
      </c>
      <c r="F47" t="s">
        <v>31</v>
      </c>
      <c r="H47" t="s">
        <v>32</v>
      </c>
      <c r="I47" t="s">
        <v>33</v>
      </c>
      <c r="K47">
        <v>46</v>
      </c>
      <c r="M47" s="45">
        <v>47361</v>
      </c>
      <c r="N47" s="45">
        <v>47361</v>
      </c>
      <c r="O47" s="45">
        <v>47361</v>
      </c>
      <c r="P47">
        <v>6265745669.3041954</v>
      </c>
      <c r="V47">
        <v>1</v>
      </c>
      <c r="W47" t="s">
        <v>34</v>
      </c>
      <c r="Y47" t="s">
        <v>34</v>
      </c>
      <c r="Z47" t="s">
        <v>35</v>
      </c>
      <c r="AA47">
        <v>1</v>
      </c>
    </row>
    <row r="48" spans="1:27" x14ac:dyDescent="0.35">
      <c r="A48" s="45">
        <v>45936</v>
      </c>
      <c r="B48">
        <v>1</v>
      </c>
      <c r="D48" t="s">
        <v>30</v>
      </c>
      <c r="E48" t="s">
        <v>31</v>
      </c>
      <c r="F48" t="s">
        <v>31</v>
      </c>
      <c r="H48" t="s">
        <v>32</v>
      </c>
      <c r="I48" t="s">
        <v>33</v>
      </c>
      <c r="K48">
        <v>47</v>
      </c>
      <c r="M48" s="45">
        <v>47391</v>
      </c>
      <c r="N48" s="45">
        <v>47391</v>
      </c>
      <c r="O48" s="45">
        <v>47391</v>
      </c>
      <c r="P48">
        <v>6205488458.1873093</v>
      </c>
      <c r="V48">
        <v>1</v>
      </c>
      <c r="W48" t="s">
        <v>34</v>
      </c>
      <c r="Y48" t="s">
        <v>34</v>
      </c>
      <c r="Z48" t="s">
        <v>35</v>
      </c>
      <c r="AA48">
        <v>1</v>
      </c>
    </row>
    <row r="49" spans="1:27" x14ac:dyDescent="0.35">
      <c r="A49" s="45">
        <v>45936</v>
      </c>
      <c r="B49">
        <v>1</v>
      </c>
      <c r="D49" t="s">
        <v>30</v>
      </c>
      <c r="E49" t="s">
        <v>31</v>
      </c>
      <c r="F49" t="s">
        <v>31</v>
      </c>
      <c r="H49" t="s">
        <v>32</v>
      </c>
      <c r="I49" t="s">
        <v>33</v>
      </c>
      <c r="K49">
        <v>48</v>
      </c>
      <c r="M49" s="45">
        <v>47422</v>
      </c>
      <c r="N49" s="45">
        <v>47422</v>
      </c>
      <c r="O49" s="45">
        <v>47422</v>
      </c>
      <c r="P49">
        <v>6145231247.0704241</v>
      </c>
      <c r="V49">
        <v>1</v>
      </c>
      <c r="W49" t="s">
        <v>34</v>
      </c>
      <c r="Y49" t="s">
        <v>34</v>
      </c>
      <c r="Z49" t="s">
        <v>35</v>
      </c>
      <c r="AA49">
        <v>1</v>
      </c>
    </row>
    <row r="50" spans="1:27" x14ac:dyDescent="0.35">
      <c r="A50" s="45">
        <v>45936</v>
      </c>
      <c r="B50">
        <v>1</v>
      </c>
      <c r="D50" t="s">
        <v>30</v>
      </c>
      <c r="E50" t="s">
        <v>31</v>
      </c>
      <c r="F50" t="s">
        <v>31</v>
      </c>
      <c r="H50" t="s">
        <v>32</v>
      </c>
      <c r="I50" t="s">
        <v>33</v>
      </c>
      <c r="K50">
        <v>49</v>
      </c>
      <c r="M50" s="45">
        <v>47452</v>
      </c>
      <c r="N50" s="45">
        <v>47452</v>
      </c>
      <c r="O50" s="45">
        <v>47452</v>
      </c>
      <c r="P50">
        <v>6085978322.8054857</v>
      </c>
      <c r="V50">
        <v>1</v>
      </c>
      <c r="W50" t="s">
        <v>34</v>
      </c>
      <c r="Y50" t="s">
        <v>34</v>
      </c>
      <c r="Z50" t="s">
        <v>35</v>
      </c>
      <c r="AA50">
        <v>1</v>
      </c>
    </row>
    <row r="51" spans="1:27" x14ac:dyDescent="0.35">
      <c r="A51" s="45">
        <v>45936</v>
      </c>
      <c r="B51">
        <v>1</v>
      </c>
      <c r="D51" t="s">
        <v>30</v>
      </c>
      <c r="E51" t="s">
        <v>31</v>
      </c>
      <c r="F51" t="s">
        <v>31</v>
      </c>
      <c r="H51" t="s">
        <v>32</v>
      </c>
      <c r="I51" t="s">
        <v>33</v>
      </c>
      <c r="K51">
        <v>50</v>
      </c>
      <c r="M51" s="45">
        <v>47483</v>
      </c>
      <c r="N51" s="45">
        <v>47483</v>
      </c>
      <c r="O51" s="45">
        <v>47483</v>
      </c>
      <c r="P51">
        <v>6026725398.5405483</v>
      </c>
      <c r="V51">
        <v>1</v>
      </c>
      <c r="W51" t="s">
        <v>34</v>
      </c>
      <c r="Y51" t="s">
        <v>34</v>
      </c>
      <c r="Z51" t="s">
        <v>35</v>
      </c>
      <c r="AA51">
        <v>1</v>
      </c>
    </row>
    <row r="52" spans="1:27" x14ac:dyDescent="0.35">
      <c r="A52" s="45">
        <v>45936</v>
      </c>
      <c r="B52">
        <v>1</v>
      </c>
      <c r="D52" t="s">
        <v>30</v>
      </c>
      <c r="E52" t="s">
        <v>31</v>
      </c>
      <c r="F52" t="s">
        <v>31</v>
      </c>
      <c r="H52" t="s">
        <v>32</v>
      </c>
      <c r="I52" t="s">
        <v>33</v>
      </c>
      <c r="K52">
        <v>51</v>
      </c>
      <c r="M52" s="45">
        <v>47514</v>
      </c>
      <c r="N52" s="45">
        <v>47514</v>
      </c>
      <c r="O52" s="45">
        <v>47514</v>
      </c>
      <c r="P52">
        <v>5968476761.1275587</v>
      </c>
      <c r="V52">
        <v>1</v>
      </c>
      <c r="W52" t="s">
        <v>34</v>
      </c>
      <c r="Y52" t="s">
        <v>34</v>
      </c>
      <c r="Z52" t="s">
        <v>35</v>
      </c>
      <c r="AA52">
        <v>1</v>
      </c>
    </row>
    <row r="53" spans="1:27" x14ac:dyDescent="0.35">
      <c r="A53" s="45">
        <v>45936</v>
      </c>
      <c r="B53">
        <v>1</v>
      </c>
      <c r="D53" t="s">
        <v>30</v>
      </c>
      <c r="E53" t="s">
        <v>31</v>
      </c>
      <c r="F53" t="s">
        <v>31</v>
      </c>
      <c r="H53" t="s">
        <v>32</v>
      </c>
      <c r="I53" t="s">
        <v>33</v>
      </c>
      <c r="K53">
        <v>52</v>
      </c>
      <c r="M53" s="45">
        <v>47542</v>
      </c>
      <c r="N53" s="45">
        <v>47542</v>
      </c>
      <c r="O53" s="45">
        <v>47542</v>
      </c>
      <c r="P53">
        <v>5911232410.5665159</v>
      </c>
      <c r="V53">
        <v>1</v>
      </c>
      <c r="W53" t="s">
        <v>34</v>
      </c>
      <c r="Y53" t="s">
        <v>34</v>
      </c>
      <c r="Z53" t="s">
        <v>35</v>
      </c>
      <c r="AA53">
        <v>1</v>
      </c>
    </row>
    <row r="54" spans="1:27" x14ac:dyDescent="0.35">
      <c r="A54" s="45">
        <v>45936</v>
      </c>
      <c r="B54">
        <v>1</v>
      </c>
      <c r="D54" t="s">
        <v>30</v>
      </c>
      <c r="E54" t="s">
        <v>31</v>
      </c>
      <c r="F54" t="s">
        <v>31</v>
      </c>
      <c r="H54" t="s">
        <v>32</v>
      </c>
      <c r="I54" t="s">
        <v>33</v>
      </c>
      <c r="K54">
        <v>53</v>
      </c>
      <c r="M54" s="45">
        <v>47573</v>
      </c>
      <c r="N54" s="45">
        <v>47573</v>
      </c>
      <c r="O54" s="45">
        <v>47573</v>
      </c>
      <c r="P54">
        <v>5853988060.005475</v>
      </c>
      <c r="V54">
        <v>1</v>
      </c>
      <c r="W54" t="s">
        <v>34</v>
      </c>
      <c r="Y54" t="s">
        <v>34</v>
      </c>
      <c r="Z54" t="s">
        <v>35</v>
      </c>
      <c r="AA54">
        <v>1</v>
      </c>
    </row>
    <row r="55" spans="1:27" x14ac:dyDescent="0.35">
      <c r="A55" s="45">
        <v>45936</v>
      </c>
      <c r="B55">
        <v>1</v>
      </c>
      <c r="D55" t="s">
        <v>30</v>
      </c>
      <c r="E55" t="s">
        <v>31</v>
      </c>
      <c r="F55" t="s">
        <v>31</v>
      </c>
      <c r="H55" t="s">
        <v>32</v>
      </c>
      <c r="I55" t="s">
        <v>33</v>
      </c>
      <c r="K55">
        <v>54</v>
      </c>
      <c r="M55" s="45">
        <v>47603</v>
      </c>
      <c r="N55" s="45">
        <v>47603</v>
      </c>
      <c r="O55" s="45">
        <v>47603</v>
      </c>
      <c r="P55">
        <v>5797747996.296382</v>
      </c>
      <c r="V55">
        <v>1</v>
      </c>
      <c r="W55" t="s">
        <v>34</v>
      </c>
      <c r="Y55" t="s">
        <v>34</v>
      </c>
      <c r="Z55" t="s">
        <v>35</v>
      </c>
      <c r="AA55">
        <v>1</v>
      </c>
    </row>
    <row r="56" spans="1:27" x14ac:dyDescent="0.35">
      <c r="A56" s="45">
        <v>45936</v>
      </c>
      <c r="B56">
        <v>1</v>
      </c>
      <c r="D56" t="s">
        <v>30</v>
      </c>
      <c r="E56" t="s">
        <v>31</v>
      </c>
      <c r="F56" t="s">
        <v>31</v>
      </c>
      <c r="H56" t="s">
        <v>32</v>
      </c>
      <c r="I56" t="s">
        <v>33</v>
      </c>
      <c r="K56">
        <v>55</v>
      </c>
      <c r="M56" s="45">
        <v>47634</v>
      </c>
      <c r="N56" s="45">
        <v>47634</v>
      </c>
      <c r="O56" s="45">
        <v>47634</v>
      </c>
      <c r="P56">
        <v>5741507932.5872869</v>
      </c>
      <c r="V56">
        <v>1</v>
      </c>
      <c r="W56" t="s">
        <v>34</v>
      </c>
      <c r="Y56" t="s">
        <v>34</v>
      </c>
      <c r="Z56" t="s">
        <v>35</v>
      </c>
      <c r="AA56">
        <v>1</v>
      </c>
    </row>
    <row r="57" spans="1:27" x14ac:dyDescent="0.35">
      <c r="A57" s="45">
        <v>45936</v>
      </c>
      <c r="B57">
        <v>1</v>
      </c>
      <c r="D57" t="s">
        <v>30</v>
      </c>
      <c r="E57" t="s">
        <v>31</v>
      </c>
      <c r="F57" t="s">
        <v>31</v>
      </c>
      <c r="H57" t="s">
        <v>32</v>
      </c>
      <c r="I57" t="s">
        <v>33</v>
      </c>
      <c r="K57">
        <v>56</v>
      </c>
      <c r="M57" s="45">
        <v>47664</v>
      </c>
      <c r="N57" s="45">
        <v>47664</v>
      </c>
      <c r="O57" s="45">
        <v>47664</v>
      </c>
      <c r="P57">
        <v>5686272155.7301426</v>
      </c>
      <c r="V57">
        <v>1</v>
      </c>
      <c r="W57" t="s">
        <v>34</v>
      </c>
      <c r="Y57" t="s">
        <v>34</v>
      </c>
      <c r="Z57" t="s">
        <v>35</v>
      </c>
      <c r="AA57">
        <v>1</v>
      </c>
    </row>
    <row r="58" spans="1:27" x14ac:dyDescent="0.35">
      <c r="A58" s="45">
        <v>45936</v>
      </c>
      <c r="B58">
        <v>1</v>
      </c>
      <c r="D58" t="s">
        <v>30</v>
      </c>
      <c r="E58" t="s">
        <v>31</v>
      </c>
      <c r="F58" t="s">
        <v>31</v>
      </c>
      <c r="H58" t="s">
        <v>32</v>
      </c>
      <c r="I58" t="s">
        <v>33</v>
      </c>
      <c r="K58">
        <v>57</v>
      </c>
      <c r="M58" s="45">
        <v>47695</v>
      </c>
      <c r="N58" s="45">
        <v>47695</v>
      </c>
      <c r="O58" s="45">
        <v>47695</v>
      </c>
      <c r="P58">
        <v>5631036378.8729963</v>
      </c>
      <c r="V58">
        <v>1</v>
      </c>
      <c r="W58" t="s">
        <v>34</v>
      </c>
      <c r="Y58" t="s">
        <v>34</v>
      </c>
      <c r="Z58" t="s">
        <v>35</v>
      </c>
      <c r="AA58">
        <v>1</v>
      </c>
    </row>
    <row r="59" spans="1:27" x14ac:dyDescent="0.35">
      <c r="A59" s="45">
        <v>45936</v>
      </c>
      <c r="B59">
        <v>1</v>
      </c>
      <c r="D59" t="s">
        <v>30</v>
      </c>
      <c r="E59" t="s">
        <v>31</v>
      </c>
      <c r="F59" t="s">
        <v>31</v>
      </c>
      <c r="H59" t="s">
        <v>32</v>
      </c>
      <c r="I59" t="s">
        <v>33</v>
      </c>
      <c r="K59">
        <v>58</v>
      </c>
      <c r="M59" s="45">
        <v>47726</v>
      </c>
      <c r="N59" s="45">
        <v>47726</v>
      </c>
      <c r="O59" s="45">
        <v>47726</v>
      </c>
      <c r="P59">
        <v>5576804888.8677988</v>
      </c>
      <c r="V59">
        <v>1</v>
      </c>
      <c r="W59" t="s">
        <v>34</v>
      </c>
      <c r="Y59" t="s">
        <v>34</v>
      </c>
      <c r="Z59" t="s">
        <v>35</v>
      </c>
      <c r="AA59">
        <v>1</v>
      </c>
    </row>
    <row r="60" spans="1:27" x14ac:dyDescent="0.35">
      <c r="A60" s="45">
        <v>45936</v>
      </c>
      <c r="B60">
        <v>1</v>
      </c>
      <c r="D60" t="s">
        <v>30</v>
      </c>
      <c r="E60" t="s">
        <v>31</v>
      </c>
      <c r="F60" t="s">
        <v>31</v>
      </c>
      <c r="H60" t="s">
        <v>32</v>
      </c>
      <c r="I60" t="s">
        <v>33</v>
      </c>
      <c r="K60">
        <v>59</v>
      </c>
      <c r="M60" s="45">
        <v>47756</v>
      </c>
      <c r="N60" s="45">
        <v>47756</v>
      </c>
      <c r="O60" s="45">
        <v>47756</v>
      </c>
      <c r="P60">
        <v>5523577685.71455</v>
      </c>
      <c r="V60">
        <v>1</v>
      </c>
      <c r="W60" t="s">
        <v>34</v>
      </c>
      <c r="Y60" t="s">
        <v>34</v>
      </c>
      <c r="Z60" t="s">
        <v>35</v>
      </c>
      <c r="AA60">
        <v>1</v>
      </c>
    </row>
    <row r="61" spans="1:27" x14ac:dyDescent="0.35">
      <c r="A61" s="45">
        <v>45936</v>
      </c>
      <c r="B61">
        <v>1</v>
      </c>
      <c r="D61" t="s">
        <v>30</v>
      </c>
      <c r="E61" t="s">
        <v>31</v>
      </c>
      <c r="F61" t="s">
        <v>31</v>
      </c>
      <c r="H61" t="s">
        <v>32</v>
      </c>
      <c r="I61" t="s">
        <v>33</v>
      </c>
      <c r="K61">
        <v>60</v>
      </c>
      <c r="M61" s="45">
        <v>47787</v>
      </c>
      <c r="N61" s="45">
        <v>47787</v>
      </c>
      <c r="O61" s="45">
        <v>47787</v>
      </c>
      <c r="P61">
        <v>5470350482.5613003</v>
      </c>
      <c r="V61">
        <v>1</v>
      </c>
      <c r="W61" t="s">
        <v>34</v>
      </c>
      <c r="Y61" t="s">
        <v>34</v>
      </c>
      <c r="Z61" t="s">
        <v>35</v>
      </c>
      <c r="AA61">
        <v>1</v>
      </c>
    </row>
    <row r="62" spans="1:27" x14ac:dyDescent="0.35">
      <c r="A62" s="45">
        <v>45936</v>
      </c>
      <c r="B62">
        <v>1</v>
      </c>
      <c r="D62" t="s">
        <v>30</v>
      </c>
      <c r="E62" t="s">
        <v>31</v>
      </c>
      <c r="F62" t="s">
        <v>31</v>
      </c>
      <c r="H62" t="s">
        <v>32</v>
      </c>
      <c r="I62" t="s">
        <v>33</v>
      </c>
      <c r="K62">
        <v>61</v>
      </c>
      <c r="M62" s="45">
        <v>47817</v>
      </c>
      <c r="N62" s="45">
        <v>47817</v>
      </c>
      <c r="O62" s="45">
        <v>47817</v>
      </c>
      <c r="P62">
        <v>5417123279.4080505</v>
      </c>
      <c r="V62">
        <v>1</v>
      </c>
      <c r="W62" t="s">
        <v>34</v>
      </c>
      <c r="Y62" t="s">
        <v>34</v>
      </c>
      <c r="Z62" t="s">
        <v>35</v>
      </c>
      <c r="AA62">
        <v>1</v>
      </c>
    </row>
    <row r="63" spans="1:27" x14ac:dyDescent="0.35">
      <c r="A63" s="45">
        <v>45936</v>
      </c>
      <c r="B63">
        <v>1</v>
      </c>
      <c r="D63" t="s">
        <v>30</v>
      </c>
      <c r="E63" t="s">
        <v>31</v>
      </c>
      <c r="F63" t="s">
        <v>31</v>
      </c>
      <c r="H63" t="s">
        <v>32</v>
      </c>
      <c r="I63" t="s">
        <v>33</v>
      </c>
      <c r="K63">
        <v>62</v>
      </c>
      <c r="M63" s="45">
        <v>47848</v>
      </c>
      <c r="N63" s="45">
        <v>47848</v>
      </c>
      <c r="O63" s="45">
        <v>47848</v>
      </c>
      <c r="P63">
        <v>5364900363.1067495</v>
      </c>
      <c r="V63">
        <v>1</v>
      </c>
      <c r="W63" t="s">
        <v>34</v>
      </c>
      <c r="Y63" t="s">
        <v>34</v>
      </c>
      <c r="Z63" t="s">
        <v>35</v>
      </c>
      <c r="AA63">
        <v>1</v>
      </c>
    </row>
    <row r="64" spans="1:27" x14ac:dyDescent="0.35">
      <c r="A64" s="45">
        <v>45936</v>
      </c>
      <c r="B64">
        <v>1</v>
      </c>
      <c r="D64" t="s">
        <v>30</v>
      </c>
      <c r="E64" t="s">
        <v>31</v>
      </c>
      <c r="F64" t="s">
        <v>31</v>
      </c>
      <c r="H64" t="s">
        <v>32</v>
      </c>
      <c r="I64" t="s">
        <v>33</v>
      </c>
      <c r="K64">
        <v>63</v>
      </c>
      <c r="M64" s="45">
        <v>47879</v>
      </c>
      <c r="N64" s="45">
        <v>47879</v>
      </c>
      <c r="O64" s="45">
        <v>47879</v>
      </c>
      <c r="P64">
        <v>5312677446.8054485</v>
      </c>
      <c r="V64">
        <v>1</v>
      </c>
      <c r="W64" t="s">
        <v>34</v>
      </c>
      <c r="Y64" t="s">
        <v>34</v>
      </c>
      <c r="Z64" t="s">
        <v>35</v>
      </c>
      <c r="AA64">
        <v>1</v>
      </c>
    </row>
    <row r="65" spans="1:27" x14ac:dyDescent="0.35">
      <c r="A65" s="45">
        <v>45936</v>
      </c>
      <c r="B65">
        <v>1</v>
      </c>
      <c r="D65" t="s">
        <v>30</v>
      </c>
      <c r="E65" t="s">
        <v>31</v>
      </c>
      <c r="F65" t="s">
        <v>31</v>
      </c>
      <c r="H65" t="s">
        <v>32</v>
      </c>
      <c r="I65" t="s">
        <v>33</v>
      </c>
      <c r="K65">
        <v>64</v>
      </c>
      <c r="M65" s="45">
        <v>47907</v>
      </c>
      <c r="N65" s="45">
        <v>47907</v>
      </c>
      <c r="O65" s="45">
        <v>47907</v>
      </c>
      <c r="P65">
        <v>5261458817.3560953</v>
      </c>
      <c r="V65">
        <v>1</v>
      </c>
      <c r="W65" t="s">
        <v>34</v>
      </c>
      <c r="Y65" t="s">
        <v>34</v>
      </c>
      <c r="Z65" t="s">
        <v>35</v>
      </c>
      <c r="AA65">
        <v>1</v>
      </c>
    </row>
    <row r="66" spans="1:27" x14ac:dyDescent="0.35">
      <c r="A66" s="45">
        <v>45936</v>
      </c>
      <c r="B66">
        <v>1</v>
      </c>
      <c r="D66" t="s">
        <v>30</v>
      </c>
      <c r="E66" t="s">
        <v>31</v>
      </c>
      <c r="F66" t="s">
        <v>31</v>
      </c>
      <c r="H66" t="s">
        <v>32</v>
      </c>
      <c r="I66" t="s">
        <v>33</v>
      </c>
      <c r="K66">
        <v>65</v>
      </c>
      <c r="M66" s="45">
        <v>47938</v>
      </c>
      <c r="N66" s="45">
        <v>47938</v>
      </c>
      <c r="O66" s="45">
        <v>47938</v>
      </c>
      <c r="P66">
        <v>5211244474.7586908</v>
      </c>
      <c r="V66">
        <v>1</v>
      </c>
      <c r="W66" t="s">
        <v>34</v>
      </c>
      <c r="Y66" t="s">
        <v>34</v>
      </c>
      <c r="Z66" t="s">
        <v>35</v>
      </c>
      <c r="AA66">
        <v>1</v>
      </c>
    </row>
    <row r="67" spans="1:27" x14ac:dyDescent="0.35">
      <c r="A67" s="45">
        <v>45936</v>
      </c>
      <c r="B67">
        <v>1</v>
      </c>
      <c r="D67" t="s">
        <v>30</v>
      </c>
      <c r="E67" t="s">
        <v>31</v>
      </c>
      <c r="F67" t="s">
        <v>31</v>
      </c>
      <c r="H67" t="s">
        <v>32</v>
      </c>
      <c r="I67" t="s">
        <v>33</v>
      </c>
      <c r="K67">
        <v>66</v>
      </c>
      <c r="M67" s="45">
        <v>47968</v>
      </c>
      <c r="N67" s="45">
        <v>47968</v>
      </c>
      <c r="O67" s="45">
        <v>47968</v>
      </c>
      <c r="P67">
        <v>5161030132.1612864</v>
      </c>
      <c r="V67">
        <v>1</v>
      </c>
      <c r="W67" t="s">
        <v>34</v>
      </c>
      <c r="Y67" t="s">
        <v>34</v>
      </c>
      <c r="Z67" t="s">
        <v>35</v>
      </c>
      <c r="AA67">
        <v>1</v>
      </c>
    </row>
    <row r="68" spans="1:27" x14ac:dyDescent="0.35">
      <c r="A68" s="45">
        <v>45936</v>
      </c>
      <c r="B68">
        <v>1</v>
      </c>
      <c r="D68" t="s">
        <v>30</v>
      </c>
      <c r="E68" t="s">
        <v>31</v>
      </c>
      <c r="F68" t="s">
        <v>31</v>
      </c>
      <c r="H68" t="s">
        <v>32</v>
      </c>
      <c r="I68" t="s">
        <v>33</v>
      </c>
      <c r="K68">
        <v>67</v>
      </c>
      <c r="M68" s="45">
        <v>47999</v>
      </c>
      <c r="N68" s="45">
        <v>47999</v>
      </c>
      <c r="O68" s="45">
        <v>47999</v>
      </c>
      <c r="P68">
        <v>5110815789.5638809</v>
      </c>
      <c r="V68">
        <v>1</v>
      </c>
      <c r="W68" t="s">
        <v>34</v>
      </c>
      <c r="Y68" t="s">
        <v>34</v>
      </c>
      <c r="Z68" t="s">
        <v>35</v>
      </c>
      <c r="AA68">
        <v>1</v>
      </c>
    </row>
    <row r="69" spans="1:27" x14ac:dyDescent="0.35">
      <c r="A69" s="45">
        <v>45936</v>
      </c>
      <c r="B69">
        <v>1</v>
      </c>
      <c r="D69" t="s">
        <v>30</v>
      </c>
      <c r="E69" t="s">
        <v>31</v>
      </c>
      <c r="F69" t="s">
        <v>31</v>
      </c>
      <c r="H69" t="s">
        <v>32</v>
      </c>
      <c r="I69" t="s">
        <v>33</v>
      </c>
      <c r="K69">
        <v>68</v>
      </c>
      <c r="M69" s="45">
        <v>48029</v>
      </c>
      <c r="N69" s="45">
        <v>48029</v>
      </c>
      <c r="O69" s="45">
        <v>48029</v>
      </c>
      <c r="P69">
        <v>5061605733.8184242</v>
      </c>
      <c r="V69">
        <v>1</v>
      </c>
      <c r="W69" t="s">
        <v>34</v>
      </c>
      <c r="Y69" t="s">
        <v>34</v>
      </c>
      <c r="Z69" t="s">
        <v>35</v>
      </c>
      <c r="AA69">
        <v>1</v>
      </c>
    </row>
    <row r="70" spans="1:27" x14ac:dyDescent="0.35">
      <c r="A70" s="45">
        <v>45936</v>
      </c>
      <c r="B70">
        <v>1</v>
      </c>
      <c r="D70" t="s">
        <v>30</v>
      </c>
      <c r="E70" t="s">
        <v>31</v>
      </c>
      <c r="F70" t="s">
        <v>31</v>
      </c>
      <c r="H70" t="s">
        <v>32</v>
      </c>
      <c r="I70" t="s">
        <v>33</v>
      </c>
      <c r="K70">
        <v>69</v>
      </c>
      <c r="M70" s="45">
        <v>48060</v>
      </c>
      <c r="N70" s="45">
        <v>48060</v>
      </c>
      <c r="O70" s="45">
        <v>48060</v>
      </c>
      <c r="P70">
        <v>5012395678.0729666</v>
      </c>
      <c r="V70">
        <v>1</v>
      </c>
      <c r="W70" t="s">
        <v>34</v>
      </c>
      <c r="Y70" t="s">
        <v>34</v>
      </c>
      <c r="Z70" t="s">
        <v>35</v>
      </c>
      <c r="AA70">
        <v>1</v>
      </c>
    </row>
    <row r="71" spans="1:27" x14ac:dyDescent="0.35">
      <c r="A71" s="45">
        <v>45936</v>
      </c>
      <c r="B71">
        <v>1</v>
      </c>
      <c r="D71" t="s">
        <v>30</v>
      </c>
      <c r="E71" t="s">
        <v>31</v>
      </c>
      <c r="F71" t="s">
        <v>31</v>
      </c>
      <c r="H71" t="s">
        <v>32</v>
      </c>
      <c r="I71" t="s">
        <v>33</v>
      </c>
      <c r="K71">
        <v>70</v>
      </c>
      <c r="M71" s="45">
        <v>48091</v>
      </c>
      <c r="N71" s="45">
        <v>48091</v>
      </c>
      <c r="O71" s="45">
        <v>48091</v>
      </c>
      <c r="P71">
        <v>4964189909.1794586</v>
      </c>
      <c r="V71">
        <v>1</v>
      </c>
      <c r="W71" t="s">
        <v>34</v>
      </c>
      <c r="Y71" t="s">
        <v>34</v>
      </c>
      <c r="Z71" t="s">
        <v>35</v>
      </c>
      <c r="AA71">
        <v>1</v>
      </c>
    </row>
    <row r="72" spans="1:27" x14ac:dyDescent="0.35">
      <c r="A72" s="45">
        <v>45936</v>
      </c>
      <c r="B72">
        <v>1</v>
      </c>
      <c r="D72" t="s">
        <v>30</v>
      </c>
      <c r="E72" t="s">
        <v>31</v>
      </c>
      <c r="F72" t="s">
        <v>31</v>
      </c>
      <c r="H72" t="s">
        <v>32</v>
      </c>
      <c r="I72" t="s">
        <v>33</v>
      </c>
      <c r="K72">
        <v>71</v>
      </c>
      <c r="M72" s="45">
        <v>48121</v>
      </c>
      <c r="N72" s="45">
        <v>48121</v>
      </c>
      <c r="O72" s="45">
        <v>48121</v>
      </c>
      <c r="P72">
        <v>4915984140.2859497</v>
      </c>
      <c r="V72">
        <v>1</v>
      </c>
      <c r="W72" t="s">
        <v>34</v>
      </c>
      <c r="Y72" t="s">
        <v>34</v>
      </c>
      <c r="Z72" t="s">
        <v>35</v>
      </c>
      <c r="AA72">
        <v>1</v>
      </c>
    </row>
    <row r="73" spans="1:27" x14ac:dyDescent="0.35">
      <c r="A73" s="45">
        <v>45936</v>
      </c>
      <c r="B73">
        <v>1</v>
      </c>
      <c r="D73" t="s">
        <v>30</v>
      </c>
      <c r="E73" t="s">
        <v>31</v>
      </c>
      <c r="F73" t="s">
        <v>31</v>
      </c>
      <c r="H73" t="s">
        <v>32</v>
      </c>
      <c r="I73" t="s">
        <v>33</v>
      </c>
      <c r="K73">
        <v>72</v>
      </c>
      <c r="M73" s="45">
        <v>48152</v>
      </c>
      <c r="N73" s="45">
        <v>48152</v>
      </c>
      <c r="O73" s="45">
        <v>48152</v>
      </c>
      <c r="P73">
        <v>4868782658.2443886</v>
      </c>
      <c r="V73">
        <v>1</v>
      </c>
      <c r="W73" t="s">
        <v>34</v>
      </c>
      <c r="Y73" t="s">
        <v>34</v>
      </c>
      <c r="Z73" t="s">
        <v>35</v>
      </c>
      <c r="AA73">
        <v>1</v>
      </c>
    </row>
    <row r="74" spans="1:27" x14ac:dyDescent="0.35">
      <c r="A74" s="45">
        <v>45936</v>
      </c>
      <c r="B74">
        <v>1</v>
      </c>
      <c r="D74" t="s">
        <v>30</v>
      </c>
      <c r="E74" t="s">
        <v>31</v>
      </c>
      <c r="F74" t="s">
        <v>31</v>
      </c>
      <c r="H74" t="s">
        <v>32</v>
      </c>
      <c r="I74" t="s">
        <v>33</v>
      </c>
      <c r="K74">
        <v>73</v>
      </c>
      <c r="M74" s="45">
        <v>48182</v>
      </c>
      <c r="N74" s="45">
        <v>48182</v>
      </c>
      <c r="O74" s="45">
        <v>48182</v>
      </c>
      <c r="P74">
        <v>4821581176.2028275</v>
      </c>
      <c r="V74">
        <v>1</v>
      </c>
      <c r="W74" t="s">
        <v>34</v>
      </c>
      <c r="Y74" t="s">
        <v>34</v>
      </c>
      <c r="Z74" t="s">
        <v>35</v>
      </c>
      <c r="AA74">
        <v>1</v>
      </c>
    </row>
    <row r="75" spans="1:27" x14ac:dyDescent="0.35">
      <c r="A75" s="45">
        <v>45936</v>
      </c>
      <c r="B75">
        <v>1</v>
      </c>
      <c r="D75" t="s">
        <v>30</v>
      </c>
      <c r="E75" t="s">
        <v>31</v>
      </c>
      <c r="F75" t="s">
        <v>31</v>
      </c>
      <c r="H75" t="s">
        <v>32</v>
      </c>
      <c r="I75" t="s">
        <v>33</v>
      </c>
      <c r="K75">
        <v>74</v>
      </c>
      <c r="M75" s="45">
        <v>48213</v>
      </c>
      <c r="N75" s="45">
        <v>48213</v>
      </c>
      <c r="O75" s="45">
        <v>48213</v>
      </c>
      <c r="P75">
        <v>494693626106.29932</v>
      </c>
      <c r="V75">
        <v>1</v>
      </c>
      <c r="W75" t="s">
        <v>34</v>
      </c>
      <c r="Y75" t="s">
        <v>34</v>
      </c>
      <c r="Z75" t="s">
        <v>35</v>
      </c>
      <c r="AA75">
        <v>1</v>
      </c>
    </row>
    <row r="76" spans="1:27" x14ac:dyDescent="0.35">
      <c r="A76" s="45">
        <v>45936</v>
      </c>
      <c r="B76">
        <v>1</v>
      </c>
      <c r="D76" t="s">
        <v>30</v>
      </c>
      <c r="E76" t="s">
        <v>31</v>
      </c>
      <c r="F76" t="s">
        <v>31</v>
      </c>
      <c r="H76" t="s">
        <v>33</v>
      </c>
      <c r="I76" t="s">
        <v>33</v>
      </c>
      <c r="M76" s="45">
        <v>45937</v>
      </c>
      <c r="N76" s="45">
        <v>45937</v>
      </c>
      <c r="O76" s="45">
        <v>45937</v>
      </c>
      <c r="P76">
        <v>1004286851948.1</v>
      </c>
      <c r="V76">
        <v>1</v>
      </c>
      <c r="W76" t="s">
        <v>34</v>
      </c>
      <c r="Y76" t="s">
        <v>34</v>
      </c>
      <c r="Z76" t="s">
        <v>35</v>
      </c>
      <c r="AA76">
        <v>1</v>
      </c>
    </row>
    <row r="77" spans="1:27" x14ac:dyDescent="0.35">
      <c r="A77" s="45">
        <v>45936</v>
      </c>
      <c r="B77">
        <v>1</v>
      </c>
      <c r="D77" t="s">
        <v>30</v>
      </c>
      <c r="E77" t="s">
        <v>31</v>
      </c>
      <c r="F77" t="s">
        <v>31</v>
      </c>
      <c r="H77" t="s">
        <v>32</v>
      </c>
      <c r="I77" t="s">
        <v>36</v>
      </c>
      <c r="M77" s="45">
        <v>45937</v>
      </c>
      <c r="N77" s="45">
        <v>45937</v>
      </c>
      <c r="O77" s="45">
        <v>45937</v>
      </c>
      <c r="P77">
        <v>430408650834.90002</v>
      </c>
      <c r="V77">
        <v>1</v>
      </c>
      <c r="W77" t="s">
        <v>34</v>
      </c>
      <c r="Y77" t="s">
        <v>34</v>
      </c>
      <c r="Z77" t="s">
        <v>35</v>
      </c>
      <c r="AA77">
        <v>1</v>
      </c>
    </row>
    <row r="78" spans="1:27" x14ac:dyDescent="0.35">
      <c r="A78" s="45">
        <v>45936</v>
      </c>
      <c r="B78">
        <v>1</v>
      </c>
      <c r="D78" t="s">
        <v>30</v>
      </c>
      <c r="E78" t="s">
        <v>31</v>
      </c>
      <c r="F78" t="s">
        <v>31</v>
      </c>
      <c r="H78" t="s">
        <v>36</v>
      </c>
      <c r="I78" t="s">
        <v>36</v>
      </c>
      <c r="M78" s="45">
        <v>45937</v>
      </c>
      <c r="N78" s="45">
        <v>45937</v>
      </c>
      <c r="O78" s="45">
        <v>45937</v>
      </c>
      <c r="P78">
        <v>430408650834.90002</v>
      </c>
      <c r="V78">
        <v>1</v>
      </c>
      <c r="W78" t="s">
        <v>34</v>
      </c>
      <c r="Y78" t="s">
        <v>34</v>
      </c>
      <c r="Z78" t="s">
        <v>35</v>
      </c>
      <c r="AA78">
        <v>1</v>
      </c>
    </row>
    <row r="79" spans="1:27" x14ac:dyDescent="0.35">
      <c r="A79" s="45">
        <v>45936</v>
      </c>
      <c r="B79">
        <v>1</v>
      </c>
      <c r="D79" t="s">
        <v>30</v>
      </c>
      <c r="E79" t="s">
        <v>31</v>
      </c>
      <c r="F79" t="s">
        <v>31</v>
      </c>
      <c r="H79" t="s">
        <v>37</v>
      </c>
      <c r="I79" t="s">
        <v>38</v>
      </c>
      <c r="K79">
        <v>1</v>
      </c>
      <c r="M79" s="45">
        <v>45991</v>
      </c>
      <c r="N79" s="45">
        <v>45991</v>
      </c>
      <c r="O79" s="45">
        <v>45991</v>
      </c>
      <c r="P79">
        <v>1754834451.9480741</v>
      </c>
      <c r="V79">
        <v>1</v>
      </c>
      <c r="W79" t="s">
        <v>34</v>
      </c>
      <c r="Y79" t="s">
        <v>34</v>
      </c>
      <c r="Z79" t="s">
        <v>35</v>
      </c>
      <c r="AA79">
        <v>1</v>
      </c>
    </row>
    <row r="80" spans="1:27" x14ac:dyDescent="0.35">
      <c r="A80" s="45">
        <v>45936</v>
      </c>
      <c r="B80">
        <v>1</v>
      </c>
      <c r="D80" t="s">
        <v>30</v>
      </c>
      <c r="E80" t="s">
        <v>31</v>
      </c>
      <c r="F80" t="s">
        <v>31</v>
      </c>
      <c r="H80" t="s">
        <v>37</v>
      </c>
      <c r="I80" t="s">
        <v>38</v>
      </c>
      <c r="K80">
        <v>2</v>
      </c>
      <c r="M80" s="45">
        <v>46022</v>
      </c>
      <c r="N80" s="45">
        <v>46022</v>
      </c>
      <c r="O80" s="45">
        <v>46022</v>
      </c>
      <c r="P80">
        <v>1727907213.283591</v>
      </c>
      <c r="V80">
        <v>1</v>
      </c>
      <c r="W80" t="s">
        <v>34</v>
      </c>
      <c r="Y80" t="s">
        <v>34</v>
      </c>
      <c r="Z80" t="s">
        <v>35</v>
      </c>
      <c r="AA80">
        <v>1</v>
      </c>
    </row>
    <row r="81" spans="1:27" x14ac:dyDescent="0.35">
      <c r="A81" s="45">
        <v>45936</v>
      </c>
      <c r="B81">
        <v>1</v>
      </c>
      <c r="D81" t="s">
        <v>30</v>
      </c>
      <c r="E81" t="s">
        <v>31</v>
      </c>
      <c r="F81" t="s">
        <v>31</v>
      </c>
      <c r="H81" t="s">
        <v>37</v>
      </c>
      <c r="I81" t="s">
        <v>38</v>
      </c>
      <c r="K81">
        <v>3</v>
      </c>
      <c r="M81" s="45">
        <v>46053</v>
      </c>
      <c r="N81" s="45">
        <v>46053</v>
      </c>
      <c r="O81" s="45">
        <v>46053</v>
      </c>
      <c r="P81">
        <v>1701322270.0258601</v>
      </c>
      <c r="V81">
        <v>1</v>
      </c>
      <c r="W81" t="s">
        <v>34</v>
      </c>
      <c r="Y81" t="s">
        <v>34</v>
      </c>
      <c r="Z81" t="s">
        <v>35</v>
      </c>
      <c r="AA81">
        <v>1</v>
      </c>
    </row>
    <row r="82" spans="1:27" x14ac:dyDescent="0.35">
      <c r="A82" s="45">
        <v>45936</v>
      </c>
      <c r="B82">
        <v>1</v>
      </c>
      <c r="D82" t="s">
        <v>30</v>
      </c>
      <c r="E82" t="s">
        <v>31</v>
      </c>
      <c r="F82" t="s">
        <v>31</v>
      </c>
      <c r="H82" t="s">
        <v>37</v>
      </c>
      <c r="I82" t="s">
        <v>38</v>
      </c>
      <c r="K82">
        <v>4</v>
      </c>
      <c r="M82" s="45">
        <v>46081</v>
      </c>
      <c r="N82" s="45">
        <v>46081</v>
      </c>
      <c r="O82" s="45">
        <v>46081</v>
      </c>
      <c r="P82">
        <v>1675193720.6437991</v>
      </c>
      <c r="V82">
        <v>1</v>
      </c>
      <c r="W82" t="s">
        <v>34</v>
      </c>
      <c r="Y82" t="s">
        <v>34</v>
      </c>
      <c r="Z82" t="s">
        <v>35</v>
      </c>
      <c r="AA82">
        <v>1</v>
      </c>
    </row>
    <row r="83" spans="1:27" x14ac:dyDescent="0.35">
      <c r="A83" s="45">
        <v>45936</v>
      </c>
      <c r="B83">
        <v>1</v>
      </c>
      <c r="D83" t="s">
        <v>30</v>
      </c>
      <c r="E83" t="s">
        <v>31</v>
      </c>
      <c r="F83" t="s">
        <v>31</v>
      </c>
      <c r="H83" t="s">
        <v>37</v>
      </c>
      <c r="I83" t="s">
        <v>38</v>
      </c>
      <c r="K83">
        <v>5</v>
      </c>
      <c r="M83" s="45">
        <v>46112</v>
      </c>
      <c r="N83" s="45">
        <v>46112</v>
      </c>
      <c r="O83" s="45">
        <v>46112</v>
      </c>
      <c r="P83">
        <v>1649407466.668489</v>
      </c>
      <c r="V83">
        <v>1</v>
      </c>
      <c r="W83" t="s">
        <v>34</v>
      </c>
      <c r="Y83" t="s">
        <v>34</v>
      </c>
      <c r="Z83" t="s">
        <v>35</v>
      </c>
      <c r="AA83">
        <v>1</v>
      </c>
    </row>
    <row r="84" spans="1:27" x14ac:dyDescent="0.35">
      <c r="A84" s="45">
        <v>45936</v>
      </c>
      <c r="B84">
        <v>1</v>
      </c>
      <c r="D84" t="s">
        <v>30</v>
      </c>
      <c r="E84" t="s">
        <v>31</v>
      </c>
      <c r="F84" t="s">
        <v>31</v>
      </c>
      <c r="H84" t="s">
        <v>37</v>
      </c>
      <c r="I84" t="s">
        <v>38</v>
      </c>
      <c r="K84">
        <v>6</v>
      </c>
      <c r="M84" s="45">
        <v>46142</v>
      </c>
      <c r="N84" s="45">
        <v>46142</v>
      </c>
      <c r="O84" s="45">
        <v>46142</v>
      </c>
      <c r="P84">
        <v>1624077606.5688479</v>
      </c>
      <c r="V84">
        <v>1</v>
      </c>
      <c r="W84" t="s">
        <v>34</v>
      </c>
      <c r="Y84" t="s">
        <v>34</v>
      </c>
      <c r="Z84" t="s">
        <v>35</v>
      </c>
      <c r="AA84">
        <v>1</v>
      </c>
    </row>
    <row r="85" spans="1:27" x14ac:dyDescent="0.35">
      <c r="A85" s="45">
        <v>45936</v>
      </c>
      <c r="B85">
        <v>1</v>
      </c>
      <c r="D85" t="s">
        <v>30</v>
      </c>
      <c r="E85" t="s">
        <v>31</v>
      </c>
      <c r="F85" t="s">
        <v>31</v>
      </c>
      <c r="H85" t="s">
        <v>37</v>
      </c>
      <c r="I85" t="s">
        <v>38</v>
      </c>
      <c r="K85">
        <v>7</v>
      </c>
      <c r="M85" s="45">
        <v>46173</v>
      </c>
      <c r="N85" s="45">
        <v>46173</v>
      </c>
      <c r="O85" s="45">
        <v>46173</v>
      </c>
      <c r="P85">
        <v>1599090041.8759589</v>
      </c>
      <c r="V85">
        <v>1</v>
      </c>
      <c r="W85" t="s">
        <v>34</v>
      </c>
      <c r="Y85" t="s">
        <v>34</v>
      </c>
      <c r="Z85" t="s">
        <v>35</v>
      </c>
      <c r="AA85">
        <v>1</v>
      </c>
    </row>
    <row r="86" spans="1:27" x14ac:dyDescent="0.35">
      <c r="A86" s="45">
        <v>45936</v>
      </c>
      <c r="B86">
        <v>1</v>
      </c>
      <c r="D86" t="s">
        <v>30</v>
      </c>
      <c r="E86" t="s">
        <v>31</v>
      </c>
      <c r="F86" t="s">
        <v>31</v>
      </c>
      <c r="H86" t="s">
        <v>37</v>
      </c>
      <c r="I86" t="s">
        <v>38</v>
      </c>
      <c r="K86">
        <v>8</v>
      </c>
      <c r="M86" s="45">
        <v>46203</v>
      </c>
      <c r="N86" s="45">
        <v>46203</v>
      </c>
      <c r="O86" s="45">
        <v>46203</v>
      </c>
      <c r="P86">
        <v>1574444772.589823</v>
      </c>
      <c r="V86">
        <v>1</v>
      </c>
      <c r="W86" t="s">
        <v>34</v>
      </c>
      <c r="Y86" t="s">
        <v>34</v>
      </c>
      <c r="Z86" t="s">
        <v>35</v>
      </c>
      <c r="AA86">
        <v>1</v>
      </c>
    </row>
    <row r="87" spans="1:27" x14ac:dyDescent="0.35">
      <c r="A87" s="45">
        <v>45936</v>
      </c>
      <c r="B87">
        <v>1</v>
      </c>
      <c r="D87" t="s">
        <v>30</v>
      </c>
      <c r="E87" t="s">
        <v>31</v>
      </c>
      <c r="F87" t="s">
        <v>31</v>
      </c>
      <c r="H87" t="s">
        <v>37</v>
      </c>
      <c r="I87" t="s">
        <v>38</v>
      </c>
      <c r="K87">
        <v>9</v>
      </c>
      <c r="M87" s="45">
        <v>46234</v>
      </c>
      <c r="N87" s="45">
        <v>46234</v>
      </c>
      <c r="O87" s="45">
        <v>46234</v>
      </c>
      <c r="P87">
        <v>1550255897.1793549</v>
      </c>
      <c r="V87">
        <v>1</v>
      </c>
      <c r="W87" t="s">
        <v>34</v>
      </c>
      <c r="Y87" t="s">
        <v>34</v>
      </c>
      <c r="Z87" t="s">
        <v>35</v>
      </c>
      <c r="AA87">
        <v>1</v>
      </c>
    </row>
    <row r="88" spans="1:27" x14ac:dyDescent="0.35">
      <c r="A88" s="45">
        <v>45936</v>
      </c>
      <c r="B88">
        <v>1</v>
      </c>
      <c r="D88" t="s">
        <v>30</v>
      </c>
      <c r="E88" t="s">
        <v>31</v>
      </c>
      <c r="F88" t="s">
        <v>31</v>
      </c>
      <c r="H88" t="s">
        <v>37</v>
      </c>
      <c r="I88" t="s">
        <v>38</v>
      </c>
      <c r="K88">
        <v>10</v>
      </c>
      <c r="M88" s="45">
        <v>46265</v>
      </c>
      <c r="N88" s="45">
        <v>46265</v>
      </c>
      <c r="O88" s="45">
        <v>46265</v>
      </c>
      <c r="P88">
        <v>1526409317.1756389</v>
      </c>
      <c r="V88">
        <v>1</v>
      </c>
      <c r="W88" t="s">
        <v>34</v>
      </c>
      <c r="Y88" t="s">
        <v>34</v>
      </c>
      <c r="Z88" t="s">
        <v>35</v>
      </c>
      <c r="AA88">
        <v>1</v>
      </c>
    </row>
    <row r="89" spans="1:27" x14ac:dyDescent="0.35">
      <c r="A89" s="45">
        <v>45936</v>
      </c>
      <c r="B89">
        <v>1</v>
      </c>
      <c r="D89" t="s">
        <v>30</v>
      </c>
      <c r="E89" t="s">
        <v>31</v>
      </c>
      <c r="F89" t="s">
        <v>31</v>
      </c>
      <c r="H89" t="s">
        <v>37</v>
      </c>
      <c r="I89" t="s">
        <v>38</v>
      </c>
      <c r="K89">
        <v>11</v>
      </c>
      <c r="M89" s="45">
        <v>46295</v>
      </c>
      <c r="N89" s="45">
        <v>46295</v>
      </c>
      <c r="O89" s="45">
        <v>46295</v>
      </c>
      <c r="P89">
        <v>1502905032.578676</v>
      </c>
      <c r="V89">
        <v>1</v>
      </c>
      <c r="W89" t="s">
        <v>34</v>
      </c>
      <c r="Y89" t="s">
        <v>34</v>
      </c>
      <c r="Z89" t="s">
        <v>35</v>
      </c>
      <c r="AA89">
        <v>1</v>
      </c>
    </row>
    <row r="90" spans="1:27" x14ac:dyDescent="0.35">
      <c r="A90" s="45">
        <v>45936</v>
      </c>
      <c r="B90">
        <v>1</v>
      </c>
      <c r="D90" t="s">
        <v>30</v>
      </c>
      <c r="E90" t="s">
        <v>31</v>
      </c>
      <c r="F90" t="s">
        <v>31</v>
      </c>
      <c r="H90" t="s">
        <v>37</v>
      </c>
      <c r="I90" t="s">
        <v>38</v>
      </c>
      <c r="K90">
        <v>12</v>
      </c>
      <c r="M90" s="45">
        <v>46326</v>
      </c>
      <c r="N90" s="45">
        <v>46326</v>
      </c>
      <c r="O90" s="45">
        <v>46326</v>
      </c>
      <c r="P90">
        <v>1479743043.388463</v>
      </c>
      <c r="V90">
        <v>1</v>
      </c>
      <c r="W90" t="s">
        <v>34</v>
      </c>
      <c r="Y90" t="s">
        <v>34</v>
      </c>
      <c r="Z90" t="s">
        <v>35</v>
      </c>
      <c r="AA90">
        <v>1</v>
      </c>
    </row>
    <row r="91" spans="1:27" x14ac:dyDescent="0.35">
      <c r="A91" s="45">
        <v>45936</v>
      </c>
      <c r="B91">
        <v>1</v>
      </c>
      <c r="D91" t="s">
        <v>30</v>
      </c>
      <c r="E91" t="s">
        <v>31</v>
      </c>
      <c r="F91" t="s">
        <v>31</v>
      </c>
      <c r="H91" t="s">
        <v>37</v>
      </c>
      <c r="I91" t="s">
        <v>38</v>
      </c>
      <c r="K91">
        <v>13</v>
      </c>
      <c r="M91" s="45">
        <v>46356</v>
      </c>
      <c r="N91" s="45">
        <v>46356</v>
      </c>
      <c r="O91" s="45">
        <v>46356</v>
      </c>
      <c r="P91">
        <v>1457037448.073921</v>
      </c>
      <c r="V91">
        <v>1</v>
      </c>
      <c r="W91" t="s">
        <v>34</v>
      </c>
      <c r="Y91" t="s">
        <v>34</v>
      </c>
      <c r="Z91" t="s">
        <v>35</v>
      </c>
      <c r="AA91">
        <v>1</v>
      </c>
    </row>
    <row r="92" spans="1:27" x14ac:dyDescent="0.35">
      <c r="A92" s="45">
        <v>45936</v>
      </c>
      <c r="B92">
        <v>1</v>
      </c>
      <c r="D92" t="s">
        <v>30</v>
      </c>
      <c r="E92" t="s">
        <v>31</v>
      </c>
      <c r="F92" t="s">
        <v>31</v>
      </c>
      <c r="H92" t="s">
        <v>37</v>
      </c>
      <c r="I92" t="s">
        <v>38</v>
      </c>
      <c r="K92">
        <v>14</v>
      </c>
      <c r="M92" s="45">
        <v>46387</v>
      </c>
      <c r="N92" s="45">
        <v>46387</v>
      </c>
      <c r="O92" s="45">
        <v>46387</v>
      </c>
      <c r="P92">
        <v>1434674148.1661301</v>
      </c>
      <c r="V92">
        <v>1</v>
      </c>
      <c r="W92" t="s">
        <v>34</v>
      </c>
      <c r="Y92" t="s">
        <v>34</v>
      </c>
      <c r="Z92" t="s">
        <v>35</v>
      </c>
      <c r="AA92">
        <v>1</v>
      </c>
    </row>
    <row r="93" spans="1:27" x14ac:dyDescent="0.35">
      <c r="A93" s="45">
        <v>45936</v>
      </c>
      <c r="B93">
        <v>1</v>
      </c>
      <c r="D93" t="s">
        <v>30</v>
      </c>
      <c r="E93" t="s">
        <v>31</v>
      </c>
      <c r="F93" t="s">
        <v>31</v>
      </c>
      <c r="H93" t="s">
        <v>37</v>
      </c>
      <c r="I93" t="s">
        <v>38</v>
      </c>
      <c r="K93">
        <v>15</v>
      </c>
      <c r="M93" s="45">
        <v>46418</v>
      </c>
      <c r="N93" s="45">
        <v>46418</v>
      </c>
      <c r="O93" s="45">
        <v>46418</v>
      </c>
      <c r="P93">
        <v>1412539045.1961739</v>
      </c>
      <c r="V93">
        <v>1</v>
      </c>
      <c r="W93" t="s">
        <v>34</v>
      </c>
      <c r="Y93" t="s">
        <v>34</v>
      </c>
      <c r="Z93" t="s">
        <v>35</v>
      </c>
      <c r="AA93">
        <v>1</v>
      </c>
    </row>
    <row r="94" spans="1:27" x14ac:dyDescent="0.35">
      <c r="A94" s="45">
        <v>45936</v>
      </c>
      <c r="B94">
        <v>1</v>
      </c>
      <c r="D94" t="s">
        <v>30</v>
      </c>
      <c r="E94" t="s">
        <v>31</v>
      </c>
      <c r="F94" t="s">
        <v>31</v>
      </c>
      <c r="H94" t="s">
        <v>37</v>
      </c>
      <c r="I94" t="s">
        <v>38</v>
      </c>
      <c r="K94">
        <v>16</v>
      </c>
      <c r="M94" s="45">
        <v>46446</v>
      </c>
      <c r="N94" s="45">
        <v>46446</v>
      </c>
      <c r="O94" s="45">
        <v>46446</v>
      </c>
      <c r="P94">
        <v>1390860336.101887</v>
      </c>
      <c r="V94">
        <v>1</v>
      </c>
      <c r="W94" t="s">
        <v>34</v>
      </c>
      <c r="Y94" t="s">
        <v>34</v>
      </c>
      <c r="Z94" t="s">
        <v>35</v>
      </c>
      <c r="AA94">
        <v>1</v>
      </c>
    </row>
    <row r="95" spans="1:27" x14ac:dyDescent="0.35">
      <c r="A95" s="45">
        <v>45936</v>
      </c>
      <c r="B95">
        <v>1</v>
      </c>
      <c r="D95" t="s">
        <v>30</v>
      </c>
      <c r="E95" t="s">
        <v>31</v>
      </c>
      <c r="F95" t="s">
        <v>31</v>
      </c>
      <c r="H95" t="s">
        <v>37</v>
      </c>
      <c r="I95" t="s">
        <v>38</v>
      </c>
      <c r="K95">
        <v>17</v>
      </c>
      <c r="M95" s="45">
        <v>46477</v>
      </c>
      <c r="N95" s="45">
        <v>46477</v>
      </c>
      <c r="O95" s="45">
        <v>46477</v>
      </c>
      <c r="P95">
        <v>1369409823.945435</v>
      </c>
      <c r="V95">
        <v>1</v>
      </c>
      <c r="W95" t="s">
        <v>34</v>
      </c>
      <c r="Y95" t="s">
        <v>34</v>
      </c>
      <c r="Z95" t="s">
        <v>35</v>
      </c>
      <c r="AA95">
        <v>1</v>
      </c>
    </row>
    <row r="96" spans="1:27" x14ac:dyDescent="0.35">
      <c r="A96" s="45">
        <v>45936</v>
      </c>
      <c r="B96">
        <v>1</v>
      </c>
      <c r="D96" t="s">
        <v>30</v>
      </c>
      <c r="E96" t="s">
        <v>31</v>
      </c>
      <c r="F96" t="s">
        <v>31</v>
      </c>
      <c r="H96" t="s">
        <v>37</v>
      </c>
      <c r="I96" t="s">
        <v>38</v>
      </c>
      <c r="K96">
        <v>18</v>
      </c>
      <c r="M96" s="45">
        <v>46507</v>
      </c>
      <c r="N96" s="45">
        <v>46507</v>
      </c>
      <c r="O96" s="45">
        <v>46507</v>
      </c>
      <c r="P96">
        <v>1348415705.6646509</v>
      </c>
      <c r="V96">
        <v>1</v>
      </c>
      <c r="W96" t="s">
        <v>34</v>
      </c>
      <c r="Y96" t="s">
        <v>34</v>
      </c>
      <c r="Z96" t="s">
        <v>35</v>
      </c>
      <c r="AA96">
        <v>1</v>
      </c>
    </row>
    <row r="97" spans="1:27" x14ac:dyDescent="0.35">
      <c r="A97" s="45">
        <v>45936</v>
      </c>
      <c r="B97">
        <v>1</v>
      </c>
      <c r="D97" t="s">
        <v>30</v>
      </c>
      <c r="E97" t="s">
        <v>31</v>
      </c>
      <c r="F97" t="s">
        <v>31</v>
      </c>
      <c r="H97" t="s">
        <v>37</v>
      </c>
      <c r="I97" t="s">
        <v>38</v>
      </c>
      <c r="K97">
        <v>19</v>
      </c>
      <c r="M97" s="45">
        <v>46538</v>
      </c>
      <c r="N97" s="45">
        <v>46538</v>
      </c>
      <c r="O97" s="45">
        <v>46538</v>
      </c>
      <c r="P97">
        <v>1327649784.321703</v>
      </c>
      <c r="V97">
        <v>1</v>
      </c>
      <c r="W97" t="s">
        <v>34</v>
      </c>
      <c r="Y97" t="s">
        <v>34</v>
      </c>
      <c r="Z97" t="s">
        <v>35</v>
      </c>
      <c r="AA97">
        <v>1</v>
      </c>
    </row>
    <row r="98" spans="1:27" x14ac:dyDescent="0.35">
      <c r="A98" s="45">
        <v>45936</v>
      </c>
      <c r="B98">
        <v>1</v>
      </c>
      <c r="D98" t="s">
        <v>30</v>
      </c>
      <c r="E98" t="s">
        <v>31</v>
      </c>
      <c r="F98" t="s">
        <v>31</v>
      </c>
      <c r="H98" t="s">
        <v>37</v>
      </c>
      <c r="I98" t="s">
        <v>38</v>
      </c>
      <c r="K98">
        <v>20</v>
      </c>
      <c r="M98" s="45">
        <v>46568</v>
      </c>
      <c r="N98" s="45">
        <v>46568</v>
      </c>
      <c r="O98" s="45">
        <v>46568</v>
      </c>
      <c r="P98">
        <v>1307226158.3855059</v>
      </c>
      <c r="V98">
        <v>1</v>
      </c>
      <c r="W98" t="s">
        <v>34</v>
      </c>
      <c r="Y98" t="s">
        <v>34</v>
      </c>
      <c r="Z98" t="s">
        <v>35</v>
      </c>
      <c r="AA98">
        <v>1</v>
      </c>
    </row>
    <row r="99" spans="1:27" x14ac:dyDescent="0.35">
      <c r="A99" s="45">
        <v>45936</v>
      </c>
      <c r="B99">
        <v>1</v>
      </c>
      <c r="D99" t="s">
        <v>30</v>
      </c>
      <c r="E99" t="s">
        <v>31</v>
      </c>
      <c r="F99" t="s">
        <v>31</v>
      </c>
      <c r="H99" t="s">
        <v>37</v>
      </c>
      <c r="I99" t="s">
        <v>38</v>
      </c>
      <c r="K99">
        <v>21</v>
      </c>
      <c r="M99" s="45">
        <v>46599</v>
      </c>
      <c r="N99" s="45">
        <v>46599</v>
      </c>
      <c r="O99" s="45">
        <v>46599</v>
      </c>
      <c r="P99">
        <v>1287144827.856061</v>
      </c>
      <c r="V99">
        <v>1</v>
      </c>
      <c r="W99" t="s">
        <v>34</v>
      </c>
      <c r="Y99" t="s">
        <v>34</v>
      </c>
      <c r="Z99" t="s">
        <v>35</v>
      </c>
      <c r="AA99">
        <v>1</v>
      </c>
    </row>
    <row r="100" spans="1:27" x14ac:dyDescent="0.35">
      <c r="A100" s="45">
        <v>45936</v>
      </c>
      <c r="B100">
        <v>1</v>
      </c>
      <c r="D100" t="s">
        <v>30</v>
      </c>
      <c r="E100" t="s">
        <v>31</v>
      </c>
      <c r="F100" t="s">
        <v>31</v>
      </c>
      <c r="H100" t="s">
        <v>37</v>
      </c>
      <c r="I100" t="s">
        <v>38</v>
      </c>
      <c r="K100">
        <v>22</v>
      </c>
      <c r="M100" s="45">
        <v>46630</v>
      </c>
      <c r="N100" s="45">
        <v>46630</v>
      </c>
      <c r="O100" s="45">
        <v>46630</v>
      </c>
      <c r="P100">
        <v>1267291694.264451</v>
      </c>
      <c r="V100">
        <v>1</v>
      </c>
      <c r="W100" t="s">
        <v>34</v>
      </c>
      <c r="Y100" t="s">
        <v>34</v>
      </c>
      <c r="Z100" t="s">
        <v>35</v>
      </c>
      <c r="AA100">
        <v>1</v>
      </c>
    </row>
    <row r="101" spans="1:27" x14ac:dyDescent="0.35">
      <c r="A101" s="45">
        <v>45936</v>
      </c>
      <c r="B101">
        <v>1</v>
      </c>
      <c r="D101" t="s">
        <v>30</v>
      </c>
      <c r="E101" t="s">
        <v>31</v>
      </c>
      <c r="F101" t="s">
        <v>31</v>
      </c>
      <c r="H101" t="s">
        <v>37</v>
      </c>
      <c r="I101" t="s">
        <v>38</v>
      </c>
      <c r="K101">
        <v>23</v>
      </c>
      <c r="M101" s="45">
        <v>46660</v>
      </c>
      <c r="N101" s="45">
        <v>46660</v>
      </c>
      <c r="O101" s="45">
        <v>46660</v>
      </c>
      <c r="P101">
        <v>1247780856.0795929</v>
      </c>
      <c r="V101">
        <v>1</v>
      </c>
      <c r="W101" t="s">
        <v>34</v>
      </c>
      <c r="Y101" t="s">
        <v>34</v>
      </c>
      <c r="Z101" t="s">
        <v>35</v>
      </c>
      <c r="AA101">
        <v>1</v>
      </c>
    </row>
    <row r="102" spans="1:27" x14ac:dyDescent="0.35">
      <c r="A102" s="45">
        <v>45936</v>
      </c>
      <c r="B102">
        <v>1</v>
      </c>
      <c r="D102" t="s">
        <v>30</v>
      </c>
      <c r="E102" t="s">
        <v>31</v>
      </c>
      <c r="F102" t="s">
        <v>31</v>
      </c>
      <c r="H102" t="s">
        <v>37</v>
      </c>
      <c r="I102" t="s">
        <v>38</v>
      </c>
      <c r="K102">
        <v>24</v>
      </c>
      <c r="M102" s="45">
        <v>46691</v>
      </c>
      <c r="N102" s="45">
        <v>46691</v>
      </c>
      <c r="O102" s="45">
        <v>46691</v>
      </c>
      <c r="P102">
        <v>1228612313.301486</v>
      </c>
      <c r="V102">
        <v>1</v>
      </c>
      <c r="W102" t="s">
        <v>34</v>
      </c>
      <c r="Y102" t="s">
        <v>34</v>
      </c>
      <c r="Z102" t="s">
        <v>35</v>
      </c>
      <c r="AA102">
        <v>1</v>
      </c>
    </row>
    <row r="103" spans="1:27" x14ac:dyDescent="0.35">
      <c r="A103" s="45">
        <v>45936</v>
      </c>
      <c r="B103">
        <v>1</v>
      </c>
      <c r="D103" t="s">
        <v>30</v>
      </c>
      <c r="E103" t="s">
        <v>31</v>
      </c>
      <c r="F103" t="s">
        <v>31</v>
      </c>
      <c r="H103" t="s">
        <v>37</v>
      </c>
      <c r="I103" t="s">
        <v>38</v>
      </c>
      <c r="K103">
        <v>25</v>
      </c>
      <c r="M103" s="45">
        <v>46721</v>
      </c>
      <c r="N103" s="45">
        <v>46721</v>
      </c>
      <c r="O103" s="45">
        <v>46721</v>
      </c>
      <c r="P103">
        <v>1209786065.9301319</v>
      </c>
      <c r="V103">
        <v>1</v>
      </c>
      <c r="W103" t="s">
        <v>34</v>
      </c>
      <c r="Y103" t="s">
        <v>34</v>
      </c>
      <c r="Z103" t="s">
        <v>35</v>
      </c>
      <c r="AA103">
        <v>1</v>
      </c>
    </row>
    <row r="104" spans="1:27" x14ac:dyDescent="0.35">
      <c r="A104" s="45">
        <v>45936</v>
      </c>
      <c r="B104">
        <v>1</v>
      </c>
      <c r="D104" t="s">
        <v>30</v>
      </c>
      <c r="E104" t="s">
        <v>31</v>
      </c>
      <c r="F104" t="s">
        <v>31</v>
      </c>
      <c r="H104" t="s">
        <v>37</v>
      </c>
      <c r="I104" t="s">
        <v>38</v>
      </c>
      <c r="K104">
        <v>26</v>
      </c>
      <c r="M104" s="45">
        <v>46752</v>
      </c>
      <c r="N104" s="45">
        <v>46752</v>
      </c>
      <c r="O104" s="45">
        <v>46752</v>
      </c>
      <c r="P104">
        <v>1191188015.4966121</v>
      </c>
      <c r="V104">
        <v>1</v>
      </c>
      <c r="W104" t="s">
        <v>34</v>
      </c>
      <c r="Y104" t="s">
        <v>34</v>
      </c>
      <c r="Z104" t="s">
        <v>35</v>
      </c>
      <c r="AA104">
        <v>1</v>
      </c>
    </row>
    <row r="105" spans="1:27" x14ac:dyDescent="0.35">
      <c r="A105" s="45">
        <v>45936</v>
      </c>
      <c r="B105">
        <v>1</v>
      </c>
      <c r="D105" t="s">
        <v>30</v>
      </c>
      <c r="E105" t="s">
        <v>31</v>
      </c>
      <c r="F105" t="s">
        <v>31</v>
      </c>
      <c r="H105" t="s">
        <v>37</v>
      </c>
      <c r="I105" t="s">
        <v>38</v>
      </c>
      <c r="K105">
        <v>27</v>
      </c>
      <c r="M105" s="45">
        <v>46783</v>
      </c>
      <c r="N105" s="45">
        <v>46783</v>
      </c>
      <c r="O105" s="45">
        <v>46783</v>
      </c>
      <c r="P105">
        <v>1172818162.000926</v>
      </c>
      <c r="V105">
        <v>1</v>
      </c>
      <c r="W105" t="s">
        <v>34</v>
      </c>
      <c r="Y105" t="s">
        <v>34</v>
      </c>
      <c r="Z105" t="s">
        <v>35</v>
      </c>
      <c r="AA105">
        <v>1</v>
      </c>
    </row>
    <row r="106" spans="1:27" x14ac:dyDescent="0.35">
      <c r="A106" s="45">
        <v>45936</v>
      </c>
      <c r="B106">
        <v>1</v>
      </c>
      <c r="D106" t="s">
        <v>30</v>
      </c>
      <c r="E106" t="s">
        <v>31</v>
      </c>
      <c r="F106" t="s">
        <v>31</v>
      </c>
      <c r="H106" t="s">
        <v>37</v>
      </c>
      <c r="I106" t="s">
        <v>38</v>
      </c>
      <c r="K106">
        <v>28</v>
      </c>
      <c r="M106" s="45">
        <v>46812</v>
      </c>
      <c r="N106" s="45">
        <v>46812</v>
      </c>
      <c r="O106" s="45">
        <v>46812</v>
      </c>
      <c r="P106">
        <v>1154790603.911993</v>
      </c>
      <c r="V106">
        <v>1</v>
      </c>
      <c r="W106" t="s">
        <v>34</v>
      </c>
      <c r="Y106" t="s">
        <v>34</v>
      </c>
      <c r="Z106" t="s">
        <v>35</v>
      </c>
      <c r="AA106">
        <v>1</v>
      </c>
    </row>
    <row r="107" spans="1:27" x14ac:dyDescent="0.35">
      <c r="A107" s="45">
        <v>45936</v>
      </c>
      <c r="B107">
        <v>1</v>
      </c>
      <c r="D107" t="s">
        <v>30</v>
      </c>
      <c r="E107" t="s">
        <v>31</v>
      </c>
      <c r="F107" t="s">
        <v>31</v>
      </c>
      <c r="H107" t="s">
        <v>37</v>
      </c>
      <c r="I107" t="s">
        <v>38</v>
      </c>
      <c r="K107">
        <v>29</v>
      </c>
      <c r="M107" s="45">
        <v>46843</v>
      </c>
      <c r="N107" s="45">
        <v>46843</v>
      </c>
      <c r="O107" s="45">
        <v>46843</v>
      </c>
      <c r="P107">
        <v>1136991242.7608941</v>
      </c>
      <c r="V107">
        <v>1</v>
      </c>
      <c r="W107" t="s">
        <v>34</v>
      </c>
      <c r="Y107" t="s">
        <v>34</v>
      </c>
      <c r="Z107" t="s">
        <v>35</v>
      </c>
      <c r="AA107">
        <v>1</v>
      </c>
    </row>
    <row r="108" spans="1:27" x14ac:dyDescent="0.35">
      <c r="A108" s="45">
        <v>45936</v>
      </c>
      <c r="B108">
        <v>1</v>
      </c>
      <c r="D108" t="s">
        <v>30</v>
      </c>
      <c r="E108" t="s">
        <v>31</v>
      </c>
      <c r="F108" t="s">
        <v>31</v>
      </c>
      <c r="H108" t="s">
        <v>37</v>
      </c>
      <c r="I108" t="s">
        <v>38</v>
      </c>
      <c r="K108">
        <v>30</v>
      </c>
      <c r="M108" s="45">
        <v>46873</v>
      </c>
      <c r="N108" s="45">
        <v>46873</v>
      </c>
      <c r="O108" s="45">
        <v>46873</v>
      </c>
      <c r="P108">
        <v>1119534177.016547</v>
      </c>
      <c r="V108">
        <v>1</v>
      </c>
      <c r="W108" t="s">
        <v>34</v>
      </c>
      <c r="Y108" t="s">
        <v>34</v>
      </c>
      <c r="Z108" t="s">
        <v>35</v>
      </c>
      <c r="AA108">
        <v>1</v>
      </c>
    </row>
    <row r="109" spans="1:27" x14ac:dyDescent="0.35">
      <c r="A109" s="45">
        <v>45936</v>
      </c>
      <c r="B109">
        <v>1</v>
      </c>
      <c r="D109" t="s">
        <v>30</v>
      </c>
      <c r="E109" t="s">
        <v>31</v>
      </c>
      <c r="F109" t="s">
        <v>31</v>
      </c>
      <c r="H109" t="s">
        <v>37</v>
      </c>
      <c r="I109" t="s">
        <v>38</v>
      </c>
      <c r="K109">
        <v>31</v>
      </c>
      <c r="M109" s="45">
        <v>46904</v>
      </c>
      <c r="N109" s="45">
        <v>46904</v>
      </c>
      <c r="O109" s="45">
        <v>46904</v>
      </c>
      <c r="P109">
        <v>1102305308.2100351</v>
      </c>
      <c r="V109">
        <v>1</v>
      </c>
      <c r="W109" t="s">
        <v>34</v>
      </c>
      <c r="Y109" t="s">
        <v>34</v>
      </c>
      <c r="Z109" t="s">
        <v>35</v>
      </c>
      <c r="AA109">
        <v>1</v>
      </c>
    </row>
    <row r="110" spans="1:27" x14ac:dyDescent="0.35">
      <c r="A110" s="45">
        <v>45936</v>
      </c>
      <c r="B110">
        <v>1</v>
      </c>
      <c r="D110" t="s">
        <v>30</v>
      </c>
      <c r="E110" t="s">
        <v>31</v>
      </c>
      <c r="F110" t="s">
        <v>31</v>
      </c>
      <c r="H110" t="s">
        <v>37</v>
      </c>
      <c r="I110" t="s">
        <v>38</v>
      </c>
      <c r="K110">
        <v>32</v>
      </c>
      <c r="M110" s="45">
        <v>46934</v>
      </c>
      <c r="N110" s="45">
        <v>46934</v>
      </c>
      <c r="O110" s="45">
        <v>46934</v>
      </c>
      <c r="P110">
        <v>1085304636.341357</v>
      </c>
      <c r="V110">
        <v>1</v>
      </c>
      <c r="W110" t="s">
        <v>34</v>
      </c>
      <c r="Y110" t="s">
        <v>34</v>
      </c>
      <c r="Z110" t="s">
        <v>35</v>
      </c>
      <c r="AA110">
        <v>1</v>
      </c>
    </row>
    <row r="111" spans="1:27" x14ac:dyDescent="0.35">
      <c r="A111" s="45">
        <v>45936</v>
      </c>
      <c r="B111">
        <v>1</v>
      </c>
      <c r="D111" t="s">
        <v>30</v>
      </c>
      <c r="E111" t="s">
        <v>31</v>
      </c>
      <c r="F111" t="s">
        <v>31</v>
      </c>
      <c r="H111" t="s">
        <v>37</v>
      </c>
      <c r="I111" t="s">
        <v>38</v>
      </c>
      <c r="K111">
        <v>33</v>
      </c>
      <c r="M111" s="45">
        <v>46965</v>
      </c>
      <c r="N111" s="45">
        <v>46965</v>
      </c>
      <c r="O111" s="45">
        <v>46965</v>
      </c>
      <c r="P111">
        <v>1068646259.879432</v>
      </c>
      <c r="V111">
        <v>1</v>
      </c>
      <c r="W111" t="s">
        <v>34</v>
      </c>
      <c r="Y111" t="s">
        <v>34</v>
      </c>
      <c r="Z111" t="s">
        <v>35</v>
      </c>
      <c r="AA111">
        <v>1</v>
      </c>
    </row>
    <row r="112" spans="1:27" x14ac:dyDescent="0.35">
      <c r="A112" s="45">
        <v>45936</v>
      </c>
      <c r="B112">
        <v>1</v>
      </c>
      <c r="D112" t="s">
        <v>30</v>
      </c>
      <c r="E112" t="s">
        <v>31</v>
      </c>
      <c r="F112" t="s">
        <v>31</v>
      </c>
      <c r="H112" t="s">
        <v>37</v>
      </c>
      <c r="I112" t="s">
        <v>38</v>
      </c>
      <c r="K112">
        <v>34</v>
      </c>
      <c r="M112" s="45">
        <v>46996</v>
      </c>
      <c r="N112" s="45">
        <v>46996</v>
      </c>
      <c r="O112" s="45">
        <v>46996</v>
      </c>
      <c r="P112">
        <v>1052216080.35534</v>
      </c>
      <c r="V112">
        <v>1</v>
      </c>
      <c r="W112" t="s">
        <v>34</v>
      </c>
      <c r="Y112" t="s">
        <v>34</v>
      </c>
      <c r="Z112" t="s">
        <v>35</v>
      </c>
      <c r="AA112">
        <v>1</v>
      </c>
    </row>
    <row r="113" spans="1:27" x14ac:dyDescent="0.35">
      <c r="A113" s="45">
        <v>45936</v>
      </c>
      <c r="B113">
        <v>1</v>
      </c>
      <c r="D113" t="s">
        <v>30</v>
      </c>
      <c r="E113" t="s">
        <v>31</v>
      </c>
      <c r="F113" t="s">
        <v>31</v>
      </c>
      <c r="H113" t="s">
        <v>37</v>
      </c>
      <c r="I113" t="s">
        <v>38</v>
      </c>
      <c r="K113">
        <v>35</v>
      </c>
      <c r="M113" s="45">
        <v>47026</v>
      </c>
      <c r="N113" s="45">
        <v>47026</v>
      </c>
      <c r="O113" s="45">
        <v>47026</v>
      </c>
      <c r="P113">
        <v>1036014097.769084</v>
      </c>
      <c r="V113">
        <v>1</v>
      </c>
      <c r="W113" t="s">
        <v>34</v>
      </c>
      <c r="Y113" t="s">
        <v>34</v>
      </c>
      <c r="Z113" t="s">
        <v>35</v>
      </c>
      <c r="AA113">
        <v>1</v>
      </c>
    </row>
    <row r="114" spans="1:27" x14ac:dyDescent="0.35">
      <c r="A114" s="45">
        <v>45936</v>
      </c>
      <c r="B114">
        <v>1</v>
      </c>
      <c r="D114" t="s">
        <v>30</v>
      </c>
      <c r="E114" t="s">
        <v>31</v>
      </c>
      <c r="F114" t="s">
        <v>31</v>
      </c>
      <c r="H114" t="s">
        <v>37</v>
      </c>
      <c r="I114" t="s">
        <v>38</v>
      </c>
      <c r="K114">
        <v>36</v>
      </c>
      <c r="M114" s="45">
        <v>47057</v>
      </c>
      <c r="N114" s="45">
        <v>47057</v>
      </c>
      <c r="O114" s="45">
        <v>47057</v>
      </c>
      <c r="P114">
        <v>1020154410.589579</v>
      </c>
      <c r="V114">
        <v>1</v>
      </c>
      <c r="W114" t="s">
        <v>34</v>
      </c>
      <c r="Y114" t="s">
        <v>34</v>
      </c>
      <c r="Z114" t="s">
        <v>35</v>
      </c>
      <c r="AA114">
        <v>1</v>
      </c>
    </row>
    <row r="115" spans="1:27" x14ac:dyDescent="0.35">
      <c r="A115" s="45">
        <v>45936</v>
      </c>
      <c r="B115">
        <v>1</v>
      </c>
      <c r="D115" t="s">
        <v>30</v>
      </c>
      <c r="E115" t="s">
        <v>31</v>
      </c>
      <c r="F115" t="s">
        <v>31</v>
      </c>
      <c r="H115" t="s">
        <v>37</v>
      </c>
      <c r="I115" t="s">
        <v>38</v>
      </c>
      <c r="K115">
        <v>37</v>
      </c>
      <c r="M115" s="45">
        <v>47087</v>
      </c>
      <c r="N115" s="45">
        <v>47087</v>
      </c>
      <c r="O115" s="45">
        <v>47087</v>
      </c>
      <c r="P115">
        <v>1004408821.878992</v>
      </c>
      <c r="V115">
        <v>1</v>
      </c>
      <c r="W115" t="s">
        <v>34</v>
      </c>
      <c r="Y115" t="s">
        <v>34</v>
      </c>
      <c r="Z115" t="s">
        <v>35</v>
      </c>
      <c r="AA115">
        <v>1</v>
      </c>
    </row>
    <row r="116" spans="1:27" x14ac:dyDescent="0.35">
      <c r="A116" s="45">
        <v>45936</v>
      </c>
      <c r="B116">
        <v>1</v>
      </c>
      <c r="D116" t="s">
        <v>30</v>
      </c>
      <c r="E116" t="s">
        <v>31</v>
      </c>
      <c r="F116" t="s">
        <v>31</v>
      </c>
      <c r="H116" t="s">
        <v>37</v>
      </c>
      <c r="I116" t="s">
        <v>38</v>
      </c>
      <c r="K116">
        <v>38</v>
      </c>
      <c r="M116" s="45">
        <v>47118</v>
      </c>
      <c r="N116" s="45">
        <v>47118</v>
      </c>
      <c r="O116" s="45">
        <v>47118</v>
      </c>
      <c r="P116">
        <v>989005528.57515633</v>
      </c>
      <c r="V116">
        <v>1</v>
      </c>
      <c r="W116" t="s">
        <v>34</v>
      </c>
      <c r="Y116" t="s">
        <v>34</v>
      </c>
      <c r="Z116" t="s">
        <v>35</v>
      </c>
      <c r="AA116">
        <v>1</v>
      </c>
    </row>
    <row r="117" spans="1:27" x14ac:dyDescent="0.35">
      <c r="A117" s="45">
        <v>45936</v>
      </c>
      <c r="B117">
        <v>1</v>
      </c>
      <c r="D117" t="s">
        <v>30</v>
      </c>
      <c r="E117" t="s">
        <v>31</v>
      </c>
      <c r="F117" t="s">
        <v>31</v>
      </c>
      <c r="H117" t="s">
        <v>37</v>
      </c>
      <c r="I117" t="s">
        <v>38</v>
      </c>
      <c r="K117">
        <v>39</v>
      </c>
      <c r="M117" s="45">
        <v>47149</v>
      </c>
      <c r="N117" s="45">
        <v>47149</v>
      </c>
      <c r="O117" s="45">
        <v>47149</v>
      </c>
      <c r="P117">
        <v>973716333.74023807</v>
      </c>
      <c r="V117">
        <v>1</v>
      </c>
      <c r="W117" t="s">
        <v>34</v>
      </c>
      <c r="Y117" t="s">
        <v>34</v>
      </c>
      <c r="Z117" t="s">
        <v>35</v>
      </c>
      <c r="AA117">
        <v>1</v>
      </c>
    </row>
    <row r="118" spans="1:27" x14ac:dyDescent="0.35">
      <c r="A118" s="45">
        <v>45936</v>
      </c>
      <c r="B118">
        <v>1</v>
      </c>
      <c r="D118" t="s">
        <v>30</v>
      </c>
      <c r="E118" t="s">
        <v>31</v>
      </c>
      <c r="F118" t="s">
        <v>31</v>
      </c>
      <c r="H118" t="s">
        <v>37</v>
      </c>
      <c r="I118" t="s">
        <v>38</v>
      </c>
      <c r="K118">
        <v>40</v>
      </c>
      <c r="M118" s="45">
        <v>47177</v>
      </c>
      <c r="N118" s="45">
        <v>47177</v>
      </c>
      <c r="O118" s="45">
        <v>47177</v>
      </c>
      <c r="P118">
        <v>958769434.31207192</v>
      </c>
      <c r="V118">
        <v>1</v>
      </c>
      <c r="W118" t="s">
        <v>34</v>
      </c>
      <c r="Y118" t="s">
        <v>34</v>
      </c>
      <c r="Z118" t="s">
        <v>35</v>
      </c>
      <c r="AA118">
        <v>1</v>
      </c>
    </row>
    <row r="119" spans="1:27" x14ac:dyDescent="0.35">
      <c r="A119" s="45">
        <v>45936</v>
      </c>
      <c r="B119">
        <v>1</v>
      </c>
      <c r="D119" t="s">
        <v>30</v>
      </c>
      <c r="E119" t="s">
        <v>31</v>
      </c>
      <c r="F119" t="s">
        <v>31</v>
      </c>
      <c r="H119" t="s">
        <v>37</v>
      </c>
      <c r="I119" t="s">
        <v>38</v>
      </c>
      <c r="K119">
        <v>41</v>
      </c>
      <c r="M119" s="45">
        <v>47208</v>
      </c>
      <c r="N119" s="45">
        <v>47208</v>
      </c>
      <c r="O119" s="45">
        <v>47208</v>
      </c>
      <c r="P119">
        <v>944050731.82174015</v>
      </c>
      <c r="V119">
        <v>1</v>
      </c>
      <c r="W119" t="s">
        <v>34</v>
      </c>
      <c r="Y119" t="s">
        <v>34</v>
      </c>
      <c r="Z119" t="s">
        <v>35</v>
      </c>
      <c r="AA119">
        <v>1</v>
      </c>
    </row>
    <row r="120" spans="1:27" x14ac:dyDescent="0.35">
      <c r="A120" s="45">
        <v>45936</v>
      </c>
      <c r="B120">
        <v>1</v>
      </c>
      <c r="D120" t="s">
        <v>30</v>
      </c>
      <c r="E120" t="s">
        <v>31</v>
      </c>
      <c r="F120" t="s">
        <v>31</v>
      </c>
      <c r="H120" t="s">
        <v>37</v>
      </c>
      <c r="I120" t="s">
        <v>38</v>
      </c>
      <c r="K120">
        <v>42</v>
      </c>
      <c r="M120" s="45">
        <v>47238</v>
      </c>
      <c r="N120" s="45">
        <v>47238</v>
      </c>
      <c r="O120" s="45">
        <v>47238</v>
      </c>
      <c r="P120">
        <v>929560226.269243</v>
      </c>
      <c r="V120">
        <v>1</v>
      </c>
      <c r="W120" t="s">
        <v>34</v>
      </c>
      <c r="Y120" t="s">
        <v>34</v>
      </c>
      <c r="Z120" t="s">
        <v>35</v>
      </c>
      <c r="AA120">
        <v>1</v>
      </c>
    </row>
    <row r="121" spans="1:27" x14ac:dyDescent="0.35">
      <c r="A121" s="45">
        <v>45936</v>
      </c>
      <c r="B121">
        <v>1</v>
      </c>
      <c r="D121" t="s">
        <v>30</v>
      </c>
      <c r="E121" t="s">
        <v>31</v>
      </c>
      <c r="F121" t="s">
        <v>31</v>
      </c>
      <c r="H121" t="s">
        <v>37</v>
      </c>
      <c r="I121" t="s">
        <v>38</v>
      </c>
      <c r="K121">
        <v>43</v>
      </c>
      <c r="M121" s="45">
        <v>47269</v>
      </c>
      <c r="N121" s="45">
        <v>47269</v>
      </c>
      <c r="O121" s="45">
        <v>47269</v>
      </c>
      <c r="P121">
        <v>915183819.18566322</v>
      </c>
      <c r="V121">
        <v>1</v>
      </c>
      <c r="W121" t="s">
        <v>34</v>
      </c>
      <c r="Y121" t="s">
        <v>34</v>
      </c>
      <c r="Z121" t="s">
        <v>35</v>
      </c>
      <c r="AA121">
        <v>1</v>
      </c>
    </row>
    <row r="122" spans="1:27" x14ac:dyDescent="0.35">
      <c r="A122" s="45">
        <v>45936</v>
      </c>
      <c r="B122">
        <v>1</v>
      </c>
      <c r="D122" t="s">
        <v>30</v>
      </c>
      <c r="E122" t="s">
        <v>31</v>
      </c>
      <c r="F122" t="s">
        <v>31</v>
      </c>
      <c r="H122" t="s">
        <v>37</v>
      </c>
      <c r="I122" t="s">
        <v>38</v>
      </c>
      <c r="K122">
        <v>44</v>
      </c>
      <c r="M122" s="45">
        <v>47299</v>
      </c>
      <c r="N122" s="45">
        <v>47299</v>
      </c>
      <c r="O122" s="45">
        <v>47299</v>
      </c>
      <c r="P122">
        <v>901149707.50883532</v>
      </c>
      <c r="V122">
        <v>1</v>
      </c>
      <c r="W122" t="s">
        <v>34</v>
      </c>
      <c r="Y122" t="s">
        <v>34</v>
      </c>
      <c r="Z122" t="s">
        <v>35</v>
      </c>
      <c r="AA122">
        <v>1</v>
      </c>
    </row>
    <row r="123" spans="1:27" x14ac:dyDescent="0.35">
      <c r="A123" s="45">
        <v>45936</v>
      </c>
      <c r="B123">
        <v>1</v>
      </c>
      <c r="D123" t="s">
        <v>30</v>
      </c>
      <c r="E123" t="s">
        <v>31</v>
      </c>
      <c r="F123" t="s">
        <v>31</v>
      </c>
      <c r="H123" t="s">
        <v>37</v>
      </c>
      <c r="I123" t="s">
        <v>38</v>
      </c>
      <c r="K123">
        <v>45</v>
      </c>
      <c r="M123" s="45">
        <v>47330</v>
      </c>
      <c r="N123" s="45">
        <v>47330</v>
      </c>
      <c r="O123" s="45">
        <v>47330</v>
      </c>
      <c r="P123">
        <v>887229694.30092466</v>
      </c>
      <c r="V123">
        <v>1</v>
      </c>
      <c r="W123" t="s">
        <v>34</v>
      </c>
      <c r="Y123" t="s">
        <v>34</v>
      </c>
      <c r="Z123" t="s">
        <v>35</v>
      </c>
      <c r="AA123">
        <v>1</v>
      </c>
    </row>
    <row r="124" spans="1:27" x14ac:dyDescent="0.35">
      <c r="A124" s="45">
        <v>45936</v>
      </c>
      <c r="B124">
        <v>1</v>
      </c>
      <c r="D124" t="s">
        <v>30</v>
      </c>
      <c r="E124" t="s">
        <v>31</v>
      </c>
      <c r="F124" t="s">
        <v>31</v>
      </c>
      <c r="H124" t="s">
        <v>37</v>
      </c>
      <c r="I124" t="s">
        <v>38</v>
      </c>
      <c r="K124">
        <v>46</v>
      </c>
      <c r="M124" s="45">
        <v>47361</v>
      </c>
      <c r="N124" s="45">
        <v>47361</v>
      </c>
      <c r="O124" s="45">
        <v>47361</v>
      </c>
      <c r="P124">
        <v>873651976.49976599</v>
      </c>
      <c r="V124">
        <v>1</v>
      </c>
      <c r="W124" t="s">
        <v>34</v>
      </c>
      <c r="Y124" t="s">
        <v>34</v>
      </c>
      <c r="Z124" t="s">
        <v>35</v>
      </c>
      <c r="AA124">
        <v>1</v>
      </c>
    </row>
    <row r="125" spans="1:27" x14ac:dyDescent="0.35">
      <c r="A125" s="45">
        <v>45936</v>
      </c>
      <c r="B125">
        <v>1</v>
      </c>
      <c r="D125" t="s">
        <v>30</v>
      </c>
      <c r="E125" t="s">
        <v>31</v>
      </c>
      <c r="F125" t="s">
        <v>31</v>
      </c>
      <c r="H125" t="s">
        <v>37</v>
      </c>
      <c r="I125" t="s">
        <v>38</v>
      </c>
      <c r="K125">
        <v>47</v>
      </c>
      <c r="M125" s="45">
        <v>47391</v>
      </c>
      <c r="N125" s="45">
        <v>47391</v>
      </c>
      <c r="O125" s="45">
        <v>47391</v>
      </c>
      <c r="P125">
        <v>860188357.16752458</v>
      </c>
      <c r="V125">
        <v>1</v>
      </c>
      <c r="W125" t="s">
        <v>34</v>
      </c>
      <c r="Y125" t="s">
        <v>34</v>
      </c>
      <c r="Z125" t="s">
        <v>35</v>
      </c>
      <c r="AA125">
        <v>1</v>
      </c>
    </row>
    <row r="126" spans="1:27" x14ac:dyDescent="0.35">
      <c r="A126" s="45">
        <v>45936</v>
      </c>
      <c r="B126">
        <v>1</v>
      </c>
      <c r="D126" t="s">
        <v>30</v>
      </c>
      <c r="E126" t="s">
        <v>31</v>
      </c>
      <c r="F126" t="s">
        <v>31</v>
      </c>
      <c r="H126" t="s">
        <v>37</v>
      </c>
      <c r="I126" t="s">
        <v>38</v>
      </c>
      <c r="K126">
        <v>48</v>
      </c>
      <c r="M126" s="45">
        <v>47422</v>
      </c>
      <c r="N126" s="45">
        <v>47422</v>
      </c>
      <c r="O126" s="45">
        <v>47422</v>
      </c>
      <c r="P126">
        <v>846952934.77311778</v>
      </c>
      <c r="V126">
        <v>1</v>
      </c>
      <c r="W126" t="s">
        <v>34</v>
      </c>
      <c r="Y126" t="s">
        <v>34</v>
      </c>
      <c r="Z126" t="s">
        <v>35</v>
      </c>
      <c r="AA126">
        <v>1</v>
      </c>
    </row>
    <row r="127" spans="1:27" x14ac:dyDescent="0.35">
      <c r="A127" s="45">
        <v>45936</v>
      </c>
      <c r="B127">
        <v>1</v>
      </c>
      <c r="D127" t="s">
        <v>30</v>
      </c>
      <c r="E127" t="s">
        <v>31</v>
      </c>
      <c r="F127" t="s">
        <v>31</v>
      </c>
      <c r="H127" t="s">
        <v>37</v>
      </c>
      <c r="I127" t="s">
        <v>38</v>
      </c>
      <c r="K127">
        <v>49</v>
      </c>
      <c r="M127" s="45">
        <v>47452</v>
      </c>
      <c r="N127" s="45">
        <v>47452</v>
      </c>
      <c r="O127" s="45">
        <v>47452</v>
      </c>
      <c r="P127">
        <v>833945709.31654561</v>
      </c>
      <c r="V127">
        <v>1</v>
      </c>
      <c r="W127" t="s">
        <v>34</v>
      </c>
      <c r="Y127" t="s">
        <v>34</v>
      </c>
      <c r="Z127" t="s">
        <v>35</v>
      </c>
      <c r="AA127">
        <v>1</v>
      </c>
    </row>
    <row r="128" spans="1:27" x14ac:dyDescent="0.35">
      <c r="A128" s="45">
        <v>45936</v>
      </c>
      <c r="B128">
        <v>1</v>
      </c>
      <c r="D128" t="s">
        <v>30</v>
      </c>
      <c r="E128" t="s">
        <v>31</v>
      </c>
      <c r="F128" t="s">
        <v>31</v>
      </c>
      <c r="H128" t="s">
        <v>37</v>
      </c>
      <c r="I128" t="s">
        <v>38</v>
      </c>
      <c r="K128">
        <v>50</v>
      </c>
      <c r="M128" s="45">
        <v>47483</v>
      </c>
      <c r="N128" s="45">
        <v>47483</v>
      </c>
      <c r="O128" s="45">
        <v>47483</v>
      </c>
      <c r="P128">
        <v>821166680.79780805</v>
      </c>
      <c r="V128">
        <v>1</v>
      </c>
      <c r="W128" t="s">
        <v>34</v>
      </c>
      <c r="Y128" t="s">
        <v>34</v>
      </c>
      <c r="Z128" t="s">
        <v>35</v>
      </c>
      <c r="AA128">
        <v>1</v>
      </c>
    </row>
    <row r="129" spans="1:27" x14ac:dyDescent="0.35">
      <c r="A129" s="45">
        <v>45936</v>
      </c>
      <c r="B129">
        <v>1</v>
      </c>
      <c r="D129" t="s">
        <v>30</v>
      </c>
      <c r="E129" t="s">
        <v>31</v>
      </c>
      <c r="F129" t="s">
        <v>31</v>
      </c>
      <c r="H129" t="s">
        <v>37</v>
      </c>
      <c r="I129" t="s">
        <v>38</v>
      </c>
      <c r="K129">
        <v>51</v>
      </c>
      <c r="M129" s="45">
        <v>47514</v>
      </c>
      <c r="N129" s="45">
        <v>47514</v>
      </c>
      <c r="O129" s="45">
        <v>47514</v>
      </c>
      <c r="P129">
        <v>808501750.74798775</v>
      </c>
      <c r="V129">
        <v>1</v>
      </c>
      <c r="W129" t="s">
        <v>34</v>
      </c>
      <c r="Y129" t="s">
        <v>34</v>
      </c>
      <c r="Z129" t="s">
        <v>35</v>
      </c>
      <c r="AA129">
        <v>1</v>
      </c>
    </row>
    <row r="130" spans="1:27" x14ac:dyDescent="0.35">
      <c r="A130" s="45">
        <v>45936</v>
      </c>
      <c r="B130">
        <v>1</v>
      </c>
      <c r="D130" t="s">
        <v>30</v>
      </c>
      <c r="E130" t="s">
        <v>31</v>
      </c>
      <c r="F130" t="s">
        <v>31</v>
      </c>
      <c r="H130" t="s">
        <v>37</v>
      </c>
      <c r="I130" t="s">
        <v>38</v>
      </c>
      <c r="K130">
        <v>52</v>
      </c>
      <c r="M130" s="45">
        <v>47542</v>
      </c>
      <c r="N130" s="45">
        <v>47542</v>
      </c>
      <c r="O130" s="45">
        <v>47542</v>
      </c>
      <c r="P130">
        <v>796065017.63600194</v>
      </c>
      <c r="V130">
        <v>1</v>
      </c>
      <c r="W130" t="s">
        <v>34</v>
      </c>
      <c r="Y130" t="s">
        <v>34</v>
      </c>
      <c r="Z130" t="s">
        <v>35</v>
      </c>
      <c r="AA130">
        <v>1</v>
      </c>
    </row>
    <row r="131" spans="1:27" x14ac:dyDescent="0.35">
      <c r="A131" s="45">
        <v>45936</v>
      </c>
      <c r="B131">
        <v>1</v>
      </c>
      <c r="D131" t="s">
        <v>30</v>
      </c>
      <c r="E131" t="s">
        <v>31</v>
      </c>
      <c r="F131" t="s">
        <v>31</v>
      </c>
      <c r="H131" t="s">
        <v>37</v>
      </c>
      <c r="I131" t="s">
        <v>38</v>
      </c>
      <c r="K131">
        <v>53</v>
      </c>
      <c r="M131" s="45">
        <v>47573</v>
      </c>
      <c r="N131" s="45">
        <v>47573</v>
      </c>
      <c r="O131" s="45">
        <v>47573</v>
      </c>
      <c r="P131">
        <v>783856481.461851</v>
      </c>
      <c r="V131">
        <v>1</v>
      </c>
      <c r="W131" t="s">
        <v>34</v>
      </c>
      <c r="Y131" t="s">
        <v>34</v>
      </c>
      <c r="Z131" t="s">
        <v>35</v>
      </c>
      <c r="AA131">
        <v>1</v>
      </c>
    </row>
    <row r="132" spans="1:27" x14ac:dyDescent="0.35">
      <c r="A132" s="45">
        <v>45936</v>
      </c>
      <c r="B132">
        <v>1</v>
      </c>
      <c r="D132" t="s">
        <v>30</v>
      </c>
      <c r="E132" t="s">
        <v>31</v>
      </c>
      <c r="F132" t="s">
        <v>31</v>
      </c>
      <c r="H132" t="s">
        <v>37</v>
      </c>
      <c r="I132" t="s">
        <v>38</v>
      </c>
      <c r="K132">
        <v>54</v>
      </c>
      <c r="M132" s="45">
        <v>47603</v>
      </c>
      <c r="N132" s="45">
        <v>47603</v>
      </c>
      <c r="O132" s="45">
        <v>47603</v>
      </c>
      <c r="P132">
        <v>771762043.75661707</v>
      </c>
      <c r="V132">
        <v>1</v>
      </c>
      <c r="W132" t="s">
        <v>34</v>
      </c>
      <c r="Y132" t="s">
        <v>34</v>
      </c>
      <c r="Z132" t="s">
        <v>35</v>
      </c>
      <c r="AA132">
        <v>1</v>
      </c>
    </row>
    <row r="133" spans="1:27" x14ac:dyDescent="0.35">
      <c r="A133" s="45">
        <v>45936</v>
      </c>
      <c r="B133">
        <v>1</v>
      </c>
      <c r="D133" t="s">
        <v>30</v>
      </c>
      <c r="E133" t="s">
        <v>31</v>
      </c>
      <c r="F133" t="s">
        <v>31</v>
      </c>
      <c r="H133" t="s">
        <v>37</v>
      </c>
      <c r="I133" t="s">
        <v>38</v>
      </c>
      <c r="K133">
        <v>55</v>
      </c>
      <c r="M133" s="45">
        <v>47634</v>
      </c>
      <c r="N133" s="45">
        <v>47634</v>
      </c>
      <c r="O133" s="45">
        <v>47634</v>
      </c>
      <c r="P133">
        <v>759895802.98921788</v>
      </c>
      <c r="V133">
        <v>1</v>
      </c>
      <c r="W133" t="s">
        <v>34</v>
      </c>
      <c r="Y133" t="s">
        <v>34</v>
      </c>
      <c r="Z133" t="s">
        <v>35</v>
      </c>
      <c r="AA133">
        <v>1</v>
      </c>
    </row>
    <row r="134" spans="1:27" x14ac:dyDescent="0.35">
      <c r="A134" s="45">
        <v>45936</v>
      </c>
      <c r="B134">
        <v>1</v>
      </c>
      <c r="D134" t="s">
        <v>30</v>
      </c>
      <c r="E134" t="s">
        <v>31</v>
      </c>
      <c r="F134" t="s">
        <v>31</v>
      </c>
      <c r="H134" t="s">
        <v>37</v>
      </c>
      <c r="I134" t="s">
        <v>38</v>
      </c>
      <c r="K134">
        <v>56</v>
      </c>
      <c r="M134" s="45">
        <v>47664</v>
      </c>
      <c r="N134" s="45">
        <v>47664</v>
      </c>
      <c r="O134" s="45">
        <v>47664</v>
      </c>
      <c r="P134">
        <v>748143660.69073606</v>
      </c>
      <c r="V134">
        <v>1</v>
      </c>
      <c r="W134" t="s">
        <v>34</v>
      </c>
      <c r="Y134" t="s">
        <v>34</v>
      </c>
      <c r="Z134" t="s">
        <v>35</v>
      </c>
      <c r="AA134">
        <v>1</v>
      </c>
    </row>
    <row r="135" spans="1:27" x14ac:dyDescent="0.35">
      <c r="A135" s="45">
        <v>45936</v>
      </c>
      <c r="B135">
        <v>1</v>
      </c>
      <c r="D135" t="s">
        <v>30</v>
      </c>
      <c r="E135" t="s">
        <v>31</v>
      </c>
      <c r="F135" t="s">
        <v>31</v>
      </c>
      <c r="H135" t="s">
        <v>37</v>
      </c>
      <c r="I135" t="s">
        <v>38</v>
      </c>
      <c r="K135">
        <v>57</v>
      </c>
      <c r="M135" s="45">
        <v>47695</v>
      </c>
      <c r="N135" s="45">
        <v>47695</v>
      </c>
      <c r="O135" s="45">
        <v>47695</v>
      </c>
      <c r="P135">
        <v>736733813.79900599</v>
      </c>
      <c r="V135">
        <v>1</v>
      </c>
      <c r="W135" t="s">
        <v>34</v>
      </c>
      <c r="Y135" t="s">
        <v>34</v>
      </c>
      <c r="Z135" t="s">
        <v>35</v>
      </c>
      <c r="AA135">
        <v>1</v>
      </c>
    </row>
    <row r="136" spans="1:27" x14ac:dyDescent="0.35">
      <c r="A136" s="45">
        <v>45936</v>
      </c>
      <c r="B136">
        <v>1</v>
      </c>
      <c r="D136" t="s">
        <v>30</v>
      </c>
      <c r="E136" t="s">
        <v>31</v>
      </c>
      <c r="F136" t="s">
        <v>31</v>
      </c>
      <c r="H136" t="s">
        <v>37</v>
      </c>
      <c r="I136" t="s">
        <v>38</v>
      </c>
      <c r="K136">
        <v>58</v>
      </c>
      <c r="M136" s="45">
        <v>47726</v>
      </c>
      <c r="N136" s="45">
        <v>47726</v>
      </c>
      <c r="O136" s="45">
        <v>47726</v>
      </c>
      <c r="P136">
        <v>725323966.90727603</v>
      </c>
      <c r="V136">
        <v>1</v>
      </c>
      <c r="W136" t="s">
        <v>34</v>
      </c>
      <c r="Y136" t="s">
        <v>34</v>
      </c>
      <c r="Z136" t="s">
        <v>35</v>
      </c>
      <c r="AA136">
        <v>1</v>
      </c>
    </row>
    <row r="137" spans="1:27" x14ac:dyDescent="0.35">
      <c r="A137" s="45">
        <v>45936</v>
      </c>
      <c r="B137">
        <v>1</v>
      </c>
      <c r="D137" t="s">
        <v>30</v>
      </c>
      <c r="E137" t="s">
        <v>31</v>
      </c>
      <c r="F137" t="s">
        <v>31</v>
      </c>
      <c r="H137" t="s">
        <v>37</v>
      </c>
      <c r="I137" t="s">
        <v>38</v>
      </c>
      <c r="K137">
        <v>59</v>
      </c>
      <c r="M137" s="45">
        <v>47756</v>
      </c>
      <c r="N137" s="45">
        <v>47756</v>
      </c>
      <c r="O137" s="45">
        <v>47756</v>
      </c>
      <c r="P137">
        <v>714142316.95338058</v>
      </c>
      <c r="V137">
        <v>1</v>
      </c>
      <c r="W137" t="s">
        <v>34</v>
      </c>
      <c r="Y137" t="s">
        <v>34</v>
      </c>
      <c r="Z137" t="s">
        <v>35</v>
      </c>
      <c r="AA137">
        <v>1</v>
      </c>
    </row>
    <row r="138" spans="1:27" x14ac:dyDescent="0.35">
      <c r="A138" s="45">
        <v>45936</v>
      </c>
      <c r="B138">
        <v>1</v>
      </c>
      <c r="D138" t="s">
        <v>30</v>
      </c>
      <c r="E138" t="s">
        <v>31</v>
      </c>
      <c r="F138" t="s">
        <v>31</v>
      </c>
      <c r="H138" t="s">
        <v>37</v>
      </c>
      <c r="I138" t="s">
        <v>38</v>
      </c>
      <c r="K138">
        <v>60</v>
      </c>
      <c r="M138" s="45">
        <v>47787</v>
      </c>
      <c r="N138" s="45">
        <v>47787</v>
      </c>
      <c r="O138" s="45">
        <v>47787</v>
      </c>
      <c r="P138">
        <v>703188863.93731987</v>
      </c>
      <c r="V138">
        <v>1</v>
      </c>
      <c r="W138" t="s">
        <v>34</v>
      </c>
      <c r="Y138" t="s">
        <v>34</v>
      </c>
      <c r="Z138" t="s">
        <v>35</v>
      </c>
      <c r="AA138">
        <v>1</v>
      </c>
    </row>
    <row r="139" spans="1:27" x14ac:dyDescent="0.35">
      <c r="A139" s="45">
        <v>45936</v>
      </c>
      <c r="B139">
        <v>1</v>
      </c>
      <c r="D139" t="s">
        <v>30</v>
      </c>
      <c r="E139" t="s">
        <v>31</v>
      </c>
      <c r="F139" t="s">
        <v>31</v>
      </c>
      <c r="H139" t="s">
        <v>37</v>
      </c>
      <c r="I139" t="s">
        <v>38</v>
      </c>
      <c r="K139">
        <v>61</v>
      </c>
      <c r="M139" s="45">
        <v>47817</v>
      </c>
      <c r="N139" s="45">
        <v>47817</v>
      </c>
      <c r="O139" s="45">
        <v>47817</v>
      </c>
      <c r="P139">
        <v>692349509.3901763</v>
      </c>
      <c r="V139">
        <v>1</v>
      </c>
      <c r="W139" t="s">
        <v>34</v>
      </c>
      <c r="Y139" t="s">
        <v>34</v>
      </c>
      <c r="Z139" t="s">
        <v>35</v>
      </c>
      <c r="AA139">
        <v>1</v>
      </c>
    </row>
    <row r="140" spans="1:27" x14ac:dyDescent="0.35">
      <c r="A140" s="45">
        <v>45936</v>
      </c>
      <c r="B140">
        <v>1</v>
      </c>
      <c r="D140" t="s">
        <v>30</v>
      </c>
      <c r="E140" t="s">
        <v>31</v>
      </c>
      <c r="F140" t="s">
        <v>31</v>
      </c>
      <c r="H140" t="s">
        <v>37</v>
      </c>
      <c r="I140" t="s">
        <v>38</v>
      </c>
      <c r="K140">
        <v>62</v>
      </c>
      <c r="M140" s="45">
        <v>47848</v>
      </c>
      <c r="N140" s="45">
        <v>47848</v>
      </c>
      <c r="O140" s="45">
        <v>47848</v>
      </c>
      <c r="P140">
        <v>681738351.78086746</v>
      </c>
      <c r="V140">
        <v>1</v>
      </c>
      <c r="W140" t="s">
        <v>34</v>
      </c>
      <c r="Y140" t="s">
        <v>34</v>
      </c>
      <c r="Z140" t="s">
        <v>35</v>
      </c>
      <c r="AA140">
        <v>1</v>
      </c>
    </row>
    <row r="141" spans="1:27" x14ac:dyDescent="0.35">
      <c r="A141" s="45">
        <v>45936</v>
      </c>
      <c r="B141">
        <v>1</v>
      </c>
      <c r="D141" t="s">
        <v>30</v>
      </c>
      <c r="E141" t="s">
        <v>31</v>
      </c>
      <c r="F141" t="s">
        <v>31</v>
      </c>
      <c r="H141" t="s">
        <v>37</v>
      </c>
      <c r="I141" t="s">
        <v>38</v>
      </c>
      <c r="K141">
        <v>63</v>
      </c>
      <c r="M141" s="45">
        <v>47879</v>
      </c>
      <c r="N141" s="45">
        <v>47879</v>
      </c>
      <c r="O141" s="45">
        <v>47879</v>
      </c>
      <c r="P141">
        <v>671241292.64047587</v>
      </c>
      <c r="V141">
        <v>1</v>
      </c>
      <c r="W141" t="s">
        <v>34</v>
      </c>
      <c r="Y141" t="s">
        <v>34</v>
      </c>
      <c r="Z141" t="s">
        <v>35</v>
      </c>
      <c r="AA141">
        <v>1</v>
      </c>
    </row>
    <row r="142" spans="1:27" x14ac:dyDescent="0.35">
      <c r="A142" s="45">
        <v>45936</v>
      </c>
      <c r="B142">
        <v>1</v>
      </c>
      <c r="D142" t="s">
        <v>30</v>
      </c>
      <c r="E142" t="s">
        <v>31</v>
      </c>
      <c r="F142" t="s">
        <v>31</v>
      </c>
      <c r="H142" t="s">
        <v>37</v>
      </c>
      <c r="I142" t="s">
        <v>38</v>
      </c>
      <c r="K142">
        <v>64</v>
      </c>
      <c r="M142" s="45">
        <v>47907</v>
      </c>
      <c r="N142" s="45">
        <v>47907</v>
      </c>
      <c r="O142" s="45">
        <v>47907</v>
      </c>
      <c r="P142">
        <v>660972430.4379189</v>
      </c>
      <c r="V142">
        <v>1</v>
      </c>
      <c r="W142" t="s">
        <v>34</v>
      </c>
      <c r="Y142" t="s">
        <v>34</v>
      </c>
      <c r="Z142" t="s">
        <v>35</v>
      </c>
      <c r="AA142">
        <v>1</v>
      </c>
    </row>
    <row r="143" spans="1:27" x14ac:dyDescent="0.35">
      <c r="A143" s="45">
        <v>45936</v>
      </c>
      <c r="B143">
        <v>1</v>
      </c>
      <c r="D143" t="s">
        <v>30</v>
      </c>
      <c r="E143" t="s">
        <v>31</v>
      </c>
      <c r="F143" t="s">
        <v>31</v>
      </c>
      <c r="H143" t="s">
        <v>37</v>
      </c>
      <c r="I143" t="s">
        <v>38</v>
      </c>
      <c r="K143">
        <v>65</v>
      </c>
      <c r="M143" s="45">
        <v>47938</v>
      </c>
      <c r="N143" s="45">
        <v>47938</v>
      </c>
      <c r="O143" s="45">
        <v>47938</v>
      </c>
      <c r="P143">
        <v>650817666.70427907</v>
      </c>
      <c r="V143">
        <v>1</v>
      </c>
      <c r="W143" t="s">
        <v>34</v>
      </c>
      <c r="Y143" t="s">
        <v>34</v>
      </c>
      <c r="Z143" t="s">
        <v>35</v>
      </c>
      <c r="AA143">
        <v>1</v>
      </c>
    </row>
    <row r="144" spans="1:27" x14ac:dyDescent="0.35">
      <c r="A144" s="45">
        <v>45936</v>
      </c>
      <c r="B144">
        <v>1</v>
      </c>
      <c r="D144" t="s">
        <v>30</v>
      </c>
      <c r="E144" t="s">
        <v>31</v>
      </c>
      <c r="F144" t="s">
        <v>31</v>
      </c>
      <c r="H144" t="s">
        <v>37</v>
      </c>
      <c r="I144" t="s">
        <v>38</v>
      </c>
      <c r="K144">
        <v>66</v>
      </c>
      <c r="M144" s="45">
        <v>47968</v>
      </c>
      <c r="N144" s="45">
        <v>47968</v>
      </c>
      <c r="O144" s="45">
        <v>47968</v>
      </c>
      <c r="P144">
        <v>640777001.43955672</v>
      </c>
      <c r="V144">
        <v>1</v>
      </c>
      <c r="W144" t="s">
        <v>34</v>
      </c>
      <c r="Y144" t="s">
        <v>34</v>
      </c>
      <c r="Z144" t="s">
        <v>35</v>
      </c>
      <c r="AA144">
        <v>1</v>
      </c>
    </row>
    <row r="145" spans="1:27" x14ac:dyDescent="0.35">
      <c r="A145" s="45">
        <v>45936</v>
      </c>
      <c r="B145">
        <v>1</v>
      </c>
      <c r="D145" t="s">
        <v>30</v>
      </c>
      <c r="E145" t="s">
        <v>31</v>
      </c>
      <c r="F145" t="s">
        <v>31</v>
      </c>
      <c r="H145" t="s">
        <v>37</v>
      </c>
      <c r="I145" t="s">
        <v>38</v>
      </c>
      <c r="K145">
        <v>67</v>
      </c>
      <c r="M145" s="45">
        <v>47999</v>
      </c>
      <c r="N145" s="45">
        <v>47999</v>
      </c>
      <c r="O145" s="45">
        <v>47999</v>
      </c>
      <c r="P145">
        <v>630964533.11266899</v>
      </c>
      <c r="V145">
        <v>1</v>
      </c>
      <c r="W145" t="s">
        <v>34</v>
      </c>
      <c r="Y145" t="s">
        <v>34</v>
      </c>
      <c r="Z145" t="s">
        <v>35</v>
      </c>
      <c r="AA145">
        <v>1</v>
      </c>
    </row>
    <row r="146" spans="1:27" x14ac:dyDescent="0.35">
      <c r="A146" s="45">
        <v>45936</v>
      </c>
      <c r="B146">
        <v>1</v>
      </c>
      <c r="D146" t="s">
        <v>30</v>
      </c>
      <c r="E146" t="s">
        <v>31</v>
      </c>
      <c r="F146" t="s">
        <v>31</v>
      </c>
      <c r="H146" t="s">
        <v>37</v>
      </c>
      <c r="I146" t="s">
        <v>38</v>
      </c>
      <c r="K146">
        <v>68</v>
      </c>
      <c r="M146" s="45">
        <v>48029</v>
      </c>
      <c r="N146" s="45">
        <v>48029</v>
      </c>
      <c r="O146" s="45">
        <v>48029</v>
      </c>
      <c r="P146">
        <v>621152064.78578115</v>
      </c>
      <c r="V146">
        <v>1</v>
      </c>
      <c r="W146" t="s">
        <v>34</v>
      </c>
      <c r="Y146" t="s">
        <v>34</v>
      </c>
      <c r="Z146" t="s">
        <v>35</v>
      </c>
      <c r="AA146">
        <v>1</v>
      </c>
    </row>
    <row r="147" spans="1:27" x14ac:dyDescent="0.35">
      <c r="A147" s="45">
        <v>45936</v>
      </c>
      <c r="B147">
        <v>1</v>
      </c>
      <c r="D147" t="s">
        <v>30</v>
      </c>
      <c r="E147" t="s">
        <v>31</v>
      </c>
      <c r="F147" t="s">
        <v>31</v>
      </c>
      <c r="H147" t="s">
        <v>37</v>
      </c>
      <c r="I147" t="s">
        <v>38</v>
      </c>
      <c r="K147">
        <v>69</v>
      </c>
      <c r="M147" s="45">
        <v>48060</v>
      </c>
      <c r="N147" s="45">
        <v>48060</v>
      </c>
      <c r="O147" s="45">
        <v>48060</v>
      </c>
      <c r="P147">
        <v>611681891.86564529</v>
      </c>
      <c r="V147">
        <v>1</v>
      </c>
      <c r="W147" t="s">
        <v>34</v>
      </c>
      <c r="Y147" t="s">
        <v>34</v>
      </c>
      <c r="Z147" t="s">
        <v>35</v>
      </c>
      <c r="AA147">
        <v>1</v>
      </c>
    </row>
    <row r="148" spans="1:27" x14ac:dyDescent="0.35">
      <c r="A148" s="45">
        <v>45936</v>
      </c>
      <c r="B148">
        <v>1</v>
      </c>
      <c r="D148" t="s">
        <v>30</v>
      </c>
      <c r="E148" t="s">
        <v>31</v>
      </c>
      <c r="F148" t="s">
        <v>31</v>
      </c>
      <c r="H148" t="s">
        <v>37</v>
      </c>
      <c r="I148" t="s">
        <v>38</v>
      </c>
      <c r="K148">
        <v>70</v>
      </c>
      <c r="M148" s="45">
        <v>48091</v>
      </c>
      <c r="N148" s="45">
        <v>48091</v>
      </c>
      <c r="O148" s="45">
        <v>48091</v>
      </c>
      <c r="P148">
        <v>602211718.94550931</v>
      </c>
      <c r="V148">
        <v>1</v>
      </c>
      <c r="W148" t="s">
        <v>34</v>
      </c>
      <c r="Y148" t="s">
        <v>34</v>
      </c>
      <c r="Z148" t="s">
        <v>35</v>
      </c>
      <c r="AA148">
        <v>1</v>
      </c>
    </row>
    <row r="149" spans="1:27" x14ac:dyDescent="0.35">
      <c r="A149" s="45">
        <v>45936</v>
      </c>
      <c r="B149">
        <v>1</v>
      </c>
      <c r="D149" t="s">
        <v>30</v>
      </c>
      <c r="E149" t="s">
        <v>31</v>
      </c>
      <c r="F149" t="s">
        <v>31</v>
      </c>
      <c r="H149" t="s">
        <v>37</v>
      </c>
      <c r="I149" t="s">
        <v>38</v>
      </c>
      <c r="K149">
        <v>71</v>
      </c>
      <c r="M149" s="45">
        <v>48121</v>
      </c>
      <c r="N149" s="45">
        <v>48121</v>
      </c>
      <c r="O149" s="45">
        <v>48121</v>
      </c>
      <c r="P149">
        <v>592969742.96320808</v>
      </c>
      <c r="V149">
        <v>1</v>
      </c>
      <c r="W149" t="s">
        <v>34</v>
      </c>
      <c r="Y149" t="s">
        <v>34</v>
      </c>
      <c r="Z149" t="s">
        <v>35</v>
      </c>
      <c r="AA149">
        <v>1</v>
      </c>
    </row>
    <row r="150" spans="1:27" x14ac:dyDescent="0.35">
      <c r="A150" s="45">
        <v>45936</v>
      </c>
      <c r="B150">
        <v>1</v>
      </c>
      <c r="D150" t="s">
        <v>30</v>
      </c>
      <c r="E150" t="s">
        <v>31</v>
      </c>
      <c r="F150" t="s">
        <v>31</v>
      </c>
      <c r="H150" t="s">
        <v>37</v>
      </c>
      <c r="I150" t="s">
        <v>38</v>
      </c>
      <c r="K150">
        <v>72</v>
      </c>
      <c r="M150" s="45">
        <v>48152</v>
      </c>
      <c r="N150" s="45">
        <v>48152</v>
      </c>
      <c r="O150" s="45">
        <v>48152</v>
      </c>
      <c r="P150">
        <v>583841865.44982409</v>
      </c>
      <c r="V150">
        <v>1</v>
      </c>
      <c r="W150" t="s">
        <v>34</v>
      </c>
      <c r="Y150" t="s">
        <v>34</v>
      </c>
      <c r="Z150" t="s">
        <v>35</v>
      </c>
      <c r="AA150">
        <v>1</v>
      </c>
    </row>
    <row r="151" spans="1:27" x14ac:dyDescent="0.35">
      <c r="A151" s="45">
        <v>45936</v>
      </c>
      <c r="B151">
        <v>1</v>
      </c>
      <c r="D151" t="s">
        <v>30</v>
      </c>
      <c r="E151" t="s">
        <v>31</v>
      </c>
      <c r="F151" t="s">
        <v>31</v>
      </c>
      <c r="H151" t="s">
        <v>37</v>
      </c>
      <c r="I151" t="s">
        <v>38</v>
      </c>
      <c r="K151">
        <v>73</v>
      </c>
      <c r="M151" s="45">
        <v>48182</v>
      </c>
      <c r="N151" s="45">
        <v>48182</v>
      </c>
      <c r="O151" s="45">
        <v>48182</v>
      </c>
      <c r="P151">
        <v>574828086.40535736</v>
      </c>
      <c r="V151">
        <v>1</v>
      </c>
      <c r="W151" t="s">
        <v>34</v>
      </c>
      <c r="Y151" t="s">
        <v>34</v>
      </c>
      <c r="Z151" t="s">
        <v>35</v>
      </c>
      <c r="AA151">
        <v>1</v>
      </c>
    </row>
    <row r="152" spans="1:27" x14ac:dyDescent="0.35">
      <c r="A152" s="45">
        <v>45936</v>
      </c>
      <c r="B152">
        <v>1</v>
      </c>
      <c r="D152" t="s">
        <v>30</v>
      </c>
      <c r="E152" t="s">
        <v>31</v>
      </c>
      <c r="F152" t="s">
        <v>31</v>
      </c>
      <c r="H152" t="s">
        <v>37</v>
      </c>
      <c r="I152" t="s">
        <v>38</v>
      </c>
      <c r="K152">
        <v>74</v>
      </c>
      <c r="M152" s="45">
        <v>48213</v>
      </c>
      <c r="N152" s="45">
        <v>48213</v>
      </c>
      <c r="O152" s="45">
        <v>48213</v>
      </c>
      <c r="P152">
        <v>566042504.29872525</v>
      </c>
      <c r="V152">
        <v>1</v>
      </c>
      <c r="W152" t="s">
        <v>34</v>
      </c>
      <c r="Y152" t="s">
        <v>34</v>
      </c>
      <c r="Z152" t="s">
        <v>35</v>
      </c>
      <c r="AA152">
        <v>1</v>
      </c>
    </row>
    <row r="153" spans="1:27" x14ac:dyDescent="0.35">
      <c r="A153" s="45">
        <v>45936</v>
      </c>
      <c r="B153">
        <v>1</v>
      </c>
      <c r="D153" t="s">
        <v>30</v>
      </c>
      <c r="E153" t="s">
        <v>31</v>
      </c>
      <c r="F153" t="s">
        <v>31</v>
      </c>
      <c r="H153" t="s">
        <v>37</v>
      </c>
      <c r="I153" t="s">
        <v>38</v>
      </c>
      <c r="K153">
        <v>75</v>
      </c>
      <c r="M153" s="45">
        <v>48244</v>
      </c>
      <c r="N153" s="45">
        <v>48244</v>
      </c>
      <c r="O153" s="45">
        <v>48244</v>
      </c>
      <c r="P153">
        <v>557371020.66101038</v>
      </c>
      <c r="V153">
        <v>1</v>
      </c>
      <c r="W153" t="s">
        <v>34</v>
      </c>
      <c r="Y153" t="s">
        <v>34</v>
      </c>
      <c r="Z153" t="s">
        <v>35</v>
      </c>
      <c r="AA153">
        <v>1</v>
      </c>
    </row>
    <row r="154" spans="1:27" x14ac:dyDescent="0.35">
      <c r="A154" s="45">
        <v>45936</v>
      </c>
      <c r="B154">
        <v>1</v>
      </c>
      <c r="D154" t="s">
        <v>30</v>
      </c>
      <c r="E154" t="s">
        <v>31</v>
      </c>
      <c r="F154" t="s">
        <v>31</v>
      </c>
      <c r="H154" t="s">
        <v>37</v>
      </c>
      <c r="I154" t="s">
        <v>38</v>
      </c>
      <c r="K154">
        <v>76</v>
      </c>
      <c r="M154" s="45">
        <v>48273</v>
      </c>
      <c r="N154" s="45">
        <v>48273</v>
      </c>
      <c r="O154" s="45">
        <v>48273</v>
      </c>
      <c r="P154">
        <v>548813635.49221289</v>
      </c>
      <c r="V154">
        <v>1</v>
      </c>
      <c r="W154" t="s">
        <v>34</v>
      </c>
      <c r="Y154" t="s">
        <v>34</v>
      </c>
      <c r="Z154" t="s">
        <v>35</v>
      </c>
      <c r="AA154">
        <v>1</v>
      </c>
    </row>
    <row r="155" spans="1:27" x14ac:dyDescent="0.35">
      <c r="A155" s="45">
        <v>45936</v>
      </c>
      <c r="B155">
        <v>1</v>
      </c>
      <c r="D155" t="s">
        <v>30</v>
      </c>
      <c r="E155" t="s">
        <v>31</v>
      </c>
      <c r="F155" t="s">
        <v>31</v>
      </c>
      <c r="H155" t="s">
        <v>37</v>
      </c>
      <c r="I155" t="s">
        <v>38</v>
      </c>
      <c r="K155">
        <v>77</v>
      </c>
      <c r="M155" s="45">
        <v>48304</v>
      </c>
      <c r="N155" s="45">
        <v>48304</v>
      </c>
      <c r="O155" s="45">
        <v>48304</v>
      </c>
      <c r="P155">
        <v>540370348.79233277</v>
      </c>
      <c r="V155">
        <v>1</v>
      </c>
      <c r="W155" t="s">
        <v>34</v>
      </c>
      <c r="Y155" t="s">
        <v>34</v>
      </c>
      <c r="Z155" t="s">
        <v>35</v>
      </c>
      <c r="AA155">
        <v>1</v>
      </c>
    </row>
    <row r="156" spans="1:27" x14ac:dyDescent="0.35">
      <c r="A156" s="45">
        <v>45936</v>
      </c>
      <c r="B156">
        <v>1</v>
      </c>
      <c r="D156" t="s">
        <v>30</v>
      </c>
      <c r="E156" t="s">
        <v>31</v>
      </c>
      <c r="F156" t="s">
        <v>31</v>
      </c>
      <c r="H156" t="s">
        <v>37</v>
      </c>
      <c r="I156" t="s">
        <v>38</v>
      </c>
      <c r="K156">
        <v>78</v>
      </c>
      <c r="M156" s="45">
        <v>48334</v>
      </c>
      <c r="N156" s="45">
        <v>48334</v>
      </c>
      <c r="O156" s="45">
        <v>48334</v>
      </c>
      <c r="P156">
        <v>532041160.56136978</v>
      </c>
      <c r="V156">
        <v>1</v>
      </c>
      <c r="W156" t="s">
        <v>34</v>
      </c>
      <c r="Y156" t="s">
        <v>34</v>
      </c>
      <c r="Z156" t="s">
        <v>35</v>
      </c>
      <c r="AA156">
        <v>1</v>
      </c>
    </row>
    <row r="157" spans="1:27" x14ac:dyDescent="0.35">
      <c r="A157" s="45">
        <v>45936</v>
      </c>
      <c r="B157">
        <v>1</v>
      </c>
      <c r="D157" t="s">
        <v>30</v>
      </c>
      <c r="E157" t="s">
        <v>31</v>
      </c>
      <c r="F157" t="s">
        <v>31</v>
      </c>
      <c r="H157" t="s">
        <v>37</v>
      </c>
      <c r="I157" t="s">
        <v>38</v>
      </c>
      <c r="K157">
        <v>79</v>
      </c>
      <c r="M157" s="45">
        <v>48365</v>
      </c>
      <c r="N157" s="45">
        <v>48365</v>
      </c>
      <c r="O157" s="45">
        <v>48365</v>
      </c>
      <c r="P157">
        <v>523826070.79932421</v>
      </c>
      <c r="V157">
        <v>1</v>
      </c>
      <c r="W157" t="s">
        <v>34</v>
      </c>
      <c r="Y157" t="s">
        <v>34</v>
      </c>
      <c r="Z157" t="s">
        <v>35</v>
      </c>
      <c r="AA157">
        <v>1</v>
      </c>
    </row>
    <row r="158" spans="1:27" x14ac:dyDescent="0.35">
      <c r="A158" s="45">
        <v>45936</v>
      </c>
      <c r="B158">
        <v>1</v>
      </c>
      <c r="D158" t="s">
        <v>30</v>
      </c>
      <c r="E158" t="s">
        <v>31</v>
      </c>
      <c r="F158" t="s">
        <v>31</v>
      </c>
      <c r="H158" t="s">
        <v>37</v>
      </c>
      <c r="I158" t="s">
        <v>38</v>
      </c>
      <c r="K158">
        <v>80</v>
      </c>
      <c r="M158" s="45">
        <v>48395</v>
      </c>
      <c r="N158" s="45">
        <v>48395</v>
      </c>
      <c r="O158" s="45">
        <v>48395</v>
      </c>
      <c r="P158">
        <v>515725079.5061959</v>
      </c>
      <c r="V158">
        <v>1</v>
      </c>
      <c r="W158" t="s">
        <v>34</v>
      </c>
      <c r="Y158" t="s">
        <v>34</v>
      </c>
      <c r="Z158" t="s">
        <v>35</v>
      </c>
      <c r="AA158">
        <v>1</v>
      </c>
    </row>
    <row r="159" spans="1:27" x14ac:dyDescent="0.35">
      <c r="A159" s="45">
        <v>45936</v>
      </c>
      <c r="B159">
        <v>1</v>
      </c>
      <c r="D159" t="s">
        <v>30</v>
      </c>
      <c r="E159" t="s">
        <v>31</v>
      </c>
      <c r="F159" t="s">
        <v>31</v>
      </c>
      <c r="H159" t="s">
        <v>37</v>
      </c>
      <c r="I159" t="s">
        <v>38</v>
      </c>
      <c r="K159">
        <v>81</v>
      </c>
      <c r="M159" s="45">
        <v>48426</v>
      </c>
      <c r="N159" s="45">
        <v>48426</v>
      </c>
      <c r="O159" s="45">
        <v>48426</v>
      </c>
      <c r="P159">
        <v>507852285.15090227</v>
      </c>
      <c r="V159">
        <v>1</v>
      </c>
      <c r="W159" t="s">
        <v>34</v>
      </c>
      <c r="Y159" t="s">
        <v>34</v>
      </c>
      <c r="Z159" t="s">
        <v>35</v>
      </c>
      <c r="AA159">
        <v>1</v>
      </c>
    </row>
    <row r="160" spans="1:27" x14ac:dyDescent="0.35">
      <c r="A160" s="45">
        <v>45936</v>
      </c>
      <c r="B160">
        <v>1</v>
      </c>
      <c r="D160" t="s">
        <v>30</v>
      </c>
      <c r="E160" t="s">
        <v>31</v>
      </c>
      <c r="F160" t="s">
        <v>31</v>
      </c>
      <c r="H160" t="s">
        <v>37</v>
      </c>
      <c r="I160" t="s">
        <v>38</v>
      </c>
      <c r="K160">
        <v>82</v>
      </c>
      <c r="M160" s="45">
        <v>48457</v>
      </c>
      <c r="N160" s="45">
        <v>48457</v>
      </c>
      <c r="O160" s="45">
        <v>48457</v>
      </c>
      <c r="P160">
        <v>499979490.79560852</v>
      </c>
      <c r="V160">
        <v>1</v>
      </c>
      <c r="W160" t="s">
        <v>34</v>
      </c>
      <c r="Y160" t="s">
        <v>34</v>
      </c>
      <c r="Z160" t="s">
        <v>35</v>
      </c>
      <c r="AA160">
        <v>1</v>
      </c>
    </row>
    <row r="161" spans="1:27" x14ac:dyDescent="0.35">
      <c r="A161" s="45">
        <v>45936</v>
      </c>
      <c r="B161">
        <v>1</v>
      </c>
      <c r="D161" t="s">
        <v>30</v>
      </c>
      <c r="E161" t="s">
        <v>31</v>
      </c>
      <c r="F161" t="s">
        <v>31</v>
      </c>
      <c r="H161" t="s">
        <v>37</v>
      </c>
      <c r="I161" t="s">
        <v>38</v>
      </c>
      <c r="K161">
        <v>83</v>
      </c>
      <c r="M161" s="45">
        <v>48487</v>
      </c>
      <c r="N161" s="45">
        <v>48487</v>
      </c>
      <c r="O161" s="45">
        <v>48487</v>
      </c>
      <c r="P161">
        <v>492334893.37814939</v>
      </c>
      <c r="V161">
        <v>1</v>
      </c>
      <c r="W161" t="s">
        <v>34</v>
      </c>
      <c r="Y161" t="s">
        <v>34</v>
      </c>
      <c r="Z161" t="s">
        <v>35</v>
      </c>
      <c r="AA161">
        <v>1</v>
      </c>
    </row>
    <row r="162" spans="1:27" x14ac:dyDescent="0.35">
      <c r="A162" s="45">
        <v>45936</v>
      </c>
      <c r="B162">
        <v>1</v>
      </c>
      <c r="D162" t="s">
        <v>30</v>
      </c>
      <c r="E162" t="s">
        <v>31</v>
      </c>
      <c r="F162" t="s">
        <v>31</v>
      </c>
      <c r="H162" t="s">
        <v>37</v>
      </c>
      <c r="I162" t="s">
        <v>38</v>
      </c>
      <c r="K162">
        <v>84</v>
      </c>
      <c r="M162" s="45">
        <v>48518</v>
      </c>
      <c r="N162" s="45">
        <v>48518</v>
      </c>
      <c r="O162" s="45">
        <v>48518</v>
      </c>
      <c r="P162">
        <v>484804394.42960769</v>
      </c>
      <c r="V162">
        <v>1</v>
      </c>
      <c r="W162" t="s">
        <v>34</v>
      </c>
      <c r="Y162" t="s">
        <v>34</v>
      </c>
      <c r="Z162" t="s">
        <v>35</v>
      </c>
      <c r="AA162">
        <v>1</v>
      </c>
    </row>
    <row r="163" spans="1:27" x14ac:dyDescent="0.35">
      <c r="A163" s="45">
        <v>45936</v>
      </c>
      <c r="B163">
        <v>1</v>
      </c>
      <c r="D163" t="s">
        <v>30</v>
      </c>
      <c r="E163" t="s">
        <v>31</v>
      </c>
      <c r="F163" t="s">
        <v>31</v>
      </c>
      <c r="H163" t="s">
        <v>37</v>
      </c>
      <c r="I163" t="s">
        <v>38</v>
      </c>
      <c r="K163">
        <v>85</v>
      </c>
      <c r="M163" s="45">
        <v>48548</v>
      </c>
      <c r="N163" s="45">
        <v>48548</v>
      </c>
      <c r="O163" s="45">
        <v>48548</v>
      </c>
      <c r="P163">
        <v>477273895.48106593</v>
      </c>
      <c r="V163">
        <v>1</v>
      </c>
      <c r="W163" t="s">
        <v>34</v>
      </c>
      <c r="Y163" t="s">
        <v>34</v>
      </c>
      <c r="Z163" t="s">
        <v>35</v>
      </c>
      <c r="AA163">
        <v>1</v>
      </c>
    </row>
    <row r="164" spans="1:27" x14ac:dyDescent="0.35">
      <c r="A164" s="45">
        <v>45936</v>
      </c>
      <c r="B164">
        <v>1</v>
      </c>
      <c r="D164" t="s">
        <v>30</v>
      </c>
      <c r="E164" t="s">
        <v>31</v>
      </c>
      <c r="F164" t="s">
        <v>31</v>
      </c>
      <c r="H164" t="s">
        <v>37</v>
      </c>
      <c r="I164" t="s">
        <v>38</v>
      </c>
      <c r="K164">
        <v>86</v>
      </c>
      <c r="M164" s="45">
        <v>48579</v>
      </c>
      <c r="N164" s="45">
        <v>48579</v>
      </c>
      <c r="O164" s="45">
        <v>48579</v>
      </c>
      <c r="P164">
        <v>469971593.47035873</v>
      </c>
      <c r="V164">
        <v>1</v>
      </c>
      <c r="W164" t="s">
        <v>34</v>
      </c>
      <c r="Y164" t="s">
        <v>34</v>
      </c>
      <c r="Z164" t="s">
        <v>35</v>
      </c>
      <c r="AA164">
        <v>1</v>
      </c>
    </row>
    <row r="165" spans="1:27" x14ac:dyDescent="0.35">
      <c r="A165" s="45">
        <v>45936</v>
      </c>
      <c r="B165">
        <v>1</v>
      </c>
      <c r="D165" t="s">
        <v>30</v>
      </c>
      <c r="E165" t="s">
        <v>31</v>
      </c>
      <c r="F165" t="s">
        <v>31</v>
      </c>
      <c r="H165" t="s">
        <v>37</v>
      </c>
      <c r="I165" t="s">
        <v>38</v>
      </c>
      <c r="K165">
        <v>87</v>
      </c>
      <c r="M165" s="45">
        <v>48610</v>
      </c>
      <c r="N165" s="45">
        <v>48610</v>
      </c>
      <c r="O165" s="45">
        <v>48610</v>
      </c>
      <c r="P165">
        <v>462783389.92856872</v>
      </c>
      <c r="V165">
        <v>1</v>
      </c>
      <c r="W165" t="s">
        <v>34</v>
      </c>
      <c r="Y165" t="s">
        <v>34</v>
      </c>
      <c r="Z165" t="s">
        <v>35</v>
      </c>
      <c r="AA165">
        <v>1</v>
      </c>
    </row>
    <row r="166" spans="1:27" x14ac:dyDescent="0.35">
      <c r="A166" s="45">
        <v>45936</v>
      </c>
      <c r="B166">
        <v>1</v>
      </c>
      <c r="D166" t="s">
        <v>30</v>
      </c>
      <c r="E166" t="s">
        <v>31</v>
      </c>
      <c r="F166" t="s">
        <v>31</v>
      </c>
      <c r="H166" t="s">
        <v>37</v>
      </c>
      <c r="I166" t="s">
        <v>38</v>
      </c>
      <c r="K166">
        <v>88</v>
      </c>
      <c r="M166" s="45">
        <v>48638</v>
      </c>
      <c r="N166" s="45">
        <v>48638</v>
      </c>
      <c r="O166" s="45">
        <v>48638</v>
      </c>
      <c r="P166">
        <v>455595186.38677877</v>
      </c>
      <c r="V166">
        <v>1</v>
      </c>
      <c r="W166" t="s">
        <v>34</v>
      </c>
      <c r="Y166" t="s">
        <v>34</v>
      </c>
      <c r="Z166" t="s">
        <v>35</v>
      </c>
      <c r="AA166">
        <v>1</v>
      </c>
    </row>
    <row r="167" spans="1:27" x14ac:dyDescent="0.35">
      <c r="A167" s="45">
        <v>45936</v>
      </c>
      <c r="B167">
        <v>1</v>
      </c>
      <c r="D167" t="s">
        <v>30</v>
      </c>
      <c r="E167" t="s">
        <v>31</v>
      </c>
      <c r="F167" t="s">
        <v>31</v>
      </c>
      <c r="H167" t="s">
        <v>37</v>
      </c>
      <c r="I167" t="s">
        <v>38</v>
      </c>
      <c r="K167">
        <v>89</v>
      </c>
      <c r="M167" s="45">
        <v>48669</v>
      </c>
      <c r="N167" s="45">
        <v>48669</v>
      </c>
      <c r="O167" s="45">
        <v>48669</v>
      </c>
      <c r="P167">
        <v>448635179.7828235</v>
      </c>
      <c r="V167">
        <v>1</v>
      </c>
      <c r="W167" t="s">
        <v>34</v>
      </c>
      <c r="Y167" t="s">
        <v>34</v>
      </c>
      <c r="Z167" t="s">
        <v>35</v>
      </c>
      <c r="AA167">
        <v>1</v>
      </c>
    </row>
    <row r="168" spans="1:27" x14ac:dyDescent="0.35">
      <c r="A168" s="45">
        <v>45936</v>
      </c>
      <c r="B168">
        <v>1</v>
      </c>
      <c r="D168" t="s">
        <v>30</v>
      </c>
      <c r="E168" t="s">
        <v>31</v>
      </c>
      <c r="F168" t="s">
        <v>31</v>
      </c>
      <c r="H168" t="s">
        <v>37</v>
      </c>
      <c r="I168" t="s">
        <v>38</v>
      </c>
      <c r="K168">
        <v>90</v>
      </c>
      <c r="M168" s="45">
        <v>48699</v>
      </c>
      <c r="N168" s="45">
        <v>48699</v>
      </c>
      <c r="O168" s="45">
        <v>48699</v>
      </c>
      <c r="P168">
        <v>441675173.17886817</v>
      </c>
      <c r="V168">
        <v>1</v>
      </c>
      <c r="W168" t="s">
        <v>34</v>
      </c>
      <c r="Y168" t="s">
        <v>34</v>
      </c>
      <c r="Z168" t="s">
        <v>35</v>
      </c>
      <c r="AA168">
        <v>1</v>
      </c>
    </row>
    <row r="169" spans="1:27" x14ac:dyDescent="0.35">
      <c r="A169" s="45">
        <v>45936</v>
      </c>
      <c r="B169">
        <v>1</v>
      </c>
      <c r="D169" t="s">
        <v>30</v>
      </c>
      <c r="E169" t="s">
        <v>31</v>
      </c>
      <c r="F169" t="s">
        <v>31</v>
      </c>
      <c r="H169" t="s">
        <v>37</v>
      </c>
      <c r="I169" t="s">
        <v>38</v>
      </c>
      <c r="K169">
        <v>91</v>
      </c>
      <c r="M169" s="45">
        <v>48730</v>
      </c>
      <c r="N169" s="45">
        <v>48730</v>
      </c>
      <c r="O169" s="45">
        <v>48730</v>
      </c>
      <c r="P169">
        <v>434943363.51274753</v>
      </c>
      <c r="V169">
        <v>1</v>
      </c>
      <c r="W169" t="s">
        <v>34</v>
      </c>
      <c r="Y169" t="s">
        <v>34</v>
      </c>
      <c r="Z169" t="s">
        <v>35</v>
      </c>
      <c r="AA169">
        <v>1</v>
      </c>
    </row>
    <row r="170" spans="1:27" x14ac:dyDescent="0.35">
      <c r="A170" s="45">
        <v>45936</v>
      </c>
      <c r="B170">
        <v>1</v>
      </c>
      <c r="D170" t="s">
        <v>30</v>
      </c>
      <c r="E170" t="s">
        <v>31</v>
      </c>
      <c r="F170" t="s">
        <v>31</v>
      </c>
      <c r="H170" t="s">
        <v>37</v>
      </c>
      <c r="I170" t="s">
        <v>38</v>
      </c>
      <c r="K170">
        <v>92</v>
      </c>
      <c r="M170" s="45">
        <v>48760</v>
      </c>
      <c r="N170" s="45">
        <v>48760</v>
      </c>
      <c r="O170" s="45">
        <v>48760</v>
      </c>
      <c r="P170">
        <v>428211553.84662682</v>
      </c>
      <c r="V170">
        <v>1</v>
      </c>
      <c r="W170" t="s">
        <v>34</v>
      </c>
      <c r="Y170" t="s">
        <v>34</v>
      </c>
      <c r="Z170" t="s">
        <v>35</v>
      </c>
      <c r="AA170">
        <v>1</v>
      </c>
    </row>
    <row r="171" spans="1:27" x14ac:dyDescent="0.35">
      <c r="A171" s="45">
        <v>45936</v>
      </c>
      <c r="B171">
        <v>1</v>
      </c>
      <c r="D171" t="s">
        <v>30</v>
      </c>
      <c r="E171" t="s">
        <v>31</v>
      </c>
      <c r="F171" t="s">
        <v>31</v>
      </c>
      <c r="H171" t="s">
        <v>37</v>
      </c>
      <c r="I171" t="s">
        <v>38</v>
      </c>
      <c r="K171">
        <v>93</v>
      </c>
      <c r="M171" s="45">
        <v>48791</v>
      </c>
      <c r="N171" s="45">
        <v>48791</v>
      </c>
      <c r="O171" s="45">
        <v>48791</v>
      </c>
      <c r="P171">
        <v>421593842.64942342</v>
      </c>
      <c r="V171">
        <v>1</v>
      </c>
      <c r="W171" t="s">
        <v>34</v>
      </c>
      <c r="Y171" t="s">
        <v>34</v>
      </c>
      <c r="Z171" t="s">
        <v>35</v>
      </c>
      <c r="AA171">
        <v>1</v>
      </c>
    </row>
    <row r="172" spans="1:27" x14ac:dyDescent="0.35">
      <c r="A172" s="45">
        <v>45936</v>
      </c>
      <c r="B172">
        <v>1</v>
      </c>
      <c r="D172" t="s">
        <v>30</v>
      </c>
      <c r="E172" t="s">
        <v>31</v>
      </c>
      <c r="F172" t="s">
        <v>31</v>
      </c>
      <c r="H172" t="s">
        <v>37</v>
      </c>
      <c r="I172" t="s">
        <v>38</v>
      </c>
      <c r="K172">
        <v>94</v>
      </c>
      <c r="M172" s="45">
        <v>48822</v>
      </c>
      <c r="N172" s="45">
        <v>48822</v>
      </c>
      <c r="O172" s="45">
        <v>48822</v>
      </c>
      <c r="P172">
        <v>415204328.39005458</v>
      </c>
      <c r="V172">
        <v>1</v>
      </c>
      <c r="W172" t="s">
        <v>34</v>
      </c>
      <c r="Y172" t="s">
        <v>34</v>
      </c>
      <c r="Z172" t="s">
        <v>35</v>
      </c>
      <c r="AA172">
        <v>1</v>
      </c>
    </row>
    <row r="173" spans="1:27" x14ac:dyDescent="0.35">
      <c r="A173" s="45">
        <v>45936</v>
      </c>
      <c r="B173">
        <v>1</v>
      </c>
      <c r="D173" t="s">
        <v>30</v>
      </c>
      <c r="E173" t="s">
        <v>31</v>
      </c>
      <c r="F173" t="s">
        <v>31</v>
      </c>
      <c r="H173" t="s">
        <v>37</v>
      </c>
      <c r="I173" t="s">
        <v>38</v>
      </c>
      <c r="K173">
        <v>95</v>
      </c>
      <c r="M173" s="45">
        <v>48852</v>
      </c>
      <c r="N173" s="45">
        <v>48852</v>
      </c>
      <c r="O173" s="45">
        <v>48852</v>
      </c>
      <c r="P173">
        <v>408814814.13068581</v>
      </c>
      <c r="V173">
        <v>1</v>
      </c>
      <c r="W173" t="s">
        <v>34</v>
      </c>
      <c r="Y173" t="s">
        <v>34</v>
      </c>
      <c r="Z173" t="s">
        <v>35</v>
      </c>
      <c r="AA173">
        <v>1</v>
      </c>
    </row>
    <row r="174" spans="1:27" x14ac:dyDescent="0.35">
      <c r="A174" s="45">
        <v>45936</v>
      </c>
      <c r="B174">
        <v>1</v>
      </c>
      <c r="D174" t="s">
        <v>30</v>
      </c>
      <c r="E174" t="s">
        <v>31</v>
      </c>
      <c r="F174" t="s">
        <v>31</v>
      </c>
      <c r="H174" t="s">
        <v>37</v>
      </c>
      <c r="I174" t="s">
        <v>38</v>
      </c>
      <c r="K174">
        <v>96</v>
      </c>
      <c r="M174" s="45">
        <v>48883</v>
      </c>
      <c r="N174" s="45">
        <v>48883</v>
      </c>
      <c r="O174" s="45">
        <v>48883</v>
      </c>
      <c r="P174">
        <v>402539398.34023428</v>
      </c>
      <c r="V174">
        <v>1</v>
      </c>
      <c r="W174" t="s">
        <v>34</v>
      </c>
      <c r="Y174" t="s">
        <v>34</v>
      </c>
      <c r="Z174" t="s">
        <v>35</v>
      </c>
      <c r="AA174">
        <v>1</v>
      </c>
    </row>
    <row r="175" spans="1:27" x14ac:dyDescent="0.35">
      <c r="A175" s="45">
        <v>45936</v>
      </c>
      <c r="B175">
        <v>1</v>
      </c>
      <c r="D175" t="s">
        <v>30</v>
      </c>
      <c r="E175" t="s">
        <v>31</v>
      </c>
      <c r="F175" t="s">
        <v>31</v>
      </c>
      <c r="H175" t="s">
        <v>37</v>
      </c>
      <c r="I175" t="s">
        <v>38</v>
      </c>
      <c r="K175">
        <v>97</v>
      </c>
      <c r="M175" s="45">
        <v>48913</v>
      </c>
      <c r="N175" s="45">
        <v>48913</v>
      </c>
      <c r="O175" s="45">
        <v>48913</v>
      </c>
      <c r="P175">
        <v>396263982.54978287</v>
      </c>
      <c r="V175">
        <v>1</v>
      </c>
      <c r="W175" t="s">
        <v>34</v>
      </c>
      <c r="Y175" t="s">
        <v>34</v>
      </c>
      <c r="Z175" t="s">
        <v>35</v>
      </c>
      <c r="AA175">
        <v>1</v>
      </c>
    </row>
    <row r="176" spans="1:27" x14ac:dyDescent="0.35">
      <c r="A176" s="45">
        <v>45936</v>
      </c>
      <c r="B176">
        <v>1</v>
      </c>
      <c r="D176" t="s">
        <v>30</v>
      </c>
      <c r="E176" t="s">
        <v>31</v>
      </c>
      <c r="F176" t="s">
        <v>31</v>
      </c>
      <c r="H176" t="s">
        <v>37</v>
      </c>
      <c r="I176" t="s">
        <v>38</v>
      </c>
      <c r="K176">
        <v>98</v>
      </c>
      <c r="M176" s="45">
        <v>48944</v>
      </c>
      <c r="N176" s="45">
        <v>48944</v>
      </c>
      <c r="O176" s="45">
        <v>48944</v>
      </c>
      <c r="P176">
        <v>390216763.69716603</v>
      </c>
      <c r="V176">
        <v>1</v>
      </c>
      <c r="W176" t="s">
        <v>34</v>
      </c>
      <c r="Y176" t="s">
        <v>34</v>
      </c>
      <c r="Z176" t="s">
        <v>35</v>
      </c>
      <c r="AA176">
        <v>1</v>
      </c>
    </row>
    <row r="177" spans="1:27" x14ac:dyDescent="0.35">
      <c r="A177" s="45">
        <v>45936</v>
      </c>
      <c r="B177">
        <v>1</v>
      </c>
      <c r="D177" t="s">
        <v>30</v>
      </c>
      <c r="E177" t="s">
        <v>31</v>
      </c>
      <c r="F177" t="s">
        <v>31</v>
      </c>
      <c r="H177" t="s">
        <v>37</v>
      </c>
      <c r="I177" t="s">
        <v>38</v>
      </c>
      <c r="K177">
        <v>99</v>
      </c>
      <c r="M177" s="45">
        <v>48975</v>
      </c>
      <c r="N177" s="45">
        <v>48975</v>
      </c>
      <c r="O177" s="45">
        <v>48975</v>
      </c>
      <c r="P177">
        <v>384169544.84454912</v>
      </c>
      <c r="V177">
        <v>1</v>
      </c>
      <c r="W177" t="s">
        <v>34</v>
      </c>
      <c r="Y177" t="s">
        <v>34</v>
      </c>
      <c r="Z177" t="s">
        <v>35</v>
      </c>
      <c r="AA177">
        <v>1</v>
      </c>
    </row>
    <row r="178" spans="1:27" x14ac:dyDescent="0.35">
      <c r="A178" s="45">
        <v>45936</v>
      </c>
      <c r="B178">
        <v>1</v>
      </c>
      <c r="D178" t="s">
        <v>30</v>
      </c>
      <c r="E178" t="s">
        <v>31</v>
      </c>
      <c r="F178" t="s">
        <v>31</v>
      </c>
      <c r="H178" t="s">
        <v>37</v>
      </c>
      <c r="I178" t="s">
        <v>38</v>
      </c>
      <c r="K178">
        <v>100</v>
      </c>
      <c r="M178" s="45">
        <v>49003</v>
      </c>
      <c r="N178" s="45">
        <v>49003</v>
      </c>
      <c r="O178" s="45">
        <v>49003</v>
      </c>
      <c r="P178">
        <v>378236424.46084952</v>
      </c>
      <c r="V178">
        <v>1</v>
      </c>
      <c r="W178" t="s">
        <v>34</v>
      </c>
      <c r="Y178" t="s">
        <v>34</v>
      </c>
      <c r="Z178" t="s">
        <v>35</v>
      </c>
      <c r="AA178">
        <v>1</v>
      </c>
    </row>
    <row r="179" spans="1:27" x14ac:dyDescent="0.35">
      <c r="A179" s="45">
        <v>45936</v>
      </c>
      <c r="B179">
        <v>1</v>
      </c>
      <c r="D179" t="s">
        <v>30</v>
      </c>
      <c r="E179" t="s">
        <v>31</v>
      </c>
      <c r="F179" t="s">
        <v>31</v>
      </c>
      <c r="H179" t="s">
        <v>37</v>
      </c>
      <c r="I179" t="s">
        <v>38</v>
      </c>
      <c r="K179">
        <v>101</v>
      </c>
      <c r="M179" s="45">
        <v>49034</v>
      </c>
      <c r="N179" s="45">
        <v>49034</v>
      </c>
      <c r="O179" s="45">
        <v>49034</v>
      </c>
      <c r="P179">
        <v>372417402.54606718</v>
      </c>
      <c r="V179">
        <v>1</v>
      </c>
      <c r="W179" t="s">
        <v>34</v>
      </c>
      <c r="Y179" t="s">
        <v>34</v>
      </c>
      <c r="Z179" t="s">
        <v>35</v>
      </c>
      <c r="AA179">
        <v>1</v>
      </c>
    </row>
    <row r="180" spans="1:27" x14ac:dyDescent="0.35">
      <c r="A180" s="45">
        <v>45936</v>
      </c>
      <c r="B180">
        <v>1</v>
      </c>
      <c r="D180" t="s">
        <v>30</v>
      </c>
      <c r="E180" t="s">
        <v>31</v>
      </c>
      <c r="F180" t="s">
        <v>31</v>
      </c>
      <c r="H180" t="s">
        <v>37</v>
      </c>
      <c r="I180" t="s">
        <v>38</v>
      </c>
      <c r="K180">
        <v>102</v>
      </c>
      <c r="M180" s="45">
        <v>49064</v>
      </c>
      <c r="N180" s="45">
        <v>49064</v>
      </c>
      <c r="O180" s="45">
        <v>49064</v>
      </c>
      <c r="P180">
        <v>366712479.10020208</v>
      </c>
      <c r="V180">
        <v>1</v>
      </c>
      <c r="W180" t="s">
        <v>34</v>
      </c>
      <c r="Y180" t="s">
        <v>34</v>
      </c>
      <c r="Z180" t="s">
        <v>35</v>
      </c>
      <c r="AA180">
        <v>1</v>
      </c>
    </row>
    <row r="181" spans="1:27" x14ac:dyDescent="0.35">
      <c r="A181" s="45">
        <v>45936</v>
      </c>
      <c r="B181">
        <v>1</v>
      </c>
      <c r="D181" t="s">
        <v>30</v>
      </c>
      <c r="E181" t="s">
        <v>31</v>
      </c>
      <c r="F181" t="s">
        <v>31</v>
      </c>
      <c r="H181" t="s">
        <v>37</v>
      </c>
      <c r="I181" t="s">
        <v>38</v>
      </c>
      <c r="K181">
        <v>103</v>
      </c>
      <c r="M181" s="45">
        <v>49095</v>
      </c>
      <c r="N181" s="45">
        <v>49095</v>
      </c>
      <c r="O181" s="45">
        <v>49095</v>
      </c>
      <c r="P181">
        <v>361121654.12325442</v>
      </c>
      <c r="V181">
        <v>1</v>
      </c>
      <c r="W181" t="s">
        <v>34</v>
      </c>
      <c r="Y181" t="s">
        <v>34</v>
      </c>
      <c r="Z181" t="s">
        <v>35</v>
      </c>
      <c r="AA181">
        <v>1</v>
      </c>
    </row>
    <row r="182" spans="1:27" x14ac:dyDescent="0.35">
      <c r="A182" s="45">
        <v>45936</v>
      </c>
      <c r="B182">
        <v>1</v>
      </c>
      <c r="D182" t="s">
        <v>30</v>
      </c>
      <c r="E182" t="s">
        <v>31</v>
      </c>
      <c r="F182" t="s">
        <v>31</v>
      </c>
      <c r="H182" t="s">
        <v>37</v>
      </c>
      <c r="I182" t="s">
        <v>38</v>
      </c>
      <c r="K182">
        <v>104</v>
      </c>
      <c r="M182" s="45">
        <v>49125</v>
      </c>
      <c r="N182" s="45">
        <v>49125</v>
      </c>
      <c r="O182" s="45">
        <v>49125</v>
      </c>
      <c r="P182">
        <v>355530829.14630681</v>
      </c>
      <c r="V182">
        <v>1</v>
      </c>
      <c r="W182" t="s">
        <v>34</v>
      </c>
      <c r="Y182" t="s">
        <v>34</v>
      </c>
      <c r="Z182" t="s">
        <v>35</v>
      </c>
      <c r="AA182">
        <v>1</v>
      </c>
    </row>
    <row r="183" spans="1:27" x14ac:dyDescent="0.35">
      <c r="A183" s="45">
        <v>45936</v>
      </c>
      <c r="B183">
        <v>1</v>
      </c>
      <c r="D183" t="s">
        <v>30</v>
      </c>
      <c r="E183" t="s">
        <v>31</v>
      </c>
      <c r="F183" t="s">
        <v>31</v>
      </c>
      <c r="H183" t="s">
        <v>37</v>
      </c>
      <c r="I183" t="s">
        <v>38</v>
      </c>
      <c r="K183">
        <v>105</v>
      </c>
      <c r="M183" s="45">
        <v>49156</v>
      </c>
      <c r="N183" s="45">
        <v>49156</v>
      </c>
      <c r="O183" s="45">
        <v>49156</v>
      </c>
      <c r="P183">
        <v>350054102.63827628</v>
      </c>
      <c r="V183">
        <v>1</v>
      </c>
      <c r="W183" t="s">
        <v>34</v>
      </c>
      <c r="Y183" t="s">
        <v>34</v>
      </c>
      <c r="Z183" t="s">
        <v>35</v>
      </c>
      <c r="AA183">
        <v>1</v>
      </c>
    </row>
    <row r="184" spans="1:27" x14ac:dyDescent="0.35">
      <c r="A184" s="45">
        <v>45936</v>
      </c>
      <c r="B184">
        <v>1</v>
      </c>
      <c r="D184" t="s">
        <v>30</v>
      </c>
      <c r="E184" t="s">
        <v>31</v>
      </c>
      <c r="F184" t="s">
        <v>31</v>
      </c>
      <c r="H184" t="s">
        <v>37</v>
      </c>
      <c r="I184" t="s">
        <v>38</v>
      </c>
      <c r="K184">
        <v>106</v>
      </c>
      <c r="M184" s="45">
        <v>49187</v>
      </c>
      <c r="N184" s="45">
        <v>49187</v>
      </c>
      <c r="O184" s="45">
        <v>49187</v>
      </c>
      <c r="P184">
        <v>344691474.59916317</v>
      </c>
      <c r="V184">
        <v>1</v>
      </c>
      <c r="W184" t="s">
        <v>34</v>
      </c>
      <c r="Y184" t="s">
        <v>34</v>
      </c>
      <c r="Z184" t="s">
        <v>35</v>
      </c>
      <c r="AA184">
        <v>1</v>
      </c>
    </row>
    <row r="185" spans="1:27" x14ac:dyDescent="0.35">
      <c r="A185" s="45">
        <v>45936</v>
      </c>
      <c r="B185">
        <v>1</v>
      </c>
      <c r="D185" t="s">
        <v>30</v>
      </c>
      <c r="E185" t="s">
        <v>31</v>
      </c>
      <c r="F185" t="s">
        <v>31</v>
      </c>
      <c r="H185" t="s">
        <v>37</v>
      </c>
      <c r="I185" t="s">
        <v>38</v>
      </c>
      <c r="K185">
        <v>107</v>
      </c>
      <c r="M185" s="45">
        <v>49217</v>
      </c>
      <c r="N185" s="45">
        <v>49217</v>
      </c>
      <c r="O185" s="45">
        <v>49217</v>
      </c>
      <c r="P185">
        <v>339442945.0289675</v>
      </c>
      <c r="V185">
        <v>1</v>
      </c>
      <c r="W185" t="s">
        <v>34</v>
      </c>
      <c r="Y185" t="s">
        <v>34</v>
      </c>
      <c r="Z185" t="s">
        <v>35</v>
      </c>
      <c r="AA185">
        <v>1</v>
      </c>
    </row>
    <row r="186" spans="1:27" x14ac:dyDescent="0.35">
      <c r="A186" s="45">
        <v>45936</v>
      </c>
      <c r="B186">
        <v>1</v>
      </c>
      <c r="D186" t="s">
        <v>30</v>
      </c>
      <c r="E186" t="s">
        <v>31</v>
      </c>
      <c r="F186" t="s">
        <v>31</v>
      </c>
      <c r="H186" t="s">
        <v>37</v>
      </c>
      <c r="I186" t="s">
        <v>38</v>
      </c>
      <c r="K186">
        <v>108</v>
      </c>
      <c r="M186" s="45">
        <v>49248</v>
      </c>
      <c r="N186" s="45">
        <v>49248</v>
      </c>
      <c r="O186" s="45">
        <v>49248</v>
      </c>
      <c r="P186">
        <v>21727086845.107929</v>
      </c>
      <c r="V186">
        <v>1</v>
      </c>
      <c r="W186" t="s">
        <v>34</v>
      </c>
      <c r="Y186" t="s">
        <v>34</v>
      </c>
      <c r="Z186" t="s">
        <v>35</v>
      </c>
      <c r="AA186">
        <v>1</v>
      </c>
    </row>
    <row r="187" spans="1:27" x14ac:dyDescent="0.35">
      <c r="A187" s="45">
        <v>45936</v>
      </c>
      <c r="B187">
        <v>1</v>
      </c>
      <c r="D187" t="s">
        <v>30</v>
      </c>
      <c r="E187" t="s">
        <v>31</v>
      </c>
      <c r="F187" t="s">
        <v>31</v>
      </c>
      <c r="H187" t="s">
        <v>38</v>
      </c>
      <c r="I187" t="s">
        <v>38</v>
      </c>
      <c r="M187" s="45">
        <v>45937</v>
      </c>
      <c r="N187" s="45">
        <v>45937</v>
      </c>
      <c r="O187" s="45">
        <v>45937</v>
      </c>
      <c r="P187">
        <v>114098468917.3</v>
      </c>
      <c r="V187">
        <v>1</v>
      </c>
      <c r="W187" t="s">
        <v>34</v>
      </c>
      <c r="Y187" t="s">
        <v>34</v>
      </c>
      <c r="Z187" t="s">
        <v>35</v>
      </c>
      <c r="AA187">
        <v>1</v>
      </c>
    </row>
    <row r="188" spans="1:27" x14ac:dyDescent="0.35">
      <c r="A188" s="45">
        <v>45936</v>
      </c>
      <c r="B188">
        <v>1</v>
      </c>
      <c r="D188" t="s">
        <v>30</v>
      </c>
      <c r="E188" t="s">
        <v>31</v>
      </c>
      <c r="F188" t="s">
        <v>31</v>
      </c>
      <c r="H188" t="s">
        <v>37</v>
      </c>
      <c r="I188" t="s">
        <v>39</v>
      </c>
      <c r="M188" s="45">
        <v>45937</v>
      </c>
      <c r="N188" s="45">
        <v>45937</v>
      </c>
      <c r="O188" s="45">
        <v>45937</v>
      </c>
      <c r="P188">
        <v>48899343821.700012</v>
      </c>
      <c r="V188">
        <v>1</v>
      </c>
      <c r="W188" t="s">
        <v>34</v>
      </c>
      <c r="Y188" t="s">
        <v>34</v>
      </c>
      <c r="Z188" t="s">
        <v>35</v>
      </c>
      <c r="AA188">
        <v>1</v>
      </c>
    </row>
    <row r="189" spans="1:27" x14ac:dyDescent="0.35">
      <c r="A189" s="45">
        <v>45936</v>
      </c>
      <c r="B189">
        <v>1</v>
      </c>
      <c r="D189" t="s">
        <v>30</v>
      </c>
      <c r="E189" t="s">
        <v>31</v>
      </c>
      <c r="F189" t="s">
        <v>31</v>
      </c>
      <c r="H189" t="s">
        <v>39</v>
      </c>
      <c r="I189" t="s">
        <v>39</v>
      </c>
      <c r="M189" s="45">
        <v>45937</v>
      </c>
      <c r="N189" s="45">
        <v>45937</v>
      </c>
      <c r="O189" s="45">
        <v>45937</v>
      </c>
      <c r="P189">
        <v>48899343821.700012</v>
      </c>
      <c r="V189">
        <v>1</v>
      </c>
      <c r="W189" t="s">
        <v>34</v>
      </c>
      <c r="Y189" t="s">
        <v>34</v>
      </c>
      <c r="Z189" t="s">
        <v>35</v>
      </c>
      <c r="AA189">
        <v>1</v>
      </c>
    </row>
    <row r="190" spans="1:27" x14ac:dyDescent="0.35">
      <c r="A190" s="45">
        <v>45936</v>
      </c>
      <c r="B190">
        <v>1</v>
      </c>
      <c r="D190" t="s">
        <v>30</v>
      </c>
      <c r="E190" t="s">
        <v>40</v>
      </c>
      <c r="F190" t="s">
        <v>40</v>
      </c>
      <c r="H190" t="s">
        <v>41</v>
      </c>
      <c r="I190" t="s">
        <v>42</v>
      </c>
      <c r="K190">
        <v>1</v>
      </c>
      <c r="M190" s="45">
        <v>45991</v>
      </c>
      <c r="N190" s="45">
        <v>45991</v>
      </c>
      <c r="O190" s="45">
        <v>45991</v>
      </c>
      <c r="P190">
        <v>28566.887087878029</v>
      </c>
      <c r="V190">
        <v>1</v>
      </c>
      <c r="W190" t="s">
        <v>34</v>
      </c>
      <c r="Y190" t="s">
        <v>34</v>
      </c>
      <c r="Z190" t="s">
        <v>35</v>
      </c>
      <c r="AA190">
        <v>1</v>
      </c>
    </row>
    <row r="191" spans="1:27" x14ac:dyDescent="0.35">
      <c r="A191" s="45">
        <v>45936</v>
      </c>
      <c r="B191">
        <v>1</v>
      </c>
      <c r="D191" t="s">
        <v>30</v>
      </c>
      <c r="E191" t="s">
        <v>40</v>
      </c>
      <c r="F191" t="s">
        <v>40</v>
      </c>
      <c r="H191" t="s">
        <v>41</v>
      </c>
      <c r="I191" t="s">
        <v>42</v>
      </c>
      <c r="K191">
        <v>2</v>
      </c>
      <c r="M191" s="45">
        <v>46022</v>
      </c>
      <c r="N191" s="45">
        <v>46022</v>
      </c>
      <c r="O191" s="45">
        <v>46022</v>
      </c>
      <c r="P191">
        <v>28319.074804043001</v>
      </c>
      <c r="V191">
        <v>1</v>
      </c>
      <c r="W191" t="s">
        <v>34</v>
      </c>
      <c r="Y191" t="s">
        <v>34</v>
      </c>
      <c r="Z191" t="s">
        <v>35</v>
      </c>
      <c r="AA191">
        <v>1</v>
      </c>
    </row>
    <row r="192" spans="1:27" x14ac:dyDescent="0.35">
      <c r="A192" s="45">
        <v>45936</v>
      </c>
      <c r="B192">
        <v>1</v>
      </c>
      <c r="D192" t="s">
        <v>30</v>
      </c>
      <c r="E192" t="s">
        <v>40</v>
      </c>
      <c r="F192" t="s">
        <v>40</v>
      </c>
      <c r="H192" t="s">
        <v>41</v>
      </c>
      <c r="I192" t="s">
        <v>42</v>
      </c>
      <c r="K192">
        <v>3</v>
      </c>
      <c r="M192" s="45">
        <v>46053</v>
      </c>
      <c r="N192" s="45">
        <v>46053</v>
      </c>
      <c r="O192" s="45">
        <v>46053</v>
      </c>
      <c r="P192">
        <v>28071.262520207962</v>
      </c>
      <c r="V192">
        <v>1</v>
      </c>
      <c r="W192" t="s">
        <v>34</v>
      </c>
      <c r="Y192" t="s">
        <v>34</v>
      </c>
      <c r="Z192" t="s">
        <v>35</v>
      </c>
      <c r="AA192">
        <v>1</v>
      </c>
    </row>
    <row r="193" spans="1:27" x14ac:dyDescent="0.35">
      <c r="A193" s="45">
        <v>45936</v>
      </c>
      <c r="B193">
        <v>1</v>
      </c>
      <c r="D193" t="s">
        <v>30</v>
      </c>
      <c r="E193" t="s">
        <v>40</v>
      </c>
      <c r="F193" t="s">
        <v>40</v>
      </c>
      <c r="H193" t="s">
        <v>41</v>
      </c>
      <c r="I193" t="s">
        <v>42</v>
      </c>
      <c r="K193">
        <v>4</v>
      </c>
      <c r="M193" s="45">
        <v>46081</v>
      </c>
      <c r="N193" s="45">
        <v>46081</v>
      </c>
      <c r="O193" s="45">
        <v>46081</v>
      </c>
      <c r="P193">
        <v>27823.45023637293</v>
      </c>
      <c r="V193">
        <v>1</v>
      </c>
      <c r="W193" t="s">
        <v>34</v>
      </c>
      <c r="Y193" t="s">
        <v>34</v>
      </c>
      <c r="Z193" t="s">
        <v>35</v>
      </c>
      <c r="AA193">
        <v>1</v>
      </c>
    </row>
    <row r="194" spans="1:27" x14ac:dyDescent="0.35">
      <c r="A194" s="45">
        <v>45936</v>
      </c>
      <c r="B194">
        <v>1</v>
      </c>
      <c r="D194" t="s">
        <v>30</v>
      </c>
      <c r="E194" t="s">
        <v>40</v>
      </c>
      <c r="F194" t="s">
        <v>40</v>
      </c>
      <c r="H194" t="s">
        <v>41</v>
      </c>
      <c r="I194" t="s">
        <v>42</v>
      </c>
      <c r="K194">
        <v>5</v>
      </c>
      <c r="M194" s="45">
        <v>46112</v>
      </c>
      <c r="N194" s="45">
        <v>46112</v>
      </c>
      <c r="O194" s="45">
        <v>46112</v>
      </c>
      <c r="P194">
        <v>27578.89864048309</v>
      </c>
      <c r="V194">
        <v>1</v>
      </c>
      <c r="W194" t="s">
        <v>34</v>
      </c>
      <c r="Y194" t="s">
        <v>34</v>
      </c>
      <c r="Z194" t="s">
        <v>35</v>
      </c>
      <c r="AA194">
        <v>1</v>
      </c>
    </row>
    <row r="195" spans="1:27" x14ac:dyDescent="0.35">
      <c r="A195" s="45">
        <v>45936</v>
      </c>
      <c r="B195">
        <v>1</v>
      </c>
      <c r="D195" t="s">
        <v>30</v>
      </c>
      <c r="E195" t="s">
        <v>40</v>
      </c>
      <c r="F195" t="s">
        <v>40</v>
      </c>
      <c r="H195" t="s">
        <v>41</v>
      </c>
      <c r="I195" t="s">
        <v>42</v>
      </c>
      <c r="K195">
        <v>6</v>
      </c>
      <c r="M195" s="45">
        <v>46142</v>
      </c>
      <c r="N195" s="45">
        <v>46142</v>
      </c>
      <c r="O195" s="45">
        <v>46142</v>
      </c>
      <c r="P195">
        <v>27337.607732538461</v>
      </c>
      <c r="V195">
        <v>1</v>
      </c>
      <c r="W195" t="s">
        <v>34</v>
      </c>
      <c r="Y195" t="s">
        <v>34</v>
      </c>
      <c r="Z195" t="s">
        <v>35</v>
      </c>
      <c r="AA195">
        <v>1</v>
      </c>
    </row>
    <row r="196" spans="1:27" x14ac:dyDescent="0.35">
      <c r="A196" s="45">
        <v>45936</v>
      </c>
      <c r="B196">
        <v>1</v>
      </c>
      <c r="D196" t="s">
        <v>30</v>
      </c>
      <c r="E196" t="s">
        <v>40</v>
      </c>
      <c r="F196" t="s">
        <v>40</v>
      </c>
      <c r="H196" t="s">
        <v>41</v>
      </c>
      <c r="I196" t="s">
        <v>42</v>
      </c>
      <c r="K196">
        <v>7</v>
      </c>
      <c r="M196" s="45">
        <v>46173</v>
      </c>
      <c r="N196" s="45">
        <v>46173</v>
      </c>
      <c r="O196" s="45">
        <v>46173</v>
      </c>
      <c r="P196">
        <v>27099.577512539021</v>
      </c>
      <c r="V196">
        <v>1</v>
      </c>
      <c r="W196" t="s">
        <v>34</v>
      </c>
      <c r="Y196" t="s">
        <v>34</v>
      </c>
      <c r="Z196" t="s">
        <v>35</v>
      </c>
      <c r="AA196">
        <v>1</v>
      </c>
    </row>
    <row r="197" spans="1:27" x14ac:dyDescent="0.35">
      <c r="A197" s="45">
        <v>45936</v>
      </c>
      <c r="B197">
        <v>1</v>
      </c>
      <c r="D197" t="s">
        <v>30</v>
      </c>
      <c r="E197" t="s">
        <v>40</v>
      </c>
      <c r="F197" t="s">
        <v>40</v>
      </c>
      <c r="H197" t="s">
        <v>41</v>
      </c>
      <c r="I197" t="s">
        <v>42</v>
      </c>
      <c r="K197">
        <v>8</v>
      </c>
      <c r="M197" s="45">
        <v>46203</v>
      </c>
      <c r="N197" s="45">
        <v>46203</v>
      </c>
      <c r="O197" s="45">
        <v>46203</v>
      </c>
      <c r="P197">
        <v>26861.547292539581</v>
      </c>
      <c r="V197">
        <v>1</v>
      </c>
      <c r="W197" t="s">
        <v>34</v>
      </c>
      <c r="Y197" t="s">
        <v>34</v>
      </c>
      <c r="Z197" t="s">
        <v>35</v>
      </c>
      <c r="AA197">
        <v>1</v>
      </c>
    </row>
    <row r="198" spans="1:27" x14ac:dyDescent="0.35">
      <c r="A198" s="45">
        <v>45936</v>
      </c>
      <c r="B198">
        <v>1</v>
      </c>
      <c r="D198" t="s">
        <v>30</v>
      </c>
      <c r="E198" t="s">
        <v>40</v>
      </c>
      <c r="F198" t="s">
        <v>40</v>
      </c>
      <c r="H198" t="s">
        <v>41</v>
      </c>
      <c r="I198" t="s">
        <v>42</v>
      </c>
      <c r="K198">
        <v>9</v>
      </c>
      <c r="M198" s="45">
        <v>46234</v>
      </c>
      <c r="N198" s="45">
        <v>46234</v>
      </c>
      <c r="O198" s="45">
        <v>46234</v>
      </c>
      <c r="P198">
        <v>26626.777760485329</v>
      </c>
      <c r="V198">
        <v>1</v>
      </c>
      <c r="W198" t="s">
        <v>34</v>
      </c>
      <c r="Y198" t="s">
        <v>34</v>
      </c>
      <c r="Z198" t="s">
        <v>35</v>
      </c>
      <c r="AA198">
        <v>1</v>
      </c>
    </row>
    <row r="199" spans="1:27" x14ac:dyDescent="0.35">
      <c r="A199" s="45">
        <v>45936</v>
      </c>
      <c r="B199">
        <v>1</v>
      </c>
      <c r="D199" t="s">
        <v>30</v>
      </c>
      <c r="E199" t="s">
        <v>40</v>
      </c>
      <c r="F199" t="s">
        <v>40</v>
      </c>
      <c r="H199" t="s">
        <v>41</v>
      </c>
      <c r="I199" t="s">
        <v>42</v>
      </c>
      <c r="K199">
        <v>10</v>
      </c>
      <c r="M199" s="45">
        <v>46265</v>
      </c>
      <c r="N199" s="45">
        <v>46265</v>
      </c>
      <c r="O199" s="45">
        <v>46265</v>
      </c>
      <c r="P199">
        <v>26392.008228431088</v>
      </c>
      <c r="V199">
        <v>1</v>
      </c>
      <c r="W199" t="s">
        <v>34</v>
      </c>
      <c r="Y199" t="s">
        <v>34</v>
      </c>
      <c r="Z199" t="s">
        <v>35</v>
      </c>
      <c r="AA199">
        <v>1</v>
      </c>
    </row>
    <row r="200" spans="1:27" x14ac:dyDescent="0.35">
      <c r="A200" s="45">
        <v>45936</v>
      </c>
      <c r="B200">
        <v>1</v>
      </c>
      <c r="D200" t="s">
        <v>30</v>
      </c>
      <c r="E200" t="s">
        <v>40</v>
      </c>
      <c r="F200" t="s">
        <v>40</v>
      </c>
      <c r="H200" t="s">
        <v>41</v>
      </c>
      <c r="I200" t="s">
        <v>42</v>
      </c>
      <c r="K200">
        <v>11</v>
      </c>
      <c r="M200" s="45">
        <v>46295</v>
      </c>
      <c r="N200" s="45">
        <v>46295</v>
      </c>
      <c r="O200" s="45">
        <v>46295</v>
      </c>
      <c r="P200">
        <v>26160.499384322051</v>
      </c>
      <c r="V200">
        <v>1</v>
      </c>
      <c r="W200" t="s">
        <v>34</v>
      </c>
      <c r="Y200" t="s">
        <v>34</v>
      </c>
      <c r="Z200" t="s">
        <v>35</v>
      </c>
      <c r="AA200">
        <v>1</v>
      </c>
    </row>
    <row r="201" spans="1:27" x14ac:dyDescent="0.35">
      <c r="A201" s="45">
        <v>45936</v>
      </c>
      <c r="B201">
        <v>1</v>
      </c>
      <c r="D201" t="s">
        <v>30</v>
      </c>
      <c r="E201" t="s">
        <v>40</v>
      </c>
      <c r="F201" t="s">
        <v>40</v>
      </c>
      <c r="H201" t="s">
        <v>41</v>
      </c>
      <c r="I201" t="s">
        <v>42</v>
      </c>
      <c r="K201">
        <v>12</v>
      </c>
      <c r="M201" s="45">
        <v>46326</v>
      </c>
      <c r="N201" s="45">
        <v>46326</v>
      </c>
      <c r="O201" s="45">
        <v>46326</v>
      </c>
      <c r="P201">
        <v>25932.251228158199</v>
      </c>
      <c r="V201">
        <v>1</v>
      </c>
      <c r="W201" t="s">
        <v>34</v>
      </c>
      <c r="Y201" t="s">
        <v>34</v>
      </c>
      <c r="Z201" t="s">
        <v>35</v>
      </c>
      <c r="AA201">
        <v>1</v>
      </c>
    </row>
    <row r="202" spans="1:27" x14ac:dyDescent="0.35">
      <c r="A202" s="45">
        <v>45936</v>
      </c>
      <c r="B202">
        <v>1</v>
      </c>
      <c r="D202" t="s">
        <v>30</v>
      </c>
      <c r="E202" t="s">
        <v>40</v>
      </c>
      <c r="F202" t="s">
        <v>40</v>
      </c>
      <c r="H202" t="s">
        <v>41</v>
      </c>
      <c r="I202" t="s">
        <v>42</v>
      </c>
      <c r="K202">
        <v>13</v>
      </c>
      <c r="M202" s="45">
        <v>46356</v>
      </c>
      <c r="N202" s="45">
        <v>46356</v>
      </c>
      <c r="O202" s="45">
        <v>46356</v>
      </c>
      <c r="P202">
        <v>25704.00307199435</v>
      </c>
      <c r="V202">
        <v>1</v>
      </c>
      <c r="W202" t="s">
        <v>34</v>
      </c>
      <c r="Y202" t="s">
        <v>34</v>
      </c>
      <c r="Z202" t="s">
        <v>35</v>
      </c>
      <c r="AA202">
        <v>1</v>
      </c>
    </row>
    <row r="203" spans="1:27" x14ac:dyDescent="0.35">
      <c r="A203" s="45">
        <v>45936</v>
      </c>
      <c r="B203">
        <v>1</v>
      </c>
      <c r="D203" t="s">
        <v>30</v>
      </c>
      <c r="E203" t="s">
        <v>40</v>
      </c>
      <c r="F203" t="s">
        <v>40</v>
      </c>
      <c r="H203" t="s">
        <v>41</v>
      </c>
      <c r="I203" t="s">
        <v>42</v>
      </c>
      <c r="K203">
        <v>14</v>
      </c>
      <c r="M203" s="45">
        <v>46387</v>
      </c>
      <c r="N203" s="45">
        <v>46387</v>
      </c>
      <c r="O203" s="45">
        <v>46387</v>
      </c>
      <c r="P203">
        <v>25479.015603775701</v>
      </c>
      <c r="V203">
        <v>1</v>
      </c>
      <c r="W203" t="s">
        <v>34</v>
      </c>
      <c r="Y203" t="s">
        <v>34</v>
      </c>
      <c r="Z203" t="s">
        <v>35</v>
      </c>
      <c r="AA203">
        <v>1</v>
      </c>
    </row>
    <row r="204" spans="1:27" x14ac:dyDescent="0.35">
      <c r="A204" s="45">
        <v>45936</v>
      </c>
      <c r="B204">
        <v>1</v>
      </c>
      <c r="D204" t="s">
        <v>30</v>
      </c>
      <c r="E204" t="s">
        <v>40</v>
      </c>
      <c r="F204" t="s">
        <v>40</v>
      </c>
      <c r="H204" t="s">
        <v>41</v>
      </c>
      <c r="I204" t="s">
        <v>42</v>
      </c>
      <c r="K204">
        <v>15</v>
      </c>
      <c r="M204" s="45">
        <v>46418</v>
      </c>
      <c r="N204" s="45">
        <v>46418</v>
      </c>
      <c r="O204" s="45">
        <v>46418</v>
      </c>
      <c r="P204">
        <v>25257.288823502251</v>
      </c>
      <c r="V204">
        <v>1</v>
      </c>
      <c r="W204" t="s">
        <v>34</v>
      </c>
      <c r="Y204" t="s">
        <v>34</v>
      </c>
      <c r="Z204" t="s">
        <v>35</v>
      </c>
      <c r="AA204">
        <v>1</v>
      </c>
    </row>
    <row r="205" spans="1:27" x14ac:dyDescent="0.35">
      <c r="A205" s="45">
        <v>45936</v>
      </c>
      <c r="B205">
        <v>1</v>
      </c>
      <c r="D205" t="s">
        <v>30</v>
      </c>
      <c r="E205" t="s">
        <v>40</v>
      </c>
      <c r="F205" t="s">
        <v>40</v>
      </c>
      <c r="H205" t="s">
        <v>41</v>
      </c>
      <c r="I205" t="s">
        <v>42</v>
      </c>
      <c r="K205">
        <v>16</v>
      </c>
      <c r="M205" s="45">
        <v>46446</v>
      </c>
      <c r="N205" s="45">
        <v>46446</v>
      </c>
      <c r="O205" s="45">
        <v>46446</v>
      </c>
      <c r="P205">
        <v>25035.562043228801</v>
      </c>
      <c r="V205">
        <v>1</v>
      </c>
      <c r="W205" t="s">
        <v>34</v>
      </c>
      <c r="Y205" t="s">
        <v>34</v>
      </c>
      <c r="Z205" t="s">
        <v>35</v>
      </c>
      <c r="AA205">
        <v>1</v>
      </c>
    </row>
    <row r="206" spans="1:27" x14ac:dyDescent="0.35">
      <c r="A206" s="45">
        <v>45936</v>
      </c>
      <c r="B206">
        <v>1</v>
      </c>
      <c r="D206" t="s">
        <v>30</v>
      </c>
      <c r="E206" t="s">
        <v>40</v>
      </c>
      <c r="F206" t="s">
        <v>40</v>
      </c>
      <c r="H206" t="s">
        <v>41</v>
      </c>
      <c r="I206" t="s">
        <v>42</v>
      </c>
      <c r="K206">
        <v>17</v>
      </c>
      <c r="M206" s="45">
        <v>46477</v>
      </c>
      <c r="N206" s="45">
        <v>46477</v>
      </c>
      <c r="O206" s="45">
        <v>46477</v>
      </c>
      <c r="P206">
        <v>24817.095950900541</v>
      </c>
      <c r="V206">
        <v>1</v>
      </c>
      <c r="W206" t="s">
        <v>34</v>
      </c>
      <c r="Y206" t="s">
        <v>34</v>
      </c>
      <c r="Z206" t="s">
        <v>35</v>
      </c>
      <c r="AA206">
        <v>1</v>
      </c>
    </row>
    <row r="207" spans="1:27" x14ac:dyDescent="0.35">
      <c r="A207" s="45">
        <v>45936</v>
      </c>
      <c r="B207">
        <v>1</v>
      </c>
      <c r="D207" t="s">
        <v>30</v>
      </c>
      <c r="E207" t="s">
        <v>40</v>
      </c>
      <c r="F207" t="s">
        <v>40</v>
      </c>
      <c r="H207" t="s">
        <v>41</v>
      </c>
      <c r="I207" t="s">
        <v>42</v>
      </c>
      <c r="K207">
        <v>18</v>
      </c>
      <c r="M207" s="45">
        <v>46507</v>
      </c>
      <c r="N207" s="45">
        <v>46507</v>
      </c>
      <c r="O207" s="45">
        <v>46507</v>
      </c>
      <c r="P207">
        <v>24598.629858572291</v>
      </c>
      <c r="V207">
        <v>1</v>
      </c>
      <c r="W207" t="s">
        <v>34</v>
      </c>
      <c r="Y207" t="s">
        <v>34</v>
      </c>
      <c r="Z207" t="s">
        <v>35</v>
      </c>
      <c r="AA207">
        <v>1</v>
      </c>
    </row>
    <row r="208" spans="1:27" x14ac:dyDescent="0.35">
      <c r="A208" s="45">
        <v>45936</v>
      </c>
      <c r="B208">
        <v>1</v>
      </c>
      <c r="D208" t="s">
        <v>30</v>
      </c>
      <c r="E208" t="s">
        <v>40</v>
      </c>
      <c r="F208" t="s">
        <v>40</v>
      </c>
      <c r="H208" t="s">
        <v>41</v>
      </c>
      <c r="I208" t="s">
        <v>42</v>
      </c>
      <c r="K208">
        <v>19</v>
      </c>
      <c r="M208" s="45">
        <v>46538</v>
      </c>
      <c r="N208" s="45">
        <v>46538</v>
      </c>
      <c r="O208" s="45">
        <v>46538</v>
      </c>
      <c r="P208">
        <v>24383.42445418924</v>
      </c>
      <c r="V208">
        <v>1</v>
      </c>
      <c r="W208" t="s">
        <v>34</v>
      </c>
      <c r="Y208" t="s">
        <v>34</v>
      </c>
      <c r="Z208" t="s">
        <v>35</v>
      </c>
      <c r="AA208">
        <v>1</v>
      </c>
    </row>
    <row r="209" spans="1:27" x14ac:dyDescent="0.35">
      <c r="A209" s="45">
        <v>45936</v>
      </c>
      <c r="B209">
        <v>1</v>
      </c>
      <c r="D209" t="s">
        <v>30</v>
      </c>
      <c r="E209" t="s">
        <v>40</v>
      </c>
      <c r="F209" t="s">
        <v>40</v>
      </c>
      <c r="H209" t="s">
        <v>41</v>
      </c>
      <c r="I209" t="s">
        <v>42</v>
      </c>
      <c r="K209">
        <v>20</v>
      </c>
      <c r="M209" s="45">
        <v>46568</v>
      </c>
      <c r="N209" s="45">
        <v>46568</v>
      </c>
      <c r="O209" s="45">
        <v>46568</v>
      </c>
      <c r="P209">
        <v>24168.219049806179</v>
      </c>
      <c r="V209">
        <v>1</v>
      </c>
      <c r="W209" t="s">
        <v>34</v>
      </c>
      <c r="Y209" t="s">
        <v>34</v>
      </c>
      <c r="Z209" t="s">
        <v>35</v>
      </c>
      <c r="AA209">
        <v>1</v>
      </c>
    </row>
    <row r="210" spans="1:27" x14ac:dyDescent="0.35">
      <c r="A210" s="45">
        <v>45936</v>
      </c>
      <c r="B210">
        <v>1</v>
      </c>
      <c r="D210" t="s">
        <v>30</v>
      </c>
      <c r="E210" t="s">
        <v>40</v>
      </c>
      <c r="F210" t="s">
        <v>40</v>
      </c>
      <c r="H210" t="s">
        <v>41</v>
      </c>
      <c r="I210" t="s">
        <v>42</v>
      </c>
      <c r="K210">
        <v>21</v>
      </c>
      <c r="M210" s="45">
        <v>46599</v>
      </c>
      <c r="N210" s="45">
        <v>46599</v>
      </c>
      <c r="O210" s="45">
        <v>46599</v>
      </c>
      <c r="P210">
        <v>23956.274333368321</v>
      </c>
      <c r="V210">
        <v>1</v>
      </c>
      <c r="W210" t="s">
        <v>34</v>
      </c>
      <c r="Y210" t="s">
        <v>34</v>
      </c>
      <c r="Z210" t="s">
        <v>35</v>
      </c>
      <c r="AA210">
        <v>1</v>
      </c>
    </row>
    <row r="211" spans="1:27" x14ac:dyDescent="0.35">
      <c r="A211" s="45">
        <v>45936</v>
      </c>
      <c r="B211">
        <v>1</v>
      </c>
      <c r="D211" t="s">
        <v>30</v>
      </c>
      <c r="E211" t="s">
        <v>40</v>
      </c>
      <c r="F211" t="s">
        <v>40</v>
      </c>
      <c r="H211" t="s">
        <v>41</v>
      </c>
      <c r="I211" t="s">
        <v>42</v>
      </c>
      <c r="K211">
        <v>22</v>
      </c>
      <c r="M211" s="45">
        <v>46630</v>
      </c>
      <c r="N211" s="45">
        <v>46630</v>
      </c>
      <c r="O211" s="45">
        <v>46630</v>
      </c>
      <c r="P211">
        <v>23747.59030487567</v>
      </c>
      <c r="V211">
        <v>1</v>
      </c>
      <c r="W211" t="s">
        <v>34</v>
      </c>
      <c r="Y211" t="s">
        <v>34</v>
      </c>
      <c r="Z211" t="s">
        <v>35</v>
      </c>
      <c r="AA211">
        <v>1</v>
      </c>
    </row>
    <row r="212" spans="1:27" x14ac:dyDescent="0.35">
      <c r="A212" s="45">
        <v>45936</v>
      </c>
      <c r="B212">
        <v>1</v>
      </c>
      <c r="D212" t="s">
        <v>30</v>
      </c>
      <c r="E212" t="s">
        <v>40</v>
      </c>
      <c r="F212" t="s">
        <v>40</v>
      </c>
      <c r="H212" t="s">
        <v>41</v>
      </c>
      <c r="I212" t="s">
        <v>42</v>
      </c>
      <c r="K212">
        <v>23</v>
      </c>
      <c r="M212" s="45">
        <v>46660</v>
      </c>
      <c r="N212" s="45">
        <v>46660</v>
      </c>
      <c r="O212" s="45">
        <v>46660</v>
      </c>
      <c r="P212">
        <v>23538.906276383001</v>
      </c>
      <c r="V212">
        <v>1</v>
      </c>
      <c r="W212" t="s">
        <v>34</v>
      </c>
      <c r="Y212" t="s">
        <v>34</v>
      </c>
      <c r="Z212" t="s">
        <v>35</v>
      </c>
      <c r="AA212">
        <v>1</v>
      </c>
    </row>
    <row r="213" spans="1:27" x14ac:dyDescent="0.35">
      <c r="A213" s="45">
        <v>45936</v>
      </c>
      <c r="B213">
        <v>1</v>
      </c>
      <c r="D213" t="s">
        <v>30</v>
      </c>
      <c r="E213" t="s">
        <v>40</v>
      </c>
      <c r="F213" t="s">
        <v>40</v>
      </c>
      <c r="H213" t="s">
        <v>41</v>
      </c>
      <c r="I213" t="s">
        <v>42</v>
      </c>
      <c r="K213">
        <v>24</v>
      </c>
      <c r="M213" s="45">
        <v>46691</v>
      </c>
      <c r="N213" s="45">
        <v>46691</v>
      </c>
      <c r="O213" s="45">
        <v>46691</v>
      </c>
      <c r="P213">
        <v>23333.482935835538</v>
      </c>
      <c r="V213">
        <v>1</v>
      </c>
      <c r="W213" t="s">
        <v>34</v>
      </c>
      <c r="Y213" t="s">
        <v>34</v>
      </c>
      <c r="Z213" t="s">
        <v>35</v>
      </c>
      <c r="AA213">
        <v>1</v>
      </c>
    </row>
    <row r="214" spans="1:27" x14ac:dyDescent="0.35">
      <c r="A214" s="45">
        <v>45936</v>
      </c>
      <c r="B214">
        <v>1</v>
      </c>
      <c r="D214" t="s">
        <v>30</v>
      </c>
      <c r="E214" t="s">
        <v>40</v>
      </c>
      <c r="F214" t="s">
        <v>40</v>
      </c>
      <c r="H214" t="s">
        <v>41</v>
      </c>
      <c r="I214" t="s">
        <v>42</v>
      </c>
      <c r="K214">
        <v>25</v>
      </c>
      <c r="M214" s="45">
        <v>46721</v>
      </c>
      <c r="N214" s="45">
        <v>46721</v>
      </c>
      <c r="O214" s="45">
        <v>46721</v>
      </c>
      <c r="P214">
        <v>23128.059595288079</v>
      </c>
      <c r="V214">
        <v>1</v>
      </c>
      <c r="W214" t="s">
        <v>34</v>
      </c>
      <c r="Y214" t="s">
        <v>34</v>
      </c>
      <c r="Z214" t="s">
        <v>35</v>
      </c>
      <c r="AA214">
        <v>1</v>
      </c>
    </row>
    <row r="215" spans="1:27" x14ac:dyDescent="0.35">
      <c r="A215" s="45">
        <v>45936</v>
      </c>
      <c r="B215">
        <v>1</v>
      </c>
      <c r="D215" t="s">
        <v>30</v>
      </c>
      <c r="E215" t="s">
        <v>40</v>
      </c>
      <c r="F215" t="s">
        <v>40</v>
      </c>
      <c r="H215" t="s">
        <v>41</v>
      </c>
      <c r="I215" t="s">
        <v>42</v>
      </c>
      <c r="K215">
        <v>26</v>
      </c>
      <c r="M215" s="45">
        <v>46752</v>
      </c>
      <c r="N215" s="45">
        <v>46752</v>
      </c>
      <c r="O215" s="45">
        <v>46752</v>
      </c>
      <c r="P215">
        <v>22925.896942685809</v>
      </c>
      <c r="V215">
        <v>1</v>
      </c>
      <c r="W215" t="s">
        <v>34</v>
      </c>
      <c r="Y215" t="s">
        <v>34</v>
      </c>
      <c r="Z215" t="s">
        <v>35</v>
      </c>
      <c r="AA215">
        <v>1</v>
      </c>
    </row>
    <row r="216" spans="1:27" x14ac:dyDescent="0.35">
      <c r="A216" s="45">
        <v>45936</v>
      </c>
      <c r="B216">
        <v>1</v>
      </c>
      <c r="D216" t="s">
        <v>30</v>
      </c>
      <c r="E216" t="s">
        <v>40</v>
      </c>
      <c r="F216" t="s">
        <v>40</v>
      </c>
      <c r="H216" t="s">
        <v>41</v>
      </c>
      <c r="I216" t="s">
        <v>42</v>
      </c>
      <c r="K216">
        <v>27</v>
      </c>
      <c r="M216" s="45">
        <v>46783</v>
      </c>
      <c r="N216" s="45">
        <v>46783</v>
      </c>
      <c r="O216" s="45">
        <v>46783</v>
      </c>
      <c r="P216">
        <v>22726.99497802875</v>
      </c>
      <c r="V216">
        <v>1</v>
      </c>
      <c r="W216" t="s">
        <v>34</v>
      </c>
      <c r="Y216" t="s">
        <v>34</v>
      </c>
      <c r="Z216" t="s">
        <v>35</v>
      </c>
      <c r="AA216">
        <v>1</v>
      </c>
    </row>
    <row r="217" spans="1:27" x14ac:dyDescent="0.35">
      <c r="A217" s="45">
        <v>45936</v>
      </c>
      <c r="B217">
        <v>1</v>
      </c>
      <c r="D217" t="s">
        <v>30</v>
      </c>
      <c r="E217" t="s">
        <v>40</v>
      </c>
      <c r="F217" t="s">
        <v>40</v>
      </c>
      <c r="H217" t="s">
        <v>41</v>
      </c>
      <c r="I217" t="s">
        <v>42</v>
      </c>
      <c r="K217">
        <v>28</v>
      </c>
      <c r="M217" s="45">
        <v>46812</v>
      </c>
      <c r="N217" s="45">
        <v>46812</v>
      </c>
      <c r="O217" s="45">
        <v>46812</v>
      </c>
      <c r="P217">
        <v>22528.093013371679</v>
      </c>
      <c r="V217">
        <v>1</v>
      </c>
      <c r="W217" t="s">
        <v>34</v>
      </c>
      <c r="Y217" t="s">
        <v>34</v>
      </c>
      <c r="Z217" t="s">
        <v>35</v>
      </c>
      <c r="AA217">
        <v>1</v>
      </c>
    </row>
    <row r="218" spans="1:27" x14ac:dyDescent="0.35">
      <c r="A218" s="45">
        <v>45936</v>
      </c>
      <c r="B218">
        <v>1</v>
      </c>
      <c r="D218" t="s">
        <v>30</v>
      </c>
      <c r="E218" t="s">
        <v>40</v>
      </c>
      <c r="F218" t="s">
        <v>40</v>
      </c>
      <c r="H218" t="s">
        <v>41</v>
      </c>
      <c r="I218" t="s">
        <v>42</v>
      </c>
      <c r="K218">
        <v>29</v>
      </c>
      <c r="M218" s="45">
        <v>46843</v>
      </c>
      <c r="N218" s="45">
        <v>46843</v>
      </c>
      <c r="O218" s="45">
        <v>46843</v>
      </c>
      <c r="P218">
        <v>22329.19104871462</v>
      </c>
      <c r="V218">
        <v>1</v>
      </c>
      <c r="W218" t="s">
        <v>34</v>
      </c>
      <c r="Y218" t="s">
        <v>34</v>
      </c>
      <c r="Z218" t="s">
        <v>35</v>
      </c>
      <c r="AA218">
        <v>1</v>
      </c>
    </row>
    <row r="219" spans="1:27" x14ac:dyDescent="0.35">
      <c r="A219" s="45">
        <v>45936</v>
      </c>
      <c r="B219">
        <v>1</v>
      </c>
      <c r="D219" t="s">
        <v>30</v>
      </c>
      <c r="E219" t="s">
        <v>40</v>
      </c>
      <c r="F219" t="s">
        <v>40</v>
      </c>
      <c r="H219" t="s">
        <v>41</v>
      </c>
      <c r="I219" t="s">
        <v>42</v>
      </c>
      <c r="K219">
        <v>30</v>
      </c>
      <c r="M219" s="45">
        <v>46873</v>
      </c>
      <c r="N219" s="45">
        <v>46873</v>
      </c>
      <c r="O219" s="45">
        <v>46873</v>
      </c>
      <c r="P219">
        <v>22133.549772002749</v>
      </c>
      <c r="V219">
        <v>1</v>
      </c>
      <c r="W219" t="s">
        <v>34</v>
      </c>
      <c r="Y219" t="s">
        <v>34</v>
      </c>
      <c r="Z219" t="s">
        <v>35</v>
      </c>
      <c r="AA219">
        <v>1</v>
      </c>
    </row>
    <row r="220" spans="1:27" x14ac:dyDescent="0.35">
      <c r="A220" s="45">
        <v>45936</v>
      </c>
      <c r="B220">
        <v>1</v>
      </c>
      <c r="D220" t="s">
        <v>30</v>
      </c>
      <c r="E220" t="s">
        <v>40</v>
      </c>
      <c r="F220" t="s">
        <v>40</v>
      </c>
      <c r="H220" t="s">
        <v>41</v>
      </c>
      <c r="I220" t="s">
        <v>42</v>
      </c>
      <c r="K220">
        <v>31</v>
      </c>
      <c r="M220" s="45">
        <v>46904</v>
      </c>
      <c r="N220" s="45">
        <v>46904</v>
      </c>
      <c r="O220" s="45">
        <v>46904</v>
      </c>
      <c r="P220">
        <v>21941.16918323607</v>
      </c>
      <c r="V220">
        <v>1</v>
      </c>
      <c r="W220" t="s">
        <v>34</v>
      </c>
      <c r="Y220" t="s">
        <v>34</v>
      </c>
      <c r="Z220" t="s">
        <v>35</v>
      </c>
      <c r="AA220">
        <v>1</v>
      </c>
    </row>
    <row r="221" spans="1:27" x14ac:dyDescent="0.35">
      <c r="A221" s="45">
        <v>45936</v>
      </c>
      <c r="B221">
        <v>1</v>
      </c>
      <c r="D221" t="s">
        <v>30</v>
      </c>
      <c r="E221" t="s">
        <v>40</v>
      </c>
      <c r="F221" t="s">
        <v>40</v>
      </c>
      <c r="H221" t="s">
        <v>41</v>
      </c>
      <c r="I221" t="s">
        <v>42</v>
      </c>
      <c r="K221">
        <v>32</v>
      </c>
      <c r="M221" s="45">
        <v>46934</v>
      </c>
      <c r="N221" s="45">
        <v>46934</v>
      </c>
      <c r="O221" s="45">
        <v>46934</v>
      </c>
      <c r="P221">
        <v>21748.788594469399</v>
      </c>
      <c r="V221">
        <v>1</v>
      </c>
      <c r="W221" t="s">
        <v>34</v>
      </c>
      <c r="Y221" t="s">
        <v>34</v>
      </c>
      <c r="Z221" t="s">
        <v>35</v>
      </c>
      <c r="AA221">
        <v>1</v>
      </c>
    </row>
    <row r="222" spans="1:27" x14ac:dyDescent="0.35">
      <c r="A222" s="45">
        <v>45936</v>
      </c>
      <c r="B222">
        <v>1</v>
      </c>
      <c r="D222" t="s">
        <v>30</v>
      </c>
      <c r="E222" t="s">
        <v>40</v>
      </c>
      <c r="F222" t="s">
        <v>40</v>
      </c>
      <c r="H222" t="s">
        <v>41</v>
      </c>
      <c r="I222" t="s">
        <v>42</v>
      </c>
      <c r="K222">
        <v>33</v>
      </c>
      <c r="M222" s="45">
        <v>46965</v>
      </c>
      <c r="N222" s="45">
        <v>46965</v>
      </c>
      <c r="O222" s="45">
        <v>46965</v>
      </c>
      <c r="P222">
        <v>21556.408005702731</v>
      </c>
      <c r="V222">
        <v>1</v>
      </c>
      <c r="W222" t="s">
        <v>34</v>
      </c>
      <c r="Y222" t="s">
        <v>34</v>
      </c>
      <c r="Z222" t="s">
        <v>35</v>
      </c>
      <c r="AA222">
        <v>1</v>
      </c>
    </row>
    <row r="223" spans="1:27" x14ac:dyDescent="0.35">
      <c r="A223" s="45">
        <v>45936</v>
      </c>
      <c r="B223">
        <v>1</v>
      </c>
      <c r="D223" t="s">
        <v>30</v>
      </c>
      <c r="E223" t="s">
        <v>40</v>
      </c>
      <c r="F223" t="s">
        <v>40</v>
      </c>
      <c r="H223" t="s">
        <v>41</v>
      </c>
      <c r="I223" t="s">
        <v>42</v>
      </c>
      <c r="K223">
        <v>34</v>
      </c>
      <c r="M223" s="45">
        <v>46996</v>
      </c>
      <c r="N223" s="45">
        <v>46996</v>
      </c>
      <c r="O223" s="45">
        <v>46996</v>
      </c>
      <c r="P223">
        <v>21367.28810488126</v>
      </c>
      <c r="V223">
        <v>1</v>
      </c>
      <c r="W223" t="s">
        <v>34</v>
      </c>
      <c r="Y223" t="s">
        <v>34</v>
      </c>
      <c r="Z223" t="s">
        <v>35</v>
      </c>
      <c r="AA223">
        <v>1</v>
      </c>
    </row>
    <row r="224" spans="1:27" x14ac:dyDescent="0.35">
      <c r="A224" s="45">
        <v>45936</v>
      </c>
      <c r="B224">
        <v>1</v>
      </c>
      <c r="D224" t="s">
        <v>30</v>
      </c>
      <c r="E224" t="s">
        <v>40</v>
      </c>
      <c r="F224" t="s">
        <v>40</v>
      </c>
      <c r="H224" t="s">
        <v>41</v>
      </c>
      <c r="I224" t="s">
        <v>42</v>
      </c>
      <c r="K224">
        <v>35</v>
      </c>
      <c r="M224" s="45">
        <v>47026</v>
      </c>
      <c r="N224" s="45">
        <v>47026</v>
      </c>
      <c r="O224" s="45">
        <v>47026</v>
      </c>
      <c r="P224">
        <v>21181.42889200498</v>
      </c>
      <c r="V224">
        <v>1</v>
      </c>
      <c r="W224" t="s">
        <v>34</v>
      </c>
      <c r="Y224" t="s">
        <v>34</v>
      </c>
      <c r="Z224" t="s">
        <v>35</v>
      </c>
      <c r="AA224">
        <v>1</v>
      </c>
    </row>
    <row r="225" spans="1:27" x14ac:dyDescent="0.35">
      <c r="A225" s="45">
        <v>45936</v>
      </c>
      <c r="B225">
        <v>1</v>
      </c>
      <c r="D225" t="s">
        <v>30</v>
      </c>
      <c r="E225" t="s">
        <v>40</v>
      </c>
      <c r="F225" t="s">
        <v>40</v>
      </c>
      <c r="H225" t="s">
        <v>41</v>
      </c>
      <c r="I225" t="s">
        <v>42</v>
      </c>
      <c r="K225">
        <v>36</v>
      </c>
      <c r="M225" s="45">
        <v>47057</v>
      </c>
      <c r="N225" s="45">
        <v>47057</v>
      </c>
      <c r="O225" s="45">
        <v>47057</v>
      </c>
      <c r="P225">
        <v>20995.569679128708</v>
      </c>
      <c r="V225">
        <v>1</v>
      </c>
      <c r="W225" t="s">
        <v>34</v>
      </c>
      <c r="Y225" t="s">
        <v>34</v>
      </c>
      <c r="Z225" t="s">
        <v>35</v>
      </c>
      <c r="AA225">
        <v>1</v>
      </c>
    </row>
    <row r="226" spans="1:27" x14ac:dyDescent="0.35">
      <c r="A226" s="45">
        <v>45936</v>
      </c>
      <c r="B226">
        <v>1</v>
      </c>
      <c r="D226" t="s">
        <v>30</v>
      </c>
      <c r="E226" t="s">
        <v>40</v>
      </c>
      <c r="F226" t="s">
        <v>40</v>
      </c>
      <c r="H226" t="s">
        <v>41</v>
      </c>
      <c r="I226" t="s">
        <v>42</v>
      </c>
      <c r="K226">
        <v>37</v>
      </c>
      <c r="M226" s="45">
        <v>47087</v>
      </c>
      <c r="N226" s="45">
        <v>47087</v>
      </c>
      <c r="O226" s="45">
        <v>47087</v>
      </c>
      <c r="P226">
        <v>20809.710466252429</v>
      </c>
      <c r="V226">
        <v>1</v>
      </c>
      <c r="W226" t="s">
        <v>34</v>
      </c>
      <c r="Y226" t="s">
        <v>34</v>
      </c>
      <c r="Z226" t="s">
        <v>35</v>
      </c>
      <c r="AA226">
        <v>1</v>
      </c>
    </row>
    <row r="227" spans="1:27" x14ac:dyDescent="0.35">
      <c r="A227" s="45">
        <v>45936</v>
      </c>
      <c r="B227">
        <v>1</v>
      </c>
      <c r="D227" t="s">
        <v>30</v>
      </c>
      <c r="E227" t="s">
        <v>40</v>
      </c>
      <c r="F227" t="s">
        <v>40</v>
      </c>
      <c r="H227" t="s">
        <v>41</v>
      </c>
      <c r="I227" t="s">
        <v>42</v>
      </c>
      <c r="K227">
        <v>38</v>
      </c>
      <c r="M227" s="45">
        <v>47118</v>
      </c>
      <c r="N227" s="45">
        <v>47118</v>
      </c>
      <c r="O227" s="45">
        <v>47118</v>
      </c>
      <c r="P227">
        <v>20630.37262926656</v>
      </c>
      <c r="V227">
        <v>1</v>
      </c>
      <c r="W227" t="s">
        <v>34</v>
      </c>
      <c r="Y227" t="s">
        <v>34</v>
      </c>
      <c r="Z227" t="s">
        <v>35</v>
      </c>
      <c r="AA227">
        <v>1</v>
      </c>
    </row>
    <row r="228" spans="1:27" x14ac:dyDescent="0.35">
      <c r="A228" s="45">
        <v>45936</v>
      </c>
      <c r="B228">
        <v>1</v>
      </c>
      <c r="D228" t="s">
        <v>30</v>
      </c>
      <c r="E228" t="s">
        <v>40</v>
      </c>
      <c r="F228" t="s">
        <v>40</v>
      </c>
      <c r="H228" t="s">
        <v>41</v>
      </c>
      <c r="I228" t="s">
        <v>42</v>
      </c>
      <c r="K228">
        <v>39</v>
      </c>
      <c r="M228" s="45">
        <v>47149</v>
      </c>
      <c r="N228" s="45">
        <v>47149</v>
      </c>
      <c r="O228" s="45">
        <v>47149</v>
      </c>
      <c r="P228">
        <v>20447.77410433548</v>
      </c>
      <c r="V228">
        <v>1</v>
      </c>
      <c r="W228" t="s">
        <v>34</v>
      </c>
      <c r="Y228" t="s">
        <v>34</v>
      </c>
      <c r="Z228" t="s">
        <v>35</v>
      </c>
      <c r="AA228">
        <v>1</v>
      </c>
    </row>
    <row r="229" spans="1:27" x14ac:dyDescent="0.35">
      <c r="A229" s="45">
        <v>45936</v>
      </c>
      <c r="B229">
        <v>1</v>
      </c>
      <c r="D229" t="s">
        <v>30</v>
      </c>
      <c r="E229" t="s">
        <v>40</v>
      </c>
      <c r="F229" t="s">
        <v>40</v>
      </c>
      <c r="H229" t="s">
        <v>41</v>
      </c>
      <c r="I229" t="s">
        <v>42</v>
      </c>
      <c r="K229">
        <v>40</v>
      </c>
      <c r="M229" s="45">
        <v>47177</v>
      </c>
      <c r="N229" s="45">
        <v>47177</v>
      </c>
      <c r="O229" s="45">
        <v>47177</v>
      </c>
      <c r="P229">
        <v>20268.4362673496</v>
      </c>
      <c r="V229">
        <v>1</v>
      </c>
      <c r="W229" t="s">
        <v>34</v>
      </c>
      <c r="Y229" t="s">
        <v>34</v>
      </c>
      <c r="Z229" t="s">
        <v>35</v>
      </c>
      <c r="AA229">
        <v>1</v>
      </c>
    </row>
    <row r="230" spans="1:27" x14ac:dyDescent="0.35">
      <c r="A230" s="45">
        <v>45936</v>
      </c>
      <c r="B230">
        <v>1</v>
      </c>
      <c r="D230" t="s">
        <v>30</v>
      </c>
      <c r="E230" t="s">
        <v>40</v>
      </c>
      <c r="F230" t="s">
        <v>40</v>
      </c>
      <c r="H230" t="s">
        <v>41</v>
      </c>
      <c r="I230" t="s">
        <v>42</v>
      </c>
      <c r="K230">
        <v>41</v>
      </c>
      <c r="M230" s="45">
        <v>47208</v>
      </c>
      <c r="N230" s="45">
        <v>47208</v>
      </c>
      <c r="O230" s="45">
        <v>47208</v>
      </c>
      <c r="P230">
        <v>20092.359118308919</v>
      </c>
      <c r="V230">
        <v>1</v>
      </c>
      <c r="W230" t="s">
        <v>34</v>
      </c>
      <c r="Y230" t="s">
        <v>34</v>
      </c>
      <c r="Z230" t="s">
        <v>35</v>
      </c>
      <c r="AA230">
        <v>1</v>
      </c>
    </row>
    <row r="231" spans="1:27" x14ac:dyDescent="0.35">
      <c r="A231" s="45">
        <v>45936</v>
      </c>
      <c r="B231">
        <v>1</v>
      </c>
      <c r="D231" t="s">
        <v>30</v>
      </c>
      <c r="E231" t="s">
        <v>40</v>
      </c>
      <c r="F231" t="s">
        <v>40</v>
      </c>
      <c r="H231" t="s">
        <v>41</v>
      </c>
      <c r="I231" t="s">
        <v>42</v>
      </c>
      <c r="K231">
        <v>42</v>
      </c>
      <c r="M231" s="45">
        <v>47238</v>
      </c>
      <c r="N231" s="45">
        <v>47238</v>
      </c>
      <c r="O231" s="45">
        <v>47238</v>
      </c>
      <c r="P231">
        <v>19916.281969268239</v>
      </c>
      <c r="V231">
        <v>1</v>
      </c>
      <c r="W231" t="s">
        <v>34</v>
      </c>
      <c r="Y231" t="s">
        <v>34</v>
      </c>
      <c r="Z231" t="s">
        <v>35</v>
      </c>
      <c r="AA231">
        <v>1</v>
      </c>
    </row>
    <row r="232" spans="1:27" x14ac:dyDescent="0.35">
      <c r="A232" s="45">
        <v>45936</v>
      </c>
      <c r="B232">
        <v>1</v>
      </c>
      <c r="D232" t="s">
        <v>30</v>
      </c>
      <c r="E232" t="s">
        <v>40</v>
      </c>
      <c r="F232" t="s">
        <v>40</v>
      </c>
      <c r="H232" t="s">
        <v>41</v>
      </c>
      <c r="I232" t="s">
        <v>42</v>
      </c>
      <c r="K232">
        <v>43</v>
      </c>
      <c r="M232" s="45">
        <v>47269</v>
      </c>
      <c r="N232" s="45">
        <v>47269</v>
      </c>
      <c r="O232" s="45">
        <v>47269</v>
      </c>
      <c r="P232">
        <v>19740.204820227551</v>
      </c>
      <c r="V232">
        <v>1</v>
      </c>
      <c r="W232" t="s">
        <v>34</v>
      </c>
      <c r="Y232" t="s">
        <v>34</v>
      </c>
      <c r="Z232" t="s">
        <v>35</v>
      </c>
      <c r="AA232">
        <v>1</v>
      </c>
    </row>
    <row r="233" spans="1:27" x14ac:dyDescent="0.35">
      <c r="A233" s="45">
        <v>45936</v>
      </c>
      <c r="B233">
        <v>1</v>
      </c>
      <c r="D233" t="s">
        <v>30</v>
      </c>
      <c r="E233" t="s">
        <v>40</v>
      </c>
      <c r="F233" t="s">
        <v>40</v>
      </c>
      <c r="H233" t="s">
        <v>41</v>
      </c>
      <c r="I233" t="s">
        <v>42</v>
      </c>
      <c r="K233">
        <v>44</v>
      </c>
      <c r="M233" s="45">
        <v>47299</v>
      </c>
      <c r="N233" s="45">
        <v>47299</v>
      </c>
      <c r="O233" s="45">
        <v>47299</v>
      </c>
      <c r="P233">
        <v>19567.38835913207</v>
      </c>
      <c r="V233">
        <v>1</v>
      </c>
      <c r="W233" t="s">
        <v>34</v>
      </c>
      <c r="Y233" t="s">
        <v>34</v>
      </c>
      <c r="Z233" t="s">
        <v>35</v>
      </c>
      <c r="AA233">
        <v>1</v>
      </c>
    </row>
    <row r="234" spans="1:27" x14ac:dyDescent="0.35">
      <c r="A234" s="45">
        <v>45936</v>
      </c>
      <c r="B234">
        <v>1</v>
      </c>
      <c r="D234" t="s">
        <v>30</v>
      </c>
      <c r="E234" t="s">
        <v>40</v>
      </c>
      <c r="F234" t="s">
        <v>40</v>
      </c>
      <c r="H234" t="s">
        <v>41</v>
      </c>
      <c r="I234" t="s">
        <v>42</v>
      </c>
      <c r="K234">
        <v>45</v>
      </c>
      <c r="M234" s="45">
        <v>47330</v>
      </c>
      <c r="N234" s="45">
        <v>47330</v>
      </c>
      <c r="O234" s="45">
        <v>47330</v>
      </c>
      <c r="P234">
        <v>19397.832585981789</v>
      </c>
      <c r="V234">
        <v>1</v>
      </c>
      <c r="W234" t="s">
        <v>34</v>
      </c>
      <c r="Y234" t="s">
        <v>34</v>
      </c>
      <c r="Z234" t="s">
        <v>35</v>
      </c>
      <c r="AA234">
        <v>1</v>
      </c>
    </row>
    <row r="235" spans="1:27" x14ac:dyDescent="0.35">
      <c r="A235" s="45">
        <v>45936</v>
      </c>
      <c r="B235">
        <v>1</v>
      </c>
      <c r="D235" t="s">
        <v>30</v>
      </c>
      <c r="E235" t="s">
        <v>40</v>
      </c>
      <c r="F235" t="s">
        <v>40</v>
      </c>
      <c r="H235" t="s">
        <v>41</v>
      </c>
      <c r="I235" t="s">
        <v>42</v>
      </c>
      <c r="K235">
        <v>46</v>
      </c>
      <c r="M235" s="45">
        <v>47361</v>
      </c>
      <c r="N235" s="45">
        <v>47361</v>
      </c>
      <c r="O235" s="45">
        <v>47361</v>
      </c>
      <c r="P235">
        <v>19225.016124886301</v>
      </c>
      <c r="V235">
        <v>1</v>
      </c>
      <c r="W235" t="s">
        <v>34</v>
      </c>
      <c r="Y235" t="s">
        <v>34</v>
      </c>
      <c r="Z235" t="s">
        <v>35</v>
      </c>
      <c r="AA235">
        <v>1</v>
      </c>
    </row>
    <row r="236" spans="1:27" x14ac:dyDescent="0.35">
      <c r="A236" s="45">
        <v>45936</v>
      </c>
      <c r="B236">
        <v>1</v>
      </c>
      <c r="D236" t="s">
        <v>30</v>
      </c>
      <c r="E236" t="s">
        <v>40</v>
      </c>
      <c r="F236" t="s">
        <v>40</v>
      </c>
      <c r="H236" t="s">
        <v>41</v>
      </c>
      <c r="I236" t="s">
        <v>42</v>
      </c>
      <c r="K236">
        <v>47</v>
      </c>
      <c r="M236" s="45">
        <v>47391</v>
      </c>
      <c r="N236" s="45">
        <v>47391</v>
      </c>
      <c r="O236" s="45">
        <v>47391</v>
      </c>
      <c r="P236">
        <v>19058.721039681212</v>
      </c>
      <c r="V236">
        <v>1</v>
      </c>
      <c r="W236" t="s">
        <v>34</v>
      </c>
      <c r="Y236" t="s">
        <v>34</v>
      </c>
      <c r="Z236" t="s">
        <v>35</v>
      </c>
      <c r="AA236">
        <v>1</v>
      </c>
    </row>
    <row r="237" spans="1:27" x14ac:dyDescent="0.35">
      <c r="A237" s="45">
        <v>45936</v>
      </c>
      <c r="B237">
        <v>1</v>
      </c>
      <c r="D237" t="s">
        <v>30</v>
      </c>
      <c r="E237" t="s">
        <v>40</v>
      </c>
      <c r="F237" t="s">
        <v>40</v>
      </c>
      <c r="H237" t="s">
        <v>41</v>
      </c>
      <c r="I237" t="s">
        <v>42</v>
      </c>
      <c r="K237">
        <v>48</v>
      </c>
      <c r="M237" s="45">
        <v>47422</v>
      </c>
      <c r="N237" s="45">
        <v>47422</v>
      </c>
      <c r="O237" s="45">
        <v>47422</v>
      </c>
      <c r="P237">
        <v>18892.425954476119</v>
      </c>
      <c r="V237">
        <v>1</v>
      </c>
      <c r="W237" t="s">
        <v>34</v>
      </c>
      <c r="Y237" t="s">
        <v>34</v>
      </c>
      <c r="Z237" t="s">
        <v>35</v>
      </c>
      <c r="AA237">
        <v>1</v>
      </c>
    </row>
    <row r="238" spans="1:27" x14ac:dyDescent="0.35">
      <c r="A238" s="45">
        <v>45936</v>
      </c>
      <c r="B238">
        <v>1</v>
      </c>
      <c r="D238" t="s">
        <v>30</v>
      </c>
      <c r="E238" t="s">
        <v>40</v>
      </c>
      <c r="F238" t="s">
        <v>40</v>
      </c>
      <c r="H238" t="s">
        <v>41</v>
      </c>
      <c r="I238" t="s">
        <v>42</v>
      </c>
      <c r="K238">
        <v>49</v>
      </c>
      <c r="M238" s="45">
        <v>47452</v>
      </c>
      <c r="N238" s="45">
        <v>47452</v>
      </c>
      <c r="O238" s="45">
        <v>47452</v>
      </c>
      <c r="P238">
        <v>18726.13086927103</v>
      </c>
      <c r="V238">
        <v>1</v>
      </c>
      <c r="W238" t="s">
        <v>34</v>
      </c>
      <c r="Y238" t="s">
        <v>34</v>
      </c>
      <c r="Z238" t="s">
        <v>35</v>
      </c>
      <c r="AA238">
        <v>1</v>
      </c>
    </row>
    <row r="239" spans="1:27" x14ac:dyDescent="0.35">
      <c r="A239" s="45">
        <v>45936</v>
      </c>
      <c r="B239">
        <v>1</v>
      </c>
      <c r="D239" t="s">
        <v>30</v>
      </c>
      <c r="E239" t="s">
        <v>40</v>
      </c>
      <c r="F239" t="s">
        <v>40</v>
      </c>
      <c r="H239" t="s">
        <v>41</v>
      </c>
      <c r="I239" t="s">
        <v>42</v>
      </c>
      <c r="K239">
        <v>50</v>
      </c>
      <c r="M239" s="45">
        <v>47483</v>
      </c>
      <c r="N239" s="45">
        <v>47483</v>
      </c>
      <c r="O239" s="45">
        <v>47483</v>
      </c>
      <c r="P239">
        <v>18563.096472011141</v>
      </c>
      <c r="V239">
        <v>1</v>
      </c>
      <c r="W239" t="s">
        <v>34</v>
      </c>
      <c r="Y239" t="s">
        <v>34</v>
      </c>
      <c r="Z239" t="s">
        <v>35</v>
      </c>
      <c r="AA239">
        <v>1</v>
      </c>
    </row>
    <row r="240" spans="1:27" x14ac:dyDescent="0.35">
      <c r="A240" s="45">
        <v>45936</v>
      </c>
      <c r="B240">
        <v>1</v>
      </c>
      <c r="D240" t="s">
        <v>30</v>
      </c>
      <c r="E240" t="s">
        <v>40</v>
      </c>
      <c r="F240" t="s">
        <v>40</v>
      </c>
      <c r="H240" t="s">
        <v>41</v>
      </c>
      <c r="I240" t="s">
        <v>42</v>
      </c>
      <c r="K240">
        <v>51</v>
      </c>
      <c r="M240" s="45">
        <v>47514</v>
      </c>
      <c r="N240" s="45">
        <v>47514</v>
      </c>
      <c r="O240" s="45">
        <v>47514</v>
      </c>
      <c r="P240">
        <v>18400.062074751251</v>
      </c>
      <c r="V240">
        <v>1</v>
      </c>
      <c r="W240" t="s">
        <v>34</v>
      </c>
      <c r="Y240" t="s">
        <v>34</v>
      </c>
      <c r="Z240" t="s">
        <v>35</v>
      </c>
      <c r="AA240">
        <v>1</v>
      </c>
    </row>
    <row r="241" spans="1:27" x14ac:dyDescent="0.35">
      <c r="A241" s="45">
        <v>45936</v>
      </c>
      <c r="B241">
        <v>1</v>
      </c>
      <c r="D241" t="s">
        <v>30</v>
      </c>
      <c r="E241" t="s">
        <v>40</v>
      </c>
      <c r="F241" t="s">
        <v>40</v>
      </c>
      <c r="H241" t="s">
        <v>41</v>
      </c>
      <c r="I241" t="s">
        <v>42</v>
      </c>
      <c r="K241">
        <v>52</v>
      </c>
      <c r="M241" s="45">
        <v>47542</v>
      </c>
      <c r="N241" s="45">
        <v>47542</v>
      </c>
      <c r="O241" s="45">
        <v>47542</v>
      </c>
      <c r="P241">
        <v>18237.027677491358</v>
      </c>
      <c r="V241">
        <v>1</v>
      </c>
      <c r="W241" t="s">
        <v>34</v>
      </c>
      <c r="Y241" t="s">
        <v>34</v>
      </c>
      <c r="Z241" t="s">
        <v>35</v>
      </c>
      <c r="AA241">
        <v>1</v>
      </c>
    </row>
    <row r="242" spans="1:27" x14ac:dyDescent="0.35">
      <c r="A242" s="45">
        <v>45936</v>
      </c>
      <c r="B242">
        <v>1</v>
      </c>
      <c r="D242" t="s">
        <v>30</v>
      </c>
      <c r="E242" t="s">
        <v>40</v>
      </c>
      <c r="F242" t="s">
        <v>40</v>
      </c>
      <c r="H242" t="s">
        <v>41</v>
      </c>
      <c r="I242" t="s">
        <v>42</v>
      </c>
      <c r="K242">
        <v>53</v>
      </c>
      <c r="M242" s="45">
        <v>47573</v>
      </c>
      <c r="N242" s="45">
        <v>47573</v>
      </c>
      <c r="O242" s="45">
        <v>47573</v>
      </c>
      <c r="P242">
        <v>18077.253968176668</v>
      </c>
      <c r="V242">
        <v>1</v>
      </c>
      <c r="W242" t="s">
        <v>34</v>
      </c>
      <c r="Y242" t="s">
        <v>34</v>
      </c>
      <c r="Z242" t="s">
        <v>35</v>
      </c>
      <c r="AA242">
        <v>1</v>
      </c>
    </row>
    <row r="243" spans="1:27" x14ac:dyDescent="0.35">
      <c r="A243" s="45">
        <v>45936</v>
      </c>
      <c r="B243">
        <v>1</v>
      </c>
      <c r="D243" t="s">
        <v>30</v>
      </c>
      <c r="E243" t="s">
        <v>40</v>
      </c>
      <c r="F243" t="s">
        <v>40</v>
      </c>
      <c r="H243" t="s">
        <v>41</v>
      </c>
      <c r="I243" t="s">
        <v>42</v>
      </c>
      <c r="K243">
        <v>54</v>
      </c>
      <c r="M243" s="45">
        <v>47603</v>
      </c>
      <c r="N243" s="45">
        <v>47603</v>
      </c>
      <c r="O243" s="45">
        <v>47603</v>
      </c>
      <c r="P243">
        <v>17920.740946807171</v>
      </c>
      <c r="V243">
        <v>1</v>
      </c>
      <c r="W243" t="s">
        <v>34</v>
      </c>
      <c r="Y243" t="s">
        <v>34</v>
      </c>
      <c r="Z243" t="s">
        <v>35</v>
      </c>
      <c r="AA243">
        <v>1</v>
      </c>
    </row>
    <row r="244" spans="1:27" x14ac:dyDescent="0.35">
      <c r="A244" s="45">
        <v>45936</v>
      </c>
      <c r="B244">
        <v>1</v>
      </c>
      <c r="D244" t="s">
        <v>30</v>
      </c>
      <c r="E244" t="s">
        <v>40</v>
      </c>
      <c r="F244" t="s">
        <v>40</v>
      </c>
      <c r="H244" t="s">
        <v>41</v>
      </c>
      <c r="I244" t="s">
        <v>42</v>
      </c>
      <c r="K244">
        <v>55</v>
      </c>
      <c r="M244" s="45">
        <v>47634</v>
      </c>
      <c r="N244" s="45">
        <v>47634</v>
      </c>
      <c r="O244" s="45">
        <v>47634</v>
      </c>
      <c r="P244">
        <v>17760.967237492481</v>
      </c>
      <c r="V244">
        <v>1</v>
      </c>
      <c r="W244" t="s">
        <v>34</v>
      </c>
      <c r="Y244" t="s">
        <v>34</v>
      </c>
      <c r="Z244" t="s">
        <v>35</v>
      </c>
      <c r="AA244">
        <v>1</v>
      </c>
    </row>
    <row r="245" spans="1:27" x14ac:dyDescent="0.35">
      <c r="A245" s="45">
        <v>45936</v>
      </c>
      <c r="B245">
        <v>1</v>
      </c>
      <c r="D245" t="s">
        <v>30</v>
      </c>
      <c r="E245" t="s">
        <v>40</v>
      </c>
      <c r="F245" t="s">
        <v>40</v>
      </c>
      <c r="H245" t="s">
        <v>41</v>
      </c>
      <c r="I245" t="s">
        <v>42</v>
      </c>
      <c r="K245">
        <v>56</v>
      </c>
      <c r="M245" s="45">
        <v>47664</v>
      </c>
      <c r="N245" s="45">
        <v>47664</v>
      </c>
      <c r="O245" s="45">
        <v>47664</v>
      </c>
      <c r="P245">
        <v>17607.71490406818</v>
      </c>
      <c r="V245">
        <v>1</v>
      </c>
      <c r="W245" t="s">
        <v>34</v>
      </c>
      <c r="Y245" t="s">
        <v>34</v>
      </c>
      <c r="Z245" t="s">
        <v>35</v>
      </c>
      <c r="AA245">
        <v>1</v>
      </c>
    </row>
    <row r="246" spans="1:27" x14ac:dyDescent="0.35">
      <c r="A246" s="45">
        <v>45936</v>
      </c>
      <c r="B246">
        <v>1</v>
      </c>
      <c r="D246" t="s">
        <v>30</v>
      </c>
      <c r="E246" t="s">
        <v>40</v>
      </c>
      <c r="F246" t="s">
        <v>40</v>
      </c>
      <c r="H246" t="s">
        <v>41</v>
      </c>
      <c r="I246" t="s">
        <v>42</v>
      </c>
      <c r="K246">
        <v>57</v>
      </c>
      <c r="M246" s="45">
        <v>47695</v>
      </c>
      <c r="N246" s="45">
        <v>47695</v>
      </c>
      <c r="O246" s="45">
        <v>47695</v>
      </c>
      <c r="P246">
        <v>17451.20188269869</v>
      </c>
      <c r="V246">
        <v>1</v>
      </c>
      <c r="W246" t="s">
        <v>34</v>
      </c>
      <c r="Y246" t="s">
        <v>34</v>
      </c>
      <c r="Z246" t="s">
        <v>35</v>
      </c>
      <c r="AA246">
        <v>1</v>
      </c>
    </row>
    <row r="247" spans="1:27" x14ac:dyDescent="0.35">
      <c r="A247" s="45">
        <v>45936</v>
      </c>
      <c r="B247">
        <v>1</v>
      </c>
      <c r="D247" t="s">
        <v>30</v>
      </c>
      <c r="E247" t="s">
        <v>40</v>
      </c>
      <c r="F247" t="s">
        <v>40</v>
      </c>
      <c r="H247" t="s">
        <v>41</v>
      </c>
      <c r="I247" t="s">
        <v>42</v>
      </c>
      <c r="K247">
        <v>58</v>
      </c>
      <c r="M247" s="45">
        <v>47726</v>
      </c>
      <c r="N247" s="45">
        <v>47726</v>
      </c>
      <c r="O247" s="45">
        <v>47726</v>
      </c>
      <c r="P247">
        <v>17301.210237219591</v>
      </c>
      <c r="V247">
        <v>1</v>
      </c>
      <c r="W247" t="s">
        <v>34</v>
      </c>
      <c r="Y247" t="s">
        <v>34</v>
      </c>
      <c r="Z247" t="s">
        <v>35</v>
      </c>
      <c r="AA247">
        <v>1</v>
      </c>
    </row>
    <row r="248" spans="1:27" x14ac:dyDescent="0.35">
      <c r="A248" s="45">
        <v>45936</v>
      </c>
      <c r="B248">
        <v>1</v>
      </c>
      <c r="D248" t="s">
        <v>30</v>
      </c>
      <c r="E248" t="s">
        <v>40</v>
      </c>
      <c r="F248" t="s">
        <v>40</v>
      </c>
      <c r="H248" t="s">
        <v>41</v>
      </c>
      <c r="I248" t="s">
        <v>42</v>
      </c>
      <c r="K248">
        <v>59</v>
      </c>
      <c r="M248" s="45">
        <v>47756</v>
      </c>
      <c r="N248" s="45">
        <v>47756</v>
      </c>
      <c r="O248" s="45">
        <v>47756</v>
      </c>
      <c r="P248">
        <v>17147.95790379529</v>
      </c>
      <c r="V248">
        <v>1</v>
      </c>
      <c r="W248" t="s">
        <v>34</v>
      </c>
      <c r="Y248" t="s">
        <v>34</v>
      </c>
      <c r="Z248" t="s">
        <v>35</v>
      </c>
      <c r="AA248">
        <v>1</v>
      </c>
    </row>
    <row r="249" spans="1:27" x14ac:dyDescent="0.35">
      <c r="A249" s="45">
        <v>45936</v>
      </c>
      <c r="B249">
        <v>1</v>
      </c>
      <c r="D249" t="s">
        <v>30</v>
      </c>
      <c r="E249" t="s">
        <v>40</v>
      </c>
      <c r="F249" t="s">
        <v>40</v>
      </c>
      <c r="H249" t="s">
        <v>41</v>
      </c>
      <c r="I249" t="s">
        <v>42</v>
      </c>
      <c r="K249">
        <v>60</v>
      </c>
      <c r="M249" s="45">
        <v>47787</v>
      </c>
      <c r="N249" s="45">
        <v>47787</v>
      </c>
      <c r="O249" s="45">
        <v>47787</v>
      </c>
      <c r="P249">
        <v>16997.966258316192</v>
      </c>
      <c r="V249">
        <v>1</v>
      </c>
      <c r="W249" t="s">
        <v>34</v>
      </c>
      <c r="Y249" t="s">
        <v>34</v>
      </c>
      <c r="Z249" t="s">
        <v>35</v>
      </c>
      <c r="AA249">
        <v>1</v>
      </c>
    </row>
    <row r="250" spans="1:27" x14ac:dyDescent="0.35">
      <c r="A250" s="45">
        <v>45936</v>
      </c>
      <c r="B250">
        <v>1</v>
      </c>
      <c r="D250" t="s">
        <v>30</v>
      </c>
      <c r="E250" t="s">
        <v>40</v>
      </c>
      <c r="F250" t="s">
        <v>40</v>
      </c>
      <c r="H250" t="s">
        <v>41</v>
      </c>
      <c r="I250" t="s">
        <v>42</v>
      </c>
      <c r="K250">
        <v>61</v>
      </c>
      <c r="M250" s="45">
        <v>47817</v>
      </c>
      <c r="N250" s="45">
        <v>47817</v>
      </c>
      <c r="O250" s="45">
        <v>47817</v>
      </c>
      <c r="P250">
        <v>16847.97461283709</v>
      </c>
      <c r="V250">
        <v>1</v>
      </c>
      <c r="W250" t="s">
        <v>34</v>
      </c>
      <c r="Y250" t="s">
        <v>34</v>
      </c>
      <c r="Z250" t="s">
        <v>35</v>
      </c>
      <c r="AA250">
        <v>1</v>
      </c>
    </row>
    <row r="251" spans="1:27" x14ac:dyDescent="0.35">
      <c r="A251" s="45">
        <v>45936</v>
      </c>
      <c r="B251">
        <v>1</v>
      </c>
      <c r="D251" t="s">
        <v>30</v>
      </c>
      <c r="E251" t="s">
        <v>40</v>
      </c>
      <c r="F251" t="s">
        <v>40</v>
      </c>
      <c r="H251" t="s">
        <v>41</v>
      </c>
      <c r="I251" t="s">
        <v>42</v>
      </c>
      <c r="K251">
        <v>62</v>
      </c>
      <c r="M251" s="45">
        <v>47848</v>
      </c>
      <c r="N251" s="45">
        <v>47848</v>
      </c>
      <c r="O251" s="45">
        <v>47848</v>
      </c>
      <c r="P251">
        <v>16701.243655303191</v>
      </c>
      <c r="V251">
        <v>1</v>
      </c>
      <c r="W251" t="s">
        <v>34</v>
      </c>
      <c r="Y251" t="s">
        <v>34</v>
      </c>
      <c r="Z251" t="s">
        <v>35</v>
      </c>
      <c r="AA251">
        <v>1</v>
      </c>
    </row>
    <row r="252" spans="1:27" x14ac:dyDescent="0.35">
      <c r="A252" s="45">
        <v>45936</v>
      </c>
      <c r="B252">
        <v>1</v>
      </c>
      <c r="D252" t="s">
        <v>30</v>
      </c>
      <c r="E252" t="s">
        <v>40</v>
      </c>
      <c r="F252" t="s">
        <v>40</v>
      </c>
      <c r="H252" t="s">
        <v>41</v>
      </c>
      <c r="I252" t="s">
        <v>42</v>
      </c>
      <c r="K252">
        <v>63</v>
      </c>
      <c r="M252" s="45">
        <v>47879</v>
      </c>
      <c r="N252" s="45">
        <v>47879</v>
      </c>
      <c r="O252" s="45">
        <v>47879</v>
      </c>
      <c r="P252">
        <v>16554.512697769289</v>
      </c>
      <c r="V252">
        <v>1</v>
      </c>
      <c r="W252" t="s">
        <v>34</v>
      </c>
      <c r="Y252" t="s">
        <v>34</v>
      </c>
      <c r="Z252" t="s">
        <v>35</v>
      </c>
      <c r="AA252">
        <v>1</v>
      </c>
    </row>
    <row r="253" spans="1:27" x14ac:dyDescent="0.35">
      <c r="A253" s="45">
        <v>45936</v>
      </c>
      <c r="B253">
        <v>1</v>
      </c>
      <c r="D253" t="s">
        <v>30</v>
      </c>
      <c r="E253" t="s">
        <v>40</v>
      </c>
      <c r="F253" t="s">
        <v>40</v>
      </c>
      <c r="H253" t="s">
        <v>41</v>
      </c>
      <c r="I253" t="s">
        <v>42</v>
      </c>
      <c r="K253">
        <v>64</v>
      </c>
      <c r="M253" s="45">
        <v>47907</v>
      </c>
      <c r="N253" s="45">
        <v>47907</v>
      </c>
      <c r="O253" s="45">
        <v>47907</v>
      </c>
      <c r="P253">
        <v>16411.04242818059</v>
      </c>
      <c r="V253">
        <v>1</v>
      </c>
      <c r="W253" t="s">
        <v>34</v>
      </c>
      <c r="Y253" t="s">
        <v>34</v>
      </c>
      <c r="Z253" t="s">
        <v>35</v>
      </c>
      <c r="AA253">
        <v>1</v>
      </c>
    </row>
    <row r="254" spans="1:27" x14ac:dyDescent="0.35">
      <c r="A254" s="45">
        <v>45936</v>
      </c>
      <c r="B254">
        <v>1</v>
      </c>
      <c r="D254" t="s">
        <v>30</v>
      </c>
      <c r="E254" t="s">
        <v>40</v>
      </c>
      <c r="F254" t="s">
        <v>40</v>
      </c>
      <c r="H254" t="s">
        <v>41</v>
      </c>
      <c r="I254" t="s">
        <v>42</v>
      </c>
      <c r="K254">
        <v>65</v>
      </c>
      <c r="M254" s="45">
        <v>47938</v>
      </c>
      <c r="N254" s="45">
        <v>47938</v>
      </c>
      <c r="O254" s="45">
        <v>47938</v>
      </c>
      <c r="P254">
        <v>16267.57215859188</v>
      </c>
      <c r="V254">
        <v>1</v>
      </c>
      <c r="W254" t="s">
        <v>34</v>
      </c>
      <c r="Y254" t="s">
        <v>34</v>
      </c>
      <c r="Z254" t="s">
        <v>35</v>
      </c>
      <c r="AA254">
        <v>1</v>
      </c>
    </row>
    <row r="255" spans="1:27" x14ac:dyDescent="0.35">
      <c r="A255" s="45">
        <v>45936</v>
      </c>
      <c r="B255">
        <v>1</v>
      </c>
      <c r="D255" t="s">
        <v>30</v>
      </c>
      <c r="E255" t="s">
        <v>40</v>
      </c>
      <c r="F255" t="s">
        <v>40</v>
      </c>
      <c r="H255" t="s">
        <v>41</v>
      </c>
      <c r="I255" t="s">
        <v>42</v>
      </c>
      <c r="K255">
        <v>66</v>
      </c>
      <c r="M255" s="45">
        <v>47968</v>
      </c>
      <c r="N255" s="45">
        <v>47968</v>
      </c>
      <c r="O255" s="45">
        <v>47968</v>
      </c>
      <c r="P255">
        <v>16124.101889003179</v>
      </c>
      <c r="V255">
        <v>1</v>
      </c>
      <c r="W255" t="s">
        <v>34</v>
      </c>
      <c r="Y255" t="s">
        <v>34</v>
      </c>
      <c r="Z255" t="s">
        <v>35</v>
      </c>
      <c r="AA255">
        <v>1</v>
      </c>
    </row>
    <row r="256" spans="1:27" x14ac:dyDescent="0.35">
      <c r="A256" s="45">
        <v>45936</v>
      </c>
      <c r="B256">
        <v>1</v>
      </c>
      <c r="D256" t="s">
        <v>30</v>
      </c>
      <c r="E256" t="s">
        <v>40</v>
      </c>
      <c r="F256" t="s">
        <v>40</v>
      </c>
      <c r="H256" t="s">
        <v>41</v>
      </c>
      <c r="I256" t="s">
        <v>42</v>
      </c>
      <c r="K256">
        <v>67</v>
      </c>
      <c r="M256" s="45">
        <v>47999</v>
      </c>
      <c r="N256" s="45">
        <v>47999</v>
      </c>
      <c r="O256" s="45">
        <v>47999</v>
      </c>
      <c r="P256">
        <v>15983.892307359671</v>
      </c>
      <c r="V256">
        <v>1</v>
      </c>
      <c r="W256" t="s">
        <v>34</v>
      </c>
      <c r="Y256" t="s">
        <v>34</v>
      </c>
      <c r="Z256" t="s">
        <v>35</v>
      </c>
      <c r="AA256">
        <v>1</v>
      </c>
    </row>
    <row r="257" spans="1:27" x14ac:dyDescent="0.35">
      <c r="A257" s="45">
        <v>45936</v>
      </c>
      <c r="B257">
        <v>1</v>
      </c>
      <c r="D257" t="s">
        <v>30</v>
      </c>
      <c r="E257" t="s">
        <v>40</v>
      </c>
      <c r="F257" t="s">
        <v>40</v>
      </c>
      <c r="H257" t="s">
        <v>41</v>
      </c>
      <c r="I257" t="s">
        <v>42</v>
      </c>
      <c r="K257">
        <v>68</v>
      </c>
      <c r="M257" s="45">
        <v>48029</v>
      </c>
      <c r="N257" s="45">
        <v>48029</v>
      </c>
      <c r="O257" s="45">
        <v>48029</v>
      </c>
      <c r="P257">
        <v>15843.682725716169</v>
      </c>
      <c r="V257">
        <v>1</v>
      </c>
      <c r="W257" t="s">
        <v>34</v>
      </c>
      <c r="Y257" t="s">
        <v>34</v>
      </c>
      <c r="Z257" t="s">
        <v>35</v>
      </c>
      <c r="AA257">
        <v>1</v>
      </c>
    </row>
    <row r="258" spans="1:27" x14ac:dyDescent="0.35">
      <c r="A258" s="45">
        <v>45936</v>
      </c>
      <c r="B258">
        <v>1</v>
      </c>
      <c r="D258" t="s">
        <v>30</v>
      </c>
      <c r="E258" t="s">
        <v>40</v>
      </c>
      <c r="F258" t="s">
        <v>40</v>
      </c>
      <c r="H258" t="s">
        <v>41</v>
      </c>
      <c r="I258" t="s">
        <v>42</v>
      </c>
      <c r="K258">
        <v>69</v>
      </c>
      <c r="M258" s="45">
        <v>48060</v>
      </c>
      <c r="N258" s="45">
        <v>48060</v>
      </c>
      <c r="O258" s="45">
        <v>48060</v>
      </c>
      <c r="P258">
        <v>15703.473144072659</v>
      </c>
      <c r="V258">
        <v>1</v>
      </c>
      <c r="W258" t="s">
        <v>34</v>
      </c>
      <c r="Y258" t="s">
        <v>34</v>
      </c>
      <c r="Z258" t="s">
        <v>35</v>
      </c>
      <c r="AA258">
        <v>1</v>
      </c>
    </row>
    <row r="259" spans="1:27" x14ac:dyDescent="0.35">
      <c r="A259" s="45">
        <v>45936</v>
      </c>
      <c r="B259">
        <v>1</v>
      </c>
      <c r="D259" t="s">
        <v>30</v>
      </c>
      <c r="E259" t="s">
        <v>40</v>
      </c>
      <c r="F259" t="s">
        <v>40</v>
      </c>
      <c r="H259" t="s">
        <v>41</v>
      </c>
      <c r="I259" t="s">
        <v>42</v>
      </c>
      <c r="K259">
        <v>70</v>
      </c>
      <c r="M259" s="45">
        <v>48091</v>
      </c>
      <c r="N259" s="45">
        <v>48091</v>
      </c>
      <c r="O259" s="45">
        <v>48091</v>
      </c>
      <c r="P259">
        <v>1776660.8227637671</v>
      </c>
      <c r="V259">
        <v>1</v>
      </c>
      <c r="W259" t="s">
        <v>34</v>
      </c>
      <c r="Y259" t="s">
        <v>34</v>
      </c>
      <c r="Z259" t="s">
        <v>35</v>
      </c>
      <c r="AA259">
        <v>1</v>
      </c>
    </row>
    <row r="260" spans="1:27" x14ac:dyDescent="0.35">
      <c r="A260" s="45">
        <v>45936</v>
      </c>
      <c r="B260">
        <v>1</v>
      </c>
      <c r="D260" t="s">
        <v>30</v>
      </c>
      <c r="E260" t="s">
        <v>40</v>
      </c>
      <c r="F260" t="s">
        <v>40</v>
      </c>
      <c r="H260" t="s">
        <v>42</v>
      </c>
      <c r="I260" t="s">
        <v>42</v>
      </c>
      <c r="M260" s="45">
        <v>45937</v>
      </c>
      <c r="N260" s="45">
        <v>45937</v>
      </c>
      <c r="O260" s="45">
        <v>45937</v>
      </c>
      <c r="P260">
        <v>3260687.9451978118</v>
      </c>
      <c r="V260">
        <v>1</v>
      </c>
      <c r="W260" t="s">
        <v>34</v>
      </c>
      <c r="Y260" t="s">
        <v>34</v>
      </c>
      <c r="Z260" t="s">
        <v>35</v>
      </c>
      <c r="AA260">
        <v>1</v>
      </c>
    </row>
    <row r="261" spans="1:27" x14ac:dyDescent="0.35">
      <c r="A261" s="45">
        <v>45936</v>
      </c>
      <c r="B261">
        <v>1</v>
      </c>
      <c r="D261" t="s">
        <v>30</v>
      </c>
      <c r="E261" t="s">
        <v>40</v>
      </c>
      <c r="F261" t="s">
        <v>40</v>
      </c>
      <c r="H261" t="s">
        <v>41</v>
      </c>
      <c r="I261" t="s">
        <v>43</v>
      </c>
      <c r="M261" s="45">
        <v>45937</v>
      </c>
      <c r="N261" s="45">
        <v>45937</v>
      </c>
      <c r="O261" s="45">
        <v>45937</v>
      </c>
      <c r="P261">
        <v>1397437.6907990631</v>
      </c>
      <c r="V261">
        <v>1</v>
      </c>
      <c r="W261" t="s">
        <v>34</v>
      </c>
      <c r="Y261" t="s">
        <v>34</v>
      </c>
      <c r="Z261" t="s">
        <v>35</v>
      </c>
      <c r="AA261">
        <v>1</v>
      </c>
    </row>
    <row r="262" spans="1:27" x14ac:dyDescent="0.35">
      <c r="A262" s="45">
        <v>45936</v>
      </c>
      <c r="B262">
        <v>1</v>
      </c>
      <c r="D262" t="s">
        <v>30</v>
      </c>
      <c r="E262" t="s">
        <v>40</v>
      </c>
      <c r="F262" t="s">
        <v>40</v>
      </c>
      <c r="H262" t="s">
        <v>43</v>
      </c>
      <c r="I262" t="s">
        <v>43</v>
      </c>
      <c r="M262" s="45">
        <v>45937</v>
      </c>
      <c r="N262" s="45">
        <v>45937</v>
      </c>
      <c r="O262" s="45">
        <v>45937</v>
      </c>
      <c r="P262">
        <v>1397437.6907990631</v>
      </c>
      <c r="V262">
        <v>1</v>
      </c>
      <c r="W262" t="s">
        <v>34</v>
      </c>
      <c r="Y262" t="s">
        <v>34</v>
      </c>
      <c r="Z262" t="s">
        <v>35</v>
      </c>
      <c r="AA262">
        <v>1</v>
      </c>
    </row>
    <row r="263" spans="1:27" x14ac:dyDescent="0.35">
      <c r="A263" s="45">
        <v>45936</v>
      </c>
      <c r="B263">
        <v>1</v>
      </c>
      <c r="D263" t="s">
        <v>30</v>
      </c>
      <c r="E263" t="s">
        <v>40</v>
      </c>
      <c r="F263" t="s">
        <v>40</v>
      </c>
      <c r="H263" t="s">
        <v>41</v>
      </c>
      <c r="I263" t="s">
        <v>44</v>
      </c>
      <c r="K263">
        <v>1</v>
      </c>
      <c r="M263" s="45">
        <v>45991</v>
      </c>
      <c r="N263" s="45">
        <v>45991</v>
      </c>
      <c r="O263" s="45">
        <v>45991</v>
      </c>
      <c r="P263">
        <v>6854.324955016883</v>
      </c>
      <c r="V263">
        <v>1</v>
      </c>
      <c r="W263" t="s">
        <v>34</v>
      </c>
      <c r="Y263" t="s">
        <v>34</v>
      </c>
      <c r="Z263" t="s">
        <v>35</v>
      </c>
      <c r="AA263">
        <v>1</v>
      </c>
    </row>
    <row r="264" spans="1:27" x14ac:dyDescent="0.35">
      <c r="A264" s="45">
        <v>45936</v>
      </c>
      <c r="B264">
        <v>1</v>
      </c>
      <c r="D264" t="s">
        <v>30</v>
      </c>
      <c r="E264" t="s">
        <v>40</v>
      </c>
      <c r="F264" t="s">
        <v>40</v>
      </c>
      <c r="H264" t="s">
        <v>41</v>
      </c>
      <c r="I264" t="s">
        <v>44</v>
      </c>
      <c r="K264">
        <v>2</v>
      </c>
      <c r="M264" s="45">
        <v>46022</v>
      </c>
      <c r="N264" s="45">
        <v>46022</v>
      </c>
      <c r="O264" s="45">
        <v>46022</v>
      </c>
      <c r="P264">
        <v>6793.2154107841388</v>
      </c>
      <c r="V264">
        <v>1</v>
      </c>
      <c r="W264" t="s">
        <v>34</v>
      </c>
      <c r="Y264" t="s">
        <v>34</v>
      </c>
      <c r="Z264" t="s">
        <v>35</v>
      </c>
      <c r="AA264">
        <v>1</v>
      </c>
    </row>
    <row r="265" spans="1:27" x14ac:dyDescent="0.35">
      <c r="A265" s="45">
        <v>45936</v>
      </c>
      <c r="B265">
        <v>1</v>
      </c>
      <c r="D265" t="s">
        <v>30</v>
      </c>
      <c r="E265" t="s">
        <v>40</v>
      </c>
      <c r="F265" t="s">
        <v>40</v>
      </c>
      <c r="H265" t="s">
        <v>41</v>
      </c>
      <c r="I265" t="s">
        <v>44</v>
      </c>
      <c r="K265">
        <v>3</v>
      </c>
      <c r="M265" s="45">
        <v>46053</v>
      </c>
      <c r="N265" s="45">
        <v>46053</v>
      </c>
      <c r="O265" s="45">
        <v>46053</v>
      </c>
      <c r="P265">
        <v>6732.8794050859879</v>
      </c>
      <c r="V265">
        <v>1</v>
      </c>
      <c r="W265" t="s">
        <v>34</v>
      </c>
      <c r="Y265" t="s">
        <v>34</v>
      </c>
      <c r="Z265" t="s">
        <v>35</v>
      </c>
      <c r="AA265">
        <v>1</v>
      </c>
    </row>
    <row r="266" spans="1:27" x14ac:dyDescent="0.35">
      <c r="A266" s="45">
        <v>45936</v>
      </c>
      <c r="B266">
        <v>1</v>
      </c>
      <c r="D266" t="s">
        <v>30</v>
      </c>
      <c r="E266" t="s">
        <v>40</v>
      </c>
      <c r="F266" t="s">
        <v>40</v>
      </c>
      <c r="H266" t="s">
        <v>41</v>
      </c>
      <c r="I266" t="s">
        <v>44</v>
      </c>
      <c r="K266">
        <v>4</v>
      </c>
      <c r="M266" s="45">
        <v>46081</v>
      </c>
      <c r="N266" s="45">
        <v>46081</v>
      </c>
      <c r="O266" s="45">
        <v>46081</v>
      </c>
      <c r="P266">
        <v>6673.3169379224282</v>
      </c>
      <c r="V266">
        <v>1</v>
      </c>
      <c r="W266" t="s">
        <v>34</v>
      </c>
      <c r="Y266" t="s">
        <v>34</v>
      </c>
      <c r="Z266" t="s">
        <v>35</v>
      </c>
      <c r="AA266">
        <v>1</v>
      </c>
    </row>
    <row r="267" spans="1:27" x14ac:dyDescent="0.35">
      <c r="A267" s="45">
        <v>45936</v>
      </c>
      <c r="B267">
        <v>1</v>
      </c>
      <c r="D267" t="s">
        <v>30</v>
      </c>
      <c r="E267" t="s">
        <v>40</v>
      </c>
      <c r="F267" t="s">
        <v>40</v>
      </c>
      <c r="H267" t="s">
        <v>41</v>
      </c>
      <c r="I267" t="s">
        <v>44</v>
      </c>
      <c r="K267">
        <v>5</v>
      </c>
      <c r="M267" s="45">
        <v>46112</v>
      </c>
      <c r="N267" s="45">
        <v>46112</v>
      </c>
      <c r="O267" s="45">
        <v>46112</v>
      </c>
      <c r="P267">
        <v>6614.5280092934609</v>
      </c>
      <c r="V267">
        <v>1</v>
      </c>
      <c r="W267" t="s">
        <v>34</v>
      </c>
      <c r="Y267" t="s">
        <v>34</v>
      </c>
      <c r="Z267" t="s">
        <v>35</v>
      </c>
      <c r="AA267">
        <v>1</v>
      </c>
    </row>
    <row r="268" spans="1:27" x14ac:dyDescent="0.35">
      <c r="A268" s="45">
        <v>45936</v>
      </c>
      <c r="B268">
        <v>1</v>
      </c>
      <c r="D268" t="s">
        <v>30</v>
      </c>
      <c r="E268" t="s">
        <v>40</v>
      </c>
      <c r="F268" t="s">
        <v>40</v>
      </c>
      <c r="H268" t="s">
        <v>41</v>
      </c>
      <c r="I268" t="s">
        <v>44</v>
      </c>
      <c r="K268">
        <v>6</v>
      </c>
      <c r="M268" s="45">
        <v>46142</v>
      </c>
      <c r="N268" s="45">
        <v>46142</v>
      </c>
      <c r="O268" s="45">
        <v>46142</v>
      </c>
      <c r="P268">
        <v>6555.7390806644926</v>
      </c>
      <c r="V268">
        <v>1</v>
      </c>
      <c r="W268" t="s">
        <v>34</v>
      </c>
      <c r="Y268" t="s">
        <v>34</v>
      </c>
      <c r="Z268" t="s">
        <v>35</v>
      </c>
      <c r="AA268">
        <v>1</v>
      </c>
    </row>
    <row r="269" spans="1:27" x14ac:dyDescent="0.35">
      <c r="A269" s="45">
        <v>45936</v>
      </c>
      <c r="B269">
        <v>1</v>
      </c>
      <c r="D269" t="s">
        <v>30</v>
      </c>
      <c r="E269" t="s">
        <v>40</v>
      </c>
      <c r="F269" t="s">
        <v>40</v>
      </c>
      <c r="H269" t="s">
        <v>41</v>
      </c>
      <c r="I269" t="s">
        <v>44</v>
      </c>
      <c r="K269">
        <v>7</v>
      </c>
      <c r="M269" s="45">
        <v>46173</v>
      </c>
      <c r="N269" s="45">
        <v>46173</v>
      </c>
      <c r="O269" s="45">
        <v>46173</v>
      </c>
      <c r="P269">
        <v>6497.7236905701166</v>
      </c>
      <c r="V269">
        <v>1</v>
      </c>
      <c r="W269" t="s">
        <v>34</v>
      </c>
      <c r="Y269" t="s">
        <v>34</v>
      </c>
      <c r="Z269" t="s">
        <v>35</v>
      </c>
      <c r="AA269">
        <v>1</v>
      </c>
    </row>
    <row r="270" spans="1:27" x14ac:dyDescent="0.35">
      <c r="A270" s="45">
        <v>45936</v>
      </c>
      <c r="B270">
        <v>1</v>
      </c>
      <c r="D270" t="s">
        <v>30</v>
      </c>
      <c r="E270" t="s">
        <v>40</v>
      </c>
      <c r="F270" t="s">
        <v>40</v>
      </c>
      <c r="H270" t="s">
        <v>41</v>
      </c>
      <c r="I270" t="s">
        <v>44</v>
      </c>
      <c r="K270">
        <v>8</v>
      </c>
      <c r="M270" s="45">
        <v>46203</v>
      </c>
      <c r="N270" s="45">
        <v>46203</v>
      </c>
      <c r="O270" s="45">
        <v>46203</v>
      </c>
      <c r="P270">
        <v>6439.7083004757415</v>
      </c>
      <c r="V270">
        <v>1</v>
      </c>
      <c r="W270" t="s">
        <v>34</v>
      </c>
      <c r="Y270" t="s">
        <v>34</v>
      </c>
      <c r="Z270" t="s">
        <v>35</v>
      </c>
      <c r="AA270">
        <v>1</v>
      </c>
    </row>
    <row r="271" spans="1:27" x14ac:dyDescent="0.35">
      <c r="A271" s="45">
        <v>45936</v>
      </c>
      <c r="B271">
        <v>1</v>
      </c>
      <c r="D271" t="s">
        <v>30</v>
      </c>
      <c r="E271" t="s">
        <v>40</v>
      </c>
      <c r="F271" t="s">
        <v>40</v>
      </c>
      <c r="H271" t="s">
        <v>41</v>
      </c>
      <c r="I271" t="s">
        <v>44</v>
      </c>
      <c r="K271">
        <v>9</v>
      </c>
      <c r="M271" s="45">
        <v>46234</v>
      </c>
      <c r="N271" s="45">
        <v>46234</v>
      </c>
      <c r="O271" s="45">
        <v>46234</v>
      </c>
      <c r="P271">
        <v>6383.2399874505491</v>
      </c>
      <c r="V271">
        <v>1</v>
      </c>
      <c r="W271" t="s">
        <v>34</v>
      </c>
      <c r="Y271" t="s">
        <v>34</v>
      </c>
      <c r="Z271" t="s">
        <v>35</v>
      </c>
      <c r="AA271">
        <v>1</v>
      </c>
    </row>
    <row r="272" spans="1:27" x14ac:dyDescent="0.35">
      <c r="A272" s="45">
        <v>45936</v>
      </c>
      <c r="B272">
        <v>1</v>
      </c>
      <c r="D272" t="s">
        <v>30</v>
      </c>
      <c r="E272" t="s">
        <v>40</v>
      </c>
      <c r="F272" t="s">
        <v>40</v>
      </c>
      <c r="H272" t="s">
        <v>41</v>
      </c>
      <c r="I272" t="s">
        <v>44</v>
      </c>
      <c r="K272">
        <v>10</v>
      </c>
      <c r="M272" s="45">
        <v>46265</v>
      </c>
      <c r="N272" s="45">
        <v>46265</v>
      </c>
      <c r="O272" s="45">
        <v>46265</v>
      </c>
      <c r="P272">
        <v>6325.9981358907626</v>
      </c>
      <c r="V272">
        <v>1</v>
      </c>
      <c r="W272" t="s">
        <v>34</v>
      </c>
      <c r="Y272" t="s">
        <v>34</v>
      </c>
      <c r="Z272" t="s">
        <v>35</v>
      </c>
      <c r="AA272">
        <v>1</v>
      </c>
    </row>
    <row r="273" spans="1:27" x14ac:dyDescent="0.35">
      <c r="A273" s="45">
        <v>45936</v>
      </c>
      <c r="B273">
        <v>1</v>
      </c>
      <c r="D273" t="s">
        <v>30</v>
      </c>
      <c r="E273" t="s">
        <v>40</v>
      </c>
      <c r="F273" t="s">
        <v>40</v>
      </c>
      <c r="H273" t="s">
        <v>41</v>
      </c>
      <c r="I273" t="s">
        <v>44</v>
      </c>
      <c r="K273">
        <v>11</v>
      </c>
      <c r="M273" s="45">
        <v>46295</v>
      </c>
      <c r="N273" s="45">
        <v>46295</v>
      </c>
      <c r="O273" s="45">
        <v>46295</v>
      </c>
      <c r="P273">
        <v>6270.3033614001633</v>
      </c>
      <c r="V273">
        <v>1</v>
      </c>
      <c r="W273" t="s">
        <v>34</v>
      </c>
      <c r="Y273" t="s">
        <v>34</v>
      </c>
      <c r="Z273" t="s">
        <v>35</v>
      </c>
      <c r="AA273">
        <v>1</v>
      </c>
    </row>
    <row r="274" spans="1:27" x14ac:dyDescent="0.35">
      <c r="A274" s="45">
        <v>45936</v>
      </c>
      <c r="B274">
        <v>1</v>
      </c>
      <c r="D274" t="s">
        <v>30</v>
      </c>
      <c r="E274" t="s">
        <v>40</v>
      </c>
      <c r="F274" t="s">
        <v>40</v>
      </c>
      <c r="H274" t="s">
        <v>41</v>
      </c>
      <c r="I274" t="s">
        <v>44</v>
      </c>
      <c r="K274">
        <v>12</v>
      </c>
      <c r="M274" s="45">
        <v>46326</v>
      </c>
      <c r="N274" s="45">
        <v>46326</v>
      </c>
      <c r="O274" s="45">
        <v>46326</v>
      </c>
      <c r="P274">
        <v>6214.6085869095614</v>
      </c>
      <c r="V274">
        <v>1</v>
      </c>
      <c r="W274" t="s">
        <v>34</v>
      </c>
      <c r="Y274" t="s">
        <v>34</v>
      </c>
      <c r="Z274" t="s">
        <v>35</v>
      </c>
      <c r="AA274">
        <v>1</v>
      </c>
    </row>
    <row r="275" spans="1:27" x14ac:dyDescent="0.35">
      <c r="A275" s="45">
        <v>45936</v>
      </c>
      <c r="B275">
        <v>1</v>
      </c>
      <c r="D275" t="s">
        <v>30</v>
      </c>
      <c r="E275" t="s">
        <v>40</v>
      </c>
      <c r="F275" t="s">
        <v>40</v>
      </c>
      <c r="H275" t="s">
        <v>41</v>
      </c>
      <c r="I275" t="s">
        <v>44</v>
      </c>
      <c r="K275">
        <v>13</v>
      </c>
      <c r="M275" s="45">
        <v>46356</v>
      </c>
      <c r="N275" s="45">
        <v>46356</v>
      </c>
      <c r="O275" s="45">
        <v>46356</v>
      </c>
      <c r="P275">
        <v>6159.6873509535526</v>
      </c>
      <c r="V275">
        <v>1</v>
      </c>
      <c r="W275" t="s">
        <v>34</v>
      </c>
      <c r="Y275" t="s">
        <v>34</v>
      </c>
      <c r="Z275" t="s">
        <v>35</v>
      </c>
      <c r="AA275">
        <v>1</v>
      </c>
    </row>
    <row r="276" spans="1:27" x14ac:dyDescent="0.35">
      <c r="A276" s="45">
        <v>45936</v>
      </c>
      <c r="B276">
        <v>1</v>
      </c>
      <c r="D276" t="s">
        <v>30</v>
      </c>
      <c r="E276" t="s">
        <v>40</v>
      </c>
      <c r="F276" t="s">
        <v>40</v>
      </c>
      <c r="H276" t="s">
        <v>41</v>
      </c>
      <c r="I276" t="s">
        <v>44</v>
      </c>
      <c r="K276">
        <v>14</v>
      </c>
      <c r="M276" s="45">
        <v>46387</v>
      </c>
      <c r="N276" s="45">
        <v>46387</v>
      </c>
      <c r="O276" s="45">
        <v>46387</v>
      </c>
      <c r="P276">
        <v>6104.7661149975429</v>
      </c>
      <c r="V276">
        <v>1</v>
      </c>
      <c r="W276" t="s">
        <v>34</v>
      </c>
      <c r="Y276" t="s">
        <v>34</v>
      </c>
      <c r="Z276" t="s">
        <v>35</v>
      </c>
      <c r="AA276">
        <v>1</v>
      </c>
    </row>
    <row r="277" spans="1:27" x14ac:dyDescent="0.35">
      <c r="A277" s="45">
        <v>45936</v>
      </c>
      <c r="B277">
        <v>1</v>
      </c>
      <c r="D277" t="s">
        <v>30</v>
      </c>
      <c r="E277" t="s">
        <v>40</v>
      </c>
      <c r="F277" t="s">
        <v>40</v>
      </c>
      <c r="H277" t="s">
        <v>41</v>
      </c>
      <c r="I277" t="s">
        <v>44</v>
      </c>
      <c r="K277">
        <v>15</v>
      </c>
      <c r="M277" s="45">
        <v>46418</v>
      </c>
      <c r="N277" s="45">
        <v>46418</v>
      </c>
      <c r="O277" s="45">
        <v>46418</v>
      </c>
      <c r="P277">
        <v>6051.3919561107177</v>
      </c>
      <c r="V277">
        <v>1</v>
      </c>
      <c r="W277" t="s">
        <v>34</v>
      </c>
      <c r="Y277" t="s">
        <v>34</v>
      </c>
      <c r="Z277" t="s">
        <v>35</v>
      </c>
      <c r="AA277">
        <v>1</v>
      </c>
    </row>
    <row r="278" spans="1:27" x14ac:dyDescent="0.35">
      <c r="A278" s="45">
        <v>45936</v>
      </c>
      <c r="B278">
        <v>1</v>
      </c>
      <c r="D278" t="s">
        <v>30</v>
      </c>
      <c r="E278" t="s">
        <v>40</v>
      </c>
      <c r="F278" t="s">
        <v>40</v>
      </c>
      <c r="H278" t="s">
        <v>41</v>
      </c>
      <c r="I278" t="s">
        <v>44</v>
      </c>
      <c r="K278">
        <v>16</v>
      </c>
      <c r="M278" s="45">
        <v>46446</v>
      </c>
      <c r="N278" s="45">
        <v>46446</v>
      </c>
      <c r="O278" s="45">
        <v>46446</v>
      </c>
      <c r="P278">
        <v>5997.2442586893003</v>
      </c>
      <c r="V278">
        <v>1</v>
      </c>
      <c r="W278" t="s">
        <v>34</v>
      </c>
      <c r="Y278" t="s">
        <v>34</v>
      </c>
      <c r="Z278" t="s">
        <v>35</v>
      </c>
      <c r="AA278">
        <v>1</v>
      </c>
    </row>
    <row r="279" spans="1:27" x14ac:dyDescent="0.35">
      <c r="A279" s="45">
        <v>45936</v>
      </c>
      <c r="B279">
        <v>1</v>
      </c>
      <c r="D279" t="s">
        <v>30</v>
      </c>
      <c r="E279" t="s">
        <v>40</v>
      </c>
      <c r="F279" t="s">
        <v>40</v>
      </c>
      <c r="H279" t="s">
        <v>41</v>
      </c>
      <c r="I279" t="s">
        <v>44</v>
      </c>
      <c r="K279">
        <v>17</v>
      </c>
      <c r="M279" s="45">
        <v>46477</v>
      </c>
      <c r="N279" s="45">
        <v>46477</v>
      </c>
      <c r="O279" s="45">
        <v>46477</v>
      </c>
      <c r="P279">
        <v>5943.8700998024742</v>
      </c>
      <c r="V279">
        <v>1</v>
      </c>
      <c r="W279" t="s">
        <v>34</v>
      </c>
      <c r="Y279" t="s">
        <v>34</v>
      </c>
      <c r="Z279" t="s">
        <v>35</v>
      </c>
      <c r="AA279">
        <v>1</v>
      </c>
    </row>
    <row r="280" spans="1:27" x14ac:dyDescent="0.35">
      <c r="A280" s="45">
        <v>45936</v>
      </c>
      <c r="B280">
        <v>1</v>
      </c>
      <c r="D280" t="s">
        <v>30</v>
      </c>
      <c r="E280" t="s">
        <v>40</v>
      </c>
      <c r="F280" t="s">
        <v>40</v>
      </c>
      <c r="H280" t="s">
        <v>41</v>
      </c>
      <c r="I280" t="s">
        <v>44</v>
      </c>
      <c r="K280">
        <v>18</v>
      </c>
      <c r="M280" s="45">
        <v>46507</v>
      </c>
      <c r="N280" s="45">
        <v>46507</v>
      </c>
      <c r="O280" s="45">
        <v>46507</v>
      </c>
      <c r="P280">
        <v>5891.2694794502386</v>
      </c>
      <c r="V280">
        <v>1</v>
      </c>
      <c r="W280" t="s">
        <v>34</v>
      </c>
      <c r="Y280" t="s">
        <v>34</v>
      </c>
      <c r="Z280" t="s">
        <v>35</v>
      </c>
      <c r="AA280">
        <v>1</v>
      </c>
    </row>
    <row r="281" spans="1:27" x14ac:dyDescent="0.35">
      <c r="A281" s="45">
        <v>45936</v>
      </c>
      <c r="B281">
        <v>1</v>
      </c>
      <c r="D281" t="s">
        <v>30</v>
      </c>
      <c r="E281" t="s">
        <v>40</v>
      </c>
      <c r="F281" t="s">
        <v>40</v>
      </c>
      <c r="H281" t="s">
        <v>41</v>
      </c>
      <c r="I281" t="s">
        <v>44</v>
      </c>
      <c r="K281">
        <v>19</v>
      </c>
      <c r="M281" s="45">
        <v>46538</v>
      </c>
      <c r="N281" s="45">
        <v>46538</v>
      </c>
      <c r="O281" s="45">
        <v>46538</v>
      </c>
      <c r="P281">
        <v>5839.442397632597</v>
      </c>
      <c r="V281">
        <v>1</v>
      </c>
      <c r="W281" t="s">
        <v>34</v>
      </c>
      <c r="Y281" t="s">
        <v>34</v>
      </c>
      <c r="Z281" t="s">
        <v>35</v>
      </c>
      <c r="AA281">
        <v>1</v>
      </c>
    </row>
    <row r="282" spans="1:27" x14ac:dyDescent="0.35">
      <c r="A282" s="45">
        <v>45936</v>
      </c>
      <c r="B282">
        <v>1</v>
      </c>
      <c r="D282" t="s">
        <v>30</v>
      </c>
      <c r="E282" t="s">
        <v>40</v>
      </c>
      <c r="F282" t="s">
        <v>40</v>
      </c>
      <c r="H282" t="s">
        <v>41</v>
      </c>
      <c r="I282" t="s">
        <v>44</v>
      </c>
      <c r="K282">
        <v>20</v>
      </c>
      <c r="M282" s="45">
        <v>46568</v>
      </c>
      <c r="N282" s="45">
        <v>46568</v>
      </c>
      <c r="O282" s="45">
        <v>46568</v>
      </c>
      <c r="P282">
        <v>5787.6153158149546</v>
      </c>
      <c r="V282">
        <v>1</v>
      </c>
      <c r="W282" t="s">
        <v>34</v>
      </c>
      <c r="Y282" t="s">
        <v>34</v>
      </c>
      <c r="Z282" t="s">
        <v>35</v>
      </c>
      <c r="AA282">
        <v>1</v>
      </c>
    </row>
    <row r="283" spans="1:27" x14ac:dyDescent="0.35">
      <c r="A283" s="45">
        <v>45936</v>
      </c>
      <c r="B283">
        <v>1</v>
      </c>
      <c r="D283" t="s">
        <v>30</v>
      </c>
      <c r="E283" t="s">
        <v>40</v>
      </c>
      <c r="F283" t="s">
        <v>40</v>
      </c>
      <c r="H283" t="s">
        <v>41</v>
      </c>
      <c r="I283" t="s">
        <v>44</v>
      </c>
      <c r="K283">
        <v>21</v>
      </c>
      <c r="M283" s="45">
        <v>46599</v>
      </c>
      <c r="N283" s="45">
        <v>46599</v>
      </c>
      <c r="O283" s="45">
        <v>46599</v>
      </c>
      <c r="P283">
        <v>5736.5617725319034</v>
      </c>
      <c r="V283">
        <v>1</v>
      </c>
      <c r="W283" t="s">
        <v>34</v>
      </c>
      <c r="Y283" t="s">
        <v>34</v>
      </c>
      <c r="Z283" t="s">
        <v>35</v>
      </c>
      <c r="AA283">
        <v>1</v>
      </c>
    </row>
    <row r="284" spans="1:27" x14ac:dyDescent="0.35">
      <c r="A284" s="45">
        <v>45936</v>
      </c>
      <c r="B284">
        <v>1</v>
      </c>
      <c r="D284" t="s">
        <v>30</v>
      </c>
      <c r="E284" t="s">
        <v>40</v>
      </c>
      <c r="F284" t="s">
        <v>40</v>
      </c>
      <c r="H284" t="s">
        <v>41</v>
      </c>
      <c r="I284" t="s">
        <v>44</v>
      </c>
      <c r="K284">
        <v>22</v>
      </c>
      <c r="M284" s="45">
        <v>46630</v>
      </c>
      <c r="N284" s="45">
        <v>46630</v>
      </c>
      <c r="O284" s="45">
        <v>46630</v>
      </c>
      <c r="P284">
        <v>5685.5082292488523</v>
      </c>
      <c r="V284">
        <v>1</v>
      </c>
      <c r="W284" t="s">
        <v>34</v>
      </c>
      <c r="Y284" t="s">
        <v>34</v>
      </c>
      <c r="Z284" t="s">
        <v>35</v>
      </c>
      <c r="AA284">
        <v>1</v>
      </c>
    </row>
    <row r="285" spans="1:27" x14ac:dyDescent="0.35">
      <c r="A285" s="45">
        <v>45936</v>
      </c>
      <c r="B285">
        <v>1</v>
      </c>
      <c r="D285" t="s">
        <v>30</v>
      </c>
      <c r="E285" t="s">
        <v>40</v>
      </c>
      <c r="F285" t="s">
        <v>40</v>
      </c>
      <c r="H285" t="s">
        <v>41</v>
      </c>
      <c r="I285" t="s">
        <v>44</v>
      </c>
      <c r="K285">
        <v>23</v>
      </c>
      <c r="M285" s="45">
        <v>46660</v>
      </c>
      <c r="N285" s="45">
        <v>46660</v>
      </c>
      <c r="O285" s="45">
        <v>46660</v>
      </c>
      <c r="P285">
        <v>5635.2282245003926</v>
      </c>
      <c r="V285">
        <v>1</v>
      </c>
      <c r="W285" t="s">
        <v>34</v>
      </c>
      <c r="Y285" t="s">
        <v>34</v>
      </c>
      <c r="Z285" t="s">
        <v>35</v>
      </c>
      <c r="AA285">
        <v>1</v>
      </c>
    </row>
    <row r="286" spans="1:27" x14ac:dyDescent="0.35">
      <c r="A286" s="45">
        <v>45936</v>
      </c>
      <c r="B286">
        <v>1</v>
      </c>
      <c r="D286" t="s">
        <v>30</v>
      </c>
      <c r="E286" t="s">
        <v>40</v>
      </c>
      <c r="F286" t="s">
        <v>40</v>
      </c>
      <c r="H286" t="s">
        <v>41</v>
      </c>
      <c r="I286" t="s">
        <v>44</v>
      </c>
      <c r="K286">
        <v>24</v>
      </c>
      <c r="M286" s="45">
        <v>46691</v>
      </c>
      <c r="N286" s="45">
        <v>46691</v>
      </c>
      <c r="O286" s="45">
        <v>46691</v>
      </c>
      <c r="P286">
        <v>5584.9482197519337</v>
      </c>
      <c r="V286">
        <v>1</v>
      </c>
      <c r="W286" t="s">
        <v>34</v>
      </c>
      <c r="Y286" t="s">
        <v>34</v>
      </c>
      <c r="Z286" t="s">
        <v>35</v>
      </c>
      <c r="AA286">
        <v>1</v>
      </c>
    </row>
    <row r="287" spans="1:27" x14ac:dyDescent="0.35">
      <c r="A287" s="45">
        <v>45936</v>
      </c>
      <c r="B287">
        <v>1</v>
      </c>
      <c r="D287" t="s">
        <v>30</v>
      </c>
      <c r="E287" t="s">
        <v>40</v>
      </c>
      <c r="F287" t="s">
        <v>40</v>
      </c>
      <c r="H287" t="s">
        <v>41</v>
      </c>
      <c r="I287" t="s">
        <v>44</v>
      </c>
      <c r="K287">
        <v>25</v>
      </c>
      <c r="M287" s="45">
        <v>46721</v>
      </c>
      <c r="N287" s="45">
        <v>46721</v>
      </c>
      <c r="O287" s="45">
        <v>46721</v>
      </c>
      <c r="P287">
        <v>5535.4417535380662</v>
      </c>
      <c r="V287">
        <v>1</v>
      </c>
      <c r="W287" t="s">
        <v>34</v>
      </c>
      <c r="Y287" t="s">
        <v>34</v>
      </c>
      <c r="Z287" t="s">
        <v>35</v>
      </c>
      <c r="AA287">
        <v>1</v>
      </c>
    </row>
    <row r="288" spans="1:27" x14ac:dyDescent="0.35">
      <c r="A288" s="45">
        <v>45936</v>
      </c>
      <c r="B288">
        <v>1</v>
      </c>
      <c r="D288" t="s">
        <v>30</v>
      </c>
      <c r="E288" t="s">
        <v>40</v>
      </c>
      <c r="F288" t="s">
        <v>40</v>
      </c>
      <c r="H288" t="s">
        <v>41</v>
      </c>
      <c r="I288" t="s">
        <v>44</v>
      </c>
      <c r="K288">
        <v>26</v>
      </c>
      <c r="M288" s="45">
        <v>46752</v>
      </c>
      <c r="N288" s="45">
        <v>46752</v>
      </c>
      <c r="O288" s="45">
        <v>46752</v>
      </c>
      <c r="P288">
        <v>5486.708825858791</v>
      </c>
      <c r="V288">
        <v>1</v>
      </c>
      <c r="W288" t="s">
        <v>34</v>
      </c>
      <c r="Y288" t="s">
        <v>34</v>
      </c>
      <c r="Z288" t="s">
        <v>35</v>
      </c>
      <c r="AA288">
        <v>1</v>
      </c>
    </row>
    <row r="289" spans="1:27" x14ac:dyDescent="0.35">
      <c r="A289" s="45">
        <v>45936</v>
      </c>
      <c r="B289">
        <v>1</v>
      </c>
      <c r="D289" t="s">
        <v>30</v>
      </c>
      <c r="E289" t="s">
        <v>40</v>
      </c>
      <c r="F289" t="s">
        <v>40</v>
      </c>
      <c r="H289" t="s">
        <v>41</v>
      </c>
      <c r="I289" t="s">
        <v>44</v>
      </c>
      <c r="K289">
        <v>27</v>
      </c>
      <c r="M289" s="45">
        <v>46783</v>
      </c>
      <c r="N289" s="45">
        <v>46783</v>
      </c>
      <c r="O289" s="45">
        <v>46783</v>
      </c>
      <c r="P289">
        <v>5437.9758981795148</v>
      </c>
      <c r="V289">
        <v>1</v>
      </c>
      <c r="W289" t="s">
        <v>34</v>
      </c>
      <c r="Y289" t="s">
        <v>34</v>
      </c>
      <c r="Z289" t="s">
        <v>35</v>
      </c>
      <c r="AA289">
        <v>1</v>
      </c>
    </row>
    <row r="290" spans="1:27" x14ac:dyDescent="0.35">
      <c r="A290" s="45">
        <v>45936</v>
      </c>
      <c r="B290">
        <v>1</v>
      </c>
      <c r="D290" t="s">
        <v>30</v>
      </c>
      <c r="E290" t="s">
        <v>40</v>
      </c>
      <c r="F290" t="s">
        <v>40</v>
      </c>
      <c r="H290" t="s">
        <v>41</v>
      </c>
      <c r="I290" t="s">
        <v>44</v>
      </c>
      <c r="K290">
        <v>28</v>
      </c>
      <c r="M290" s="45">
        <v>46812</v>
      </c>
      <c r="N290" s="45">
        <v>46812</v>
      </c>
      <c r="O290" s="45">
        <v>46812</v>
      </c>
      <c r="P290">
        <v>5390.016509034831</v>
      </c>
      <c r="V290">
        <v>1</v>
      </c>
      <c r="W290" t="s">
        <v>34</v>
      </c>
      <c r="Y290" t="s">
        <v>34</v>
      </c>
      <c r="Z290" t="s">
        <v>35</v>
      </c>
      <c r="AA290">
        <v>1</v>
      </c>
    </row>
    <row r="291" spans="1:27" x14ac:dyDescent="0.35">
      <c r="A291" s="45">
        <v>45936</v>
      </c>
      <c r="B291">
        <v>1</v>
      </c>
      <c r="D291" t="s">
        <v>30</v>
      </c>
      <c r="E291" t="s">
        <v>40</v>
      </c>
      <c r="F291" t="s">
        <v>40</v>
      </c>
      <c r="H291" t="s">
        <v>41</v>
      </c>
      <c r="I291" t="s">
        <v>44</v>
      </c>
      <c r="K291">
        <v>29</v>
      </c>
      <c r="M291" s="45">
        <v>46843</v>
      </c>
      <c r="N291" s="45">
        <v>46843</v>
      </c>
      <c r="O291" s="45">
        <v>46843</v>
      </c>
      <c r="P291">
        <v>5342.0571198901462</v>
      </c>
      <c r="V291">
        <v>1</v>
      </c>
      <c r="W291" t="s">
        <v>34</v>
      </c>
      <c r="Y291" t="s">
        <v>34</v>
      </c>
      <c r="Z291" t="s">
        <v>35</v>
      </c>
      <c r="AA291">
        <v>1</v>
      </c>
    </row>
    <row r="292" spans="1:27" x14ac:dyDescent="0.35">
      <c r="A292" s="45">
        <v>45936</v>
      </c>
      <c r="B292">
        <v>1</v>
      </c>
      <c r="D292" t="s">
        <v>30</v>
      </c>
      <c r="E292" t="s">
        <v>40</v>
      </c>
      <c r="F292" t="s">
        <v>40</v>
      </c>
      <c r="H292" t="s">
        <v>41</v>
      </c>
      <c r="I292" t="s">
        <v>44</v>
      </c>
      <c r="K292">
        <v>30</v>
      </c>
      <c r="M292" s="45">
        <v>46873</v>
      </c>
      <c r="N292" s="45">
        <v>46873</v>
      </c>
      <c r="O292" s="45">
        <v>46873</v>
      </c>
      <c r="P292">
        <v>5294.8712692800545</v>
      </c>
      <c r="V292">
        <v>1</v>
      </c>
      <c r="W292" t="s">
        <v>34</v>
      </c>
      <c r="Y292" t="s">
        <v>34</v>
      </c>
      <c r="Z292" t="s">
        <v>35</v>
      </c>
      <c r="AA292">
        <v>1</v>
      </c>
    </row>
    <row r="293" spans="1:27" x14ac:dyDescent="0.35">
      <c r="A293" s="45">
        <v>45936</v>
      </c>
      <c r="B293">
        <v>1</v>
      </c>
      <c r="D293" t="s">
        <v>30</v>
      </c>
      <c r="E293" t="s">
        <v>40</v>
      </c>
      <c r="F293" t="s">
        <v>40</v>
      </c>
      <c r="H293" t="s">
        <v>41</v>
      </c>
      <c r="I293" t="s">
        <v>44</v>
      </c>
      <c r="K293">
        <v>31</v>
      </c>
      <c r="M293" s="45">
        <v>46904</v>
      </c>
      <c r="N293" s="45">
        <v>46904</v>
      </c>
      <c r="O293" s="45">
        <v>46904</v>
      </c>
      <c r="P293">
        <v>5247.6854186699611</v>
      </c>
      <c r="V293">
        <v>1</v>
      </c>
      <c r="W293" t="s">
        <v>34</v>
      </c>
      <c r="Y293" t="s">
        <v>34</v>
      </c>
      <c r="Z293" t="s">
        <v>35</v>
      </c>
      <c r="AA293">
        <v>1</v>
      </c>
    </row>
    <row r="294" spans="1:27" x14ac:dyDescent="0.35">
      <c r="A294" s="45">
        <v>45936</v>
      </c>
      <c r="B294">
        <v>1</v>
      </c>
      <c r="D294" t="s">
        <v>30</v>
      </c>
      <c r="E294" t="s">
        <v>40</v>
      </c>
      <c r="F294" t="s">
        <v>40</v>
      </c>
      <c r="H294" t="s">
        <v>41</v>
      </c>
      <c r="I294" t="s">
        <v>44</v>
      </c>
      <c r="K294">
        <v>32</v>
      </c>
      <c r="M294" s="45">
        <v>46934</v>
      </c>
      <c r="N294" s="45">
        <v>46934</v>
      </c>
      <c r="O294" s="45">
        <v>46934</v>
      </c>
      <c r="P294">
        <v>5201.2731065944608</v>
      </c>
      <c r="V294">
        <v>1</v>
      </c>
      <c r="W294" t="s">
        <v>34</v>
      </c>
      <c r="Y294" t="s">
        <v>34</v>
      </c>
      <c r="Z294" t="s">
        <v>35</v>
      </c>
      <c r="AA294">
        <v>1</v>
      </c>
    </row>
    <row r="295" spans="1:27" x14ac:dyDescent="0.35">
      <c r="A295" s="45">
        <v>45936</v>
      </c>
      <c r="B295">
        <v>1</v>
      </c>
      <c r="D295" t="s">
        <v>30</v>
      </c>
      <c r="E295" t="s">
        <v>40</v>
      </c>
      <c r="F295" t="s">
        <v>40</v>
      </c>
      <c r="H295" t="s">
        <v>41</v>
      </c>
      <c r="I295" t="s">
        <v>44</v>
      </c>
      <c r="K295">
        <v>33</v>
      </c>
      <c r="M295" s="45">
        <v>46965</v>
      </c>
      <c r="N295" s="45">
        <v>46965</v>
      </c>
      <c r="O295" s="45">
        <v>46965</v>
      </c>
      <c r="P295">
        <v>5155.634333053551</v>
      </c>
      <c r="V295">
        <v>1</v>
      </c>
      <c r="W295" t="s">
        <v>34</v>
      </c>
      <c r="Y295" t="s">
        <v>34</v>
      </c>
      <c r="Z295" t="s">
        <v>35</v>
      </c>
      <c r="AA295">
        <v>1</v>
      </c>
    </row>
    <row r="296" spans="1:27" x14ac:dyDescent="0.35">
      <c r="A296" s="45">
        <v>45936</v>
      </c>
      <c r="B296">
        <v>1</v>
      </c>
      <c r="D296" t="s">
        <v>30</v>
      </c>
      <c r="E296" t="s">
        <v>40</v>
      </c>
      <c r="F296" t="s">
        <v>40</v>
      </c>
      <c r="H296" t="s">
        <v>41</v>
      </c>
      <c r="I296" t="s">
        <v>44</v>
      </c>
      <c r="K296">
        <v>34</v>
      </c>
      <c r="M296" s="45">
        <v>46996</v>
      </c>
      <c r="N296" s="45">
        <v>46996</v>
      </c>
      <c r="O296" s="45">
        <v>46996</v>
      </c>
      <c r="P296">
        <v>5109.9955595126421</v>
      </c>
      <c r="V296">
        <v>1</v>
      </c>
      <c r="W296" t="s">
        <v>34</v>
      </c>
      <c r="Y296" t="s">
        <v>34</v>
      </c>
      <c r="Z296" t="s">
        <v>35</v>
      </c>
      <c r="AA296">
        <v>1</v>
      </c>
    </row>
    <row r="297" spans="1:27" x14ac:dyDescent="0.35">
      <c r="A297" s="45">
        <v>45936</v>
      </c>
      <c r="B297">
        <v>1</v>
      </c>
      <c r="D297" t="s">
        <v>30</v>
      </c>
      <c r="E297" t="s">
        <v>40</v>
      </c>
      <c r="F297" t="s">
        <v>40</v>
      </c>
      <c r="H297" t="s">
        <v>41</v>
      </c>
      <c r="I297" t="s">
        <v>44</v>
      </c>
      <c r="K297">
        <v>35</v>
      </c>
      <c r="M297" s="45">
        <v>47026</v>
      </c>
      <c r="N297" s="45">
        <v>47026</v>
      </c>
      <c r="O297" s="45">
        <v>47026</v>
      </c>
      <c r="P297">
        <v>5064.3567859717332</v>
      </c>
      <c r="V297">
        <v>1</v>
      </c>
      <c r="W297" t="s">
        <v>34</v>
      </c>
      <c r="Y297" t="s">
        <v>34</v>
      </c>
      <c r="Z297" t="s">
        <v>35</v>
      </c>
      <c r="AA297">
        <v>1</v>
      </c>
    </row>
    <row r="298" spans="1:27" x14ac:dyDescent="0.35">
      <c r="A298" s="45">
        <v>45936</v>
      </c>
      <c r="B298">
        <v>1</v>
      </c>
      <c r="D298" t="s">
        <v>30</v>
      </c>
      <c r="E298" t="s">
        <v>40</v>
      </c>
      <c r="F298" t="s">
        <v>40</v>
      </c>
      <c r="H298" t="s">
        <v>41</v>
      </c>
      <c r="I298" t="s">
        <v>44</v>
      </c>
      <c r="K298">
        <v>36</v>
      </c>
      <c r="M298" s="45">
        <v>47057</v>
      </c>
      <c r="N298" s="45">
        <v>47057</v>
      </c>
      <c r="O298" s="45">
        <v>47057</v>
      </c>
      <c r="P298">
        <v>5019.4915509654156</v>
      </c>
      <c r="V298">
        <v>1</v>
      </c>
      <c r="W298" t="s">
        <v>34</v>
      </c>
      <c r="Y298" t="s">
        <v>34</v>
      </c>
      <c r="Z298" t="s">
        <v>35</v>
      </c>
      <c r="AA298">
        <v>1</v>
      </c>
    </row>
    <row r="299" spans="1:27" x14ac:dyDescent="0.35">
      <c r="A299" s="45">
        <v>45936</v>
      </c>
      <c r="B299">
        <v>1</v>
      </c>
      <c r="D299" t="s">
        <v>30</v>
      </c>
      <c r="E299" t="s">
        <v>40</v>
      </c>
      <c r="F299" t="s">
        <v>40</v>
      </c>
      <c r="H299" t="s">
        <v>41</v>
      </c>
      <c r="I299" t="s">
        <v>44</v>
      </c>
      <c r="K299">
        <v>37</v>
      </c>
      <c r="M299" s="45">
        <v>47087</v>
      </c>
      <c r="N299" s="45">
        <v>47087</v>
      </c>
      <c r="O299" s="45">
        <v>47087</v>
      </c>
      <c r="P299">
        <v>4974.6263159590981</v>
      </c>
      <c r="V299">
        <v>1</v>
      </c>
      <c r="W299" t="s">
        <v>34</v>
      </c>
      <c r="Y299" t="s">
        <v>34</v>
      </c>
      <c r="Z299" t="s">
        <v>35</v>
      </c>
      <c r="AA299">
        <v>1</v>
      </c>
    </row>
    <row r="300" spans="1:27" x14ac:dyDescent="0.35">
      <c r="A300" s="45">
        <v>45936</v>
      </c>
      <c r="B300">
        <v>1</v>
      </c>
      <c r="D300" t="s">
        <v>30</v>
      </c>
      <c r="E300" t="s">
        <v>40</v>
      </c>
      <c r="F300" t="s">
        <v>40</v>
      </c>
      <c r="H300" t="s">
        <v>41</v>
      </c>
      <c r="I300" t="s">
        <v>44</v>
      </c>
      <c r="K300">
        <v>38</v>
      </c>
      <c r="M300" s="45">
        <v>47118</v>
      </c>
      <c r="N300" s="45">
        <v>47118</v>
      </c>
      <c r="O300" s="45">
        <v>47118</v>
      </c>
      <c r="P300">
        <v>4930.5346194873728</v>
      </c>
      <c r="V300">
        <v>1</v>
      </c>
      <c r="W300" t="s">
        <v>34</v>
      </c>
      <c r="Y300" t="s">
        <v>34</v>
      </c>
      <c r="Z300" t="s">
        <v>35</v>
      </c>
      <c r="AA300">
        <v>1</v>
      </c>
    </row>
    <row r="301" spans="1:27" x14ac:dyDescent="0.35">
      <c r="A301" s="45">
        <v>45936</v>
      </c>
      <c r="B301">
        <v>1</v>
      </c>
      <c r="D301" t="s">
        <v>30</v>
      </c>
      <c r="E301" t="s">
        <v>40</v>
      </c>
      <c r="F301" t="s">
        <v>40</v>
      </c>
      <c r="H301" t="s">
        <v>41</v>
      </c>
      <c r="I301" t="s">
        <v>44</v>
      </c>
      <c r="K301">
        <v>39</v>
      </c>
      <c r="M301" s="45">
        <v>47149</v>
      </c>
      <c r="N301" s="45">
        <v>47149</v>
      </c>
      <c r="O301" s="45">
        <v>47149</v>
      </c>
      <c r="P301">
        <v>4887.2164615502379</v>
      </c>
      <c r="V301">
        <v>1</v>
      </c>
      <c r="W301" t="s">
        <v>34</v>
      </c>
      <c r="Y301" t="s">
        <v>34</v>
      </c>
      <c r="Z301" t="s">
        <v>35</v>
      </c>
      <c r="AA301">
        <v>1</v>
      </c>
    </row>
    <row r="302" spans="1:27" x14ac:dyDescent="0.35">
      <c r="A302" s="45">
        <v>45936</v>
      </c>
      <c r="B302">
        <v>1</v>
      </c>
      <c r="D302" t="s">
        <v>30</v>
      </c>
      <c r="E302" t="s">
        <v>40</v>
      </c>
      <c r="F302" t="s">
        <v>40</v>
      </c>
      <c r="H302" t="s">
        <v>41</v>
      </c>
      <c r="I302" t="s">
        <v>44</v>
      </c>
      <c r="K302">
        <v>40</v>
      </c>
      <c r="M302" s="45">
        <v>47177</v>
      </c>
      <c r="N302" s="45">
        <v>47177</v>
      </c>
      <c r="O302" s="45">
        <v>47177</v>
      </c>
      <c r="P302">
        <v>4843.898303613104</v>
      </c>
      <c r="V302">
        <v>1</v>
      </c>
      <c r="W302" t="s">
        <v>34</v>
      </c>
      <c r="Y302" t="s">
        <v>34</v>
      </c>
      <c r="Z302" t="s">
        <v>35</v>
      </c>
      <c r="AA302">
        <v>1</v>
      </c>
    </row>
    <row r="303" spans="1:27" x14ac:dyDescent="0.35">
      <c r="A303" s="45">
        <v>45936</v>
      </c>
      <c r="B303">
        <v>1</v>
      </c>
      <c r="D303" t="s">
        <v>30</v>
      </c>
      <c r="E303" t="s">
        <v>40</v>
      </c>
      <c r="F303" t="s">
        <v>40</v>
      </c>
      <c r="H303" t="s">
        <v>41</v>
      </c>
      <c r="I303" t="s">
        <v>44</v>
      </c>
      <c r="K303">
        <v>41</v>
      </c>
      <c r="M303" s="45">
        <v>47208</v>
      </c>
      <c r="N303" s="45">
        <v>47208</v>
      </c>
      <c r="O303" s="45">
        <v>47208</v>
      </c>
      <c r="P303">
        <v>4801.3536842105614</v>
      </c>
      <c r="V303">
        <v>1</v>
      </c>
      <c r="W303" t="s">
        <v>34</v>
      </c>
      <c r="Y303" t="s">
        <v>34</v>
      </c>
      <c r="Z303" t="s">
        <v>35</v>
      </c>
      <c r="AA303">
        <v>1</v>
      </c>
    </row>
    <row r="304" spans="1:27" x14ac:dyDescent="0.35">
      <c r="A304" s="45">
        <v>45936</v>
      </c>
      <c r="B304">
        <v>1</v>
      </c>
      <c r="D304" t="s">
        <v>30</v>
      </c>
      <c r="E304" t="s">
        <v>40</v>
      </c>
      <c r="F304" t="s">
        <v>40</v>
      </c>
      <c r="H304" t="s">
        <v>41</v>
      </c>
      <c r="I304" t="s">
        <v>44</v>
      </c>
      <c r="K304">
        <v>42</v>
      </c>
      <c r="M304" s="45">
        <v>47238</v>
      </c>
      <c r="N304" s="45">
        <v>47238</v>
      </c>
      <c r="O304" s="45">
        <v>47238</v>
      </c>
      <c r="P304">
        <v>4758.8090648080197</v>
      </c>
      <c r="V304">
        <v>1</v>
      </c>
      <c r="W304" t="s">
        <v>34</v>
      </c>
      <c r="Y304" t="s">
        <v>34</v>
      </c>
      <c r="Z304" t="s">
        <v>35</v>
      </c>
      <c r="AA304">
        <v>1</v>
      </c>
    </row>
    <row r="305" spans="1:27" x14ac:dyDescent="0.35">
      <c r="A305" s="45">
        <v>45936</v>
      </c>
      <c r="B305">
        <v>1</v>
      </c>
      <c r="D305" t="s">
        <v>30</v>
      </c>
      <c r="E305" t="s">
        <v>40</v>
      </c>
      <c r="F305" t="s">
        <v>40</v>
      </c>
      <c r="H305" t="s">
        <v>41</v>
      </c>
      <c r="I305" t="s">
        <v>44</v>
      </c>
      <c r="K305">
        <v>43</v>
      </c>
      <c r="M305" s="45">
        <v>47269</v>
      </c>
      <c r="N305" s="45">
        <v>47269</v>
      </c>
      <c r="O305" s="45">
        <v>47269</v>
      </c>
      <c r="P305">
        <v>4716.2644454054771</v>
      </c>
      <c r="V305">
        <v>1</v>
      </c>
      <c r="W305" t="s">
        <v>34</v>
      </c>
      <c r="Y305" t="s">
        <v>34</v>
      </c>
      <c r="Z305" t="s">
        <v>35</v>
      </c>
      <c r="AA305">
        <v>1</v>
      </c>
    </row>
    <row r="306" spans="1:27" x14ac:dyDescent="0.35">
      <c r="A306" s="45">
        <v>45936</v>
      </c>
      <c r="B306">
        <v>1</v>
      </c>
      <c r="D306" t="s">
        <v>30</v>
      </c>
      <c r="E306" t="s">
        <v>40</v>
      </c>
      <c r="F306" t="s">
        <v>40</v>
      </c>
      <c r="H306" t="s">
        <v>41</v>
      </c>
      <c r="I306" t="s">
        <v>44</v>
      </c>
      <c r="K306">
        <v>44</v>
      </c>
      <c r="M306" s="45">
        <v>47299</v>
      </c>
      <c r="N306" s="45">
        <v>47299</v>
      </c>
      <c r="O306" s="45">
        <v>47299</v>
      </c>
      <c r="P306">
        <v>4674.4933645375258</v>
      </c>
      <c r="V306">
        <v>1</v>
      </c>
      <c r="W306" t="s">
        <v>34</v>
      </c>
      <c r="Y306" t="s">
        <v>34</v>
      </c>
      <c r="Z306" t="s">
        <v>35</v>
      </c>
      <c r="AA306">
        <v>1</v>
      </c>
    </row>
    <row r="307" spans="1:27" x14ac:dyDescent="0.35">
      <c r="A307" s="45">
        <v>45936</v>
      </c>
      <c r="B307">
        <v>1</v>
      </c>
      <c r="D307" t="s">
        <v>30</v>
      </c>
      <c r="E307" t="s">
        <v>40</v>
      </c>
      <c r="F307" t="s">
        <v>40</v>
      </c>
      <c r="H307" t="s">
        <v>41</v>
      </c>
      <c r="I307" t="s">
        <v>44</v>
      </c>
      <c r="K307">
        <v>45</v>
      </c>
      <c r="M307" s="45">
        <v>47330</v>
      </c>
      <c r="N307" s="45">
        <v>47330</v>
      </c>
      <c r="O307" s="45">
        <v>47330</v>
      </c>
      <c r="P307">
        <v>4632.7222836695764</v>
      </c>
      <c r="V307">
        <v>1</v>
      </c>
      <c r="W307" t="s">
        <v>34</v>
      </c>
      <c r="Y307" t="s">
        <v>34</v>
      </c>
      <c r="Z307" t="s">
        <v>35</v>
      </c>
      <c r="AA307">
        <v>1</v>
      </c>
    </row>
    <row r="308" spans="1:27" x14ac:dyDescent="0.35">
      <c r="A308" s="45">
        <v>45936</v>
      </c>
      <c r="B308">
        <v>1</v>
      </c>
      <c r="D308" t="s">
        <v>30</v>
      </c>
      <c r="E308" t="s">
        <v>40</v>
      </c>
      <c r="F308" t="s">
        <v>40</v>
      </c>
      <c r="H308" t="s">
        <v>41</v>
      </c>
      <c r="I308" t="s">
        <v>44</v>
      </c>
      <c r="K308">
        <v>46</v>
      </c>
      <c r="M308" s="45">
        <v>47361</v>
      </c>
      <c r="N308" s="45">
        <v>47361</v>
      </c>
      <c r="O308" s="45">
        <v>47361</v>
      </c>
      <c r="P308">
        <v>4591.7247413362174</v>
      </c>
      <c r="V308">
        <v>1</v>
      </c>
      <c r="W308" t="s">
        <v>34</v>
      </c>
      <c r="Y308" t="s">
        <v>34</v>
      </c>
      <c r="Z308" t="s">
        <v>35</v>
      </c>
      <c r="AA308">
        <v>1</v>
      </c>
    </row>
    <row r="309" spans="1:27" x14ac:dyDescent="0.35">
      <c r="A309" s="45">
        <v>45936</v>
      </c>
      <c r="B309">
        <v>1</v>
      </c>
      <c r="D309" t="s">
        <v>30</v>
      </c>
      <c r="E309" t="s">
        <v>40</v>
      </c>
      <c r="F309" t="s">
        <v>40</v>
      </c>
      <c r="H309" t="s">
        <v>41</v>
      </c>
      <c r="I309" t="s">
        <v>44</v>
      </c>
      <c r="K309">
        <v>47</v>
      </c>
      <c r="M309" s="45">
        <v>47391</v>
      </c>
      <c r="N309" s="45">
        <v>47391</v>
      </c>
      <c r="O309" s="45">
        <v>47391</v>
      </c>
      <c r="P309">
        <v>4551.5007375374489</v>
      </c>
      <c r="V309">
        <v>1</v>
      </c>
      <c r="W309" t="s">
        <v>34</v>
      </c>
      <c r="Y309" t="s">
        <v>34</v>
      </c>
      <c r="Z309" t="s">
        <v>35</v>
      </c>
      <c r="AA309">
        <v>1</v>
      </c>
    </row>
    <row r="310" spans="1:27" x14ac:dyDescent="0.35">
      <c r="A310" s="45">
        <v>45936</v>
      </c>
      <c r="B310">
        <v>1</v>
      </c>
      <c r="D310" t="s">
        <v>30</v>
      </c>
      <c r="E310" t="s">
        <v>40</v>
      </c>
      <c r="F310" t="s">
        <v>40</v>
      </c>
      <c r="H310" t="s">
        <v>41</v>
      </c>
      <c r="I310" t="s">
        <v>44</v>
      </c>
      <c r="K310">
        <v>48</v>
      </c>
      <c r="M310" s="45">
        <v>47422</v>
      </c>
      <c r="N310" s="45">
        <v>47422</v>
      </c>
      <c r="O310" s="45">
        <v>47422</v>
      </c>
      <c r="P310">
        <v>4511.2767337386813</v>
      </c>
      <c r="V310">
        <v>1</v>
      </c>
      <c r="W310" t="s">
        <v>34</v>
      </c>
      <c r="Y310" t="s">
        <v>34</v>
      </c>
      <c r="Z310" t="s">
        <v>35</v>
      </c>
      <c r="AA310">
        <v>1</v>
      </c>
    </row>
    <row r="311" spans="1:27" x14ac:dyDescent="0.35">
      <c r="A311" s="45">
        <v>45936</v>
      </c>
      <c r="B311">
        <v>1</v>
      </c>
      <c r="D311" t="s">
        <v>30</v>
      </c>
      <c r="E311" t="s">
        <v>40</v>
      </c>
      <c r="F311" t="s">
        <v>40</v>
      </c>
      <c r="H311" t="s">
        <v>41</v>
      </c>
      <c r="I311" t="s">
        <v>44</v>
      </c>
      <c r="K311">
        <v>49</v>
      </c>
      <c r="M311" s="45">
        <v>47452</v>
      </c>
      <c r="N311" s="45">
        <v>47452</v>
      </c>
      <c r="O311" s="45">
        <v>47452</v>
      </c>
      <c r="P311">
        <v>4471.0527299399146</v>
      </c>
      <c r="V311">
        <v>1</v>
      </c>
      <c r="W311" t="s">
        <v>34</v>
      </c>
      <c r="Y311" t="s">
        <v>34</v>
      </c>
      <c r="Z311" t="s">
        <v>35</v>
      </c>
      <c r="AA311">
        <v>1</v>
      </c>
    </row>
    <row r="312" spans="1:27" x14ac:dyDescent="0.35">
      <c r="A312" s="45">
        <v>45936</v>
      </c>
      <c r="B312">
        <v>1</v>
      </c>
      <c r="D312" t="s">
        <v>30</v>
      </c>
      <c r="E312" t="s">
        <v>40</v>
      </c>
      <c r="F312" t="s">
        <v>40</v>
      </c>
      <c r="H312" t="s">
        <v>41</v>
      </c>
      <c r="I312" t="s">
        <v>44</v>
      </c>
      <c r="K312">
        <v>50</v>
      </c>
      <c r="M312" s="45">
        <v>47483</v>
      </c>
      <c r="N312" s="45">
        <v>47483</v>
      </c>
      <c r="O312" s="45">
        <v>47483</v>
      </c>
      <c r="P312">
        <v>4431.6022646757383</v>
      </c>
      <c r="V312">
        <v>1</v>
      </c>
      <c r="W312" t="s">
        <v>34</v>
      </c>
      <c r="Y312" t="s">
        <v>34</v>
      </c>
      <c r="Z312" t="s">
        <v>35</v>
      </c>
      <c r="AA312">
        <v>1</v>
      </c>
    </row>
    <row r="313" spans="1:27" x14ac:dyDescent="0.35">
      <c r="A313" s="45">
        <v>45936</v>
      </c>
      <c r="B313">
        <v>1</v>
      </c>
      <c r="D313" t="s">
        <v>30</v>
      </c>
      <c r="E313" t="s">
        <v>40</v>
      </c>
      <c r="F313" t="s">
        <v>40</v>
      </c>
      <c r="H313" t="s">
        <v>41</v>
      </c>
      <c r="I313" t="s">
        <v>44</v>
      </c>
      <c r="K313">
        <v>51</v>
      </c>
      <c r="M313" s="45">
        <v>47514</v>
      </c>
      <c r="N313" s="45">
        <v>47514</v>
      </c>
      <c r="O313" s="45">
        <v>47514</v>
      </c>
      <c r="P313">
        <v>4392.1517994115629</v>
      </c>
      <c r="V313">
        <v>1</v>
      </c>
      <c r="W313" t="s">
        <v>34</v>
      </c>
      <c r="Y313" t="s">
        <v>34</v>
      </c>
      <c r="Z313" t="s">
        <v>35</v>
      </c>
      <c r="AA313">
        <v>1</v>
      </c>
    </row>
    <row r="314" spans="1:27" x14ac:dyDescent="0.35">
      <c r="A314" s="45">
        <v>45936</v>
      </c>
      <c r="B314">
        <v>1</v>
      </c>
      <c r="D314" t="s">
        <v>30</v>
      </c>
      <c r="E314" t="s">
        <v>40</v>
      </c>
      <c r="F314" t="s">
        <v>40</v>
      </c>
      <c r="H314" t="s">
        <v>41</v>
      </c>
      <c r="I314" t="s">
        <v>44</v>
      </c>
      <c r="K314">
        <v>52</v>
      </c>
      <c r="M314" s="45">
        <v>47542</v>
      </c>
      <c r="N314" s="45">
        <v>47542</v>
      </c>
      <c r="O314" s="45">
        <v>47542</v>
      </c>
      <c r="P314">
        <v>4353.4748726819789</v>
      </c>
      <c r="V314">
        <v>1</v>
      </c>
      <c r="W314" t="s">
        <v>34</v>
      </c>
      <c r="Y314" t="s">
        <v>34</v>
      </c>
      <c r="Z314" t="s">
        <v>35</v>
      </c>
      <c r="AA314">
        <v>1</v>
      </c>
    </row>
    <row r="315" spans="1:27" x14ac:dyDescent="0.35">
      <c r="A315" s="45">
        <v>45936</v>
      </c>
      <c r="B315">
        <v>1</v>
      </c>
      <c r="D315" t="s">
        <v>30</v>
      </c>
      <c r="E315" t="s">
        <v>40</v>
      </c>
      <c r="F315" t="s">
        <v>40</v>
      </c>
      <c r="H315" t="s">
        <v>41</v>
      </c>
      <c r="I315" t="s">
        <v>44</v>
      </c>
      <c r="K315">
        <v>53</v>
      </c>
      <c r="M315" s="45">
        <v>47573</v>
      </c>
      <c r="N315" s="45">
        <v>47573</v>
      </c>
      <c r="O315" s="45">
        <v>47573</v>
      </c>
      <c r="P315">
        <v>4314.797945952394</v>
      </c>
      <c r="V315">
        <v>1</v>
      </c>
      <c r="W315" t="s">
        <v>34</v>
      </c>
      <c r="Y315" t="s">
        <v>34</v>
      </c>
      <c r="Z315" t="s">
        <v>35</v>
      </c>
      <c r="AA315">
        <v>1</v>
      </c>
    </row>
    <row r="316" spans="1:27" x14ac:dyDescent="0.35">
      <c r="A316" s="45">
        <v>45936</v>
      </c>
      <c r="B316">
        <v>1</v>
      </c>
      <c r="D316" t="s">
        <v>30</v>
      </c>
      <c r="E316" t="s">
        <v>40</v>
      </c>
      <c r="F316" t="s">
        <v>40</v>
      </c>
      <c r="H316" t="s">
        <v>41</v>
      </c>
      <c r="I316" t="s">
        <v>44</v>
      </c>
      <c r="K316">
        <v>54</v>
      </c>
      <c r="M316" s="45">
        <v>47603</v>
      </c>
      <c r="N316" s="45">
        <v>47603</v>
      </c>
      <c r="O316" s="45">
        <v>47603</v>
      </c>
      <c r="P316">
        <v>4276.12101922281</v>
      </c>
      <c r="V316">
        <v>1</v>
      </c>
      <c r="W316" t="s">
        <v>34</v>
      </c>
      <c r="Y316" t="s">
        <v>34</v>
      </c>
      <c r="Z316" t="s">
        <v>35</v>
      </c>
      <c r="AA316">
        <v>1</v>
      </c>
    </row>
    <row r="317" spans="1:27" x14ac:dyDescent="0.35">
      <c r="A317" s="45">
        <v>45936</v>
      </c>
      <c r="B317">
        <v>1</v>
      </c>
      <c r="D317" t="s">
        <v>30</v>
      </c>
      <c r="E317" t="s">
        <v>40</v>
      </c>
      <c r="F317" t="s">
        <v>40</v>
      </c>
      <c r="H317" t="s">
        <v>41</v>
      </c>
      <c r="I317" t="s">
        <v>44</v>
      </c>
      <c r="K317">
        <v>55</v>
      </c>
      <c r="M317" s="45">
        <v>47634</v>
      </c>
      <c r="N317" s="45">
        <v>47634</v>
      </c>
      <c r="O317" s="45">
        <v>47634</v>
      </c>
      <c r="P317">
        <v>4238.2176310278182</v>
      </c>
      <c r="V317">
        <v>1</v>
      </c>
      <c r="W317" t="s">
        <v>34</v>
      </c>
      <c r="Y317" t="s">
        <v>34</v>
      </c>
      <c r="Z317" t="s">
        <v>35</v>
      </c>
      <c r="AA317">
        <v>1</v>
      </c>
    </row>
    <row r="318" spans="1:27" x14ac:dyDescent="0.35">
      <c r="A318" s="45">
        <v>45936</v>
      </c>
      <c r="B318">
        <v>1</v>
      </c>
      <c r="D318" t="s">
        <v>30</v>
      </c>
      <c r="E318" t="s">
        <v>40</v>
      </c>
      <c r="F318" t="s">
        <v>40</v>
      </c>
      <c r="H318" t="s">
        <v>41</v>
      </c>
      <c r="I318" t="s">
        <v>44</v>
      </c>
      <c r="K318">
        <v>56</v>
      </c>
      <c r="M318" s="45">
        <v>47664</v>
      </c>
      <c r="N318" s="45">
        <v>47664</v>
      </c>
      <c r="O318" s="45">
        <v>47664</v>
      </c>
      <c r="P318">
        <v>4201.0877813674178</v>
      </c>
      <c r="V318">
        <v>1</v>
      </c>
      <c r="W318" t="s">
        <v>34</v>
      </c>
      <c r="Y318" t="s">
        <v>34</v>
      </c>
      <c r="Z318" t="s">
        <v>35</v>
      </c>
      <c r="AA318">
        <v>1</v>
      </c>
    </row>
    <row r="319" spans="1:27" x14ac:dyDescent="0.35">
      <c r="A319" s="45">
        <v>45936</v>
      </c>
      <c r="B319">
        <v>1</v>
      </c>
      <c r="D319" t="s">
        <v>30</v>
      </c>
      <c r="E319" t="s">
        <v>40</v>
      </c>
      <c r="F319" t="s">
        <v>40</v>
      </c>
      <c r="H319" t="s">
        <v>41</v>
      </c>
      <c r="I319" t="s">
        <v>44</v>
      </c>
      <c r="K319">
        <v>57</v>
      </c>
      <c r="M319" s="45">
        <v>47695</v>
      </c>
      <c r="N319" s="45">
        <v>47695</v>
      </c>
      <c r="O319" s="45">
        <v>47695</v>
      </c>
      <c r="P319">
        <v>4163.9579317070175</v>
      </c>
      <c r="V319">
        <v>1</v>
      </c>
      <c r="W319" t="s">
        <v>34</v>
      </c>
      <c r="Y319" t="s">
        <v>34</v>
      </c>
      <c r="Z319" t="s">
        <v>35</v>
      </c>
      <c r="AA319">
        <v>1</v>
      </c>
    </row>
    <row r="320" spans="1:27" x14ac:dyDescent="0.35">
      <c r="A320" s="45">
        <v>45936</v>
      </c>
      <c r="B320">
        <v>1</v>
      </c>
      <c r="D320" t="s">
        <v>30</v>
      </c>
      <c r="E320" t="s">
        <v>40</v>
      </c>
      <c r="F320" t="s">
        <v>40</v>
      </c>
      <c r="H320" t="s">
        <v>41</v>
      </c>
      <c r="I320" t="s">
        <v>44</v>
      </c>
      <c r="K320">
        <v>58</v>
      </c>
      <c r="M320" s="45">
        <v>47726</v>
      </c>
      <c r="N320" s="45">
        <v>47726</v>
      </c>
      <c r="O320" s="45">
        <v>47726</v>
      </c>
      <c r="P320">
        <v>4126.8280820466161</v>
      </c>
      <c r="V320">
        <v>1</v>
      </c>
      <c r="W320" t="s">
        <v>34</v>
      </c>
      <c r="Y320" t="s">
        <v>34</v>
      </c>
      <c r="Z320" t="s">
        <v>35</v>
      </c>
      <c r="AA320">
        <v>1</v>
      </c>
    </row>
    <row r="321" spans="1:27" x14ac:dyDescent="0.35">
      <c r="A321" s="45">
        <v>45936</v>
      </c>
      <c r="B321">
        <v>1</v>
      </c>
      <c r="D321" t="s">
        <v>30</v>
      </c>
      <c r="E321" t="s">
        <v>40</v>
      </c>
      <c r="F321" t="s">
        <v>40</v>
      </c>
      <c r="H321" t="s">
        <v>41</v>
      </c>
      <c r="I321" t="s">
        <v>44</v>
      </c>
      <c r="K321">
        <v>59</v>
      </c>
      <c r="M321" s="45">
        <v>47756</v>
      </c>
      <c r="N321" s="45">
        <v>47756</v>
      </c>
      <c r="O321" s="45">
        <v>47756</v>
      </c>
      <c r="P321">
        <v>4090.4717709208071</v>
      </c>
      <c r="V321">
        <v>1</v>
      </c>
      <c r="W321" t="s">
        <v>34</v>
      </c>
      <c r="Y321" t="s">
        <v>34</v>
      </c>
      <c r="Z321" t="s">
        <v>35</v>
      </c>
      <c r="AA321">
        <v>1</v>
      </c>
    </row>
    <row r="322" spans="1:27" x14ac:dyDescent="0.35">
      <c r="A322" s="45">
        <v>45936</v>
      </c>
      <c r="B322">
        <v>1</v>
      </c>
      <c r="D322" t="s">
        <v>30</v>
      </c>
      <c r="E322" t="s">
        <v>40</v>
      </c>
      <c r="F322" t="s">
        <v>40</v>
      </c>
      <c r="H322" t="s">
        <v>41</v>
      </c>
      <c r="I322" t="s">
        <v>44</v>
      </c>
      <c r="K322">
        <v>60</v>
      </c>
      <c r="M322" s="45">
        <v>47787</v>
      </c>
      <c r="N322" s="45">
        <v>47787</v>
      </c>
      <c r="O322" s="45">
        <v>47787</v>
      </c>
      <c r="P322">
        <v>4054.1154597949981</v>
      </c>
      <c r="V322">
        <v>1</v>
      </c>
      <c r="W322" t="s">
        <v>34</v>
      </c>
      <c r="Y322" t="s">
        <v>34</v>
      </c>
      <c r="Z322" t="s">
        <v>35</v>
      </c>
      <c r="AA322">
        <v>1</v>
      </c>
    </row>
    <row r="323" spans="1:27" x14ac:dyDescent="0.35">
      <c r="A323" s="45">
        <v>45936</v>
      </c>
      <c r="B323">
        <v>1</v>
      </c>
      <c r="D323" t="s">
        <v>30</v>
      </c>
      <c r="E323" t="s">
        <v>40</v>
      </c>
      <c r="F323" t="s">
        <v>40</v>
      </c>
      <c r="H323" t="s">
        <v>41</v>
      </c>
      <c r="I323" t="s">
        <v>44</v>
      </c>
      <c r="K323">
        <v>61</v>
      </c>
      <c r="M323" s="45">
        <v>47817</v>
      </c>
      <c r="N323" s="45">
        <v>47817</v>
      </c>
      <c r="O323" s="45">
        <v>47817</v>
      </c>
      <c r="P323">
        <v>4018.5326872037808</v>
      </c>
      <c r="V323">
        <v>1</v>
      </c>
      <c r="W323" t="s">
        <v>34</v>
      </c>
      <c r="Y323" t="s">
        <v>34</v>
      </c>
      <c r="Z323" t="s">
        <v>35</v>
      </c>
      <c r="AA323">
        <v>1</v>
      </c>
    </row>
    <row r="324" spans="1:27" x14ac:dyDescent="0.35">
      <c r="A324" s="45">
        <v>45936</v>
      </c>
      <c r="B324">
        <v>1</v>
      </c>
      <c r="D324" t="s">
        <v>30</v>
      </c>
      <c r="E324" t="s">
        <v>40</v>
      </c>
      <c r="F324" t="s">
        <v>40</v>
      </c>
      <c r="H324" t="s">
        <v>41</v>
      </c>
      <c r="I324" t="s">
        <v>44</v>
      </c>
      <c r="K324">
        <v>62</v>
      </c>
      <c r="M324" s="45">
        <v>47848</v>
      </c>
      <c r="N324" s="45">
        <v>47848</v>
      </c>
      <c r="O324" s="45">
        <v>47848</v>
      </c>
      <c r="P324">
        <v>3982.1763760779718</v>
      </c>
      <c r="V324">
        <v>1</v>
      </c>
      <c r="W324" t="s">
        <v>34</v>
      </c>
      <c r="Y324" t="s">
        <v>34</v>
      </c>
      <c r="Z324" t="s">
        <v>35</v>
      </c>
      <c r="AA324">
        <v>1</v>
      </c>
    </row>
    <row r="325" spans="1:27" x14ac:dyDescent="0.35">
      <c r="A325" s="45">
        <v>45936</v>
      </c>
      <c r="B325">
        <v>1</v>
      </c>
      <c r="D325" t="s">
        <v>30</v>
      </c>
      <c r="E325" t="s">
        <v>40</v>
      </c>
      <c r="F325" t="s">
        <v>40</v>
      </c>
      <c r="H325" t="s">
        <v>41</v>
      </c>
      <c r="I325" t="s">
        <v>44</v>
      </c>
      <c r="K325">
        <v>63</v>
      </c>
      <c r="M325" s="45">
        <v>47879</v>
      </c>
      <c r="N325" s="45">
        <v>47879</v>
      </c>
      <c r="O325" s="45">
        <v>47879</v>
      </c>
      <c r="P325">
        <v>3947.3671420213459</v>
      </c>
      <c r="V325">
        <v>1</v>
      </c>
      <c r="W325" t="s">
        <v>34</v>
      </c>
      <c r="Y325" t="s">
        <v>34</v>
      </c>
      <c r="Z325" t="s">
        <v>35</v>
      </c>
      <c r="AA325">
        <v>1</v>
      </c>
    </row>
    <row r="326" spans="1:27" x14ac:dyDescent="0.35">
      <c r="A326" s="45">
        <v>45936</v>
      </c>
      <c r="B326">
        <v>1</v>
      </c>
      <c r="D326" t="s">
        <v>30</v>
      </c>
      <c r="E326" t="s">
        <v>40</v>
      </c>
      <c r="F326" t="s">
        <v>40</v>
      </c>
      <c r="H326" t="s">
        <v>41</v>
      </c>
      <c r="I326" t="s">
        <v>44</v>
      </c>
      <c r="K326">
        <v>64</v>
      </c>
      <c r="M326" s="45">
        <v>47907</v>
      </c>
      <c r="N326" s="45">
        <v>47907</v>
      </c>
      <c r="O326" s="45">
        <v>47907</v>
      </c>
      <c r="P326">
        <v>3912.55790796472</v>
      </c>
      <c r="V326">
        <v>1</v>
      </c>
      <c r="W326" t="s">
        <v>34</v>
      </c>
      <c r="Y326" t="s">
        <v>34</v>
      </c>
      <c r="Z326" t="s">
        <v>35</v>
      </c>
      <c r="AA326">
        <v>1</v>
      </c>
    </row>
    <row r="327" spans="1:27" x14ac:dyDescent="0.35">
      <c r="A327" s="45">
        <v>45936</v>
      </c>
      <c r="B327">
        <v>1</v>
      </c>
      <c r="D327" t="s">
        <v>30</v>
      </c>
      <c r="E327" t="s">
        <v>40</v>
      </c>
      <c r="F327" t="s">
        <v>40</v>
      </c>
      <c r="H327" t="s">
        <v>41</v>
      </c>
      <c r="I327" t="s">
        <v>44</v>
      </c>
      <c r="K327">
        <v>65</v>
      </c>
      <c r="M327" s="45">
        <v>47938</v>
      </c>
      <c r="N327" s="45">
        <v>47938</v>
      </c>
      <c r="O327" s="45">
        <v>47938</v>
      </c>
      <c r="P327">
        <v>3877.748673908095</v>
      </c>
      <c r="V327">
        <v>1</v>
      </c>
      <c r="W327" t="s">
        <v>34</v>
      </c>
      <c r="Y327" t="s">
        <v>34</v>
      </c>
      <c r="Z327" t="s">
        <v>35</v>
      </c>
      <c r="AA327">
        <v>1</v>
      </c>
    </row>
    <row r="328" spans="1:27" x14ac:dyDescent="0.35">
      <c r="A328" s="45">
        <v>45936</v>
      </c>
      <c r="B328">
        <v>1</v>
      </c>
      <c r="D328" t="s">
        <v>30</v>
      </c>
      <c r="E328" t="s">
        <v>40</v>
      </c>
      <c r="F328" t="s">
        <v>40</v>
      </c>
      <c r="H328" t="s">
        <v>41</v>
      </c>
      <c r="I328" t="s">
        <v>44</v>
      </c>
      <c r="K328">
        <v>66</v>
      </c>
      <c r="M328" s="45">
        <v>47968</v>
      </c>
      <c r="N328" s="45">
        <v>47968</v>
      </c>
      <c r="O328" s="45">
        <v>47968</v>
      </c>
      <c r="P328">
        <v>3842.9394398514701</v>
      </c>
      <c r="V328">
        <v>1</v>
      </c>
      <c r="W328" t="s">
        <v>34</v>
      </c>
      <c r="Y328" t="s">
        <v>34</v>
      </c>
      <c r="Z328" t="s">
        <v>35</v>
      </c>
      <c r="AA328">
        <v>1</v>
      </c>
    </row>
    <row r="329" spans="1:27" x14ac:dyDescent="0.35">
      <c r="A329" s="45">
        <v>45936</v>
      </c>
      <c r="B329">
        <v>1</v>
      </c>
      <c r="D329" t="s">
        <v>30</v>
      </c>
      <c r="E329" t="s">
        <v>40</v>
      </c>
      <c r="F329" t="s">
        <v>40</v>
      </c>
      <c r="H329" t="s">
        <v>41</v>
      </c>
      <c r="I329" t="s">
        <v>44</v>
      </c>
      <c r="K329">
        <v>67</v>
      </c>
      <c r="M329" s="45">
        <v>47999</v>
      </c>
      <c r="N329" s="45">
        <v>47999</v>
      </c>
      <c r="O329" s="45">
        <v>47999</v>
      </c>
      <c r="P329">
        <v>3808.903744329436</v>
      </c>
      <c r="V329">
        <v>1</v>
      </c>
      <c r="W329" t="s">
        <v>34</v>
      </c>
      <c r="Y329" t="s">
        <v>34</v>
      </c>
      <c r="Z329" t="s">
        <v>35</v>
      </c>
      <c r="AA329">
        <v>1</v>
      </c>
    </row>
    <row r="330" spans="1:27" x14ac:dyDescent="0.35">
      <c r="A330" s="45">
        <v>45936</v>
      </c>
      <c r="B330">
        <v>1</v>
      </c>
      <c r="D330" t="s">
        <v>30</v>
      </c>
      <c r="E330" t="s">
        <v>40</v>
      </c>
      <c r="F330" t="s">
        <v>40</v>
      </c>
      <c r="H330" t="s">
        <v>41</v>
      </c>
      <c r="I330" t="s">
        <v>44</v>
      </c>
      <c r="K330">
        <v>68</v>
      </c>
      <c r="M330" s="45">
        <v>48029</v>
      </c>
      <c r="N330" s="45">
        <v>48029</v>
      </c>
      <c r="O330" s="45">
        <v>48029</v>
      </c>
      <c r="P330">
        <v>3775.6415873419928</v>
      </c>
      <c r="V330">
        <v>1</v>
      </c>
      <c r="W330" t="s">
        <v>34</v>
      </c>
      <c r="Y330" t="s">
        <v>34</v>
      </c>
      <c r="Z330" t="s">
        <v>35</v>
      </c>
      <c r="AA330">
        <v>1</v>
      </c>
    </row>
    <row r="331" spans="1:27" x14ac:dyDescent="0.35">
      <c r="A331" s="45">
        <v>45936</v>
      </c>
      <c r="B331">
        <v>1</v>
      </c>
      <c r="D331" t="s">
        <v>30</v>
      </c>
      <c r="E331" t="s">
        <v>40</v>
      </c>
      <c r="F331" t="s">
        <v>40</v>
      </c>
      <c r="H331" t="s">
        <v>41</v>
      </c>
      <c r="I331" t="s">
        <v>44</v>
      </c>
      <c r="K331">
        <v>69</v>
      </c>
      <c r="M331" s="45">
        <v>48060</v>
      </c>
      <c r="N331" s="45">
        <v>48060</v>
      </c>
      <c r="O331" s="45">
        <v>48060</v>
      </c>
      <c r="P331">
        <v>3742.379430354551</v>
      </c>
      <c r="V331">
        <v>1</v>
      </c>
      <c r="W331" t="s">
        <v>34</v>
      </c>
      <c r="Y331" t="s">
        <v>34</v>
      </c>
      <c r="Z331" t="s">
        <v>35</v>
      </c>
      <c r="AA331">
        <v>1</v>
      </c>
    </row>
    <row r="332" spans="1:27" x14ac:dyDescent="0.35">
      <c r="A332" s="45">
        <v>45936</v>
      </c>
      <c r="B332">
        <v>1</v>
      </c>
      <c r="D332" t="s">
        <v>30</v>
      </c>
      <c r="E332" t="s">
        <v>40</v>
      </c>
      <c r="F332" t="s">
        <v>40</v>
      </c>
      <c r="H332" t="s">
        <v>41</v>
      </c>
      <c r="I332" t="s">
        <v>44</v>
      </c>
      <c r="K332">
        <v>70</v>
      </c>
      <c r="M332" s="45">
        <v>48091</v>
      </c>
      <c r="N332" s="45">
        <v>48091</v>
      </c>
      <c r="O332" s="45">
        <v>48091</v>
      </c>
      <c r="P332">
        <v>418583.360146527</v>
      </c>
      <c r="V332">
        <v>1</v>
      </c>
      <c r="W332" t="s">
        <v>34</v>
      </c>
      <c r="Y332" t="s">
        <v>34</v>
      </c>
      <c r="Z332" t="s">
        <v>35</v>
      </c>
      <c r="AA332">
        <v>1</v>
      </c>
    </row>
    <row r="333" spans="1:27" x14ac:dyDescent="0.35">
      <c r="A333" s="45">
        <v>45936</v>
      </c>
      <c r="B333">
        <v>1</v>
      </c>
      <c r="D333" t="s">
        <v>30</v>
      </c>
      <c r="E333" t="s">
        <v>40</v>
      </c>
      <c r="F333" t="s">
        <v>40</v>
      </c>
      <c r="H333" t="s">
        <v>44</v>
      </c>
      <c r="I333" t="s">
        <v>44</v>
      </c>
      <c r="M333" s="45">
        <v>45937</v>
      </c>
      <c r="N333" s="45">
        <v>45937</v>
      </c>
      <c r="O333" s="45">
        <v>45937</v>
      </c>
      <c r="P333">
        <v>773538.53459168063</v>
      </c>
      <c r="V333">
        <v>1</v>
      </c>
      <c r="W333" t="s">
        <v>34</v>
      </c>
      <c r="Y333" t="s">
        <v>34</v>
      </c>
      <c r="Z333" t="s">
        <v>35</v>
      </c>
      <c r="AA333">
        <v>1</v>
      </c>
    </row>
    <row r="334" spans="1:27" x14ac:dyDescent="0.35">
      <c r="A334" s="45">
        <v>45936</v>
      </c>
      <c r="B334">
        <v>1</v>
      </c>
      <c r="D334" t="s">
        <v>30</v>
      </c>
      <c r="E334" t="s">
        <v>40</v>
      </c>
      <c r="F334" t="s">
        <v>40</v>
      </c>
      <c r="H334" t="s">
        <v>41</v>
      </c>
      <c r="I334" t="s">
        <v>45</v>
      </c>
      <c r="M334" s="45">
        <v>45937</v>
      </c>
      <c r="N334" s="45">
        <v>45937</v>
      </c>
      <c r="O334" s="45">
        <v>45937</v>
      </c>
      <c r="P334">
        <v>331516.51482500602</v>
      </c>
      <c r="V334">
        <v>1</v>
      </c>
      <c r="W334" t="s">
        <v>34</v>
      </c>
      <c r="Y334" t="s">
        <v>34</v>
      </c>
      <c r="Z334" t="s">
        <v>35</v>
      </c>
      <c r="AA334">
        <v>1</v>
      </c>
    </row>
    <row r="335" spans="1:27" x14ac:dyDescent="0.35">
      <c r="A335" s="45">
        <v>45936</v>
      </c>
      <c r="B335">
        <v>1</v>
      </c>
      <c r="D335" t="s">
        <v>30</v>
      </c>
      <c r="E335" t="s">
        <v>40</v>
      </c>
      <c r="F335" t="s">
        <v>40</v>
      </c>
      <c r="H335" t="s">
        <v>45</v>
      </c>
      <c r="I335" t="s">
        <v>45</v>
      </c>
      <c r="M335" s="45">
        <v>45937</v>
      </c>
      <c r="N335" s="45">
        <v>45937</v>
      </c>
      <c r="O335" s="45">
        <v>45937</v>
      </c>
      <c r="P335">
        <v>331516.51482500602</v>
      </c>
      <c r="V335">
        <v>1</v>
      </c>
      <c r="W335" t="s">
        <v>34</v>
      </c>
      <c r="Y335" t="s">
        <v>34</v>
      </c>
      <c r="Z335" t="s">
        <v>35</v>
      </c>
      <c r="AA335">
        <v>1</v>
      </c>
    </row>
    <row r="336" spans="1:27" x14ac:dyDescent="0.35">
      <c r="A336" s="45">
        <v>45936</v>
      </c>
      <c r="B336">
        <v>1</v>
      </c>
      <c r="D336" t="s">
        <v>30</v>
      </c>
      <c r="E336" t="s">
        <v>31</v>
      </c>
      <c r="F336" t="s">
        <v>31</v>
      </c>
      <c r="H336" t="s">
        <v>46</v>
      </c>
      <c r="I336" t="s">
        <v>47</v>
      </c>
      <c r="K336">
        <v>1</v>
      </c>
      <c r="M336" s="45">
        <v>45961</v>
      </c>
      <c r="N336" s="45">
        <v>45961</v>
      </c>
      <c r="O336" s="45">
        <v>45961</v>
      </c>
      <c r="P336">
        <v>36011519040.949707</v>
      </c>
      <c r="V336">
        <v>1</v>
      </c>
      <c r="W336" t="s">
        <v>34</v>
      </c>
      <c r="Y336" t="s">
        <v>34</v>
      </c>
      <c r="Z336" t="s">
        <v>35</v>
      </c>
      <c r="AA336">
        <v>1</v>
      </c>
    </row>
    <row r="337" spans="1:27" x14ac:dyDescent="0.35">
      <c r="A337" s="45">
        <v>45936</v>
      </c>
      <c r="B337">
        <v>1</v>
      </c>
      <c r="D337" t="s">
        <v>30</v>
      </c>
      <c r="E337" t="s">
        <v>31</v>
      </c>
      <c r="F337" t="s">
        <v>31</v>
      </c>
      <c r="H337" t="s">
        <v>46</v>
      </c>
      <c r="I337" t="s">
        <v>47</v>
      </c>
      <c r="K337">
        <v>2</v>
      </c>
      <c r="M337" s="45">
        <v>45991</v>
      </c>
      <c r="N337" s="45">
        <v>45991</v>
      </c>
      <c r="O337" s="45">
        <v>45991</v>
      </c>
      <c r="P337">
        <v>36011519040.949707</v>
      </c>
      <c r="V337">
        <v>1</v>
      </c>
      <c r="W337" t="s">
        <v>34</v>
      </c>
      <c r="Y337" t="s">
        <v>34</v>
      </c>
      <c r="Z337" t="s">
        <v>35</v>
      </c>
      <c r="AA337">
        <v>1</v>
      </c>
    </row>
    <row r="338" spans="1:27" x14ac:dyDescent="0.35">
      <c r="A338" s="45">
        <v>45936</v>
      </c>
      <c r="B338">
        <v>1</v>
      </c>
      <c r="D338" t="s">
        <v>30</v>
      </c>
      <c r="E338" t="s">
        <v>31</v>
      </c>
      <c r="F338" t="s">
        <v>31</v>
      </c>
      <c r="H338" t="s">
        <v>46</v>
      </c>
      <c r="I338" t="s">
        <v>47</v>
      </c>
      <c r="K338">
        <v>3</v>
      </c>
      <c r="M338" s="45">
        <v>46022</v>
      </c>
      <c r="N338" s="45">
        <v>46022</v>
      </c>
      <c r="O338" s="45">
        <v>46022</v>
      </c>
      <c r="P338">
        <v>36011519040.949707</v>
      </c>
      <c r="V338">
        <v>1</v>
      </c>
      <c r="W338" t="s">
        <v>34</v>
      </c>
      <c r="Y338" t="s">
        <v>34</v>
      </c>
      <c r="Z338" t="s">
        <v>35</v>
      </c>
      <c r="AA338">
        <v>1</v>
      </c>
    </row>
    <row r="339" spans="1:27" x14ac:dyDescent="0.35">
      <c r="A339" s="45">
        <v>45936</v>
      </c>
      <c r="B339">
        <v>1</v>
      </c>
      <c r="D339" t="s">
        <v>30</v>
      </c>
      <c r="E339" t="s">
        <v>31</v>
      </c>
      <c r="F339" t="s">
        <v>31</v>
      </c>
      <c r="H339" t="s">
        <v>46</v>
      </c>
      <c r="I339" t="s">
        <v>47</v>
      </c>
      <c r="K339">
        <v>4</v>
      </c>
      <c r="M339" s="45">
        <v>46053</v>
      </c>
      <c r="N339" s="45">
        <v>46053</v>
      </c>
      <c r="O339" s="45">
        <v>46053</v>
      </c>
      <c r="P339">
        <v>36011519040.949707</v>
      </c>
      <c r="V339">
        <v>1</v>
      </c>
      <c r="W339" t="s">
        <v>34</v>
      </c>
      <c r="Y339" t="s">
        <v>34</v>
      </c>
      <c r="Z339" t="s">
        <v>35</v>
      </c>
      <c r="AA339">
        <v>1</v>
      </c>
    </row>
    <row r="340" spans="1:27" x14ac:dyDescent="0.35">
      <c r="A340" s="45">
        <v>45936</v>
      </c>
      <c r="B340">
        <v>1</v>
      </c>
      <c r="D340" t="s">
        <v>30</v>
      </c>
      <c r="E340" t="s">
        <v>31</v>
      </c>
      <c r="F340" t="s">
        <v>31</v>
      </c>
      <c r="H340" t="s">
        <v>46</v>
      </c>
      <c r="I340" t="s">
        <v>47</v>
      </c>
      <c r="K340">
        <v>5</v>
      </c>
      <c r="M340" s="45">
        <v>46081</v>
      </c>
      <c r="N340" s="45">
        <v>46081</v>
      </c>
      <c r="O340" s="45">
        <v>46081</v>
      </c>
      <c r="P340">
        <v>36011519040.949707</v>
      </c>
      <c r="V340">
        <v>1</v>
      </c>
      <c r="W340" t="s">
        <v>34</v>
      </c>
      <c r="Y340" t="s">
        <v>34</v>
      </c>
      <c r="Z340" t="s">
        <v>35</v>
      </c>
      <c r="AA340">
        <v>1</v>
      </c>
    </row>
    <row r="341" spans="1:27" x14ac:dyDescent="0.35">
      <c r="A341" s="45">
        <v>45936</v>
      </c>
      <c r="B341">
        <v>1</v>
      </c>
      <c r="D341" t="s">
        <v>30</v>
      </c>
      <c r="E341" t="s">
        <v>31</v>
      </c>
      <c r="F341" t="s">
        <v>31</v>
      </c>
      <c r="H341" t="s">
        <v>46</v>
      </c>
      <c r="I341" t="s">
        <v>47</v>
      </c>
      <c r="K341">
        <v>6</v>
      </c>
      <c r="M341" s="45">
        <v>46112</v>
      </c>
      <c r="N341" s="45">
        <v>46112</v>
      </c>
      <c r="O341" s="45">
        <v>46112</v>
      </c>
      <c r="P341">
        <v>36011519040.949707</v>
      </c>
      <c r="V341">
        <v>1</v>
      </c>
      <c r="W341" t="s">
        <v>34</v>
      </c>
      <c r="Y341" t="s">
        <v>34</v>
      </c>
      <c r="Z341" t="s">
        <v>35</v>
      </c>
      <c r="AA341">
        <v>1</v>
      </c>
    </row>
    <row r="342" spans="1:27" x14ac:dyDescent="0.35">
      <c r="A342" s="45">
        <v>45936</v>
      </c>
      <c r="B342">
        <v>1</v>
      </c>
      <c r="D342" t="s">
        <v>30</v>
      </c>
      <c r="E342" t="s">
        <v>31</v>
      </c>
      <c r="F342" t="s">
        <v>31</v>
      </c>
      <c r="H342" t="s">
        <v>46</v>
      </c>
      <c r="I342" t="s">
        <v>47</v>
      </c>
      <c r="K342">
        <v>7</v>
      </c>
      <c r="M342" s="45">
        <v>46142</v>
      </c>
      <c r="N342" s="45">
        <v>46142</v>
      </c>
      <c r="O342" s="45">
        <v>46142</v>
      </c>
      <c r="P342">
        <v>36011519040.949707</v>
      </c>
      <c r="V342">
        <v>1</v>
      </c>
      <c r="W342" t="s">
        <v>34</v>
      </c>
      <c r="Y342" t="s">
        <v>34</v>
      </c>
      <c r="Z342" t="s">
        <v>35</v>
      </c>
      <c r="AA342">
        <v>1</v>
      </c>
    </row>
    <row r="343" spans="1:27" x14ac:dyDescent="0.35">
      <c r="A343" s="45">
        <v>45936</v>
      </c>
      <c r="B343">
        <v>1</v>
      </c>
      <c r="D343" t="s">
        <v>30</v>
      </c>
      <c r="E343" t="s">
        <v>31</v>
      </c>
      <c r="F343" t="s">
        <v>31</v>
      </c>
      <c r="H343" t="s">
        <v>46</v>
      </c>
      <c r="I343" t="s">
        <v>47</v>
      </c>
      <c r="K343">
        <v>8</v>
      </c>
      <c r="M343" s="45">
        <v>46173</v>
      </c>
      <c r="N343" s="45">
        <v>46173</v>
      </c>
      <c r="O343" s="45">
        <v>46173</v>
      </c>
      <c r="P343">
        <v>36011519040.949707</v>
      </c>
      <c r="V343">
        <v>1</v>
      </c>
      <c r="W343" t="s">
        <v>34</v>
      </c>
      <c r="Y343" t="s">
        <v>34</v>
      </c>
      <c r="Z343" t="s">
        <v>35</v>
      </c>
      <c r="AA343">
        <v>1</v>
      </c>
    </row>
    <row r="344" spans="1:27" x14ac:dyDescent="0.35">
      <c r="A344" s="45">
        <v>45936</v>
      </c>
      <c r="B344">
        <v>1</v>
      </c>
      <c r="D344" t="s">
        <v>30</v>
      </c>
      <c r="E344" t="s">
        <v>31</v>
      </c>
      <c r="F344" t="s">
        <v>31</v>
      </c>
      <c r="H344" t="s">
        <v>46</v>
      </c>
      <c r="I344" t="s">
        <v>47</v>
      </c>
      <c r="K344">
        <v>9</v>
      </c>
      <c r="M344" s="45">
        <v>46203</v>
      </c>
      <c r="N344" s="45">
        <v>46203</v>
      </c>
      <c r="O344" s="45">
        <v>46203</v>
      </c>
      <c r="P344">
        <v>36011519040.949707</v>
      </c>
      <c r="V344">
        <v>1</v>
      </c>
      <c r="W344" t="s">
        <v>34</v>
      </c>
      <c r="Y344" t="s">
        <v>34</v>
      </c>
      <c r="Z344" t="s">
        <v>35</v>
      </c>
      <c r="AA344">
        <v>1</v>
      </c>
    </row>
    <row r="345" spans="1:27" x14ac:dyDescent="0.35">
      <c r="A345" s="45">
        <v>45936</v>
      </c>
      <c r="B345">
        <v>1</v>
      </c>
      <c r="D345" t="s">
        <v>30</v>
      </c>
      <c r="E345" t="s">
        <v>31</v>
      </c>
      <c r="F345" t="s">
        <v>31</v>
      </c>
      <c r="H345" t="s">
        <v>46</v>
      </c>
      <c r="I345" t="s">
        <v>47</v>
      </c>
      <c r="K345">
        <v>10</v>
      </c>
      <c r="M345" s="45">
        <v>46234</v>
      </c>
      <c r="N345" s="45">
        <v>46234</v>
      </c>
      <c r="O345" s="45">
        <v>46234</v>
      </c>
      <c r="P345">
        <v>36011519040.949707</v>
      </c>
      <c r="V345">
        <v>1</v>
      </c>
      <c r="W345" t="s">
        <v>34</v>
      </c>
      <c r="Y345" t="s">
        <v>34</v>
      </c>
      <c r="Z345" t="s">
        <v>35</v>
      </c>
      <c r="AA345">
        <v>1</v>
      </c>
    </row>
    <row r="346" spans="1:27" x14ac:dyDescent="0.35">
      <c r="A346" s="45">
        <v>45936</v>
      </c>
      <c r="B346">
        <v>1</v>
      </c>
      <c r="D346" t="s">
        <v>30</v>
      </c>
      <c r="E346" t="s">
        <v>31</v>
      </c>
      <c r="F346" t="s">
        <v>31</v>
      </c>
      <c r="H346" t="s">
        <v>46</v>
      </c>
      <c r="I346" t="s">
        <v>47</v>
      </c>
      <c r="K346">
        <v>11</v>
      </c>
      <c r="M346" s="45">
        <v>46265</v>
      </c>
      <c r="N346" s="45">
        <v>46265</v>
      </c>
      <c r="O346" s="45">
        <v>46265</v>
      </c>
      <c r="P346">
        <v>36011519040.949707</v>
      </c>
      <c r="V346">
        <v>1</v>
      </c>
      <c r="W346" t="s">
        <v>34</v>
      </c>
      <c r="Y346" t="s">
        <v>34</v>
      </c>
      <c r="Z346" t="s">
        <v>35</v>
      </c>
      <c r="AA346">
        <v>1</v>
      </c>
    </row>
    <row r="347" spans="1:27" x14ac:dyDescent="0.35">
      <c r="A347" s="45">
        <v>45936</v>
      </c>
      <c r="B347">
        <v>1</v>
      </c>
      <c r="D347" t="s">
        <v>30</v>
      </c>
      <c r="E347" t="s">
        <v>31</v>
      </c>
      <c r="F347" t="s">
        <v>31</v>
      </c>
      <c r="H347" t="s">
        <v>46</v>
      </c>
      <c r="I347" t="s">
        <v>47</v>
      </c>
      <c r="K347">
        <v>12</v>
      </c>
      <c r="M347" s="45">
        <v>46295</v>
      </c>
      <c r="N347" s="45">
        <v>46295</v>
      </c>
      <c r="O347" s="45">
        <v>46295</v>
      </c>
      <c r="P347">
        <v>36011519040.949707</v>
      </c>
      <c r="V347">
        <v>1</v>
      </c>
      <c r="W347" t="s">
        <v>34</v>
      </c>
      <c r="Y347" t="s">
        <v>34</v>
      </c>
      <c r="Z347" t="s">
        <v>35</v>
      </c>
      <c r="AA347">
        <v>1</v>
      </c>
    </row>
    <row r="348" spans="1:27" x14ac:dyDescent="0.35">
      <c r="A348" s="45">
        <v>45936</v>
      </c>
      <c r="B348">
        <v>1</v>
      </c>
      <c r="D348" t="s">
        <v>30</v>
      </c>
      <c r="E348" t="s">
        <v>31</v>
      </c>
      <c r="F348" t="s">
        <v>31</v>
      </c>
      <c r="H348" t="s">
        <v>46</v>
      </c>
      <c r="I348" t="s">
        <v>47</v>
      </c>
      <c r="K348">
        <v>13</v>
      </c>
      <c r="M348" s="45">
        <v>46326</v>
      </c>
      <c r="N348" s="45">
        <v>46326</v>
      </c>
      <c r="O348" s="45">
        <v>46326</v>
      </c>
      <c r="P348">
        <v>36011519040.949707</v>
      </c>
      <c r="V348">
        <v>1</v>
      </c>
      <c r="W348" t="s">
        <v>34</v>
      </c>
      <c r="Y348" t="s">
        <v>34</v>
      </c>
      <c r="Z348" t="s">
        <v>35</v>
      </c>
      <c r="AA348">
        <v>1</v>
      </c>
    </row>
    <row r="349" spans="1:27" x14ac:dyDescent="0.35">
      <c r="A349" s="45">
        <v>45936</v>
      </c>
      <c r="B349">
        <v>1</v>
      </c>
      <c r="D349" t="s">
        <v>30</v>
      </c>
      <c r="E349" t="s">
        <v>31</v>
      </c>
      <c r="F349" t="s">
        <v>31</v>
      </c>
      <c r="H349" t="s">
        <v>46</v>
      </c>
      <c r="I349" t="s">
        <v>47</v>
      </c>
      <c r="K349">
        <v>14</v>
      </c>
      <c r="M349" s="45">
        <v>46356</v>
      </c>
      <c r="N349" s="45">
        <v>46356</v>
      </c>
      <c r="O349" s="45">
        <v>46356</v>
      </c>
      <c r="P349">
        <v>36011519040.949707</v>
      </c>
      <c r="V349">
        <v>1</v>
      </c>
      <c r="W349" t="s">
        <v>34</v>
      </c>
      <c r="Y349" t="s">
        <v>34</v>
      </c>
      <c r="Z349" t="s">
        <v>35</v>
      </c>
      <c r="AA349">
        <v>1</v>
      </c>
    </row>
    <row r="350" spans="1:27" x14ac:dyDescent="0.35">
      <c r="A350" s="45">
        <v>45936</v>
      </c>
      <c r="B350">
        <v>1</v>
      </c>
      <c r="D350" t="s">
        <v>30</v>
      </c>
      <c r="E350" t="s">
        <v>31</v>
      </c>
      <c r="F350" t="s">
        <v>31</v>
      </c>
      <c r="H350" t="s">
        <v>46</v>
      </c>
      <c r="I350" t="s">
        <v>47</v>
      </c>
      <c r="K350">
        <v>15</v>
      </c>
      <c r="M350" s="45">
        <v>46387</v>
      </c>
      <c r="N350" s="45">
        <v>46387</v>
      </c>
      <c r="O350" s="45">
        <v>46387</v>
      </c>
      <c r="P350">
        <v>36011519040.949707</v>
      </c>
      <c r="V350">
        <v>1</v>
      </c>
      <c r="W350" t="s">
        <v>34</v>
      </c>
      <c r="Y350" t="s">
        <v>34</v>
      </c>
      <c r="Z350" t="s">
        <v>35</v>
      </c>
      <c r="AA350">
        <v>1</v>
      </c>
    </row>
    <row r="351" spans="1:27" x14ac:dyDescent="0.35">
      <c r="A351" s="45">
        <v>45936</v>
      </c>
      <c r="B351">
        <v>1</v>
      </c>
      <c r="D351" t="s">
        <v>30</v>
      </c>
      <c r="E351" t="s">
        <v>31</v>
      </c>
      <c r="F351" t="s">
        <v>31</v>
      </c>
      <c r="H351" t="s">
        <v>46</v>
      </c>
      <c r="I351" t="s">
        <v>47</v>
      </c>
      <c r="K351">
        <v>16</v>
      </c>
      <c r="M351" s="45">
        <v>46418</v>
      </c>
      <c r="N351" s="45">
        <v>46418</v>
      </c>
      <c r="O351" s="45">
        <v>46418</v>
      </c>
      <c r="P351">
        <v>36011519040.949707</v>
      </c>
      <c r="V351">
        <v>1</v>
      </c>
      <c r="W351" t="s">
        <v>34</v>
      </c>
      <c r="Y351" t="s">
        <v>34</v>
      </c>
      <c r="Z351" t="s">
        <v>35</v>
      </c>
      <c r="AA351">
        <v>1</v>
      </c>
    </row>
    <row r="352" spans="1:27" x14ac:dyDescent="0.35">
      <c r="A352" s="45">
        <v>45936</v>
      </c>
      <c r="B352">
        <v>1</v>
      </c>
      <c r="D352" t="s">
        <v>30</v>
      </c>
      <c r="E352" t="s">
        <v>31</v>
      </c>
      <c r="F352" t="s">
        <v>31</v>
      </c>
      <c r="H352" t="s">
        <v>46</v>
      </c>
      <c r="I352" t="s">
        <v>47</v>
      </c>
      <c r="K352">
        <v>17</v>
      </c>
      <c r="M352" s="45">
        <v>46446</v>
      </c>
      <c r="N352" s="45">
        <v>46446</v>
      </c>
      <c r="O352" s="45">
        <v>46446</v>
      </c>
      <c r="P352">
        <v>36011519040.949707</v>
      </c>
      <c r="V352">
        <v>1</v>
      </c>
      <c r="W352" t="s">
        <v>34</v>
      </c>
      <c r="Y352" t="s">
        <v>34</v>
      </c>
      <c r="Z352" t="s">
        <v>35</v>
      </c>
      <c r="AA352">
        <v>1</v>
      </c>
    </row>
    <row r="353" spans="1:27" x14ac:dyDescent="0.35">
      <c r="A353" s="45">
        <v>45936</v>
      </c>
      <c r="B353">
        <v>1</v>
      </c>
      <c r="D353" t="s">
        <v>30</v>
      </c>
      <c r="E353" t="s">
        <v>31</v>
      </c>
      <c r="F353" t="s">
        <v>31</v>
      </c>
      <c r="H353" t="s">
        <v>46</v>
      </c>
      <c r="I353" t="s">
        <v>47</v>
      </c>
      <c r="K353">
        <v>18</v>
      </c>
      <c r="M353" s="45">
        <v>46477</v>
      </c>
      <c r="N353" s="45">
        <v>46477</v>
      </c>
      <c r="O353" s="45">
        <v>46477</v>
      </c>
      <c r="P353">
        <v>36011519040.949707</v>
      </c>
      <c r="V353">
        <v>1</v>
      </c>
      <c r="W353" t="s">
        <v>34</v>
      </c>
      <c r="Y353" t="s">
        <v>34</v>
      </c>
      <c r="Z353" t="s">
        <v>35</v>
      </c>
      <c r="AA353">
        <v>1</v>
      </c>
    </row>
    <row r="354" spans="1:27" x14ac:dyDescent="0.35">
      <c r="A354" s="45">
        <v>45936</v>
      </c>
      <c r="B354">
        <v>1</v>
      </c>
      <c r="D354" t="s">
        <v>30</v>
      </c>
      <c r="E354" t="s">
        <v>31</v>
      </c>
      <c r="F354" t="s">
        <v>31</v>
      </c>
      <c r="H354" t="s">
        <v>46</v>
      </c>
      <c r="I354" t="s">
        <v>47</v>
      </c>
      <c r="K354">
        <v>19</v>
      </c>
      <c r="M354" s="45">
        <v>46507</v>
      </c>
      <c r="N354" s="45">
        <v>46507</v>
      </c>
      <c r="O354" s="45">
        <v>46507</v>
      </c>
      <c r="P354">
        <v>36011519040.949707</v>
      </c>
      <c r="V354">
        <v>1</v>
      </c>
      <c r="W354" t="s">
        <v>34</v>
      </c>
      <c r="Y354" t="s">
        <v>34</v>
      </c>
      <c r="Z354" t="s">
        <v>35</v>
      </c>
      <c r="AA354">
        <v>1</v>
      </c>
    </row>
    <row r="355" spans="1:27" x14ac:dyDescent="0.35">
      <c r="A355" s="45">
        <v>45936</v>
      </c>
      <c r="B355">
        <v>1</v>
      </c>
      <c r="D355" t="s">
        <v>30</v>
      </c>
      <c r="E355" t="s">
        <v>31</v>
      </c>
      <c r="F355" t="s">
        <v>31</v>
      </c>
      <c r="H355" t="s">
        <v>46</v>
      </c>
      <c r="I355" t="s">
        <v>47</v>
      </c>
      <c r="K355">
        <v>20</v>
      </c>
      <c r="M355" s="45">
        <v>46538</v>
      </c>
      <c r="N355" s="45">
        <v>46538</v>
      </c>
      <c r="O355" s="45">
        <v>46538</v>
      </c>
      <c r="P355">
        <v>36011519040.949707</v>
      </c>
      <c r="V355">
        <v>1</v>
      </c>
      <c r="W355" t="s">
        <v>34</v>
      </c>
      <c r="Y355" t="s">
        <v>34</v>
      </c>
      <c r="Z355" t="s">
        <v>35</v>
      </c>
      <c r="AA355">
        <v>1</v>
      </c>
    </row>
    <row r="356" spans="1:27" x14ac:dyDescent="0.35">
      <c r="A356" s="45">
        <v>45936</v>
      </c>
      <c r="B356">
        <v>1</v>
      </c>
      <c r="D356" t="s">
        <v>30</v>
      </c>
      <c r="E356" t="s">
        <v>31</v>
      </c>
      <c r="F356" t="s">
        <v>31</v>
      </c>
      <c r="H356" t="s">
        <v>46</v>
      </c>
      <c r="I356" t="s">
        <v>47</v>
      </c>
      <c r="K356">
        <v>21</v>
      </c>
      <c r="M356" s="45">
        <v>46568</v>
      </c>
      <c r="N356" s="45">
        <v>46568</v>
      </c>
      <c r="O356" s="45">
        <v>46568</v>
      </c>
      <c r="P356">
        <v>36011519040.949707</v>
      </c>
      <c r="V356">
        <v>1</v>
      </c>
      <c r="W356" t="s">
        <v>34</v>
      </c>
      <c r="Y356" t="s">
        <v>34</v>
      </c>
      <c r="Z356" t="s">
        <v>35</v>
      </c>
      <c r="AA356">
        <v>1</v>
      </c>
    </row>
    <row r="357" spans="1:27" x14ac:dyDescent="0.35">
      <c r="A357" s="45">
        <v>45936</v>
      </c>
      <c r="B357">
        <v>1</v>
      </c>
      <c r="D357" t="s">
        <v>30</v>
      </c>
      <c r="E357" t="s">
        <v>31</v>
      </c>
      <c r="F357" t="s">
        <v>31</v>
      </c>
      <c r="H357" t="s">
        <v>46</v>
      </c>
      <c r="I357" t="s">
        <v>47</v>
      </c>
      <c r="K357">
        <v>22</v>
      </c>
      <c r="M357" s="45">
        <v>46599</v>
      </c>
      <c r="N357" s="45">
        <v>46599</v>
      </c>
      <c r="O357" s="45">
        <v>46599</v>
      </c>
      <c r="P357">
        <v>36011519040.949707</v>
      </c>
      <c r="V357">
        <v>1</v>
      </c>
      <c r="W357" t="s">
        <v>34</v>
      </c>
      <c r="Y357" t="s">
        <v>34</v>
      </c>
      <c r="Z357" t="s">
        <v>35</v>
      </c>
      <c r="AA357">
        <v>1</v>
      </c>
    </row>
    <row r="358" spans="1:27" x14ac:dyDescent="0.35">
      <c r="A358" s="45">
        <v>45936</v>
      </c>
      <c r="B358">
        <v>1</v>
      </c>
      <c r="D358" t="s">
        <v>30</v>
      </c>
      <c r="E358" t="s">
        <v>31</v>
      </c>
      <c r="F358" t="s">
        <v>31</v>
      </c>
      <c r="H358" t="s">
        <v>46</v>
      </c>
      <c r="I358" t="s">
        <v>47</v>
      </c>
      <c r="K358">
        <v>23</v>
      </c>
      <c r="M358" s="45">
        <v>46630</v>
      </c>
      <c r="N358" s="45">
        <v>46630</v>
      </c>
      <c r="O358" s="45">
        <v>46630</v>
      </c>
      <c r="P358">
        <v>36011519040.949707</v>
      </c>
      <c r="V358">
        <v>1</v>
      </c>
      <c r="W358" t="s">
        <v>34</v>
      </c>
      <c r="Y358" t="s">
        <v>34</v>
      </c>
      <c r="Z358" t="s">
        <v>35</v>
      </c>
      <c r="AA358">
        <v>1</v>
      </c>
    </row>
    <row r="359" spans="1:27" x14ac:dyDescent="0.35">
      <c r="A359" s="45">
        <v>45936</v>
      </c>
      <c r="B359">
        <v>1</v>
      </c>
      <c r="D359" t="s">
        <v>30</v>
      </c>
      <c r="E359" t="s">
        <v>31</v>
      </c>
      <c r="F359" t="s">
        <v>31</v>
      </c>
      <c r="H359" t="s">
        <v>46</v>
      </c>
      <c r="I359" t="s">
        <v>47</v>
      </c>
      <c r="K359">
        <v>24</v>
      </c>
      <c r="M359" s="45">
        <v>46660</v>
      </c>
      <c r="N359" s="45">
        <v>46660</v>
      </c>
      <c r="O359" s="45">
        <v>46660</v>
      </c>
      <c r="P359">
        <v>36011519040.949707</v>
      </c>
      <c r="V359">
        <v>1</v>
      </c>
      <c r="W359" t="s">
        <v>34</v>
      </c>
      <c r="Y359" t="s">
        <v>34</v>
      </c>
      <c r="Z359" t="s">
        <v>35</v>
      </c>
      <c r="AA359">
        <v>1</v>
      </c>
    </row>
    <row r="360" spans="1:27" x14ac:dyDescent="0.35">
      <c r="A360" s="45">
        <v>45936</v>
      </c>
      <c r="B360">
        <v>1</v>
      </c>
      <c r="D360" t="s">
        <v>30</v>
      </c>
      <c r="E360" t="s">
        <v>31</v>
      </c>
      <c r="F360" t="s">
        <v>31</v>
      </c>
      <c r="H360" t="s">
        <v>46</v>
      </c>
      <c r="I360" t="s">
        <v>47</v>
      </c>
      <c r="K360">
        <v>25</v>
      </c>
      <c r="M360" s="45">
        <v>46691</v>
      </c>
      <c r="N360" s="45">
        <v>46691</v>
      </c>
      <c r="O360" s="45">
        <v>46691</v>
      </c>
      <c r="P360">
        <v>36011519040.949707</v>
      </c>
      <c r="V360">
        <v>1</v>
      </c>
      <c r="W360" t="s">
        <v>34</v>
      </c>
      <c r="Y360" t="s">
        <v>34</v>
      </c>
      <c r="Z360" t="s">
        <v>35</v>
      </c>
      <c r="AA360">
        <v>1</v>
      </c>
    </row>
    <row r="361" spans="1:27" x14ac:dyDescent="0.35">
      <c r="A361" s="45">
        <v>45936</v>
      </c>
      <c r="B361">
        <v>1</v>
      </c>
      <c r="D361" t="s">
        <v>30</v>
      </c>
      <c r="E361" t="s">
        <v>31</v>
      </c>
      <c r="F361" t="s">
        <v>31</v>
      </c>
      <c r="H361" t="s">
        <v>46</v>
      </c>
      <c r="I361" t="s">
        <v>47</v>
      </c>
      <c r="K361">
        <v>26</v>
      </c>
      <c r="M361" s="45">
        <v>46721</v>
      </c>
      <c r="N361" s="45">
        <v>46721</v>
      </c>
      <c r="O361" s="45">
        <v>46721</v>
      </c>
      <c r="P361">
        <v>36011519040.949707</v>
      </c>
      <c r="V361">
        <v>1</v>
      </c>
      <c r="W361" t="s">
        <v>34</v>
      </c>
      <c r="Y361" t="s">
        <v>34</v>
      </c>
      <c r="Z361" t="s">
        <v>35</v>
      </c>
      <c r="AA361">
        <v>1</v>
      </c>
    </row>
    <row r="362" spans="1:27" x14ac:dyDescent="0.35">
      <c r="A362" s="45">
        <v>45936</v>
      </c>
      <c r="B362">
        <v>1</v>
      </c>
      <c r="D362" t="s">
        <v>30</v>
      </c>
      <c r="E362" t="s">
        <v>31</v>
      </c>
      <c r="F362" t="s">
        <v>31</v>
      </c>
      <c r="H362" t="s">
        <v>46</v>
      </c>
      <c r="I362" t="s">
        <v>47</v>
      </c>
      <c r="K362">
        <v>27</v>
      </c>
      <c r="M362" s="45">
        <v>46752</v>
      </c>
      <c r="N362" s="45">
        <v>46752</v>
      </c>
      <c r="O362" s="45">
        <v>46752</v>
      </c>
      <c r="P362">
        <v>36011519040.949707</v>
      </c>
      <c r="V362">
        <v>1</v>
      </c>
      <c r="W362" t="s">
        <v>34</v>
      </c>
      <c r="Y362" t="s">
        <v>34</v>
      </c>
      <c r="Z362" t="s">
        <v>35</v>
      </c>
      <c r="AA362">
        <v>1</v>
      </c>
    </row>
    <row r="363" spans="1:27" x14ac:dyDescent="0.35">
      <c r="A363" s="45">
        <v>45936</v>
      </c>
      <c r="B363">
        <v>1</v>
      </c>
      <c r="D363" t="s">
        <v>30</v>
      </c>
      <c r="E363" t="s">
        <v>31</v>
      </c>
      <c r="F363" t="s">
        <v>31</v>
      </c>
      <c r="H363" t="s">
        <v>46</v>
      </c>
      <c r="I363" t="s">
        <v>47</v>
      </c>
      <c r="K363">
        <v>28</v>
      </c>
      <c r="M363" s="45">
        <v>46783</v>
      </c>
      <c r="N363" s="45">
        <v>46783</v>
      </c>
      <c r="O363" s="45">
        <v>46783</v>
      </c>
      <c r="P363">
        <v>36011519040.949707</v>
      </c>
      <c r="V363">
        <v>1</v>
      </c>
      <c r="W363" t="s">
        <v>34</v>
      </c>
      <c r="Y363" t="s">
        <v>34</v>
      </c>
      <c r="Z363" t="s">
        <v>35</v>
      </c>
      <c r="AA363">
        <v>1</v>
      </c>
    </row>
    <row r="364" spans="1:27" x14ac:dyDescent="0.35">
      <c r="A364" s="45">
        <v>45936</v>
      </c>
      <c r="B364">
        <v>1</v>
      </c>
      <c r="D364" t="s">
        <v>30</v>
      </c>
      <c r="E364" t="s">
        <v>31</v>
      </c>
      <c r="F364" t="s">
        <v>31</v>
      </c>
      <c r="H364" t="s">
        <v>46</v>
      </c>
      <c r="I364" t="s">
        <v>47</v>
      </c>
      <c r="K364">
        <v>29</v>
      </c>
      <c r="M364" s="45">
        <v>46812</v>
      </c>
      <c r="N364" s="45">
        <v>46812</v>
      </c>
      <c r="O364" s="45">
        <v>46812</v>
      </c>
      <c r="P364">
        <v>36011519040.949707</v>
      </c>
      <c r="V364">
        <v>1</v>
      </c>
      <c r="W364" t="s">
        <v>34</v>
      </c>
      <c r="Y364" t="s">
        <v>34</v>
      </c>
      <c r="Z364" t="s">
        <v>35</v>
      </c>
      <c r="AA364">
        <v>1</v>
      </c>
    </row>
    <row r="365" spans="1:27" x14ac:dyDescent="0.35">
      <c r="A365" s="45">
        <v>45936</v>
      </c>
      <c r="B365">
        <v>1</v>
      </c>
      <c r="D365" t="s">
        <v>30</v>
      </c>
      <c r="E365" t="s">
        <v>31</v>
      </c>
      <c r="F365" t="s">
        <v>31</v>
      </c>
      <c r="H365" t="s">
        <v>46</v>
      </c>
      <c r="I365" t="s">
        <v>47</v>
      </c>
      <c r="K365">
        <v>30</v>
      </c>
      <c r="M365" s="45">
        <v>46843</v>
      </c>
      <c r="N365" s="45">
        <v>46843</v>
      </c>
      <c r="O365" s="45">
        <v>46843</v>
      </c>
      <c r="P365">
        <v>36011519040.949707</v>
      </c>
      <c r="V365">
        <v>1</v>
      </c>
      <c r="W365" t="s">
        <v>34</v>
      </c>
      <c r="Y365" t="s">
        <v>34</v>
      </c>
      <c r="Z365" t="s">
        <v>35</v>
      </c>
      <c r="AA365">
        <v>1</v>
      </c>
    </row>
    <row r="366" spans="1:27" x14ac:dyDescent="0.35">
      <c r="A366" s="45">
        <v>45936</v>
      </c>
      <c r="B366">
        <v>1</v>
      </c>
      <c r="D366" t="s">
        <v>30</v>
      </c>
      <c r="E366" t="s">
        <v>31</v>
      </c>
      <c r="F366" t="s">
        <v>31</v>
      </c>
      <c r="H366" t="s">
        <v>46</v>
      </c>
      <c r="I366" t="s">
        <v>47</v>
      </c>
      <c r="K366">
        <v>31</v>
      </c>
      <c r="M366" s="45">
        <v>46873</v>
      </c>
      <c r="N366" s="45">
        <v>46873</v>
      </c>
      <c r="O366" s="45">
        <v>46873</v>
      </c>
      <c r="P366">
        <v>36011519040.949707</v>
      </c>
      <c r="V366">
        <v>1</v>
      </c>
      <c r="W366" t="s">
        <v>34</v>
      </c>
      <c r="Y366" t="s">
        <v>34</v>
      </c>
      <c r="Z366" t="s">
        <v>35</v>
      </c>
      <c r="AA366">
        <v>1</v>
      </c>
    </row>
    <row r="367" spans="1:27" x14ac:dyDescent="0.35">
      <c r="A367" s="45">
        <v>45936</v>
      </c>
      <c r="B367">
        <v>1</v>
      </c>
      <c r="D367" t="s">
        <v>30</v>
      </c>
      <c r="E367" t="s">
        <v>31</v>
      </c>
      <c r="F367" t="s">
        <v>31</v>
      </c>
      <c r="H367" t="s">
        <v>46</v>
      </c>
      <c r="I367" t="s">
        <v>47</v>
      </c>
      <c r="K367">
        <v>32</v>
      </c>
      <c r="M367" s="45">
        <v>46904</v>
      </c>
      <c r="N367" s="45">
        <v>46904</v>
      </c>
      <c r="O367" s="45">
        <v>46904</v>
      </c>
      <c r="P367">
        <v>36011519040.949707</v>
      </c>
      <c r="V367">
        <v>1</v>
      </c>
      <c r="W367" t="s">
        <v>34</v>
      </c>
      <c r="Y367" t="s">
        <v>34</v>
      </c>
      <c r="Z367" t="s">
        <v>35</v>
      </c>
      <c r="AA367">
        <v>1</v>
      </c>
    </row>
    <row r="368" spans="1:27" x14ac:dyDescent="0.35">
      <c r="A368" s="45">
        <v>45936</v>
      </c>
      <c r="B368">
        <v>1</v>
      </c>
      <c r="D368" t="s">
        <v>30</v>
      </c>
      <c r="E368" t="s">
        <v>31</v>
      </c>
      <c r="F368" t="s">
        <v>31</v>
      </c>
      <c r="H368" t="s">
        <v>46</v>
      </c>
      <c r="I368" t="s">
        <v>47</v>
      </c>
      <c r="K368">
        <v>33</v>
      </c>
      <c r="M368" s="45">
        <v>46934</v>
      </c>
      <c r="N368" s="45">
        <v>46934</v>
      </c>
      <c r="O368" s="45">
        <v>46934</v>
      </c>
      <c r="P368">
        <v>3459166099.773242</v>
      </c>
      <c r="V368">
        <v>1</v>
      </c>
      <c r="W368" t="s">
        <v>34</v>
      </c>
      <c r="Y368" t="s">
        <v>34</v>
      </c>
      <c r="Z368" t="s">
        <v>35</v>
      </c>
      <c r="AA368">
        <v>1</v>
      </c>
    </row>
    <row r="369" spans="1:27" x14ac:dyDescent="0.35">
      <c r="A369" s="45">
        <v>45936</v>
      </c>
      <c r="B369">
        <v>1</v>
      </c>
      <c r="D369" t="s">
        <v>30</v>
      </c>
      <c r="E369" t="s">
        <v>31</v>
      </c>
      <c r="F369" t="s">
        <v>31</v>
      </c>
      <c r="H369" t="s">
        <v>46</v>
      </c>
      <c r="I369" t="s">
        <v>47</v>
      </c>
      <c r="K369">
        <v>34</v>
      </c>
      <c r="M369" s="45">
        <v>46965</v>
      </c>
      <c r="N369" s="45">
        <v>46965</v>
      </c>
      <c r="O369" s="45">
        <v>46965</v>
      </c>
      <c r="P369">
        <v>3459166099.773242</v>
      </c>
      <c r="V369">
        <v>1</v>
      </c>
      <c r="W369" t="s">
        <v>34</v>
      </c>
      <c r="Y369" t="s">
        <v>34</v>
      </c>
      <c r="Z369" t="s">
        <v>35</v>
      </c>
      <c r="AA369">
        <v>1</v>
      </c>
    </row>
    <row r="370" spans="1:27" x14ac:dyDescent="0.35">
      <c r="A370" s="45">
        <v>45936</v>
      </c>
      <c r="B370">
        <v>1</v>
      </c>
      <c r="D370" t="s">
        <v>30</v>
      </c>
      <c r="E370" t="s">
        <v>31</v>
      </c>
      <c r="F370" t="s">
        <v>31</v>
      </c>
      <c r="H370" t="s">
        <v>46</v>
      </c>
      <c r="I370" t="s">
        <v>47</v>
      </c>
      <c r="K370">
        <v>35</v>
      </c>
      <c r="M370" s="45">
        <v>46996</v>
      </c>
      <c r="N370" s="45">
        <v>46996</v>
      </c>
      <c r="O370" s="45">
        <v>46996</v>
      </c>
      <c r="P370">
        <v>3459166099.773242</v>
      </c>
      <c r="V370">
        <v>1</v>
      </c>
      <c r="W370" t="s">
        <v>34</v>
      </c>
      <c r="Y370" t="s">
        <v>34</v>
      </c>
      <c r="Z370" t="s">
        <v>35</v>
      </c>
      <c r="AA370">
        <v>1</v>
      </c>
    </row>
    <row r="371" spans="1:27" x14ac:dyDescent="0.35">
      <c r="A371" s="45">
        <v>45936</v>
      </c>
      <c r="B371">
        <v>1</v>
      </c>
      <c r="D371" t="s">
        <v>30</v>
      </c>
      <c r="E371" t="s">
        <v>31</v>
      </c>
      <c r="F371" t="s">
        <v>31</v>
      </c>
      <c r="H371" t="s">
        <v>46</v>
      </c>
      <c r="I371" t="s">
        <v>47</v>
      </c>
      <c r="K371">
        <v>36</v>
      </c>
      <c r="M371" s="45">
        <v>47026</v>
      </c>
      <c r="N371" s="45">
        <v>47026</v>
      </c>
      <c r="O371" s="45">
        <v>47026</v>
      </c>
      <c r="P371">
        <v>3459166099.773242</v>
      </c>
      <c r="V371">
        <v>1</v>
      </c>
      <c r="W371" t="s">
        <v>34</v>
      </c>
      <c r="Y371" t="s">
        <v>34</v>
      </c>
      <c r="Z371" t="s">
        <v>35</v>
      </c>
      <c r="AA371">
        <v>1</v>
      </c>
    </row>
    <row r="372" spans="1:27" x14ac:dyDescent="0.35">
      <c r="A372" s="45">
        <v>45936</v>
      </c>
      <c r="B372">
        <v>1</v>
      </c>
      <c r="D372" t="s">
        <v>30</v>
      </c>
      <c r="E372" t="s">
        <v>31</v>
      </c>
      <c r="F372" t="s">
        <v>31</v>
      </c>
      <c r="H372" t="s">
        <v>46</v>
      </c>
      <c r="I372" t="s">
        <v>47</v>
      </c>
      <c r="K372">
        <v>37</v>
      </c>
      <c r="M372" s="45">
        <v>47057</v>
      </c>
      <c r="N372" s="45">
        <v>47057</v>
      </c>
      <c r="O372" s="45">
        <v>47057</v>
      </c>
      <c r="P372">
        <v>3459166099.773242</v>
      </c>
      <c r="V372">
        <v>1</v>
      </c>
      <c r="W372" t="s">
        <v>34</v>
      </c>
      <c r="Y372" t="s">
        <v>34</v>
      </c>
      <c r="Z372" t="s">
        <v>35</v>
      </c>
      <c r="AA372">
        <v>1</v>
      </c>
    </row>
    <row r="373" spans="1:27" x14ac:dyDescent="0.35">
      <c r="A373" s="45">
        <v>45936</v>
      </c>
      <c r="B373">
        <v>1</v>
      </c>
      <c r="D373" t="s">
        <v>30</v>
      </c>
      <c r="E373" t="s">
        <v>31</v>
      </c>
      <c r="F373" t="s">
        <v>31</v>
      </c>
      <c r="H373" t="s">
        <v>46</v>
      </c>
      <c r="I373" t="s">
        <v>47</v>
      </c>
      <c r="K373">
        <v>38</v>
      </c>
      <c r="M373" s="45">
        <v>47087</v>
      </c>
      <c r="N373" s="45">
        <v>47087</v>
      </c>
      <c r="O373" s="45">
        <v>47087</v>
      </c>
      <c r="P373">
        <v>3459166099.773242</v>
      </c>
      <c r="V373">
        <v>1</v>
      </c>
      <c r="W373" t="s">
        <v>34</v>
      </c>
      <c r="Y373" t="s">
        <v>34</v>
      </c>
      <c r="Z373" t="s">
        <v>35</v>
      </c>
      <c r="AA373">
        <v>1</v>
      </c>
    </row>
    <row r="374" spans="1:27" x14ac:dyDescent="0.35">
      <c r="A374" s="45">
        <v>45936</v>
      </c>
      <c r="B374">
        <v>1</v>
      </c>
      <c r="D374" t="s">
        <v>30</v>
      </c>
      <c r="E374" t="s">
        <v>31</v>
      </c>
      <c r="F374" t="s">
        <v>31</v>
      </c>
      <c r="H374" t="s">
        <v>46</v>
      </c>
      <c r="I374" t="s">
        <v>47</v>
      </c>
      <c r="K374">
        <v>39</v>
      </c>
      <c r="M374" s="45">
        <v>47118</v>
      </c>
      <c r="N374" s="45">
        <v>47118</v>
      </c>
      <c r="O374" s="45">
        <v>47118</v>
      </c>
      <c r="P374">
        <v>3459166099.773242</v>
      </c>
      <c r="V374">
        <v>1</v>
      </c>
      <c r="W374" t="s">
        <v>34</v>
      </c>
      <c r="Y374" t="s">
        <v>34</v>
      </c>
      <c r="Z374" t="s">
        <v>35</v>
      </c>
      <c r="AA374">
        <v>1</v>
      </c>
    </row>
    <row r="375" spans="1:27" x14ac:dyDescent="0.35">
      <c r="A375" s="45">
        <v>45936</v>
      </c>
      <c r="B375">
        <v>1</v>
      </c>
      <c r="D375" t="s">
        <v>30</v>
      </c>
      <c r="E375" t="s">
        <v>31</v>
      </c>
      <c r="F375" t="s">
        <v>31</v>
      </c>
      <c r="H375" t="s">
        <v>46</v>
      </c>
      <c r="I375" t="s">
        <v>47</v>
      </c>
      <c r="K375">
        <v>40</v>
      </c>
      <c r="M375" s="45">
        <v>47149</v>
      </c>
      <c r="N375" s="45">
        <v>47149</v>
      </c>
      <c r="O375" s="45">
        <v>47149</v>
      </c>
      <c r="P375">
        <v>3459166099.773242</v>
      </c>
      <c r="V375">
        <v>1</v>
      </c>
      <c r="W375" t="s">
        <v>34</v>
      </c>
      <c r="Y375" t="s">
        <v>34</v>
      </c>
      <c r="Z375" t="s">
        <v>35</v>
      </c>
      <c r="AA375">
        <v>1</v>
      </c>
    </row>
    <row r="376" spans="1:27" x14ac:dyDescent="0.35">
      <c r="A376" s="45">
        <v>45936</v>
      </c>
      <c r="B376">
        <v>1</v>
      </c>
      <c r="D376" t="s">
        <v>30</v>
      </c>
      <c r="E376" t="s">
        <v>31</v>
      </c>
      <c r="F376" t="s">
        <v>31</v>
      </c>
      <c r="H376" t="s">
        <v>46</v>
      </c>
      <c r="I376" t="s">
        <v>47</v>
      </c>
      <c r="K376">
        <v>41</v>
      </c>
      <c r="M376" s="45">
        <v>47177</v>
      </c>
      <c r="N376" s="45">
        <v>47177</v>
      </c>
      <c r="O376" s="45">
        <v>47177</v>
      </c>
      <c r="P376">
        <v>3459166099.773242</v>
      </c>
      <c r="V376">
        <v>1</v>
      </c>
      <c r="W376" t="s">
        <v>34</v>
      </c>
      <c r="Y376" t="s">
        <v>34</v>
      </c>
      <c r="Z376" t="s">
        <v>35</v>
      </c>
      <c r="AA376">
        <v>1</v>
      </c>
    </row>
    <row r="377" spans="1:27" x14ac:dyDescent="0.35">
      <c r="A377" s="45">
        <v>45936</v>
      </c>
      <c r="B377">
        <v>1</v>
      </c>
      <c r="D377" t="s">
        <v>30</v>
      </c>
      <c r="E377" t="s">
        <v>31</v>
      </c>
      <c r="F377" t="s">
        <v>31</v>
      </c>
      <c r="H377" t="s">
        <v>46</v>
      </c>
      <c r="I377" t="s">
        <v>47</v>
      </c>
      <c r="K377">
        <v>42</v>
      </c>
      <c r="M377" s="45">
        <v>47208</v>
      </c>
      <c r="N377" s="45">
        <v>47208</v>
      </c>
      <c r="O377" s="45">
        <v>47208</v>
      </c>
      <c r="P377">
        <v>1255895791.6499929</v>
      </c>
      <c r="V377">
        <v>1</v>
      </c>
      <c r="W377" t="s">
        <v>34</v>
      </c>
      <c r="Y377" t="s">
        <v>34</v>
      </c>
      <c r="Z377" t="s">
        <v>35</v>
      </c>
      <c r="AA377">
        <v>1</v>
      </c>
    </row>
    <row r="378" spans="1:27" x14ac:dyDescent="0.35">
      <c r="A378" s="45">
        <v>45936</v>
      </c>
      <c r="B378">
        <v>1</v>
      </c>
      <c r="D378" t="s">
        <v>30</v>
      </c>
      <c r="E378" t="s">
        <v>31</v>
      </c>
      <c r="F378" t="s">
        <v>31</v>
      </c>
      <c r="H378" t="s">
        <v>46</v>
      </c>
      <c r="I378" t="s">
        <v>48</v>
      </c>
      <c r="M378" s="45">
        <v>45937</v>
      </c>
      <c r="N378" s="45">
        <v>45937</v>
      </c>
      <c r="O378" s="45">
        <v>45937</v>
      </c>
      <c r="P378">
        <v>249938502783</v>
      </c>
      <c r="V378">
        <v>1</v>
      </c>
      <c r="W378" t="s">
        <v>34</v>
      </c>
      <c r="Y378" t="s">
        <v>34</v>
      </c>
      <c r="Z378" t="s">
        <v>35</v>
      </c>
      <c r="AA378">
        <v>1</v>
      </c>
    </row>
    <row r="379" spans="1:27" x14ac:dyDescent="0.35">
      <c r="A379" s="45">
        <v>45936</v>
      </c>
      <c r="B379">
        <v>1</v>
      </c>
      <c r="D379" t="s">
        <v>30</v>
      </c>
      <c r="E379" t="s">
        <v>31</v>
      </c>
      <c r="F379" t="s">
        <v>31</v>
      </c>
      <c r="H379" t="s">
        <v>49</v>
      </c>
      <c r="I379" t="s">
        <v>50</v>
      </c>
      <c r="K379">
        <v>1</v>
      </c>
      <c r="M379" s="45">
        <v>45961</v>
      </c>
      <c r="N379" s="45">
        <v>45961</v>
      </c>
      <c r="O379" s="45">
        <v>45961</v>
      </c>
      <c r="P379">
        <v>3833994024.2763772</v>
      </c>
      <c r="V379">
        <v>1</v>
      </c>
      <c r="W379" t="s">
        <v>34</v>
      </c>
      <c r="Y379" t="s">
        <v>34</v>
      </c>
      <c r="Z379" t="s">
        <v>35</v>
      </c>
      <c r="AA379">
        <v>1</v>
      </c>
    </row>
    <row r="380" spans="1:27" x14ac:dyDescent="0.35">
      <c r="A380" s="45">
        <v>45936</v>
      </c>
      <c r="B380">
        <v>1</v>
      </c>
      <c r="D380" t="s">
        <v>30</v>
      </c>
      <c r="E380" t="s">
        <v>31</v>
      </c>
      <c r="F380" t="s">
        <v>31</v>
      </c>
      <c r="H380" t="s">
        <v>49</v>
      </c>
      <c r="I380" t="s">
        <v>50</v>
      </c>
      <c r="K380">
        <v>2</v>
      </c>
      <c r="M380" s="45">
        <v>45991</v>
      </c>
      <c r="N380" s="45">
        <v>45991</v>
      </c>
      <c r="O380" s="45">
        <v>45991</v>
      </c>
      <c r="P380">
        <v>3833994024.2763772</v>
      </c>
      <c r="V380">
        <v>1</v>
      </c>
      <c r="W380" t="s">
        <v>34</v>
      </c>
      <c r="Y380" t="s">
        <v>34</v>
      </c>
      <c r="Z380" t="s">
        <v>35</v>
      </c>
      <c r="AA380">
        <v>1</v>
      </c>
    </row>
    <row r="381" spans="1:27" x14ac:dyDescent="0.35">
      <c r="A381" s="45">
        <v>45936</v>
      </c>
      <c r="B381">
        <v>1</v>
      </c>
      <c r="D381" t="s">
        <v>30</v>
      </c>
      <c r="E381" t="s">
        <v>31</v>
      </c>
      <c r="F381" t="s">
        <v>31</v>
      </c>
      <c r="H381" t="s">
        <v>49</v>
      </c>
      <c r="I381" t="s">
        <v>50</v>
      </c>
      <c r="K381">
        <v>3</v>
      </c>
      <c r="M381" s="45">
        <v>46022</v>
      </c>
      <c r="N381" s="45">
        <v>46022</v>
      </c>
      <c r="O381" s="45">
        <v>46022</v>
      </c>
      <c r="P381">
        <v>3833994024.2763772</v>
      </c>
      <c r="V381">
        <v>1</v>
      </c>
      <c r="W381" t="s">
        <v>34</v>
      </c>
      <c r="Y381" t="s">
        <v>34</v>
      </c>
      <c r="Z381" t="s">
        <v>35</v>
      </c>
      <c r="AA381">
        <v>1</v>
      </c>
    </row>
    <row r="382" spans="1:27" x14ac:dyDescent="0.35">
      <c r="A382" s="45">
        <v>45936</v>
      </c>
      <c r="B382">
        <v>1</v>
      </c>
      <c r="D382" t="s">
        <v>30</v>
      </c>
      <c r="E382" t="s">
        <v>31</v>
      </c>
      <c r="F382" t="s">
        <v>31</v>
      </c>
      <c r="H382" t="s">
        <v>49</v>
      </c>
      <c r="I382" t="s">
        <v>50</v>
      </c>
      <c r="K382">
        <v>4</v>
      </c>
      <c r="M382" s="45">
        <v>46053</v>
      </c>
      <c r="N382" s="45">
        <v>46053</v>
      </c>
      <c r="O382" s="45">
        <v>46053</v>
      </c>
      <c r="P382">
        <v>3833994024.2763772</v>
      </c>
      <c r="V382">
        <v>1</v>
      </c>
      <c r="W382" t="s">
        <v>34</v>
      </c>
      <c r="Y382" t="s">
        <v>34</v>
      </c>
      <c r="Z382" t="s">
        <v>35</v>
      </c>
      <c r="AA382">
        <v>1</v>
      </c>
    </row>
    <row r="383" spans="1:27" x14ac:dyDescent="0.35">
      <c r="A383" s="45">
        <v>45936</v>
      </c>
      <c r="B383">
        <v>1</v>
      </c>
      <c r="D383" t="s">
        <v>30</v>
      </c>
      <c r="E383" t="s">
        <v>31</v>
      </c>
      <c r="F383" t="s">
        <v>31</v>
      </c>
      <c r="H383" t="s">
        <v>49</v>
      </c>
      <c r="I383" t="s">
        <v>50</v>
      </c>
      <c r="K383">
        <v>5</v>
      </c>
      <c r="M383" s="45">
        <v>46081</v>
      </c>
      <c r="N383" s="45">
        <v>46081</v>
      </c>
      <c r="O383" s="45">
        <v>46081</v>
      </c>
      <c r="P383">
        <v>3833994024.2763772</v>
      </c>
      <c r="V383">
        <v>1</v>
      </c>
      <c r="W383" t="s">
        <v>34</v>
      </c>
      <c r="Y383" t="s">
        <v>34</v>
      </c>
      <c r="Z383" t="s">
        <v>35</v>
      </c>
      <c r="AA383">
        <v>1</v>
      </c>
    </row>
    <row r="384" spans="1:27" x14ac:dyDescent="0.35">
      <c r="A384" s="45">
        <v>45936</v>
      </c>
      <c r="B384">
        <v>1</v>
      </c>
      <c r="D384" t="s">
        <v>30</v>
      </c>
      <c r="E384" t="s">
        <v>31</v>
      </c>
      <c r="F384" t="s">
        <v>31</v>
      </c>
      <c r="H384" t="s">
        <v>49</v>
      </c>
      <c r="I384" t="s">
        <v>50</v>
      </c>
      <c r="K384">
        <v>6</v>
      </c>
      <c r="M384" s="45">
        <v>46112</v>
      </c>
      <c r="N384" s="45">
        <v>46112</v>
      </c>
      <c r="O384" s="45">
        <v>46112</v>
      </c>
      <c r="P384">
        <v>3833994024.2763772</v>
      </c>
      <c r="V384">
        <v>1</v>
      </c>
      <c r="W384" t="s">
        <v>34</v>
      </c>
      <c r="Y384" t="s">
        <v>34</v>
      </c>
      <c r="Z384" t="s">
        <v>35</v>
      </c>
      <c r="AA384">
        <v>1</v>
      </c>
    </row>
    <row r="385" spans="1:27" x14ac:dyDescent="0.35">
      <c r="A385" s="45">
        <v>45936</v>
      </c>
      <c r="B385">
        <v>1</v>
      </c>
      <c r="D385" t="s">
        <v>30</v>
      </c>
      <c r="E385" t="s">
        <v>31</v>
      </c>
      <c r="F385" t="s">
        <v>31</v>
      </c>
      <c r="H385" t="s">
        <v>49</v>
      </c>
      <c r="I385" t="s">
        <v>50</v>
      </c>
      <c r="K385">
        <v>7</v>
      </c>
      <c r="M385" s="45">
        <v>46142</v>
      </c>
      <c r="N385" s="45">
        <v>46142</v>
      </c>
      <c r="O385" s="45">
        <v>46142</v>
      </c>
      <c r="P385">
        <v>3833994024.2763772</v>
      </c>
      <c r="V385">
        <v>1</v>
      </c>
      <c r="W385" t="s">
        <v>34</v>
      </c>
      <c r="Y385" t="s">
        <v>34</v>
      </c>
      <c r="Z385" t="s">
        <v>35</v>
      </c>
      <c r="AA385">
        <v>1</v>
      </c>
    </row>
    <row r="386" spans="1:27" x14ac:dyDescent="0.35">
      <c r="A386" s="45">
        <v>45936</v>
      </c>
      <c r="B386">
        <v>1</v>
      </c>
      <c r="D386" t="s">
        <v>30</v>
      </c>
      <c r="E386" t="s">
        <v>31</v>
      </c>
      <c r="F386" t="s">
        <v>31</v>
      </c>
      <c r="H386" t="s">
        <v>49</v>
      </c>
      <c r="I386" t="s">
        <v>50</v>
      </c>
      <c r="K386">
        <v>8</v>
      </c>
      <c r="M386" s="45">
        <v>46173</v>
      </c>
      <c r="N386" s="45">
        <v>46173</v>
      </c>
      <c r="O386" s="45">
        <v>46173</v>
      </c>
      <c r="P386">
        <v>3833994024.2763772</v>
      </c>
      <c r="V386">
        <v>1</v>
      </c>
      <c r="W386" t="s">
        <v>34</v>
      </c>
      <c r="Y386" t="s">
        <v>34</v>
      </c>
      <c r="Z386" t="s">
        <v>35</v>
      </c>
      <c r="AA386">
        <v>1</v>
      </c>
    </row>
    <row r="387" spans="1:27" x14ac:dyDescent="0.35">
      <c r="A387" s="45">
        <v>45936</v>
      </c>
      <c r="B387">
        <v>1</v>
      </c>
      <c r="D387" t="s">
        <v>30</v>
      </c>
      <c r="E387" t="s">
        <v>31</v>
      </c>
      <c r="F387" t="s">
        <v>31</v>
      </c>
      <c r="H387" t="s">
        <v>49</v>
      </c>
      <c r="I387" t="s">
        <v>50</v>
      </c>
      <c r="K387">
        <v>9</v>
      </c>
      <c r="M387" s="45">
        <v>46203</v>
      </c>
      <c r="N387" s="45">
        <v>46203</v>
      </c>
      <c r="O387" s="45">
        <v>46203</v>
      </c>
      <c r="P387">
        <v>3833994024.2763772</v>
      </c>
      <c r="V387">
        <v>1</v>
      </c>
      <c r="W387" t="s">
        <v>34</v>
      </c>
      <c r="Y387" t="s">
        <v>34</v>
      </c>
      <c r="Z387" t="s">
        <v>35</v>
      </c>
      <c r="AA387">
        <v>1</v>
      </c>
    </row>
    <row r="388" spans="1:27" x14ac:dyDescent="0.35">
      <c r="A388" s="45">
        <v>45936</v>
      </c>
      <c r="B388">
        <v>1</v>
      </c>
      <c r="D388" t="s">
        <v>30</v>
      </c>
      <c r="E388" t="s">
        <v>31</v>
      </c>
      <c r="F388" t="s">
        <v>31</v>
      </c>
      <c r="H388" t="s">
        <v>49</v>
      </c>
      <c r="I388" t="s">
        <v>50</v>
      </c>
      <c r="K388">
        <v>10</v>
      </c>
      <c r="M388" s="45">
        <v>46234</v>
      </c>
      <c r="N388" s="45">
        <v>46234</v>
      </c>
      <c r="O388" s="45">
        <v>46234</v>
      </c>
      <c r="P388">
        <v>3833994024.2763772</v>
      </c>
      <c r="V388">
        <v>1</v>
      </c>
      <c r="W388" t="s">
        <v>34</v>
      </c>
      <c r="Y388" t="s">
        <v>34</v>
      </c>
      <c r="Z388" t="s">
        <v>35</v>
      </c>
      <c r="AA388">
        <v>1</v>
      </c>
    </row>
    <row r="389" spans="1:27" x14ac:dyDescent="0.35">
      <c r="A389" s="45">
        <v>45936</v>
      </c>
      <c r="B389">
        <v>1</v>
      </c>
      <c r="D389" t="s">
        <v>30</v>
      </c>
      <c r="E389" t="s">
        <v>31</v>
      </c>
      <c r="F389" t="s">
        <v>31</v>
      </c>
      <c r="H389" t="s">
        <v>49</v>
      </c>
      <c r="I389" t="s">
        <v>50</v>
      </c>
      <c r="K389">
        <v>11</v>
      </c>
      <c r="M389" s="45">
        <v>46265</v>
      </c>
      <c r="N389" s="45">
        <v>46265</v>
      </c>
      <c r="O389" s="45">
        <v>46265</v>
      </c>
      <c r="P389">
        <v>3833994024.2763772</v>
      </c>
      <c r="V389">
        <v>1</v>
      </c>
      <c r="W389" t="s">
        <v>34</v>
      </c>
      <c r="Y389" t="s">
        <v>34</v>
      </c>
      <c r="Z389" t="s">
        <v>35</v>
      </c>
      <c r="AA389">
        <v>1</v>
      </c>
    </row>
    <row r="390" spans="1:27" x14ac:dyDescent="0.35">
      <c r="A390" s="45">
        <v>45936</v>
      </c>
      <c r="B390">
        <v>1</v>
      </c>
      <c r="D390" t="s">
        <v>30</v>
      </c>
      <c r="E390" t="s">
        <v>31</v>
      </c>
      <c r="F390" t="s">
        <v>31</v>
      </c>
      <c r="H390" t="s">
        <v>49</v>
      </c>
      <c r="I390" t="s">
        <v>50</v>
      </c>
      <c r="K390">
        <v>12</v>
      </c>
      <c r="M390" s="45">
        <v>46295</v>
      </c>
      <c r="N390" s="45">
        <v>46295</v>
      </c>
      <c r="O390" s="45">
        <v>46295</v>
      </c>
      <c r="P390">
        <v>3833994024.2763772</v>
      </c>
      <c r="V390">
        <v>1</v>
      </c>
      <c r="W390" t="s">
        <v>34</v>
      </c>
      <c r="Y390" t="s">
        <v>34</v>
      </c>
      <c r="Z390" t="s">
        <v>35</v>
      </c>
      <c r="AA390">
        <v>1</v>
      </c>
    </row>
    <row r="391" spans="1:27" x14ac:dyDescent="0.35">
      <c r="A391" s="45">
        <v>45936</v>
      </c>
      <c r="B391">
        <v>1</v>
      </c>
      <c r="D391" t="s">
        <v>30</v>
      </c>
      <c r="E391" t="s">
        <v>31</v>
      </c>
      <c r="F391" t="s">
        <v>31</v>
      </c>
      <c r="H391" t="s">
        <v>49</v>
      </c>
      <c r="I391" t="s">
        <v>50</v>
      </c>
      <c r="K391">
        <v>13</v>
      </c>
      <c r="M391" s="45">
        <v>46326</v>
      </c>
      <c r="N391" s="45">
        <v>46326</v>
      </c>
      <c r="O391" s="45">
        <v>46326</v>
      </c>
      <c r="P391">
        <v>3833994024.2763772</v>
      </c>
      <c r="V391">
        <v>1</v>
      </c>
      <c r="W391" t="s">
        <v>34</v>
      </c>
      <c r="Y391" t="s">
        <v>34</v>
      </c>
      <c r="Z391" t="s">
        <v>35</v>
      </c>
      <c r="AA391">
        <v>1</v>
      </c>
    </row>
    <row r="392" spans="1:27" x14ac:dyDescent="0.35">
      <c r="A392" s="45">
        <v>45936</v>
      </c>
      <c r="B392">
        <v>1</v>
      </c>
      <c r="D392" t="s">
        <v>30</v>
      </c>
      <c r="E392" t="s">
        <v>31</v>
      </c>
      <c r="F392" t="s">
        <v>31</v>
      </c>
      <c r="H392" t="s">
        <v>49</v>
      </c>
      <c r="I392" t="s">
        <v>50</v>
      </c>
      <c r="K392">
        <v>14</v>
      </c>
      <c r="M392" s="45">
        <v>46356</v>
      </c>
      <c r="N392" s="45">
        <v>46356</v>
      </c>
      <c r="O392" s="45">
        <v>46356</v>
      </c>
      <c r="P392">
        <v>3833994024.2763772</v>
      </c>
      <c r="V392">
        <v>1</v>
      </c>
      <c r="W392" t="s">
        <v>34</v>
      </c>
      <c r="Y392" t="s">
        <v>34</v>
      </c>
      <c r="Z392" t="s">
        <v>35</v>
      </c>
      <c r="AA392">
        <v>1</v>
      </c>
    </row>
    <row r="393" spans="1:27" x14ac:dyDescent="0.35">
      <c r="A393" s="45">
        <v>45936</v>
      </c>
      <c r="B393">
        <v>1</v>
      </c>
      <c r="D393" t="s">
        <v>30</v>
      </c>
      <c r="E393" t="s">
        <v>31</v>
      </c>
      <c r="F393" t="s">
        <v>31</v>
      </c>
      <c r="H393" t="s">
        <v>49</v>
      </c>
      <c r="I393" t="s">
        <v>50</v>
      </c>
      <c r="K393">
        <v>15</v>
      </c>
      <c r="M393" s="45">
        <v>46387</v>
      </c>
      <c r="N393" s="45">
        <v>46387</v>
      </c>
      <c r="O393" s="45">
        <v>46387</v>
      </c>
      <c r="P393">
        <v>3833994024.2763772</v>
      </c>
      <c r="V393">
        <v>1</v>
      </c>
      <c r="W393" t="s">
        <v>34</v>
      </c>
      <c r="Y393" t="s">
        <v>34</v>
      </c>
      <c r="Z393" t="s">
        <v>35</v>
      </c>
      <c r="AA393">
        <v>1</v>
      </c>
    </row>
    <row r="394" spans="1:27" x14ac:dyDescent="0.35">
      <c r="A394" s="45">
        <v>45936</v>
      </c>
      <c r="B394">
        <v>1</v>
      </c>
      <c r="D394" t="s">
        <v>30</v>
      </c>
      <c r="E394" t="s">
        <v>31</v>
      </c>
      <c r="F394" t="s">
        <v>31</v>
      </c>
      <c r="H394" t="s">
        <v>49</v>
      </c>
      <c r="I394" t="s">
        <v>50</v>
      </c>
      <c r="K394">
        <v>16</v>
      </c>
      <c r="M394" s="45">
        <v>46418</v>
      </c>
      <c r="N394" s="45">
        <v>46418</v>
      </c>
      <c r="O394" s="45">
        <v>46418</v>
      </c>
      <c r="P394">
        <v>3833994024.2763772</v>
      </c>
      <c r="V394">
        <v>1</v>
      </c>
      <c r="W394" t="s">
        <v>34</v>
      </c>
      <c r="Y394" t="s">
        <v>34</v>
      </c>
      <c r="Z394" t="s">
        <v>35</v>
      </c>
      <c r="AA394">
        <v>1</v>
      </c>
    </row>
    <row r="395" spans="1:27" x14ac:dyDescent="0.35">
      <c r="A395" s="45">
        <v>45936</v>
      </c>
      <c r="B395">
        <v>1</v>
      </c>
      <c r="D395" t="s">
        <v>30</v>
      </c>
      <c r="E395" t="s">
        <v>31</v>
      </c>
      <c r="F395" t="s">
        <v>31</v>
      </c>
      <c r="H395" t="s">
        <v>49</v>
      </c>
      <c r="I395" t="s">
        <v>50</v>
      </c>
      <c r="K395">
        <v>17</v>
      </c>
      <c r="M395" s="45">
        <v>46446</v>
      </c>
      <c r="N395" s="45">
        <v>46446</v>
      </c>
      <c r="O395" s="45">
        <v>46446</v>
      </c>
      <c r="P395">
        <v>3833994024.2763772</v>
      </c>
      <c r="V395">
        <v>1</v>
      </c>
      <c r="W395" t="s">
        <v>34</v>
      </c>
      <c r="Y395" t="s">
        <v>34</v>
      </c>
      <c r="Z395" t="s">
        <v>35</v>
      </c>
      <c r="AA395">
        <v>1</v>
      </c>
    </row>
    <row r="396" spans="1:27" x14ac:dyDescent="0.35">
      <c r="A396" s="45">
        <v>45936</v>
      </c>
      <c r="B396">
        <v>1</v>
      </c>
      <c r="D396" t="s">
        <v>30</v>
      </c>
      <c r="E396" t="s">
        <v>31</v>
      </c>
      <c r="F396" t="s">
        <v>31</v>
      </c>
      <c r="H396" t="s">
        <v>49</v>
      </c>
      <c r="I396" t="s">
        <v>50</v>
      </c>
      <c r="K396">
        <v>18</v>
      </c>
      <c r="M396" s="45">
        <v>46477</v>
      </c>
      <c r="N396" s="45">
        <v>46477</v>
      </c>
      <c r="O396" s="45">
        <v>46477</v>
      </c>
      <c r="P396">
        <v>3833994024.2763772</v>
      </c>
      <c r="V396">
        <v>1</v>
      </c>
      <c r="W396" t="s">
        <v>34</v>
      </c>
      <c r="Y396" t="s">
        <v>34</v>
      </c>
      <c r="Z396" t="s">
        <v>35</v>
      </c>
      <c r="AA396">
        <v>1</v>
      </c>
    </row>
    <row r="397" spans="1:27" x14ac:dyDescent="0.35">
      <c r="A397" s="45">
        <v>45936</v>
      </c>
      <c r="B397">
        <v>1</v>
      </c>
      <c r="D397" t="s">
        <v>30</v>
      </c>
      <c r="E397" t="s">
        <v>31</v>
      </c>
      <c r="F397" t="s">
        <v>31</v>
      </c>
      <c r="H397" t="s">
        <v>49</v>
      </c>
      <c r="I397" t="s">
        <v>50</v>
      </c>
      <c r="K397">
        <v>19</v>
      </c>
      <c r="M397" s="45">
        <v>46507</v>
      </c>
      <c r="N397" s="45">
        <v>46507</v>
      </c>
      <c r="O397" s="45">
        <v>46507</v>
      </c>
      <c r="P397">
        <v>3833994024.2763772</v>
      </c>
      <c r="V397">
        <v>1</v>
      </c>
      <c r="W397" t="s">
        <v>34</v>
      </c>
      <c r="Y397" t="s">
        <v>34</v>
      </c>
      <c r="Z397" t="s">
        <v>35</v>
      </c>
      <c r="AA397">
        <v>1</v>
      </c>
    </row>
    <row r="398" spans="1:27" x14ac:dyDescent="0.35">
      <c r="A398" s="45">
        <v>45936</v>
      </c>
      <c r="B398">
        <v>1</v>
      </c>
      <c r="D398" t="s">
        <v>30</v>
      </c>
      <c r="E398" t="s">
        <v>31</v>
      </c>
      <c r="F398" t="s">
        <v>31</v>
      </c>
      <c r="H398" t="s">
        <v>49</v>
      </c>
      <c r="I398" t="s">
        <v>50</v>
      </c>
      <c r="K398">
        <v>20</v>
      </c>
      <c r="M398" s="45">
        <v>46538</v>
      </c>
      <c r="N398" s="45">
        <v>46538</v>
      </c>
      <c r="O398" s="45">
        <v>46538</v>
      </c>
      <c r="P398">
        <v>3833994024.2763772</v>
      </c>
      <c r="V398">
        <v>1</v>
      </c>
      <c r="W398" t="s">
        <v>34</v>
      </c>
      <c r="Y398" t="s">
        <v>34</v>
      </c>
      <c r="Z398" t="s">
        <v>35</v>
      </c>
      <c r="AA398">
        <v>1</v>
      </c>
    </row>
    <row r="399" spans="1:27" x14ac:dyDescent="0.35">
      <c r="A399" s="45">
        <v>45936</v>
      </c>
      <c r="B399">
        <v>1</v>
      </c>
      <c r="D399" t="s">
        <v>30</v>
      </c>
      <c r="E399" t="s">
        <v>31</v>
      </c>
      <c r="F399" t="s">
        <v>31</v>
      </c>
      <c r="H399" t="s">
        <v>49</v>
      </c>
      <c r="I399" t="s">
        <v>50</v>
      </c>
      <c r="K399">
        <v>21</v>
      </c>
      <c r="M399" s="45">
        <v>46568</v>
      </c>
      <c r="N399" s="45">
        <v>46568</v>
      </c>
      <c r="O399" s="45">
        <v>46568</v>
      </c>
      <c r="P399">
        <v>3833994024.2763772</v>
      </c>
      <c r="V399">
        <v>1</v>
      </c>
      <c r="W399" t="s">
        <v>34</v>
      </c>
      <c r="Y399" t="s">
        <v>34</v>
      </c>
      <c r="Z399" t="s">
        <v>35</v>
      </c>
      <c r="AA399">
        <v>1</v>
      </c>
    </row>
    <row r="400" spans="1:27" x14ac:dyDescent="0.35">
      <c r="A400" s="45">
        <v>45936</v>
      </c>
      <c r="B400">
        <v>1</v>
      </c>
      <c r="D400" t="s">
        <v>30</v>
      </c>
      <c r="E400" t="s">
        <v>31</v>
      </c>
      <c r="F400" t="s">
        <v>31</v>
      </c>
      <c r="H400" t="s">
        <v>49</v>
      </c>
      <c r="I400" t="s">
        <v>50</v>
      </c>
      <c r="K400">
        <v>22</v>
      </c>
      <c r="M400" s="45">
        <v>46599</v>
      </c>
      <c r="N400" s="45">
        <v>46599</v>
      </c>
      <c r="O400" s="45">
        <v>46599</v>
      </c>
      <c r="P400">
        <v>3833994024.2763772</v>
      </c>
      <c r="V400">
        <v>1</v>
      </c>
      <c r="W400" t="s">
        <v>34</v>
      </c>
      <c r="Y400" t="s">
        <v>34</v>
      </c>
      <c r="Z400" t="s">
        <v>35</v>
      </c>
      <c r="AA400">
        <v>1</v>
      </c>
    </row>
    <row r="401" spans="1:27" x14ac:dyDescent="0.35">
      <c r="A401" s="45">
        <v>45936</v>
      </c>
      <c r="B401">
        <v>1</v>
      </c>
      <c r="D401" t="s">
        <v>30</v>
      </c>
      <c r="E401" t="s">
        <v>31</v>
      </c>
      <c r="F401" t="s">
        <v>31</v>
      </c>
      <c r="H401" t="s">
        <v>49</v>
      </c>
      <c r="I401" t="s">
        <v>50</v>
      </c>
      <c r="K401">
        <v>23</v>
      </c>
      <c r="M401" s="45">
        <v>46630</v>
      </c>
      <c r="N401" s="45">
        <v>46630</v>
      </c>
      <c r="O401" s="45">
        <v>46630</v>
      </c>
      <c r="P401">
        <v>3833994024.2763772</v>
      </c>
      <c r="V401">
        <v>1</v>
      </c>
      <c r="W401" t="s">
        <v>34</v>
      </c>
      <c r="Y401" t="s">
        <v>34</v>
      </c>
      <c r="Z401" t="s">
        <v>35</v>
      </c>
      <c r="AA401">
        <v>1</v>
      </c>
    </row>
    <row r="402" spans="1:27" x14ac:dyDescent="0.35">
      <c r="A402" s="45">
        <v>45936</v>
      </c>
      <c r="B402">
        <v>1</v>
      </c>
      <c r="D402" t="s">
        <v>30</v>
      </c>
      <c r="E402" t="s">
        <v>31</v>
      </c>
      <c r="F402" t="s">
        <v>31</v>
      </c>
      <c r="H402" t="s">
        <v>49</v>
      </c>
      <c r="I402" t="s">
        <v>50</v>
      </c>
      <c r="K402">
        <v>24</v>
      </c>
      <c r="M402" s="45">
        <v>46660</v>
      </c>
      <c r="N402" s="45">
        <v>46660</v>
      </c>
      <c r="O402" s="45">
        <v>46660</v>
      </c>
      <c r="P402">
        <v>3833994024.2763772</v>
      </c>
      <c r="V402">
        <v>1</v>
      </c>
      <c r="W402" t="s">
        <v>34</v>
      </c>
      <c r="Y402" t="s">
        <v>34</v>
      </c>
      <c r="Z402" t="s">
        <v>35</v>
      </c>
      <c r="AA402">
        <v>1</v>
      </c>
    </row>
    <row r="403" spans="1:27" x14ac:dyDescent="0.35">
      <c r="A403" s="45">
        <v>45936</v>
      </c>
      <c r="B403">
        <v>1</v>
      </c>
      <c r="D403" t="s">
        <v>30</v>
      </c>
      <c r="E403" t="s">
        <v>31</v>
      </c>
      <c r="F403" t="s">
        <v>31</v>
      </c>
      <c r="H403" t="s">
        <v>49</v>
      </c>
      <c r="I403" t="s">
        <v>50</v>
      </c>
      <c r="K403">
        <v>25</v>
      </c>
      <c r="M403" s="45">
        <v>46691</v>
      </c>
      <c r="N403" s="45">
        <v>46691</v>
      </c>
      <c r="O403" s="45">
        <v>46691</v>
      </c>
      <c r="P403">
        <v>3833994024.2763772</v>
      </c>
      <c r="V403">
        <v>1</v>
      </c>
      <c r="W403" t="s">
        <v>34</v>
      </c>
      <c r="Y403" t="s">
        <v>34</v>
      </c>
      <c r="Z403" t="s">
        <v>35</v>
      </c>
      <c r="AA403">
        <v>1</v>
      </c>
    </row>
    <row r="404" spans="1:27" x14ac:dyDescent="0.35">
      <c r="A404" s="45">
        <v>45936</v>
      </c>
      <c r="B404">
        <v>1</v>
      </c>
      <c r="D404" t="s">
        <v>30</v>
      </c>
      <c r="E404" t="s">
        <v>31</v>
      </c>
      <c r="F404" t="s">
        <v>31</v>
      </c>
      <c r="H404" t="s">
        <v>49</v>
      </c>
      <c r="I404" t="s">
        <v>50</v>
      </c>
      <c r="K404">
        <v>26</v>
      </c>
      <c r="M404" s="45">
        <v>46721</v>
      </c>
      <c r="N404" s="45">
        <v>46721</v>
      </c>
      <c r="O404" s="45">
        <v>46721</v>
      </c>
      <c r="P404">
        <v>3833994024.2763772</v>
      </c>
      <c r="V404">
        <v>1</v>
      </c>
      <c r="W404" t="s">
        <v>34</v>
      </c>
      <c r="Y404" t="s">
        <v>34</v>
      </c>
      <c r="Z404" t="s">
        <v>35</v>
      </c>
      <c r="AA404">
        <v>1</v>
      </c>
    </row>
    <row r="405" spans="1:27" x14ac:dyDescent="0.35">
      <c r="A405" s="45">
        <v>45936</v>
      </c>
      <c r="B405">
        <v>1</v>
      </c>
      <c r="D405" t="s">
        <v>30</v>
      </c>
      <c r="E405" t="s">
        <v>31</v>
      </c>
      <c r="F405" t="s">
        <v>31</v>
      </c>
      <c r="H405" t="s">
        <v>49</v>
      </c>
      <c r="I405" t="s">
        <v>50</v>
      </c>
      <c r="K405">
        <v>27</v>
      </c>
      <c r="M405" s="45">
        <v>46752</v>
      </c>
      <c r="N405" s="45">
        <v>46752</v>
      </c>
      <c r="O405" s="45">
        <v>46752</v>
      </c>
      <c r="P405">
        <v>3833994024.2763772</v>
      </c>
      <c r="V405">
        <v>1</v>
      </c>
      <c r="W405" t="s">
        <v>34</v>
      </c>
      <c r="Y405" t="s">
        <v>34</v>
      </c>
      <c r="Z405" t="s">
        <v>35</v>
      </c>
      <c r="AA405">
        <v>1</v>
      </c>
    </row>
    <row r="406" spans="1:27" x14ac:dyDescent="0.35">
      <c r="A406" s="45">
        <v>45936</v>
      </c>
      <c r="B406">
        <v>1</v>
      </c>
      <c r="D406" t="s">
        <v>30</v>
      </c>
      <c r="E406" t="s">
        <v>31</v>
      </c>
      <c r="F406" t="s">
        <v>31</v>
      </c>
      <c r="H406" t="s">
        <v>49</v>
      </c>
      <c r="I406" t="s">
        <v>50</v>
      </c>
      <c r="K406">
        <v>28</v>
      </c>
      <c r="M406" s="45">
        <v>46783</v>
      </c>
      <c r="N406" s="45">
        <v>46783</v>
      </c>
      <c r="O406" s="45">
        <v>46783</v>
      </c>
      <c r="P406">
        <v>3833994024.2763772</v>
      </c>
      <c r="V406">
        <v>1</v>
      </c>
      <c r="W406" t="s">
        <v>34</v>
      </c>
      <c r="Y406" t="s">
        <v>34</v>
      </c>
      <c r="Z406" t="s">
        <v>35</v>
      </c>
      <c r="AA406">
        <v>1</v>
      </c>
    </row>
    <row r="407" spans="1:27" x14ac:dyDescent="0.35">
      <c r="A407" s="45">
        <v>45936</v>
      </c>
      <c r="B407">
        <v>1</v>
      </c>
      <c r="D407" t="s">
        <v>30</v>
      </c>
      <c r="E407" t="s">
        <v>31</v>
      </c>
      <c r="F407" t="s">
        <v>31</v>
      </c>
      <c r="H407" t="s">
        <v>49</v>
      </c>
      <c r="I407" t="s">
        <v>50</v>
      </c>
      <c r="K407">
        <v>29</v>
      </c>
      <c r="M407" s="45">
        <v>46812</v>
      </c>
      <c r="N407" s="45">
        <v>46812</v>
      </c>
      <c r="O407" s="45">
        <v>46812</v>
      </c>
      <c r="P407">
        <v>3833994024.2763772</v>
      </c>
      <c r="V407">
        <v>1</v>
      </c>
      <c r="W407" t="s">
        <v>34</v>
      </c>
      <c r="Y407" t="s">
        <v>34</v>
      </c>
      <c r="Z407" t="s">
        <v>35</v>
      </c>
      <c r="AA407">
        <v>1</v>
      </c>
    </row>
    <row r="408" spans="1:27" x14ac:dyDescent="0.35">
      <c r="A408" s="45">
        <v>45936</v>
      </c>
      <c r="B408">
        <v>1</v>
      </c>
      <c r="D408" t="s">
        <v>30</v>
      </c>
      <c r="E408" t="s">
        <v>31</v>
      </c>
      <c r="F408" t="s">
        <v>31</v>
      </c>
      <c r="H408" t="s">
        <v>49</v>
      </c>
      <c r="I408" t="s">
        <v>50</v>
      </c>
      <c r="K408">
        <v>30</v>
      </c>
      <c r="M408" s="45">
        <v>46843</v>
      </c>
      <c r="N408" s="45">
        <v>46843</v>
      </c>
      <c r="O408" s="45">
        <v>46843</v>
      </c>
      <c r="P408">
        <v>3833994024.2763772</v>
      </c>
      <c r="V408">
        <v>1</v>
      </c>
      <c r="W408" t="s">
        <v>34</v>
      </c>
      <c r="Y408" t="s">
        <v>34</v>
      </c>
      <c r="Z408" t="s">
        <v>35</v>
      </c>
      <c r="AA408">
        <v>1</v>
      </c>
    </row>
    <row r="409" spans="1:27" x14ac:dyDescent="0.35">
      <c r="A409" s="45">
        <v>45936</v>
      </c>
      <c r="B409">
        <v>1</v>
      </c>
      <c r="D409" t="s">
        <v>30</v>
      </c>
      <c r="E409" t="s">
        <v>31</v>
      </c>
      <c r="F409" t="s">
        <v>31</v>
      </c>
      <c r="H409" t="s">
        <v>49</v>
      </c>
      <c r="I409" t="s">
        <v>50</v>
      </c>
      <c r="K409">
        <v>31</v>
      </c>
      <c r="M409" s="45">
        <v>46873</v>
      </c>
      <c r="N409" s="45">
        <v>46873</v>
      </c>
      <c r="O409" s="45">
        <v>46873</v>
      </c>
      <c r="P409">
        <v>3833994024.2763772</v>
      </c>
      <c r="V409">
        <v>1</v>
      </c>
      <c r="W409" t="s">
        <v>34</v>
      </c>
      <c r="Y409" t="s">
        <v>34</v>
      </c>
      <c r="Z409" t="s">
        <v>35</v>
      </c>
      <c r="AA409">
        <v>1</v>
      </c>
    </row>
    <row r="410" spans="1:27" x14ac:dyDescent="0.35">
      <c r="A410" s="45">
        <v>45936</v>
      </c>
      <c r="B410">
        <v>1</v>
      </c>
      <c r="D410" t="s">
        <v>30</v>
      </c>
      <c r="E410" t="s">
        <v>31</v>
      </c>
      <c r="F410" t="s">
        <v>31</v>
      </c>
      <c r="H410" t="s">
        <v>49</v>
      </c>
      <c r="I410" t="s">
        <v>50</v>
      </c>
      <c r="K410">
        <v>32</v>
      </c>
      <c r="M410" s="45">
        <v>46904</v>
      </c>
      <c r="N410" s="45">
        <v>46904</v>
      </c>
      <c r="O410" s="45">
        <v>46904</v>
      </c>
      <c r="P410">
        <v>3833994024.2763772</v>
      </c>
      <c r="V410">
        <v>1</v>
      </c>
      <c r="W410" t="s">
        <v>34</v>
      </c>
      <c r="Y410" t="s">
        <v>34</v>
      </c>
      <c r="Z410" t="s">
        <v>35</v>
      </c>
      <c r="AA410">
        <v>1</v>
      </c>
    </row>
    <row r="411" spans="1:27" x14ac:dyDescent="0.35">
      <c r="A411" s="45">
        <v>45936</v>
      </c>
      <c r="B411">
        <v>1</v>
      </c>
      <c r="D411" t="s">
        <v>30</v>
      </c>
      <c r="E411" t="s">
        <v>31</v>
      </c>
      <c r="F411" t="s">
        <v>31</v>
      </c>
      <c r="H411" t="s">
        <v>49</v>
      </c>
      <c r="I411" t="s">
        <v>50</v>
      </c>
      <c r="K411">
        <v>33</v>
      </c>
      <c r="M411" s="45">
        <v>46934</v>
      </c>
      <c r="N411" s="45">
        <v>46934</v>
      </c>
      <c r="O411" s="45">
        <v>46934</v>
      </c>
      <c r="P411">
        <v>260558730.15873009</v>
      </c>
      <c r="V411">
        <v>1</v>
      </c>
      <c r="W411" t="s">
        <v>34</v>
      </c>
      <c r="Y411" t="s">
        <v>34</v>
      </c>
      <c r="Z411" t="s">
        <v>35</v>
      </c>
      <c r="AA411">
        <v>1</v>
      </c>
    </row>
    <row r="412" spans="1:27" x14ac:dyDescent="0.35">
      <c r="A412" s="45">
        <v>45936</v>
      </c>
      <c r="B412">
        <v>1</v>
      </c>
      <c r="D412" t="s">
        <v>30</v>
      </c>
      <c r="E412" t="s">
        <v>31</v>
      </c>
      <c r="F412" t="s">
        <v>31</v>
      </c>
      <c r="H412" t="s">
        <v>49</v>
      </c>
      <c r="I412" t="s">
        <v>50</v>
      </c>
      <c r="K412">
        <v>34</v>
      </c>
      <c r="M412" s="45">
        <v>46965</v>
      </c>
      <c r="N412" s="45">
        <v>46965</v>
      </c>
      <c r="O412" s="45">
        <v>46965</v>
      </c>
      <c r="P412">
        <v>260558730.15873009</v>
      </c>
      <c r="V412">
        <v>1</v>
      </c>
      <c r="W412" t="s">
        <v>34</v>
      </c>
      <c r="Y412" t="s">
        <v>34</v>
      </c>
      <c r="Z412" t="s">
        <v>35</v>
      </c>
      <c r="AA412">
        <v>1</v>
      </c>
    </row>
    <row r="413" spans="1:27" x14ac:dyDescent="0.35">
      <c r="A413" s="45">
        <v>45936</v>
      </c>
      <c r="B413">
        <v>1</v>
      </c>
      <c r="D413" t="s">
        <v>30</v>
      </c>
      <c r="E413" t="s">
        <v>31</v>
      </c>
      <c r="F413" t="s">
        <v>31</v>
      </c>
      <c r="H413" t="s">
        <v>49</v>
      </c>
      <c r="I413" t="s">
        <v>50</v>
      </c>
      <c r="K413">
        <v>35</v>
      </c>
      <c r="M413" s="45">
        <v>46996</v>
      </c>
      <c r="N413" s="45">
        <v>46996</v>
      </c>
      <c r="O413" s="45">
        <v>46996</v>
      </c>
      <c r="P413">
        <v>260558730.15873009</v>
      </c>
      <c r="V413">
        <v>1</v>
      </c>
      <c r="W413" t="s">
        <v>34</v>
      </c>
      <c r="Y413" t="s">
        <v>34</v>
      </c>
      <c r="Z413" t="s">
        <v>35</v>
      </c>
      <c r="AA413">
        <v>1</v>
      </c>
    </row>
    <row r="414" spans="1:27" x14ac:dyDescent="0.35">
      <c r="A414" s="45">
        <v>45936</v>
      </c>
      <c r="B414">
        <v>1</v>
      </c>
      <c r="D414" t="s">
        <v>30</v>
      </c>
      <c r="E414" t="s">
        <v>31</v>
      </c>
      <c r="F414" t="s">
        <v>31</v>
      </c>
      <c r="H414" t="s">
        <v>49</v>
      </c>
      <c r="I414" t="s">
        <v>50</v>
      </c>
      <c r="K414">
        <v>36</v>
      </c>
      <c r="M414" s="45">
        <v>47026</v>
      </c>
      <c r="N414" s="45">
        <v>47026</v>
      </c>
      <c r="O414" s="45">
        <v>47026</v>
      </c>
      <c r="P414">
        <v>260558730.15873009</v>
      </c>
      <c r="V414">
        <v>1</v>
      </c>
      <c r="W414" t="s">
        <v>34</v>
      </c>
      <c r="Y414" t="s">
        <v>34</v>
      </c>
      <c r="Z414" t="s">
        <v>35</v>
      </c>
      <c r="AA414">
        <v>1</v>
      </c>
    </row>
    <row r="415" spans="1:27" x14ac:dyDescent="0.35">
      <c r="A415" s="45">
        <v>45936</v>
      </c>
      <c r="B415">
        <v>1</v>
      </c>
      <c r="D415" t="s">
        <v>30</v>
      </c>
      <c r="E415" t="s">
        <v>31</v>
      </c>
      <c r="F415" t="s">
        <v>31</v>
      </c>
      <c r="H415" t="s">
        <v>49</v>
      </c>
      <c r="I415" t="s">
        <v>50</v>
      </c>
      <c r="K415">
        <v>37</v>
      </c>
      <c r="M415" s="45">
        <v>47057</v>
      </c>
      <c r="N415" s="45">
        <v>47057</v>
      </c>
      <c r="O415" s="45">
        <v>47057</v>
      </c>
      <c r="P415">
        <v>260558730.15873009</v>
      </c>
      <c r="V415">
        <v>1</v>
      </c>
      <c r="W415" t="s">
        <v>34</v>
      </c>
      <c r="Y415" t="s">
        <v>34</v>
      </c>
      <c r="Z415" t="s">
        <v>35</v>
      </c>
      <c r="AA415">
        <v>1</v>
      </c>
    </row>
    <row r="416" spans="1:27" x14ac:dyDescent="0.35">
      <c r="A416" s="45">
        <v>45936</v>
      </c>
      <c r="B416">
        <v>1</v>
      </c>
      <c r="D416" t="s">
        <v>30</v>
      </c>
      <c r="E416" t="s">
        <v>31</v>
      </c>
      <c r="F416" t="s">
        <v>31</v>
      </c>
      <c r="H416" t="s">
        <v>49</v>
      </c>
      <c r="I416" t="s">
        <v>50</v>
      </c>
      <c r="K416">
        <v>38</v>
      </c>
      <c r="M416" s="45">
        <v>47087</v>
      </c>
      <c r="N416" s="45">
        <v>47087</v>
      </c>
      <c r="O416" s="45">
        <v>47087</v>
      </c>
      <c r="P416">
        <v>260558730.15873009</v>
      </c>
      <c r="V416">
        <v>1</v>
      </c>
      <c r="W416" t="s">
        <v>34</v>
      </c>
      <c r="Y416" t="s">
        <v>34</v>
      </c>
      <c r="Z416" t="s">
        <v>35</v>
      </c>
      <c r="AA416">
        <v>1</v>
      </c>
    </row>
    <row r="417" spans="1:27" x14ac:dyDescent="0.35">
      <c r="A417" s="45">
        <v>45936</v>
      </c>
      <c r="B417">
        <v>1</v>
      </c>
      <c r="D417" t="s">
        <v>30</v>
      </c>
      <c r="E417" t="s">
        <v>31</v>
      </c>
      <c r="F417" t="s">
        <v>31</v>
      </c>
      <c r="H417" t="s">
        <v>49</v>
      </c>
      <c r="I417" t="s">
        <v>50</v>
      </c>
      <c r="K417">
        <v>39</v>
      </c>
      <c r="M417" s="45">
        <v>47118</v>
      </c>
      <c r="N417" s="45">
        <v>47118</v>
      </c>
      <c r="O417" s="45">
        <v>47118</v>
      </c>
      <c r="P417">
        <v>260558730.15873009</v>
      </c>
      <c r="V417">
        <v>1</v>
      </c>
      <c r="W417" t="s">
        <v>34</v>
      </c>
      <c r="Y417" t="s">
        <v>34</v>
      </c>
      <c r="Z417" t="s">
        <v>35</v>
      </c>
      <c r="AA417">
        <v>1</v>
      </c>
    </row>
    <row r="418" spans="1:27" x14ac:dyDescent="0.35">
      <c r="A418" s="45">
        <v>45936</v>
      </c>
      <c r="B418">
        <v>1</v>
      </c>
      <c r="D418" t="s">
        <v>30</v>
      </c>
      <c r="E418" t="s">
        <v>31</v>
      </c>
      <c r="F418" t="s">
        <v>31</v>
      </c>
      <c r="H418" t="s">
        <v>49</v>
      </c>
      <c r="I418" t="s">
        <v>50</v>
      </c>
      <c r="K418">
        <v>40</v>
      </c>
      <c r="M418" s="45">
        <v>47149</v>
      </c>
      <c r="N418" s="45">
        <v>47149</v>
      </c>
      <c r="O418" s="45">
        <v>47149</v>
      </c>
      <c r="P418">
        <v>260558730.15873009</v>
      </c>
      <c r="V418">
        <v>1</v>
      </c>
      <c r="W418" t="s">
        <v>34</v>
      </c>
      <c r="Y418" t="s">
        <v>34</v>
      </c>
      <c r="Z418" t="s">
        <v>35</v>
      </c>
      <c r="AA418">
        <v>1</v>
      </c>
    </row>
    <row r="419" spans="1:27" x14ac:dyDescent="0.35">
      <c r="A419" s="45">
        <v>45936</v>
      </c>
      <c r="B419">
        <v>1</v>
      </c>
      <c r="D419" t="s">
        <v>30</v>
      </c>
      <c r="E419" t="s">
        <v>31</v>
      </c>
      <c r="F419" t="s">
        <v>31</v>
      </c>
      <c r="H419" t="s">
        <v>49</v>
      </c>
      <c r="I419" t="s">
        <v>50</v>
      </c>
      <c r="K419">
        <v>41</v>
      </c>
      <c r="M419" s="45">
        <v>47177</v>
      </c>
      <c r="N419" s="45">
        <v>47177</v>
      </c>
      <c r="O419" s="45">
        <v>47177</v>
      </c>
      <c r="P419">
        <v>260558730.15873009</v>
      </c>
      <c r="V419">
        <v>1</v>
      </c>
      <c r="W419" t="s">
        <v>34</v>
      </c>
      <c r="Y419" t="s">
        <v>34</v>
      </c>
      <c r="Z419" t="s">
        <v>35</v>
      </c>
      <c r="AA419">
        <v>1</v>
      </c>
    </row>
    <row r="420" spans="1:27" x14ac:dyDescent="0.35">
      <c r="A420" s="45">
        <v>45936</v>
      </c>
      <c r="B420">
        <v>1</v>
      </c>
      <c r="D420" t="s">
        <v>30</v>
      </c>
      <c r="E420" t="s">
        <v>31</v>
      </c>
      <c r="F420" t="s">
        <v>31</v>
      </c>
      <c r="H420" t="s">
        <v>49</v>
      </c>
      <c r="I420" t="s">
        <v>50</v>
      </c>
      <c r="K420">
        <v>42</v>
      </c>
      <c r="M420" s="45">
        <v>47208</v>
      </c>
      <c r="N420" s="45">
        <v>47208</v>
      </c>
      <c r="O420" s="45">
        <v>47208</v>
      </c>
      <c r="P420">
        <v>89162651.727357611</v>
      </c>
      <c r="V420">
        <v>1</v>
      </c>
      <c r="W420" t="s">
        <v>34</v>
      </c>
      <c r="Y420" t="s">
        <v>34</v>
      </c>
      <c r="Z420" t="s">
        <v>35</v>
      </c>
      <c r="AA420">
        <v>1</v>
      </c>
    </row>
    <row r="421" spans="1:27" x14ac:dyDescent="0.35">
      <c r="A421" s="45">
        <v>45936</v>
      </c>
      <c r="B421">
        <v>1</v>
      </c>
      <c r="D421" t="s">
        <v>30</v>
      </c>
      <c r="E421" t="s">
        <v>31</v>
      </c>
      <c r="F421" t="s">
        <v>31</v>
      </c>
      <c r="H421" t="s">
        <v>49</v>
      </c>
      <c r="I421" t="s">
        <v>51</v>
      </c>
      <c r="M421" s="45">
        <v>45937</v>
      </c>
      <c r="N421" s="45">
        <v>45937</v>
      </c>
      <c r="O421" s="45">
        <v>45937</v>
      </c>
      <c r="P421">
        <v>37875812739</v>
      </c>
      <c r="V421">
        <v>1</v>
      </c>
      <c r="W421" t="s">
        <v>34</v>
      </c>
      <c r="Y421" t="s">
        <v>34</v>
      </c>
      <c r="Z421" t="s">
        <v>35</v>
      </c>
      <c r="AA421">
        <v>1</v>
      </c>
    </row>
    <row r="422" spans="1:27" x14ac:dyDescent="0.35">
      <c r="A422" s="45">
        <v>45936</v>
      </c>
      <c r="B422">
        <v>1</v>
      </c>
      <c r="D422" t="s">
        <v>30</v>
      </c>
      <c r="E422" t="s">
        <v>40</v>
      </c>
      <c r="F422" t="s">
        <v>40</v>
      </c>
      <c r="H422" t="s">
        <v>52</v>
      </c>
      <c r="I422" t="s">
        <v>53</v>
      </c>
      <c r="K422">
        <v>1</v>
      </c>
      <c r="M422" s="45">
        <v>45961</v>
      </c>
      <c r="N422" s="45">
        <v>45961</v>
      </c>
      <c r="O422" s="45">
        <v>45961</v>
      </c>
      <c r="P422">
        <v>26803.58702706722</v>
      </c>
      <c r="V422">
        <v>1</v>
      </c>
      <c r="W422" t="s">
        <v>34</v>
      </c>
      <c r="Y422" t="s">
        <v>34</v>
      </c>
      <c r="Z422" t="s">
        <v>35</v>
      </c>
      <c r="AA422">
        <v>1</v>
      </c>
    </row>
    <row r="423" spans="1:27" x14ac:dyDescent="0.35">
      <c r="A423" s="45">
        <v>45936</v>
      </c>
      <c r="B423">
        <v>1</v>
      </c>
      <c r="D423" t="s">
        <v>30</v>
      </c>
      <c r="E423" t="s">
        <v>40</v>
      </c>
      <c r="F423" t="s">
        <v>40</v>
      </c>
      <c r="H423" t="s">
        <v>52</v>
      </c>
      <c r="I423" t="s">
        <v>53</v>
      </c>
      <c r="K423">
        <v>2</v>
      </c>
      <c r="M423" s="45">
        <v>45991</v>
      </c>
      <c r="N423" s="45">
        <v>45991</v>
      </c>
      <c r="O423" s="45">
        <v>45991</v>
      </c>
      <c r="P423">
        <v>26803.58702706722</v>
      </c>
      <c r="V423">
        <v>1</v>
      </c>
      <c r="W423" t="s">
        <v>34</v>
      </c>
      <c r="Y423" t="s">
        <v>34</v>
      </c>
      <c r="Z423" t="s">
        <v>35</v>
      </c>
      <c r="AA423">
        <v>1</v>
      </c>
    </row>
    <row r="424" spans="1:27" x14ac:dyDescent="0.35">
      <c r="A424" s="45">
        <v>45936</v>
      </c>
      <c r="B424">
        <v>1</v>
      </c>
      <c r="D424" t="s">
        <v>30</v>
      </c>
      <c r="E424" t="s">
        <v>40</v>
      </c>
      <c r="F424" t="s">
        <v>40</v>
      </c>
      <c r="H424" t="s">
        <v>52</v>
      </c>
      <c r="I424" t="s">
        <v>53</v>
      </c>
      <c r="K424">
        <v>3</v>
      </c>
      <c r="M424" s="45">
        <v>46022</v>
      </c>
      <c r="N424" s="45">
        <v>46022</v>
      </c>
      <c r="O424" s="45">
        <v>46022</v>
      </c>
      <c r="P424">
        <v>26803.58702706722</v>
      </c>
      <c r="V424">
        <v>1</v>
      </c>
      <c r="W424" t="s">
        <v>34</v>
      </c>
      <c r="Y424" t="s">
        <v>34</v>
      </c>
      <c r="Z424" t="s">
        <v>35</v>
      </c>
      <c r="AA424">
        <v>1</v>
      </c>
    </row>
    <row r="425" spans="1:27" x14ac:dyDescent="0.35">
      <c r="A425" s="45">
        <v>45936</v>
      </c>
      <c r="B425">
        <v>1</v>
      </c>
      <c r="D425" t="s">
        <v>30</v>
      </c>
      <c r="E425" t="s">
        <v>40</v>
      </c>
      <c r="F425" t="s">
        <v>40</v>
      </c>
      <c r="H425" t="s">
        <v>52</v>
      </c>
      <c r="I425" t="s">
        <v>53</v>
      </c>
      <c r="K425">
        <v>4</v>
      </c>
      <c r="M425" s="45">
        <v>46053</v>
      </c>
      <c r="N425" s="45">
        <v>46053</v>
      </c>
      <c r="O425" s="45">
        <v>46053</v>
      </c>
      <c r="P425">
        <v>26803.58702706722</v>
      </c>
      <c r="V425">
        <v>1</v>
      </c>
      <c r="W425" t="s">
        <v>34</v>
      </c>
      <c r="Y425" t="s">
        <v>34</v>
      </c>
      <c r="Z425" t="s">
        <v>35</v>
      </c>
      <c r="AA425">
        <v>1</v>
      </c>
    </row>
    <row r="426" spans="1:27" x14ac:dyDescent="0.35">
      <c r="A426" s="45">
        <v>45936</v>
      </c>
      <c r="B426">
        <v>1</v>
      </c>
      <c r="D426" t="s">
        <v>30</v>
      </c>
      <c r="E426" t="s">
        <v>40</v>
      </c>
      <c r="F426" t="s">
        <v>40</v>
      </c>
      <c r="H426" t="s">
        <v>52</v>
      </c>
      <c r="I426" t="s">
        <v>53</v>
      </c>
      <c r="K426">
        <v>5</v>
      </c>
      <c r="M426" s="45">
        <v>46081</v>
      </c>
      <c r="N426" s="45">
        <v>46081</v>
      </c>
      <c r="O426" s="45">
        <v>46081</v>
      </c>
      <c r="P426">
        <v>26803.58702706722</v>
      </c>
      <c r="V426">
        <v>1</v>
      </c>
      <c r="W426" t="s">
        <v>34</v>
      </c>
      <c r="Y426" t="s">
        <v>34</v>
      </c>
      <c r="Z426" t="s">
        <v>35</v>
      </c>
      <c r="AA426">
        <v>1</v>
      </c>
    </row>
    <row r="427" spans="1:27" x14ac:dyDescent="0.35">
      <c r="A427" s="45">
        <v>45936</v>
      </c>
      <c r="B427">
        <v>1</v>
      </c>
      <c r="D427" t="s">
        <v>30</v>
      </c>
      <c r="E427" t="s">
        <v>40</v>
      </c>
      <c r="F427" t="s">
        <v>40</v>
      </c>
      <c r="H427" t="s">
        <v>52</v>
      </c>
      <c r="I427" t="s">
        <v>53</v>
      </c>
      <c r="K427">
        <v>6</v>
      </c>
      <c r="M427" s="45">
        <v>46112</v>
      </c>
      <c r="N427" s="45">
        <v>46112</v>
      </c>
      <c r="O427" s="45">
        <v>46112</v>
      </c>
      <c r="P427">
        <v>26803.58702706722</v>
      </c>
      <c r="V427">
        <v>1</v>
      </c>
      <c r="W427" t="s">
        <v>34</v>
      </c>
      <c r="Y427" t="s">
        <v>34</v>
      </c>
      <c r="Z427" t="s">
        <v>35</v>
      </c>
      <c r="AA427">
        <v>1</v>
      </c>
    </row>
    <row r="428" spans="1:27" x14ac:dyDescent="0.35">
      <c r="A428" s="45">
        <v>45936</v>
      </c>
      <c r="B428">
        <v>1</v>
      </c>
      <c r="D428" t="s">
        <v>30</v>
      </c>
      <c r="E428" t="s">
        <v>40</v>
      </c>
      <c r="F428" t="s">
        <v>40</v>
      </c>
      <c r="H428" t="s">
        <v>52</v>
      </c>
      <c r="I428" t="s">
        <v>53</v>
      </c>
      <c r="K428">
        <v>7</v>
      </c>
      <c r="M428" s="45">
        <v>46142</v>
      </c>
      <c r="N428" s="45">
        <v>46142</v>
      </c>
      <c r="O428" s="45">
        <v>46142</v>
      </c>
      <c r="P428">
        <v>26803.58702706722</v>
      </c>
      <c r="V428">
        <v>1</v>
      </c>
      <c r="W428" t="s">
        <v>34</v>
      </c>
      <c r="Y428" t="s">
        <v>34</v>
      </c>
      <c r="Z428" t="s">
        <v>35</v>
      </c>
      <c r="AA428">
        <v>1</v>
      </c>
    </row>
    <row r="429" spans="1:27" x14ac:dyDescent="0.35">
      <c r="A429" s="45">
        <v>45936</v>
      </c>
      <c r="B429">
        <v>1</v>
      </c>
      <c r="D429" t="s">
        <v>30</v>
      </c>
      <c r="E429" t="s">
        <v>40</v>
      </c>
      <c r="F429" t="s">
        <v>40</v>
      </c>
      <c r="H429" t="s">
        <v>52</v>
      </c>
      <c r="I429" t="s">
        <v>53</v>
      </c>
      <c r="K429">
        <v>8</v>
      </c>
      <c r="M429" s="45">
        <v>46173</v>
      </c>
      <c r="N429" s="45">
        <v>46173</v>
      </c>
      <c r="O429" s="45">
        <v>46173</v>
      </c>
      <c r="P429">
        <v>26803.58702706722</v>
      </c>
      <c r="V429">
        <v>1</v>
      </c>
      <c r="W429" t="s">
        <v>34</v>
      </c>
      <c r="Y429" t="s">
        <v>34</v>
      </c>
      <c r="Z429" t="s">
        <v>35</v>
      </c>
      <c r="AA429">
        <v>1</v>
      </c>
    </row>
    <row r="430" spans="1:27" x14ac:dyDescent="0.35">
      <c r="A430" s="45">
        <v>45936</v>
      </c>
      <c r="B430">
        <v>1</v>
      </c>
      <c r="D430" t="s">
        <v>30</v>
      </c>
      <c r="E430" t="s">
        <v>40</v>
      </c>
      <c r="F430" t="s">
        <v>40</v>
      </c>
      <c r="H430" t="s">
        <v>52</v>
      </c>
      <c r="I430" t="s">
        <v>53</v>
      </c>
      <c r="K430">
        <v>9</v>
      </c>
      <c r="M430" s="45">
        <v>46203</v>
      </c>
      <c r="N430" s="45">
        <v>46203</v>
      </c>
      <c r="O430" s="45">
        <v>46203</v>
      </c>
      <c r="P430">
        <v>26803.58702706722</v>
      </c>
      <c r="V430">
        <v>1</v>
      </c>
      <c r="W430" t="s">
        <v>34</v>
      </c>
      <c r="Y430" t="s">
        <v>34</v>
      </c>
      <c r="Z430" t="s">
        <v>35</v>
      </c>
      <c r="AA430">
        <v>1</v>
      </c>
    </row>
    <row r="431" spans="1:27" x14ac:dyDescent="0.35">
      <c r="A431" s="45">
        <v>45936</v>
      </c>
      <c r="B431">
        <v>1</v>
      </c>
      <c r="D431" t="s">
        <v>30</v>
      </c>
      <c r="E431" t="s">
        <v>40</v>
      </c>
      <c r="F431" t="s">
        <v>40</v>
      </c>
      <c r="H431" t="s">
        <v>52</v>
      </c>
      <c r="I431" t="s">
        <v>53</v>
      </c>
      <c r="K431">
        <v>10</v>
      </c>
      <c r="M431" s="45">
        <v>46234</v>
      </c>
      <c r="N431" s="45">
        <v>46234</v>
      </c>
      <c r="O431" s="45">
        <v>46234</v>
      </c>
      <c r="P431">
        <v>26803.58702706722</v>
      </c>
      <c r="V431">
        <v>1</v>
      </c>
      <c r="W431" t="s">
        <v>34</v>
      </c>
      <c r="Y431" t="s">
        <v>34</v>
      </c>
      <c r="Z431" t="s">
        <v>35</v>
      </c>
      <c r="AA431">
        <v>1</v>
      </c>
    </row>
    <row r="432" spans="1:27" x14ac:dyDescent="0.35">
      <c r="A432" s="45">
        <v>45936</v>
      </c>
      <c r="B432">
        <v>1</v>
      </c>
      <c r="D432" t="s">
        <v>30</v>
      </c>
      <c r="E432" t="s">
        <v>40</v>
      </c>
      <c r="F432" t="s">
        <v>40</v>
      </c>
      <c r="H432" t="s">
        <v>52</v>
      </c>
      <c r="I432" t="s">
        <v>53</v>
      </c>
      <c r="K432">
        <v>11</v>
      </c>
      <c r="M432" s="45">
        <v>46265</v>
      </c>
      <c r="N432" s="45">
        <v>46265</v>
      </c>
      <c r="O432" s="45">
        <v>46265</v>
      </c>
      <c r="P432">
        <v>26803.58702706722</v>
      </c>
      <c r="V432">
        <v>1</v>
      </c>
      <c r="W432" t="s">
        <v>34</v>
      </c>
      <c r="Y432" t="s">
        <v>34</v>
      </c>
      <c r="Z432" t="s">
        <v>35</v>
      </c>
      <c r="AA432">
        <v>1</v>
      </c>
    </row>
    <row r="433" spans="1:27" x14ac:dyDescent="0.35">
      <c r="A433" s="45">
        <v>45936</v>
      </c>
      <c r="B433">
        <v>1</v>
      </c>
      <c r="D433" t="s">
        <v>30</v>
      </c>
      <c r="E433" t="s">
        <v>40</v>
      </c>
      <c r="F433" t="s">
        <v>40</v>
      </c>
      <c r="H433" t="s">
        <v>52</v>
      </c>
      <c r="I433" t="s">
        <v>53</v>
      </c>
      <c r="K433">
        <v>12</v>
      </c>
      <c r="M433" s="45">
        <v>46295</v>
      </c>
      <c r="N433" s="45">
        <v>46295</v>
      </c>
      <c r="O433" s="45">
        <v>46295</v>
      </c>
      <c r="P433">
        <v>26803.58702706722</v>
      </c>
      <c r="V433">
        <v>1</v>
      </c>
      <c r="W433" t="s">
        <v>34</v>
      </c>
      <c r="Y433" t="s">
        <v>34</v>
      </c>
      <c r="Z433" t="s">
        <v>35</v>
      </c>
      <c r="AA433">
        <v>1</v>
      </c>
    </row>
    <row r="434" spans="1:27" x14ac:dyDescent="0.35">
      <c r="A434" s="45">
        <v>45936</v>
      </c>
      <c r="B434">
        <v>1</v>
      </c>
      <c r="D434" t="s">
        <v>30</v>
      </c>
      <c r="E434" t="s">
        <v>40</v>
      </c>
      <c r="F434" t="s">
        <v>40</v>
      </c>
      <c r="H434" t="s">
        <v>52</v>
      </c>
      <c r="I434" t="s">
        <v>53</v>
      </c>
      <c r="K434">
        <v>13</v>
      </c>
      <c r="M434" s="45">
        <v>46326</v>
      </c>
      <c r="N434" s="45">
        <v>46326</v>
      </c>
      <c r="O434" s="45">
        <v>46326</v>
      </c>
      <c r="P434">
        <v>26803.58702706722</v>
      </c>
      <c r="V434">
        <v>1</v>
      </c>
      <c r="W434" t="s">
        <v>34</v>
      </c>
      <c r="Y434" t="s">
        <v>34</v>
      </c>
      <c r="Z434" t="s">
        <v>35</v>
      </c>
      <c r="AA434">
        <v>1</v>
      </c>
    </row>
    <row r="435" spans="1:27" x14ac:dyDescent="0.35">
      <c r="A435" s="45">
        <v>45936</v>
      </c>
      <c r="B435">
        <v>1</v>
      </c>
      <c r="D435" t="s">
        <v>30</v>
      </c>
      <c r="E435" t="s">
        <v>40</v>
      </c>
      <c r="F435" t="s">
        <v>40</v>
      </c>
      <c r="H435" t="s">
        <v>52</v>
      </c>
      <c r="I435" t="s">
        <v>53</v>
      </c>
      <c r="K435">
        <v>14</v>
      </c>
      <c r="M435" s="45">
        <v>46356</v>
      </c>
      <c r="N435" s="45">
        <v>46356</v>
      </c>
      <c r="O435" s="45">
        <v>46356</v>
      </c>
      <c r="P435">
        <v>26803.58702706722</v>
      </c>
      <c r="V435">
        <v>1</v>
      </c>
      <c r="W435" t="s">
        <v>34</v>
      </c>
      <c r="Y435" t="s">
        <v>34</v>
      </c>
      <c r="Z435" t="s">
        <v>35</v>
      </c>
      <c r="AA435">
        <v>1</v>
      </c>
    </row>
    <row r="436" spans="1:27" x14ac:dyDescent="0.35">
      <c r="A436" s="45">
        <v>45936</v>
      </c>
      <c r="B436">
        <v>1</v>
      </c>
      <c r="D436" t="s">
        <v>30</v>
      </c>
      <c r="E436" t="s">
        <v>40</v>
      </c>
      <c r="F436" t="s">
        <v>40</v>
      </c>
      <c r="H436" t="s">
        <v>52</v>
      </c>
      <c r="I436" t="s">
        <v>53</v>
      </c>
      <c r="K436">
        <v>15</v>
      </c>
      <c r="M436" s="45">
        <v>46387</v>
      </c>
      <c r="N436" s="45">
        <v>46387</v>
      </c>
      <c r="O436" s="45">
        <v>46387</v>
      </c>
      <c r="P436">
        <v>26803.58702706722</v>
      </c>
      <c r="V436">
        <v>1</v>
      </c>
      <c r="W436" t="s">
        <v>34</v>
      </c>
      <c r="Y436" t="s">
        <v>34</v>
      </c>
      <c r="Z436" t="s">
        <v>35</v>
      </c>
      <c r="AA436">
        <v>1</v>
      </c>
    </row>
    <row r="437" spans="1:27" x14ac:dyDescent="0.35">
      <c r="A437" s="45">
        <v>45936</v>
      </c>
      <c r="B437">
        <v>1</v>
      </c>
      <c r="D437" t="s">
        <v>30</v>
      </c>
      <c r="E437" t="s">
        <v>40</v>
      </c>
      <c r="F437" t="s">
        <v>40</v>
      </c>
      <c r="H437" t="s">
        <v>52</v>
      </c>
      <c r="I437" t="s">
        <v>53</v>
      </c>
      <c r="K437">
        <v>16</v>
      </c>
      <c r="M437" s="45">
        <v>46418</v>
      </c>
      <c r="N437" s="45">
        <v>46418</v>
      </c>
      <c r="O437" s="45">
        <v>46418</v>
      </c>
      <c r="P437">
        <v>26803.58702706722</v>
      </c>
      <c r="V437">
        <v>1</v>
      </c>
      <c r="W437" t="s">
        <v>34</v>
      </c>
      <c r="Y437" t="s">
        <v>34</v>
      </c>
      <c r="Z437" t="s">
        <v>35</v>
      </c>
      <c r="AA437">
        <v>1</v>
      </c>
    </row>
    <row r="438" spans="1:27" x14ac:dyDescent="0.35">
      <c r="A438" s="45">
        <v>45936</v>
      </c>
      <c r="B438">
        <v>1</v>
      </c>
      <c r="D438" t="s">
        <v>30</v>
      </c>
      <c r="E438" t="s">
        <v>40</v>
      </c>
      <c r="F438" t="s">
        <v>40</v>
      </c>
      <c r="H438" t="s">
        <v>52</v>
      </c>
      <c r="I438" t="s">
        <v>53</v>
      </c>
      <c r="K438">
        <v>17</v>
      </c>
      <c r="M438" s="45">
        <v>46446</v>
      </c>
      <c r="N438" s="45">
        <v>46446</v>
      </c>
      <c r="O438" s="45">
        <v>46446</v>
      </c>
      <c r="P438">
        <v>26803.58702706722</v>
      </c>
      <c r="V438">
        <v>1</v>
      </c>
      <c r="W438" t="s">
        <v>34</v>
      </c>
      <c r="Y438" t="s">
        <v>34</v>
      </c>
      <c r="Z438" t="s">
        <v>35</v>
      </c>
      <c r="AA438">
        <v>1</v>
      </c>
    </row>
    <row r="439" spans="1:27" x14ac:dyDescent="0.35">
      <c r="A439" s="45">
        <v>45936</v>
      </c>
      <c r="B439">
        <v>1</v>
      </c>
      <c r="D439" t="s">
        <v>30</v>
      </c>
      <c r="E439" t="s">
        <v>40</v>
      </c>
      <c r="F439" t="s">
        <v>40</v>
      </c>
      <c r="H439" t="s">
        <v>52</v>
      </c>
      <c r="I439" t="s">
        <v>53</v>
      </c>
      <c r="K439">
        <v>18</v>
      </c>
      <c r="M439" s="45">
        <v>46477</v>
      </c>
      <c r="N439" s="45">
        <v>46477</v>
      </c>
      <c r="O439" s="45">
        <v>46477</v>
      </c>
      <c r="P439">
        <v>26803.58702706722</v>
      </c>
      <c r="V439">
        <v>1</v>
      </c>
      <c r="W439" t="s">
        <v>34</v>
      </c>
      <c r="Y439" t="s">
        <v>34</v>
      </c>
      <c r="Z439" t="s">
        <v>35</v>
      </c>
      <c r="AA439">
        <v>1</v>
      </c>
    </row>
    <row r="440" spans="1:27" x14ac:dyDescent="0.35">
      <c r="A440" s="45">
        <v>45936</v>
      </c>
      <c r="B440">
        <v>1</v>
      </c>
      <c r="D440" t="s">
        <v>30</v>
      </c>
      <c r="E440" t="s">
        <v>40</v>
      </c>
      <c r="F440" t="s">
        <v>40</v>
      </c>
      <c r="H440" t="s">
        <v>52</v>
      </c>
      <c r="I440" t="s">
        <v>53</v>
      </c>
      <c r="K440">
        <v>19</v>
      </c>
      <c r="M440" s="45">
        <v>46507</v>
      </c>
      <c r="N440" s="45">
        <v>46507</v>
      </c>
      <c r="O440" s="45">
        <v>46507</v>
      </c>
      <c r="P440">
        <v>26803.58702706722</v>
      </c>
      <c r="V440">
        <v>1</v>
      </c>
      <c r="W440" t="s">
        <v>34</v>
      </c>
      <c r="Y440" t="s">
        <v>34</v>
      </c>
      <c r="Z440" t="s">
        <v>35</v>
      </c>
      <c r="AA440">
        <v>1</v>
      </c>
    </row>
    <row r="441" spans="1:27" x14ac:dyDescent="0.35">
      <c r="A441" s="45">
        <v>45936</v>
      </c>
      <c r="B441">
        <v>1</v>
      </c>
      <c r="D441" t="s">
        <v>30</v>
      </c>
      <c r="E441" t="s">
        <v>40</v>
      </c>
      <c r="F441" t="s">
        <v>40</v>
      </c>
      <c r="H441" t="s">
        <v>52</v>
      </c>
      <c r="I441" t="s">
        <v>53</v>
      </c>
      <c r="K441">
        <v>20</v>
      </c>
      <c r="M441" s="45">
        <v>46538</v>
      </c>
      <c r="N441" s="45">
        <v>46538</v>
      </c>
      <c r="O441" s="45">
        <v>46538</v>
      </c>
      <c r="P441">
        <v>26803.58702706722</v>
      </c>
      <c r="V441">
        <v>1</v>
      </c>
      <c r="W441" t="s">
        <v>34</v>
      </c>
      <c r="Y441" t="s">
        <v>34</v>
      </c>
      <c r="Z441" t="s">
        <v>35</v>
      </c>
      <c r="AA441">
        <v>1</v>
      </c>
    </row>
    <row r="442" spans="1:27" x14ac:dyDescent="0.35">
      <c r="A442" s="45">
        <v>45936</v>
      </c>
      <c r="B442">
        <v>1</v>
      </c>
      <c r="D442" t="s">
        <v>30</v>
      </c>
      <c r="E442" t="s">
        <v>40</v>
      </c>
      <c r="F442" t="s">
        <v>40</v>
      </c>
      <c r="H442" t="s">
        <v>52</v>
      </c>
      <c r="I442" t="s">
        <v>53</v>
      </c>
      <c r="K442">
        <v>21</v>
      </c>
      <c r="M442" s="45">
        <v>46568</v>
      </c>
      <c r="N442" s="45">
        <v>46568</v>
      </c>
      <c r="O442" s="45">
        <v>46568</v>
      </c>
      <c r="P442">
        <v>26803.58702706722</v>
      </c>
      <c r="V442">
        <v>1</v>
      </c>
      <c r="W442" t="s">
        <v>34</v>
      </c>
      <c r="Y442" t="s">
        <v>34</v>
      </c>
      <c r="Z442" t="s">
        <v>35</v>
      </c>
      <c r="AA442">
        <v>1</v>
      </c>
    </row>
    <row r="443" spans="1:27" x14ac:dyDescent="0.35">
      <c r="A443" s="45">
        <v>45936</v>
      </c>
      <c r="B443">
        <v>1</v>
      </c>
      <c r="D443" t="s">
        <v>30</v>
      </c>
      <c r="E443" t="s">
        <v>40</v>
      </c>
      <c r="F443" t="s">
        <v>40</v>
      </c>
      <c r="H443" t="s">
        <v>52</v>
      </c>
      <c r="I443" t="s">
        <v>53</v>
      </c>
      <c r="K443">
        <v>22</v>
      </c>
      <c r="M443" s="45">
        <v>46599</v>
      </c>
      <c r="N443" s="45">
        <v>46599</v>
      </c>
      <c r="O443" s="45">
        <v>46599</v>
      </c>
      <c r="P443">
        <v>26803.58702706722</v>
      </c>
      <c r="V443">
        <v>1</v>
      </c>
      <c r="W443" t="s">
        <v>34</v>
      </c>
      <c r="Y443" t="s">
        <v>34</v>
      </c>
      <c r="Z443" t="s">
        <v>35</v>
      </c>
      <c r="AA443">
        <v>1</v>
      </c>
    </row>
    <row r="444" spans="1:27" x14ac:dyDescent="0.35">
      <c r="A444" s="45">
        <v>45936</v>
      </c>
      <c r="B444">
        <v>1</v>
      </c>
      <c r="D444" t="s">
        <v>30</v>
      </c>
      <c r="E444" t="s">
        <v>40</v>
      </c>
      <c r="F444" t="s">
        <v>40</v>
      </c>
      <c r="H444" t="s">
        <v>52</v>
      </c>
      <c r="I444" t="s">
        <v>53</v>
      </c>
      <c r="K444">
        <v>23</v>
      </c>
      <c r="M444" s="45">
        <v>46630</v>
      </c>
      <c r="N444" s="45">
        <v>46630</v>
      </c>
      <c r="O444" s="45">
        <v>46630</v>
      </c>
      <c r="P444">
        <v>26803.58702706722</v>
      </c>
      <c r="V444">
        <v>1</v>
      </c>
      <c r="W444" t="s">
        <v>34</v>
      </c>
      <c r="Y444" t="s">
        <v>34</v>
      </c>
      <c r="Z444" t="s">
        <v>35</v>
      </c>
      <c r="AA444">
        <v>1</v>
      </c>
    </row>
    <row r="445" spans="1:27" x14ac:dyDescent="0.35">
      <c r="A445" s="45">
        <v>45936</v>
      </c>
      <c r="B445">
        <v>1</v>
      </c>
      <c r="D445" t="s">
        <v>30</v>
      </c>
      <c r="E445" t="s">
        <v>40</v>
      </c>
      <c r="F445" t="s">
        <v>40</v>
      </c>
      <c r="H445" t="s">
        <v>52</v>
      </c>
      <c r="I445" t="s">
        <v>53</v>
      </c>
      <c r="K445">
        <v>24</v>
      </c>
      <c r="M445" s="45">
        <v>46660</v>
      </c>
      <c r="N445" s="45">
        <v>46660</v>
      </c>
      <c r="O445" s="45">
        <v>46660</v>
      </c>
      <c r="P445">
        <v>26803.58702706722</v>
      </c>
      <c r="V445">
        <v>1</v>
      </c>
      <c r="W445" t="s">
        <v>34</v>
      </c>
      <c r="Y445" t="s">
        <v>34</v>
      </c>
      <c r="Z445" t="s">
        <v>35</v>
      </c>
      <c r="AA445">
        <v>1</v>
      </c>
    </row>
    <row r="446" spans="1:27" x14ac:dyDescent="0.35">
      <c r="A446" s="45">
        <v>45936</v>
      </c>
      <c r="B446">
        <v>1</v>
      </c>
      <c r="D446" t="s">
        <v>30</v>
      </c>
      <c r="E446" t="s">
        <v>40</v>
      </c>
      <c r="F446" t="s">
        <v>40</v>
      </c>
      <c r="H446" t="s">
        <v>52</v>
      </c>
      <c r="I446" t="s">
        <v>53</v>
      </c>
      <c r="K446">
        <v>25</v>
      </c>
      <c r="M446" s="45">
        <v>46691</v>
      </c>
      <c r="N446" s="45">
        <v>46691</v>
      </c>
      <c r="O446" s="45">
        <v>46691</v>
      </c>
      <c r="P446">
        <v>26803.58702706722</v>
      </c>
      <c r="V446">
        <v>1</v>
      </c>
      <c r="W446" t="s">
        <v>34</v>
      </c>
      <c r="Y446" t="s">
        <v>34</v>
      </c>
      <c r="Z446" t="s">
        <v>35</v>
      </c>
      <c r="AA446">
        <v>1</v>
      </c>
    </row>
    <row r="447" spans="1:27" x14ac:dyDescent="0.35">
      <c r="A447" s="45">
        <v>45936</v>
      </c>
      <c r="B447">
        <v>1</v>
      </c>
      <c r="D447" t="s">
        <v>30</v>
      </c>
      <c r="E447" t="s">
        <v>40</v>
      </c>
      <c r="F447" t="s">
        <v>40</v>
      </c>
      <c r="H447" t="s">
        <v>52</v>
      </c>
      <c r="I447" t="s">
        <v>53</v>
      </c>
      <c r="K447">
        <v>26</v>
      </c>
      <c r="M447" s="45">
        <v>46721</v>
      </c>
      <c r="N447" s="45">
        <v>46721</v>
      </c>
      <c r="O447" s="45">
        <v>46721</v>
      </c>
      <c r="P447">
        <v>26803.58702706722</v>
      </c>
      <c r="V447">
        <v>1</v>
      </c>
      <c r="W447" t="s">
        <v>34</v>
      </c>
      <c r="Y447" t="s">
        <v>34</v>
      </c>
      <c r="Z447" t="s">
        <v>35</v>
      </c>
      <c r="AA447">
        <v>1</v>
      </c>
    </row>
    <row r="448" spans="1:27" x14ac:dyDescent="0.35">
      <c r="A448" s="45">
        <v>45936</v>
      </c>
      <c r="B448">
        <v>1</v>
      </c>
      <c r="D448" t="s">
        <v>30</v>
      </c>
      <c r="E448" t="s">
        <v>40</v>
      </c>
      <c r="F448" t="s">
        <v>40</v>
      </c>
      <c r="H448" t="s">
        <v>52</v>
      </c>
      <c r="I448" t="s">
        <v>53</v>
      </c>
      <c r="K448">
        <v>27</v>
      </c>
      <c r="M448" s="45">
        <v>46752</v>
      </c>
      <c r="N448" s="45">
        <v>46752</v>
      </c>
      <c r="O448" s="45">
        <v>46752</v>
      </c>
      <c r="P448">
        <v>26803.58702706722</v>
      </c>
      <c r="V448">
        <v>1</v>
      </c>
      <c r="W448" t="s">
        <v>34</v>
      </c>
      <c r="Y448" t="s">
        <v>34</v>
      </c>
      <c r="Z448" t="s">
        <v>35</v>
      </c>
      <c r="AA448">
        <v>1</v>
      </c>
    </row>
    <row r="449" spans="1:27" x14ac:dyDescent="0.35">
      <c r="A449" s="45">
        <v>45936</v>
      </c>
      <c r="B449">
        <v>1</v>
      </c>
      <c r="D449" t="s">
        <v>30</v>
      </c>
      <c r="E449" t="s">
        <v>40</v>
      </c>
      <c r="F449" t="s">
        <v>40</v>
      </c>
      <c r="H449" t="s">
        <v>52</v>
      </c>
      <c r="I449" t="s">
        <v>53</v>
      </c>
      <c r="K449">
        <v>28</v>
      </c>
      <c r="M449" s="45">
        <v>46783</v>
      </c>
      <c r="N449" s="45">
        <v>46783</v>
      </c>
      <c r="O449" s="45">
        <v>46783</v>
      </c>
      <c r="P449">
        <v>26803.58702706722</v>
      </c>
      <c r="V449">
        <v>1</v>
      </c>
      <c r="W449" t="s">
        <v>34</v>
      </c>
      <c r="Y449" t="s">
        <v>34</v>
      </c>
      <c r="Z449" t="s">
        <v>35</v>
      </c>
      <c r="AA449">
        <v>1</v>
      </c>
    </row>
    <row r="450" spans="1:27" x14ac:dyDescent="0.35">
      <c r="A450" s="45">
        <v>45936</v>
      </c>
      <c r="B450">
        <v>1</v>
      </c>
      <c r="D450" t="s">
        <v>30</v>
      </c>
      <c r="E450" t="s">
        <v>40</v>
      </c>
      <c r="F450" t="s">
        <v>40</v>
      </c>
      <c r="H450" t="s">
        <v>52</v>
      </c>
      <c r="I450" t="s">
        <v>53</v>
      </c>
      <c r="K450">
        <v>29</v>
      </c>
      <c r="M450" s="45">
        <v>46812</v>
      </c>
      <c r="N450" s="45">
        <v>46812</v>
      </c>
      <c r="O450" s="45">
        <v>46812</v>
      </c>
      <c r="P450">
        <v>26803.58702706722</v>
      </c>
      <c r="V450">
        <v>1</v>
      </c>
      <c r="W450" t="s">
        <v>34</v>
      </c>
      <c r="Y450" t="s">
        <v>34</v>
      </c>
      <c r="Z450" t="s">
        <v>35</v>
      </c>
      <c r="AA450">
        <v>1</v>
      </c>
    </row>
    <row r="451" spans="1:27" x14ac:dyDescent="0.35">
      <c r="A451" s="45">
        <v>45936</v>
      </c>
      <c r="B451">
        <v>1</v>
      </c>
      <c r="D451" t="s">
        <v>30</v>
      </c>
      <c r="E451" t="s">
        <v>40</v>
      </c>
      <c r="F451" t="s">
        <v>40</v>
      </c>
      <c r="H451" t="s">
        <v>52</v>
      </c>
      <c r="I451" t="s">
        <v>53</v>
      </c>
      <c r="K451">
        <v>30</v>
      </c>
      <c r="M451" s="45">
        <v>46843</v>
      </c>
      <c r="N451" s="45">
        <v>46843</v>
      </c>
      <c r="O451" s="45">
        <v>46843</v>
      </c>
      <c r="P451">
        <v>26803.58702706722</v>
      </c>
      <c r="V451">
        <v>1</v>
      </c>
      <c r="W451" t="s">
        <v>34</v>
      </c>
      <c r="Y451" t="s">
        <v>34</v>
      </c>
      <c r="Z451" t="s">
        <v>35</v>
      </c>
      <c r="AA451">
        <v>1</v>
      </c>
    </row>
    <row r="452" spans="1:27" x14ac:dyDescent="0.35">
      <c r="A452" s="45">
        <v>45936</v>
      </c>
      <c r="B452">
        <v>1</v>
      </c>
      <c r="D452" t="s">
        <v>30</v>
      </c>
      <c r="E452" t="s">
        <v>40</v>
      </c>
      <c r="F452" t="s">
        <v>40</v>
      </c>
      <c r="H452" t="s">
        <v>52</v>
      </c>
      <c r="I452" t="s">
        <v>53</v>
      </c>
      <c r="K452">
        <v>31</v>
      </c>
      <c r="M452" s="45">
        <v>46873</v>
      </c>
      <c r="N452" s="45">
        <v>46873</v>
      </c>
      <c r="O452" s="45">
        <v>46873</v>
      </c>
      <c r="P452">
        <v>26803.58702706722</v>
      </c>
      <c r="V452">
        <v>1</v>
      </c>
      <c r="W452" t="s">
        <v>34</v>
      </c>
      <c r="Y452" t="s">
        <v>34</v>
      </c>
      <c r="Z452" t="s">
        <v>35</v>
      </c>
      <c r="AA452">
        <v>1</v>
      </c>
    </row>
    <row r="453" spans="1:27" x14ac:dyDescent="0.35">
      <c r="A453" s="45">
        <v>45936</v>
      </c>
      <c r="B453">
        <v>1</v>
      </c>
      <c r="D453" t="s">
        <v>30</v>
      </c>
      <c r="E453" t="s">
        <v>40</v>
      </c>
      <c r="F453" t="s">
        <v>40</v>
      </c>
      <c r="H453" t="s">
        <v>52</v>
      </c>
      <c r="I453" t="s">
        <v>53</v>
      </c>
      <c r="K453">
        <v>32</v>
      </c>
      <c r="M453" s="45">
        <v>46904</v>
      </c>
      <c r="N453" s="45">
        <v>46904</v>
      </c>
      <c r="O453" s="45">
        <v>46904</v>
      </c>
      <c r="P453">
        <v>26803.58702706722</v>
      </c>
      <c r="V453">
        <v>1</v>
      </c>
      <c r="W453" t="s">
        <v>34</v>
      </c>
      <c r="Y453" t="s">
        <v>34</v>
      </c>
      <c r="Z453" t="s">
        <v>35</v>
      </c>
      <c r="AA453">
        <v>1</v>
      </c>
    </row>
    <row r="454" spans="1:27" x14ac:dyDescent="0.35">
      <c r="A454" s="45">
        <v>45936</v>
      </c>
      <c r="B454">
        <v>1</v>
      </c>
      <c r="D454" t="s">
        <v>30</v>
      </c>
      <c r="E454" t="s">
        <v>40</v>
      </c>
      <c r="F454" t="s">
        <v>40</v>
      </c>
      <c r="H454" t="s">
        <v>52</v>
      </c>
      <c r="I454" t="s">
        <v>53</v>
      </c>
      <c r="K454">
        <v>33</v>
      </c>
      <c r="M454" s="45">
        <v>46934</v>
      </c>
      <c r="N454" s="45">
        <v>46934</v>
      </c>
      <c r="O454" s="45">
        <v>46934</v>
      </c>
      <c r="P454">
        <v>26803.58702706722</v>
      </c>
      <c r="V454">
        <v>1</v>
      </c>
      <c r="W454" t="s">
        <v>34</v>
      </c>
      <c r="Y454" t="s">
        <v>34</v>
      </c>
      <c r="Z454" t="s">
        <v>35</v>
      </c>
      <c r="AA454">
        <v>1</v>
      </c>
    </row>
    <row r="455" spans="1:27" x14ac:dyDescent="0.35">
      <c r="A455" s="45">
        <v>45936</v>
      </c>
      <c r="B455">
        <v>1</v>
      </c>
      <c r="D455" t="s">
        <v>30</v>
      </c>
      <c r="E455" t="s">
        <v>40</v>
      </c>
      <c r="F455" t="s">
        <v>40</v>
      </c>
      <c r="H455" t="s">
        <v>52</v>
      </c>
      <c r="I455" t="s">
        <v>53</v>
      </c>
      <c r="K455">
        <v>34</v>
      </c>
      <c r="M455" s="45">
        <v>46965</v>
      </c>
      <c r="N455" s="45">
        <v>46965</v>
      </c>
      <c r="O455" s="45">
        <v>46965</v>
      </c>
      <c r="P455">
        <v>26803.58702706722</v>
      </c>
      <c r="V455">
        <v>1</v>
      </c>
      <c r="W455" t="s">
        <v>34</v>
      </c>
      <c r="Y455" t="s">
        <v>34</v>
      </c>
      <c r="Z455" t="s">
        <v>35</v>
      </c>
      <c r="AA455">
        <v>1</v>
      </c>
    </row>
    <row r="456" spans="1:27" x14ac:dyDescent="0.35">
      <c r="A456" s="45">
        <v>45936</v>
      </c>
      <c r="B456">
        <v>1</v>
      </c>
      <c r="D456" t="s">
        <v>30</v>
      </c>
      <c r="E456" t="s">
        <v>40</v>
      </c>
      <c r="F456" t="s">
        <v>40</v>
      </c>
      <c r="H456" t="s">
        <v>52</v>
      </c>
      <c r="I456" t="s">
        <v>53</v>
      </c>
      <c r="K456">
        <v>35</v>
      </c>
      <c r="M456" s="45">
        <v>46996</v>
      </c>
      <c r="N456" s="45">
        <v>46996</v>
      </c>
      <c r="O456" s="45">
        <v>46996</v>
      </c>
      <c r="P456">
        <v>26803.58702706722</v>
      </c>
      <c r="V456">
        <v>1</v>
      </c>
      <c r="W456" t="s">
        <v>34</v>
      </c>
      <c r="Y456" t="s">
        <v>34</v>
      </c>
      <c r="Z456" t="s">
        <v>35</v>
      </c>
      <c r="AA456">
        <v>1</v>
      </c>
    </row>
    <row r="457" spans="1:27" x14ac:dyDescent="0.35">
      <c r="A457" s="45">
        <v>45936</v>
      </c>
      <c r="B457">
        <v>1</v>
      </c>
      <c r="D457" t="s">
        <v>30</v>
      </c>
      <c r="E457" t="s">
        <v>40</v>
      </c>
      <c r="F457" t="s">
        <v>40</v>
      </c>
      <c r="H457" t="s">
        <v>52</v>
      </c>
      <c r="I457" t="s">
        <v>53</v>
      </c>
      <c r="K457">
        <v>36</v>
      </c>
      <c r="M457" s="45">
        <v>47026</v>
      </c>
      <c r="N457" s="45">
        <v>47026</v>
      </c>
      <c r="O457" s="45">
        <v>47026</v>
      </c>
      <c r="P457">
        <v>26803.58702706722</v>
      </c>
      <c r="V457">
        <v>1</v>
      </c>
      <c r="W457" t="s">
        <v>34</v>
      </c>
      <c r="Y457" t="s">
        <v>34</v>
      </c>
      <c r="Z457" t="s">
        <v>35</v>
      </c>
      <c r="AA457">
        <v>1</v>
      </c>
    </row>
    <row r="458" spans="1:27" x14ac:dyDescent="0.35">
      <c r="A458" s="45">
        <v>45936</v>
      </c>
      <c r="B458">
        <v>1</v>
      </c>
      <c r="D458" t="s">
        <v>30</v>
      </c>
      <c r="E458" t="s">
        <v>40</v>
      </c>
      <c r="F458" t="s">
        <v>40</v>
      </c>
      <c r="H458" t="s">
        <v>52</v>
      </c>
      <c r="I458" t="s">
        <v>53</v>
      </c>
      <c r="K458">
        <v>37</v>
      </c>
      <c r="M458" s="45">
        <v>47057</v>
      </c>
      <c r="N458" s="45">
        <v>47057</v>
      </c>
      <c r="O458" s="45">
        <v>47057</v>
      </c>
      <c r="P458">
        <v>26803.58702706722</v>
      </c>
      <c r="V458">
        <v>1</v>
      </c>
      <c r="W458" t="s">
        <v>34</v>
      </c>
      <c r="Y458" t="s">
        <v>34</v>
      </c>
      <c r="Z458" t="s">
        <v>35</v>
      </c>
      <c r="AA458">
        <v>1</v>
      </c>
    </row>
    <row r="459" spans="1:27" x14ac:dyDescent="0.35">
      <c r="A459" s="45">
        <v>45936</v>
      </c>
      <c r="B459">
        <v>1</v>
      </c>
      <c r="D459" t="s">
        <v>30</v>
      </c>
      <c r="E459" t="s">
        <v>40</v>
      </c>
      <c r="F459" t="s">
        <v>40</v>
      </c>
      <c r="H459" t="s">
        <v>52</v>
      </c>
      <c r="I459" t="s">
        <v>53</v>
      </c>
      <c r="K459">
        <v>38</v>
      </c>
      <c r="M459" s="45">
        <v>47087</v>
      </c>
      <c r="N459" s="45">
        <v>47087</v>
      </c>
      <c r="O459" s="45">
        <v>47087</v>
      </c>
      <c r="P459">
        <v>26803.58702706722</v>
      </c>
      <c r="V459">
        <v>1</v>
      </c>
      <c r="W459" t="s">
        <v>34</v>
      </c>
      <c r="Y459" t="s">
        <v>34</v>
      </c>
      <c r="Z459" t="s">
        <v>35</v>
      </c>
      <c r="AA459">
        <v>1</v>
      </c>
    </row>
    <row r="460" spans="1:27" x14ac:dyDescent="0.35">
      <c r="A460" s="45">
        <v>45936</v>
      </c>
      <c r="B460">
        <v>1</v>
      </c>
      <c r="D460" t="s">
        <v>30</v>
      </c>
      <c r="E460" t="s">
        <v>40</v>
      </c>
      <c r="F460" t="s">
        <v>40</v>
      </c>
      <c r="H460" t="s">
        <v>52</v>
      </c>
      <c r="I460" t="s">
        <v>53</v>
      </c>
      <c r="K460">
        <v>39</v>
      </c>
      <c r="M460" s="45">
        <v>47118</v>
      </c>
      <c r="N460" s="45">
        <v>47118</v>
      </c>
      <c r="O460" s="45">
        <v>47118</v>
      </c>
      <c r="P460">
        <v>26803.58702706722</v>
      </c>
      <c r="V460">
        <v>1</v>
      </c>
      <c r="W460" t="s">
        <v>34</v>
      </c>
      <c r="Y460" t="s">
        <v>34</v>
      </c>
      <c r="Z460" t="s">
        <v>35</v>
      </c>
      <c r="AA460">
        <v>1</v>
      </c>
    </row>
    <row r="461" spans="1:27" x14ac:dyDescent="0.35">
      <c r="A461" s="45">
        <v>45936</v>
      </c>
      <c r="B461">
        <v>1</v>
      </c>
      <c r="D461" t="s">
        <v>30</v>
      </c>
      <c r="E461" t="s">
        <v>40</v>
      </c>
      <c r="F461" t="s">
        <v>40</v>
      </c>
      <c r="H461" t="s">
        <v>52</v>
      </c>
      <c r="I461" t="s">
        <v>53</v>
      </c>
      <c r="K461">
        <v>40</v>
      </c>
      <c r="M461" s="45">
        <v>47149</v>
      </c>
      <c r="N461" s="45">
        <v>47149</v>
      </c>
      <c r="O461" s="45">
        <v>47149</v>
      </c>
      <c r="P461">
        <v>26803.58702706722</v>
      </c>
      <c r="V461">
        <v>1</v>
      </c>
      <c r="W461" t="s">
        <v>34</v>
      </c>
      <c r="Y461" t="s">
        <v>34</v>
      </c>
      <c r="Z461" t="s">
        <v>35</v>
      </c>
      <c r="AA461">
        <v>1</v>
      </c>
    </row>
    <row r="462" spans="1:27" x14ac:dyDescent="0.35">
      <c r="A462" s="45">
        <v>45936</v>
      </c>
      <c r="B462">
        <v>1</v>
      </c>
      <c r="D462" t="s">
        <v>30</v>
      </c>
      <c r="E462" t="s">
        <v>40</v>
      </c>
      <c r="F462" t="s">
        <v>40</v>
      </c>
      <c r="H462" t="s">
        <v>52</v>
      </c>
      <c r="I462" t="s">
        <v>53</v>
      </c>
      <c r="K462">
        <v>41</v>
      </c>
      <c r="M462" s="45">
        <v>47177</v>
      </c>
      <c r="N462" s="45">
        <v>47177</v>
      </c>
      <c r="O462" s="45">
        <v>47177</v>
      </c>
      <c r="P462">
        <v>26803.58702706722</v>
      </c>
      <c r="V462">
        <v>1</v>
      </c>
      <c r="W462" t="s">
        <v>34</v>
      </c>
      <c r="Y462" t="s">
        <v>34</v>
      </c>
      <c r="Z462" t="s">
        <v>35</v>
      </c>
      <c r="AA462">
        <v>1</v>
      </c>
    </row>
    <row r="463" spans="1:27" x14ac:dyDescent="0.35">
      <c r="A463" s="45">
        <v>45936</v>
      </c>
      <c r="B463">
        <v>1</v>
      </c>
      <c r="D463" t="s">
        <v>30</v>
      </c>
      <c r="E463" t="s">
        <v>40</v>
      </c>
      <c r="F463" t="s">
        <v>40</v>
      </c>
      <c r="H463" t="s">
        <v>52</v>
      </c>
      <c r="I463" t="s">
        <v>53</v>
      </c>
      <c r="K463">
        <v>42</v>
      </c>
      <c r="M463" s="45">
        <v>47208</v>
      </c>
      <c r="N463" s="45">
        <v>47208</v>
      </c>
      <c r="O463" s="45">
        <v>47208</v>
      </c>
      <c r="P463">
        <v>26803.58702706722</v>
      </c>
      <c r="V463">
        <v>1</v>
      </c>
      <c r="W463" t="s">
        <v>34</v>
      </c>
      <c r="Y463" t="s">
        <v>34</v>
      </c>
      <c r="Z463" t="s">
        <v>35</v>
      </c>
      <c r="AA463">
        <v>1</v>
      </c>
    </row>
    <row r="464" spans="1:27" x14ac:dyDescent="0.35">
      <c r="A464" s="45">
        <v>45936</v>
      </c>
      <c r="B464">
        <v>1</v>
      </c>
      <c r="D464" t="s">
        <v>30</v>
      </c>
      <c r="E464" t="s">
        <v>40</v>
      </c>
      <c r="F464" t="s">
        <v>40</v>
      </c>
      <c r="H464" t="s">
        <v>52</v>
      </c>
      <c r="I464" t="s">
        <v>53</v>
      </c>
      <c r="K464">
        <v>43</v>
      </c>
      <c r="M464" s="45">
        <v>47238</v>
      </c>
      <c r="N464" s="45">
        <v>47238</v>
      </c>
      <c r="O464" s="45">
        <v>47238</v>
      </c>
      <c r="P464">
        <v>26803.58702706722</v>
      </c>
      <c r="V464">
        <v>1</v>
      </c>
      <c r="W464" t="s">
        <v>34</v>
      </c>
      <c r="Y464" t="s">
        <v>34</v>
      </c>
      <c r="Z464" t="s">
        <v>35</v>
      </c>
      <c r="AA464">
        <v>1</v>
      </c>
    </row>
    <row r="465" spans="1:27" x14ac:dyDescent="0.35">
      <c r="A465" s="45">
        <v>45936</v>
      </c>
      <c r="B465">
        <v>1</v>
      </c>
      <c r="D465" t="s">
        <v>30</v>
      </c>
      <c r="E465" t="s">
        <v>40</v>
      </c>
      <c r="F465" t="s">
        <v>40</v>
      </c>
      <c r="H465" t="s">
        <v>52</v>
      </c>
      <c r="I465" t="s">
        <v>53</v>
      </c>
      <c r="K465">
        <v>44</v>
      </c>
      <c r="M465" s="45">
        <v>47269</v>
      </c>
      <c r="N465" s="45">
        <v>47269</v>
      </c>
      <c r="O465" s="45">
        <v>47269</v>
      </c>
      <c r="P465">
        <v>26803.58702706722</v>
      </c>
      <c r="V465">
        <v>1</v>
      </c>
      <c r="W465" t="s">
        <v>34</v>
      </c>
      <c r="Y465" t="s">
        <v>34</v>
      </c>
      <c r="Z465" t="s">
        <v>35</v>
      </c>
      <c r="AA465">
        <v>1</v>
      </c>
    </row>
    <row r="466" spans="1:27" x14ac:dyDescent="0.35">
      <c r="A466" s="45">
        <v>45936</v>
      </c>
      <c r="B466">
        <v>1</v>
      </c>
      <c r="D466" t="s">
        <v>30</v>
      </c>
      <c r="E466" t="s">
        <v>40</v>
      </c>
      <c r="F466" t="s">
        <v>40</v>
      </c>
      <c r="H466" t="s">
        <v>52</v>
      </c>
      <c r="I466" t="s">
        <v>53</v>
      </c>
      <c r="K466">
        <v>45</v>
      </c>
      <c r="M466" s="45">
        <v>47299</v>
      </c>
      <c r="N466" s="45">
        <v>47299</v>
      </c>
      <c r="O466" s="45">
        <v>47299</v>
      </c>
      <c r="P466">
        <v>26803.58702706722</v>
      </c>
      <c r="V466">
        <v>1</v>
      </c>
      <c r="W466" t="s">
        <v>34</v>
      </c>
      <c r="Y466" t="s">
        <v>34</v>
      </c>
      <c r="Z466" t="s">
        <v>35</v>
      </c>
      <c r="AA466">
        <v>1</v>
      </c>
    </row>
    <row r="467" spans="1:27" x14ac:dyDescent="0.35">
      <c r="A467" s="45">
        <v>45936</v>
      </c>
      <c r="B467">
        <v>1</v>
      </c>
      <c r="D467" t="s">
        <v>30</v>
      </c>
      <c r="E467" t="s">
        <v>40</v>
      </c>
      <c r="F467" t="s">
        <v>40</v>
      </c>
      <c r="H467" t="s">
        <v>52</v>
      </c>
      <c r="I467" t="s">
        <v>53</v>
      </c>
      <c r="K467">
        <v>46</v>
      </c>
      <c r="M467" s="45">
        <v>47330</v>
      </c>
      <c r="N467" s="45">
        <v>47330</v>
      </c>
      <c r="O467" s="45">
        <v>47330</v>
      </c>
      <c r="P467">
        <v>26803.58702706722</v>
      </c>
      <c r="V467">
        <v>1</v>
      </c>
      <c r="W467" t="s">
        <v>34</v>
      </c>
      <c r="Y467" t="s">
        <v>34</v>
      </c>
      <c r="Z467" t="s">
        <v>35</v>
      </c>
      <c r="AA467">
        <v>1</v>
      </c>
    </row>
    <row r="468" spans="1:27" x14ac:dyDescent="0.35">
      <c r="A468" s="45">
        <v>45936</v>
      </c>
      <c r="B468">
        <v>1</v>
      </c>
      <c r="D468" t="s">
        <v>30</v>
      </c>
      <c r="E468" t="s">
        <v>40</v>
      </c>
      <c r="F468" t="s">
        <v>40</v>
      </c>
      <c r="H468" t="s">
        <v>52</v>
      </c>
      <c r="I468" t="s">
        <v>53</v>
      </c>
      <c r="K468">
        <v>47</v>
      </c>
      <c r="M468" s="45">
        <v>47361</v>
      </c>
      <c r="N468" s="45">
        <v>47361</v>
      </c>
      <c r="O468" s="45">
        <v>47361</v>
      </c>
      <c r="P468">
        <v>26803.58702706722</v>
      </c>
      <c r="V468">
        <v>1</v>
      </c>
      <c r="W468" t="s">
        <v>34</v>
      </c>
      <c r="Y468" t="s">
        <v>34</v>
      </c>
      <c r="Z468" t="s">
        <v>35</v>
      </c>
      <c r="AA468">
        <v>1</v>
      </c>
    </row>
    <row r="469" spans="1:27" x14ac:dyDescent="0.35">
      <c r="A469" s="45">
        <v>45936</v>
      </c>
      <c r="B469">
        <v>1</v>
      </c>
      <c r="D469" t="s">
        <v>30</v>
      </c>
      <c r="E469" t="s">
        <v>40</v>
      </c>
      <c r="F469" t="s">
        <v>40</v>
      </c>
      <c r="H469" t="s">
        <v>52</v>
      </c>
      <c r="I469" t="s">
        <v>53</v>
      </c>
      <c r="K469">
        <v>48</v>
      </c>
      <c r="M469" s="45">
        <v>47391</v>
      </c>
      <c r="N469" s="45">
        <v>47391</v>
      </c>
      <c r="O469" s="45">
        <v>47391</v>
      </c>
      <c r="P469">
        <v>26803.58702706722</v>
      </c>
      <c r="V469">
        <v>1</v>
      </c>
      <c r="W469" t="s">
        <v>34</v>
      </c>
      <c r="Y469" t="s">
        <v>34</v>
      </c>
      <c r="Z469" t="s">
        <v>35</v>
      </c>
      <c r="AA469">
        <v>1</v>
      </c>
    </row>
    <row r="470" spans="1:27" x14ac:dyDescent="0.35">
      <c r="A470" s="45">
        <v>45936</v>
      </c>
      <c r="B470">
        <v>1</v>
      </c>
      <c r="D470" t="s">
        <v>30</v>
      </c>
      <c r="E470" t="s">
        <v>40</v>
      </c>
      <c r="F470" t="s">
        <v>40</v>
      </c>
      <c r="H470" t="s">
        <v>52</v>
      </c>
      <c r="I470" t="s">
        <v>53</v>
      </c>
      <c r="K470">
        <v>49</v>
      </c>
      <c r="M470" s="45">
        <v>47422</v>
      </c>
      <c r="N470" s="45">
        <v>47422</v>
      </c>
      <c r="O470" s="45">
        <v>47422</v>
      </c>
      <c r="P470">
        <v>26803.58702706722</v>
      </c>
      <c r="V470">
        <v>1</v>
      </c>
      <c r="W470" t="s">
        <v>34</v>
      </c>
      <c r="Y470" t="s">
        <v>34</v>
      </c>
      <c r="Z470" t="s">
        <v>35</v>
      </c>
      <c r="AA470">
        <v>1</v>
      </c>
    </row>
    <row r="471" spans="1:27" x14ac:dyDescent="0.35">
      <c r="A471" s="45">
        <v>45936</v>
      </c>
      <c r="B471">
        <v>1</v>
      </c>
      <c r="D471" t="s">
        <v>30</v>
      </c>
      <c r="E471" t="s">
        <v>40</v>
      </c>
      <c r="F471" t="s">
        <v>40</v>
      </c>
      <c r="H471" t="s">
        <v>52</v>
      </c>
      <c r="I471" t="s">
        <v>53</v>
      </c>
      <c r="K471">
        <v>50</v>
      </c>
      <c r="M471" s="45">
        <v>47452</v>
      </c>
      <c r="N471" s="45">
        <v>47452</v>
      </c>
      <c r="O471" s="45">
        <v>47452</v>
      </c>
      <c r="P471">
        <v>26803.58702706722</v>
      </c>
      <c r="V471">
        <v>1</v>
      </c>
      <c r="W471" t="s">
        <v>34</v>
      </c>
      <c r="Y471" t="s">
        <v>34</v>
      </c>
      <c r="Z471" t="s">
        <v>35</v>
      </c>
      <c r="AA471">
        <v>1</v>
      </c>
    </row>
    <row r="472" spans="1:27" x14ac:dyDescent="0.35">
      <c r="A472" s="45">
        <v>45936</v>
      </c>
      <c r="B472">
        <v>1</v>
      </c>
      <c r="D472" t="s">
        <v>30</v>
      </c>
      <c r="E472" t="s">
        <v>40</v>
      </c>
      <c r="F472" t="s">
        <v>40</v>
      </c>
      <c r="H472" t="s">
        <v>52</v>
      </c>
      <c r="I472" t="s">
        <v>53</v>
      </c>
      <c r="K472">
        <v>51</v>
      </c>
      <c r="M472" s="45">
        <v>47483</v>
      </c>
      <c r="N472" s="45">
        <v>47483</v>
      </c>
      <c r="O472" s="45">
        <v>47483</v>
      </c>
      <c r="P472">
        <v>26803.58702706722</v>
      </c>
      <c r="V472">
        <v>1</v>
      </c>
      <c r="W472" t="s">
        <v>34</v>
      </c>
      <c r="Y472" t="s">
        <v>34</v>
      </c>
      <c r="Z472" t="s">
        <v>35</v>
      </c>
      <c r="AA472">
        <v>1</v>
      </c>
    </row>
    <row r="473" spans="1:27" x14ac:dyDescent="0.35">
      <c r="A473" s="45">
        <v>45936</v>
      </c>
      <c r="B473">
        <v>1</v>
      </c>
      <c r="D473" t="s">
        <v>30</v>
      </c>
      <c r="E473" t="s">
        <v>40</v>
      </c>
      <c r="F473" t="s">
        <v>40</v>
      </c>
      <c r="H473" t="s">
        <v>52</v>
      </c>
      <c r="I473" t="s">
        <v>53</v>
      </c>
      <c r="K473">
        <v>52</v>
      </c>
      <c r="M473" s="45">
        <v>47514</v>
      </c>
      <c r="N473" s="45">
        <v>47514</v>
      </c>
      <c r="O473" s="45">
        <v>47514</v>
      </c>
      <c r="P473">
        <v>26803.58702706722</v>
      </c>
      <c r="V473">
        <v>1</v>
      </c>
      <c r="W473" t="s">
        <v>34</v>
      </c>
      <c r="Y473" t="s">
        <v>34</v>
      </c>
      <c r="Z473" t="s">
        <v>35</v>
      </c>
      <c r="AA473">
        <v>1</v>
      </c>
    </row>
    <row r="474" spans="1:27" x14ac:dyDescent="0.35">
      <c r="A474" s="45">
        <v>45936</v>
      </c>
      <c r="B474">
        <v>1</v>
      </c>
      <c r="D474" t="s">
        <v>30</v>
      </c>
      <c r="E474" t="s">
        <v>40</v>
      </c>
      <c r="F474" t="s">
        <v>40</v>
      </c>
      <c r="H474" t="s">
        <v>52</v>
      </c>
      <c r="I474" t="s">
        <v>53</v>
      </c>
      <c r="K474">
        <v>53</v>
      </c>
      <c r="M474" s="45">
        <v>47542</v>
      </c>
      <c r="N474" s="45">
        <v>47542</v>
      </c>
      <c r="O474" s="45">
        <v>47542</v>
      </c>
      <c r="P474">
        <v>26803.58702706722</v>
      </c>
      <c r="V474">
        <v>1</v>
      </c>
      <c r="W474" t="s">
        <v>34</v>
      </c>
      <c r="Y474" t="s">
        <v>34</v>
      </c>
      <c r="Z474" t="s">
        <v>35</v>
      </c>
      <c r="AA474">
        <v>1</v>
      </c>
    </row>
    <row r="475" spans="1:27" x14ac:dyDescent="0.35">
      <c r="A475" s="45">
        <v>45936</v>
      </c>
      <c r="B475">
        <v>1</v>
      </c>
      <c r="D475" t="s">
        <v>30</v>
      </c>
      <c r="E475" t="s">
        <v>40</v>
      </c>
      <c r="F475" t="s">
        <v>40</v>
      </c>
      <c r="H475" t="s">
        <v>52</v>
      </c>
      <c r="I475" t="s">
        <v>53</v>
      </c>
      <c r="K475">
        <v>54</v>
      </c>
      <c r="M475" s="45">
        <v>47573</v>
      </c>
      <c r="N475" s="45">
        <v>47573</v>
      </c>
      <c r="O475" s="45">
        <v>47573</v>
      </c>
      <c r="P475">
        <v>26803.58702706722</v>
      </c>
      <c r="V475">
        <v>1</v>
      </c>
      <c r="W475" t="s">
        <v>34</v>
      </c>
      <c r="Y475" t="s">
        <v>34</v>
      </c>
      <c r="Z475" t="s">
        <v>35</v>
      </c>
      <c r="AA475">
        <v>1</v>
      </c>
    </row>
    <row r="476" spans="1:27" x14ac:dyDescent="0.35">
      <c r="A476" s="45">
        <v>45936</v>
      </c>
      <c r="B476">
        <v>1</v>
      </c>
      <c r="D476" t="s">
        <v>30</v>
      </c>
      <c r="E476" t="s">
        <v>40</v>
      </c>
      <c r="F476" t="s">
        <v>40</v>
      </c>
      <c r="H476" t="s">
        <v>52</v>
      </c>
      <c r="I476" t="s">
        <v>53</v>
      </c>
      <c r="K476">
        <v>55</v>
      </c>
      <c r="M476" s="45">
        <v>47603</v>
      </c>
      <c r="N476" s="45">
        <v>47603</v>
      </c>
      <c r="O476" s="45">
        <v>47603</v>
      </c>
      <c r="P476">
        <v>26803.58702706722</v>
      </c>
      <c r="V476">
        <v>1</v>
      </c>
      <c r="W476" t="s">
        <v>34</v>
      </c>
      <c r="Y476" t="s">
        <v>34</v>
      </c>
      <c r="Z476" t="s">
        <v>35</v>
      </c>
      <c r="AA476">
        <v>1</v>
      </c>
    </row>
    <row r="477" spans="1:27" x14ac:dyDescent="0.35">
      <c r="A477" s="45">
        <v>45936</v>
      </c>
      <c r="B477">
        <v>1</v>
      </c>
      <c r="D477" t="s">
        <v>30</v>
      </c>
      <c r="E477" t="s">
        <v>40</v>
      </c>
      <c r="F477" t="s">
        <v>40</v>
      </c>
      <c r="H477" t="s">
        <v>52</v>
      </c>
      <c r="I477" t="s">
        <v>53</v>
      </c>
      <c r="K477">
        <v>56</v>
      </c>
      <c r="M477" s="45">
        <v>47634</v>
      </c>
      <c r="N477" s="45">
        <v>47634</v>
      </c>
      <c r="O477" s="45">
        <v>47634</v>
      </c>
      <c r="P477">
        <v>26803.58702706722</v>
      </c>
      <c r="V477">
        <v>1</v>
      </c>
      <c r="W477" t="s">
        <v>34</v>
      </c>
      <c r="Y477" t="s">
        <v>34</v>
      </c>
      <c r="Z477" t="s">
        <v>35</v>
      </c>
      <c r="AA477">
        <v>1</v>
      </c>
    </row>
    <row r="478" spans="1:27" x14ac:dyDescent="0.35">
      <c r="A478" s="45">
        <v>45936</v>
      </c>
      <c r="B478">
        <v>1</v>
      </c>
      <c r="D478" t="s">
        <v>30</v>
      </c>
      <c r="E478" t="s">
        <v>40</v>
      </c>
      <c r="F478" t="s">
        <v>40</v>
      </c>
      <c r="H478" t="s">
        <v>52</v>
      </c>
      <c r="I478" t="s">
        <v>53</v>
      </c>
      <c r="K478">
        <v>57</v>
      </c>
      <c r="M478" s="45">
        <v>47664</v>
      </c>
      <c r="N478" s="45">
        <v>47664</v>
      </c>
      <c r="O478" s="45">
        <v>47664</v>
      </c>
      <c r="P478">
        <v>26803.58702706722</v>
      </c>
      <c r="V478">
        <v>1</v>
      </c>
      <c r="W478" t="s">
        <v>34</v>
      </c>
      <c r="Y478" t="s">
        <v>34</v>
      </c>
      <c r="Z478" t="s">
        <v>35</v>
      </c>
      <c r="AA478">
        <v>1</v>
      </c>
    </row>
    <row r="479" spans="1:27" x14ac:dyDescent="0.35">
      <c r="A479" s="45">
        <v>45936</v>
      </c>
      <c r="B479">
        <v>1</v>
      </c>
      <c r="D479" t="s">
        <v>30</v>
      </c>
      <c r="E479" t="s">
        <v>40</v>
      </c>
      <c r="F479" t="s">
        <v>40</v>
      </c>
      <c r="H479" t="s">
        <v>52</v>
      </c>
      <c r="I479" t="s">
        <v>53</v>
      </c>
      <c r="K479">
        <v>58</v>
      </c>
      <c r="M479" s="45">
        <v>47695</v>
      </c>
      <c r="N479" s="45">
        <v>47695</v>
      </c>
      <c r="O479" s="45">
        <v>47695</v>
      </c>
      <c r="P479">
        <v>26803.58702706722</v>
      </c>
      <c r="V479">
        <v>1</v>
      </c>
      <c r="W479" t="s">
        <v>34</v>
      </c>
      <c r="Y479" t="s">
        <v>34</v>
      </c>
      <c r="Z479" t="s">
        <v>35</v>
      </c>
      <c r="AA479">
        <v>1</v>
      </c>
    </row>
    <row r="480" spans="1:27" x14ac:dyDescent="0.35">
      <c r="A480" s="45">
        <v>45936</v>
      </c>
      <c r="B480">
        <v>1</v>
      </c>
      <c r="D480" t="s">
        <v>30</v>
      </c>
      <c r="E480" t="s">
        <v>40</v>
      </c>
      <c r="F480" t="s">
        <v>40</v>
      </c>
      <c r="H480" t="s">
        <v>52</v>
      </c>
      <c r="I480" t="s">
        <v>53</v>
      </c>
      <c r="K480">
        <v>59</v>
      </c>
      <c r="M480" s="45">
        <v>47726</v>
      </c>
      <c r="N480" s="45">
        <v>47726</v>
      </c>
      <c r="O480" s="45">
        <v>47726</v>
      </c>
      <c r="P480">
        <v>26803.58702706722</v>
      </c>
      <c r="V480">
        <v>1</v>
      </c>
      <c r="W480" t="s">
        <v>34</v>
      </c>
      <c r="Y480" t="s">
        <v>34</v>
      </c>
      <c r="Z480" t="s">
        <v>35</v>
      </c>
      <c r="AA480">
        <v>1</v>
      </c>
    </row>
    <row r="481" spans="1:27" x14ac:dyDescent="0.35">
      <c r="A481" s="45">
        <v>45936</v>
      </c>
      <c r="B481">
        <v>1</v>
      </c>
      <c r="D481" t="s">
        <v>30</v>
      </c>
      <c r="E481" t="s">
        <v>40</v>
      </c>
      <c r="F481" t="s">
        <v>40</v>
      </c>
      <c r="H481" t="s">
        <v>52</v>
      </c>
      <c r="I481" t="s">
        <v>53</v>
      </c>
      <c r="K481">
        <v>60</v>
      </c>
      <c r="M481" s="45">
        <v>47756</v>
      </c>
      <c r="N481" s="45">
        <v>47756</v>
      </c>
      <c r="O481" s="45">
        <v>47756</v>
      </c>
      <c r="P481">
        <v>26803.58702706722</v>
      </c>
      <c r="V481">
        <v>1</v>
      </c>
      <c r="W481" t="s">
        <v>34</v>
      </c>
      <c r="Y481" t="s">
        <v>34</v>
      </c>
      <c r="Z481" t="s">
        <v>35</v>
      </c>
      <c r="AA481">
        <v>1</v>
      </c>
    </row>
    <row r="482" spans="1:27" x14ac:dyDescent="0.35">
      <c r="A482" s="45">
        <v>45936</v>
      </c>
      <c r="B482">
        <v>1</v>
      </c>
      <c r="D482" t="s">
        <v>30</v>
      </c>
      <c r="E482" t="s">
        <v>40</v>
      </c>
      <c r="F482" t="s">
        <v>40</v>
      </c>
      <c r="H482" t="s">
        <v>52</v>
      </c>
      <c r="I482" t="s">
        <v>53</v>
      </c>
      <c r="K482">
        <v>61</v>
      </c>
      <c r="M482" s="45">
        <v>47787</v>
      </c>
      <c r="N482" s="45">
        <v>47787</v>
      </c>
      <c r="O482" s="45">
        <v>47787</v>
      </c>
      <c r="P482">
        <v>26803.58702706722</v>
      </c>
      <c r="V482">
        <v>1</v>
      </c>
      <c r="W482" t="s">
        <v>34</v>
      </c>
      <c r="Y482" t="s">
        <v>34</v>
      </c>
      <c r="Z482" t="s">
        <v>35</v>
      </c>
      <c r="AA482">
        <v>1</v>
      </c>
    </row>
    <row r="483" spans="1:27" x14ac:dyDescent="0.35">
      <c r="A483" s="45">
        <v>45936</v>
      </c>
      <c r="B483">
        <v>1</v>
      </c>
      <c r="D483" t="s">
        <v>30</v>
      </c>
      <c r="E483" t="s">
        <v>40</v>
      </c>
      <c r="F483" t="s">
        <v>40</v>
      </c>
      <c r="H483" t="s">
        <v>52</v>
      </c>
      <c r="I483" t="s">
        <v>53</v>
      </c>
      <c r="K483">
        <v>62</v>
      </c>
      <c r="M483" s="45">
        <v>47817</v>
      </c>
      <c r="N483" s="45">
        <v>47817</v>
      </c>
      <c r="O483" s="45">
        <v>47817</v>
      </c>
      <c r="P483">
        <v>26803.58702706722</v>
      </c>
      <c r="V483">
        <v>1</v>
      </c>
      <c r="W483" t="s">
        <v>34</v>
      </c>
      <c r="Y483" t="s">
        <v>34</v>
      </c>
      <c r="Z483" t="s">
        <v>35</v>
      </c>
      <c r="AA483">
        <v>1</v>
      </c>
    </row>
    <row r="484" spans="1:27" x14ac:dyDescent="0.35">
      <c r="A484" s="45">
        <v>45936</v>
      </c>
      <c r="B484">
        <v>1</v>
      </c>
      <c r="D484" t="s">
        <v>30</v>
      </c>
      <c r="E484" t="s">
        <v>40</v>
      </c>
      <c r="F484" t="s">
        <v>40</v>
      </c>
      <c r="H484" t="s">
        <v>52</v>
      </c>
      <c r="I484" t="s">
        <v>53</v>
      </c>
      <c r="K484">
        <v>63</v>
      </c>
      <c r="M484" s="45">
        <v>47848</v>
      </c>
      <c r="N484" s="45">
        <v>47848</v>
      </c>
      <c r="O484" s="45">
        <v>47848</v>
      </c>
      <c r="P484">
        <v>26803.58702706722</v>
      </c>
      <c r="V484">
        <v>1</v>
      </c>
      <c r="W484" t="s">
        <v>34</v>
      </c>
      <c r="Y484" t="s">
        <v>34</v>
      </c>
      <c r="Z484" t="s">
        <v>35</v>
      </c>
      <c r="AA484">
        <v>1</v>
      </c>
    </row>
    <row r="485" spans="1:27" x14ac:dyDescent="0.35">
      <c r="A485" s="45">
        <v>45936</v>
      </c>
      <c r="B485">
        <v>1</v>
      </c>
      <c r="D485" t="s">
        <v>30</v>
      </c>
      <c r="E485" t="s">
        <v>40</v>
      </c>
      <c r="F485" t="s">
        <v>40</v>
      </c>
      <c r="H485" t="s">
        <v>52</v>
      </c>
      <c r="I485" t="s">
        <v>53</v>
      </c>
      <c r="K485">
        <v>64</v>
      </c>
      <c r="M485" s="45">
        <v>47879</v>
      </c>
      <c r="N485" s="45">
        <v>47879</v>
      </c>
      <c r="O485" s="45">
        <v>47879</v>
      </c>
      <c r="P485">
        <v>26803.58702706722</v>
      </c>
      <c r="V485">
        <v>1</v>
      </c>
      <c r="W485" t="s">
        <v>34</v>
      </c>
      <c r="Y485" t="s">
        <v>34</v>
      </c>
      <c r="Z485" t="s">
        <v>35</v>
      </c>
      <c r="AA485">
        <v>1</v>
      </c>
    </row>
    <row r="486" spans="1:27" x14ac:dyDescent="0.35">
      <c r="A486" s="45">
        <v>45936</v>
      </c>
      <c r="B486">
        <v>1</v>
      </c>
      <c r="D486" t="s">
        <v>30</v>
      </c>
      <c r="E486" t="s">
        <v>40</v>
      </c>
      <c r="F486" t="s">
        <v>40</v>
      </c>
      <c r="H486" t="s">
        <v>52</v>
      </c>
      <c r="I486" t="s">
        <v>53</v>
      </c>
      <c r="K486">
        <v>65</v>
      </c>
      <c r="M486" s="45">
        <v>47907</v>
      </c>
      <c r="N486" s="45">
        <v>47907</v>
      </c>
      <c r="O486" s="45">
        <v>47907</v>
      </c>
      <c r="P486">
        <v>26803.58702706722</v>
      </c>
      <c r="V486">
        <v>1</v>
      </c>
      <c r="W486" t="s">
        <v>34</v>
      </c>
      <c r="Y486" t="s">
        <v>34</v>
      </c>
      <c r="Z486" t="s">
        <v>35</v>
      </c>
      <c r="AA486">
        <v>1</v>
      </c>
    </row>
    <row r="487" spans="1:27" x14ac:dyDescent="0.35">
      <c r="A487" s="45">
        <v>45936</v>
      </c>
      <c r="B487">
        <v>1</v>
      </c>
      <c r="D487" t="s">
        <v>30</v>
      </c>
      <c r="E487" t="s">
        <v>40</v>
      </c>
      <c r="F487" t="s">
        <v>40</v>
      </c>
      <c r="H487" t="s">
        <v>52</v>
      </c>
      <c r="I487" t="s">
        <v>53</v>
      </c>
      <c r="K487">
        <v>66</v>
      </c>
      <c r="M487" s="45">
        <v>47938</v>
      </c>
      <c r="N487" s="45">
        <v>47938</v>
      </c>
      <c r="O487" s="45">
        <v>47938</v>
      </c>
      <c r="P487">
        <v>26803.58702706722</v>
      </c>
      <c r="V487">
        <v>1</v>
      </c>
      <c r="W487" t="s">
        <v>34</v>
      </c>
      <c r="Y487" t="s">
        <v>34</v>
      </c>
      <c r="Z487" t="s">
        <v>35</v>
      </c>
      <c r="AA487">
        <v>1</v>
      </c>
    </row>
    <row r="488" spans="1:27" x14ac:dyDescent="0.35">
      <c r="A488" s="45">
        <v>45936</v>
      </c>
      <c r="B488">
        <v>1</v>
      </c>
      <c r="D488" t="s">
        <v>30</v>
      </c>
      <c r="E488" t="s">
        <v>40</v>
      </c>
      <c r="F488" t="s">
        <v>40</v>
      </c>
      <c r="H488" t="s">
        <v>52</v>
      </c>
      <c r="I488" t="s">
        <v>53</v>
      </c>
      <c r="K488">
        <v>67</v>
      </c>
      <c r="M488" s="45">
        <v>47968</v>
      </c>
      <c r="N488" s="45">
        <v>47968</v>
      </c>
      <c r="O488" s="45">
        <v>47968</v>
      </c>
      <c r="P488">
        <v>26803.58702706722</v>
      </c>
      <c r="V488">
        <v>1</v>
      </c>
      <c r="W488" t="s">
        <v>34</v>
      </c>
      <c r="Y488" t="s">
        <v>34</v>
      </c>
      <c r="Z488" t="s">
        <v>35</v>
      </c>
      <c r="AA488">
        <v>1</v>
      </c>
    </row>
    <row r="489" spans="1:27" x14ac:dyDescent="0.35">
      <c r="A489" s="45">
        <v>45936</v>
      </c>
      <c r="B489">
        <v>1</v>
      </c>
      <c r="D489" t="s">
        <v>30</v>
      </c>
      <c r="E489" t="s">
        <v>40</v>
      </c>
      <c r="F489" t="s">
        <v>40</v>
      </c>
      <c r="H489" t="s">
        <v>52</v>
      </c>
      <c r="I489" t="s">
        <v>53</v>
      </c>
      <c r="K489">
        <v>68</v>
      </c>
      <c r="M489" s="45">
        <v>47999</v>
      </c>
      <c r="N489" s="45">
        <v>47999</v>
      </c>
      <c r="O489" s="45">
        <v>47999</v>
      </c>
      <c r="P489">
        <v>26803.58702706722</v>
      </c>
      <c r="V489">
        <v>1</v>
      </c>
      <c r="W489" t="s">
        <v>34</v>
      </c>
      <c r="Y489" t="s">
        <v>34</v>
      </c>
      <c r="Z489" t="s">
        <v>35</v>
      </c>
      <c r="AA489">
        <v>1</v>
      </c>
    </row>
    <row r="490" spans="1:27" x14ac:dyDescent="0.35">
      <c r="A490" s="45">
        <v>45936</v>
      </c>
      <c r="B490">
        <v>1</v>
      </c>
      <c r="D490" t="s">
        <v>30</v>
      </c>
      <c r="E490" t="s">
        <v>40</v>
      </c>
      <c r="F490" t="s">
        <v>40</v>
      </c>
      <c r="H490" t="s">
        <v>52</v>
      </c>
      <c r="I490" t="s">
        <v>53</v>
      </c>
      <c r="K490">
        <v>69</v>
      </c>
      <c r="M490" s="45">
        <v>48029</v>
      </c>
      <c r="N490" s="45">
        <v>48029</v>
      </c>
      <c r="O490" s="45">
        <v>48029</v>
      </c>
      <c r="P490">
        <v>26803.58702706722</v>
      </c>
      <c r="V490">
        <v>1</v>
      </c>
      <c r="W490" t="s">
        <v>34</v>
      </c>
      <c r="Y490" t="s">
        <v>34</v>
      </c>
      <c r="Z490" t="s">
        <v>35</v>
      </c>
      <c r="AA490">
        <v>1</v>
      </c>
    </row>
    <row r="491" spans="1:27" x14ac:dyDescent="0.35">
      <c r="A491" s="45">
        <v>45936</v>
      </c>
      <c r="B491">
        <v>1</v>
      </c>
      <c r="D491" t="s">
        <v>30</v>
      </c>
      <c r="E491" t="s">
        <v>40</v>
      </c>
      <c r="F491" t="s">
        <v>40</v>
      </c>
      <c r="H491" t="s">
        <v>52</v>
      </c>
      <c r="I491" t="s">
        <v>53</v>
      </c>
      <c r="K491">
        <v>70</v>
      </c>
      <c r="M491" s="45">
        <v>48060</v>
      </c>
      <c r="N491" s="45">
        <v>48060</v>
      </c>
      <c r="O491" s="45">
        <v>48060</v>
      </c>
      <c r="P491">
        <v>26803.58702706722</v>
      </c>
      <c r="V491">
        <v>1</v>
      </c>
      <c r="W491" t="s">
        <v>34</v>
      </c>
      <c r="Y491" t="s">
        <v>34</v>
      </c>
      <c r="Z491" t="s">
        <v>35</v>
      </c>
      <c r="AA491">
        <v>1</v>
      </c>
    </row>
    <row r="492" spans="1:27" x14ac:dyDescent="0.35">
      <c r="A492" s="45">
        <v>45936</v>
      </c>
      <c r="B492">
        <v>1</v>
      </c>
      <c r="D492" t="s">
        <v>30</v>
      </c>
      <c r="E492" t="s">
        <v>40</v>
      </c>
      <c r="F492" t="s">
        <v>40</v>
      </c>
      <c r="H492" t="s">
        <v>52</v>
      </c>
      <c r="I492" t="s">
        <v>53</v>
      </c>
      <c r="K492">
        <v>71</v>
      </c>
      <c r="M492" s="45">
        <v>48091</v>
      </c>
      <c r="N492" s="45">
        <v>48091</v>
      </c>
      <c r="O492" s="45">
        <v>48091</v>
      </c>
      <c r="P492">
        <v>26803.58702706722</v>
      </c>
      <c r="V492">
        <v>1</v>
      </c>
      <c r="W492" t="s">
        <v>34</v>
      </c>
      <c r="Y492" t="s">
        <v>34</v>
      </c>
      <c r="Z492" t="s">
        <v>35</v>
      </c>
      <c r="AA492">
        <v>1</v>
      </c>
    </row>
    <row r="493" spans="1:27" x14ac:dyDescent="0.35">
      <c r="A493" s="45">
        <v>45936</v>
      </c>
      <c r="B493">
        <v>1</v>
      </c>
      <c r="D493" t="s">
        <v>30</v>
      </c>
      <c r="E493" t="s">
        <v>40</v>
      </c>
      <c r="F493" t="s">
        <v>40</v>
      </c>
      <c r="H493" t="s">
        <v>52</v>
      </c>
      <c r="I493" t="s">
        <v>53</v>
      </c>
      <c r="K493">
        <v>72</v>
      </c>
      <c r="M493" s="45">
        <v>48121</v>
      </c>
      <c r="N493" s="45">
        <v>48121</v>
      </c>
      <c r="O493" s="45">
        <v>48121</v>
      </c>
      <c r="P493">
        <v>26803.58702706722</v>
      </c>
      <c r="V493">
        <v>1</v>
      </c>
      <c r="W493" t="s">
        <v>34</v>
      </c>
      <c r="Y493" t="s">
        <v>34</v>
      </c>
      <c r="Z493" t="s">
        <v>35</v>
      </c>
      <c r="AA493">
        <v>1</v>
      </c>
    </row>
    <row r="494" spans="1:27" x14ac:dyDescent="0.35">
      <c r="A494" s="45">
        <v>45936</v>
      </c>
      <c r="B494">
        <v>1</v>
      </c>
      <c r="D494" t="s">
        <v>30</v>
      </c>
      <c r="E494" t="s">
        <v>40</v>
      </c>
      <c r="F494" t="s">
        <v>40</v>
      </c>
      <c r="H494" t="s">
        <v>52</v>
      </c>
      <c r="I494" t="s">
        <v>53</v>
      </c>
      <c r="K494">
        <v>73</v>
      </c>
      <c r="M494" s="45">
        <v>48152</v>
      </c>
      <c r="N494" s="45">
        <v>48152</v>
      </c>
      <c r="O494" s="45">
        <v>48152</v>
      </c>
      <c r="P494">
        <v>26803.58702706722</v>
      </c>
      <c r="V494">
        <v>1</v>
      </c>
      <c r="W494" t="s">
        <v>34</v>
      </c>
      <c r="Y494" t="s">
        <v>34</v>
      </c>
      <c r="Z494" t="s">
        <v>35</v>
      </c>
      <c r="AA494">
        <v>1</v>
      </c>
    </row>
    <row r="495" spans="1:27" x14ac:dyDescent="0.35">
      <c r="A495" s="45">
        <v>45936</v>
      </c>
      <c r="B495">
        <v>1</v>
      </c>
      <c r="D495" t="s">
        <v>30</v>
      </c>
      <c r="E495" t="s">
        <v>40</v>
      </c>
      <c r="F495" t="s">
        <v>40</v>
      </c>
      <c r="H495" t="s">
        <v>52</v>
      </c>
      <c r="I495" t="s">
        <v>53</v>
      </c>
      <c r="K495">
        <v>74</v>
      </c>
      <c r="M495" s="45">
        <v>48182</v>
      </c>
      <c r="N495" s="45">
        <v>48182</v>
      </c>
      <c r="O495" s="45">
        <v>48182</v>
      </c>
      <c r="P495">
        <v>26803.58702706722</v>
      </c>
      <c r="V495">
        <v>1</v>
      </c>
      <c r="W495" t="s">
        <v>34</v>
      </c>
      <c r="Y495" t="s">
        <v>34</v>
      </c>
      <c r="Z495" t="s">
        <v>35</v>
      </c>
      <c r="AA495">
        <v>1</v>
      </c>
    </row>
    <row r="496" spans="1:27" x14ac:dyDescent="0.35">
      <c r="A496" s="45">
        <v>45936</v>
      </c>
      <c r="B496">
        <v>1</v>
      </c>
      <c r="D496" t="s">
        <v>30</v>
      </c>
      <c r="E496" t="s">
        <v>40</v>
      </c>
      <c r="F496" t="s">
        <v>40</v>
      </c>
      <c r="H496" t="s">
        <v>52</v>
      </c>
      <c r="I496" t="s">
        <v>53</v>
      </c>
      <c r="K496">
        <v>75</v>
      </c>
      <c r="M496" s="45">
        <v>48213</v>
      </c>
      <c r="N496" s="45">
        <v>48213</v>
      </c>
      <c r="O496" s="45">
        <v>48213</v>
      </c>
      <c r="P496">
        <v>26803.58702706722</v>
      </c>
      <c r="V496">
        <v>1</v>
      </c>
      <c r="W496" t="s">
        <v>34</v>
      </c>
      <c r="Y496" t="s">
        <v>34</v>
      </c>
      <c r="Z496" t="s">
        <v>35</v>
      </c>
      <c r="AA496">
        <v>1</v>
      </c>
    </row>
    <row r="497" spans="1:27" x14ac:dyDescent="0.35">
      <c r="A497" s="45">
        <v>45936</v>
      </c>
      <c r="B497">
        <v>1</v>
      </c>
      <c r="D497" t="s">
        <v>30</v>
      </c>
      <c r="E497" t="s">
        <v>40</v>
      </c>
      <c r="F497" t="s">
        <v>40</v>
      </c>
      <c r="H497" t="s">
        <v>52</v>
      </c>
      <c r="I497" t="s">
        <v>53</v>
      </c>
      <c r="K497">
        <v>76</v>
      </c>
      <c r="M497" s="45">
        <v>48244</v>
      </c>
      <c r="N497" s="45">
        <v>48244</v>
      </c>
      <c r="O497" s="45">
        <v>48244</v>
      </c>
      <c r="P497">
        <v>26803.58702706722</v>
      </c>
      <c r="V497">
        <v>1</v>
      </c>
      <c r="W497" t="s">
        <v>34</v>
      </c>
      <c r="Y497" t="s">
        <v>34</v>
      </c>
      <c r="Z497" t="s">
        <v>35</v>
      </c>
      <c r="AA497">
        <v>1</v>
      </c>
    </row>
    <row r="498" spans="1:27" x14ac:dyDescent="0.35">
      <c r="A498" s="45">
        <v>45936</v>
      </c>
      <c r="B498">
        <v>1</v>
      </c>
      <c r="D498" t="s">
        <v>30</v>
      </c>
      <c r="E498" t="s">
        <v>40</v>
      </c>
      <c r="F498" t="s">
        <v>40</v>
      </c>
      <c r="H498" t="s">
        <v>52</v>
      </c>
      <c r="I498" t="s">
        <v>53</v>
      </c>
      <c r="K498">
        <v>77</v>
      </c>
      <c r="M498" s="45">
        <v>48273</v>
      </c>
      <c r="N498" s="45">
        <v>48273</v>
      </c>
      <c r="O498" s="45">
        <v>48273</v>
      </c>
      <c r="P498">
        <v>26803.58702706722</v>
      </c>
      <c r="V498">
        <v>1</v>
      </c>
      <c r="W498" t="s">
        <v>34</v>
      </c>
      <c r="Y498" t="s">
        <v>34</v>
      </c>
      <c r="Z498" t="s">
        <v>35</v>
      </c>
      <c r="AA498">
        <v>1</v>
      </c>
    </row>
    <row r="499" spans="1:27" x14ac:dyDescent="0.35">
      <c r="A499" s="45">
        <v>45936</v>
      </c>
      <c r="B499">
        <v>1</v>
      </c>
      <c r="D499" t="s">
        <v>30</v>
      </c>
      <c r="E499" t="s">
        <v>40</v>
      </c>
      <c r="F499" t="s">
        <v>40</v>
      </c>
      <c r="H499" t="s">
        <v>52</v>
      </c>
      <c r="I499" t="s">
        <v>53</v>
      </c>
      <c r="K499">
        <v>78</v>
      </c>
      <c r="M499" s="45">
        <v>48304</v>
      </c>
      <c r="N499" s="45">
        <v>48304</v>
      </c>
      <c r="O499" s="45">
        <v>48304</v>
      </c>
      <c r="P499">
        <v>26803.58702706722</v>
      </c>
      <c r="V499">
        <v>1</v>
      </c>
      <c r="W499" t="s">
        <v>34</v>
      </c>
      <c r="Y499" t="s">
        <v>34</v>
      </c>
      <c r="Z499" t="s">
        <v>35</v>
      </c>
      <c r="AA499">
        <v>1</v>
      </c>
    </row>
    <row r="500" spans="1:27" x14ac:dyDescent="0.35">
      <c r="A500" s="45">
        <v>45936</v>
      </c>
      <c r="B500">
        <v>1</v>
      </c>
      <c r="D500" t="s">
        <v>30</v>
      </c>
      <c r="E500" t="s">
        <v>40</v>
      </c>
      <c r="F500" t="s">
        <v>40</v>
      </c>
      <c r="H500" t="s">
        <v>52</v>
      </c>
      <c r="I500" t="s">
        <v>53</v>
      </c>
      <c r="K500">
        <v>79</v>
      </c>
      <c r="M500" s="45">
        <v>48334</v>
      </c>
      <c r="N500" s="45">
        <v>48334</v>
      </c>
      <c r="O500" s="45">
        <v>48334</v>
      </c>
      <c r="P500">
        <v>26803.58702706722</v>
      </c>
      <c r="V500">
        <v>1</v>
      </c>
      <c r="W500" t="s">
        <v>34</v>
      </c>
      <c r="Y500" t="s">
        <v>34</v>
      </c>
      <c r="Z500" t="s">
        <v>35</v>
      </c>
      <c r="AA500">
        <v>1</v>
      </c>
    </row>
    <row r="501" spans="1:27" x14ac:dyDescent="0.35">
      <c r="A501" s="45">
        <v>45936</v>
      </c>
      <c r="B501">
        <v>1</v>
      </c>
      <c r="D501" t="s">
        <v>30</v>
      </c>
      <c r="E501" t="s">
        <v>40</v>
      </c>
      <c r="F501" t="s">
        <v>40</v>
      </c>
      <c r="H501" t="s">
        <v>52</v>
      </c>
      <c r="I501" t="s">
        <v>53</v>
      </c>
      <c r="K501">
        <v>80</v>
      </c>
      <c r="M501" s="45">
        <v>48365</v>
      </c>
      <c r="N501" s="45">
        <v>48365</v>
      </c>
      <c r="O501" s="45">
        <v>48365</v>
      </c>
      <c r="P501">
        <v>26803.58702706722</v>
      </c>
      <c r="V501">
        <v>1</v>
      </c>
      <c r="W501" t="s">
        <v>34</v>
      </c>
      <c r="Y501" t="s">
        <v>34</v>
      </c>
      <c r="Z501" t="s">
        <v>35</v>
      </c>
      <c r="AA501">
        <v>1</v>
      </c>
    </row>
    <row r="502" spans="1:27" x14ac:dyDescent="0.35">
      <c r="A502" s="45">
        <v>45936</v>
      </c>
      <c r="B502">
        <v>1</v>
      </c>
      <c r="D502" t="s">
        <v>30</v>
      </c>
      <c r="E502" t="s">
        <v>40</v>
      </c>
      <c r="F502" t="s">
        <v>40</v>
      </c>
      <c r="H502" t="s">
        <v>52</v>
      </c>
      <c r="I502" t="s">
        <v>53</v>
      </c>
      <c r="K502">
        <v>81</v>
      </c>
      <c r="M502" s="45">
        <v>48395</v>
      </c>
      <c r="N502" s="45">
        <v>48395</v>
      </c>
      <c r="O502" s="45">
        <v>48395</v>
      </c>
      <c r="P502">
        <v>26803.58702706722</v>
      </c>
      <c r="V502">
        <v>1</v>
      </c>
      <c r="W502" t="s">
        <v>34</v>
      </c>
      <c r="Y502" t="s">
        <v>34</v>
      </c>
      <c r="Z502" t="s">
        <v>35</v>
      </c>
      <c r="AA502">
        <v>1</v>
      </c>
    </row>
    <row r="503" spans="1:27" x14ac:dyDescent="0.35">
      <c r="A503" s="45">
        <v>45936</v>
      </c>
      <c r="B503">
        <v>1</v>
      </c>
      <c r="D503" t="s">
        <v>30</v>
      </c>
      <c r="E503" t="s">
        <v>40</v>
      </c>
      <c r="F503" t="s">
        <v>40</v>
      </c>
      <c r="H503" t="s">
        <v>52</v>
      </c>
      <c r="I503" t="s">
        <v>53</v>
      </c>
      <c r="K503">
        <v>82</v>
      </c>
      <c r="M503" s="45">
        <v>48426</v>
      </c>
      <c r="N503" s="45">
        <v>48426</v>
      </c>
      <c r="O503" s="45">
        <v>48426</v>
      </c>
      <c r="P503">
        <v>26803.58702706722</v>
      </c>
      <c r="V503">
        <v>1</v>
      </c>
      <c r="W503" t="s">
        <v>34</v>
      </c>
      <c r="Y503" t="s">
        <v>34</v>
      </c>
      <c r="Z503" t="s">
        <v>35</v>
      </c>
      <c r="AA503">
        <v>1</v>
      </c>
    </row>
    <row r="504" spans="1:27" x14ac:dyDescent="0.35">
      <c r="A504" s="45">
        <v>45936</v>
      </c>
      <c r="B504">
        <v>1</v>
      </c>
      <c r="D504" t="s">
        <v>30</v>
      </c>
      <c r="E504" t="s">
        <v>40</v>
      </c>
      <c r="F504" t="s">
        <v>40</v>
      </c>
      <c r="H504" t="s">
        <v>52</v>
      </c>
      <c r="I504" t="s">
        <v>53</v>
      </c>
      <c r="K504">
        <v>83</v>
      </c>
      <c r="M504" s="45">
        <v>48457</v>
      </c>
      <c r="N504" s="45">
        <v>48457</v>
      </c>
      <c r="O504" s="45">
        <v>48457</v>
      </c>
      <c r="P504">
        <v>26803.58702706722</v>
      </c>
      <c r="V504">
        <v>1</v>
      </c>
      <c r="W504" t="s">
        <v>34</v>
      </c>
      <c r="Y504" t="s">
        <v>34</v>
      </c>
      <c r="Z504" t="s">
        <v>35</v>
      </c>
      <c r="AA504">
        <v>1</v>
      </c>
    </row>
    <row r="505" spans="1:27" x14ac:dyDescent="0.35">
      <c r="A505" s="45">
        <v>45936</v>
      </c>
      <c r="B505">
        <v>1</v>
      </c>
      <c r="D505" t="s">
        <v>30</v>
      </c>
      <c r="E505" t="s">
        <v>40</v>
      </c>
      <c r="F505" t="s">
        <v>40</v>
      </c>
      <c r="H505" t="s">
        <v>52</v>
      </c>
      <c r="I505" t="s">
        <v>53</v>
      </c>
      <c r="K505">
        <v>84</v>
      </c>
      <c r="M505" s="45">
        <v>48487</v>
      </c>
      <c r="N505" s="45">
        <v>48487</v>
      </c>
      <c r="O505" s="45">
        <v>48487</v>
      </c>
      <c r="P505">
        <v>26803.58702706722</v>
      </c>
      <c r="V505">
        <v>1</v>
      </c>
      <c r="W505" t="s">
        <v>34</v>
      </c>
      <c r="Y505" t="s">
        <v>34</v>
      </c>
      <c r="Z505" t="s">
        <v>35</v>
      </c>
      <c r="AA505">
        <v>1</v>
      </c>
    </row>
    <row r="506" spans="1:27" x14ac:dyDescent="0.35">
      <c r="A506" s="45">
        <v>45936</v>
      </c>
      <c r="B506">
        <v>1</v>
      </c>
      <c r="D506" t="s">
        <v>30</v>
      </c>
      <c r="E506" t="s">
        <v>40</v>
      </c>
      <c r="F506" t="s">
        <v>40</v>
      </c>
      <c r="H506" t="s">
        <v>52</v>
      </c>
      <c r="I506" t="s">
        <v>53</v>
      </c>
      <c r="K506">
        <v>85</v>
      </c>
      <c r="M506" s="45">
        <v>48518</v>
      </c>
      <c r="N506" s="45">
        <v>48518</v>
      </c>
      <c r="O506" s="45">
        <v>48518</v>
      </c>
      <c r="P506">
        <v>26803.58702706722</v>
      </c>
      <c r="V506">
        <v>1</v>
      </c>
      <c r="W506" t="s">
        <v>34</v>
      </c>
      <c r="Y506" t="s">
        <v>34</v>
      </c>
      <c r="Z506" t="s">
        <v>35</v>
      </c>
      <c r="AA506">
        <v>1</v>
      </c>
    </row>
    <row r="507" spans="1:27" x14ac:dyDescent="0.35">
      <c r="A507" s="45">
        <v>45936</v>
      </c>
      <c r="B507">
        <v>1</v>
      </c>
      <c r="D507" t="s">
        <v>30</v>
      </c>
      <c r="E507" t="s">
        <v>40</v>
      </c>
      <c r="F507" t="s">
        <v>40</v>
      </c>
      <c r="H507" t="s">
        <v>52</v>
      </c>
      <c r="I507" t="s">
        <v>53</v>
      </c>
      <c r="K507">
        <v>86</v>
      </c>
      <c r="M507" s="45">
        <v>48548</v>
      </c>
      <c r="N507" s="45">
        <v>48548</v>
      </c>
      <c r="O507" s="45">
        <v>48548</v>
      </c>
      <c r="P507">
        <v>26803.58702706722</v>
      </c>
      <c r="V507">
        <v>1</v>
      </c>
      <c r="W507" t="s">
        <v>34</v>
      </c>
      <c r="Y507" t="s">
        <v>34</v>
      </c>
      <c r="Z507" t="s">
        <v>35</v>
      </c>
      <c r="AA507">
        <v>1</v>
      </c>
    </row>
    <row r="508" spans="1:27" x14ac:dyDescent="0.35">
      <c r="A508" s="45">
        <v>45936</v>
      </c>
      <c r="B508">
        <v>1</v>
      </c>
      <c r="D508" t="s">
        <v>30</v>
      </c>
      <c r="E508" t="s">
        <v>40</v>
      </c>
      <c r="F508" t="s">
        <v>40</v>
      </c>
      <c r="H508" t="s">
        <v>52</v>
      </c>
      <c r="I508" t="s">
        <v>53</v>
      </c>
      <c r="K508">
        <v>87</v>
      </c>
      <c r="M508" s="45">
        <v>48579</v>
      </c>
      <c r="N508" s="45">
        <v>48579</v>
      </c>
      <c r="O508" s="45">
        <v>48579</v>
      </c>
      <c r="P508">
        <v>26803.58702706722</v>
      </c>
      <c r="V508">
        <v>1</v>
      </c>
      <c r="W508" t="s">
        <v>34</v>
      </c>
      <c r="Y508" t="s">
        <v>34</v>
      </c>
      <c r="Z508" t="s">
        <v>35</v>
      </c>
      <c r="AA508">
        <v>1</v>
      </c>
    </row>
    <row r="509" spans="1:27" x14ac:dyDescent="0.35">
      <c r="A509" s="45">
        <v>45936</v>
      </c>
      <c r="B509">
        <v>1</v>
      </c>
      <c r="D509" t="s">
        <v>30</v>
      </c>
      <c r="E509" t="s">
        <v>40</v>
      </c>
      <c r="F509" t="s">
        <v>40</v>
      </c>
      <c r="H509" t="s">
        <v>52</v>
      </c>
      <c r="I509" t="s">
        <v>53</v>
      </c>
      <c r="K509">
        <v>88</v>
      </c>
      <c r="M509" s="45">
        <v>48610</v>
      </c>
      <c r="N509" s="45">
        <v>48610</v>
      </c>
      <c r="O509" s="45">
        <v>48610</v>
      </c>
      <c r="P509">
        <v>26803.58702706722</v>
      </c>
      <c r="V509">
        <v>1</v>
      </c>
      <c r="W509" t="s">
        <v>34</v>
      </c>
      <c r="Y509" t="s">
        <v>34</v>
      </c>
      <c r="Z509" t="s">
        <v>35</v>
      </c>
      <c r="AA509">
        <v>1</v>
      </c>
    </row>
    <row r="510" spans="1:27" x14ac:dyDescent="0.35">
      <c r="A510" s="45">
        <v>45936</v>
      </c>
      <c r="B510">
        <v>1</v>
      </c>
      <c r="D510" t="s">
        <v>30</v>
      </c>
      <c r="E510" t="s">
        <v>40</v>
      </c>
      <c r="F510" t="s">
        <v>40</v>
      </c>
      <c r="H510" t="s">
        <v>52</v>
      </c>
      <c r="I510" t="s">
        <v>53</v>
      </c>
      <c r="K510">
        <v>89</v>
      </c>
      <c r="M510" s="45">
        <v>48638</v>
      </c>
      <c r="N510" s="45">
        <v>48638</v>
      </c>
      <c r="O510" s="45">
        <v>48638</v>
      </c>
      <c r="P510">
        <v>26803.58702706722</v>
      </c>
      <c r="V510">
        <v>1</v>
      </c>
      <c r="W510" t="s">
        <v>34</v>
      </c>
      <c r="Y510" t="s">
        <v>34</v>
      </c>
      <c r="Z510" t="s">
        <v>35</v>
      </c>
      <c r="AA510">
        <v>1</v>
      </c>
    </row>
    <row r="511" spans="1:27" x14ac:dyDescent="0.35">
      <c r="A511" s="45">
        <v>45936</v>
      </c>
      <c r="B511">
        <v>1</v>
      </c>
      <c r="D511" t="s">
        <v>30</v>
      </c>
      <c r="E511" t="s">
        <v>40</v>
      </c>
      <c r="F511" t="s">
        <v>40</v>
      </c>
      <c r="H511" t="s">
        <v>52</v>
      </c>
      <c r="I511" t="s">
        <v>53</v>
      </c>
      <c r="K511">
        <v>90</v>
      </c>
      <c r="M511" s="45">
        <v>48669</v>
      </c>
      <c r="N511" s="45">
        <v>48669</v>
      </c>
      <c r="O511" s="45">
        <v>48669</v>
      </c>
      <c r="P511">
        <v>26803.58702706722</v>
      </c>
      <c r="V511">
        <v>1</v>
      </c>
      <c r="W511" t="s">
        <v>34</v>
      </c>
      <c r="Y511" t="s">
        <v>34</v>
      </c>
      <c r="Z511" t="s">
        <v>35</v>
      </c>
      <c r="AA511">
        <v>1</v>
      </c>
    </row>
    <row r="512" spans="1:27" x14ac:dyDescent="0.35">
      <c r="A512" s="45">
        <v>45936</v>
      </c>
      <c r="B512">
        <v>1</v>
      </c>
      <c r="D512" t="s">
        <v>30</v>
      </c>
      <c r="E512" t="s">
        <v>40</v>
      </c>
      <c r="F512" t="s">
        <v>40</v>
      </c>
      <c r="H512" t="s">
        <v>52</v>
      </c>
      <c r="I512" t="s">
        <v>53</v>
      </c>
      <c r="K512">
        <v>91</v>
      </c>
      <c r="M512" s="45">
        <v>48699</v>
      </c>
      <c r="N512" s="45">
        <v>48699</v>
      </c>
      <c r="O512" s="45">
        <v>48699</v>
      </c>
      <c r="P512">
        <v>26803.58702706722</v>
      </c>
      <c r="V512">
        <v>1</v>
      </c>
      <c r="W512" t="s">
        <v>34</v>
      </c>
      <c r="Y512" t="s">
        <v>34</v>
      </c>
      <c r="Z512" t="s">
        <v>35</v>
      </c>
      <c r="AA512">
        <v>1</v>
      </c>
    </row>
    <row r="513" spans="1:27" x14ac:dyDescent="0.35">
      <c r="A513" s="45">
        <v>45936</v>
      </c>
      <c r="B513">
        <v>1</v>
      </c>
      <c r="D513" t="s">
        <v>30</v>
      </c>
      <c r="E513" t="s">
        <v>40</v>
      </c>
      <c r="F513" t="s">
        <v>40</v>
      </c>
      <c r="H513" t="s">
        <v>52</v>
      </c>
      <c r="I513" t="s">
        <v>53</v>
      </c>
      <c r="K513">
        <v>92</v>
      </c>
      <c r="M513" s="45">
        <v>48730</v>
      </c>
      <c r="N513" s="45">
        <v>48730</v>
      </c>
      <c r="O513" s="45">
        <v>48730</v>
      </c>
      <c r="P513">
        <v>26803.58702706722</v>
      </c>
      <c r="V513">
        <v>1</v>
      </c>
      <c r="W513" t="s">
        <v>34</v>
      </c>
      <c r="Y513" t="s">
        <v>34</v>
      </c>
      <c r="Z513" t="s">
        <v>35</v>
      </c>
      <c r="AA513">
        <v>1</v>
      </c>
    </row>
    <row r="514" spans="1:27" x14ac:dyDescent="0.35">
      <c r="A514" s="45">
        <v>45936</v>
      </c>
      <c r="B514">
        <v>1</v>
      </c>
      <c r="D514" t="s">
        <v>30</v>
      </c>
      <c r="E514" t="s">
        <v>40</v>
      </c>
      <c r="F514" t="s">
        <v>40</v>
      </c>
      <c r="H514" t="s">
        <v>52</v>
      </c>
      <c r="I514" t="s">
        <v>53</v>
      </c>
      <c r="K514">
        <v>93</v>
      </c>
      <c r="M514" s="45">
        <v>48760</v>
      </c>
      <c r="N514" s="45">
        <v>48760</v>
      </c>
      <c r="O514" s="45">
        <v>48760</v>
      </c>
      <c r="P514">
        <v>26803.58702706722</v>
      </c>
      <c r="V514">
        <v>1</v>
      </c>
      <c r="W514" t="s">
        <v>34</v>
      </c>
      <c r="Y514" t="s">
        <v>34</v>
      </c>
      <c r="Z514" t="s">
        <v>35</v>
      </c>
      <c r="AA514">
        <v>1</v>
      </c>
    </row>
    <row r="515" spans="1:27" x14ac:dyDescent="0.35">
      <c r="A515" s="45">
        <v>45936</v>
      </c>
      <c r="B515">
        <v>1</v>
      </c>
      <c r="D515" t="s">
        <v>30</v>
      </c>
      <c r="E515" t="s">
        <v>40</v>
      </c>
      <c r="F515" t="s">
        <v>40</v>
      </c>
      <c r="H515" t="s">
        <v>52</v>
      </c>
      <c r="I515" t="s">
        <v>53</v>
      </c>
      <c r="K515">
        <v>94</v>
      </c>
      <c r="M515" s="45">
        <v>48791</v>
      </c>
      <c r="N515" s="45">
        <v>48791</v>
      </c>
      <c r="O515" s="45">
        <v>48791</v>
      </c>
      <c r="P515">
        <v>26803.58702706722</v>
      </c>
      <c r="V515">
        <v>1</v>
      </c>
      <c r="W515" t="s">
        <v>34</v>
      </c>
      <c r="Y515" t="s">
        <v>34</v>
      </c>
      <c r="Z515" t="s">
        <v>35</v>
      </c>
      <c r="AA515">
        <v>1</v>
      </c>
    </row>
    <row r="516" spans="1:27" x14ac:dyDescent="0.35">
      <c r="A516" s="45">
        <v>45936</v>
      </c>
      <c r="B516">
        <v>1</v>
      </c>
      <c r="D516" t="s">
        <v>30</v>
      </c>
      <c r="E516" t="s">
        <v>40</v>
      </c>
      <c r="F516" t="s">
        <v>40</v>
      </c>
      <c r="H516" t="s">
        <v>52</v>
      </c>
      <c r="I516" t="s">
        <v>53</v>
      </c>
      <c r="K516">
        <v>95</v>
      </c>
      <c r="M516" s="45">
        <v>48822</v>
      </c>
      <c r="N516" s="45">
        <v>48822</v>
      </c>
      <c r="O516" s="45">
        <v>48822</v>
      </c>
      <c r="P516">
        <v>26803.58702706722</v>
      </c>
      <c r="V516">
        <v>1</v>
      </c>
      <c r="W516" t="s">
        <v>34</v>
      </c>
      <c r="Y516" t="s">
        <v>34</v>
      </c>
      <c r="Z516" t="s">
        <v>35</v>
      </c>
      <c r="AA516">
        <v>1</v>
      </c>
    </row>
    <row r="517" spans="1:27" x14ac:dyDescent="0.35">
      <c r="A517" s="45">
        <v>45936</v>
      </c>
      <c r="B517">
        <v>1</v>
      </c>
      <c r="D517" t="s">
        <v>30</v>
      </c>
      <c r="E517" t="s">
        <v>40</v>
      </c>
      <c r="F517" t="s">
        <v>40</v>
      </c>
      <c r="H517" t="s">
        <v>52</v>
      </c>
      <c r="I517" t="s">
        <v>53</v>
      </c>
      <c r="K517">
        <v>96</v>
      </c>
      <c r="M517" s="45">
        <v>48852</v>
      </c>
      <c r="N517" s="45">
        <v>48852</v>
      </c>
      <c r="O517" s="45">
        <v>48852</v>
      </c>
      <c r="P517">
        <v>26803.58702706722</v>
      </c>
      <c r="V517">
        <v>1</v>
      </c>
      <c r="W517" t="s">
        <v>34</v>
      </c>
      <c r="Y517" t="s">
        <v>34</v>
      </c>
      <c r="Z517" t="s">
        <v>35</v>
      </c>
      <c r="AA517">
        <v>1</v>
      </c>
    </row>
    <row r="518" spans="1:27" x14ac:dyDescent="0.35">
      <c r="A518" s="45">
        <v>45936</v>
      </c>
      <c r="B518">
        <v>1</v>
      </c>
      <c r="D518" t="s">
        <v>30</v>
      </c>
      <c r="E518" t="s">
        <v>40</v>
      </c>
      <c r="F518" t="s">
        <v>40</v>
      </c>
      <c r="H518" t="s">
        <v>52</v>
      </c>
      <c r="I518" t="s">
        <v>53</v>
      </c>
      <c r="K518">
        <v>97</v>
      </c>
      <c r="M518" s="45">
        <v>48883</v>
      </c>
      <c r="N518" s="45">
        <v>48883</v>
      </c>
      <c r="O518" s="45">
        <v>48883</v>
      </c>
      <c r="P518">
        <v>26803.58702706722</v>
      </c>
      <c r="V518">
        <v>1</v>
      </c>
      <c r="W518" t="s">
        <v>34</v>
      </c>
      <c r="Y518" t="s">
        <v>34</v>
      </c>
      <c r="Z518" t="s">
        <v>35</v>
      </c>
      <c r="AA518">
        <v>1</v>
      </c>
    </row>
    <row r="519" spans="1:27" x14ac:dyDescent="0.35">
      <c r="A519" s="45">
        <v>45936</v>
      </c>
      <c r="B519">
        <v>1</v>
      </c>
      <c r="D519" t="s">
        <v>30</v>
      </c>
      <c r="E519" t="s">
        <v>40</v>
      </c>
      <c r="F519" t="s">
        <v>40</v>
      </c>
      <c r="H519" t="s">
        <v>52</v>
      </c>
      <c r="I519" t="s">
        <v>53</v>
      </c>
      <c r="K519">
        <v>98</v>
      </c>
      <c r="M519" s="45">
        <v>48913</v>
      </c>
      <c r="N519" s="45">
        <v>48913</v>
      </c>
      <c r="O519" s="45">
        <v>48913</v>
      </c>
      <c r="P519">
        <v>26803.58702706722</v>
      </c>
      <c r="V519">
        <v>1</v>
      </c>
      <c r="W519" t="s">
        <v>34</v>
      </c>
      <c r="Y519" t="s">
        <v>34</v>
      </c>
      <c r="Z519" t="s">
        <v>35</v>
      </c>
      <c r="AA519">
        <v>1</v>
      </c>
    </row>
    <row r="520" spans="1:27" x14ac:dyDescent="0.35">
      <c r="A520" s="45">
        <v>45936</v>
      </c>
      <c r="B520">
        <v>1</v>
      </c>
      <c r="D520" t="s">
        <v>30</v>
      </c>
      <c r="E520" t="s">
        <v>40</v>
      </c>
      <c r="F520" t="s">
        <v>40</v>
      </c>
      <c r="H520" t="s">
        <v>52</v>
      </c>
      <c r="I520" t="s">
        <v>53</v>
      </c>
      <c r="K520">
        <v>99</v>
      </c>
      <c r="M520" s="45">
        <v>48944</v>
      </c>
      <c r="N520" s="45">
        <v>48944</v>
      </c>
      <c r="O520" s="45">
        <v>48944</v>
      </c>
      <c r="P520">
        <v>26803.58702706722</v>
      </c>
      <c r="V520">
        <v>1</v>
      </c>
      <c r="W520" t="s">
        <v>34</v>
      </c>
      <c r="Y520" t="s">
        <v>34</v>
      </c>
      <c r="Z520" t="s">
        <v>35</v>
      </c>
      <c r="AA520">
        <v>1</v>
      </c>
    </row>
    <row r="521" spans="1:27" x14ac:dyDescent="0.35">
      <c r="A521" s="45">
        <v>45936</v>
      </c>
      <c r="B521">
        <v>1</v>
      </c>
      <c r="D521" t="s">
        <v>30</v>
      </c>
      <c r="E521" t="s">
        <v>40</v>
      </c>
      <c r="F521" t="s">
        <v>40</v>
      </c>
      <c r="H521" t="s">
        <v>52</v>
      </c>
      <c r="I521" t="s">
        <v>53</v>
      </c>
      <c r="K521">
        <v>100</v>
      </c>
      <c r="M521" s="45">
        <v>48975</v>
      </c>
      <c r="N521" s="45">
        <v>48975</v>
      </c>
      <c r="O521" s="45">
        <v>48975</v>
      </c>
      <c r="P521">
        <v>26803.58702706722</v>
      </c>
      <c r="V521">
        <v>1</v>
      </c>
      <c r="W521" t="s">
        <v>34</v>
      </c>
      <c r="Y521" t="s">
        <v>34</v>
      </c>
      <c r="Z521" t="s">
        <v>35</v>
      </c>
      <c r="AA521">
        <v>1</v>
      </c>
    </row>
    <row r="522" spans="1:27" x14ac:dyDescent="0.35">
      <c r="A522" s="45">
        <v>45936</v>
      </c>
      <c r="B522">
        <v>1</v>
      </c>
      <c r="D522" t="s">
        <v>30</v>
      </c>
      <c r="E522" t="s">
        <v>40</v>
      </c>
      <c r="F522" t="s">
        <v>40</v>
      </c>
      <c r="H522" t="s">
        <v>52</v>
      </c>
      <c r="I522" t="s">
        <v>53</v>
      </c>
      <c r="K522">
        <v>101</v>
      </c>
      <c r="M522" s="45">
        <v>49003</v>
      </c>
      <c r="N522" s="45">
        <v>49003</v>
      </c>
      <c r="O522" s="45">
        <v>49003</v>
      </c>
      <c r="P522">
        <v>26803.58702706722</v>
      </c>
      <c r="V522">
        <v>1</v>
      </c>
      <c r="W522" t="s">
        <v>34</v>
      </c>
      <c r="Y522" t="s">
        <v>34</v>
      </c>
      <c r="Z522" t="s">
        <v>35</v>
      </c>
      <c r="AA522">
        <v>1</v>
      </c>
    </row>
    <row r="523" spans="1:27" x14ac:dyDescent="0.35">
      <c r="A523" s="45">
        <v>45936</v>
      </c>
      <c r="B523">
        <v>1</v>
      </c>
      <c r="D523" t="s">
        <v>30</v>
      </c>
      <c r="E523" t="s">
        <v>40</v>
      </c>
      <c r="F523" t="s">
        <v>40</v>
      </c>
      <c r="H523" t="s">
        <v>52</v>
      </c>
      <c r="I523" t="s">
        <v>53</v>
      </c>
      <c r="K523">
        <v>102</v>
      </c>
      <c r="M523" s="45">
        <v>49034</v>
      </c>
      <c r="N523" s="45">
        <v>49034</v>
      </c>
      <c r="O523" s="45">
        <v>49034</v>
      </c>
      <c r="P523">
        <v>26803.58702706722</v>
      </c>
      <c r="V523">
        <v>1</v>
      </c>
      <c r="W523" t="s">
        <v>34</v>
      </c>
      <c r="Y523" t="s">
        <v>34</v>
      </c>
      <c r="Z523" t="s">
        <v>35</v>
      </c>
      <c r="AA523">
        <v>1</v>
      </c>
    </row>
    <row r="524" spans="1:27" x14ac:dyDescent="0.35">
      <c r="A524" s="45">
        <v>45936</v>
      </c>
      <c r="B524">
        <v>1</v>
      </c>
      <c r="D524" t="s">
        <v>30</v>
      </c>
      <c r="E524" t="s">
        <v>40</v>
      </c>
      <c r="F524" t="s">
        <v>40</v>
      </c>
      <c r="H524" t="s">
        <v>52</v>
      </c>
      <c r="I524" t="s">
        <v>53</v>
      </c>
      <c r="K524">
        <v>103</v>
      </c>
      <c r="M524" s="45">
        <v>49064</v>
      </c>
      <c r="N524" s="45">
        <v>49064</v>
      </c>
      <c r="O524" s="45">
        <v>49064</v>
      </c>
      <c r="P524">
        <v>26803.58702706722</v>
      </c>
      <c r="V524">
        <v>1</v>
      </c>
      <c r="W524" t="s">
        <v>34</v>
      </c>
      <c r="Y524" t="s">
        <v>34</v>
      </c>
      <c r="Z524" t="s">
        <v>35</v>
      </c>
      <c r="AA524">
        <v>1</v>
      </c>
    </row>
    <row r="525" spans="1:27" x14ac:dyDescent="0.35">
      <c r="A525" s="45">
        <v>45936</v>
      </c>
      <c r="B525">
        <v>1</v>
      </c>
      <c r="D525" t="s">
        <v>30</v>
      </c>
      <c r="E525" t="s">
        <v>40</v>
      </c>
      <c r="F525" t="s">
        <v>40</v>
      </c>
      <c r="H525" t="s">
        <v>52</v>
      </c>
      <c r="I525" t="s">
        <v>53</v>
      </c>
      <c r="K525">
        <v>104</v>
      </c>
      <c r="M525" s="45">
        <v>49095</v>
      </c>
      <c r="N525" s="45">
        <v>49095</v>
      </c>
      <c r="O525" s="45">
        <v>49095</v>
      </c>
      <c r="P525">
        <v>26803.58702706722</v>
      </c>
      <c r="V525">
        <v>1</v>
      </c>
      <c r="W525" t="s">
        <v>34</v>
      </c>
      <c r="Y525" t="s">
        <v>34</v>
      </c>
      <c r="Z525" t="s">
        <v>35</v>
      </c>
      <c r="AA525">
        <v>1</v>
      </c>
    </row>
    <row r="526" spans="1:27" x14ac:dyDescent="0.35">
      <c r="A526" s="45">
        <v>45936</v>
      </c>
      <c r="B526">
        <v>1</v>
      </c>
      <c r="D526" t="s">
        <v>30</v>
      </c>
      <c r="E526" t="s">
        <v>40</v>
      </c>
      <c r="F526" t="s">
        <v>40</v>
      </c>
      <c r="H526" t="s">
        <v>52</v>
      </c>
      <c r="I526" t="s">
        <v>53</v>
      </c>
      <c r="K526">
        <v>105</v>
      </c>
      <c r="M526" s="45">
        <v>49125</v>
      </c>
      <c r="N526" s="45">
        <v>49125</v>
      </c>
      <c r="O526" s="45">
        <v>49125</v>
      </c>
      <c r="P526">
        <v>26803.58702706722</v>
      </c>
      <c r="V526">
        <v>1</v>
      </c>
      <c r="W526" t="s">
        <v>34</v>
      </c>
      <c r="Y526" t="s">
        <v>34</v>
      </c>
      <c r="Z526" t="s">
        <v>35</v>
      </c>
      <c r="AA526">
        <v>1</v>
      </c>
    </row>
    <row r="527" spans="1:27" x14ac:dyDescent="0.35">
      <c r="A527" s="45">
        <v>45936</v>
      </c>
      <c r="B527">
        <v>1</v>
      </c>
      <c r="D527" t="s">
        <v>30</v>
      </c>
      <c r="E527" t="s">
        <v>40</v>
      </c>
      <c r="F527" t="s">
        <v>40</v>
      </c>
      <c r="H527" t="s">
        <v>52</v>
      </c>
      <c r="I527" t="s">
        <v>53</v>
      </c>
      <c r="K527">
        <v>106</v>
      </c>
      <c r="M527" s="45">
        <v>49156</v>
      </c>
      <c r="N527" s="45">
        <v>49156</v>
      </c>
      <c r="O527" s="45">
        <v>49156</v>
      </c>
      <c r="P527">
        <v>26803.58702706722</v>
      </c>
      <c r="V527">
        <v>1</v>
      </c>
      <c r="W527" t="s">
        <v>34</v>
      </c>
      <c r="Y527" t="s">
        <v>34</v>
      </c>
      <c r="Z527" t="s">
        <v>35</v>
      </c>
      <c r="AA527">
        <v>1</v>
      </c>
    </row>
    <row r="528" spans="1:27" x14ac:dyDescent="0.35">
      <c r="A528" s="45">
        <v>45936</v>
      </c>
      <c r="B528">
        <v>1</v>
      </c>
      <c r="D528" t="s">
        <v>30</v>
      </c>
      <c r="E528" t="s">
        <v>40</v>
      </c>
      <c r="F528" t="s">
        <v>40</v>
      </c>
      <c r="H528" t="s">
        <v>52</v>
      </c>
      <c r="I528" t="s">
        <v>53</v>
      </c>
      <c r="K528">
        <v>107</v>
      </c>
      <c r="M528" s="45">
        <v>49187</v>
      </c>
      <c r="N528" s="45">
        <v>49187</v>
      </c>
      <c r="O528" s="45">
        <v>49187</v>
      </c>
      <c r="P528">
        <v>26803.58702706722</v>
      </c>
      <c r="V528">
        <v>1</v>
      </c>
      <c r="W528" t="s">
        <v>34</v>
      </c>
      <c r="Y528" t="s">
        <v>34</v>
      </c>
      <c r="Z528" t="s">
        <v>35</v>
      </c>
      <c r="AA528">
        <v>1</v>
      </c>
    </row>
    <row r="529" spans="1:27" x14ac:dyDescent="0.35">
      <c r="A529" s="45">
        <v>45936</v>
      </c>
      <c r="B529">
        <v>1</v>
      </c>
      <c r="D529" t="s">
        <v>30</v>
      </c>
      <c r="E529" t="s">
        <v>40</v>
      </c>
      <c r="F529" t="s">
        <v>40</v>
      </c>
      <c r="H529" t="s">
        <v>52</v>
      </c>
      <c r="I529" t="s">
        <v>53</v>
      </c>
      <c r="K529">
        <v>108</v>
      </c>
      <c r="M529" s="45">
        <v>49217</v>
      </c>
      <c r="N529" s="45">
        <v>49217</v>
      </c>
      <c r="O529" s="45">
        <v>49217</v>
      </c>
      <c r="P529">
        <v>26803.58702706722</v>
      </c>
      <c r="V529">
        <v>1</v>
      </c>
      <c r="W529" t="s">
        <v>34</v>
      </c>
      <c r="Y529" t="s">
        <v>34</v>
      </c>
      <c r="Z529" t="s">
        <v>35</v>
      </c>
      <c r="AA529">
        <v>1</v>
      </c>
    </row>
    <row r="530" spans="1:27" x14ac:dyDescent="0.35">
      <c r="A530" s="45">
        <v>45936</v>
      </c>
      <c r="B530">
        <v>1</v>
      </c>
      <c r="D530" t="s">
        <v>30</v>
      </c>
      <c r="E530" t="s">
        <v>40</v>
      </c>
      <c r="F530" t="s">
        <v>40</v>
      </c>
      <c r="H530" t="s">
        <v>52</v>
      </c>
      <c r="I530" t="s">
        <v>53</v>
      </c>
      <c r="K530">
        <v>109</v>
      </c>
      <c r="M530" s="45">
        <v>49248</v>
      </c>
      <c r="N530" s="45">
        <v>49248</v>
      </c>
      <c r="O530" s="45">
        <v>49248</v>
      </c>
      <c r="P530">
        <v>26803.58702706722</v>
      </c>
      <c r="V530">
        <v>1</v>
      </c>
      <c r="W530" t="s">
        <v>34</v>
      </c>
      <c r="Y530" t="s">
        <v>34</v>
      </c>
      <c r="Z530" t="s">
        <v>35</v>
      </c>
      <c r="AA530">
        <v>1</v>
      </c>
    </row>
    <row r="531" spans="1:27" x14ac:dyDescent="0.35">
      <c r="A531" s="45">
        <v>45936</v>
      </c>
      <c r="B531">
        <v>1</v>
      </c>
      <c r="D531" t="s">
        <v>30</v>
      </c>
      <c r="E531" t="s">
        <v>40</v>
      </c>
      <c r="F531" t="s">
        <v>40</v>
      </c>
      <c r="H531" t="s">
        <v>52</v>
      </c>
      <c r="I531" t="s">
        <v>53</v>
      </c>
      <c r="K531">
        <v>110</v>
      </c>
      <c r="M531" s="45">
        <v>49278</v>
      </c>
      <c r="N531" s="45">
        <v>49278</v>
      </c>
      <c r="O531" s="45">
        <v>49278</v>
      </c>
      <c r="P531">
        <v>26803.58702706722</v>
      </c>
      <c r="V531">
        <v>1</v>
      </c>
      <c r="W531" t="s">
        <v>34</v>
      </c>
      <c r="Y531" t="s">
        <v>34</v>
      </c>
      <c r="Z531" t="s">
        <v>35</v>
      </c>
      <c r="AA531">
        <v>1</v>
      </c>
    </row>
    <row r="532" spans="1:27" x14ac:dyDescent="0.35">
      <c r="A532" s="45">
        <v>45936</v>
      </c>
      <c r="B532">
        <v>1</v>
      </c>
      <c r="D532" t="s">
        <v>30</v>
      </c>
      <c r="E532" t="s">
        <v>40</v>
      </c>
      <c r="F532" t="s">
        <v>40</v>
      </c>
      <c r="H532" t="s">
        <v>52</v>
      </c>
      <c r="I532" t="s">
        <v>53</v>
      </c>
      <c r="K532">
        <v>111</v>
      </c>
      <c r="M532" s="45">
        <v>49309</v>
      </c>
      <c r="N532" s="45">
        <v>49309</v>
      </c>
      <c r="O532" s="45">
        <v>49309</v>
      </c>
      <c r="P532">
        <v>26803.58702706722</v>
      </c>
      <c r="V532">
        <v>1</v>
      </c>
      <c r="W532" t="s">
        <v>34</v>
      </c>
      <c r="Y532" t="s">
        <v>34</v>
      </c>
      <c r="Z532" t="s">
        <v>35</v>
      </c>
      <c r="AA532">
        <v>1</v>
      </c>
    </row>
    <row r="533" spans="1:27" x14ac:dyDescent="0.35">
      <c r="A533" s="45">
        <v>45936</v>
      </c>
      <c r="B533">
        <v>1</v>
      </c>
      <c r="D533" t="s">
        <v>30</v>
      </c>
      <c r="E533" t="s">
        <v>40</v>
      </c>
      <c r="F533" t="s">
        <v>40</v>
      </c>
      <c r="H533" t="s">
        <v>52</v>
      </c>
      <c r="I533" t="s">
        <v>53</v>
      </c>
      <c r="K533">
        <v>112</v>
      </c>
      <c r="M533" s="45">
        <v>49340</v>
      </c>
      <c r="N533" s="45">
        <v>49340</v>
      </c>
      <c r="O533" s="45">
        <v>49340</v>
      </c>
      <c r="P533">
        <v>26803.58702706722</v>
      </c>
      <c r="V533">
        <v>1</v>
      </c>
      <c r="W533" t="s">
        <v>34</v>
      </c>
      <c r="Y533" t="s">
        <v>34</v>
      </c>
      <c r="Z533" t="s">
        <v>35</v>
      </c>
      <c r="AA533">
        <v>1</v>
      </c>
    </row>
    <row r="534" spans="1:27" x14ac:dyDescent="0.35">
      <c r="A534" s="45">
        <v>45936</v>
      </c>
      <c r="B534">
        <v>1</v>
      </c>
      <c r="D534" t="s">
        <v>30</v>
      </c>
      <c r="E534" t="s">
        <v>40</v>
      </c>
      <c r="F534" t="s">
        <v>40</v>
      </c>
      <c r="H534" t="s">
        <v>52</v>
      </c>
      <c r="I534" t="s">
        <v>53</v>
      </c>
      <c r="K534">
        <v>113</v>
      </c>
      <c r="M534" s="45">
        <v>49368</v>
      </c>
      <c r="N534" s="45">
        <v>49368</v>
      </c>
      <c r="O534" s="45">
        <v>49368</v>
      </c>
      <c r="P534">
        <v>26803.58702706722</v>
      </c>
      <c r="V534">
        <v>1</v>
      </c>
      <c r="W534" t="s">
        <v>34</v>
      </c>
      <c r="Y534" t="s">
        <v>34</v>
      </c>
      <c r="Z534" t="s">
        <v>35</v>
      </c>
      <c r="AA534">
        <v>1</v>
      </c>
    </row>
    <row r="535" spans="1:27" x14ac:dyDescent="0.35">
      <c r="A535" s="45">
        <v>45936</v>
      </c>
      <c r="B535">
        <v>1</v>
      </c>
      <c r="D535" t="s">
        <v>30</v>
      </c>
      <c r="E535" t="s">
        <v>40</v>
      </c>
      <c r="F535" t="s">
        <v>40</v>
      </c>
      <c r="H535" t="s">
        <v>52</v>
      </c>
      <c r="I535" t="s">
        <v>53</v>
      </c>
      <c r="K535">
        <v>114</v>
      </c>
      <c r="M535" s="45">
        <v>49399</v>
      </c>
      <c r="N535" s="45">
        <v>49399</v>
      </c>
      <c r="O535" s="45">
        <v>49399</v>
      </c>
      <c r="P535">
        <v>26803.58702706722</v>
      </c>
      <c r="V535">
        <v>1</v>
      </c>
      <c r="W535" t="s">
        <v>34</v>
      </c>
      <c r="Y535" t="s">
        <v>34</v>
      </c>
      <c r="Z535" t="s">
        <v>35</v>
      </c>
      <c r="AA535">
        <v>1</v>
      </c>
    </row>
    <row r="536" spans="1:27" x14ac:dyDescent="0.35">
      <c r="A536" s="45">
        <v>45936</v>
      </c>
      <c r="B536">
        <v>1</v>
      </c>
      <c r="D536" t="s">
        <v>30</v>
      </c>
      <c r="E536" t="s">
        <v>40</v>
      </c>
      <c r="F536" t="s">
        <v>40</v>
      </c>
      <c r="H536" t="s">
        <v>52</v>
      </c>
      <c r="I536" t="s">
        <v>53</v>
      </c>
      <c r="K536">
        <v>115</v>
      </c>
      <c r="M536" s="45">
        <v>49429</v>
      </c>
      <c r="N536" s="45">
        <v>49429</v>
      </c>
      <c r="O536" s="45">
        <v>49429</v>
      </c>
      <c r="P536">
        <v>26803.58702706722</v>
      </c>
      <c r="V536">
        <v>1</v>
      </c>
      <c r="W536" t="s">
        <v>34</v>
      </c>
      <c r="Y536" t="s">
        <v>34</v>
      </c>
      <c r="Z536" t="s">
        <v>35</v>
      </c>
      <c r="AA536">
        <v>1</v>
      </c>
    </row>
    <row r="537" spans="1:27" x14ac:dyDescent="0.35">
      <c r="A537" s="45">
        <v>45936</v>
      </c>
      <c r="B537">
        <v>1</v>
      </c>
      <c r="D537" t="s">
        <v>30</v>
      </c>
      <c r="E537" t="s">
        <v>40</v>
      </c>
      <c r="F537" t="s">
        <v>40</v>
      </c>
      <c r="H537" t="s">
        <v>52</v>
      </c>
      <c r="I537" t="s">
        <v>53</v>
      </c>
      <c r="K537">
        <v>116</v>
      </c>
      <c r="M537" s="45">
        <v>49460</v>
      </c>
      <c r="N537" s="45">
        <v>49460</v>
      </c>
      <c r="O537" s="45">
        <v>49460</v>
      </c>
      <c r="P537">
        <v>26803.58702706722</v>
      </c>
      <c r="V537">
        <v>1</v>
      </c>
      <c r="W537" t="s">
        <v>34</v>
      </c>
      <c r="Y537" t="s">
        <v>34</v>
      </c>
      <c r="Z537" t="s">
        <v>35</v>
      </c>
      <c r="AA537">
        <v>1</v>
      </c>
    </row>
    <row r="538" spans="1:27" x14ac:dyDescent="0.35">
      <c r="A538" s="45">
        <v>45936</v>
      </c>
      <c r="B538">
        <v>1</v>
      </c>
      <c r="D538" t="s">
        <v>30</v>
      </c>
      <c r="E538" t="s">
        <v>40</v>
      </c>
      <c r="F538" t="s">
        <v>40</v>
      </c>
      <c r="H538" t="s">
        <v>52</v>
      </c>
      <c r="I538" t="s">
        <v>53</v>
      </c>
      <c r="K538">
        <v>117</v>
      </c>
      <c r="M538" s="45">
        <v>49490</v>
      </c>
      <c r="N538" s="45">
        <v>49490</v>
      </c>
      <c r="O538" s="45">
        <v>49490</v>
      </c>
      <c r="P538">
        <v>26803.58702706722</v>
      </c>
      <c r="V538">
        <v>1</v>
      </c>
      <c r="W538" t="s">
        <v>34</v>
      </c>
      <c r="Y538" t="s">
        <v>34</v>
      </c>
      <c r="Z538" t="s">
        <v>35</v>
      </c>
      <c r="AA538">
        <v>1</v>
      </c>
    </row>
    <row r="539" spans="1:27" x14ac:dyDescent="0.35">
      <c r="A539" s="45">
        <v>45936</v>
      </c>
      <c r="B539">
        <v>1</v>
      </c>
      <c r="D539" t="s">
        <v>30</v>
      </c>
      <c r="E539" t="s">
        <v>40</v>
      </c>
      <c r="F539" t="s">
        <v>40</v>
      </c>
      <c r="H539" t="s">
        <v>52</v>
      </c>
      <c r="I539" t="s">
        <v>53</v>
      </c>
      <c r="K539">
        <v>118</v>
      </c>
      <c r="M539" s="45">
        <v>49521</v>
      </c>
      <c r="N539" s="45">
        <v>49521</v>
      </c>
      <c r="O539" s="45">
        <v>49521</v>
      </c>
      <c r="P539">
        <v>26803.58702706722</v>
      </c>
      <c r="V539">
        <v>1</v>
      </c>
      <c r="W539" t="s">
        <v>34</v>
      </c>
      <c r="Y539" t="s">
        <v>34</v>
      </c>
      <c r="Z539" t="s">
        <v>35</v>
      </c>
      <c r="AA539">
        <v>1</v>
      </c>
    </row>
    <row r="540" spans="1:27" x14ac:dyDescent="0.35">
      <c r="A540" s="45">
        <v>45936</v>
      </c>
      <c r="B540">
        <v>1</v>
      </c>
      <c r="D540" t="s">
        <v>30</v>
      </c>
      <c r="E540" t="s">
        <v>40</v>
      </c>
      <c r="F540" t="s">
        <v>40</v>
      </c>
      <c r="H540" t="s">
        <v>52</v>
      </c>
      <c r="I540" t="s">
        <v>53</v>
      </c>
      <c r="K540">
        <v>119</v>
      </c>
      <c r="M540" s="45">
        <v>49552</v>
      </c>
      <c r="N540" s="45">
        <v>49552</v>
      </c>
      <c r="O540" s="45">
        <v>49552</v>
      </c>
      <c r="P540">
        <v>26803.58702706722</v>
      </c>
      <c r="V540">
        <v>1</v>
      </c>
      <c r="W540" t="s">
        <v>34</v>
      </c>
      <c r="Y540" t="s">
        <v>34</v>
      </c>
      <c r="Z540" t="s">
        <v>35</v>
      </c>
      <c r="AA540">
        <v>1</v>
      </c>
    </row>
    <row r="541" spans="1:27" x14ac:dyDescent="0.35">
      <c r="A541" s="45">
        <v>45936</v>
      </c>
      <c r="B541">
        <v>1</v>
      </c>
      <c r="D541" t="s">
        <v>30</v>
      </c>
      <c r="E541" t="s">
        <v>40</v>
      </c>
      <c r="F541" t="s">
        <v>40</v>
      </c>
      <c r="H541" t="s">
        <v>52</v>
      </c>
      <c r="I541" t="s">
        <v>53</v>
      </c>
      <c r="K541">
        <v>120</v>
      </c>
      <c r="M541" s="45">
        <v>49582</v>
      </c>
      <c r="N541" s="45">
        <v>49582</v>
      </c>
      <c r="O541" s="45">
        <v>49582</v>
      </c>
      <c r="P541">
        <v>26803.58702706722</v>
      </c>
      <c r="V541">
        <v>1</v>
      </c>
      <c r="W541" t="s">
        <v>34</v>
      </c>
      <c r="Y541" t="s">
        <v>34</v>
      </c>
      <c r="Z541" t="s">
        <v>35</v>
      </c>
      <c r="AA541">
        <v>1</v>
      </c>
    </row>
    <row r="542" spans="1:27" x14ac:dyDescent="0.35">
      <c r="A542" s="45">
        <v>45936</v>
      </c>
      <c r="B542">
        <v>1</v>
      </c>
      <c r="D542" t="s">
        <v>30</v>
      </c>
      <c r="E542" t="s">
        <v>40</v>
      </c>
      <c r="F542" t="s">
        <v>40</v>
      </c>
      <c r="H542" t="s">
        <v>52</v>
      </c>
      <c r="I542" t="s">
        <v>53</v>
      </c>
      <c r="K542">
        <v>121</v>
      </c>
      <c r="M542" s="45">
        <v>49613</v>
      </c>
      <c r="N542" s="45">
        <v>49613</v>
      </c>
      <c r="O542" s="45">
        <v>49613</v>
      </c>
      <c r="P542">
        <v>26803.58702706722</v>
      </c>
      <c r="V542">
        <v>1</v>
      </c>
      <c r="W542" t="s">
        <v>34</v>
      </c>
      <c r="Y542" t="s">
        <v>34</v>
      </c>
      <c r="Z542" t="s">
        <v>35</v>
      </c>
      <c r="AA542">
        <v>1</v>
      </c>
    </row>
    <row r="543" spans="1:27" x14ac:dyDescent="0.35">
      <c r="A543" s="45">
        <v>45936</v>
      </c>
      <c r="B543">
        <v>1</v>
      </c>
      <c r="D543" t="s">
        <v>30</v>
      </c>
      <c r="E543" t="s">
        <v>40</v>
      </c>
      <c r="F543" t="s">
        <v>40</v>
      </c>
      <c r="H543" t="s">
        <v>52</v>
      </c>
      <c r="I543" t="s">
        <v>53</v>
      </c>
      <c r="K543">
        <v>122</v>
      </c>
      <c r="M543" s="45">
        <v>49643</v>
      </c>
      <c r="N543" s="45">
        <v>49643</v>
      </c>
      <c r="O543" s="45">
        <v>49643</v>
      </c>
      <c r="P543">
        <v>26803.58702706722</v>
      </c>
      <c r="V543">
        <v>1</v>
      </c>
      <c r="W543" t="s">
        <v>34</v>
      </c>
      <c r="Y543" t="s">
        <v>34</v>
      </c>
      <c r="Z543" t="s">
        <v>35</v>
      </c>
      <c r="AA543">
        <v>1</v>
      </c>
    </row>
    <row r="544" spans="1:27" x14ac:dyDescent="0.35">
      <c r="A544" s="45">
        <v>45936</v>
      </c>
      <c r="B544">
        <v>1</v>
      </c>
      <c r="D544" t="s">
        <v>30</v>
      </c>
      <c r="E544" t="s">
        <v>40</v>
      </c>
      <c r="F544" t="s">
        <v>40</v>
      </c>
      <c r="H544" t="s">
        <v>52</v>
      </c>
      <c r="I544" t="s">
        <v>53</v>
      </c>
      <c r="K544">
        <v>123</v>
      </c>
      <c r="M544" s="45">
        <v>49674</v>
      </c>
      <c r="N544" s="45">
        <v>49674</v>
      </c>
      <c r="O544" s="45">
        <v>49674</v>
      </c>
      <c r="P544">
        <v>26803.58702706722</v>
      </c>
      <c r="V544">
        <v>1</v>
      </c>
      <c r="W544" t="s">
        <v>34</v>
      </c>
      <c r="Y544" t="s">
        <v>34</v>
      </c>
      <c r="Z544" t="s">
        <v>35</v>
      </c>
      <c r="AA544">
        <v>1</v>
      </c>
    </row>
    <row r="545" spans="1:27" x14ac:dyDescent="0.35">
      <c r="A545" s="45">
        <v>45936</v>
      </c>
      <c r="B545">
        <v>1</v>
      </c>
      <c r="D545" t="s">
        <v>30</v>
      </c>
      <c r="E545" t="s">
        <v>40</v>
      </c>
      <c r="F545" t="s">
        <v>40</v>
      </c>
      <c r="H545" t="s">
        <v>52</v>
      </c>
      <c r="I545" t="s">
        <v>53</v>
      </c>
      <c r="K545">
        <v>124</v>
      </c>
      <c r="M545" s="45">
        <v>49705</v>
      </c>
      <c r="N545" s="45">
        <v>49705</v>
      </c>
      <c r="O545" s="45">
        <v>49705</v>
      </c>
      <c r="P545">
        <v>26803.58702706722</v>
      </c>
      <c r="V545">
        <v>1</v>
      </c>
      <c r="W545" t="s">
        <v>34</v>
      </c>
      <c r="Y545" t="s">
        <v>34</v>
      </c>
      <c r="Z545" t="s">
        <v>35</v>
      </c>
      <c r="AA545">
        <v>1</v>
      </c>
    </row>
    <row r="546" spans="1:27" x14ac:dyDescent="0.35">
      <c r="A546" s="45">
        <v>45936</v>
      </c>
      <c r="B546">
        <v>1</v>
      </c>
      <c r="D546" t="s">
        <v>30</v>
      </c>
      <c r="E546" t="s">
        <v>40</v>
      </c>
      <c r="F546" t="s">
        <v>40</v>
      </c>
      <c r="H546" t="s">
        <v>52</v>
      </c>
      <c r="I546" t="s">
        <v>53</v>
      </c>
      <c r="K546">
        <v>125</v>
      </c>
      <c r="M546" s="45">
        <v>49734</v>
      </c>
      <c r="N546" s="45">
        <v>49734</v>
      </c>
      <c r="O546" s="45">
        <v>49734</v>
      </c>
      <c r="P546">
        <v>26803.58702706722</v>
      </c>
      <c r="V546">
        <v>1</v>
      </c>
      <c r="W546" t="s">
        <v>34</v>
      </c>
      <c r="Y546" t="s">
        <v>34</v>
      </c>
      <c r="Z546" t="s">
        <v>35</v>
      </c>
      <c r="AA546">
        <v>1</v>
      </c>
    </row>
    <row r="547" spans="1:27" x14ac:dyDescent="0.35">
      <c r="A547" s="45">
        <v>45936</v>
      </c>
      <c r="B547">
        <v>1</v>
      </c>
      <c r="D547" t="s">
        <v>30</v>
      </c>
      <c r="E547" t="s">
        <v>40</v>
      </c>
      <c r="F547" t="s">
        <v>40</v>
      </c>
      <c r="H547" t="s">
        <v>52</v>
      </c>
      <c r="I547" t="s">
        <v>53</v>
      </c>
      <c r="K547">
        <v>126</v>
      </c>
      <c r="M547" s="45">
        <v>49765</v>
      </c>
      <c r="N547" s="45">
        <v>49765</v>
      </c>
      <c r="O547" s="45">
        <v>49765</v>
      </c>
      <c r="P547">
        <v>26803.58702706722</v>
      </c>
      <c r="V547">
        <v>1</v>
      </c>
      <c r="W547" t="s">
        <v>34</v>
      </c>
      <c r="Y547" t="s">
        <v>34</v>
      </c>
      <c r="Z547" t="s">
        <v>35</v>
      </c>
      <c r="AA547">
        <v>1</v>
      </c>
    </row>
    <row r="548" spans="1:27" x14ac:dyDescent="0.35">
      <c r="A548" s="45">
        <v>45936</v>
      </c>
      <c r="B548">
        <v>1</v>
      </c>
      <c r="D548" t="s">
        <v>30</v>
      </c>
      <c r="E548" t="s">
        <v>40</v>
      </c>
      <c r="F548" t="s">
        <v>40</v>
      </c>
      <c r="H548" t="s">
        <v>52</v>
      </c>
      <c r="I548" t="s">
        <v>53</v>
      </c>
      <c r="K548">
        <v>127</v>
      </c>
      <c r="M548" s="45">
        <v>49795</v>
      </c>
      <c r="N548" s="45">
        <v>49795</v>
      </c>
      <c r="O548" s="45">
        <v>49795</v>
      </c>
      <c r="P548">
        <v>2193.1339020672222</v>
      </c>
      <c r="V548">
        <v>1</v>
      </c>
      <c r="W548" t="s">
        <v>34</v>
      </c>
      <c r="Y548" t="s">
        <v>34</v>
      </c>
      <c r="Z548" t="s">
        <v>35</v>
      </c>
      <c r="AA548">
        <v>1</v>
      </c>
    </row>
    <row r="549" spans="1:27" x14ac:dyDescent="0.35">
      <c r="A549" s="45">
        <v>45936</v>
      </c>
      <c r="B549">
        <v>1</v>
      </c>
      <c r="D549" t="s">
        <v>30</v>
      </c>
      <c r="E549" t="s">
        <v>40</v>
      </c>
      <c r="F549" t="s">
        <v>40</v>
      </c>
      <c r="H549" t="s">
        <v>52</v>
      </c>
      <c r="I549" t="s">
        <v>53</v>
      </c>
      <c r="K549">
        <v>128</v>
      </c>
      <c r="M549" s="45">
        <v>49826</v>
      </c>
      <c r="N549" s="45">
        <v>49826</v>
      </c>
      <c r="O549" s="45">
        <v>49826</v>
      </c>
      <c r="P549">
        <v>2193.1339020672222</v>
      </c>
      <c r="V549">
        <v>1</v>
      </c>
      <c r="W549" t="s">
        <v>34</v>
      </c>
      <c r="Y549" t="s">
        <v>34</v>
      </c>
      <c r="Z549" t="s">
        <v>35</v>
      </c>
      <c r="AA549">
        <v>1</v>
      </c>
    </row>
    <row r="550" spans="1:27" x14ac:dyDescent="0.35">
      <c r="A550" s="45">
        <v>45936</v>
      </c>
      <c r="B550">
        <v>1</v>
      </c>
      <c r="D550" t="s">
        <v>30</v>
      </c>
      <c r="E550" t="s">
        <v>40</v>
      </c>
      <c r="F550" t="s">
        <v>40</v>
      </c>
      <c r="H550" t="s">
        <v>52</v>
      </c>
      <c r="I550" t="s">
        <v>53</v>
      </c>
      <c r="K550">
        <v>129</v>
      </c>
      <c r="M550" s="45">
        <v>49856</v>
      </c>
      <c r="N550" s="45">
        <v>49856</v>
      </c>
      <c r="O550" s="45">
        <v>49856</v>
      </c>
      <c r="P550">
        <v>2193.1339020672222</v>
      </c>
      <c r="V550">
        <v>1</v>
      </c>
      <c r="W550" t="s">
        <v>34</v>
      </c>
      <c r="Y550" t="s">
        <v>34</v>
      </c>
      <c r="Z550" t="s">
        <v>35</v>
      </c>
      <c r="AA550">
        <v>1</v>
      </c>
    </row>
    <row r="551" spans="1:27" x14ac:dyDescent="0.35">
      <c r="A551" s="45">
        <v>45936</v>
      </c>
      <c r="B551">
        <v>1</v>
      </c>
      <c r="D551" t="s">
        <v>30</v>
      </c>
      <c r="E551" t="s">
        <v>40</v>
      </c>
      <c r="F551" t="s">
        <v>40</v>
      </c>
      <c r="H551" t="s">
        <v>52</v>
      </c>
      <c r="I551" t="s">
        <v>53</v>
      </c>
      <c r="K551">
        <v>130</v>
      </c>
      <c r="M551" s="45">
        <v>49887</v>
      </c>
      <c r="N551" s="45">
        <v>49887</v>
      </c>
      <c r="O551" s="45">
        <v>49887</v>
      </c>
      <c r="P551">
        <v>2193.1339020672222</v>
      </c>
      <c r="V551">
        <v>1</v>
      </c>
      <c r="W551" t="s">
        <v>34</v>
      </c>
      <c r="Y551" t="s">
        <v>34</v>
      </c>
      <c r="Z551" t="s">
        <v>35</v>
      </c>
      <c r="AA551">
        <v>1</v>
      </c>
    </row>
    <row r="552" spans="1:27" x14ac:dyDescent="0.35">
      <c r="A552" s="45">
        <v>45936</v>
      </c>
      <c r="B552">
        <v>1</v>
      </c>
      <c r="D552" t="s">
        <v>30</v>
      </c>
      <c r="E552" t="s">
        <v>40</v>
      </c>
      <c r="F552" t="s">
        <v>40</v>
      </c>
      <c r="H552" t="s">
        <v>52</v>
      </c>
      <c r="I552" t="s">
        <v>53</v>
      </c>
      <c r="K552">
        <v>131</v>
      </c>
      <c r="M552" s="45">
        <v>49918</v>
      </c>
      <c r="N552" s="45">
        <v>49918</v>
      </c>
      <c r="O552" s="45">
        <v>49918</v>
      </c>
      <c r="P552">
        <v>2193.1339020672222</v>
      </c>
      <c r="V552">
        <v>1</v>
      </c>
      <c r="W552" t="s">
        <v>34</v>
      </c>
      <c r="Y552" t="s">
        <v>34</v>
      </c>
      <c r="Z552" t="s">
        <v>35</v>
      </c>
      <c r="AA552">
        <v>1</v>
      </c>
    </row>
    <row r="553" spans="1:27" x14ac:dyDescent="0.35">
      <c r="A553" s="45">
        <v>45936</v>
      </c>
      <c r="B553">
        <v>1</v>
      </c>
      <c r="D553" t="s">
        <v>30</v>
      </c>
      <c r="E553" t="s">
        <v>40</v>
      </c>
      <c r="F553" t="s">
        <v>40</v>
      </c>
      <c r="H553" t="s">
        <v>52</v>
      </c>
      <c r="I553" t="s">
        <v>53</v>
      </c>
      <c r="K553">
        <v>132</v>
      </c>
      <c r="M553" s="45">
        <v>49948</v>
      </c>
      <c r="N553" s="45">
        <v>49948</v>
      </c>
      <c r="O553" s="45">
        <v>49948</v>
      </c>
      <c r="P553">
        <v>2193.1339020672222</v>
      </c>
      <c r="V553">
        <v>1</v>
      </c>
      <c r="W553" t="s">
        <v>34</v>
      </c>
      <c r="Y553" t="s">
        <v>34</v>
      </c>
      <c r="Z553" t="s">
        <v>35</v>
      </c>
      <c r="AA553">
        <v>1</v>
      </c>
    </row>
    <row r="554" spans="1:27" x14ac:dyDescent="0.35">
      <c r="A554" s="45">
        <v>45936</v>
      </c>
      <c r="B554">
        <v>1</v>
      </c>
      <c r="D554" t="s">
        <v>30</v>
      </c>
      <c r="E554" t="s">
        <v>40</v>
      </c>
      <c r="F554" t="s">
        <v>40</v>
      </c>
      <c r="H554" t="s">
        <v>52</v>
      </c>
      <c r="I554" t="s">
        <v>53</v>
      </c>
      <c r="K554">
        <v>133</v>
      </c>
      <c r="M554" s="45">
        <v>49979</v>
      </c>
      <c r="N554" s="45">
        <v>49979</v>
      </c>
      <c r="O554" s="45">
        <v>49979</v>
      </c>
      <c r="P554">
        <v>2193.1339020672222</v>
      </c>
      <c r="V554">
        <v>1</v>
      </c>
      <c r="W554" t="s">
        <v>34</v>
      </c>
      <c r="Y554" t="s">
        <v>34</v>
      </c>
      <c r="Z554" t="s">
        <v>35</v>
      </c>
      <c r="AA554">
        <v>1</v>
      </c>
    </row>
    <row r="555" spans="1:27" x14ac:dyDescent="0.35">
      <c r="A555" s="45">
        <v>45936</v>
      </c>
      <c r="B555">
        <v>1</v>
      </c>
      <c r="D555" t="s">
        <v>30</v>
      </c>
      <c r="E555" t="s">
        <v>40</v>
      </c>
      <c r="F555" t="s">
        <v>40</v>
      </c>
      <c r="H555" t="s">
        <v>52</v>
      </c>
      <c r="I555" t="s">
        <v>53</v>
      </c>
      <c r="K555">
        <v>134</v>
      </c>
      <c r="M555" s="45">
        <v>50009</v>
      </c>
      <c r="N555" s="45">
        <v>50009</v>
      </c>
      <c r="O555" s="45">
        <v>50009</v>
      </c>
      <c r="P555">
        <v>2193.1339020672222</v>
      </c>
      <c r="V555">
        <v>1</v>
      </c>
      <c r="W555" t="s">
        <v>34</v>
      </c>
      <c r="Y555" t="s">
        <v>34</v>
      </c>
      <c r="Z555" t="s">
        <v>35</v>
      </c>
      <c r="AA555">
        <v>1</v>
      </c>
    </row>
    <row r="556" spans="1:27" x14ac:dyDescent="0.35">
      <c r="A556" s="45">
        <v>45936</v>
      </c>
      <c r="B556">
        <v>1</v>
      </c>
      <c r="D556" t="s">
        <v>30</v>
      </c>
      <c r="E556" t="s">
        <v>40</v>
      </c>
      <c r="F556" t="s">
        <v>40</v>
      </c>
      <c r="H556" t="s">
        <v>52</v>
      </c>
      <c r="I556" t="s">
        <v>53</v>
      </c>
      <c r="K556">
        <v>135</v>
      </c>
      <c r="M556" s="45">
        <v>50040</v>
      </c>
      <c r="N556" s="45">
        <v>50040</v>
      </c>
      <c r="O556" s="45">
        <v>50040</v>
      </c>
      <c r="P556">
        <v>2193.1339020672222</v>
      </c>
      <c r="V556">
        <v>1</v>
      </c>
      <c r="W556" t="s">
        <v>34</v>
      </c>
      <c r="Y556" t="s">
        <v>34</v>
      </c>
      <c r="Z556" t="s">
        <v>35</v>
      </c>
      <c r="AA556">
        <v>1</v>
      </c>
    </row>
    <row r="557" spans="1:27" x14ac:dyDescent="0.35">
      <c r="A557" s="45">
        <v>45936</v>
      </c>
      <c r="B557">
        <v>1</v>
      </c>
      <c r="D557" t="s">
        <v>30</v>
      </c>
      <c r="E557" t="s">
        <v>40</v>
      </c>
      <c r="F557" t="s">
        <v>40</v>
      </c>
      <c r="H557" t="s">
        <v>52</v>
      </c>
      <c r="I557" t="s">
        <v>53</v>
      </c>
      <c r="K557">
        <v>136</v>
      </c>
      <c r="M557" s="45">
        <v>50071</v>
      </c>
      <c r="N557" s="45">
        <v>50071</v>
      </c>
      <c r="O557" s="45">
        <v>50071</v>
      </c>
      <c r="P557">
        <v>2193.1339020672222</v>
      </c>
      <c r="V557">
        <v>1</v>
      </c>
      <c r="W557" t="s">
        <v>34</v>
      </c>
      <c r="Y557" t="s">
        <v>34</v>
      </c>
      <c r="Z557" t="s">
        <v>35</v>
      </c>
      <c r="AA557">
        <v>1</v>
      </c>
    </row>
    <row r="558" spans="1:27" x14ac:dyDescent="0.35">
      <c r="A558" s="45">
        <v>45936</v>
      </c>
      <c r="B558">
        <v>1</v>
      </c>
      <c r="D558" t="s">
        <v>30</v>
      </c>
      <c r="E558" t="s">
        <v>40</v>
      </c>
      <c r="F558" t="s">
        <v>40</v>
      </c>
      <c r="H558" t="s">
        <v>52</v>
      </c>
      <c r="I558" t="s">
        <v>53</v>
      </c>
      <c r="K558">
        <v>137</v>
      </c>
      <c r="M558" s="45">
        <v>50099</v>
      </c>
      <c r="N558" s="45">
        <v>50099</v>
      </c>
      <c r="O558" s="45">
        <v>50099</v>
      </c>
      <c r="P558">
        <v>2193.1339020672222</v>
      </c>
      <c r="V558">
        <v>1</v>
      </c>
      <c r="W558" t="s">
        <v>34</v>
      </c>
      <c r="Y558" t="s">
        <v>34</v>
      </c>
      <c r="Z558" t="s">
        <v>35</v>
      </c>
      <c r="AA558">
        <v>1</v>
      </c>
    </row>
    <row r="559" spans="1:27" x14ac:dyDescent="0.35">
      <c r="A559" s="45">
        <v>45936</v>
      </c>
      <c r="B559">
        <v>1</v>
      </c>
      <c r="D559" t="s">
        <v>30</v>
      </c>
      <c r="E559" t="s">
        <v>40</v>
      </c>
      <c r="F559" t="s">
        <v>40</v>
      </c>
      <c r="H559" t="s">
        <v>52</v>
      </c>
      <c r="I559" t="s">
        <v>53</v>
      </c>
      <c r="K559">
        <v>138</v>
      </c>
      <c r="M559" s="45">
        <v>50130</v>
      </c>
      <c r="N559" s="45">
        <v>50130</v>
      </c>
      <c r="O559" s="45">
        <v>50130</v>
      </c>
      <c r="P559">
        <v>2193.1339020672222</v>
      </c>
      <c r="V559">
        <v>1</v>
      </c>
      <c r="W559" t="s">
        <v>34</v>
      </c>
      <c r="Y559" t="s">
        <v>34</v>
      </c>
      <c r="Z559" t="s">
        <v>35</v>
      </c>
      <c r="AA559">
        <v>1</v>
      </c>
    </row>
    <row r="560" spans="1:27" x14ac:dyDescent="0.35">
      <c r="A560" s="45">
        <v>45936</v>
      </c>
      <c r="B560">
        <v>1</v>
      </c>
      <c r="D560" t="s">
        <v>30</v>
      </c>
      <c r="E560" t="s">
        <v>40</v>
      </c>
      <c r="F560" t="s">
        <v>40</v>
      </c>
      <c r="H560" t="s">
        <v>52</v>
      </c>
      <c r="I560" t="s">
        <v>53</v>
      </c>
      <c r="K560">
        <v>139</v>
      </c>
      <c r="M560" s="45">
        <v>50160</v>
      </c>
      <c r="N560" s="45">
        <v>50160</v>
      </c>
      <c r="O560" s="45">
        <v>50160</v>
      </c>
      <c r="P560">
        <v>2193.1339020672222</v>
      </c>
      <c r="V560">
        <v>1</v>
      </c>
      <c r="W560" t="s">
        <v>34</v>
      </c>
      <c r="Y560" t="s">
        <v>34</v>
      </c>
      <c r="Z560" t="s">
        <v>35</v>
      </c>
      <c r="AA560">
        <v>1</v>
      </c>
    </row>
    <row r="561" spans="1:27" x14ac:dyDescent="0.35">
      <c r="A561" s="45">
        <v>45936</v>
      </c>
      <c r="B561">
        <v>1</v>
      </c>
      <c r="D561" t="s">
        <v>30</v>
      </c>
      <c r="E561" t="s">
        <v>40</v>
      </c>
      <c r="F561" t="s">
        <v>40</v>
      </c>
      <c r="H561" t="s">
        <v>52</v>
      </c>
      <c r="I561" t="s">
        <v>53</v>
      </c>
      <c r="K561">
        <v>140</v>
      </c>
      <c r="M561" s="45">
        <v>50191</v>
      </c>
      <c r="N561" s="45">
        <v>50191</v>
      </c>
      <c r="O561" s="45">
        <v>50191</v>
      </c>
      <c r="P561">
        <v>2193.1339020672222</v>
      </c>
      <c r="V561">
        <v>1</v>
      </c>
      <c r="W561" t="s">
        <v>34</v>
      </c>
      <c r="Y561" t="s">
        <v>34</v>
      </c>
      <c r="Z561" t="s">
        <v>35</v>
      </c>
      <c r="AA561">
        <v>1</v>
      </c>
    </row>
    <row r="562" spans="1:27" x14ac:dyDescent="0.35">
      <c r="A562" s="45">
        <v>45936</v>
      </c>
      <c r="B562">
        <v>1</v>
      </c>
      <c r="D562" t="s">
        <v>30</v>
      </c>
      <c r="E562" t="s">
        <v>40</v>
      </c>
      <c r="F562" t="s">
        <v>40</v>
      </c>
      <c r="H562" t="s">
        <v>52</v>
      </c>
      <c r="I562" t="s">
        <v>53</v>
      </c>
      <c r="K562">
        <v>141</v>
      </c>
      <c r="M562" s="45">
        <v>50221</v>
      </c>
      <c r="N562" s="45">
        <v>50221</v>
      </c>
      <c r="O562" s="45">
        <v>50221</v>
      </c>
      <c r="P562">
        <v>2193.1339020672222</v>
      </c>
      <c r="V562">
        <v>1</v>
      </c>
      <c r="W562" t="s">
        <v>34</v>
      </c>
      <c r="Y562" t="s">
        <v>34</v>
      </c>
      <c r="Z562" t="s">
        <v>35</v>
      </c>
      <c r="AA562">
        <v>1</v>
      </c>
    </row>
    <row r="563" spans="1:27" x14ac:dyDescent="0.35">
      <c r="A563" s="45">
        <v>45936</v>
      </c>
      <c r="B563">
        <v>1</v>
      </c>
      <c r="D563" t="s">
        <v>30</v>
      </c>
      <c r="E563" t="s">
        <v>40</v>
      </c>
      <c r="F563" t="s">
        <v>40</v>
      </c>
      <c r="H563" t="s">
        <v>52</v>
      </c>
      <c r="I563" t="s">
        <v>53</v>
      </c>
      <c r="K563">
        <v>142</v>
      </c>
      <c r="M563" s="45">
        <v>50252</v>
      </c>
      <c r="N563" s="45">
        <v>50252</v>
      </c>
      <c r="O563" s="45">
        <v>50252</v>
      </c>
      <c r="P563">
        <v>2193.1339020672222</v>
      </c>
      <c r="V563">
        <v>1</v>
      </c>
      <c r="W563" t="s">
        <v>34</v>
      </c>
      <c r="Y563" t="s">
        <v>34</v>
      </c>
      <c r="Z563" t="s">
        <v>35</v>
      </c>
      <c r="AA563">
        <v>1</v>
      </c>
    </row>
    <row r="564" spans="1:27" x14ac:dyDescent="0.35">
      <c r="A564" s="45">
        <v>45936</v>
      </c>
      <c r="B564">
        <v>1</v>
      </c>
      <c r="D564" t="s">
        <v>30</v>
      </c>
      <c r="E564" t="s">
        <v>40</v>
      </c>
      <c r="F564" t="s">
        <v>40</v>
      </c>
      <c r="H564" t="s">
        <v>52</v>
      </c>
      <c r="I564" t="s">
        <v>53</v>
      </c>
      <c r="K564">
        <v>143</v>
      </c>
      <c r="M564" s="45">
        <v>50283</v>
      </c>
      <c r="N564" s="45">
        <v>50283</v>
      </c>
      <c r="O564" s="45">
        <v>50283</v>
      </c>
      <c r="P564">
        <v>2193.1339020672222</v>
      </c>
      <c r="V564">
        <v>1</v>
      </c>
      <c r="W564" t="s">
        <v>34</v>
      </c>
      <c r="Y564" t="s">
        <v>34</v>
      </c>
      <c r="Z564" t="s">
        <v>35</v>
      </c>
      <c r="AA564">
        <v>1</v>
      </c>
    </row>
    <row r="565" spans="1:27" x14ac:dyDescent="0.35">
      <c r="A565" s="45">
        <v>45936</v>
      </c>
      <c r="B565">
        <v>1</v>
      </c>
      <c r="D565" t="s">
        <v>30</v>
      </c>
      <c r="E565" t="s">
        <v>40</v>
      </c>
      <c r="F565" t="s">
        <v>40</v>
      </c>
      <c r="H565" t="s">
        <v>52</v>
      </c>
      <c r="I565" t="s">
        <v>53</v>
      </c>
      <c r="K565">
        <v>144</v>
      </c>
      <c r="M565" s="45">
        <v>50313</v>
      </c>
      <c r="N565" s="45">
        <v>50313</v>
      </c>
      <c r="O565" s="45">
        <v>50313</v>
      </c>
      <c r="P565">
        <v>2193.1339020672222</v>
      </c>
      <c r="V565">
        <v>1</v>
      </c>
      <c r="W565" t="s">
        <v>34</v>
      </c>
      <c r="Y565" t="s">
        <v>34</v>
      </c>
      <c r="Z565" t="s">
        <v>35</v>
      </c>
      <c r="AA565">
        <v>1</v>
      </c>
    </row>
    <row r="566" spans="1:27" x14ac:dyDescent="0.35">
      <c r="A566" s="45">
        <v>45936</v>
      </c>
      <c r="B566">
        <v>1</v>
      </c>
      <c r="D566" t="s">
        <v>30</v>
      </c>
      <c r="E566" t="s">
        <v>40</v>
      </c>
      <c r="F566" t="s">
        <v>40</v>
      </c>
      <c r="H566" t="s">
        <v>52</v>
      </c>
      <c r="I566" t="s">
        <v>53</v>
      </c>
      <c r="K566">
        <v>145</v>
      </c>
      <c r="M566" s="45">
        <v>50344</v>
      </c>
      <c r="N566" s="45">
        <v>50344</v>
      </c>
      <c r="O566" s="45">
        <v>50344</v>
      </c>
      <c r="P566">
        <v>2193.1339020672222</v>
      </c>
      <c r="V566">
        <v>1</v>
      </c>
      <c r="W566" t="s">
        <v>34</v>
      </c>
      <c r="Y566" t="s">
        <v>34</v>
      </c>
      <c r="Z566" t="s">
        <v>35</v>
      </c>
      <c r="AA566">
        <v>1</v>
      </c>
    </row>
    <row r="567" spans="1:27" x14ac:dyDescent="0.35">
      <c r="A567" s="45">
        <v>45936</v>
      </c>
      <c r="B567">
        <v>1</v>
      </c>
      <c r="D567" t="s">
        <v>30</v>
      </c>
      <c r="E567" t="s">
        <v>40</v>
      </c>
      <c r="F567" t="s">
        <v>40</v>
      </c>
      <c r="H567" t="s">
        <v>52</v>
      </c>
      <c r="I567" t="s">
        <v>53</v>
      </c>
      <c r="K567">
        <v>146</v>
      </c>
      <c r="M567" s="45">
        <v>50374</v>
      </c>
      <c r="N567" s="45">
        <v>50374</v>
      </c>
      <c r="O567" s="45">
        <v>50374</v>
      </c>
      <c r="P567">
        <v>2193.1339020672222</v>
      </c>
      <c r="V567">
        <v>1</v>
      </c>
      <c r="W567" t="s">
        <v>34</v>
      </c>
      <c r="Y567" t="s">
        <v>34</v>
      </c>
      <c r="Z567" t="s">
        <v>35</v>
      </c>
      <c r="AA567">
        <v>1</v>
      </c>
    </row>
    <row r="568" spans="1:27" x14ac:dyDescent="0.35">
      <c r="A568" s="45">
        <v>45936</v>
      </c>
      <c r="B568">
        <v>1</v>
      </c>
      <c r="D568" t="s">
        <v>30</v>
      </c>
      <c r="E568" t="s">
        <v>40</v>
      </c>
      <c r="F568" t="s">
        <v>40</v>
      </c>
      <c r="H568" t="s">
        <v>52</v>
      </c>
      <c r="I568" t="s">
        <v>53</v>
      </c>
      <c r="K568">
        <v>147</v>
      </c>
      <c r="M568" s="45">
        <v>50405</v>
      </c>
      <c r="N568" s="45">
        <v>50405</v>
      </c>
      <c r="O568" s="45">
        <v>50405</v>
      </c>
      <c r="P568">
        <v>2193.1339020672222</v>
      </c>
      <c r="V568">
        <v>1</v>
      </c>
      <c r="W568" t="s">
        <v>34</v>
      </c>
      <c r="Y568" t="s">
        <v>34</v>
      </c>
      <c r="Z568" t="s">
        <v>35</v>
      </c>
      <c r="AA568">
        <v>1</v>
      </c>
    </row>
    <row r="569" spans="1:27" x14ac:dyDescent="0.35">
      <c r="A569" s="45">
        <v>45936</v>
      </c>
      <c r="B569">
        <v>1</v>
      </c>
      <c r="D569" t="s">
        <v>30</v>
      </c>
      <c r="E569" t="s">
        <v>40</v>
      </c>
      <c r="F569" t="s">
        <v>40</v>
      </c>
      <c r="H569" t="s">
        <v>52</v>
      </c>
      <c r="I569" t="s">
        <v>53</v>
      </c>
      <c r="K569">
        <v>148</v>
      </c>
      <c r="M569" s="45">
        <v>50436</v>
      </c>
      <c r="N569" s="45">
        <v>50436</v>
      </c>
      <c r="O569" s="45">
        <v>50436</v>
      </c>
      <c r="P569">
        <v>2193.1339020672222</v>
      </c>
      <c r="V569">
        <v>1</v>
      </c>
      <c r="W569" t="s">
        <v>34</v>
      </c>
      <c r="Y569" t="s">
        <v>34</v>
      </c>
      <c r="Z569" t="s">
        <v>35</v>
      </c>
      <c r="AA569">
        <v>1</v>
      </c>
    </row>
    <row r="570" spans="1:27" x14ac:dyDescent="0.35">
      <c r="A570" s="45">
        <v>45936</v>
      </c>
      <c r="B570">
        <v>1</v>
      </c>
      <c r="D570" t="s">
        <v>30</v>
      </c>
      <c r="E570" t="s">
        <v>40</v>
      </c>
      <c r="F570" t="s">
        <v>40</v>
      </c>
      <c r="H570" t="s">
        <v>52</v>
      </c>
      <c r="I570" t="s">
        <v>53</v>
      </c>
      <c r="K570">
        <v>149</v>
      </c>
      <c r="M570" s="45">
        <v>50464</v>
      </c>
      <c r="N570" s="45">
        <v>50464</v>
      </c>
      <c r="O570" s="45">
        <v>50464</v>
      </c>
      <c r="P570">
        <v>2193.1339020672222</v>
      </c>
      <c r="V570">
        <v>1</v>
      </c>
      <c r="W570" t="s">
        <v>34</v>
      </c>
      <c r="Y570" t="s">
        <v>34</v>
      </c>
      <c r="Z570" t="s">
        <v>35</v>
      </c>
      <c r="AA570">
        <v>1</v>
      </c>
    </row>
    <row r="571" spans="1:27" x14ac:dyDescent="0.35">
      <c r="A571" s="45">
        <v>45936</v>
      </c>
      <c r="B571">
        <v>1</v>
      </c>
      <c r="D571" t="s">
        <v>30</v>
      </c>
      <c r="E571" t="s">
        <v>40</v>
      </c>
      <c r="F571" t="s">
        <v>40</v>
      </c>
      <c r="H571" t="s">
        <v>52</v>
      </c>
      <c r="I571" t="s">
        <v>53</v>
      </c>
      <c r="K571">
        <v>150</v>
      </c>
      <c r="M571" s="45">
        <v>50495</v>
      </c>
      <c r="N571" s="45">
        <v>50495</v>
      </c>
      <c r="O571" s="45">
        <v>50495</v>
      </c>
      <c r="P571">
        <v>2193.1339020672222</v>
      </c>
      <c r="V571">
        <v>1</v>
      </c>
      <c r="W571" t="s">
        <v>34</v>
      </c>
      <c r="Y571" t="s">
        <v>34</v>
      </c>
      <c r="Z571" t="s">
        <v>35</v>
      </c>
      <c r="AA571">
        <v>1</v>
      </c>
    </row>
    <row r="572" spans="1:27" x14ac:dyDescent="0.35">
      <c r="A572" s="45">
        <v>45936</v>
      </c>
      <c r="B572">
        <v>1</v>
      </c>
      <c r="D572" t="s">
        <v>30</v>
      </c>
      <c r="E572" t="s">
        <v>40</v>
      </c>
      <c r="F572" t="s">
        <v>40</v>
      </c>
      <c r="H572" t="s">
        <v>52</v>
      </c>
      <c r="I572" t="s">
        <v>53</v>
      </c>
      <c r="K572">
        <v>151</v>
      </c>
      <c r="M572" s="45">
        <v>50525</v>
      </c>
      <c r="N572" s="45">
        <v>50525</v>
      </c>
      <c r="O572" s="45">
        <v>50525</v>
      </c>
      <c r="P572">
        <v>2193.1339020672222</v>
      </c>
      <c r="V572">
        <v>1</v>
      </c>
      <c r="W572" t="s">
        <v>34</v>
      </c>
      <c r="Y572" t="s">
        <v>34</v>
      </c>
      <c r="Z572" t="s">
        <v>35</v>
      </c>
      <c r="AA572">
        <v>1</v>
      </c>
    </row>
    <row r="573" spans="1:27" x14ac:dyDescent="0.35">
      <c r="A573" s="45">
        <v>45936</v>
      </c>
      <c r="B573">
        <v>1</v>
      </c>
      <c r="D573" t="s">
        <v>30</v>
      </c>
      <c r="E573" t="s">
        <v>40</v>
      </c>
      <c r="F573" t="s">
        <v>40</v>
      </c>
      <c r="H573" t="s">
        <v>52</v>
      </c>
      <c r="I573" t="s">
        <v>53</v>
      </c>
      <c r="K573">
        <v>152</v>
      </c>
      <c r="M573" s="45">
        <v>50556</v>
      </c>
      <c r="N573" s="45">
        <v>50556</v>
      </c>
      <c r="O573" s="45">
        <v>50556</v>
      </c>
      <c r="P573">
        <v>2193.1339020672222</v>
      </c>
      <c r="V573">
        <v>1</v>
      </c>
      <c r="W573" t="s">
        <v>34</v>
      </c>
      <c r="Y573" t="s">
        <v>34</v>
      </c>
      <c r="Z573" t="s">
        <v>35</v>
      </c>
      <c r="AA573">
        <v>1</v>
      </c>
    </row>
    <row r="574" spans="1:27" x14ac:dyDescent="0.35">
      <c r="A574" s="45">
        <v>45936</v>
      </c>
      <c r="B574">
        <v>1</v>
      </c>
      <c r="D574" t="s">
        <v>30</v>
      </c>
      <c r="E574" t="s">
        <v>40</v>
      </c>
      <c r="F574" t="s">
        <v>40</v>
      </c>
      <c r="H574" t="s">
        <v>52</v>
      </c>
      <c r="I574" t="s">
        <v>53</v>
      </c>
      <c r="K574">
        <v>153</v>
      </c>
      <c r="M574" s="45">
        <v>50586</v>
      </c>
      <c r="N574" s="45">
        <v>50586</v>
      </c>
      <c r="O574" s="45">
        <v>50586</v>
      </c>
      <c r="P574">
        <v>2193.1339020672222</v>
      </c>
      <c r="V574">
        <v>1</v>
      </c>
      <c r="W574" t="s">
        <v>34</v>
      </c>
      <c r="Y574" t="s">
        <v>34</v>
      </c>
      <c r="Z574" t="s">
        <v>35</v>
      </c>
      <c r="AA574">
        <v>1</v>
      </c>
    </row>
    <row r="575" spans="1:27" x14ac:dyDescent="0.35">
      <c r="A575" s="45">
        <v>45936</v>
      </c>
      <c r="B575">
        <v>1</v>
      </c>
      <c r="D575" t="s">
        <v>30</v>
      </c>
      <c r="E575" t="s">
        <v>40</v>
      </c>
      <c r="F575" t="s">
        <v>40</v>
      </c>
      <c r="H575" t="s">
        <v>52</v>
      </c>
      <c r="I575" t="s">
        <v>53</v>
      </c>
      <c r="K575">
        <v>154</v>
      </c>
      <c r="M575" s="45">
        <v>50617</v>
      </c>
      <c r="N575" s="45">
        <v>50617</v>
      </c>
      <c r="O575" s="45">
        <v>50617</v>
      </c>
      <c r="P575">
        <v>2193.1339020672222</v>
      </c>
      <c r="V575">
        <v>1</v>
      </c>
      <c r="W575" t="s">
        <v>34</v>
      </c>
      <c r="Y575" t="s">
        <v>34</v>
      </c>
      <c r="Z575" t="s">
        <v>35</v>
      </c>
      <c r="AA575">
        <v>1</v>
      </c>
    </row>
    <row r="576" spans="1:27" x14ac:dyDescent="0.35">
      <c r="A576" s="45">
        <v>45936</v>
      </c>
      <c r="B576">
        <v>1</v>
      </c>
      <c r="D576" t="s">
        <v>30</v>
      </c>
      <c r="E576" t="s">
        <v>40</v>
      </c>
      <c r="F576" t="s">
        <v>40</v>
      </c>
      <c r="H576" t="s">
        <v>52</v>
      </c>
      <c r="I576" t="s">
        <v>53</v>
      </c>
      <c r="K576">
        <v>155</v>
      </c>
      <c r="M576" s="45">
        <v>50648</v>
      </c>
      <c r="N576" s="45">
        <v>50648</v>
      </c>
      <c r="O576" s="45">
        <v>50648</v>
      </c>
      <c r="P576">
        <v>2193.1339020672222</v>
      </c>
      <c r="V576">
        <v>1</v>
      </c>
      <c r="W576" t="s">
        <v>34</v>
      </c>
      <c r="Y576" t="s">
        <v>34</v>
      </c>
      <c r="Z576" t="s">
        <v>35</v>
      </c>
      <c r="AA576">
        <v>1</v>
      </c>
    </row>
    <row r="577" spans="1:27" x14ac:dyDescent="0.35">
      <c r="A577" s="45">
        <v>45936</v>
      </c>
      <c r="B577">
        <v>1</v>
      </c>
      <c r="D577" t="s">
        <v>30</v>
      </c>
      <c r="E577" t="s">
        <v>40</v>
      </c>
      <c r="F577" t="s">
        <v>40</v>
      </c>
      <c r="H577" t="s">
        <v>52</v>
      </c>
      <c r="I577" t="s">
        <v>53</v>
      </c>
      <c r="K577">
        <v>156</v>
      </c>
      <c r="M577" s="45">
        <v>50678</v>
      </c>
      <c r="N577" s="45">
        <v>50678</v>
      </c>
      <c r="O577" s="45">
        <v>50678</v>
      </c>
      <c r="P577">
        <v>2193.1339020672222</v>
      </c>
      <c r="V577">
        <v>1</v>
      </c>
      <c r="W577" t="s">
        <v>34</v>
      </c>
      <c r="Y577" t="s">
        <v>34</v>
      </c>
      <c r="Z577" t="s">
        <v>35</v>
      </c>
      <c r="AA577">
        <v>1</v>
      </c>
    </row>
    <row r="578" spans="1:27" x14ac:dyDescent="0.35">
      <c r="A578" s="45">
        <v>45936</v>
      </c>
      <c r="B578">
        <v>1</v>
      </c>
      <c r="D578" t="s">
        <v>30</v>
      </c>
      <c r="E578" t="s">
        <v>40</v>
      </c>
      <c r="F578" t="s">
        <v>40</v>
      </c>
      <c r="H578" t="s">
        <v>52</v>
      </c>
      <c r="I578" t="s">
        <v>53</v>
      </c>
      <c r="K578">
        <v>157</v>
      </c>
      <c r="M578" s="45">
        <v>50709</v>
      </c>
      <c r="N578" s="45">
        <v>50709</v>
      </c>
      <c r="O578" s="45">
        <v>50709</v>
      </c>
      <c r="P578">
        <v>2193.1339020672222</v>
      </c>
      <c r="V578">
        <v>1</v>
      </c>
      <c r="W578" t="s">
        <v>34</v>
      </c>
      <c r="Y578" t="s">
        <v>34</v>
      </c>
      <c r="Z578" t="s">
        <v>35</v>
      </c>
      <c r="AA578">
        <v>1</v>
      </c>
    </row>
    <row r="579" spans="1:27" x14ac:dyDescent="0.35">
      <c r="A579" s="45">
        <v>45936</v>
      </c>
      <c r="B579">
        <v>1</v>
      </c>
      <c r="D579" t="s">
        <v>30</v>
      </c>
      <c r="E579" t="s">
        <v>40</v>
      </c>
      <c r="F579" t="s">
        <v>40</v>
      </c>
      <c r="H579" t="s">
        <v>52</v>
      </c>
      <c r="I579" t="s">
        <v>53</v>
      </c>
      <c r="K579">
        <v>158</v>
      </c>
      <c r="M579" s="45">
        <v>50739</v>
      </c>
      <c r="N579" s="45">
        <v>50739</v>
      </c>
      <c r="O579" s="45">
        <v>50739</v>
      </c>
      <c r="P579">
        <v>2193.1339020672222</v>
      </c>
      <c r="V579">
        <v>1</v>
      </c>
      <c r="W579" t="s">
        <v>34</v>
      </c>
      <c r="Y579" t="s">
        <v>34</v>
      </c>
      <c r="Z579" t="s">
        <v>35</v>
      </c>
      <c r="AA579">
        <v>1</v>
      </c>
    </row>
    <row r="580" spans="1:27" x14ac:dyDescent="0.35">
      <c r="A580" s="45">
        <v>45936</v>
      </c>
      <c r="B580">
        <v>1</v>
      </c>
      <c r="D580" t="s">
        <v>30</v>
      </c>
      <c r="E580" t="s">
        <v>40</v>
      </c>
      <c r="F580" t="s">
        <v>40</v>
      </c>
      <c r="H580" t="s">
        <v>52</v>
      </c>
      <c r="I580" t="s">
        <v>53</v>
      </c>
      <c r="K580">
        <v>159</v>
      </c>
      <c r="M580" s="45">
        <v>50770</v>
      </c>
      <c r="N580" s="45">
        <v>50770</v>
      </c>
      <c r="O580" s="45">
        <v>50770</v>
      </c>
      <c r="P580">
        <v>2193.1339020672222</v>
      </c>
      <c r="V580">
        <v>1</v>
      </c>
      <c r="W580" t="s">
        <v>34</v>
      </c>
      <c r="Y580" t="s">
        <v>34</v>
      </c>
      <c r="Z580" t="s">
        <v>35</v>
      </c>
      <c r="AA580">
        <v>1</v>
      </c>
    </row>
    <row r="581" spans="1:27" x14ac:dyDescent="0.35">
      <c r="A581" s="45">
        <v>45936</v>
      </c>
      <c r="B581">
        <v>1</v>
      </c>
      <c r="D581" t="s">
        <v>30</v>
      </c>
      <c r="E581" t="s">
        <v>40</v>
      </c>
      <c r="F581" t="s">
        <v>40</v>
      </c>
      <c r="H581" t="s">
        <v>52</v>
      </c>
      <c r="I581" t="s">
        <v>53</v>
      </c>
      <c r="K581">
        <v>160</v>
      </c>
      <c r="M581" s="45">
        <v>50801</v>
      </c>
      <c r="N581" s="45">
        <v>50801</v>
      </c>
      <c r="O581" s="45">
        <v>50801</v>
      </c>
      <c r="P581">
        <v>2193.1339020672222</v>
      </c>
      <c r="V581">
        <v>1</v>
      </c>
      <c r="W581" t="s">
        <v>34</v>
      </c>
      <c r="Y581" t="s">
        <v>34</v>
      </c>
      <c r="Z581" t="s">
        <v>35</v>
      </c>
      <c r="AA581">
        <v>1</v>
      </c>
    </row>
    <row r="582" spans="1:27" x14ac:dyDescent="0.35">
      <c r="A582" s="45">
        <v>45936</v>
      </c>
      <c r="B582">
        <v>1</v>
      </c>
      <c r="D582" t="s">
        <v>30</v>
      </c>
      <c r="E582" t="s">
        <v>40</v>
      </c>
      <c r="F582" t="s">
        <v>40</v>
      </c>
      <c r="H582" t="s">
        <v>52</v>
      </c>
      <c r="I582" t="s">
        <v>53</v>
      </c>
      <c r="K582">
        <v>161</v>
      </c>
      <c r="M582" s="45">
        <v>50829</v>
      </c>
      <c r="N582" s="45">
        <v>50829</v>
      </c>
      <c r="O582" s="45">
        <v>50829</v>
      </c>
      <c r="P582">
        <v>2193.1339020672222</v>
      </c>
      <c r="V582">
        <v>1</v>
      </c>
      <c r="W582" t="s">
        <v>34</v>
      </c>
      <c r="Y582" t="s">
        <v>34</v>
      </c>
      <c r="Z582" t="s">
        <v>35</v>
      </c>
      <c r="AA582">
        <v>1</v>
      </c>
    </row>
    <row r="583" spans="1:27" x14ac:dyDescent="0.35">
      <c r="A583" s="45">
        <v>45936</v>
      </c>
      <c r="B583">
        <v>1</v>
      </c>
      <c r="D583" t="s">
        <v>30</v>
      </c>
      <c r="E583" t="s">
        <v>40</v>
      </c>
      <c r="F583" t="s">
        <v>40</v>
      </c>
      <c r="H583" t="s">
        <v>52</v>
      </c>
      <c r="I583" t="s">
        <v>53</v>
      </c>
      <c r="K583">
        <v>162</v>
      </c>
      <c r="M583" s="45">
        <v>50860</v>
      </c>
      <c r="N583" s="45">
        <v>50860</v>
      </c>
      <c r="O583" s="45">
        <v>50860</v>
      </c>
      <c r="P583">
        <v>2193.1339020672222</v>
      </c>
      <c r="V583">
        <v>1</v>
      </c>
      <c r="W583" t="s">
        <v>34</v>
      </c>
      <c r="Y583" t="s">
        <v>34</v>
      </c>
      <c r="Z583" t="s">
        <v>35</v>
      </c>
      <c r="AA583">
        <v>1</v>
      </c>
    </row>
    <row r="584" spans="1:27" x14ac:dyDescent="0.35">
      <c r="A584" s="45">
        <v>45936</v>
      </c>
      <c r="B584">
        <v>1</v>
      </c>
      <c r="D584" t="s">
        <v>30</v>
      </c>
      <c r="E584" t="s">
        <v>40</v>
      </c>
      <c r="F584" t="s">
        <v>40</v>
      </c>
      <c r="H584" t="s">
        <v>52</v>
      </c>
      <c r="I584" t="s">
        <v>53</v>
      </c>
      <c r="K584">
        <v>163</v>
      </c>
      <c r="M584" s="45">
        <v>50890</v>
      </c>
      <c r="N584" s="45">
        <v>50890</v>
      </c>
      <c r="O584" s="45">
        <v>50890</v>
      </c>
      <c r="P584">
        <v>2193.1339020672222</v>
      </c>
      <c r="V584">
        <v>1</v>
      </c>
      <c r="W584" t="s">
        <v>34</v>
      </c>
      <c r="Y584" t="s">
        <v>34</v>
      </c>
      <c r="Z584" t="s">
        <v>35</v>
      </c>
      <c r="AA584">
        <v>1</v>
      </c>
    </row>
    <row r="585" spans="1:27" x14ac:dyDescent="0.35">
      <c r="A585" s="45">
        <v>45936</v>
      </c>
      <c r="B585">
        <v>1</v>
      </c>
      <c r="D585" t="s">
        <v>30</v>
      </c>
      <c r="E585" t="s">
        <v>40</v>
      </c>
      <c r="F585" t="s">
        <v>40</v>
      </c>
      <c r="H585" t="s">
        <v>52</v>
      </c>
      <c r="I585" t="s">
        <v>53</v>
      </c>
      <c r="K585">
        <v>164</v>
      </c>
      <c r="M585" s="45">
        <v>50921</v>
      </c>
      <c r="N585" s="45">
        <v>50921</v>
      </c>
      <c r="O585" s="45">
        <v>50921</v>
      </c>
      <c r="P585">
        <v>2193.1339020672222</v>
      </c>
      <c r="V585">
        <v>1</v>
      </c>
      <c r="W585" t="s">
        <v>34</v>
      </c>
      <c r="Y585" t="s">
        <v>34</v>
      </c>
      <c r="Z585" t="s">
        <v>35</v>
      </c>
      <c r="AA585">
        <v>1</v>
      </c>
    </row>
    <row r="586" spans="1:27" x14ac:dyDescent="0.35">
      <c r="A586" s="45">
        <v>45936</v>
      </c>
      <c r="B586">
        <v>1</v>
      </c>
      <c r="D586" t="s">
        <v>30</v>
      </c>
      <c r="E586" t="s">
        <v>40</v>
      </c>
      <c r="F586" t="s">
        <v>40</v>
      </c>
      <c r="H586" t="s">
        <v>52</v>
      </c>
      <c r="I586" t="s">
        <v>53</v>
      </c>
      <c r="K586">
        <v>165</v>
      </c>
      <c r="M586" s="45">
        <v>50951</v>
      </c>
      <c r="N586" s="45">
        <v>50951</v>
      </c>
      <c r="O586" s="45">
        <v>50951</v>
      </c>
      <c r="P586">
        <v>2193.1339020672222</v>
      </c>
      <c r="V586">
        <v>1</v>
      </c>
      <c r="W586" t="s">
        <v>34</v>
      </c>
      <c r="Y586" t="s">
        <v>34</v>
      </c>
      <c r="Z586" t="s">
        <v>35</v>
      </c>
      <c r="AA586">
        <v>1</v>
      </c>
    </row>
    <row r="587" spans="1:27" x14ac:dyDescent="0.35">
      <c r="A587" s="45">
        <v>45936</v>
      </c>
      <c r="B587">
        <v>1</v>
      </c>
      <c r="D587" t="s">
        <v>30</v>
      </c>
      <c r="E587" t="s">
        <v>40</v>
      </c>
      <c r="F587" t="s">
        <v>40</v>
      </c>
      <c r="H587" t="s">
        <v>52</v>
      </c>
      <c r="I587" t="s">
        <v>53</v>
      </c>
      <c r="K587">
        <v>166</v>
      </c>
      <c r="M587" s="45">
        <v>50982</v>
      </c>
      <c r="N587" s="45">
        <v>50982</v>
      </c>
      <c r="O587" s="45">
        <v>50982</v>
      </c>
      <c r="P587">
        <v>2193.1339020672222</v>
      </c>
      <c r="V587">
        <v>1</v>
      </c>
      <c r="W587" t="s">
        <v>34</v>
      </c>
      <c r="Y587" t="s">
        <v>34</v>
      </c>
      <c r="Z587" t="s">
        <v>35</v>
      </c>
      <c r="AA587">
        <v>1</v>
      </c>
    </row>
    <row r="588" spans="1:27" x14ac:dyDescent="0.35">
      <c r="A588" s="45">
        <v>45936</v>
      </c>
      <c r="B588">
        <v>1</v>
      </c>
      <c r="D588" t="s">
        <v>30</v>
      </c>
      <c r="E588" t="s">
        <v>40</v>
      </c>
      <c r="F588" t="s">
        <v>40</v>
      </c>
      <c r="H588" t="s">
        <v>52</v>
      </c>
      <c r="I588" t="s">
        <v>53</v>
      </c>
      <c r="K588">
        <v>167</v>
      </c>
      <c r="M588" s="45">
        <v>51013</v>
      </c>
      <c r="N588" s="45">
        <v>51013</v>
      </c>
      <c r="O588" s="45">
        <v>51013</v>
      </c>
      <c r="P588">
        <v>2193.1339020672222</v>
      </c>
      <c r="V588">
        <v>1</v>
      </c>
      <c r="W588" t="s">
        <v>34</v>
      </c>
      <c r="Y588" t="s">
        <v>34</v>
      </c>
      <c r="Z588" t="s">
        <v>35</v>
      </c>
      <c r="AA588">
        <v>1</v>
      </c>
    </row>
    <row r="589" spans="1:27" x14ac:dyDescent="0.35">
      <c r="A589" s="45">
        <v>45936</v>
      </c>
      <c r="B589">
        <v>1</v>
      </c>
      <c r="D589" t="s">
        <v>30</v>
      </c>
      <c r="E589" t="s">
        <v>40</v>
      </c>
      <c r="F589" t="s">
        <v>40</v>
      </c>
      <c r="H589" t="s">
        <v>52</v>
      </c>
      <c r="I589" t="s">
        <v>53</v>
      </c>
      <c r="K589">
        <v>168</v>
      </c>
      <c r="M589" s="45">
        <v>51043</v>
      </c>
      <c r="N589" s="45">
        <v>51043</v>
      </c>
      <c r="O589" s="45">
        <v>51043</v>
      </c>
      <c r="P589">
        <v>2193.1339020672222</v>
      </c>
      <c r="V589">
        <v>1</v>
      </c>
      <c r="W589" t="s">
        <v>34</v>
      </c>
      <c r="Y589" t="s">
        <v>34</v>
      </c>
      <c r="Z589" t="s">
        <v>35</v>
      </c>
      <c r="AA589">
        <v>1</v>
      </c>
    </row>
    <row r="590" spans="1:27" x14ac:dyDescent="0.35">
      <c r="A590" s="45">
        <v>45936</v>
      </c>
      <c r="B590">
        <v>1</v>
      </c>
      <c r="D590" t="s">
        <v>30</v>
      </c>
      <c r="E590" t="s">
        <v>40</v>
      </c>
      <c r="F590" t="s">
        <v>40</v>
      </c>
      <c r="H590" t="s">
        <v>52</v>
      </c>
      <c r="I590" t="s">
        <v>53</v>
      </c>
      <c r="K590">
        <v>169</v>
      </c>
      <c r="M590" s="45">
        <v>51074</v>
      </c>
      <c r="N590" s="45">
        <v>51074</v>
      </c>
      <c r="O590" s="45">
        <v>51074</v>
      </c>
      <c r="P590">
        <v>2193.1339020672222</v>
      </c>
      <c r="V590">
        <v>1</v>
      </c>
      <c r="W590" t="s">
        <v>34</v>
      </c>
      <c r="Y590" t="s">
        <v>34</v>
      </c>
      <c r="Z590" t="s">
        <v>35</v>
      </c>
      <c r="AA590">
        <v>1</v>
      </c>
    </row>
    <row r="591" spans="1:27" x14ac:dyDescent="0.35">
      <c r="A591" s="45">
        <v>45936</v>
      </c>
      <c r="B591">
        <v>1</v>
      </c>
      <c r="D591" t="s">
        <v>30</v>
      </c>
      <c r="E591" t="s">
        <v>40</v>
      </c>
      <c r="F591" t="s">
        <v>40</v>
      </c>
      <c r="H591" t="s">
        <v>52</v>
      </c>
      <c r="I591" t="s">
        <v>53</v>
      </c>
      <c r="K591">
        <v>170</v>
      </c>
      <c r="M591" s="45">
        <v>51104</v>
      </c>
      <c r="N591" s="45">
        <v>51104</v>
      </c>
      <c r="O591" s="45">
        <v>51104</v>
      </c>
      <c r="P591">
        <v>2193.1339020672222</v>
      </c>
      <c r="V591">
        <v>1</v>
      </c>
      <c r="W591" t="s">
        <v>34</v>
      </c>
      <c r="Y591" t="s">
        <v>34</v>
      </c>
      <c r="Z591" t="s">
        <v>35</v>
      </c>
      <c r="AA591">
        <v>1</v>
      </c>
    </row>
    <row r="592" spans="1:27" x14ac:dyDescent="0.35">
      <c r="A592" s="45">
        <v>45936</v>
      </c>
      <c r="B592">
        <v>1</v>
      </c>
      <c r="D592" t="s">
        <v>30</v>
      </c>
      <c r="E592" t="s">
        <v>40</v>
      </c>
      <c r="F592" t="s">
        <v>40</v>
      </c>
      <c r="H592" t="s">
        <v>52</v>
      </c>
      <c r="I592" t="s">
        <v>53</v>
      </c>
      <c r="K592">
        <v>171</v>
      </c>
      <c r="M592" s="45">
        <v>51135</v>
      </c>
      <c r="N592" s="45">
        <v>51135</v>
      </c>
      <c r="O592" s="45">
        <v>51135</v>
      </c>
      <c r="P592">
        <v>2193.1339020672222</v>
      </c>
      <c r="V592">
        <v>1</v>
      </c>
      <c r="W592" t="s">
        <v>34</v>
      </c>
      <c r="Y592" t="s">
        <v>34</v>
      </c>
      <c r="Z592" t="s">
        <v>35</v>
      </c>
      <c r="AA592">
        <v>1</v>
      </c>
    </row>
    <row r="593" spans="1:27" x14ac:dyDescent="0.35">
      <c r="A593" s="45">
        <v>45936</v>
      </c>
      <c r="B593">
        <v>1</v>
      </c>
      <c r="D593" t="s">
        <v>30</v>
      </c>
      <c r="E593" t="s">
        <v>40</v>
      </c>
      <c r="F593" t="s">
        <v>40</v>
      </c>
      <c r="H593" t="s">
        <v>52</v>
      </c>
      <c r="I593" t="s">
        <v>53</v>
      </c>
      <c r="K593">
        <v>172</v>
      </c>
      <c r="M593" s="45">
        <v>51166</v>
      </c>
      <c r="N593" s="45">
        <v>51166</v>
      </c>
      <c r="O593" s="45">
        <v>51166</v>
      </c>
      <c r="P593">
        <v>2193.1339020672222</v>
      </c>
      <c r="V593">
        <v>1</v>
      </c>
      <c r="W593" t="s">
        <v>34</v>
      </c>
      <c r="Y593" t="s">
        <v>34</v>
      </c>
      <c r="Z593" t="s">
        <v>35</v>
      </c>
      <c r="AA593">
        <v>1</v>
      </c>
    </row>
    <row r="594" spans="1:27" x14ac:dyDescent="0.35">
      <c r="A594" s="45">
        <v>45936</v>
      </c>
      <c r="B594">
        <v>1</v>
      </c>
      <c r="D594" t="s">
        <v>30</v>
      </c>
      <c r="E594" t="s">
        <v>40</v>
      </c>
      <c r="F594" t="s">
        <v>40</v>
      </c>
      <c r="H594" t="s">
        <v>52</v>
      </c>
      <c r="I594" t="s">
        <v>53</v>
      </c>
      <c r="K594">
        <v>173</v>
      </c>
      <c r="M594" s="45">
        <v>51195</v>
      </c>
      <c r="N594" s="45">
        <v>51195</v>
      </c>
      <c r="O594" s="45">
        <v>51195</v>
      </c>
      <c r="P594">
        <v>2193.1339020672222</v>
      </c>
      <c r="V594">
        <v>1</v>
      </c>
      <c r="W594" t="s">
        <v>34</v>
      </c>
      <c r="Y594" t="s">
        <v>34</v>
      </c>
      <c r="Z594" t="s">
        <v>35</v>
      </c>
      <c r="AA594">
        <v>1</v>
      </c>
    </row>
    <row r="595" spans="1:27" x14ac:dyDescent="0.35">
      <c r="A595" s="45">
        <v>45936</v>
      </c>
      <c r="B595">
        <v>1</v>
      </c>
      <c r="D595" t="s">
        <v>30</v>
      </c>
      <c r="E595" t="s">
        <v>40</v>
      </c>
      <c r="F595" t="s">
        <v>40</v>
      </c>
      <c r="H595" t="s">
        <v>52</v>
      </c>
      <c r="I595" t="s">
        <v>53</v>
      </c>
      <c r="K595">
        <v>174</v>
      </c>
      <c r="M595" s="45">
        <v>51226</v>
      </c>
      <c r="N595" s="45">
        <v>51226</v>
      </c>
      <c r="O595" s="45">
        <v>51226</v>
      </c>
      <c r="P595">
        <v>2193.1339020672222</v>
      </c>
      <c r="V595">
        <v>1</v>
      </c>
      <c r="W595" t="s">
        <v>34</v>
      </c>
      <c r="Y595" t="s">
        <v>34</v>
      </c>
      <c r="Z595" t="s">
        <v>35</v>
      </c>
      <c r="AA595">
        <v>1</v>
      </c>
    </row>
    <row r="596" spans="1:27" x14ac:dyDescent="0.35">
      <c r="A596" s="45">
        <v>45936</v>
      </c>
      <c r="B596">
        <v>1</v>
      </c>
      <c r="D596" t="s">
        <v>30</v>
      </c>
      <c r="E596" t="s">
        <v>40</v>
      </c>
      <c r="F596" t="s">
        <v>40</v>
      </c>
      <c r="H596" t="s">
        <v>52</v>
      </c>
      <c r="I596" t="s">
        <v>53</v>
      </c>
      <c r="K596">
        <v>175</v>
      </c>
      <c r="M596" s="45">
        <v>51256</v>
      </c>
      <c r="N596" s="45">
        <v>51256</v>
      </c>
      <c r="O596" s="45">
        <v>51256</v>
      </c>
      <c r="P596">
        <v>2193.1339020672222</v>
      </c>
      <c r="V596">
        <v>1</v>
      </c>
      <c r="W596" t="s">
        <v>34</v>
      </c>
      <c r="Y596" t="s">
        <v>34</v>
      </c>
      <c r="Z596" t="s">
        <v>35</v>
      </c>
      <c r="AA596">
        <v>1</v>
      </c>
    </row>
    <row r="597" spans="1:27" x14ac:dyDescent="0.35">
      <c r="A597" s="45">
        <v>45936</v>
      </c>
      <c r="B597">
        <v>1</v>
      </c>
      <c r="D597" t="s">
        <v>30</v>
      </c>
      <c r="E597" t="s">
        <v>40</v>
      </c>
      <c r="F597" t="s">
        <v>40</v>
      </c>
      <c r="H597" t="s">
        <v>52</v>
      </c>
      <c r="I597" t="s">
        <v>53</v>
      </c>
      <c r="K597">
        <v>176</v>
      </c>
      <c r="M597" s="45">
        <v>51287</v>
      </c>
      <c r="N597" s="45">
        <v>51287</v>
      </c>
      <c r="O597" s="45">
        <v>51287</v>
      </c>
      <c r="P597">
        <v>2193.1339020672222</v>
      </c>
      <c r="V597">
        <v>1</v>
      </c>
      <c r="W597" t="s">
        <v>34</v>
      </c>
      <c r="Y597" t="s">
        <v>34</v>
      </c>
      <c r="Z597" t="s">
        <v>35</v>
      </c>
      <c r="AA597">
        <v>1</v>
      </c>
    </row>
    <row r="598" spans="1:27" x14ac:dyDescent="0.35">
      <c r="A598" s="45">
        <v>45936</v>
      </c>
      <c r="B598">
        <v>1</v>
      </c>
      <c r="D598" t="s">
        <v>30</v>
      </c>
      <c r="E598" t="s">
        <v>40</v>
      </c>
      <c r="F598" t="s">
        <v>40</v>
      </c>
      <c r="H598" t="s">
        <v>52</v>
      </c>
      <c r="I598" t="s">
        <v>53</v>
      </c>
      <c r="K598">
        <v>177</v>
      </c>
      <c r="M598" s="45">
        <v>51317</v>
      </c>
      <c r="N598" s="45">
        <v>51317</v>
      </c>
      <c r="O598" s="45">
        <v>51317</v>
      </c>
      <c r="P598">
        <v>2193.1339020672222</v>
      </c>
      <c r="V598">
        <v>1</v>
      </c>
      <c r="W598" t="s">
        <v>34</v>
      </c>
      <c r="Y598" t="s">
        <v>34</v>
      </c>
      <c r="Z598" t="s">
        <v>35</v>
      </c>
      <c r="AA598">
        <v>1</v>
      </c>
    </row>
    <row r="599" spans="1:27" x14ac:dyDescent="0.35">
      <c r="A599" s="45">
        <v>45936</v>
      </c>
      <c r="B599">
        <v>1</v>
      </c>
      <c r="D599" t="s">
        <v>30</v>
      </c>
      <c r="E599" t="s">
        <v>40</v>
      </c>
      <c r="F599" t="s">
        <v>40</v>
      </c>
      <c r="H599" t="s">
        <v>52</v>
      </c>
      <c r="I599" t="s">
        <v>53</v>
      </c>
      <c r="K599">
        <v>178</v>
      </c>
      <c r="M599" s="45">
        <v>51348</v>
      </c>
      <c r="N599" s="45">
        <v>51348</v>
      </c>
      <c r="O599" s="45">
        <v>51348</v>
      </c>
      <c r="P599">
        <v>2193.1339020672222</v>
      </c>
      <c r="V599">
        <v>1</v>
      </c>
      <c r="W599" t="s">
        <v>34</v>
      </c>
      <c r="Y599" t="s">
        <v>34</v>
      </c>
      <c r="Z599" t="s">
        <v>35</v>
      </c>
      <c r="AA599">
        <v>1</v>
      </c>
    </row>
    <row r="600" spans="1:27" x14ac:dyDescent="0.35">
      <c r="A600" s="45">
        <v>45936</v>
      </c>
      <c r="B600">
        <v>1</v>
      </c>
      <c r="D600" t="s">
        <v>30</v>
      </c>
      <c r="E600" t="s">
        <v>40</v>
      </c>
      <c r="F600" t="s">
        <v>40</v>
      </c>
      <c r="H600" t="s">
        <v>52</v>
      </c>
      <c r="I600" t="s">
        <v>53</v>
      </c>
      <c r="K600">
        <v>179</v>
      </c>
      <c r="M600" s="45">
        <v>51379</v>
      </c>
      <c r="N600" s="45">
        <v>51379</v>
      </c>
      <c r="O600" s="45">
        <v>51379</v>
      </c>
      <c r="P600">
        <v>2193.1339020672222</v>
      </c>
      <c r="V600">
        <v>1</v>
      </c>
      <c r="W600" t="s">
        <v>34</v>
      </c>
      <c r="Y600" t="s">
        <v>34</v>
      </c>
      <c r="Z600" t="s">
        <v>35</v>
      </c>
      <c r="AA600">
        <v>1</v>
      </c>
    </row>
    <row r="601" spans="1:27" x14ac:dyDescent="0.35">
      <c r="A601" s="45">
        <v>45936</v>
      </c>
      <c r="B601">
        <v>1</v>
      </c>
      <c r="D601" t="s">
        <v>30</v>
      </c>
      <c r="E601" t="s">
        <v>40</v>
      </c>
      <c r="F601" t="s">
        <v>40</v>
      </c>
      <c r="H601" t="s">
        <v>52</v>
      </c>
      <c r="I601" t="s">
        <v>53</v>
      </c>
      <c r="K601">
        <v>180</v>
      </c>
      <c r="M601" s="45">
        <v>51409</v>
      </c>
      <c r="N601" s="45">
        <v>51409</v>
      </c>
      <c r="O601" s="45">
        <v>51409</v>
      </c>
      <c r="P601">
        <v>2193.1339020672222</v>
      </c>
      <c r="V601">
        <v>1</v>
      </c>
      <c r="W601" t="s">
        <v>34</v>
      </c>
      <c r="Y601" t="s">
        <v>34</v>
      </c>
      <c r="Z601" t="s">
        <v>35</v>
      </c>
      <c r="AA601">
        <v>1</v>
      </c>
    </row>
    <row r="602" spans="1:27" x14ac:dyDescent="0.35">
      <c r="A602" s="45">
        <v>45936</v>
      </c>
      <c r="B602">
        <v>1</v>
      </c>
      <c r="D602" t="s">
        <v>30</v>
      </c>
      <c r="E602" t="s">
        <v>40</v>
      </c>
      <c r="F602" t="s">
        <v>40</v>
      </c>
      <c r="H602" t="s">
        <v>52</v>
      </c>
      <c r="I602" t="s">
        <v>53</v>
      </c>
      <c r="K602">
        <v>181</v>
      </c>
      <c r="M602" s="45">
        <v>51440</v>
      </c>
      <c r="N602" s="45">
        <v>51440</v>
      </c>
      <c r="O602" s="45">
        <v>51440</v>
      </c>
      <c r="P602">
        <v>2193.1339020672222</v>
      </c>
      <c r="V602">
        <v>1</v>
      </c>
      <c r="W602" t="s">
        <v>34</v>
      </c>
      <c r="Y602" t="s">
        <v>34</v>
      </c>
      <c r="Z602" t="s">
        <v>35</v>
      </c>
      <c r="AA602">
        <v>1</v>
      </c>
    </row>
    <row r="603" spans="1:27" x14ac:dyDescent="0.35">
      <c r="A603" s="45">
        <v>45936</v>
      </c>
      <c r="B603">
        <v>1</v>
      </c>
      <c r="D603" t="s">
        <v>30</v>
      </c>
      <c r="E603" t="s">
        <v>40</v>
      </c>
      <c r="F603" t="s">
        <v>40</v>
      </c>
      <c r="H603" t="s">
        <v>52</v>
      </c>
      <c r="I603" t="s">
        <v>53</v>
      </c>
      <c r="K603">
        <v>182</v>
      </c>
      <c r="M603" s="45">
        <v>51470</v>
      </c>
      <c r="N603" s="45">
        <v>51470</v>
      </c>
      <c r="O603" s="45">
        <v>51470</v>
      </c>
      <c r="P603">
        <v>2193.1339020672222</v>
      </c>
      <c r="V603">
        <v>1</v>
      </c>
      <c r="W603" t="s">
        <v>34</v>
      </c>
      <c r="Y603" t="s">
        <v>34</v>
      </c>
      <c r="Z603" t="s">
        <v>35</v>
      </c>
      <c r="AA603">
        <v>1</v>
      </c>
    </row>
    <row r="604" spans="1:27" x14ac:dyDescent="0.35">
      <c r="A604" s="45">
        <v>45936</v>
      </c>
      <c r="B604">
        <v>1</v>
      </c>
      <c r="D604" t="s">
        <v>30</v>
      </c>
      <c r="E604" t="s">
        <v>40</v>
      </c>
      <c r="F604" t="s">
        <v>40</v>
      </c>
      <c r="H604" t="s">
        <v>52</v>
      </c>
      <c r="I604" t="s">
        <v>53</v>
      </c>
      <c r="K604">
        <v>183</v>
      </c>
      <c r="M604" s="45">
        <v>51501</v>
      </c>
      <c r="N604" s="45">
        <v>51501</v>
      </c>
      <c r="O604" s="45">
        <v>51501</v>
      </c>
      <c r="P604">
        <v>2193.1339020672222</v>
      </c>
      <c r="V604">
        <v>1</v>
      </c>
      <c r="W604" t="s">
        <v>34</v>
      </c>
      <c r="Y604" t="s">
        <v>34</v>
      </c>
      <c r="Z604" t="s">
        <v>35</v>
      </c>
      <c r="AA604">
        <v>1</v>
      </c>
    </row>
    <row r="605" spans="1:27" x14ac:dyDescent="0.35">
      <c r="A605" s="45">
        <v>45936</v>
      </c>
      <c r="B605">
        <v>1</v>
      </c>
      <c r="D605" t="s">
        <v>30</v>
      </c>
      <c r="E605" t="s">
        <v>40</v>
      </c>
      <c r="F605" t="s">
        <v>40</v>
      </c>
      <c r="H605" t="s">
        <v>52</v>
      </c>
      <c r="I605" t="s">
        <v>53</v>
      </c>
      <c r="K605">
        <v>184</v>
      </c>
      <c r="M605" s="45">
        <v>51532</v>
      </c>
      <c r="N605" s="45">
        <v>51532</v>
      </c>
      <c r="O605" s="45">
        <v>51532</v>
      </c>
      <c r="P605">
        <v>2193.1339020672222</v>
      </c>
      <c r="V605">
        <v>1</v>
      </c>
      <c r="W605" t="s">
        <v>34</v>
      </c>
      <c r="Y605" t="s">
        <v>34</v>
      </c>
      <c r="Z605" t="s">
        <v>35</v>
      </c>
      <c r="AA605">
        <v>1</v>
      </c>
    </row>
    <row r="606" spans="1:27" x14ac:dyDescent="0.35">
      <c r="A606" s="45">
        <v>45936</v>
      </c>
      <c r="B606">
        <v>1</v>
      </c>
      <c r="D606" t="s">
        <v>30</v>
      </c>
      <c r="E606" t="s">
        <v>40</v>
      </c>
      <c r="F606" t="s">
        <v>40</v>
      </c>
      <c r="H606" t="s">
        <v>52</v>
      </c>
      <c r="I606" t="s">
        <v>53</v>
      </c>
      <c r="K606">
        <v>185</v>
      </c>
      <c r="M606" s="45">
        <v>51560</v>
      </c>
      <c r="N606" s="45">
        <v>51560</v>
      </c>
      <c r="O606" s="45">
        <v>51560</v>
      </c>
      <c r="P606">
        <v>2193.1339020672222</v>
      </c>
      <c r="V606">
        <v>1</v>
      </c>
      <c r="W606" t="s">
        <v>34</v>
      </c>
      <c r="Y606" t="s">
        <v>34</v>
      </c>
      <c r="Z606" t="s">
        <v>35</v>
      </c>
      <c r="AA606">
        <v>1</v>
      </c>
    </row>
    <row r="607" spans="1:27" x14ac:dyDescent="0.35">
      <c r="A607" s="45">
        <v>45936</v>
      </c>
      <c r="B607">
        <v>1</v>
      </c>
      <c r="D607" t="s">
        <v>30</v>
      </c>
      <c r="E607" t="s">
        <v>40</v>
      </c>
      <c r="F607" t="s">
        <v>40</v>
      </c>
      <c r="H607" t="s">
        <v>52</v>
      </c>
      <c r="I607" t="s">
        <v>53</v>
      </c>
      <c r="K607">
        <v>186</v>
      </c>
      <c r="M607" s="45">
        <v>51591</v>
      </c>
      <c r="N607" s="45">
        <v>51591</v>
      </c>
      <c r="O607" s="45">
        <v>51591</v>
      </c>
      <c r="P607">
        <v>2193.1339020672222</v>
      </c>
      <c r="V607">
        <v>1</v>
      </c>
      <c r="W607" t="s">
        <v>34</v>
      </c>
      <c r="Y607" t="s">
        <v>34</v>
      </c>
      <c r="Z607" t="s">
        <v>35</v>
      </c>
      <c r="AA607">
        <v>1</v>
      </c>
    </row>
    <row r="608" spans="1:27" x14ac:dyDescent="0.35">
      <c r="A608" s="45">
        <v>45936</v>
      </c>
      <c r="B608">
        <v>1</v>
      </c>
      <c r="D608" t="s">
        <v>30</v>
      </c>
      <c r="E608" t="s">
        <v>40</v>
      </c>
      <c r="F608" t="s">
        <v>40</v>
      </c>
      <c r="H608" t="s">
        <v>52</v>
      </c>
      <c r="I608" t="s">
        <v>53</v>
      </c>
      <c r="K608">
        <v>187</v>
      </c>
      <c r="M608" s="45">
        <v>51621</v>
      </c>
      <c r="N608" s="45">
        <v>51621</v>
      </c>
      <c r="O608" s="45">
        <v>51621</v>
      </c>
      <c r="P608">
        <v>2193.1339020672222</v>
      </c>
      <c r="V608">
        <v>1</v>
      </c>
      <c r="W608" t="s">
        <v>34</v>
      </c>
      <c r="Y608" t="s">
        <v>34</v>
      </c>
      <c r="Z608" t="s">
        <v>35</v>
      </c>
      <c r="AA608">
        <v>1</v>
      </c>
    </row>
    <row r="609" spans="1:27" x14ac:dyDescent="0.35">
      <c r="A609" s="45">
        <v>45936</v>
      </c>
      <c r="B609">
        <v>1</v>
      </c>
      <c r="D609" t="s">
        <v>30</v>
      </c>
      <c r="E609" t="s">
        <v>40</v>
      </c>
      <c r="F609" t="s">
        <v>40</v>
      </c>
      <c r="H609" t="s">
        <v>52</v>
      </c>
      <c r="I609" t="s">
        <v>53</v>
      </c>
      <c r="K609">
        <v>188</v>
      </c>
      <c r="M609" s="45">
        <v>51652</v>
      </c>
      <c r="N609" s="45">
        <v>51652</v>
      </c>
      <c r="O609" s="45">
        <v>51652</v>
      </c>
      <c r="P609">
        <v>2193.1339020672222</v>
      </c>
      <c r="V609">
        <v>1</v>
      </c>
      <c r="W609" t="s">
        <v>34</v>
      </c>
      <c r="Y609" t="s">
        <v>34</v>
      </c>
      <c r="Z609" t="s">
        <v>35</v>
      </c>
      <c r="AA609">
        <v>1</v>
      </c>
    </row>
    <row r="610" spans="1:27" x14ac:dyDescent="0.35">
      <c r="A610" s="45">
        <v>45936</v>
      </c>
      <c r="B610">
        <v>1</v>
      </c>
      <c r="D610" t="s">
        <v>30</v>
      </c>
      <c r="E610" t="s">
        <v>40</v>
      </c>
      <c r="F610" t="s">
        <v>40</v>
      </c>
      <c r="H610" t="s">
        <v>52</v>
      </c>
      <c r="I610" t="s">
        <v>53</v>
      </c>
      <c r="K610">
        <v>189</v>
      </c>
      <c r="M610" s="45">
        <v>51682</v>
      </c>
      <c r="N610" s="45">
        <v>51682</v>
      </c>
      <c r="O610" s="45">
        <v>51682</v>
      </c>
      <c r="P610">
        <v>2193.1339020672222</v>
      </c>
      <c r="V610">
        <v>1</v>
      </c>
      <c r="W610" t="s">
        <v>34</v>
      </c>
      <c r="Y610" t="s">
        <v>34</v>
      </c>
      <c r="Z610" t="s">
        <v>35</v>
      </c>
      <c r="AA610">
        <v>1</v>
      </c>
    </row>
    <row r="611" spans="1:27" x14ac:dyDescent="0.35">
      <c r="A611" s="45">
        <v>45936</v>
      </c>
      <c r="B611">
        <v>1</v>
      </c>
      <c r="D611" t="s">
        <v>30</v>
      </c>
      <c r="E611" t="s">
        <v>40</v>
      </c>
      <c r="F611" t="s">
        <v>40</v>
      </c>
      <c r="H611" t="s">
        <v>52</v>
      </c>
      <c r="I611" t="s">
        <v>53</v>
      </c>
      <c r="K611">
        <v>190</v>
      </c>
      <c r="M611" s="45">
        <v>51713</v>
      </c>
      <c r="N611" s="45">
        <v>51713</v>
      </c>
      <c r="O611" s="45">
        <v>51713</v>
      </c>
      <c r="P611">
        <v>2193.1339020672222</v>
      </c>
      <c r="V611">
        <v>1</v>
      </c>
      <c r="W611" t="s">
        <v>34</v>
      </c>
      <c r="Y611" t="s">
        <v>34</v>
      </c>
      <c r="Z611" t="s">
        <v>35</v>
      </c>
      <c r="AA611">
        <v>1</v>
      </c>
    </row>
    <row r="612" spans="1:27" x14ac:dyDescent="0.35">
      <c r="A612" s="45">
        <v>45936</v>
      </c>
      <c r="B612">
        <v>1</v>
      </c>
      <c r="D612" t="s">
        <v>30</v>
      </c>
      <c r="E612" t="s">
        <v>40</v>
      </c>
      <c r="F612" t="s">
        <v>40</v>
      </c>
      <c r="H612" t="s">
        <v>52</v>
      </c>
      <c r="I612" t="s">
        <v>53</v>
      </c>
      <c r="K612">
        <v>191</v>
      </c>
      <c r="M612" s="45">
        <v>51744</v>
      </c>
      <c r="N612" s="45">
        <v>51744</v>
      </c>
      <c r="O612" s="45">
        <v>51744</v>
      </c>
      <c r="P612">
        <v>2193.1339020672222</v>
      </c>
      <c r="V612">
        <v>1</v>
      </c>
      <c r="W612" t="s">
        <v>34</v>
      </c>
      <c r="Y612" t="s">
        <v>34</v>
      </c>
      <c r="Z612" t="s">
        <v>35</v>
      </c>
      <c r="AA612">
        <v>1</v>
      </c>
    </row>
    <row r="613" spans="1:27" x14ac:dyDescent="0.35">
      <c r="A613" s="45">
        <v>45936</v>
      </c>
      <c r="B613">
        <v>1</v>
      </c>
      <c r="D613" t="s">
        <v>30</v>
      </c>
      <c r="E613" t="s">
        <v>40</v>
      </c>
      <c r="F613" t="s">
        <v>40</v>
      </c>
      <c r="H613" t="s">
        <v>52</v>
      </c>
      <c r="I613" t="s">
        <v>53</v>
      </c>
      <c r="K613">
        <v>192</v>
      </c>
      <c r="M613" s="45">
        <v>51774</v>
      </c>
      <c r="N613" s="45">
        <v>51774</v>
      </c>
      <c r="O613" s="45">
        <v>51774</v>
      </c>
      <c r="P613">
        <v>2193.1339020672222</v>
      </c>
      <c r="V613">
        <v>1</v>
      </c>
      <c r="W613" t="s">
        <v>34</v>
      </c>
      <c r="Y613" t="s">
        <v>34</v>
      </c>
      <c r="Z613" t="s">
        <v>35</v>
      </c>
      <c r="AA613">
        <v>1</v>
      </c>
    </row>
    <row r="614" spans="1:27" x14ac:dyDescent="0.35">
      <c r="A614" s="45">
        <v>45936</v>
      </c>
      <c r="B614">
        <v>1</v>
      </c>
      <c r="D614" t="s">
        <v>30</v>
      </c>
      <c r="E614" t="s">
        <v>40</v>
      </c>
      <c r="F614" t="s">
        <v>40</v>
      </c>
      <c r="H614" t="s">
        <v>52</v>
      </c>
      <c r="I614" t="s">
        <v>53</v>
      </c>
      <c r="K614">
        <v>193</v>
      </c>
      <c r="M614" s="45">
        <v>51805</v>
      </c>
      <c r="N614" s="45">
        <v>51805</v>
      </c>
      <c r="O614" s="45">
        <v>51805</v>
      </c>
      <c r="P614">
        <v>2193.1339020672222</v>
      </c>
      <c r="V614">
        <v>1</v>
      </c>
      <c r="W614" t="s">
        <v>34</v>
      </c>
      <c r="Y614" t="s">
        <v>34</v>
      </c>
      <c r="Z614" t="s">
        <v>35</v>
      </c>
      <c r="AA614">
        <v>1</v>
      </c>
    </row>
    <row r="615" spans="1:27" x14ac:dyDescent="0.35">
      <c r="A615" s="45">
        <v>45936</v>
      </c>
      <c r="B615">
        <v>1</v>
      </c>
      <c r="D615" t="s">
        <v>30</v>
      </c>
      <c r="E615" t="s">
        <v>40</v>
      </c>
      <c r="F615" t="s">
        <v>40</v>
      </c>
      <c r="H615" t="s">
        <v>52</v>
      </c>
      <c r="I615" t="s">
        <v>53</v>
      </c>
      <c r="K615">
        <v>194</v>
      </c>
      <c r="M615" s="45">
        <v>51835</v>
      </c>
      <c r="N615" s="45">
        <v>51835</v>
      </c>
      <c r="O615" s="45">
        <v>51835</v>
      </c>
      <c r="P615">
        <v>2193.1339020672222</v>
      </c>
      <c r="V615">
        <v>1</v>
      </c>
      <c r="W615" t="s">
        <v>34</v>
      </c>
      <c r="Y615" t="s">
        <v>34</v>
      </c>
      <c r="Z615" t="s">
        <v>35</v>
      </c>
      <c r="AA615">
        <v>1</v>
      </c>
    </row>
    <row r="616" spans="1:27" x14ac:dyDescent="0.35">
      <c r="A616" s="45">
        <v>45936</v>
      </c>
      <c r="B616">
        <v>1</v>
      </c>
      <c r="D616" t="s">
        <v>30</v>
      </c>
      <c r="E616" t="s">
        <v>40</v>
      </c>
      <c r="F616" t="s">
        <v>40</v>
      </c>
      <c r="H616" t="s">
        <v>52</v>
      </c>
      <c r="I616" t="s">
        <v>53</v>
      </c>
      <c r="K616">
        <v>195</v>
      </c>
      <c r="M616" s="45">
        <v>51866</v>
      </c>
      <c r="N616" s="45">
        <v>51866</v>
      </c>
      <c r="O616" s="45">
        <v>51866</v>
      </c>
      <c r="P616">
        <v>2193.1339020672222</v>
      </c>
      <c r="V616">
        <v>1</v>
      </c>
      <c r="W616" t="s">
        <v>34</v>
      </c>
      <c r="Y616" t="s">
        <v>34</v>
      </c>
      <c r="Z616" t="s">
        <v>35</v>
      </c>
      <c r="AA616">
        <v>1</v>
      </c>
    </row>
    <row r="617" spans="1:27" x14ac:dyDescent="0.35">
      <c r="A617" s="45">
        <v>45936</v>
      </c>
      <c r="B617">
        <v>1</v>
      </c>
      <c r="D617" t="s">
        <v>30</v>
      </c>
      <c r="E617" t="s">
        <v>40</v>
      </c>
      <c r="F617" t="s">
        <v>40</v>
      </c>
      <c r="H617" t="s">
        <v>52</v>
      </c>
      <c r="I617" t="s">
        <v>53</v>
      </c>
      <c r="K617">
        <v>196</v>
      </c>
      <c r="M617" s="45">
        <v>51897</v>
      </c>
      <c r="N617" s="45">
        <v>51897</v>
      </c>
      <c r="O617" s="45">
        <v>51897</v>
      </c>
      <c r="P617">
        <v>2193.1339020672222</v>
      </c>
      <c r="V617">
        <v>1</v>
      </c>
      <c r="W617" t="s">
        <v>34</v>
      </c>
      <c r="Y617" t="s">
        <v>34</v>
      </c>
      <c r="Z617" t="s">
        <v>35</v>
      </c>
      <c r="AA617">
        <v>1</v>
      </c>
    </row>
    <row r="618" spans="1:27" x14ac:dyDescent="0.35">
      <c r="A618" s="45">
        <v>45936</v>
      </c>
      <c r="B618">
        <v>1</v>
      </c>
      <c r="D618" t="s">
        <v>30</v>
      </c>
      <c r="E618" t="s">
        <v>40</v>
      </c>
      <c r="F618" t="s">
        <v>40</v>
      </c>
      <c r="H618" t="s">
        <v>52</v>
      </c>
      <c r="I618" t="s">
        <v>53</v>
      </c>
      <c r="K618">
        <v>197</v>
      </c>
      <c r="M618" s="45">
        <v>51925</v>
      </c>
      <c r="N618" s="45">
        <v>51925</v>
      </c>
      <c r="O618" s="45">
        <v>51925</v>
      </c>
      <c r="P618">
        <v>2193.1339020672222</v>
      </c>
      <c r="V618">
        <v>1</v>
      </c>
      <c r="W618" t="s">
        <v>34</v>
      </c>
      <c r="Y618" t="s">
        <v>34</v>
      </c>
      <c r="Z618" t="s">
        <v>35</v>
      </c>
      <c r="AA618">
        <v>1</v>
      </c>
    </row>
    <row r="619" spans="1:27" x14ac:dyDescent="0.35">
      <c r="A619" s="45">
        <v>45936</v>
      </c>
      <c r="B619">
        <v>1</v>
      </c>
      <c r="D619" t="s">
        <v>30</v>
      </c>
      <c r="E619" t="s">
        <v>40</v>
      </c>
      <c r="F619" t="s">
        <v>40</v>
      </c>
      <c r="H619" t="s">
        <v>52</v>
      </c>
      <c r="I619" t="s">
        <v>53</v>
      </c>
      <c r="K619">
        <v>198</v>
      </c>
      <c r="M619" s="45">
        <v>51956</v>
      </c>
      <c r="N619" s="45">
        <v>51956</v>
      </c>
      <c r="O619" s="45">
        <v>51956</v>
      </c>
      <c r="P619">
        <v>2193.1339020672222</v>
      </c>
      <c r="V619">
        <v>1</v>
      </c>
      <c r="W619" t="s">
        <v>34</v>
      </c>
      <c r="Y619" t="s">
        <v>34</v>
      </c>
      <c r="Z619" t="s">
        <v>35</v>
      </c>
      <c r="AA619">
        <v>1</v>
      </c>
    </row>
    <row r="620" spans="1:27" x14ac:dyDescent="0.35">
      <c r="A620" s="45">
        <v>45936</v>
      </c>
      <c r="B620">
        <v>1</v>
      </c>
      <c r="D620" t="s">
        <v>30</v>
      </c>
      <c r="E620" t="s">
        <v>40</v>
      </c>
      <c r="F620" t="s">
        <v>40</v>
      </c>
      <c r="H620" t="s">
        <v>52</v>
      </c>
      <c r="I620" t="s">
        <v>53</v>
      </c>
      <c r="K620">
        <v>199</v>
      </c>
      <c r="M620" s="45">
        <v>51986</v>
      </c>
      <c r="N620" s="45">
        <v>51986</v>
      </c>
      <c r="O620" s="45">
        <v>51986</v>
      </c>
      <c r="P620">
        <v>2193.1339020672222</v>
      </c>
      <c r="V620">
        <v>1</v>
      </c>
      <c r="W620" t="s">
        <v>34</v>
      </c>
      <c r="Y620" t="s">
        <v>34</v>
      </c>
      <c r="Z620" t="s">
        <v>35</v>
      </c>
      <c r="AA620">
        <v>1</v>
      </c>
    </row>
    <row r="621" spans="1:27" x14ac:dyDescent="0.35">
      <c r="A621" s="45">
        <v>45936</v>
      </c>
      <c r="B621">
        <v>1</v>
      </c>
      <c r="D621" t="s">
        <v>30</v>
      </c>
      <c r="E621" t="s">
        <v>40</v>
      </c>
      <c r="F621" t="s">
        <v>40</v>
      </c>
      <c r="H621" t="s">
        <v>52</v>
      </c>
      <c r="I621" t="s">
        <v>53</v>
      </c>
      <c r="K621">
        <v>200</v>
      </c>
      <c r="M621" s="45">
        <v>52017</v>
      </c>
      <c r="N621" s="45">
        <v>52017</v>
      </c>
      <c r="O621" s="45">
        <v>52017</v>
      </c>
      <c r="P621">
        <v>2193.1339020672222</v>
      </c>
      <c r="V621">
        <v>1</v>
      </c>
      <c r="W621" t="s">
        <v>34</v>
      </c>
      <c r="Y621" t="s">
        <v>34</v>
      </c>
      <c r="Z621" t="s">
        <v>35</v>
      </c>
      <c r="AA621">
        <v>1</v>
      </c>
    </row>
    <row r="622" spans="1:27" x14ac:dyDescent="0.35">
      <c r="A622" s="45">
        <v>45936</v>
      </c>
      <c r="B622">
        <v>1</v>
      </c>
      <c r="D622" t="s">
        <v>30</v>
      </c>
      <c r="E622" t="s">
        <v>40</v>
      </c>
      <c r="F622" t="s">
        <v>40</v>
      </c>
      <c r="H622" t="s">
        <v>52</v>
      </c>
      <c r="I622" t="s">
        <v>53</v>
      </c>
      <c r="K622">
        <v>201</v>
      </c>
      <c r="M622" s="45">
        <v>52047</v>
      </c>
      <c r="N622" s="45">
        <v>52047</v>
      </c>
      <c r="O622" s="45">
        <v>52047</v>
      </c>
      <c r="P622">
        <v>2193.1339020672222</v>
      </c>
      <c r="V622">
        <v>1</v>
      </c>
      <c r="W622" t="s">
        <v>34</v>
      </c>
      <c r="Y622" t="s">
        <v>34</v>
      </c>
      <c r="Z622" t="s">
        <v>35</v>
      </c>
      <c r="AA622">
        <v>1</v>
      </c>
    </row>
    <row r="623" spans="1:27" x14ac:dyDescent="0.35">
      <c r="A623" s="45">
        <v>45936</v>
      </c>
      <c r="B623">
        <v>1</v>
      </c>
      <c r="D623" t="s">
        <v>30</v>
      </c>
      <c r="E623" t="s">
        <v>40</v>
      </c>
      <c r="F623" t="s">
        <v>40</v>
      </c>
      <c r="H623" t="s">
        <v>52</v>
      </c>
      <c r="I623" t="s">
        <v>53</v>
      </c>
      <c r="K623">
        <v>202</v>
      </c>
      <c r="M623" s="45">
        <v>52078</v>
      </c>
      <c r="N623" s="45">
        <v>52078</v>
      </c>
      <c r="O623" s="45">
        <v>52078</v>
      </c>
      <c r="P623">
        <v>2193.1339020672222</v>
      </c>
      <c r="V623">
        <v>1</v>
      </c>
      <c r="W623" t="s">
        <v>34</v>
      </c>
      <c r="Y623" t="s">
        <v>34</v>
      </c>
      <c r="Z623" t="s">
        <v>35</v>
      </c>
      <c r="AA623">
        <v>1</v>
      </c>
    </row>
    <row r="624" spans="1:27" x14ac:dyDescent="0.35">
      <c r="A624" s="45">
        <v>45936</v>
      </c>
      <c r="B624">
        <v>1</v>
      </c>
      <c r="D624" t="s">
        <v>30</v>
      </c>
      <c r="E624" t="s">
        <v>40</v>
      </c>
      <c r="F624" t="s">
        <v>40</v>
      </c>
      <c r="H624" t="s">
        <v>52</v>
      </c>
      <c r="I624" t="s">
        <v>53</v>
      </c>
      <c r="K624">
        <v>203</v>
      </c>
      <c r="M624" s="45">
        <v>52109</v>
      </c>
      <c r="N624" s="45">
        <v>52109</v>
      </c>
      <c r="O624" s="45">
        <v>52109</v>
      </c>
      <c r="P624">
        <v>2193.1339020672222</v>
      </c>
      <c r="V624">
        <v>1</v>
      </c>
      <c r="W624" t="s">
        <v>34</v>
      </c>
      <c r="Y624" t="s">
        <v>34</v>
      </c>
      <c r="Z624" t="s">
        <v>35</v>
      </c>
      <c r="AA624">
        <v>1</v>
      </c>
    </row>
    <row r="625" spans="1:27" x14ac:dyDescent="0.35">
      <c r="A625" s="45">
        <v>45936</v>
      </c>
      <c r="B625">
        <v>1</v>
      </c>
      <c r="D625" t="s">
        <v>30</v>
      </c>
      <c r="E625" t="s">
        <v>40</v>
      </c>
      <c r="F625" t="s">
        <v>40</v>
      </c>
      <c r="H625" t="s">
        <v>52</v>
      </c>
      <c r="I625" t="s">
        <v>53</v>
      </c>
      <c r="K625">
        <v>204</v>
      </c>
      <c r="M625" s="45">
        <v>52139</v>
      </c>
      <c r="N625" s="45">
        <v>52139</v>
      </c>
      <c r="O625" s="45">
        <v>52139</v>
      </c>
      <c r="P625">
        <v>2193.1339020672222</v>
      </c>
      <c r="V625">
        <v>1</v>
      </c>
      <c r="W625" t="s">
        <v>34</v>
      </c>
      <c r="Y625" t="s">
        <v>34</v>
      </c>
      <c r="Z625" t="s">
        <v>35</v>
      </c>
      <c r="AA625">
        <v>1</v>
      </c>
    </row>
    <row r="626" spans="1:27" x14ac:dyDescent="0.35">
      <c r="A626" s="45">
        <v>45936</v>
      </c>
      <c r="B626">
        <v>1</v>
      </c>
      <c r="D626" t="s">
        <v>30</v>
      </c>
      <c r="E626" t="s">
        <v>40</v>
      </c>
      <c r="F626" t="s">
        <v>40</v>
      </c>
      <c r="H626" t="s">
        <v>52</v>
      </c>
      <c r="I626" t="s">
        <v>53</v>
      </c>
      <c r="K626">
        <v>205</v>
      </c>
      <c r="M626" s="45">
        <v>52170</v>
      </c>
      <c r="N626" s="45">
        <v>52170</v>
      </c>
      <c r="O626" s="45">
        <v>52170</v>
      </c>
      <c r="P626">
        <v>1123.5902282867339</v>
      </c>
      <c r="V626">
        <v>1</v>
      </c>
      <c r="W626" t="s">
        <v>34</v>
      </c>
      <c r="Y626" t="s">
        <v>34</v>
      </c>
      <c r="Z626" t="s">
        <v>35</v>
      </c>
      <c r="AA626">
        <v>1</v>
      </c>
    </row>
    <row r="627" spans="1:27" x14ac:dyDescent="0.35">
      <c r="A627" s="45">
        <v>45936</v>
      </c>
      <c r="B627">
        <v>1</v>
      </c>
      <c r="D627" t="s">
        <v>30</v>
      </c>
      <c r="E627" t="s">
        <v>40</v>
      </c>
      <c r="F627" t="s">
        <v>40</v>
      </c>
      <c r="H627" t="s">
        <v>52</v>
      </c>
      <c r="I627" t="s">
        <v>54</v>
      </c>
      <c r="M627" s="45">
        <v>45937</v>
      </c>
      <c r="N627" s="45">
        <v>45937</v>
      </c>
      <c r="O627" s="45">
        <v>45937</v>
      </c>
      <c r="P627">
        <v>1108685.6359968749</v>
      </c>
      <c r="V627">
        <v>1</v>
      </c>
      <c r="W627" t="s">
        <v>34</v>
      </c>
      <c r="Y627" t="s">
        <v>34</v>
      </c>
      <c r="Z627" t="s">
        <v>35</v>
      </c>
      <c r="AA627">
        <v>1</v>
      </c>
    </row>
    <row r="628" spans="1:27" x14ac:dyDescent="0.35">
      <c r="A628" s="45">
        <v>45936</v>
      </c>
      <c r="B628">
        <v>1</v>
      </c>
      <c r="D628" t="s">
        <v>30</v>
      </c>
      <c r="E628" t="s">
        <v>40</v>
      </c>
      <c r="F628" t="s">
        <v>40</v>
      </c>
      <c r="H628" t="s">
        <v>52</v>
      </c>
      <c r="I628" t="s">
        <v>55</v>
      </c>
      <c r="K628">
        <v>1</v>
      </c>
      <c r="M628" s="45">
        <v>45961</v>
      </c>
      <c r="N628" s="45">
        <v>45961</v>
      </c>
      <c r="O628" s="45">
        <v>45961</v>
      </c>
      <c r="P628">
        <v>8390.977733491969</v>
      </c>
      <c r="V628">
        <v>1</v>
      </c>
      <c r="W628" t="s">
        <v>34</v>
      </c>
      <c r="Y628" t="s">
        <v>34</v>
      </c>
      <c r="Z628" t="s">
        <v>35</v>
      </c>
      <c r="AA628">
        <v>1</v>
      </c>
    </row>
    <row r="629" spans="1:27" x14ac:dyDescent="0.35">
      <c r="A629" s="45">
        <v>45936</v>
      </c>
      <c r="B629">
        <v>1</v>
      </c>
      <c r="D629" t="s">
        <v>30</v>
      </c>
      <c r="E629" t="s">
        <v>40</v>
      </c>
      <c r="F629" t="s">
        <v>40</v>
      </c>
      <c r="H629" t="s">
        <v>52</v>
      </c>
      <c r="I629" t="s">
        <v>55</v>
      </c>
      <c r="K629">
        <v>2</v>
      </c>
      <c r="M629" s="45">
        <v>45991</v>
      </c>
      <c r="N629" s="45">
        <v>45991</v>
      </c>
      <c r="O629" s="45">
        <v>45991</v>
      </c>
      <c r="P629">
        <v>8390.977733491969</v>
      </c>
      <c r="V629">
        <v>1</v>
      </c>
      <c r="W629" t="s">
        <v>34</v>
      </c>
      <c r="Y629" t="s">
        <v>34</v>
      </c>
      <c r="Z629" t="s">
        <v>35</v>
      </c>
      <c r="AA629">
        <v>1</v>
      </c>
    </row>
    <row r="630" spans="1:27" x14ac:dyDescent="0.35">
      <c r="A630" s="45">
        <v>45936</v>
      </c>
      <c r="B630">
        <v>1</v>
      </c>
      <c r="D630" t="s">
        <v>30</v>
      </c>
      <c r="E630" t="s">
        <v>40</v>
      </c>
      <c r="F630" t="s">
        <v>40</v>
      </c>
      <c r="H630" t="s">
        <v>52</v>
      </c>
      <c r="I630" t="s">
        <v>55</v>
      </c>
      <c r="K630">
        <v>3</v>
      </c>
      <c r="M630" s="45">
        <v>46022</v>
      </c>
      <c r="N630" s="45">
        <v>46022</v>
      </c>
      <c r="O630" s="45">
        <v>46022</v>
      </c>
      <c r="P630">
        <v>8390.977733491969</v>
      </c>
      <c r="V630">
        <v>1</v>
      </c>
      <c r="W630" t="s">
        <v>34</v>
      </c>
      <c r="Y630" t="s">
        <v>34</v>
      </c>
      <c r="Z630" t="s">
        <v>35</v>
      </c>
      <c r="AA630">
        <v>1</v>
      </c>
    </row>
    <row r="631" spans="1:27" x14ac:dyDescent="0.35">
      <c r="A631" s="45">
        <v>45936</v>
      </c>
      <c r="B631">
        <v>1</v>
      </c>
      <c r="D631" t="s">
        <v>30</v>
      </c>
      <c r="E631" t="s">
        <v>40</v>
      </c>
      <c r="F631" t="s">
        <v>40</v>
      </c>
      <c r="H631" t="s">
        <v>52</v>
      </c>
      <c r="I631" t="s">
        <v>55</v>
      </c>
      <c r="K631">
        <v>4</v>
      </c>
      <c r="M631" s="45">
        <v>46053</v>
      </c>
      <c r="N631" s="45">
        <v>46053</v>
      </c>
      <c r="O631" s="45">
        <v>46053</v>
      </c>
      <c r="P631">
        <v>8390.977733491969</v>
      </c>
      <c r="V631">
        <v>1</v>
      </c>
      <c r="W631" t="s">
        <v>34</v>
      </c>
      <c r="Y631" t="s">
        <v>34</v>
      </c>
      <c r="Z631" t="s">
        <v>35</v>
      </c>
      <c r="AA631">
        <v>1</v>
      </c>
    </row>
    <row r="632" spans="1:27" x14ac:dyDescent="0.35">
      <c r="A632" s="45">
        <v>45936</v>
      </c>
      <c r="B632">
        <v>1</v>
      </c>
      <c r="D632" t="s">
        <v>30</v>
      </c>
      <c r="E632" t="s">
        <v>40</v>
      </c>
      <c r="F632" t="s">
        <v>40</v>
      </c>
      <c r="H632" t="s">
        <v>52</v>
      </c>
      <c r="I632" t="s">
        <v>55</v>
      </c>
      <c r="K632">
        <v>5</v>
      </c>
      <c r="M632" s="45">
        <v>46081</v>
      </c>
      <c r="N632" s="45">
        <v>46081</v>
      </c>
      <c r="O632" s="45">
        <v>46081</v>
      </c>
      <c r="P632">
        <v>8390.977733491969</v>
      </c>
      <c r="V632">
        <v>1</v>
      </c>
      <c r="W632" t="s">
        <v>34</v>
      </c>
      <c r="Y632" t="s">
        <v>34</v>
      </c>
      <c r="Z632" t="s">
        <v>35</v>
      </c>
      <c r="AA632">
        <v>1</v>
      </c>
    </row>
    <row r="633" spans="1:27" x14ac:dyDescent="0.35">
      <c r="A633" s="45">
        <v>45936</v>
      </c>
      <c r="B633">
        <v>1</v>
      </c>
      <c r="D633" t="s">
        <v>30</v>
      </c>
      <c r="E633" t="s">
        <v>40</v>
      </c>
      <c r="F633" t="s">
        <v>40</v>
      </c>
      <c r="H633" t="s">
        <v>52</v>
      </c>
      <c r="I633" t="s">
        <v>55</v>
      </c>
      <c r="K633">
        <v>6</v>
      </c>
      <c r="M633" s="45">
        <v>46112</v>
      </c>
      <c r="N633" s="45">
        <v>46112</v>
      </c>
      <c r="O633" s="45">
        <v>46112</v>
      </c>
      <c r="P633">
        <v>8390.977733491969</v>
      </c>
      <c r="V633">
        <v>1</v>
      </c>
      <c r="W633" t="s">
        <v>34</v>
      </c>
      <c r="Y633" t="s">
        <v>34</v>
      </c>
      <c r="Z633" t="s">
        <v>35</v>
      </c>
      <c r="AA633">
        <v>1</v>
      </c>
    </row>
    <row r="634" spans="1:27" x14ac:dyDescent="0.35">
      <c r="A634" s="45">
        <v>45936</v>
      </c>
      <c r="B634">
        <v>1</v>
      </c>
      <c r="D634" t="s">
        <v>30</v>
      </c>
      <c r="E634" t="s">
        <v>40</v>
      </c>
      <c r="F634" t="s">
        <v>40</v>
      </c>
      <c r="H634" t="s">
        <v>52</v>
      </c>
      <c r="I634" t="s">
        <v>55</v>
      </c>
      <c r="K634">
        <v>7</v>
      </c>
      <c r="M634" s="45">
        <v>46142</v>
      </c>
      <c r="N634" s="45">
        <v>46142</v>
      </c>
      <c r="O634" s="45">
        <v>46142</v>
      </c>
      <c r="P634">
        <v>8390.977733491969</v>
      </c>
      <c r="V634">
        <v>1</v>
      </c>
      <c r="W634" t="s">
        <v>34</v>
      </c>
      <c r="Y634" t="s">
        <v>34</v>
      </c>
      <c r="Z634" t="s">
        <v>35</v>
      </c>
      <c r="AA634">
        <v>1</v>
      </c>
    </row>
    <row r="635" spans="1:27" x14ac:dyDescent="0.35">
      <c r="A635" s="45">
        <v>45936</v>
      </c>
      <c r="B635">
        <v>1</v>
      </c>
      <c r="D635" t="s">
        <v>30</v>
      </c>
      <c r="E635" t="s">
        <v>40</v>
      </c>
      <c r="F635" t="s">
        <v>40</v>
      </c>
      <c r="H635" t="s">
        <v>52</v>
      </c>
      <c r="I635" t="s">
        <v>55</v>
      </c>
      <c r="K635">
        <v>8</v>
      </c>
      <c r="M635" s="45">
        <v>46173</v>
      </c>
      <c r="N635" s="45">
        <v>46173</v>
      </c>
      <c r="O635" s="45">
        <v>46173</v>
      </c>
      <c r="P635">
        <v>8390.977733491969</v>
      </c>
      <c r="V635">
        <v>1</v>
      </c>
      <c r="W635" t="s">
        <v>34</v>
      </c>
      <c r="Y635" t="s">
        <v>34</v>
      </c>
      <c r="Z635" t="s">
        <v>35</v>
      </c>
      <c r="AA635">
        <v>1</v>
      </c>
    </row>
    <row r="636" spans="1:27" x14ac:dyDescent="0.35">
      <c r="A636" s="45">
        <v>45936</v>
      </c>
      <c r="B636">
        <v>1</v>
      </c>
      <c r="D636" t="s">
        <v>30</v>
      </c>
      <c r="E636" t="s">
        <v>40</v>
      </c>
      <c r="F636" t="s">
        <v>40</v>
      </c>
      <c r="H636" t="s">
        <v>52</v>
      </c>
      <c r="I636" t="s">
        <v>55</v>
      </c>
      <c r="K636">
        <v>9</v>
      </c>
      <c r="M636" s="45">
        <v>46203</v>
      </c>
      <c r="N636" s="45">
        <v>46203</v>
      </c>
      <c r="O636" s="45">
        <v>46203</v>
      </c>
      <c r="P636">
        <v>8390.977733491969</v>
      </c>
      <c r="V636">
        <v>1</v>
      </c>
      <c r="W636" t="s">
        <v>34</v>
      </c>
      <c r="Y636" t="s">
        <v>34</v>
      </c>
      <c r="Z636" t="s">
        <v>35</v>
      </c>
      <c r="AA636">
        <v>1</v>
      </c>
    </row>
    <row r="637" spans="1:27" x14ac:dyDescent="0.35">
      <c r="A637" s="45">
        <v>45936</v>
      </c>
      <c r="B637">
        <v>1</v>
      </c>
      <c r="D637" t="s">
        <v>30</v>
      </c>
      <c r="E637" t="s">
        <v>40</v>
      </c>
      <c r="F637" t="s">
        <v>40</v>
      </c>
      <c r="H637" t="s">
        <v>52</v>
      </c>
      <c r="I637" t="s">
        <v>55</v>
      </c>
      <c r="K637">
        <v>10</v>
      </c>
      <c r="M637" s="45">
        <v>46234</v>
      </c>
      <c r="N637" s="45">
        <v>46234</v>
      </c>
      <c r="O637" s="45">
        <v>46234</v>
      </c>
      <c r="P637">
        <v>8390.977733491969</v>
      </c>
      <c r="V637">
        <v>1</v>
      </c>
      <c r="W637" t="s">
        <v>34</v>
      </c>
      <c r="Y637" t="s">
        <v>34</v>
      </c>
      <c r="Z637" t="s">
        <v>35</v>
      </c>
      <c r="AA637">
        <v>1</v>
      </c>
    </row>
    <row r="638" spans="1:27" x14ac:dyDescent="0.35">
      <c r="A638" s="45">
        <v>45936</v>
      </c>
      <c r="B638">
        <v>1</v>
      </c>
      <c r="D638" t="s">
        <v>30</v>
      </c>
      <c r="E638" t="s">
        <v>40</v>
      </c>
      <c r="F638" t="s">
        <v>40</v>
      </c>
      <c r="H638" t="s">
        <v>52</v>
      </c>
      <c r="I638" t="s">
        <v>55</v>
      </c>
      <c r="K638">
        <v>11</v>
      </c>
      <c r="M638" s="45">
        <v>46265</v>
      </c>
      <c r="N638" s="45">
        <v>46265</v>
      </c>
      <c r="O638" s="45">
        <v>46265</v>
      </c>
      <c r="P638">
        <v>8390.977733491969</v>
      </c>
      <c r="V638">
        <v>1</v>
      </c>
      <c r="W638" t="s">
        <v>34</v>
      </c>
      <c r="Y638" t="s">
        <v>34</v>
      </c>
      <c r="Z638" t="s">
        <v>35</v>
      </c>
      <c r="AA638">
        <v>1</v>
      </c>
    </row>
    <row r="639" spans="1:27" x14ac:dyDescent="0.35">
      <c r="A639" s="45">
        <v>45936</v>
      </c>
      <c r="B639">
        <v>1</v>
      </c>
      <c r="D639" t="s">
        <v>30</v>
      </c>
      <c r="E639" t="s">
        <v>40</v>
      </c>
      <c r="F639" t="s">
        <v>40</v>
      </c>
      <c r="H639" t="s">
        <v>52</v>
      </c>
      <c r="I639" t="s">
        <v>55</v>
      </c>
      <c r="K639">
        <v>12</v>
      </c>
      <c r="M639" s="45">
        <v>46295</v>
      </c>
      <c r="N639" s="45">
        <v>46295</v>
      </c>
      <c r="O639" s="45">
        <v>46295</v>
      </c>
      <c r="P639">
        <v>8390.977733491969</v>
      </c>
      <c r="V639">
        <v>1</v>
      </c>
      <c r="W639" t="s">
        <v>34</v>
      </c>
      <c r="Y639" t="s">
        <v>34</v>
      </c>
      <c r="Z639" t="s">
        <v>35</v>
      </c>
      <c r="AA639">
        <v>1</v>
      </c>
    </row>
    <row r="640" spans="1:27" x14ac:dyDescent="0.35">
      <c r="A640" s="45">
        <v>45936</v>
      </c>
      <c r="B640">
        <v>1</v>
      </c>
      <c r="D640" t="s">
        <v>30</v>
      </c>
      <c r="E640" t="s">
        <v>40</v>
      </c>
      <c r="F640" t="s">
        <v>40</v>
      </c>
      <c r="H640" t="s">
        <v>52</v>
      </c>
      <c r="I640" t="s">
        <v>55</v>
      </c>
      <c r="K640">
        <v>13</v>
      </c>
      <c r="M640" s="45">
        <v>46326</v>
      </c>
      <c r="N640" s="45">
        <v>46326</v>
      </c>
      <c r="O640" s="45">
        <v>46326</v>
      </c>
      <c r="P640">
        <v>8390.977733491969</v>
      </c>
      <c r="V640">
        <v>1</v>
      </c>
      <c r="W640" t="s">
        <v>34</v>
      </c>
      <c r="Y640" t="s">
        <v>34</v>
      </c>
      <c r="Z640" t="s">
        <v>35</v>
      </c>
      <c r="AA640">
        <v>1</v>
      </c>
    </row>
    <row r="641" spans="1:27" x14ac:dyDescent="0.35">
      <c r="A641" s="45">
        <v>45936</v>
      </c>
      <c r="B641">
        <v>1</v>
      </c>
      <c r="D641" t="s">
        <v>30</v>
      </c>
      <c r="E641" t="s">
        <v>40</v>
      </c>
      <c r="F641" t="s">
        <v>40</v>
      </c>
      <c r="H641" t="s">
        <v>52</v>
      </c>
      <c r="I641" t="s">
        <v>55</v>
      </c>
      <c r="K641">
        <v>14</v>
      </c>
      <c r="M641" s="45">
        <v>46356</v>
      </c>
      <c r="N641" s="45">
        <v>46356</v>
      </c>
      <c r="O641" s="45">
        <v>46356</v>
      </c>
      <c r="P641">
        <v>8390.977733491969</v>
      </c>
      <c r="V641">
        <v>1</v>
      </c>
      <c r="W641" t="s">
        <v>34</v>
      </c>
      <c r="Y641" t="s">
        <v>34</v>
      </c>
      <c r="Z641" t="s">
        <v>35</v>
      </c>
      <c r="AA641">
        <v>1</v>
      </c>
    </row>
    <row r="642" spans="1:27" x14ac:dyDescent="0.35">
      <c r="A642" s="45">
        <v>45936</v>
      </c>
      <c r="B642">
        <v>1</v>
      </c>
      <c r="D642" t="s">
        <v>30</v>
      </c>
      <c r="E642" t="s">
        <v>40</v>
      </c>
      <c r="F642" t="s">
        <v>40</v>
      </c>
      <c r="H642" t="s">
        <v>52</v>
      </c>
      <c r="I642" t="s">
        <v>55</v>
      </c>
      <c r="K642">
        <v>15</v>
      </c>
      <c r="M642" s="45">
        <v>46387</v>
      </c>
      <c r="N642" s="45">
        <v>46387</v>
      </c>
      <c r="O642" s="45">
        <v>46387</v>
      </c>
      <c r="P642">
        <v>8390.977733491969</v>
      </c>
      <c r="V642">
        <v>1</v>
      </c>
      <c r="W642" t="s">
        <v>34</v>
      </c>
      <c r="Y642" t="s">
        <v>34</v>
      </c>
      <c r="Z642" t="s">
        <v>35</v>
      </c>
      <c r="AA642">
        <v>1</v>
      </c>
    </row>
    <row r="643" spans="1:27" x14ac:dyDescent="0.35">
      <c r="A643" s="45">
        <v>45936</v>
      </c>
      <c r="B643">
        <v>1</v>
      </c>
      <c r="D643" t="s">
        <v>30</v>
      </c>
      <c r="E643" t="s">
        <v>40</v>
      </c>
      <c r="F643" t="s">
        <v>40</v>
      </c>
      <c r="H643" t="s">
        <v>52</v>
      </c>
      <c r="I643" t="s">
        <v>55</v>
      </c>
      <c r="K643">
        <v>16</v>
      </c>
      <c r="M643" s="45">
        <v>46418</v>
      </c>
      <c r="N643" s="45">
        <v>46418</v>
      </c>
      <c r="O643" s="45">
        <v>46418</v>
      </c>
      <c r="P643">
        <v>8390.977733491969</v>
      </c>
      <c r="V643">
        <v>1</v>
      </c>
      <c r="W643" t="s">
        <v>34</v>
      </c>
      <c r="Y643" t="s">
        <v>34</v>
      </c>
      <c r="Z643" t="s">
        <v>35</v>
      </c>
      <c r="AA643">
        <v>1</v>
      </c>
    </row>
    <row r="644" spans="1:27" x14ac:dyDescent="0.35">
      <c r="A644" s="45">
        <v>45936</v>
      </c>
      <c r="B644">
        <v>1</v>
      </c>
      <c r="D644" t="s">
        <v>30</v>
      </c>
      <c r="E644" t="s">
        <v>40</v>
      </c>
      <c r="F644" t="s">
        <v>40</v>
      </c>
      <c r="H644" t="s">
        <v>52</v>
      </c>
      <c r="I644" t="s">
        <v>55</v>
      </c>
      <c r="K644">
        <v>17</v>
      </c>
      <c r="M644" s="45">
        <v>46446</v>
      </c>
      <c r="N644" s="45">
        <v>46446</v>
      </c>
      <c r="O644" s="45">
        <v>46446</v>
      </c>
      <c r="P644">
        <v>8390.977733491969</v>
      </c>
      <c r="V644">
        <v>1</v>
      </c>
      <c r="W644" t="s">
        <v>34</v>
      </c>
      <c r="Y644" t="s">
        <v>34</v>
      </c>
      <c r="Z644" t="s">
        <v>35</v>
      </c>
      <c r="AA644">
        <v>1</v>
      </c>
    </row>
    <row r="645" spans="1:27" x14ac:dyDescent="0.35">
      <c r="A645" s="45">
        <v>45936</v>
      </c>
      <c r="B645">
        <v>1</v>
      </c>
      <c r="D645" t="s">
        <v>30</v>
      </c>
      <c r="E645" t="s">
        <v>40</v>
      </c>
      <c r="F645" t="s">
        <v>40</v>
      </c>
      <c r="H645" t="s">
        <v>52</v>
      </c>
      <c r="I645" t="s">
        <v>55</v>
      </c>
      <c r="K645">
        <v>18</v>
      </c>
      <c r="M645" s="45">
        <v>46477</v>
      </c>
      <c r="N645" s="45">
        <v>46477</v>
      </c>
      <c r="O645" s="45">
        <v>46477</v>
      </c>
      <c r="P645">
        <v>8390.977733491969</v>
      </c>
      <c r="V645">
        <v>1</v>
      </c>
      <c r="W645" t="s">
        <v>34</v>
      </c>
      <c r="Y645" t="s">
        <v>34</v>
      </c>
      <c r="Z645" t="s">
        <v>35</v>
      </c>
      <c r="AA645">
        <v>1</v>
      </c>
    </row>
    <row r="646" spans="1:27" x14ac:dyDescent="0.35">
      <c r="A646" s="45">
        <v>45936</v>
      </c>
      <c r="B646">
        <v>1</v>
      </c>
      <c r="D646" t="s">
        <v>30</v>
      </c>
      <c r="E646" t="s">
        <v>40</v>
      </c>
      <c r="F646" t="s">
        <v>40</v>
      </c>
      <c r="H646" t="s">
        <v>52</v>
      </c>
      <c r="I646" t="s">
        <v>55</v>
      </c>
      <c r="K646">
        <v>19</v>
      </c>
      <c r="M646" s="45">
        <v>46507</v>
      </c>
      <c r="N646" s="45">
        <v>46507</v>
      </c>
      <c r="O646" s="45">
        <v>46507</v>
      </c>
      <c r="P646">
        <v>8390.977733491969</v>
      </c>
      <c r="V646">
        <v>1</v>
      </c>
      <c r="W646" t="s">
        <v>34</v>
      </c>
      <c r="Y646" t="s">
        <v>34</v>
      </c>
      <c r="Z646" t="s">
        <v>35</v>
      </c>
      <c r="AA646">
        <v>1</v>
      </c>
    </row>
    <row r="647" spans="1:27" x14ac:dyDescent="0.35">
      <c r="A647" s="45">
        <v>45936</v>
      </c>
      <c r="B647">
        <v>1</v>
      </c>
      <c r="D647" t="s">
        <v>30</v>
      </c>
      <c r="E647" t="s">
        <v>40</v>
      </c>
      <c r="F647" t="s">
        <v>40</v>
      </c>
      <c r="H647" t="s">
        <v>52</v>
      </c>
      <c r="I647" t="s">
        <v>55</v>
      </c>
      <c r="K647">
        <v>20</v>
      </c>
      <c r="M647" s="45">
        <v>46538</v>
      </c>
      <c r="N647" s="45">
        <v>46538</v>
      </c>
      <c r="O647" s="45">
        <v>46538</v>
      </c>
      <c r="P647">
        <v>8390.977733491969</v>
      </c>
      <c r="V647">
        <v>1</v>
      </c>
      <c r="W647" t="s">
        <v>34</v>
      </c>
      <c r="Y647" t="s">
        <v>34</v>
      </c>
      <c r="Z647" t="s">
        <v>35</v>
      </c>
      <c r="AA647">
        <v>1</v>
      </c>
    </row>
    <row r="648" spans="1:27" x14ac:dyDescent="0.35">
      <c r="A648" s="45">
        <v>45936</v>
      </c>
      <c r="B648">
        <v>1</v>
      </c>
      <c r="D648" t="s">
        <v>30</v>
      </c>
      <c r="E648" t="s">
        <v>40</v>
      </c>
      <c r="F648" t="s">
        <v>40</v>
      </c>
      <c r="H648" t="s">
        <v>52</v>
      </c>
      <c r="I648" t="s">
        <v>55</v>
      </c>
      <c r="K648">
        <v>21</v>
      </c>
      <c r="M648" s="45">
        <v>46568</v>
      </c>
      <c r="N648" s="45">
        <v>46568</v>
      </c>
      <c r="O648" s="45">
        <v>46568</v>
      </c>
      <c r="P648">
        <v>8390.977733491969</v>
      </c>
      <c r="V648">
        <v>1</v>
      </c>
      <c r="W648" t="s">
        <v>34</v>
      </c>
      <c r="Y648" t="s">
        <v>34</v>
      </c>
      <c r="Z648" t="s">
        <v>35</v>
      </c>
      <c r="AA648">
        <v>1</v>
      </c>
    </row>
    <row r="649" spans="1:27" x14ac:dyDescent="0.35">
      <c r="A649" s="45">
        <v>45936</v>
      </c>
      <c r="B649">
        <v>1</v>
      </c>
      <c r="D649" t="s">
        <v>30</v>
      </c>
      <c r="E649" t="s">
        <v>40</v>
      </c>
      <c r="F649" t="s">
        <v>40</v>
      </c>
      <c r="H649" t="s">
        <v>52</v>
      </c>
      <c r="I649" t="s">
        <v>55</v>
      </c>
      <c r="K649">
        <v>22</v>
      </c>
      <c r="M649" s="45">
        <v>46599</v>
      </c>
      <c r="N649" s="45">
        <v>46599</v>
      </c>
      <c r="O649" s="45">
        <v>46599</v>
      </c>
      <c r="P649">
        <v>8390.977733491969</v>
      </c>
      <c r="V649">
        <v>1</v>
      </c>
      <c r="W649" t="s">
        <v>34</v>
      </c>
      <c r="Y649" t="s">
        <v>34</v>
      </c>
      <c r="Z649" t="s">
        <v>35</v>
      </c>
      <c r="AA649">
        <v>1</v>
      </c>
    </row>
    <row r="650" spans="1:27" x14ac:dyDescent="0.35">
      <c r="A650" s="45">
        <v>45936</v>
      </c>
      <c r="B650">
        <v>1</v>
      </c>
      <c r="D650" t="s">
        <v>30</v>
      </c>
      <c r="E650" t="s">
        <v>40</v>
      </c>
      <c r="F650" t="s">
        <v>40</v>
      </c>
      <c r="H650" t="s">
        <v>52</v>
      </c>
      <c r="I650" t="s">
        <v>55</v>
      </c>
      <c r="K650">
        <v>23</v>
      </c>
      <c r="M650" s="45">
        <v>46630</v>
      </c>
      <c r="N650" s="45">
        <v>46630</v>
      </c>
      <c r="O650" s="45">
        <v>46630</v>
      </c>
      <c r="P650">
        <v>8390.977733491969</v>
      </c>
      <c r="V650">
        <v>1</v>
      </c>
      <c r="W650" t="s">
        <v>34</v>
      </c>
      <c r="Y650" t="s">
        <v>34</v>
      </c>
      <c r="Z650" t="s">
        <v>35</v>
      </c>
      <c r="AA650">
        <v>1</v>
      </c>
    </row>
    <row r="651" spans="1:27" x14ac:dyDescent="0.35">
      <c r="A651" s="45">
        <v>45936</v>
      </c>
      <c r="B651">
        <v>1</v>
      </c>
      <c r="D651" t="s">
        <v>30</v>
      </c>
      <c r="E651" t="s">
        <v>40</v>
      </c>
      <c r="F651" t="s">
        <v>40</v>
      </c>
      <c r="H651" t="s">
        <v>52</v>
      </c>
      <c r="I651" t="s">
        <v>55</v>
      </c>
      <c r="K651">
        <v>24</v>
      </c>
      <c r="M651" s="45">
        <v>46660</v>
      </c>
      <c r="N651" s="45">
        <v>46660</v>
      </c>
      <c r="O651" s="45">
        <v>46660</v>
      </c>
      <c r="P651">
        <v>8390.977733491969</v>
      </c>
      <c r="V651">
        <v>1</v>
      </c>
      <c r="W651" t="s">
        <v>34</v>
      </c>
      <c r="Y651" t="s">
        <v>34</v>
      </c>
      <c r="Z651" t="s">
        <v>35</v>
      </c>
      <c r="AA651">
        <v>1</v>
      </c>
    </row>
    <row r="652" spans="1:27" x14ac:dyDescent="0.35">
      <c r="A652" s="45">
        <v>45936</v>
      </c>
      <c r="B652">
        <v>1</v>
      </c>
      <c r="D652" t="s">
        <v>30</v>
      </c>
      <c r="E652" t="s">
        <v>40</v>
      </c>
      <c r="F652" t="s">
        <v>40</v>
      </c>
      <c r="H652" t="s">
        <v>52</v>
      </c>
      <c r="I652" t="s">
        <v>55</v>
      </c>
      <c r="K652">
        <v>25</v>
      </c>
      <c r="M652" s="45">
        <v>46691</v>
      </c>
      <c r="N652" s="45">
        <v>46691</v>
      </c>
      <c r="O652" s="45">
        <v>46691</v>
      </c>
      <c r="P652">
        <v>8390.977733491969</v>
      </c>
      <c r="V652">
        <v>1</v>
      </c>
      <c r="W652" t="s">
        <v>34</v>
      </c>
      <c r="Y652" t="s">
        <v>34</v>
      </c>
      <c r="Z652" t="s">
        <v>35</v>
      </c>
      <c r="AA652">
        <v>1</v>
      </c>
    </row>
    <row r="653" spans="1:27" x14ac:dyDescent="0.35">
      <c r="A653" s="45">
        <v>45936</v>
      </c>
      <c r="B653">
        <v>1</v>
      </c>
      <c r="D653" t="s">
        <v>30</v>
      </c>
      <c r="E653" t="s">
        <v>40</v>
      </c>
      <c r="F653" t="s">
        <v>40</v>
      </c>
      <c r="H653" t="s">
        <v>52</v>
      </c>
      <c r="I653" t="s">
        <v>55</v>
      </c>
      <c r="K653">
        <v>26</v>
      </c>
      <c r="M653" s="45">
        <v>46721</v>
      </c>
      <c r="N653" s="45">
        <v>46721</v>
      </c>
      <c r="O653" s="45">
        <v>46721</v>
      </c>
      <c r="P653">
        <v>8390.977733491969</v>
      </c>
      <c r="V653">
        <v>1</v>
      </c>
      <c r="W653" t="s">
        <v>34</v>
      </c>
      <c r="Y653" t="s">
        <v>34</v>
      </c>
      <c r="Z653" t="s">
        <v>35</v>
      </c>
      <c r="AA653">
        <v>1</v>
      </c>
    </row>
    <row r="654" spans="1:27" x14ac:dyDescent="0.35">
      <c r="A654" s="45">
        <v>45936</v>
      </c>
      <c r="B654">
        <v>1</v>
      </c>
      <c r="D654" t="s">
        <v>30</v>
      </c>
      <c r="E654" t="s">
        <v>40</v>
      </c>
      <c r="F654" t="s">
        <v>40</v>
      </c>
      <c r="H654" t="s">
        <v>52</v>
      </c>
      <c r="I654" t="s">
        <v>55</v>
      </c>
      <c r="K654">
        <v>27</v>
      </c>
      <c r="M654" s="45">
        <v>46752</v>
      </c>
      <c r="N654" s="45">
        <v>46752</v>
      </c>
      <c r="O654" s="45">
        <v>46752</v>
      </c>
      <c r="P654">
        <v>8390.977733491969</v>
      </c>
      <c r="V654">
        <v>1</v>
      </c>
      <c r="W654" t="s">
        <v>34</v>
      </c>
      <c r="Y654" t="s">
        <v>34</v>
      </c>
      <c r="Z654" t="s">
        <v>35</v>
      </c>
      <c r="AA654">
        <v>1</v>
      </c>
    </row>
    <row r="655" spans="1:27" x14ac:dyDescent="0.35">
      <c r="A655" s="45">
        <v>45936</v>
      </c>
      <c r="B655">
        <v>1</v>
      </c>
      <c r="D655" t="s">
        <v>30</v>
      </c>
      <c r="E655" t="s">
        <v>40</v>
      </c>
      <c r="F655" t="s">
        <v>40</v>
      </c>
      <c r="H655" t="s">
        <v>52</v>
      </c>
      <c r="I655" t="s">
        <v>55</v>
      </c>
      <c r="K655">
        <v>28</v>
      </c>
      <c r="M655" s="45">
        <v>46783</v>
      </c>
      <c r="N655" s="45">
        <v>46783</v>
      </c>
      <c r="O655" s="45">
        <v>46783</v>
      </c>
      <c r="P655">
        <v>8390.977733491969</v>
      </c>
      <c r="V655">
        <v>1</v>
      </c>
      <c r="W655" t="s">
        <v>34</v>
      </c>
      <c r="Y655" t="s">
        <v>34</v>
      </c>
      <c r="Z655" t="s">
        <v>35</v>
      </c>
      <c r="AA655">
        <v>1</v>
      </c>
    </row>
    <row r="656" spans="1:27" x14ac:dyDescent="0.35">
      <c r="A656" s="45">
        <v>45936</v>
      </c>
      <c r="B656">
        <v>1</v>
      </c>
      <c r="D656" t="s">
        <v>30</v>
      </c>
      <c r="E656" t="s">
        <v>40</v>
      </c>
      <c r="F656" t="s">
        <v>40</v>
      </c>
      <c r="H656" t="s">
        <v>52</v>
      </c>
      <c r="I656" t="s">
        <v>55</v>
      </c>
      <c r="K656">
        <v>29</v>
      </c>
      <c r="M656" s="45">
        <v>46812</v>
      </c>
      <c r="N656" s="45">
        <v>46812</v>
      </c>
      <c r="O656" s="45">
        <v>46812</v>
      </c>
      <c r="P656">
        <v>8390.977733491969</v>
      </c>
      <c r="V656">
        <v>1</v>
      </c>
      <c r="W656" t="s">
        <v>34</v>
      </c>
      <c r="Y656" t="s">
        <v>34</v>
      </c>
      <c r="Z656" t="s">
        <v>35</v>
      </c>
      <c r="AA656">
        <v>1</v>
      </c>
    </row>
    <row r="657" spans="1:27" x14ac:dyDescent="0.35">
      <c r="A657" s="45">
        <v>45936</v>
      </c>
      <c r="B657">
        <v>1</v>
      </c>
      <c r="D657" t="s">
        <v>30</v>
      </c>
      <c r="E657" t="s">
        <v>40</v>
      </c>
      <c r="F657" t="s">
        <v>40</v>
      </c>
      <c r="H657" t="s">
        <v>52</v>
      </c>
      <c r="I657" t="s">
        <v>55</v>
      </c>
      <c r="K657">
        <v>30</v>
      </c>
      <c r="M657" s="45">
        <v>46843</v>
      </c>
      <c r="N657" s="45">
        <v>46843</v>
      </c>
      <c r="O657" s="45">
        <v>46843</v>
      </c>
      <c r="P657">
        <v>8390.977733491969</v>
      </c>
      <c r="V657">
        <v>1</v>
      </c>
      <c r="W657" t="s">
        <v>34</v>
      </c>
      <c r="Y657" t="s">
        <v>34</v>
      </c>
      <c r="Z657" t="s">
        <v>35</v>
      </c>
      <c r="AA657">
        <v>1</v>
      </c>
    </row>
    <row r="658" spans="1:27" x14ac:dyDescent="0.35">
      <c r="A658" s="45">
        <v>45936</v>
      </c>
      <c r="B658">
        <v>1</v>
      </c>
      <c r="D658" t="s">
        <v>30</v>
      </c>
      <c r="E658" t="s">
        <v>40</v>
      </c>
      <c r="F658" t="s">
        <v>40</v>
      </c>
      <c r="H658" t="s">
        <v>52</v>
      </c>
      <c r="I658" t="s">
        <v>55</v>
      </c>
      <c r="K658">
        <v>31</v>
      </c>
      <c r="M658" s="45">
        <v>46873</v>
      </c>
      <c r="N658" s="45">
        <v>46873</v>
      </c>
      <c r="O658" s="45">
        <v>46873</v>
      </c>
      <c r="P658">
        <v>8390.977733491969</v>
      </c>
      <c r="V658">
        <v>1</v>
      </c>
      <c r="W658" t="s">
        <v>34</v>
      </c>
      <c r="Y658" t="s">
        <v>34</v>
      </c>
      <c r="Z658" t="s">
        <v>35</v>
      </c>
      <c r="AA658">
        <v>1</v>
      </c>
    </row>
    <row r="659" spans="1:27" x14ac:dyDescent="0.35">
      <c r="A659" s="45">
        <v>45936</v>
      </c>
      <c r="B659">
        <v>1</v>
      </c>
      <c r="D659" t="s">
        <v>30</v>
      </c>
      <c r="E659" t="s">
        <v>40</v>
      </c>
      <c r="F659" t="s">
        <v>40</v>
      </c>
      <c r="H659" t="s">
        <v>52</v>
      </c>
      <c r="I659" t="s">
        <v>55</v>
      </c>
      <c r="K659">
        <v>32</v>
      </c>
      <c r="M659" s="45">
        <v>46904</v>
      </c>
      <c r="N659" s="45">
        <v>46904</v>
      </c>
      <c r="O659" s="45">
        <v>46904</v>
      </c>
      <c r="P659">
        <v>8390.977733491969</v>
      </c>
      <c r="V659">
        <v>1</v>
      </c>
      <c r="W659" t="s">
        <v>34</v>
      </c>
      <c r="Y659" t="s">
        <v>34</v>
      </c>
      <c r="Z659" t="s">
        <v>35</v>
      </c>
      <c r="AA659">
        <v>1</v>
      </c>
    </row>
    <row r="660" spans="1:27" x14ac:dyDescent="0.35">
      <c r="A660" s="45">
        <v>45936</v>
      </c>
      <c r="B660">
        <v>1</v>
      </c>
      <c r="D660" t="s">
        <v>30</v>
      </c>
      <c r="E660" t="s">
        <v>40</v>
      </c>
      <c r="F660" t="s">
        <v>40</v>
      </c>
      <c r="H660" t="s">
        <v>52</v>
      </c>
      <c r="I660" t="s">
        <v>55</v>
      </c>
      <c r="K660">
        <v>33</v>
      </c>
      <c r="M660" s="45">
        <v>46934</v>
      </c>
      <c r="N660" s="45">
        <v>46934</v>
      </c>
      <c r="O660" s="45">
        <v>46934</v>
      </c>
      <c r="P660">
        <v>8390.977733491969</v>
      </c>
      <c r="V660">
        <v>1</v>
      </c>
      <c r="W660" t="s">
        <v>34</v>
      </c>
      <c r="Y660" t="s">
        <v>34</v>
      </c>
      <c r="Z660" t="s">
        <v>35</v>
      </c>
      <c r="AA660">
        <v>1</v>
      </c>
    </row>
    <row r="661" spans="1:27" x14ac:dyDescent="0.35">
      <c r="A661" s="45">
        <v>45936</v>
      </c>
      <c r="B661">
        <v>1</v>
      </c>
      <c r="D661" t="s">
        <v>30</v>
      </c>
      <c r="E661" t="s">
        <v>40</v>
      </c>
      <c r="F661" t="s">
        <v>40</v>
      </c>
      <c r="H661" t="s">
        <v>52</v>
      </c>
      <c r="I661" t="s">
        <v>55</v>
      </c>
      <c r="K661">
        <v>34</v>
      </c>
      <c r="M661" s="45">
        <v>46965</v>
      </c>
      <c r="N661" s="45">
        <v>46965</v>
      </c>
      <c r="O661" s="45">
        <v>46965</v>
      </c>
      <c r="P661">
        <v>8390.977733491969</v>
      </c>
      <c r="V661">
        <v>1</v>
      </c>
      <c r="W661" t="s">
        <v>34</v>
      </c>
      <c r="Y661" t="s">
        <v>34</v>
      </c>
      <c r="Z661" t="s">
        <v>35</v>
      </c>
      <c r="AA661">
        <v>1</v>
      </c>
    </row>
    <row r="662" spans="1:27" x14ac:dyDescent="0.35">
      <c r="A662" s="45">
        <v>45936</v>
      </c>
      <c r="B662">
        <v>1</v>
      </c>
      <c r="D662" t="s">
        <v>30</v>
      </c>
      <c r="E662" t="s">
        <v>40</v>
      </c>
      <c r="F662" t="s">
        <v>40</v>
      </c>
      <c r="H662" t="s">
        <v>52</v>
      </c>
      <c r="I662" t="s">
        <v>55</v>
      </c>
      <c r="K662">
        <v>35</v>
      </c>
      <c r="M662" s="45">
        <v>46996</v>
      </c>
      <c r="N662" s="45">
        <v>46996</v>
      </c>
      <c r="O662" s="45">
        <v>46996</v>
      </c>
      <c r="P662">
        <v>8390.977733491969</v>
      </c>
      <c r="V662">
        <v>1</v>
      </c>
      <c r="W662" t="s">
        <v>34</v>
      </c>
      <c r="Y662" t="s">
        <v>34</v>
      </c>
      <c r="Z662" t="s">
        <v>35</v>
      </c>
      <c r="AA662">
        <v>1</v>
      </c>
    </row>
    <row r="663" spans="1:27" x14ac:dyDescent="0.35">
      <c r="A663" s="45">
        <v>45936</v>
      </c>
      <c r="B663">
        <v>1</v>
      </c>
      <c r="D663" t="s">
        <v>30</v>
      </c>
      <c r="E663" t="s">
        <v>40</v>
      </c>
      <c r="F663" t="s">
        <v>40</v>
      </c>
      <c r="H663" t="s">
        <v>52</v>
      </c>
      <c r="I663" t="s">
        <v>55</v>
      </c>
      <c r="K663">
        <v>36</v>
      </c>
      <c r="M663" s="45">
        <v>47026</v>
      </c>
      <c r="N663" s="45">
        <v>47026</v>
      </c>
      <c r="O663" s="45">
        <v>47026</v>
      </c>
      <c r="P663">
        <v>8390.977733491969</v>
      </c>
      <c r="V663">
        <v>1</v>
      </c>
      <c r="W663" t="s">
        <v>34</v>
      </c>
      <c r="Y663" t="s">
        <v>34</v>
      </c>
      <c r="Z663" t="s">
        <v>35</v>
      </c>
      <c r="AA663">
        <v>1</v>
      </c>
    </row>
    <row r="664" spans="1:27" x14ac:dyDescent="0.35">
      <c r="A664" s="45">
        <v>45936</v>
      </c>
      <c r="B664">
        <v>1</v>
      </c>
      <c r="D664" t="s">
        <v>30</v>
      </c>
      <c r="E664" t="s">
        <v>40</v>
      </c>
      <c r="F664" t="s">
        <v>40</v>
      </c>
      <c r="H664" t="s">
        <v>52</v>
      </c>
      <c r="I664" t="s">
        <v>55</v>
      </c>
      <c r="K664">
        <v>37</v>
      </c>
      <c r="M664" s="45">
        <v>47057</v>
      </c>
      <c r="N664" s="45">
        <v>47057</v>
      </c>
      <c r="O664" s="45">
        <v>47057</v>
      </c>
      <c r="P664">
        <v>8390.977733491969</v>
      </c>
      <c r="V664">
        <v>1</v>
      </c>
      <c r="W664" t="s">
        <v>34</v>
      </c>
      <c r="Y664" t="s">
        <v>34</v>
      </c>
      <c r="Z664" t="s">
        <v>35</v>
      </c>
      <c r="AA664">
        <v>1</v>
      </c>
    </row>
    <row r="665" spans="1:27" x14ac:dyDescent="0.35">
      <c r="A665" s="45">
        <v>45936</v>
      </c>
      <c r="B665">
        <v>1</v>
      </c>
      <c r="D665" t="s">
        <v>30</v>
      </c>
      <c r="E665" t="s">
        <v>40</v>
      </c>
      <c r="F665" t="s">
        <v>40</v>
      </c>
      <c r="H665" t="s">
        <v>52</v>
      </c>
      <c r="I665" t="s">
        <v>55</v>
      </c>
      <c r="K665">
        <v>38</v>
      </c>
      <c r="M665" s="45">
        <v>47087</v>
      </c>
      <c r="N665" s="45">
        <v>47087</v>
      </c>
      <c r="O665" s="45">
        <v>47087</v>
      </c>
      <c r="P665">
        <v>8390.977733491969</v>
      </c>
      <c r="V665">
        <v>1</v>
      </c>
      <c r="W665" t="s">
        <v>34</v>
      </c>
      <c r="Y665" t="s">
        <v>34</v>
      </c>
      <c r="Z665" t="s">
        <v>35</v>
      </c>
      <c r="AA665">
        <v>1</v>
      </c>
    </row>
    <row r="666" spans="1:27" x14ac:dyDescent="0.35">
      <c r="A666" s="45">
        <v>45936</v>
      </c>
      <c r="B666">
        <v>1</v>
      </c>
      <c r="D666" t="s">
        <v>30</v>
      </c>
      <c r="E666" t="s">
        <v>40</v>
      </c>
      <c r="F666" t="s">
        <v>40</v>
      </c>
      <c r="H666" t="s">
        <v>52</v>
      </c>
      <c r="I666" t="s">
        <v>55</v>
      </c>
      <c r="K666">
        <v>39</v>
      </c>
      <c r="M666" s="45">
        <v>47118</v>
      </c>
      <c r="N666" s="45">
        <v>47118</v>
      </c>
      <c r="O666" s="45">
        <v>47118</v>
      </c>
      <c r="P666">
        <v>8390.977733491969</v>
      </c>
      <c r="V666">
        <v>1</v>
      </c>
      <c r="W666" t="s">
        <v>34</v>
      </c>
      <c r="Y666" t="s">
        <v>34</v>
      </c>
      <c r="Z666" t="s">
        <v>35</v>
      </c>
      <c r="AA666">
        <v>1</v>
      </c>
    </row>
    <row r="667" spans="1:27" x14ac:dyDescent="0.35">
      <c r="A667" s="45">
        <v>45936</v>
      </c>
      <c r="B667">
        <v>1</v>
      </c>
      <c r="D667" t="s">
        <v>30</v>
      </c>
      <c r="E667" t="s">
        <v>40</v>
      </c>
      <c r="F667" t="s">
        <v>40</v>
      </c>
      <c r="H667" t="s">
        <v>52</v>
      </c>
      <c r="I667" t="s">
        <v>55</v>
      </c>
      <c r="K667">
        <v>40</v>
      </c>
      <c r="M667" s="45">
        <v>47149</v>
      </c>
      <c r="N667" s="45">
        <v>47149</v>
      </c>
      <c r="O667" s="45">
        <v>47149</v>
      </c>
      <c r="P667">
        <v>8390.977733491969</v>
      </c>
      <c r="V667">
        <v>1</v>
      </c>
      <c r="W667" t="s">
        <v>34</v>
      </c>
      <c r="Y667" t="s">
        <v>34</v>
      </c>
      <c r="Z667" t="s">
        <v>35</v>
      </c>
      <c r="AA667">
        <v>1</v>
      </c>
    </row>
    <row r="668" spans="1:27" x14ac:dyDescent="0.35">
      <c r="A668" s="45">
        <v>45936</v>
      </c>
      <c r="B668">
        <v>1</v>
      </c>
      <c r="D668" t="s">
        <v>30</v>
      </c>
      <c r="E668" t="s">
        <v>40</v>
      </c>
      <c r="F668" t="s">
        <v>40</v>
      </c>
      <c r="H668" t="s">
        <v>52</v>
      </c>
      <c r="I668" t="s">
        <v>55</v>
      </c>
      <c r="K668">
        <v>41</v>
      </c>
      <c r="M668" s="45">
        <v>47177</v>
      </c>
      <c r="N668" s="45">
        <v>47177</v>
      </c>
      <c r="O668" s="45">
        <v>47177</v>
      </c>
      <c r="P668">
        <v>8390.977733491969</v>
      </c>
      <c r="V668">
        <v>1</v>
      </c>
      <c r="W668" t="s">
        <v>34</v>
      </c>
      <c r="Y668" t="s">
        <v>34</v>
      </c>
      <c r="Z668" t="s">
        <v>35</v>
      </c>
      <c r="AA668">
        <v>1</v>
      </c>
    </row>
    <row r="669" spans="1:27" x14ac:dyDescent="0.35">
      <c r="A669" s="45">
        <v>45936</v>
      </c>
      <c r="B669">
        <v>1</v>
      </c>
      <c r="D669" t="s">
        <v>30</v>
      </c>
      <c r="E669" t="s">
        <v>40</v>
      </c>
      <c r="F669" t="s">
        <v>40</v>
      </c>
      <c r="H669" t="s">
        <v>52</v>
      </c>
      <c r="I669" t="s">
        <v>55</v>
      </c>
      <c r="K669">
        <v>42</v>
      </c>
      <c r="M669" s="45">
        <v>47208</v>
      </c>
      <c r="N669" s="45">
        <v>47208</v>
      </c>
      <c r="O669" s="45">
        <v>47208</v>
      </c>
      <c r="P669">
        <v>8390.977733491969</v>
      </c>
      <c r="V669">
        <v>1</v>
      </c>
      <c r="W669" t="s">
        <v>34</v>
      </c>
      <c r="Y669" t="s">
        <v>34</v>
      </c>
      <c r="Z669" t="s">
        <v>35</v>
      </c>
      <c r="AA669">
        <v>1</v>
      </c>
    </row>
    <row r="670" spans="1:27" x14ac:dyDescent="0.35">
      <c r="A670" s="45">
        <v>45936</v>
      </c>
      <c r="B670">
        <v>1</v>
      </c>
      <c r="D670" t="s">
        <v>30</v>
      </c>
      <c r="E670" t="s">
        <v>40</v>
      </c>
      <c r="F670" t="s">
        <v>40</v>
      </c>
      <c r="H670" t="s">
        <v>52</v>
      </c>
      <c r="I670" t="s">
        <v>55</v>
      </c>
      <c r="K670">
        <v>43</v>
      </c>
      <c r="M670" s="45">
        <v>47238</v>
      </c>
      <c r="N670" s="45">
        <v>47238</v>
      </c>
      <c r="O670" s="45">
        <v>47238</v>
      </c>
      <c r="P670">
        <v>8390.977733491969</v>
      </c>
      <c r="V670">
        <v>1</v>
      </c>
      <c r="W670" t="s">
        <v>34</v>
      </c>
      <c r="Y670" t="s">
        <v>34</v>
      </c>
      <c r="Z670" t="s">
        <v>35</v>
      </c>
      <c r="AA670">
        <v>1</v>
      </c>
    </row>
    <row r="671" spans="1:27" x14ac:dyDescent="0.35">
      <c r="A671" s="45">
        <v>45936</v>
      </c>
      <c r="B671">
        <v>1</v>
      </c>
      <c r="D671" t="s">
        <v>30</v>
      </c>
      <c r="E671" t="s">
        <v>40</v>
      </c>
      <c r="F671" t="s">
        <v>40</v>
      </c>
      <c r="H671" t="s">
        <v>52</v>
      </c>
      <c r="I671" t="s">
        <v>55</v>
      </c>
      <c r="K671">
        <v>44</v>
      </c>
      <c r="M671" s="45">
        <v>47269</v>
      </c>
      <c r="N671" s="45">
        <v>47269</v>
      </c>
      <c r="O671" s="45">
        <v>47269</v>
      </c>
      <c r="P671">
        <v>8390.977733491969</v>
      </c>
      <c r="V671">
        <v>1</v>
      </c>
      <c r="W671" t="s">
        <v>34</v>
      </c>
      <c r="Y671" t="s">
        <v>34</v>
      </c>
      <c r="Z671" t="s">
        <v>35</v>
      </c>
      <c r="AA671">
        <v>1</v>
      </c>
    </row>
    <row r="672" spans="1:27" x14ac:dyDescent="0.35">
      <c r="A672" s="45">
        <v>45936</v>
      </c>
      <c r="B672">
        <v>1</v>
      </c>
      <c r="D672" t="s">
        <v>30</v>
      </c>
      <c r="E672" t="s">
        <v>40</v>
      </c>
      <c r="F672" t="s">
        <v>40</v>
      </c>
      <c r="H672" t="s">
        <v>52</v>
      </c>
      <c r="I672" t="s">
        <v>55</v>
      </c>
      <c r="K672">
        <v>45</v>
      </c>
      <c r="M672" s="45">
        <v>47299</v>
      </c>
      <c r="N672" s="45">
        <v>47299</v>
      </c>
      <c r="O672" s="45">
        <v>47299</v>
      </c>
      <c r="P672">
        <v>8390.977733491969</v>
      </c>
      <c r="V672">
        <v>1</v>
      </c>
      <c r="W672" t="s">
        <v>34</v>
      </c>
      <c r="Y672" t="s">
        <v>34</v>
      </c>
      <c r="Z672" t="s">
        <v>35</v>
      </c>
      <c r="AA672">
        <v>1</v>
      </c>
    </row>
    <row r="673" spans="1:27" x14ac:dyDescent="0.35">
      <c r="A673" s="45">
        <v>45936</v>
      </c>
      <c r="B673">
        <v>1</v>
      </c>
      <c r="D673" t="s">
        <v>30</v>
      </c>
      <c r="E673" t="s">
        <v>40</v>
      </c>
      <c r="F673" t="s">
        <v>40</v>
      </c>
      <c r="H673" t="s">
        <v>52</v>
      </c>
      <c r="I673" t="s">
        <v>55</v>
      </c>
      <c r="K673">
        <v>46</v>
      </c>
      <c r="M673" s="45">
        <v>47330</v>
      </c>
      <c r="N673" s="45">
        <v>47330</v>
      </c>
      <c r="O673" s="45">
        <v>47330</v>
      </c>
      <c r="P673">
        <v>8390.977733491969</v>
      </c>
      <c r="V673">
        <v>1</v>
      </c>
      <c r="W673" t="s">
        <v>34</v>
      </c>
      <c r="Y673" t="s">
        <v>34</v>
      </c>
      <c r="Z673" t="s">
        <v>35</v>
      </c>
      <c r="AA673">
        <v>1</v>
      </c>
    </row>
    <row r="674" spans="1:27" x14ac:dyDescent="0.35">
      <c r="A674" s="45">
        <v>45936</v>
      </c>
      <c r="B674">
        <v>1</v>
      </c>
      <c r="D674" t="s">
        <v>30</v>
      </c>
      <c r="E674" t="s">
        <v>40</v>
      </c>
      <c r="F674" t="s">
        <v>40</v>
      </c>
      <c r="H674" t="s">
        <v>52</v>
      </c>
      <c r="I674" t="s">
        <v>55</v>
      </c>
      <c r="K674">
        <v>47</v>
      </c>
      <c r="M674" s="45">
        <v>47361</v>
      </c>
      <c r="N674" s="45">
        <v>47361</v>
      </c>
      <c r="O674" s="45">
        <v>47361</v>
      </c>
      <c r="P674">
        <v>8390.977733491969</v>
      </c>
      <c r="V674">
        <v>1</v>
      </c>
      <c r="W674" t="s">
        <v>34</v>
      </c>
      <c r="Y674" t="s">
        <v>34</v>
      </c>
      <c r="Z674" t="s">
        <v>35</v>
      </c>
      <c r="AA674">
        <v>1</v>
      </c>
    </row>
    <row r="675" spans="1:27" x14ac:dyDescent="0.35">
      <c r="A675" s="45">
        <v>45936</v>
      </c>
      <c r="B675">
        <v>1</v>
      </c>
      <c r="D675" t="s">
        <v>30</v>
      </c>
      <c r="E675" t="s">
        <v>40</v>
      </c>
      <c r="F675" t="s">
        <v>40</v>
      </c>
      <c r="H675" t="s">
        <v>52</v>
      </c>
      <c r="I675" t="s">
        <v>55</v>
      </c>
      <c r="K675">
        <v>48</v>
      </c>
      <c r="M675" s="45">
        <v>47391</v>
      </c>
      <c r="N675" s="45">
        <v>47391</v>
      </c>
      <c r="O675" s="45">
        <v>47391</v>
      </c>
      <c r="P675">
        <v>8390.977733491969</v>
      </c>
      <c r="V675">
        <v>1</v>
      </c>
      <c r="W675" t="s">
        <v>34</v>
      </c>
      <c r="Y675" t="s">
        <v>34</v>
      </c>
      <c r="Z675" t="s">
        <v>35</v>
      </c>
      <c r="AA675">
        <v>1</v>
      </c>
    </row>
    <row r="676" spans="1:27" x14ac:dyDescent="0.35">
      <c r="A676" s="45">
        <v>45936</v>
      </c>
      <c r="B676">
        <v>1</v>
      </c>
      <c r="D676" t="s">
        <v>30</v>
      </c>
      <c r="E676" t="s">
        <v>40</v>
      </c>
      <c r="F676" t="s">
        <v>40</v>
      </c>
      <c r="H676" t="s">
        <v>52</v>
      </c>
      <c r="I676" t="s">
        <v>55</v>
      </c>
      <c r="K676">
        <v>49</v>
      </c>
      <c r="M676" s="45">
        <v>47422</v>
      </c>
      <c r="N676" s="45">
        <v>47422</v>
      </c>
      <c r="O676" s="45">
        <v>47422</v>
      </c>
      <c r="P676">
        <v>8390.977733491969</v>
      </c>
      <c r="V676">
        <v>1</v>
      </c>
      <c r="W676" t="s">
        <v>34</v>
      </c>
      <c r="Y676" t="s">
        <v>34</v>
      </c>
      <c r="Z676" t="s">
        <v>35</v>
      </c>
      <c r="AA676">
        <v>1</v>
      </c>
    </row>
    <row r="677" spans="1:27" x14ac:dyDescent="0.35">
      <c r="A677" s="45">
        <v>45936</v>
      </c>
      <c r="B677">
        <v>1</v>
      </c>
      <c r="D677" t="s">
        <v>30</v>
      </c>
      <c r="E677" t="s">
        <v>40</v>
      </c>
      <c r="F677" t="s">
        <v>40</v>
      </c>
      <c r="H677" t="s">
        <v>52</v>
      </c>
      <c r="I677" t="s">
        <v>55</v>
      </c>
      <c r="K677">
        <v>50</v>
      </c>
      <c r="M677" s="45">
        <v>47452</v>
      </c>
      <c r="N677" s="45">
        <v>47452</v>
      </c>
      <c r="O677" s="45">
        <v>47452</v>
      </c>
      <c r="P677">
        <v>8390.977733491969</v>
      </c>
      <c r="V677">
        <v>1</v>
      </c>
      <c r="W677" t="s">
        <v>34</v>
      </c>
      <c r="Y677" t="s">
        <v>34</v>
      </c>
      <c r="Z677" t="s">
        <v>35</v>
      </c>
      <c r="AA677">
        <v>1</v>
      </c>
    </row>
    <row r="678" spans="1:27" x14ac:dyDescent="0.35">
      <c r="A678" s="45">
        <v>45936</v>
      </c>
      <c r="B678">
        <v>1</v>
      </c>
      <c r="D678" t="s">
        <v>30</v>
      </c>
      <c r="E678" t="s">
        <v>40</v>
      </c>
      <c r="F678" t="s">
        <v>40</v>
      </c>
      <c r="H678" t="s">
        <v>52</v>
      </c>
      <c r="I678" t="s">
        <v>55</v>
      </c>
      <c r="K678">
        <v>51</v>
      </c>
      <c r="M678" s="45">
        <v>47483</v>
      </c>
      <c r="N678" s="45">
        <v>47483</v>
      </c>
      <c r="O678" s="45">
        <v>47483</v>
      </c>
      <c r="P678">
        <v>8390.977733491969</v>
      </c>
      <c r="V678">
        <v>1</v>
      </c>
      <c r="W678" t="s">
        <v>34</v>
      </c>
      <c r="Y678" t="s">
        <v>34</v>
      </c>
      <c r="Z678" t="s">
        <v>35</v>
      </c>
      <c r="AA678">
        <v>1</v>
      </c>
    </row>
    <row r="679" spans="1:27" x14ac:dyDescent="0.35">
      <c r="A679" s="45">
        <v>45936</v>
      </c>
      <c r="B679">
        <v>1</v>
      </c>
      <c r="D679" t="s">
        <v>30</v>
      </c>
      <c r="E679" t="s">
        <v>40</v>
      </c>
      <c r="F679" t="s">
        <v>40</v>
      </c>
      <c r="H679" t="s">
        <v>52</v>
      </c>
      <c r="I679" t="s">
        <v>55</v>
      </c>
      <c r="K679">
        <v>52</v>
      </c>
      <c r="M679" s="45">
        <v>47514</v>
      </c>
      <c r="N679" s="45">
        <v>47514</v>
      </c>
      <c r="O679" s="45">
        <v>47514</v>
      </c>
      <c r="P679">
        <v>8390.977733491969</v>
      </c>
      <c r="V679">
        <v>1</v>
      </c>
      <c r="W679" t="s">
        <v>34</v>
      </c>
      <c r="Y679" t="s">
        <v>34</v>
      </c>
      <c r="Z679" t="s">
        <v>35</v>
      </c>
      <c r="AA679">
        <v>1</v>
      </c>
    </row>
    <row r="680" spans="1:27" x14ac:dyDescent="0.35">
      <c r="A680" s="45">
        <v>45936</v>
      </c>
      <c r="B680">
        <v>1</v>
      </c>
      <c r="D680" t="s">
        <v>30</v>
      </c>
      <c r="E680" t="s">
        <v>40</v>
      </c>
      <c r="F680" t="s">
        <v>40</v>
      </c>
      <c r="H680" t="s">
        <v>52</v>
      </c>
      <c r="I680" t="s">
        <v>55</v>
      </c>
      <c r="K680">
        <v>53</v>
      </c>
      <c r="M680" s="45">
        <v>47542</v>
      </c>
      <c r="N680" s="45">
        <v>47542</v>
      </c>
      <c r="O680" s="45">
        <v>47542</v>
      </c>
      <c r="P680">
        <v>8390.977733491969</v>
      </c>
      <c r="V680">
        <v>1</v>
      </c>
      <c r="W680" t="s">
        <v>34</v>
      </c>
      <c r="Y680" t="s">
        <v>34</v>
      </c>
      <c r="Z680" t="s">
        <v>35</v>
      </c>
      <c r="AA680">
        <v>1</v>
      </c>
    </row>
    <row r="681" spans="1:27" x14ac:dyDescent="0.35">
      <c r="A681" s="45">
        <v>45936</v>
      </c>
      <c r="B681">
        <v>1</v>
      </c>
      <c r="D681" t="s">
        <v>30</v>
      </c>
      <c r="E681" t="s">
        <v>40</v>
      </c>
      <c r="F681" t="s">
        <v>40</v>
      </c>
      <c r="H681" t="s">
        <v>52</v>
      </c>
      <c r="I681" t="s">
        <v>55</v>
      </c>
      <c r="K681">
        <v>54</v>
      </c>
      <c r="M681" s="45">
        <v>47573</v>
      </c>
      <c r="N681" s="45">
        <v>47573</v>
      </c>
      <c r="O681" s="45">
        <v>47573</v>
      </c>
      <c r="P681">
        <v>8390.977733491969</v>
      </c>
      <c r="V681">
        <v>1</v>
      </c>
      <c r="W681" t="s">
        <v>34</v>
      </c>
      <c r="Y681" t="s">
        <v>34</v>
      </c>
      <c r="Z681" t="s">
        <v>35</v>
      </c>
      <c r="AA681">
        <v>1</v>
      </c>
    </row>
    <row r="682" spans="1:27" x14ac:dyDescent="0.35">
      <c r="A682" s="45">
        <v>45936</v>
      </c>
      <c r="B682">
        <v>1</v>
      </c>
      <c r="D682" t="s">
        <v>30</v>
      </c>
      <c r="E682" t="s">
        <v>40</v>
      </c>
      <c r="F682" t="s">
        <v>40</v>
      </c>
      <c r="H682" t="s">
        <v>52</v>
      </c>
      <c r="I682" t="s">
        <v>55</v>
      </c>
      <c r="K682">
        <v>55</v>
      </c>
      <c r="M682" s="45">
        <v>47603</v>
      </c>
      <c r="N682" s="45">
        <v>47603</v>
      </c>
      <c r="O682" s="45">
        <v>47603</v>
      </c>
      <c r="P682">
        <v>8390.977733491969</v>
      </c>
      <c r="V682">
        <v>1</v>
      </c>
      <c r="W682" t="s">
        <v>34</v>
      </c>
      <c r="Y682" t="s">
        <v>34</v>
      </c>
      <c r="Z682" t="s">
        <v>35</v>
      </c>
      <c r="AA682">
        <v>1</v>
      </c>
    </row>
    <row r="683" spans="1:27" x14ac:dyDescent="0.35">
      <c r="A683" s="45">
        <v>45936</v>
      </c>
      <c r="B683">
        <v>1</v>
      </c>
      <c r="D683" t="s">
        <v>30</v>
      </c>
      <c r="E683" t="s">
        <v>40</v>
      </c>
      <c r="F683" t="s">
        <v>40</v>
      </c>
      <c r="H683" t="s">
        <v>52</v>
      </c>
      <c r="I683" t="s">
        <v>55</v>
      </c>
      <c r="K683">
        <v>56</v>
      </c>
      <c r="M683" s="45">
        <v>47634</v>
      </c>
      <c r="N683" s="45">
        <v>47634</v>
      </c>
      <c r="O683" s="45">
        <v>47634</v>
      </c>
      <c r="P683">
        <v>8390.977733491969</v>
      </c>
      <c r="V683">
        <v>1</v>
      </c>
      <c r="W683" t="s">
        <v>34</v>
      </c>
      <c r="Y683" t="s">
        <v>34</v>
      </c>
      <c r="Z683" t="s">
        <v>35</v>
      </c>
      <c r="AA683">
        <v>1</v>
      </c>
    </row>
    <row r="684" spans="1:27" x14ac:dyDescent="0.35">
      <c r="A684" s="45">
        <v>45936</v>
      </c>
      <c r="B684">
        <v>1</v>
      </c>
      <c r="D684" t="s">
        <v>30</v>
      </c>
      <c r="E684" t="s">
        <v>40</v>
      </c>
      <c r="F684" t="s">
        <v>40</v>
      </c>
      <c r="H684" t="s">
        <v>52</v>
      </c>
      <c r="I684" t="s">
        <v>55</v>
      </c>
      <c r="K684">
        <v>57</v>
      </c>
      <c r="M684" s="45">
        <v>47664</v>
      </c>
      <c r="N684" s="45">
        <v>47664</v>
      </c>
      <c r="O684" s="45">
        <v>47664</v>
      </c>
      <c r="P684">
        <v>8390.977733491969</v>
      </c>
      <c r="V684">
        <v>1</v>
      </c>
      <c r="W684" t="s">
        <v>34</v>
      </c>
      <c r="Y684" t="s">
        <v>34</v>
      </c>
      <c r="Z684" t="s">
        <v>35</v>
      </c>
      <c r="AA684">
        <v>1</v>
      </c>
    </row>
    <row r="685" spans="1:27" x14ac:dyDescent="0.35">
      <c r="A685" s="45">
        <v>45936</v>
      </c>
      <c r="B685">
        <v>1</v>
      </c>
      <c r="D685" t="s">
        <v>30</v>
      </c>
      <c r="E685" t="s">
        <v>40</v>
      </c>
      <c r="F685" t="s">
        <v>40</v>
      </c>
      <c r="H685" t="s">
        <v>52</v>
      </c>
      <c r="I685" t="s">
        <v>55</v>
      </c>
      <c r="K685">
        <v>58</v>
      </c>
      <c r="M685" s="45">
        <v>47695</v>
      </c>
      <c r="N685" s="45">
        <v>47695</v>
      </c>
      <c r="O685" s="45">
        <v>47695</v>
      </c>
      <c r="P685">
        <v>8390.977733491969</v>
      </c>
      <c r="V685">
        <v>1</v>
      </c>
      <c r="W685" t="s">
        <v>34</v>
      </c>
      <c r="Y685" t="s">
        <v>34</v>
      </c>
      <c r="Z685" t="s">
        <v>35</v>
      </c>
      <c r="AA685">
        <v>1</v>
      </c>
    </row>
    <row r="686" spans="1:27" x14ac:dyDescent="0.35">
      <c r="A686" s="45">
        <v>45936</v>
      </c>
      <c r="B686">
        <v>1</v>
      </c>
      <c r="D686" t="s">
        <v>30</v>
      </c>
      <c r="E686" t="s">
        <v>40</v>
      </c>
      <c r="F686" t="s">
        <v>40</v>
      </c>
      <c r="H686" t="s">
        <v>52</v>
      </c>
      <c r="I686" t="s">
        <v>55</v>
      </c>
      <c r="K686">
        <v>59</v>
      </c>
      <c r="M686" s="45">
        <v>47726</v>
      </c>
      <c r="N686" s="45">
        <v>47726</v>
      </c>
      <c r="O686" s="45">
        <v>47726</v>
      </c>
      <c r="P686">
        <v>8390.977733491969</v>
      </c>
      <c r="V686">
        <v>1</v>
      </c>
      <c r="W686" t="s">
        <v>34</v>
      </c>
      <c r="Y686" t="s">
        <v>34</v>
      </c>
      <c r="Z686" t="s">
        <v>35</v>
      </c>
      <c r="AA686">
        <v>1</v>
      </c>
    </row>
    <row r="687" spans="1:27" x14ac:dyDescent="0.35">
      <c r="A687" s="45">
        <v>45936</v>
      </c>
      <c r="B687">
        <v>1</v>
      </c>
      <c r="D687" t="s">
        <v>30</v>
      </c>
      <c r="E687" t="s">
        <v>40</v>
      </c>
      <c r="F687" t="s">
        <v>40</v>
      </c>
      <c r="H687" t="s">
        <v>52</v>
      </c>
      <c r="I687" t="s">
        <v>55</v>
      </c>
      <c r="K687">
        <v>60</v>
      </c>
      <c r="M687" s="45">
        <v>47756</v>
      </c>
      <c r="N687" s="45">
        <v>47756</v>
      </c>
      <c r="O687" s="45">
        <v>47756</v>
      </c>
      <c r="P687">
        <v>8390.977733491969</v>
      </c>
      <c r="V687">
        <v>1</v>
      </c>
      <c r="W687" t="s">
        <v>34</v>
      </c>
      <c r="Y687" t="s">
        <v>34</v>
      </c>
      <c r="Z687" t="s">
        <v>35</v>
      </c>
      <c r="AA687">
        <v>1</v>
      </c>
    </row>
    <row r="688" spans="1:27" x14ac:dyDescent="0.35">
      <c r="A688" s="45">
        <v>45936</v>
      </c>
      <c r="B688">
        <v>1</v>
      </c>
      <c r="D688" t="s">
        <v>30</v>
      </c>
      <c r="E688" t="s">
        <v>40</v>
      </c>
      <c r="F688" t="s">
        <v>40</v>
      </c>
      <c r="H688" t="s">
        <v>52</v>
      </c>
      <c r="I688" t="s">
        <v>55</v>
      </c>
      <c r="K688">
        <v>61</v>
      </c>
      <c r="M688" s="45">
        <v>47787</v>
      </c>
      <c r="N688" s="45">
        <v>47787</v>
      </c>
      <c r="O688" s="45">
        <v>47787</v>
      </c>
      <c r="P688">
        <v>8390.977733491969</v>
      </c>
      <c r="V688">
        <v>1</v>
      </c>
      <c r="W688" t="s">
        <v>34</v>
      </c>
      <c r="Y688" t="s">
        <v>34</v>
      </c>
      <c r="Z688" t="s">
        <v>35</v>
      </c>
      <c r="AA688">
        <v>1</v>
      </c>
    </row>
    <row r="689" spans="1:27" x14ac:dyDescent="0.35">
      <c r="A689" s="45">
        <v>45936</v>
      </c>
      <c r="B689">
        <v>1</v>
      </c>
      <c r="D689" t="s">
        <v>30</v>
      </c>
      <c r="E689" t="s">
        <v>40</v>
      </c>
      <c r="F689" t="s">
        <v>40</v>
      </c>
      <c r="H689" t="s">
        <v>52</v>
      </c>
      <c r="I689" t="s">
        <v>55</v>
      </c>
      <c r="K689">
        <v>62</v>
      </c>
      <c r="M689" s="45">
        <v>47817</v>
      </c>
      <c r="N689" s="45">
        <v>47817</v>
      </c>
      <c r="O689" s="45">
        <v>47817</v>
      </c>
      <c r="P689">
        <v>8390.977733491969</v>
      </c>
      <c r="V689">
        <v>1</v>
      </c>
      <c r="W689" t="s">
        <v>34</v>
      </c>
      <c r="Y689" t="s">
        <v>34</v>
      </c>
      <c r="Z689" t="s">
        <v>35</v>
      </c>
      <c r="AA689">
        <v>1</v>
      </c>
    </row>
    <row r="690" spans="1:27" x14ac:dyDescent="0.35">
      <c r="A690" s="45">
        <v>45936</v>
      </c>
      <c r="B690">
        <v>1</v>
      </c>
      <c r="D690" t="s">
        <v>30</v>
      </c>
      <c r="E690" t="s">
        <v>40</v>
      </c>
      <c r="F690" t="s">
        <v>40</v>
      </c>
      <c r="H690" t="s">
        <v>52</v>
      </c>
      <c r="I690" t="s">
        <v>55</v>
      </c>
      <c r="K690">
        <v>63</v>
      </c>
      <c r="M690" s="45">
        <v>47848</v>
      </c>
      <c r="N690" s="45">
        <v>47848</v>
      </c>
      <c r="O690" s="45">
        <v>47848</v>
      </c>
      <c r="P690">
        <v>8390.977733491969</v>
      </c>
      <c r="V690">
        <v>1</v>
      </c>
      <c r="W690" t="s">
        <v>34</v>
      </c>
      <c r="Y690" t="s">
        <v>34</v>
      </c>
      <c r="Z690" t="s">
        <v>35</v>
      </c>
      <c r="AA690">
        <v>1</v>
      </c>
    </row>
    <row r="691" spans="1:27" x14ac:dyDescent="0.35">
      <c r="A691" s="45">
        <v>45936</v>
      </c>
      <c r="B691">
        <v>1</v>
      </c>
      <c r="D691" t="s">
        <v>30</v>
      </c>
      <c r="E691" t="s">
        <v>40</v>
      </c>
      <c r="F691" t="s">
        <v>40</v>
      </c>
      <c r="H691" t="s">
        <v>52</v>
      </c>
      <c r="I691" t="s">
        <v>55</v>
      </c>
      <c r="K691">
        <v>64</v>
      </c>
      <c r="M691" s="45">
        <v>47879</v>
      </c>
      <c r="N691" s="45">
        <v>47879</v>
      </c>
      <c r="O691" s="45">
        <v>47879</v>
      </c>
      <c r="P691">
        <v>8390.977733491969</v>
      </c>
      <c r="V691">
        <v>1</v>
      </c>
      <c r="W691" t="s">
        <v>34</v>
      </c>
      <c r="Y691" t="s">
        <v>34</v>
      </c>
      <c r="Z691" t="s">
        <v>35</v>
      </c>
      <c r="AA691">
        <v>1</v>
      </c>
    </row>
    <row r="692" spans="1:27" x14ac:dyDescent="0.35">
      <c r="A692" s="45">
        <v>45936</v>
      </c>
      <c r="B692">
        <v>1</v>
      </c>
      <c r="D692" t="s">
        <v>30</v>
      </c>
      <c r="E692" t="s">
        <v>40</v>
      </c>
      <c r="F692" t="s">
        <v>40</v>
      </c>
      <c r="H692" t="s">
        <v>52</v>
      </c>
      <c r="I692" t="s">
        <v>55</v>
      </c>
      <c r="K692">
        <v>65</v>
      </c>
      <c r="M692" s="45">
        <v>47907</v>
      </c>
      <c r="N692" s="45">
        <v>47907</v>
      </c>
      <c r="O692" s="45">
        <v>47907</v>
      </c>
      <c r="P692">
        <v>8390.977733491969</v>
      </c>
      <c r="V692">
        <v>1</v>
      </c>
      <c r="W692" t="s">
        <v>34</v>
      </c>
      <c r="Y692" t="s">
        <v>34</v>
      </c>
      <c r="Z692" t="s">
        <v>35</v>
      </c>
      <c r="AA692">
        <v>1</v>
      </c>
    </row>
    <row r="693" spans="1:27" x14ac:dyDescent="0.35">
      <c r="A693" s="45">
        <v>45936</v>
      </c>
      <c r="B693">
        <v>1</v>
      </c>
      <c r="D693" t="s">
        <v>30</v>
      </c>
      <c r="E693" t="s">
        <v>40</v>
      </c>
      <c r="F693" t="s">
        <v>40</v>
      </c>
      <c r="H693" t="s">
        <v>52</v>
      </c>
      <c r="I693" t="s">
        <v>55</v>
      </c>
      <c r="K693">
        <v>66</v>
      </c>
      <c r="M693" s="45">
        <v>47938</v>
      </c>
      <c r="N693" s="45">
        <v>47938</v>
      </c>
      <c r="O693" s="45">
        <v>47938</v>
      </c>
      <c r="P693">
        <v>8390.977733491969</v>
      </c>
      <c r="V693">
        <v>1</v>
      </c>
      <c r="W693" t="s">
        <v>34</v>
      </c>
      <c r="Y693" t="s">
        <v>34</v>
      </c>
      <c r="Z693" t="s">
        <v>35</v>
      </c>
      <c r="AA693">
        <v>1</v>
      </c>
    </row>
    <row r="694" spans="1:27" x14ac:dyDescent="0.35">
      <c r="A694" s="45">
        <v>45936</v>
      </c>
      <c r="B694">
        <v>1</v>
      </c>
      <c r="D694" t="s">
        <v>30</v>
      </c>
      <c r="E694" t="s">
        <v>40</v>
      </c>
      <c r="F694" t="s">
        <v>40</v>
      </c>
      <c r="H694" t="s">
        <v>52</v>
      </c>
      <c r="I694" t="s">
        <v>55</v>
      </c>
      <c r="K694">
        <v>67</v>
      </c>
      <c r="M694" s="45">
        <v>47968</v>
      </c>
      <c r="N694" s="45">
        <v>47968</v>
      </c>
      <c r="O694" s="45">
        <v>47968</v>
      </c>
      <c r="P694">
        <v>8390.977733491969</v>
      </c>
      <c r="V694">
        <v>1</v>
      </c>
      <c r="W694" t="s">
        <v>34</v>
      </c>
      <c r="Y694" t="s">
        <v>34</v>
      </c>
      <c r="Z694" t="s">
        <v>35</v>
      </c>
      <c r="AA694">
        <v>1</v>
      </c>
    </row>
    <row r="695" spans="1:27" x14ac:dyDescent="0.35">
      <c r="A695" s="45">
        <v>45936</v>
      </c>
      <c r="B695">
        <v>1</v>
      </c>
      <c r="D695" t="s">
        <v>30</v>
      </c>
      <c r="E695" t="s">
        <v>40</v>
      </c>
      <c r="F695" t="s">
        <v>40</v>
      </c>
      <c r="H695" t="s">
        <v>52</v>
      </c>
      <c r="I695" t="s">
        <v>55</v>
      </c>
      <c r="K695">
        <v>68</v>
      </c>
      <c r="M695" s="45">
        <v>47999</v>
      </c>
      <c r="N695" s="45">
        <v>47999</v>
      </c>
      <c r="O695" s="45">
        <v>47999</v>
      </c>
      <c r="P695">
        <v>8390.977733491969</v>
      </c>
      <c r="V695">
        <v>1</v>
      </c>
      <c r="W695" t="s">
        <v>34</v>
      </c>
      <c r="Y695" t="s">
        <v>34</v>
      </c>
      <c r="Z695" t="s">
        <v>35</v>
      </c>
      <c r="AA695">
        <v>1</v>
      </c>
    </row>
    <row r="696" spans="1:27" x14ac:dyDescent="0.35">
      <c r="A696" s="45">
        <v>45936</v>
      </c>
      <c r="B696">
        <v>1</v>
      </c>
      <c r="D696" t="s">
        <v>30</v>
      </c>
      <c r="E696" t="s">
        <v>40</v>
      </c>
      <c r="F696" t="s">
        <v>40</v>
      </c>
      <c r="H696" t="s">
        <v>52</v>
      </c>
      <c r="I696" t="s">
        <v>55</v>
      </c>
      <c r="K696">
        <v>69</v>
      </c>
      <c r="M696" s="45">
        <v>48029</v>
      </c>
      <c r="N696" s="45">
        <v>48029</v>
      </c>
      <c r="O696" s="45">
        <v>48029</v>
      </c>
      <c r="P696">
        <v>8390.977733491969</v>
      </c>
      <c r="V696">
        <v>1</v>
      </c>
      <c r="W696" t="s">
        <v>34</v>
      </c>
      <c r="Y696" t="s">
        <v>34</v>
      </c>
      <c r="Z696" t="s">
        <v>35</v>
      </c>
      <c r="AA696">
        <v>1</v>
      </c>
    </row>
    <row r="697" spans="1:27" x14ac:dyDescent="0.35">
      <c r="A697" s="45">
        <v>45936</v>
      </c>
      <c r="B697">
        <v>1</v>
      </c>
      <c r="D697" t="s">
        <v>30</v>
      </c>
      <c r="E697" t="s">
        <v>40</v>
      </c>
      <c r="F697" t="s">
        <v>40</v>
      </c>
      <c r="H697" t="s">
        <v>52</v>
      </c>
      <c r="I697" t="s">
        <v>55</v>
      </c>
      <c r="K697">
        <v>70</v>
      </c>
      <c r="M697" s="45">
        <v>48060</v>
      </c>
      <c r="N697" s="45">
        <v>48060</v>
      </c>
      <c r="O697" s="45">
        <v>48060</v>
      </c>
      <c r="P697">
        <v>8390.977733491969</v>
      </c>
      <c r="V697">
        <v>1</v>
      </c>
      <c r="W697" t="s">
        <v>34</v>
      </c>
      <c r="Y697" t="s">
        <v>34</v>
      </c>
      <c r="Z697" t="s">
        <v>35</v>
      </c>
      <c r="AA697">
        <v>1</v>
      </c>
    </row>
    <row r="698" spans="1:27" x14ac:dyDescent="0.35">
      <c r="A698" s="45">
        <v>45936</v>
      </c>
      <c r="B698">
        <v>1</v>
      </c>
      <c r="D698" t="s">
        <v>30</v>
      </c>
      <c r="E698" t="s">
        <v>40</v>
      </c>
      <c r="F698" t="s">
        <v>40</v>
      </c>
      <c r="H698" t="s">
        <v>52</v>
      </c>
      <c r="I698" t="s">
        <v>55</v>
      </c>
      <c r="K698">
        <v>71</v>
      </c>
      <c r="M698" s="45">
        <v>48091</v>
      </c>
      <c r="N698" s="45">
        <v>48091</v>
      </c>
      <c r="O698" s="45">
        <v>48091</v>
      </c>
      <c r="P698">
        <v>8390.977733491969</v>
      </c>
      <c r="V698">
        <v>1</v>
      </c>
      <c r="W698" t="s">
        <v>34</v>
      </c>
      <c r="Y698" t="s">
        <v>34</v>
      </c>
      <c r="Z698" t="s">
        <v>35</v>
      </c>
      <c r="AA698">
        <v>1</v>
      </c>
    </row>
    <row r="699" spans="1:27" x14ac:dyDescent="0.35">
      <c r="A699" s="45">
        <v>45936</v>
      </c>
      <c r="B699">
        <v>1</v>
      </c>
      <c r="D699" t="s">
        <v>30</v>
      </c>
      <c r="E699" t="s">
        <v>40</v>
      </c>
      <c r="F699" t="s">
        <v>40</v>
      </c>
      <c r="H699" t="s">
        <v>52</v>
      </c>
      <c r="I699" t="s">
        <v>55</v>
      </c>
      <c r="K699">
        <v>72</v>
      </c>
      <c r="M699" s="45">
        <v>48121</v>
      </c>
      <c r="N699" s="45">
        <v>48121</v>
      </c>
      <c r="O699" s="45">
        <v>48121</v>
      </c>
      <c r="P699">
        <v>8390.977733491969</v>
      </c>
      <c r="V699">
        <v>1</v>
      </c>
      <c r="W699" t="s">
        <v>34</v>
      </c>
      <c r="Y699" t="s">
        <v>34</v>
      </c>
      <c r="Z699" t="s">
        <v>35</v>
      </c>
      <c r="AA699">
        <v>1</v>
      </c>
    </row>
    <row r="700" spans="1:27" x14ac:dyDescent="0.35">
      <c r="A700" s="45">
        <v>45936</v>
      </c>
      <c r="B700">
        <v>1</v>
      </c>
      <c r="D700" t="s">
        <v>30</v>
      </c>
      <c r="E700" t="s">
        <v>40</v>
      </c>
      <c r="F700" t="s">
        <v>40</v>
      </c>
      <c r="H700" t="s">
        <v>52</v>
      </c>
      <c r="I700" t="s">
        <v>55</v>
      </c>
      <c r="K700">
        <v>73</v>
      </c>
      <c r="M700" s="45">
        <v>48152</v>
      </c>
      <c r="N700" s="45">
        <v>48152</v>
      </c>
      <c r="O700" s="45">
        <v>48152</v>
      </c>
      <c r="P700">
        <v>8390.977733491969</v>
      </c>
      <c r="V700">
        <v>1</v>
      </c>
      <c r="W700" t="s">
        <v>34</v>
      </c>
      <c r="Y700" t="s">
        <v>34</v>
      </c>
      <c r="Z700" t="s">
        <v>35</v>
      </c>
      <c r="AA700">
        <v>1</v>
      </c>
    </row>
    <row r="701" spans="1:27" x14ac:dyDescent="0.35">
      <c r="A701" s="45">
        <v>45936</v>
      </c>
      <c r="B701">
        <v>1</v>
      </c>
      <c r="D701" t="s">
        <v>30</v>
      </c>
      <c r="E701" t="s">
        <v>40</v>
      </c>
      <c r="F701" t="s">
        <v>40</v>
      </c>
      <c r="H701" t="s">
        <v>52</v>
      </c>
      <c r="I701" t="s">
        <v>55</v>
      </c>
      <c r="K701">
        <v>74</v>
      </c>
      <c r="M701" s="45">
        <v>48182</v>
      </c>
      <c r="N701" s="45">
        <v>48182</v>
      </c>
      <c r="O701" s="45">
        <v>48182</v>
      </c>
      <c r="P701">
        <v>8390.977733491969</v>
      </c>
      <c r="V701">
        <v>1</v>
      </c>
      <c r="W701" t="s">
        <v>34</v>
      </c>
      <c r="Y701" t="s">
        <v>34</v>
      </c>
      <c r="Z701" t="s">
        <v>35</v>
      </c>
      <c r="AA701">
        <v>1</v>
      </c>
    </row>
    <row r="702" spans="1:27" x14ac:dyDescent="0.35">
      <c r="A702" s="45">
        <v>45936</v>
      </c>
      <c r="B702">
        <v>1</v>
      </c>
      <c r="D702" t="s">
        <v>30</v>
      </c>
      <c r="E702" t="s">
        <v>40</v>
      </c>
      <c r="F702" t="s">
        <v>40</v>
      </c>
      <c r="H702" t="s">
        <v>52</v>
      </c>
      <c r="I702" t="s">
        <v>55</v>
      </c>
      <c r="K702">
        <v>75</v>
      </c>
      <c r="M702" s="45">
        <v>48213</v>
      </c>
      <c r="N702" s="45">
        <v>48213</v>
      </c>
      <c r="O702" s="45">
        <v>48213</v>
      </c>
      <c r="P702">
        <v>8390.977733491969</v>
      </c>
      <c r="V702">
        <v>1</v>
      </c>
      <c r="W702" t="s">
        <v>34</v>
      </c>
      <c r="Y702" t="s">
        <v>34</v>
      </c>
      <c r="Z702" t="s">
        <v>35</v>
      </c>
      <c r="AA702">
        <v>1</v>
      </c>
    </row>
    <row r="703" spans="1:27" x14ac:dyDescent="0.35">
      <c r="A703" s="45">
        <v>45936</v>
      </c>
      <c r="B703">
        <v>1</v>
      </c>
      <c r="D703" t="s">
        <v>30</v>
      </c>
      <c r="E703" t="s">
        <v>40</v>
      </c>
      <c r="F703" t="s">
        <v>40</v>
      </c>
      <c r="H703" t="s">
        <v>52</v>
      </c>
      <c r="I703" t="s">
        <v>55</v>
      </c>
      <c r="K703">
        <v>76</v>
      </c>
      <c r="M703" s="45">
        <v>48244</v>
      </c>
      <c r="N703" s="45">
        <v>48244</v>
      </c>
      <c r="O703" s="45">
        <v>48244</v>
      </c>
      <c r="P703">
        <v>8390.977733491969</v>
      </c>
      <c r="V703">
        <v>1</v>
      </c>
      <c r="W703" t="s">
        <v>34</v>
      </c>
      <c r="Y703" t="s">
        <v>34</v>
      </c>
      <c r="Z703" t="s">
        <v>35</v>
      </c>
      <c r="AA703">
        <v>1</v>
      </c>
    </row>
    <row r="704" spans="1:27" x14ac:dyDescent="0.35">
      <c r="A704" s="45">
        <v>45936</v>
      </c>
      <c r="B704">
        <v>1</v>
      </c>
      <c r="D704" t="s">
        <v>30</v>
      </c>
      <c r="E704" t="s">
        <v>40</v>
      </c>
      <c r="F704" t="s">
        <v>40</v>
      </c>
      <c r="H704" t="s">
        <v>52</v>
      </c>
      <c r="I704" t="s">
        <v>55</v>
      </c>
      <c r="K704">
        <v>77</v>
      </c>
      <c r="M704" s="45">
        <v>48273</v>
      </c>
      <c r="N704" s="45">
        <v>48273</v>
      </c>
      <c r="O704" s="45">
        <v>48273</v>
      </c>
      <c r="P704">
        <v>8390.977733491969</v>
      </c>
      <c r="V704">
        <v>1</v>
      </c>
      <c r="W704" t="s">
        <v>34</v>
      </c>
      <c r="Y704" t="s">
        <v>34</v>
      </c>
      <c r="Z704" t="s">
        <v>35</v>
      </c>
      <c r="AA704">
        <v>1</v>
      </c>
    </row>
    <row r="705" spans="1:27" x14ac:dyDescent="0.35">
      <c r="A705" s="45">
        <v>45936</v>
      </c>
      <c r="B705">
        <v>1</v>
      </c>
      <c r="D705" t="s">
        <v>30</v>
      </c>
      <c r="E705" t="s">
        <v>40</v>
      </c>
      <c r="F705" t="s">
        <v>40</v>
      </c>
      <c r="H705" t="s">
        <v>52</v>
      </c>
      <c r="I705" t="s">
        <v>55</v>
      </c>
      <c r="K705">
        <v>78</v>
      </c>
      <c r="M705" s="45">
        <v>48304</v>
      </c>
      <c r="N705" s="45">
        <v>48304</v>
      </c>
      <c r="O705" s="45">
        <v>48304</v>
      </c>
      <c r="P705">
        <v>8390.977733491969</v>
      </c>
      <c r="V705">
        <v>1</v>
      </c>
      <c r="W705" t="s">
        <v>34</v>
      </c>
      <c r="Y705" t="s">
        <v>34</v>
      </c>
      <c r="Z705" t="s">
        <v>35</v>
      </c>
      <c r="AA705">
        <v>1</v>
      </c>
    </row>
    <row r="706" spans="1:27" x14ac:dyDescent="0.35">
      <c r="A706" s="45">
        <v>45936</v>
      </c>
      <c r="B706">
        <v>1</v>
      </c>
      <c r="D706" t="s">
        <v>30</v>
      </c>
      <c r="E706" t="s">
        <v>40</v>
      </c>
      <c r="F706" t="s">
        <v>40</v>
      </c>
      <c r="H706" t="s">
        <v>52</v>
      </c>
      <c r="I706" t="s">
        <v>55</v>
      </c>
      <c r="K706">
        <v>79</v>
      </c>
      <c r="M706" s="45">
        <v>48334</v>
      </c>
      <c r="N706" s="45">
        <v>48334</v>
      </c>
      <c r="O706" s="45">
        <v>48334</v>
      </c>
      <c r="P706">
        <v>8390.977733491969</v>
      </c>
      <c r="V706">
        <v>1</v>
      </c>
      <c r="W706" t="s">
        <v>34</v>
      </c>
      <c r="Y706" t="s">
        <v>34</v>
      </c>
      <c r="Z706" t="s">
        <v>35</v>
      </c>
      <c r="AA706">
        <v>1</v>
      </c>
    </row>
    <row r="707" spans="1:27" x14ac:dyDescent="0.35">
      <c r="A707" s="45">
        <v>45936</v>
      </c>
      <c r="B707">
        <v>1</v>
      </c>
      <c r="D707" t="s">
        <v>30</v>
      </c>
      <c r="E707" t="s">
        <v>40</v>
      </c>
      <c r="F707" t="s">
        <v>40</v>
      </c>
      <c r="H707" t="s">
        <v>52</v>
      </c>
      <c r="I707" t="s">
        <v>55</v>
      </c>
      <c r="K707">
        <v>80</v>
      </c>
      <c r="M707" s="45">
        <v>48365</v>
      </c>
      <c r="N707" s="45">
        <v>48365</v>
      </c>
      <c r="O707" s="45">
        <v>48365</v>
      </c>
      <c r="P707">
        <v>8390.977733491969</v>
      </c>
      <c r="V707">
        <v>1</v>
      </c>
      <c r="W707" t="s">
        <v>34</v>
      </c>
      <c r="Y707" t="s">
        <v>34</v>
      </c>
      <c r="Z707" t="s">
        <v>35</v>
      </c>
      <c r="AA707">
        <v>1</v>
      </c>
    </row>
    <row r="708" spans="1:27" x14ac:dyDescent="0.35">
      <c r="A708" s="45">
        <v>45936</v>
      </c>
      <c r="B708">
        <v>1</v>
      </c>
      <c r="D708" t="s">
        <v>30</v>
      </c>
      <c r="E708" t="s">
        <v>40</v>
      </c>
      <c r="F708" t="s">
        <v>40</v>
      </c>
      <c r="H708" t="s">
        <v>52</v>
      </c>
      <c r="I708" t="s">
        <v>55</v>
      </c>
      <c r="K708">
        <v>81</v>
      </c>
      <c r="M708" s="45">
        <v>48395</v>
      </c>
      <c r="N708" s="45">
        <v>48395</v>
      </c>
      <c r="O708" s="45">
        <v>48395</v>
      </c>
      <c r="P708">
        <v>8390.977733491969</v>
      </c>
      <c r="V708">
        <v>1</v>
      </c>
      <c r="W708" t="s">
        <v>34</v>
      </c>
      <c r="Y708" t="s">
        <v>34</v>
      </c>
      <c r="Z708" t="s">
        <v>35</v>
      </c>
      <c r="AA708">
        <v>1</v>
      </c>
    </row>
    <row r="709" spans="1:27" x14ac:dyDescent="0.35">
      <c r="A709" s="45">
        <v>45936</v>
      </c>
      <c r="B709">
        <v>1</v>
      </c>
      <c r="D709" t="s">
        <v>30</v>
      </c>
      <c r="E709" t="s">
        <v>40</v>
      </c>
      <c r="F709" t="s">
        <v>40</v>
      </c>
      <c r="H709" t="s">
        <v>52</v>
      </c>
      <c r="I709" t="s">
        <v>55</v>
      </c>
      <c r="K709">
        <v>82</v>
      </c>
      <c r="M709" s="45">
        <v>48426</v>
      </c>
      <c r="N709" s="45">
        <v>48426</v>
      </c>
      <c r="O709" s="45">
        <v>48426</v>
      </c>
      <c r="P709">
        <v>8390.977733491969</v>
      </c>
      <c r="V709">
        <v>1</v>
      </c>
      <c r="W709" t="s">
        <v>34</v>
      </c>
      <c r="Y709" t="s">
        <v>34</v>
      </c>
      <c r="Z709" t="s">
        <v>35</v>
      </c>
      <c r="AA709">
        <v>1</v>
      </c>
    </row>
    <row r="710" spans="1:27" x14ac:dyDescent="0.35">
      <c r="A710" s="45">
        <v>45936</v>
      </c>
      <c r="B710">
        <v>1</v>
      </c>
      <c r="D710" t="s">
        <v>30</v>
      </c>
      <c r="E710" t="s">
        <v>40</v>
      </c>
      <c r="F710" t="s">
        <v>40</v>
      </c>
      <c r="H710" t="s">
        <v>52</v>
      </c>
      <c r="I710" t="s">
        <v>55</v>
      </c>
      <c r="K710">
        <v>83</v>
      </c>
      <c r="M710" s="45">
        <v>48457</v>
      </c>
      <c r="N710" s="45">
        <v>48457</v>
      </c>
      <c r="O710" s="45">
        <v>48457</v>
      </c>
      <c r="P710">
        <v>8390.977733491969</v>
      </c>
      <c r="V710">
        <v>1</v>
      </c>
      <c r="W710" t="s">
        <v>34</v>
      </c>
      <c r="Y710" t="s">
        <v>34</v>
      </c>
      <c r="Z710" t="s">
        <v>35</v>
      </c>
      <c r="AA710">
        <v>1</v>
      </c>
    </row>
    <row r="711" spans="1:27" x14ac:dyDescent="0.35">
      <c r="A711" s="45">
        <v>45936</v>
      </c>
      <c r="B711">
        <v>1</v>
      </c>
      <c r="D711" t="s">
        <v>30</v>
      </c>
      <c r="E711" t="s">
        <v>40</v>
      </c>
      <c r="F711" t="s">
        <v>40</v>
      </c>
      <c r="H711" t="s">
        <v>52</v>
      </c>
      <c r="I711" t="s">
        <v>55</v>
      </c>
      <c r="K711">
        <v>84</v>
      </c>
      <c r="M711" s="45">
        <v>48487</v>
      </c>
      <c r="N711" s="45">
        <v>48487</v>
      </c>
      <c r="O711" s="45">
        <v>48487</v>
      </c>
      <c r="P711">
        <v>8390.977733491969</v>
      </c>
      <c r="V711">
        <v>1</v>
      </c>
      <c r="W711" t="s">
        <v>34</v>
      </c>
      <c r="Y711" t="s">
        <v>34</v>
      </c>
      <c r="Z711" t="s">
        <v>35</v>
      </c>
      <c r="AA711">
        <v>1</v>
      </c>
    </row>
    <row r="712" spans="1:27" x14ac:dyDescent="0.35">
      <c r="A712" s="45">
        <v>45936</v>
      </c>
      <c r="B712">
        <v>1</v>
      </c>
      <c r="D712" t="s">
        <v>30</v>
      </c>
      <c r="E712" t="s">
        <v>40</v>
      </c>
      <c r="F712" t="s">
        <v>40</v>
      </c>
      <c r="H712" t="s">
        <v>52</v>
      </c>
      <c r="I712" t="s">
        <v>55</v>
      </c>
      <c r="K712">
        <v>85</v>
      </c>
      <c r="M712" s="45">
        <v>48518</v>
      </c>
      <c r="N712" s="45">
        <v>48518</v>
      </c>
      <c r="O712" s="45">
        <v>48518</v>
      </c>
      <c r="P712">
        <v>8390.977733491969</v>
      </c>
      <c r="V712">
        <v>1</v>
      </c>
      <c r="W712" t="s">
        <v>34</v>
      </c>
      <c r="Y712" t="s">
        <v>34</v>
      </c>
      <c r="Z712" t="s">
        <v>35</v>
      </c>
      <c r="AA712">
        <v>1</v>
      </c>
    </row>
    <row r="713" spans="1:27" x14ac:dyDescent="0.35">
      <c r="A713" s="45">
        <v>45936</v>
      </c>
      <c r="B713">
        <v>1</v>
      </c>
      <c r="D713" t="s">
        <v>30</v>
      </c>
      <c r="E713" t="s">
        <v>40</v>
      </c>
      <c r="F713" t="s">
        <v>40</v>
      </c>
      <c r="H713" t="s">
        <v>52</v>
      </c>
      <c r="I713" t="s">
        <v>55</v>
      </c>
      <c r="K713">
        <v>86</v>
      </c>
      <c r="M713" s="45">
        <v>48548</v>
      </c>
      <c r="N713" s="45">
        <v>48548</v>
      </c>
      <c r="O713" s="45">
        <v>48548</v>
      </c>
      <c r="P713">
        <v>8390.977733491969</v>
      </c>
      <c r="V713">
        <v>1</v>
      </c>
      <c r="W713" t="s">
        <v>34</v>
      </c>
      <c r="Y713" t="s">
        <v>34</v>
      </c>
      <c r="Z713" t="s">
        <v>35</v>
      </c>
      <c r="AA713">
        <v>1</v>
      </c>
    </row>
    <row r="714" spans="1:27" x14ac:dyDescent="0.35">
      <c r="A714" s="45">
        <v>45936</v>
      </c>
      <c r="B714">
        <v>1</v>
      </c>
      <c r="D714" t="s">
        <v>30</v>
      </c>
      <c r="E714" t="s">
        <v>40</v>
      </c>
      <c r="F714" t="s">
        <v>40</v>
      </c>
      <c r="H714" t="s">
        <v>52</v>
      </c>
      <c r="I714" t="s">
        <v>55</v>
      </c>
      <c r="K714">
        <v>87</v>
      </c>
      <c r="M714" s="45">
        <v>48579</v>
      </c>
      <c r="N714" s="45">
        <v>48579</v>
      </c>
      <c r="O714" s="45">
        <v>48579</v>
      </c>
      <c r="P714">
        <v>8390.977733491969</v>
      </c>
      <c r="V714">
        <v>1</v>
      </c>
      <c r="W714" t="s">
        <v>34</v>
      </c>
      <c r="Y714" t="s">
        <v>34</v>
      </c>
      <c r="Z714" t="s">
        <v>35</v>
      </c>
      <c r="AA714">
        <v>1</v>
      </c>
    </row>
    <row r="715" spans="1:27" x14ac:dyDescent="0.35">
      <c r="A715" s="45">
        <v>45936</v>
      </c>
      <c r="B715">
        <v>1</v>
      </c>
      <c r="D715" t="s">
        <v>30</v>
      </c>
      <c r="E715" t="s">
        <v>40</v>
      </c>
      <c r="F715" t="s">
        <v>40</v>
      </c>
      <c r="H715" t="s">
        <v>52</v>
      </c>
      <c r="I715" t="s">
        <v>55</v>
      </c>
      <c r="K715">
        <v>88</v>
      </c>
      <c r="M715" s="45">
        <v>48610</v>
      </c>
      <c r="N715" s="45">
        <v>48610</v>
      </c>
      <c r="O715" s="45">
        <v>48610</v>
      </c>
      <c r="P715">
        <v>8390.977733491969</v>
      </c>
      <c r="V715">
        <v>1</v>
      </c>
      <c r="W715" t="s">
        <v>34</v>
      </c>
      <c r="Y715" t="s">
        <v>34</v>
      </c>
      <c r="Z715" t="s">
        <v>35</v>
      </c>
      <c r="AA715">
        <v>1</v>
      </c>
    </row>
    <row r="716" spans="1:27" x14ac:dyDescent="0.35">
      <c r="A716" s="45">
        <v>45936</v>
      </c>
      <c r="B716">
        <v>1</v>
      </c>
      <c r="D716" t="s">
        <v>30</v>
      </c>
      <c r="E716" t="s">
        <v>40</v>
      </c>
      <c r="F716" t="s">
        <v>40</v>
      </c>
      <c r="H716" t="s">
        <v>52</v>
      </c>
      <c r="I716" t="s">
        <v>55</v>
      </c>
      <c r="K716">
        <v>89</v>
      </c>
      <c r="M716" s="45">
        <v>48638</v>
      </c>
      <c r="N716" s="45">
        <v>48638</v>
      </c>
      <c r="O716" s="45">
        <v>48638</v>
      </c>
      <c r="P716">
        <v>8390.977733491969</v>
      </c>
      <c r="V716">
        <v>1</v>
      </c>
      <c r="W716" t="s">
        <v>34</v>
      </c>
      <c r="Y716" t="s">
        <v>34</v>
      </c>
      <c r="Z716" t="s">
        <v>35</v>
      </c>
      <c r="AA716">
        <v>1</v>
      </c>
    </row>
    <row r="717" spans="1:27" x14ac:dyDescent="0.35">
      <c r="A717" s="45">
        <v>45936</v>
      </c>
      <c r="B717">
        <v>1</v>
      </c>
      <c r="D717" t="s">
        <v>30</v>
      </c>
      <c r="E717" t="s">
        <v>40</v>
      </c>
      <c r="F717" t="s">
        <v>40</v>
      </c>
      <c r="H717" t="s">
        <v>52</v>
      </c>
      <c r="I717" t="s">
        <v>55</v>
      </c>
      <c r="K717">
        <v>90</v>
      </c>
      <c r="M717" s="45">
        <v>48669</v>
      </c>
      <c r="N717" s="45">
        <v>48669</v>
      </c>
      <c r="O717" s="45">
        <v>48669</v>
      </c>
      <c r="P717">
        <v>8390.977733491969</v>
      </c>
      <c r="V717">
        <v>1</v>
      </c>
      <c r="W717" t="s">
        <v>34</v>
      </c>
      <c r="Y717" t="s">
        <v>34</v>
      </c>
      <c r="Z717" t="s">
        <v>35</v>
      </c>
      <c r="AA717">
        <v>1</v>
      </c>
    </row>
    <row r="718" spans="1:27" x14ac:dyDescent="0.35">
      <c r="A718" s="45">
        <v>45936</v>
      </c>
      <c r="B718">
        <v>1</v>
      </c>
      <c r="D718" t="s">
        <v>30</v>
      </c>
      <c r="E718" t="s">
        <v>40</v>
      </c>
      <c r="F718" t="s">
        <v>40</v>
      </c>
      <c r="H718" t="s">
        <v>52</v>
      </c>
      <c r="I718" t="s">
        <v>55</v>
      </c>
      <c r="K718">
        <v>91</v>
      </c>
      <c r="M718" s="45">
        <v>48699</v>
      </c>
      <c r="N718" s="45">
        <v>48699</v>
      </c>
      <c r="O718" s="45">
        <v>48699</v>
      </c>
      <c r="P718">
        <v>8390.977733491969</v>
      </c>
      <c r="V718">
        <v>1</v>
      </c>
      <c r="W718" t="s">
        <v>34</v>
      </c>
      <c r="Y718" t="s">
        <v>34</v>
      </c>
      <c r="Z718" t="s">
        <v>35</v>
      </c>
      <c r="AA718">
        <v>1</v>
      </c>
    </row>
    <row r="719" spans="1:27" x14ac:dyDescent="0.35">
      <c r="A719" s="45">
        <v>45936</v>
      </c>
      <c r="B719">
        <v>1</v>
      </c>
      <c r="D719" t="s">
        <v>30</v>
      </c>
      <c r="E719" t="s">
        <v>40</v>
      </c>
      <c r="F719" t="s">
        <v>40</v>
      </c>
      <c r="H719" t="s">
        <v>52</v>
      </c>
      <c r="I719" t="s">
        <v>55</v>
      </c>
      <c r="K719">
        <v>92</v>
      </c>
      <c r="M719" s="45">
        <v>48730</v>
      </c>
      <c r="N719" s="45">
        <v>48730</v>
      </c>
      <c r="O719" s="45">
        <v>48730</v>
      </c>
      <c r="P719">
        <v>8390.977733491969</v>
      </c>
      <c r="V719">
        <v>1</v>
      </c>
      <c r="W719" t="s">
        <v>34</v>
      </c>
      <c r="Y719" t="s">
        <v>34</v>
      </c>
      <c r="Z719" t="s">
        <v>35</v>
      </c>
      <c r="AA719">
        <v>1</v>
      </c>
    </row>
    <row r="720" spans="1:27" x14ac:dyDescent="0.35">
      <c r="A720" s="45">
        <v>45936</v>
      </c>
      <c r="B720">
        <v>1</v>
      </c>
      <c r="D720" t="s">
        <v>30</v>
      </c>
      <c r="E720" t="s">
        <v>40</v>
      </c>
      <c r="F720" t="s">
        <v>40</v>
      </c>
      <c r="H720" t="s">
        <v>52</v>
      </c>
      <c r="I720" t="s">
        <v>55</v>
      </c>
      <c r="K720">
        <v>93</v>
      </c>
      <c r="M720" s="45">
        <v>48760</v>
      </c>
      <c r="N720" s="45">
        <v>48760</v>
      </c>
      <c r="O720" s="45">
        <v>48760</v>
      </c>
      <c r="P720">
        <v>8390.977733491969</v>
      </c>
      <c r="V720">
        <v>1</v>
      </c>
      <c r="W720" t="s">
        <v>34</v>
      </c>
      <c r="Y720" t="s">
        <v>34</v>
      </c>
      <c r="Z720" t="s">
        <v>35</v>
      </c>
      <c r="AA720">
        <v>1</v>
      </c>
    </row>
    <row r="721" spans="1:27" x14ac:dyDescent="0.35">
      <c r="A721" s="45">
        <v>45936</v>
      </c>
      <c r="B721">
        <v>1</v>
      </c>
      <c r="D721" t="s">
        <v>30</v>
      </c>
      <c r="E721" t="s">
        <v>40</v>
      </c>
      <c r="F721" t="s">
        <v>40</v>
      </c>
      <c r="H721" t="s">
        <v>52</v>
      </c>
      <c r="I721" t="s">
        <v>55</v>
      </c>
      <c r="K721">
        <v>94</v>
      </c>
      <c r="M721" s="45">
        <v>48791</v>
      </c>
      <c r="N721" s="45">
        <v>48791</v>
      </c>
      <c r="O721" s="45">
        <v>48791</v>
      </c>
      <c r="P721">
        <v>8390.977733491969</v>
      </c>
      <c r="V721">
        <v>1</v>
      </c>
      <c r="W721" t="s">
        <v>34</v>
      </c>
      <c r="Y721" t="s">
        <v>34</v>
      </c>
      <c r="Z721" t="s">
        <v>35</v>
      </c>
      <c r="AA721">
        <v>1</v>
      </c>
    </row>
    <row r="722" spans="1:27" x14ac:dyDescent="0.35">
      <c r="A722" s="45">
        <v>45936</v>
      </c>
      <c r="B722">
        <v>1</v>
      </c>
      <c r="D722" t="s">
        <v>30</v>
      </c>
      <c r="E722" t="s">
        <v>40</v>
      </c>
      <c r="F722" t="s">
        <v>40</v>
      </c>
      <c r="H722" t="s">
        <v>52</v>
      </c>
      <c r="I722" t="s">
        <v>55</v>
      </c>
      <c r="K722">
        <v>95</v>
      </c>
      <c r="M722" s="45">
        <v>48822</v>
      </c>
      <c r="N722" s="45">
        <v>48822</v>
      </c>
      <c r="O722" s="45">
        <v>48822</v>
      </c>
      <c r="P722">
        <v>8390.977733491969</v>
      </c>
      <c r="V722">
        <v>1</v>
      </c>
      <c r="W722" t="s">
        <v>34</v>
      </c>
      <c r="Y722" t="s">
        <v>34</v>
      </c>
      <c r="Z722" t="s">
        <v>35</v>
      </c>
      <c r="AA722">
        <v>1</v>
      </c>
    </row>
    <row r="723" spans="1:27" x14ac:dyDescent="0.35">
      <c r="A723" s="45">
        <v>45936</v>
      </c>
      <c r="B723">
        <v>1</v>
      </c>
      <c r="D723" t="s">
        <v>30</v>
      </c>
      <c r="E723" t="s">
        <v>40</v>
      </c>
      <c r="F723" t="s">
        <v>40</v>
      </c>
      <c r="H723" t="s">
        <v>52</v>
      </c>
      <c r="I723" t="s">
        <v>55</v>
      </c>
      <c r="K723">
        <v>96</v>
      </c>
      <c r="M723" s="45">
        <v>48852</v>
      </c>
      <c r="N723" s="45">
        <v>48852</v>
      </c>
      <c r="O723" s="45">
        <v>48852</v>
      </c>
      <c r="P723">
        <v>8390.977733491969</v>
      </c>
      <c r="V723">
        <v>1</v>
      </c>
      <c r="W723" t="s">
        <v>34</v>
      </c>
      <c r="Y723" t="s">
        <v>34</v>
      </c>
      <c r="Z723" t="s">
        <v>35</v>
      </c>
      <c r="AA723">
        <v>1</v>
      </c>
    </row>
    <row r="724" spans="1:27" x14ac:dyDescent="0.35">
      <c r="A724" s="45">
        <v>45936</v>
      </c>
      <c r="B724">
        <v>1</v>
      </c>
      <c r="D724" t="s">
        <v>30</v>
      </c>
      <c r="E724" t="s">
        <v>40</v>
      </c>
      <c r="F724" t="s">
        <v>40</v>
      </c>
      <c r="H724" t="s">
        <v>52</v>
      </c>
      <c r="I724" t="s">
        <v>55</v>
      </c>
      <c r="K724">
        <v>97</v>
      </c>
      <c r="M724" s="45">
        <v>48883</v>
      </c>
      <c r="N724" s="45">
        <v>48883</v>
      </c>
      <c r="O724" s="45">
        <v>48883</v>
      </c>
      <c r="P724">
        <v>8390.977733491969</v>
      </c>
      <c r="V724">
        <v>1</v>
      </c>
      <c r="W724" t="s">
        <v>34</v>
      </c>
      <c r="Y724" t="s">
        <v>34</v>
      </c>
      <c r="Z724" t="s">
        <v>35</v>
      </c>
      <c r="AA724">
        <v>1</v>
      </c>
    </row>
    <row r="725" spans="1:27" x14ac:dyDescent="0.35">
      <c r="A725" s="45">
        <v>45936</v>
      </c>
      <c r="B725">
        <v>1</v>
      </c>
      <c r="D725" t="s">
        <v>30</v>
      </c>
      <c r="E725" t="s">
        <v>40</v>
      </c>
      <c r="F725" t="s">
        <v>40</v>
      </c>
      <c r="H725" t="s">
        <v>52</v>
      </c>
      <c r="I725" t="s">
        <v>55</v>
      </c>
      <c r="K725">
        <v>98</v>
      </c>
      <c r="M725" s="45">
        <v>48913</v>
      </c>
      <c r="N725" s="45">
        <v>48913</v>
      </c>
      <c r="O725" s="45">
        <v>48913</v>
      </c>
      <c r="P725">
        <v>8390.977733491969</v>
      </c>
      <c r="V725">
        <v>1</v>
      </c>
      <c r="W725" t="s">
        <v>34</v>
      </c>
      <c r="Y725" t="s">
        <v>34</v>
      </c>
      <c r="Z725" t="s">
        <v>35</v>
      </c>
      <c r="AA725">
        <v>1</v>
      </c>
    </row>
    <row r="726" spans="1:27" x14ac:dyDescent="0.35">
      <c r="A726" s="45">
        <v>45936</v>
      </c>
      <c r="B726">
        <v>1</v>
      </c>
      <c r="D726" t="s">
        <v>30</v>
      </c>
      <c r="E726" t="s">
        <v>40</v>
      </c>
      <c r="F726" t="s">
        <v>40</v>
      </c>
      <c r="H726" t="s">
        <v>52</v>
      </c>
      <c r="I726" t="s">
        <v>55</v>
      </c>
      <c r="K726">
        <v>99</v>
      </c>
      <c r="M726" s="45">
        <v>48944</v>
      </c>
      <c r="N726" s="45">
        <v>48944</v>
      </c>
      <c r="O726" s="45">
        <v>48944</v>
      </c>
      <c r="P726">
        <v>8390.977733491969</v>
      </c>
      <c r="V726">
        <v>1</v>
      </c>
      <c r="W726" t="s">
        <v>34</v>
      </c>
      <c r="Y726" t="s">
        <v>34</v>
      </c>
      <c r="Z726" t="s">
        <v>35</v>
      </c>
      <c r="AA726">
        <v>1</v>
      </c>
    </row>
    <row r="727" spans="1:27" x14ac:dyDescent="0.35">
      <c r="A727" s="45">
        <v>45936</v>
      </c>
      <c r="B727">
        <v>1</v>
      </c>
      <c r="D727" t="s">
        <v>30</v>
      </c>
      <c r="E727" t="s">
        <v>40</v>
      </c>
      <c r="F727" t="s">
        <v>40</v>
      </c>
      <c r="H727" t="s">
        <v>52</v>
      </c>
      <c r="I727" t="s">
        <v>55</v>
      </c>
      <c r="K727">
        <v>100</v>
      </c>
      <c r="M727" s="45">
        <v>48975</v>
      </c>
      <c r="N727" s="45">
        <v>48975</v>
      </c>
      <c r="O727" s="45">
        <v>48975</v>
      </c>
      <c r="P727">
        <v>8390.977733491969</v>
      </c>
      <c r="V727">
        <v>1</v>
      </c>
      <c r="W727" t="s">
        <v>34</v>
      </c>
      <c r="Y727" t="s">
        <v>34</v>
      </c>
      <c r="Z727" t="s">
        <v>35</v>
      </c>
      <c r="AA727">
        <v>1</v>
      </c>
    </row>
    <row r="728" spans="1:27" x14ac:dyDescent="0.35">
      <c r="A728" s="45">
        <v>45936</v>
      </c>
      <c r="B728">
        <v>1</v>
      </c>
      <c r="D728" t="s">
        <v>30</v>
      </c>
      <c r="E728" t="s">
        <v>40</v>
      </c>
      <c r="F728" t="s">
        <v>40</v>
      </c>
      <c r="H728" t="s">
        <v>52</v>
      </c>
      <c r="I728" t="s">
        <v>55</v>
      </c>
      <c r="K728">
        <v>101</v>
      </c>
      <c r="M728" s="45">
        <v>49003</v>
      </c>
      <c r="N728" s="45">
        <v>49003</v>
      </c>
      <c r="O728" s="45">
        <v>49003</v>
      </c>
      <c r="P728">
        <v>8390.977733491969</v>
      </c>
      <c r="V728">
        <v>1</v>
      </c>
      <c r="W728" t="s">
        <v>34</v>
      </c>
      <c r="Y728" t="s">
        <v>34</v>
      </c>
      <c r="Z728" t="s">
        <v>35</v>
      </c>
      <c r="AA728">
        <v>1</v>
      </c>
    </row>
    <row r="729" spans="1:27" x14ac:dyDescent="0.35">
      <c r="A729" s="45">
        <v>45936</v>
      </c>
      <c r="B729">
        <v>1</v>
      </c>
      <c r="D729" t="s">
        <v>30</v>
      </c>
      <c r="E729" t="s">
        <v>40</v>
      </c>
      <c r="F729" t="s">
        <v>40</v>
      </c>
      <c r="H729" t="s">
        <v>52</v>
      </c>
      <c r="I729" t="s">
        <v>55</v>
      </c>
      <c r="K729">
        <v>102</v>
      </c>
      <c r="M729" s="45">
        <v>49034</v>
      </c>
      <c r="N729" s="45">
        <v>49034</v>
      </c>
      <c r="O729" s="45">
        <v>49034</v>
      </c>
      <c r="P729">
        <v>8390.977733491969</v>
      </c>
      <c r="V729">
        <v>1</v>
      </c>
      <c r="W729" t="s">
        <v>34</v>
      </c>
      <c r="Y729" t="s">
        <v>34</v>
      </c>
      <c r="Z729" t="s">
        <v>35</v>
      </c>
      <c r="AA729">
        <v>1</v>
      </c>
    </row>
    <row r="730" spans="1:27" x14ac:dyDescent="0.35">
      <c r="A730" s="45">
        <v>45936</v>
      </c>
      <c r="B730">
        <v>1</v>
      </c>
      <c r="D730" t="s">
        <v>30</v>
      </c>
      <c r="E730" t="s">
        <v>40</v>
      </c>
      <c r="F730" t="s">
        <v>40</v>
      </c>
      <c r="H730" t="s">
        <v>52</v>
      </c>
      <c r="I730" t="s">
        <v>55</v>
      </c>
      <c r="K730">
        <v>103</v>
      </c>
      <c r="M730" s="45">
        <v>49064</v>
      </c>
      <c r="N730" s="45">
        <v>49064</v>
      </c>
      <c r="O730" s="45">
        <v>49064</v>
      </c>
      <c r="P730">
        <v>8390.977733491969</v>
      </c>
      <c r="V730">
        <v>1</v>
      </c>
      <c r="W730" t="s">
        <v>34</v>
      </c>
      <c r="Y730" t="s">
        <v>34</v>
      </c>
      <c r="Z730" t="s">
        <v>35</v>
      </c>
      <c r="AA730">
        <v>1</v>
      </c>
    </row>
    <row r="731" spans="1:27" x14ac:dyDescent="0.35">
      <c r="A731" s="45">
        <v>45936</v>
      </c>
      <c r="B731">
        <v>1</v>
      </c>
      <c r="D731" t="s">
        <v>30</v>
      </c>
      <c r="E731" t="s">
        <v>40</v>
      </c>
      <c r="F731" t="s">
        <v>40</v>
      </c>
      <c r="H731" t="s">
        <v>52</v>
      </c>
      <c r="I731" t="s">
        <v>55</v>
      </c>
      <c r="K731">
        <v>104</v>
      </c>
      <c r="M731" s="45">
        <v>49095</v>
      </c>
      <c r="N731" s="45">
        <v>49095</v>
      </c>
      <c r="O731" s="45">
        <v>49095</v>
      </c>
      <c r="P731">
        <v>8390.977733491969</v>
      </c>
      <c r="V731">
        <v>1</v>
      </c>
      <c r="W731" t="s">
        <v>34</v>
      </c>
      <c r="Y731" t="s">
        <v>34</v>
      </c>
      <c r="Z731" t="s">
        <v>35</v>
      </c>
      <c r="AA731">
        <v>1</v>
      </c>
    </row>
    <row r="732" spans="1:27" x14ac:dyDescent="0.35">
      <c r="A732" s="45">
        <v>45936</v>
      </c>
      <c r="B732">
        <v>1</v>
      </c>
      <c r="D732" t="s">
        <v>30</v>
      </c>
      <c r="E732" t="s">
        <v>40</v>
      </c>
      <c r="F732" t="s">
        <v>40</v>
      </c>
      <c r="H732" t="s">
        <v>52</v>
      </c>
      <c r="I732" t="s">
        <v>55</v>
      </c>
      <c r="K732">
        <v>105</v>
      </c>
      <c r="M732" s="45">
        <v>49125</v>
      </c>
      <c r="N732" s="45">
        <v>49125</v>
      </c>
      <c r="O732" s="45">
        <v>49125</v>
      </c>
      <c r="P732">
        <v>8390.977733491969</v>
      </c>
      <c r="V732">
        <v>1</v>
      </c>
      <c r="W732" t="s">
        <v>34</v>
      </c>
      <c r="Y732" t="s">
        <v>34</v>
      </c>
      <c r="Z732" t="s">
        <v>35</v>
      </c>
      <c r="AA732">
        <v>1</v>
      </c>
    </row>
    <row r="733" spans="1:27" x14ac:dyDescent="0.35">
      <c r="A733" s="45">
        <v>45936</v>
      </c>
      <c r="B733">
        <v>1</v>
      </c>
      <c r="D733" t="s">
        <v>30</v>
      </c>
      <c r="E733" t="s">
        <v>40</v>
      </c>
      <c r="F733" t="s">
        <v>40</v>
      </c>
      <c r="H733" t="s">
        <v>52</v>
      </c>
      <c r="I733" t="s">
        <v>55</v>
      </c>
      <c r="K733">
        <v>106</v>
      </c>
      <c r="M733" s="45">
        <v>49156</v>
      </c>
      <c r="N733" s="45">
        <v>49156</v>
      </c>
      <c r="O733" s="45">
        <v>49156</v>
      </c>
      <c r="P733">
        <v>8390.977733491969</v>
      </c>
      <c r="V733">
        <v>1</v>
      </c>
      <c r="W733" t="s">
        <v>34</v>
      </c>
      <c r="Y733" t="s">
        <v>34</v>
      </c>
      <c r="Z733" t="s">
        <v>35</v>
      </c>
      <c r="AA733">
        <v>1</v>
      </c>
    </row>
    <row r="734" spans="1:27" x14ac:dyDescent="0.35">
      <c r="A734" s="45">
        <v>45936</v>
      </c>
      <c r="B734">
        <v>1</v>
      </c>
      <c r="D734" t="s">
        <v>30</v>
      </c>
      <c r="E734" t="s">
        <v>40</v>
      </c>
      <c r="F734" t="s">
        <v>40</v>
      </c>
      <c r="H734" t="s">
        <v>52</v>
      </c>
      <c r="I734" t="s">
        <v>55</v>
      </c>
      <c r="K734">
        <v>107</v>
      </c>
      <c r="M734" s="45">
        <v>49187</v>
      </c>
      <c r="N734" s="45">
        <v>49187</v>
      </c>
      <c r="O734" s="45">
        <v>49187</v>
      </c>
      <c r="P734">
        <v>8390.977733491969</v>
      </c>
      <c r="V734">
        <v>1</v>
      </c>
      <c r="W734" t="s">
        <v>34</v>
      </c>
      <c r="Y734" t="s">
        <v>34</v>
      </c>
      <c r="Z734" t="s">
        <v>35</v>
      </c>
      <c r="AA734">
        <v>1</v>
      </c>
    </row>
    <row r="735" spans="1:27" x14ac:dyDescent="0.35">
      <c r="A735" s="45">
        <v>45936</v>
      </c>
      <c r="B735">
        <v>1</v>
      </c>
      <c r="D735" t="s">
        <v>30</v>
      </c>
      <c r="E735" t="s">
        <v>40</v>
      </c>
      <c r="F735" t="s">
        <v>40</v>
      </c>
      <c r="H735" t="s">
        <v>52</v>
      </c>
      <c r="I735" t="s">
        <v>55</v>
      </c>
      <c r="K735">
        <v>108</v>
      </c>
      <c r="M735" s="45">
        <v>49217</v>
      </c>
      <c r="N735" s="45">
        <v>49217</v>
      </c>
      <c r="O735" s="45">
        <v>49217</v>
      </c>
      <c r="P735">
        <v>8390.977733491969</v>
      </c>
      <c r="V735">
        <v>1</v>
      </c>
      <c r="W735" t="s">
        <v>34</v>
      </c>
      <c r="Y735" t="s">
        <v>34</v>
      </c>
      <c r="Z735" t="s">
        <v>35</v>
      </c>
      <c r="AA735">
        <v>1</v>
      </c>
    </row>
    <row r="736" spans="1:27" x14ac:dyDescent="0.35">
      <c r="A736" s="45">
        <v>45936</v>
      </c>
      <c r="B736">
        <v>1</v>
      </c>
      <c r="D736" t="s">
        <v>30</v>
      </c>
      <c r="E736" t="s">
        <v>40</v>
      </c>
      <c r="F736" t="s">
        <v>40</v>
      </c>
      <c r="H736" t="s">
        <v>52</v>
      </c>
      <c r="I736" t="s">
        <v>55</v>
      </c>
      <c r="K736">
        <v>109</v>
      </c>
      <c r="M736" s="45">
        <v>49248</v>
      </c>
      <c r="N736" s="45">
        <v>49248</v>
      </c>
      <c r="O736" s="45">
        <v>49248</v>
      </c>
      <c r="P736">
        <v>8390.977733491969</v>
      </c>
      <c r="V736">
        <v>1</v>
      </c>
      <c r="W736" t="s">
        <v>34</v>
      </c>
      <c r="Y736" t="s">
        <v>34</v>
      </c>
      <c r="Z736" t="s">
        <v>35</v>
      </c>
      <c r="AA736">
        <v>1</v>
      </c>
    </row>
    <row r="737" spans="1:27" x14ac:dyDescent="0.35">
      <c r="A737" s="45">
        <v>45936</v>
      </c>
      <c r="B737">
        <v>1</v>
      </c>
      <c r="D737" t="s">
        <v>30</v>
      </c>
      <c r="E737" t="s">
        <v>40</v>
      </c>
      <c r="F737" t="s">
        <v>40</v>
      </c>
      <c r="H737" t="s">
        <v>52</v>
      </c>
      <c r="I737" t="s">
        <v>55</v>
      </c>
      <c r="K737">
        <v>110</v>
      </c>
      <c r="M737" s="45">
        <v>49278</v>
      </c>
      <c r="N737" s="45">
        <v>49278</v>
      </c>
      <c r="O737" s="45">
        <v>49278</v>
      </c>
      <c r="P737">
        <v>8390.977733491969</v>
      </c>
      <c r="V737">
        <v>1</v>
      </c>
      <c r="W737" t="s">
        <v>34</v>
      </c>
      <c r="Y737" t="s">
        <v>34</v>
      </c>
      <c r="Z737" t="s">
        <v>35</v>
      </c>
      <c r="AA737">
        <v>1</v>
      </c>
    </row>
    <row r="738" spans="1:27" x14ac:dyDescent="0.35">
      <c r="A738" s="45">
        <v>45936</v>
      </c>
      <c r="B738">
        <v>1</v>
      </c>
      <c r="D738" t="s">
        <v>30</v>
      </c>
      <c r="E738" t="s">
        <v>40</v>
      </c>
      <c r="F738" t="s">
        <v>40</v>
      </c>
      <c r="H738" t="s">
        <v>52</v>
      </c>
      <c r="I738" t="s">
        <v>55</v>
      </c>
      <c r="K738">
        <v>111</v>
      </c>
      <c r="M738" s="45">
        <v>49309</v>
      </c>
      <c r="N738" s="45">
        <v>49309</v>
      </c>
      <c r="O738" s="45">
        <v>49309</v>
      </c>
      <c r="P738">
        <v>8390.977733491969</v>
      </c>
      <c r="V738">
        <v>1</v>
      </c>
      <c r="W738" t="s">
        <v>34</v>
      </c>
      <c r="Y738" t="s">
        <v>34</v>
      </c>
      <c r="Z738" t="s">
        <v>35</v>
      </c>
      <c r="AA738">
        <v>1</v>
      </c>
    </row>
    <row r="739" spans="1:27" x14ac:dyDescent="0.35">
      <c r="A739" s="45">
        <v>45936</v>
      </c>
      <c r="B739">
        <v>1</v>
      </c>
      <c r="D739" t="s">
        <v>30</v>
      </c>
      <c r="E739" t="s">
        <v>40</v>
      </c>
      <c r="F739" t="s">
        <v>40</v>
      </c>
      <c r="H739" t="s">
        <v>52</v>
      </c>
      <c r="I739" t="s">
        <v>55</v>
      </c>
      <c r="K739">
        <v>112</v>
      </c>
      <c r="M739" s="45">
        <v>49340</v>
      </c>
      <c r="N739" s="45">
        <v>49340</v>
      </c>
      <c r="O739" s="45">
        <v>49340</v>
      </c>
      <c r="P739">
        <v>8390.977733491969</v>
      </c>
      <c r="V739">
        <v>1</v>
      </c>
      <c r="W739" t="s">
        <v>34</v>
      </c>
      <c r="Y739" t="s">
        <v>34</v>
      </c>
      <c r="Z739" t="s">
        <v>35</v>
      </c>
      <c r="AA739">
        <v>1</v>
      </c>
    </row>
    <row r="740" spans="1:27" x14ac:dyDescent="0.35">
      <c r="A740" s="45">
        <v>45936</v>
      </c>
      <c r="B740">
        <v>1</v>
      </c>
      <c r="D740" t="s">
        <v>30</v>
      </c>
      <c r="E740" t="s">
        <v>40</v>
      </c>
      <c r="F740" t="s">
        <v>40</v>
      </c>
      <c r="H740" t="s">
        <v>52</v>
      </c>
      <c r="I740" t="s">
        <v>55</v>
      </c>
      <c r="K740">
        <v>113</v>
      </c>
      <c r="M740" s="45">
        <v>49368</v>
      </c>
      <c r="N740" s="45">
        <v>49368</v>
      </c>
      <c r="O740" s="45">
        <v>49368</v>
      </c>
      <c r="P740">
        <v>8390.977733491969</v>
      </c>
      <c r="V740">
        <v>1</v>
      </c>
      <c r="W740" t="s">
        <v>34</v>
      </c>
      <c r="Y740" t="s">
        <v>34</v>
      </c>
      <c r="Z740" t="s">
        <v>35</v>
      </c>
      <c r="AA740">
        <v>1</v>
      </c>
    </row>
    <row r="741" spans="1:27" x14ac:dyDescent="0.35">
      <c r="A741" s="45">
        <v>45936</v>
      </c>
      <c r="B741">
        <v>1</v>
      </c>
      <c r="D741" t="s">
        <v>30</v>
      </c>
      <c r="E741" t="s">
        <v>40</v>
      </c>
      <c r="F741" t="s">
        <v>40</v>
      </c>
      <c r="H741" t="s">
        <v>52</v>
      </c>
      <c r="I741" t="s">
        <v>55</v>
      </c>
      <c r="K741">
        <v>114</v>
      </c>
      <c r="M741" s="45">
        <v>49399</v>
      </c>
      <c r="N741" s="45">
        <v>49399</v>
      </c>
      <c r="O741" s="45">
        <v>49399</v>
      </c>
      <c r="P741">
        <v>8390.977733491969</v>
      </c>
      <c r="V741">
        <v>1</v>
      </c>
      <c r="W741" t="s">
        <v>34</v>
      </c>
      <c r="Y741" t="s">
        <v>34</v>
      </c>
      <c r="Z741" t="s">
        <v>35</v>
      </c>
      <c r="AA741">
        <v>1</v>
      </c>
    </row>
    <row r="742" spans="1:27" x14ac:dyDescent="0.35">
      <c r="A742" s="45">
        <v>45936</v>
      </c>
      <c r="B742">
        <v>1</v>
      </c>
      <c r="D742" t="s">
        <v>30</v>
      </c>
      <c r="E742" t="s">
        <v>40</v>
      </c>
      <c r="F742" t="s">
        <v>40</v>
      </c>
      <c r="H742" t="s">
        <v>52</v>
      </c>
      <c r="I742" t="s">
        <v>55</v>
      </c>
      <c r="K742">
        <v>115</v>
      </c>
      <c r="M742" s="45">
        <v>49429</v>
      </c>
      <c r="N742" s="45">
        <v>49429</v>
      </c>
      <c r="O742" s="45">
        <v>49429</v>
      </c>
      <c r="P742">
        <v>8390.977733491969</v>
      </c>
      <c r="V742">
        <v>1</v>
      </c>
      <c r="W742" t="s">
        <v>34</v>
      </c>
      <c r="Y742" t="s">
        <v>34</v>
      </c>
      <c r="Z742" t="s">
        <v>35</v>
      </c>
      <c r="AA742">
        <v>1</v>
      </c>
    </row>
    <row r="743" spans="1:27" x14ac:dyDescent="0.35">
      <c r="A743" s="45">
        <v>45936</v>
      </c>
      <c r="B743">
        <v>1</v>
      </c>
      <c r="D743" t="s">
        <v>30</v>
      </c>
      <c r="E743" t="s">
        <v>40</v>
      </c>
      <c r="F743" t="s">
        <v>40</v>
      </c>
      <c r="H743" t="s">
        <v>52</v>
      </c>
      <c r="I743" t="s">
        <v>55</v>
      </c>
      <c r="K743">
        <v>116</v>
      </c>
      <c r="M743" s="45">
        <v>49460</v>
      </c>
      <c r="N743" s="45">
        <v>49460</v>
      </c>
      <c r="O743" s="45">
        <v>49460</v>
      </c>
      <c r="P743">
        <v>8390.977733491969</v>
      </c>
      <c r="V743">
        <v>1</v>
      </c>
      <c r="W743" t="s">
        <v>34</v>
      </c>
      <c r="Y743" t="s">
        <v>34</v>
      </c>
      <c r="Z743" t="s">
        <v>35</v>
      </c>
      <c r="AA743">
        <v>1</v>
      </c>
    </row>
    <row r="744" spans="1:27" x14ac:dyDescent="0.35">
      <c r="A744" s="45">
        <v>45936</v>
      </c>
      <c r="B744">
        <v>1</v>
      </c>
      <c r="D744" t="s">
        <v>30</v>
      </c>
      <c r="E744" t="s">
        <v>40</v>
      </c>
      <c r="F744" t="s">
        <v>40</v>
      </c>
      <c r="H744" t="s">
        <v>52</v>
      </c>
      <c r="I744" t="s">
        <v>55</v>
      </c>
      <c r="K744">
        <v>117</v>
      </c>
      <c r="M744" s="45">
        <v>49490</v>
      </c>
      <c r="N744" s="45">
        <v>49490</v>
      </c>
      <c r="O744" s="45">
        <v>49490</v>
      </c>
      <c r="P744">
        <v>8390.977733491969</v>
      </c>
      <c r="V744">
        <v>1</v>
      </c>
      <c r="W744" t="s">
        <v>34</v>
      </c>
      <c r="Y744" t="s">
        <v>34</v>
      </c>
      <c r="Z744" t="s">
        <v>35</v>
      </c>
      <c r="AA744">
        <v>1</v>
      </c>
    </row>
    <row r="745" spans="1:27" x14ac:dyDescent="0.35">
      <c r="A745" s="45">
        <v>45936</v>
      </c>
      <c r="B745">
        <v>1</v>
      </c>
      <c r="D745" t="s">
        <v>30</v>
      </c>
      <c r="E745" t="s">
        <v>40</v>
      </c>
      <c r="F745" t="s">
        <v>40</v>
      </c>
      <c r="H745" t="s">
        <v>52</v>
      </c>
      <c r="I745" t="s">
        <v>55</v>
      </c>
      <c r="K745">
        <v>118</v>
      </c>
      <c r="M745" s="45">
        <v>49521</v>
      </c>
      <c r="N745" s="45">
        <v>49521</v>
      </c>
      <c r="O745" s="45">
        <v>49521</v>
      </c>
      <c r="P745">
        <v>8390.977733491969</v>
      </c>
      <c r="V745">
        <v>1</v>
      </c>
      <c r="W745" t="s">
        <v>34</v>
      </c>
      <c r="Y745" t="s">
        <v>34</v>
      </c>
      <c r="Z745" t="s">
        <v>35</v>
      </c>
      <c r="AA745">
        <v>1</v>
      </c>
    </row>
    <row r="746" spans="1:27" x14ac:dyDescent="0.35">
      <c r="A746" s="45">
        <v>45936</v>
      </c>
      <c r="B746">
        <v>1</v>
      </c>
      <c r="D746" t="s">
        <v>30</v>
      </c>
      <c r="E746" t="s">
        <v>40</v>
      </c>
      <c r="F746" t="s">
        <v>40</v>
      </c>
      <c r="H746" t="s">
        <v>52</v>
      </c>
      <c r="I746" t="s">
        <v>55</v>
      </c>
      <c r="K746">
        <v>119</v>
      </c>
      <c r="M746" s="45">
        <v>49552</v>
      </c>
      <c r="N746" s="45">
        <v>49552</v>
      </c>
      <c r="O746" s="45">
        <v>49552</v>
      </c>
      <c r="P746">
        <v>8390.977733491969</v>
      </c>
      <c r="V746">
        <v>1</v>
      </c>
      <c r="W746" t="s">
        <v>34</v>
      </c>
      <c r="Y746" t="s">
        <v>34</v>
      </c>
      <c r="Z746" t="s">
        <v>35</v>
      </c>
      <c r="AA746">
        <v>1</v>
      </c>
    </row>
    <row r="747" spans="1:27" x14ac:dyDescent="0.35">
      <c r="A747" s="45">
        <v>45936</v>
      </c>
      <c r="B747">
        <v>1</v>
      </c>
      <c r="D747" t="s">
        <v>30</v>
      </c>
      <c r="E747" t="s">
        <v>40</v>
      </c>
      <c r="F747" t="s">
        <v>40</v>
      </c>
      <c r="H747" t="s">
        <v>52</v>
      </c>
      <c r="I747" t="s">
        <v>55</v>
      </c>
      <c r="K747">
        <v>120</v>
      </c>
      <c r="M747" s="45">
        <v>49582</v>
      </c>
      <c r="N747" s="45">
        <v>49582</v>
      </c>
      <c r="O747" s="45">
        <v>49582</v>
      </c>
      <c r="P747">
        <v>8390.977733491969</v>
      </c>
      <c r="V747">
        <v>1</v>
      </c>
      <c r="W747" t="s">
        <v>34</v>
      </c>
      <c r="Y747" t="s">
        <v>34</v>
      </c>
      <c r="Z747" t="s">
        <v>35</v>
      </c>
      <c r="AA747">
        <v>1</v>
      </c>
    </row>
    <row r="748" spans="1:27" x14ac:dyDescent="0.35">
      <c r="A748" s="45">
        <v>45936</v>
      </c>
      <c r="B748">
        <v>1</v>
      </c>
      <c r="D748" t="s">
        <v>30</v>
      </c>
      <c r="E748" t="s">
        <v>40</v>
      </c>
      <c r="F748" t="s">
        <v>40</v>
      </c>
      <c r="H748" t="s">
        <v>52</v>
      </c>
      <c r="I748" t="s">
        <v>55</v>
      </c>
      <c r="K748">
        <v>121</v>
      </c>
      <c r="M748" s="45">
        <v>49613</v>
      </c>
      <c r="N748" s="45">
        <v>49613</v>
      </c>
      <c r="O748" s="45">
        <v>49613</v>
      </c>
      <c r="P748">
        <v>8390.977733491969</v>
      </c>
      <c r="V748">
        <v>1</v>
      </c>
      <c r="W748" t="s">
        <v>34</v>
      </c>
      <c r="Y748" t="s">
        <v>34</v>
      </c>
      <c r="Z748" t="s">
        <v>35</v>
      </c>
      <c r="AA748">
        <v>1</v>
      </c>
    </row>
    <row r="749" spans="1:27" x14ac:dyDescent="0.35">
      <c r="A749" s="45">
        <v>45936</v>
      </c>
      <c r="B749">
        <v>1</v>
      </c>
      <c r="D749" t="s">
        <v>30</v>
      </c>
      <c r="E749" t="s">
        <v>40</v>
      </c>
      <c r="F749" t="s">
        <v>40</v>
      </c>
      <c r="H749" t="s">
        <v>52</v>
      </c>
      <c r="I749" t="s">
        <v>55</v>
      </c>
      <c r="K749">
        <v>122</v>
      </c>
      <c r="M749" s="45">
        <v>49643</v>
      </c>
      <c r="N749" s="45">
        <v>49643</v>
      </c>
      <c r="O749" s="45">
        <v>49643</v>
      </c>
      <c r="P749">
        <v>8390.977733491969</v>
      </c>
      <c r="V749">
        <v>1</v>
      </c>
      <c r="W749" t="s">
        <v>34</v>
      </c>
      <c r="Y749" t="s">
        <v>34</v>
      </c>
      <c r="Z749" t="s">
        <v>35</v>
      </c>
      <c r="AA749">
        <v>1</v>
      </c>
    </row>
    <row r="750" spans="1:27" x14ac:dyDescent="0.35">
      <c r="A750" s="45">
        <v>45936</v>
      </c>
      <c r="B750">
        <v>1</v>
      </c>
      <c r="D750" t="s">
        <v>30</v>
      </c>
      <c r="E750" t="s">
        <v>40</v>
      </c>
      <c r="F750" t="s">
        <v>40</v>
      </c>
      <c r="H750" t="s">
        <v>52</v>
      </c>
      <c r="I750" t="s">
        <v>55</v>
      </c>
      <c r="K750">
        <v>123</v>
      </c>
      <c r="M750" s="45">
        <v>49674</v>
      </c>
      <c r="N750" s="45">
        <v>49674</v>
      </c>
      <c r="O750" s="45">
        <v>49674</v>
      </c>
      <c r="P750">
        <v>8390.977733491969</v>
      </c>
      <c r="V750">
        <v>1</v>
      </c>
      <c r="W750" t="s">
        <v>34</v>
      </c>
      <c r="Y750" t="s">
        <v>34</v>
      </c>
      <c r="Z750" t="s">
        <v>35</v>
      </c>
      <c r="AA750">
        <v>1</v>
      </c>
    </row>
    <row r="751" spans="1:27" x14ac:dyDescent="0.35">
      <c r="A751" s="45">
        <v>45936</v>
      </c>
      <c r="B751">
        <v>1</v>
      </c>
      <c r="D751" t="s">
        <v>30</v>
      </c>
      <c r="E751" t="s">
        <v>40</v>
      </c>
      <c r="F751" t="s">
        <v>40</v>
      </c>
      <c r="H751" t="s">
        <v>52</v>
      </c>
      <c r="I751" t="s">
        <v>55</v>
      </c>
      <c r="K751">
        <v>124</v>
      </c>
      <c r="M751" s="45">
        <v>49705</v>
      </c>
      <c r="N751" s="45">
        <v>49705</v>
      </c>
      <c r="O751" s="45">
        <v>49705</v>
      </c>
      <c r="P751">
        <v>8390.977733491969</v>
      </c>
      <c r="V751">
        <v>1</v>
      </c>
      <c r="W751" t="s">
        <v>34</v>
      </c>
      <c r="Y751" t="s">
        <v>34</v>
      </c>
      <c r="Z751" t="s">
        <v>35</v>
      </c>
      <c r="AA751">
        <v>1</v>
      </c>
    </row>
    <row r="752" spans="1:27" x14ac:dyDescent="0.35">
      <c r="A752" s="45">
        <v>45936</v>
      </c>
      <c r="B752">
        <v>1</v>
      </c>
      <c r="D752" t="s">
        <v>30</v>
      </c>
      <c r="E752" t="s">
        <v>40</v>
      </c>
      <c r="F752" t="s">
        <v>40</v>
      </c>
      <c r="H752" t="s">
        <v>52</v>
      </c>
      <c r="I752" t="s">
        <v>55</v>
      </c>
      <c r="K752">
        <v>125</v>
      </c>
      <c r="M752" s="45">
        <v>49734</v>
      </c>
      <c r="N752" s="45">
        <v>49734</v>
      </c>
      <c r="O752" s="45">
        <v>49734</v>
      </c>
      <c r="P752">
        <v>8390.977733491969</v>
      </c>
      <c r="V752">
        <v>1</v>
      </c>
      <c r="W752" t="s">
        <v>34</v>
      </c>
      <c r="Y752" t="s">
        <v>34</v>
      </c>
      <c r="Z752" t="s">
        <v>35</v>
      </c>
      <c r="AA752">
        <v>1</v>
      </c>
    </row>
    <row r="753" spans="1:27" x14ac:dyDescent="0.35">
      <c r="A753" s="45">
        <v>45936</v>
      </c>
      <c r="B753">
        <v>1</v>
      </c>
      <c r="D753" t="s">
        <v>30</v>
      </c>
      <c r="E753" t="s">
        <v>40</v>
      </c>
      <c r="F753" t="s">
        <v>40</v>
      </c>
      <c r="H753" t="s">
        <v>52</v>
      </c>
      <c r="I753" t="s">
        <v>55</v>
      </c>
      <c r="K753">
        <v>126</v>
      </c>
      <c r="M753" s="45">
        <v>49765</v>
      </c>
      <c r="N753" s="45">
        <v>49765</v>
      </c>
      <c r="O753" s="45">
        <v>49765</v>
      </c>
      <c r="P753">
        <v>8390.977733491969</v>
      </c>
      <c r="V753">
        <v>1</v>
      </c>
      <c r="W753" t="s">
        <v>34</v>
      </c>
      <c r="Y753" t="s">
        <v>34</v>
      </c>
      <c r="Z753" t="s">
        <v>35</v>
      </c>
      <c r="AA753">
        <v>1</v>
      </c>
    </row>
    <row r="754" spans="1:27" x14ac:dyDescent="0.35">
      <c r="A754" s="45">
        <v>45936</v>
      </c>
      <c r="B754">
        <v>1</v>
      </c>
      <c r="D754" t="s">
        <v>30</v>
      </c>
      <c r="E754" t="s">
        <v>40</v>
      </c>
      <c r="F754" t="s">
        <v>40</v>
      </c>
      <c r="H754" t="s">
        <v>52</v>
      </c>
      <c r="I754" t="s">
        <v>55</v>
      </c>
      <c r="K754">
        <v>127</v>
      </c>
      <c r="M754" s="45">
        <v>49795</v>
      </c>
      <c r="N754" s="45">
        <v>49795</v>
      </c>
      <c r="O754" s="45">
        <v>49795</v>
      </c>
      <c r="P754">
        <v>104.6652334919691</v>
      </c>
      <c r="V754">
        <v>1</v>
      </c>
      <c r="W754" t="s">
        <v>34</v>
      </c>
      <c r="Y754" t="s">
        <v>34</v>
      </c>
      <c r="Z754" t="s">
        <v>35</v>
      </c>
      <c r="AA754">
        <v>1</v>
      </c>
    </row>
    <row r="755" spans="1:27" x14ac:dyDescent="0.35">
      <c r="A755" s="45">
        <v>45936</v>
      </c>
      <c r="B755">
        <v>1</v>
      </c>
      <c r="D755" t="s">
        <v>30</v>
      </c>
      <c r="E755" t="s">
        <v>40</v>
      </c>
      <c r="F755" t="s">
        <v>40</v>
      </c>
      <c r="H755" t="s">
        <v>52</v>
      </c>
      <c r="I755" t="s">
        <v>55</v>
      </c>
      <c r="K755">
        <v>128</v>
      </c>
      <c r="M755" s="45">
        <v>49826</v>
      </c>
      <c r="N755" s="45">
        <v>49826</v>
      </c>
      <c r="O755" s="45">
        <v>49826</v>
      </c>
      <c r="P755">
        <v>104.6652334919691</v>
      </c>
      <c r="V755">
        <v>1</v>
      </c>
      <c r="W755" t="s">
        <v>34</v>
      </c>
      <c r="Y755" t="s">
        <v>34</v>
      </c>
      <c r="Z755" t="s">
        <v>35</v>
      </c>
      <c r="AA755">
        <v>1</v>
      </c>
    </row>
    <row r="756" spans="1:27" x14ac:dyDescent="0.35">
      <c r="A756" s="45">
        <v>45936</v>
      </c>
      <c r="B756">
        <v>1</v>
      </c>
      <c r="D756" t="s">
        <v>30</v>
      </c>
      <c r="E756" t="s">
        <v>40</v>
      </c>
      <c r="F756" t="s">
        <v>40</v>
      </c>
      <c r="H756" t="s">
        <v>52</v>
      </c>
      <c r="I756" t="s">
        <v>55</v>
      </c>
      <c r="K756">
        <v>129</v>
      </c>
      <c r="M756" s="45">
        <v>49856</v>
      </c>
      <c r="N756" s="45">
        <v>49856</v>
      </c>
      <c r="O756" s="45">
        <v>49856</v>
      </c>
      <c r="P756">
        <v>104.6652334919691</v>
      </c>
      <c r="V756">
        <v>1</v>
      </c>
      <c r="W756" t="s">
        <v>34</v>
      </c>
      <c r="Y756" t="s">
        <v>34</v>
      </c>
      <c r="Z756" t="s">
        <v>35</v>
      </c>
      <c r="AA756">
        <v>1</v>
      </c>
    </row>
    <row r="757" spans="1:27" x14ac:dyDescent="0.35">
      <c r="A757" s="45">
        <v>45936</v>
      </c>
      <c r="B757">
        <v>1</v>
      </c>
      <c r="D757" t="s">
        <v>30</v>
      </c>
      <c r="E757" t="s">
        <v>40</v>
      </c>
      <c r="F757" t="s">
        <v>40</v>
      </c>
      <c r="H757" t="s">
        <v>52</v>
      </c>
      <c r="I757" t="s">
        <v>55</v>
      </c>
      <c r="K757">
        <v>130</v>
      </c>
      <c r="M757" s="45">
        <v>49887</v>
      </c>
      <c r="N757" s="45">
        <v>49887</v>
      </c>
      <c r="O757" s="45">
        <v>49887</v>
      </c>
      <c r="P757">
        <v>104.6652334919691</v>
      </c>
      <c r="V757">
        <v>1</v>
      </c>
      <c r="W757" t="s">
        <v>34</v>
      </c>
      <c r="Y757" t="s">
        <v>34</v>
      </c>
      <c r="Z757" t="s">
        <v>35</v>
      </c>
      <c r="AA757">
        <v>1</v>
      </c>
    </row>
    <row r="758" spans="1:27" x14ac:dyDescent="0.35">
      <c r="A758" s="45">
        <v>45936</v>
      </c>
      <c r="B758">
        <v>1</v>
      </c>
      <c r="D758" t="s">
        <v>30</v>
      </c>
      <c r="E758" t="s">
        <v>40</v>
      </c>
      <c r="F758" t="s">
        <v>40</v>
      </c>
      <c r="H758" t="s">
        <v>52</v>
      </c>
      <c r="I758" t="s">
        <v>55</v>
      </c>
      <c r="K758">
        <v>131</v>
      </c>
      <c r="M758" s="45">
        <v>49918</v>
      </c>
      <c r="N758" s="45">
        <v>49918</v>
      </c>
      <c r="O758" s="45">
        <v>49918</v>
      </c>
      <c r="P758">
        <v>104.6652334919691</v>
      </c>
      <c r="V758">
        <v>1</v>
      </c>
      <c r="W758" t="s">
        <v>34</v>
      </c>
      <c r="Y758" t="s">
        <v>34</v>
      </c>
      <c r="Z758" t="s">
        <v>35</v>
      </c>
      <c r="AA758">
        <v>1</v>
      </c>
    </row>
    <row r="759" spans="1:27" x14ac:dyDescent="0.35">
      <c r="A759" s="45">
        <v>45936</v>
      </c>
      <c r="B759">
        <v>1</v>
      </c>
      <c r="D759" t="s">
        <v>30</v>
      </c>
      <c r="E759" t="s">
        <v>40</v>
      </c>
      <c r="F759" t="s">
        <v>40</v>
      </c>
      <c r="H759" t="s">
        <v>52</v>
      </c>
      <c r="I759" t="s">
        <v>55</v>
      </c>
      <c r="K759">
        <v>132</v>
      </c>
      <c r="M759" s="45">
        <v>49948</v>
      </c>
      <c r="N759" s="45">
        <v>49948</v>
      </c>
      <c r="O759" s="45">
        <v>49948</v>
      </c>
      <c r="P759">
        <v>104.6652334919691</v>
      </c>
      <c r="V759">
        <v>1</v>
      </c>
      <c r="W759" t="s">
        <v>34</v>
      </c>
      <c r="Y759" t="s">
        <v>34</v>
      </c>
      <c r="Z759" t="s">
        <v>35</v>
      </c>
      <c r="AA759">
        <v>1</v>
      </c>
    </row>
    <row r="760" spans="1:27" x14ac:dyDescent="0.35">
      <c r="A760" s="45">
        <v>45936</v>
      </c>
      <c r="B760">
        <v>1</v>
      </c>
      <c r="D760" t="s">
        <v>30</v>
      </c>
      <c r="E760" t="s">
        <v>40</v>
      </c>
      <c r="F760" t="s">
        <v>40</v>
      </c>
      <c r="H760" t="s">
        <v>52</v>
      </c>
      <c r="I760" t="s">
        <v>55</v>
      </c>
      <c r="K760">
        <v>133</v>
      </c>
      <c r="M760" s="45">
        <v>49979</v>
      </c>
      <c r="N760" s="45">
        <v>49979</v>
      </c>
      <c r="O760" s="45">
        <v>49979</v>
      </c>
      <c r="P760">
        <v>104.6652334919691</v>
      </c>
      <c r="V760">
        <v>1</v>
      </c>
      <c r="W760" t="s">
        <v>34</v>
      </c>
      <c r="Y760" t="s">
        <v>34</v>
      </c>
      <c r="Z760" t="s">
        <v>35</v>
      </c>
      <c r="AA760">
        <v>1</v>
      </c>
    </row>
    <row r="761" spans="1:27" x14ac:dyDescent="0.35">
      <c r="A761" s="45">
        <v>45936</v>
      </c>
      <c r="B761">
        <v>1</v>
      </c>
      <c r="D761" t="s">
        <v>30</v>
      </c>
      <c r="E761" t="s">
        <v>40</v>
      </c>
      <c r="F761" t="s">
        <v>40</v>
      </c>
      <c r="H761" t="s">
        <v>52</v>
      </c>
      <c r="I761" t="s">
        <v>55</v>
      </c>
      <c r="K761">
        <v>134</v>
      </c>
      <c r="M761" s="45">
        <v>50009</v>
      </c>
      <c r="N761" s="45">
        <v>50009</v>
      </c>
      <c r="O761" s="45">
        <v>50009</v>
      </c>
      <c r="P761">
        <v>104.6652334919691</v>
      </c>
      <c r="V761">
        <v>1</v>
      </c>
      <c r="W761" t="s">
        <v>34</v>
      </c>
      <c r="Y761" t="s">
        <v>34</v>
      </c>
      <c r="Z761" t="s">
        <v>35</v>
      </c>
      <c r="AA761">
        <v>1</v>
      </c>
    </row>
    <row r="762" spans="1:27" x14ac:dyDescent="0.35">
      <c r="A762" s="45">
        <v>45936</v>
      </c>
      <c r="B762">
        <v>1</v>
      </c>
      <c r="D762" t="s">
        <v>30</v>
      </c>
      <c r="E762" t="s">
        <v>40</v>
      </c>
      <c r="F762" t="s">
        <v>40</v>
      </c>
      <c r="H762" t="s">
        <v>52</v>
      </c>
      <c r="I762" t="s">
        <v>55</v>
      </c>
      <c r="K762">
        <v>135</v>
      </c>
      <c r="M762" s="45">
        <v>50040</v>
      </c>
      <c r="N762" s="45">
        <v>50040</v>
      </c>
      <c r="O762" s="45">
        <v>50040</v>
      </c>
      <c r="P762">
        <v>104.6652334919691</v>
      </c>
      <c r="V762">
        <v>1</v>
      </c>
      <c r="W762" t="s">
        <v>34</v>
      </c>
      <c r="Y762" t="s">
        <v>34</v>
      </c>
      <c r="Z762" t="s">
        <v>35</v>
      </c>
      <c r="AA762">
        <v>1</v>
      </c>
    </row>
    <row r="763" spans="1:27" x14ac:dyDescent="0.35">
      <c r="A763" s="45">
        <v>45936</v>
      </c>
      <c r="B763">
        <v>1</v>
      </c>
      <c r="D763" t="s">
        <v>30</v>
      </c>
      <c r="E763" t="s">
        <v>40</v>
      </c>
      <c r="F763" t="s">
        <v>40</v>
      </c>
      <c r="H763" t="s">
        <v>52</v>
      </c>
      <c r="I763" t="s">
        <v>55</v>
      </c>
      <c r="K763">
        <v>136</v>
      </c>
      <c r="M763" s="45">
        <v>50071</v>
      </c>
      <c r="N763" s="45">
        <v>50071</v>
      </c>
      <c r="O763" s="45">
        <v>50071</v>
      </c>
      <c r="P763">
        <v>104.6652334919691</v>
      </c>
      <c r="V763">
        <v>1</v>
      </c>
      <c r="W763" t="s">
        <v>34</v>
      </c>
      <c r="Y763" t="s">
        <v>34</v>
      </c>
      <c r="Z763" t="s">
        <v>35</v>
      </c>
      <c r="AA763">
        <v>1</v>
      </c>
    </row>
    <row r="764" spans="1:27" x14ac:dyDescent="0.35">
      <c r="A764" s="45">
        <v>45936</v>
      </c>
      <c r="B764">
        <v>1</v>
      </c>
      <c r="D764" t="s">
        <v>30</v>
      </c>
      <c r="E764" t="s">
        <v>40</v>
      </c>
      <c r="F764" t="s">
        <v>40</v>
      </c>
      <c r="H764" t="s">
        <v>52</v>
      </c>
      <c r="I764" t="s">
        <v>55</v>
      </c>
      <c r="K764">
        <v>137</v>
      </c>
      <c r="M764" s="45">
        <v>50099</v>
      </c>
      <c r="N764" s="45">
        <v>50099</v>
      </c>
      <c r="O764" s="45">
        <v>50099</v>
      </c>
      <c r="P764">
        <v>104.6652334919691</v>
      </c>
      <c r="V764">
        <v>1</v>
      </c>
      <c r="W764" t="s">
        <v>34</v>
      </c>
      <c r="Y764" t="s">
        <v>34</v>
      </c>
      <c r="Z764" t="s">
        <v>35</v>
      </c>
      <c r="AA764">
        <v>1</v>
      </c>
    </row>
    <row r="765" spans="1:27" x14ac:dyDescent="0.35">
      <c r="A765" s="45">
        <v>45936</v>
      </c>
      <c r="B765">
        <v>1</v>
      </c>
      <c r="D765" t="s">
        <v>30</v>
      </c>
      <c r="E765" t="s">
        <v>40</v>
      </c>
      <c r="F765" t="s">
        <v>40</v>
      </c>
      <c r="H765" t="s">
        <v>52</v>
      </c>
      <c r="I765" t="s">
        <v>55</v>
      </c>
      <c r="K765">
        <v>138</v>
      </c>
      <c r="M765" s="45">
        <v>50130</v>
      </c>
      <c r="N765" s="45">
        <v>50130</v>
      </c>
      <c r="O765" s="45">
        <v>50130</v>
      </c>
      <c r="P765">
        <v>104.6652334919691</v>
      </c>
      <c r="V765">
        <v>1</v>
      </c>
      <c r="W765" t="s">
        <v>34</v>
      </c>
      <c r="Y765" t="s">
        <v>34</v>
      </c>
      <c r="Z765" t="s">
        <v>35</v>
      </c>
      <c r="AA765">
        <v>1</v>
      </c>
    </row>
    <row r="766" spans="1:27" x14ac:dyDescent="0.35">
      <c r="A766" s="45">
        <v>45936</v>
      </c>
      <c r="B766">
        <v>1</v>
      </c>
      <c r="D766" t="s">
        <v>30</v>
      </c>
      <c r="E766" t="s">
        <v>40</v>
      </c>
      <c r="F766" t="s">
        <v>40</v>
      </c>
      <c r="H766" t="s">
        <v>52</v>
      </c>
      <c r="I766" t="s">
        <v>55</v>
      </c>
      <c r="K766">
        <v>139</v>
      </c>
      <c r="M766" s="45">
        <v>50160</v>
      </c>
      <c r="N766" s="45">
        <v>50160</v>
      </c>
      <c r="O766" s="45">
        <v>50160</v>
      </c>
      <c r="P766">
        <v>104.6652334919691</v>
      </c>
      <c r="V766">
        <v>1</v>
      </c>
      <c r="W766" t="s">
        <v>34</v>
      </c>
      <c r="Y766" t="s">
        <v>34</v>
      </c>
      <c r="Z766" t="s">
        <v>35</v>
      </c>
      <c r="AA766">
        <v>1</v>
      </c>
    </row>
    <row r="767" spans="1:27" x14ac:dyDescent="0.35">
      <c r="A767" s="45">
        <v>45936</v>
      </c>
      <c r="B767">
        <v>1</v>
      </c>
      <c r="D767" t="s">
        <v>30</v>
      </c>
      <c r="E767" t="s">
        <v>40</v>
      </c>
      <c r="F767" t="s">
        <v>40</v>
      </c>
      <c r="H767" t="s">
        <v>52</v>
      </c>
      <c r="I767" t="s">
        <v>55</v>
      </c>
      <c r="K767">
        <v>140</v>
      </c>
      <c r="M767" s="45">
        <v>50191</v>
      </c>
      <c r="N767" s="45">
        <v>50191</v>
      </c>
      <c r="O767" s="45">
        <v>50191</v>
      </c>
      <c r="P767">
        <v>104.6652334919691</v>
      </c>
      <c r="V767">
        <v>1</v>
      </c>
      <c r="W767" t="s">
        <v>34</v>
      </c>
      <c r="Y767" t="s">
        <v>34</v>
      </c>
      <c r="Z767" t="s">
        <v>35</v>
      </c>
      <c r="AA767">
        <v>1</v>
      </c>
    </row>
    <row r="768" spans="1:27" x14ac:dyDescent="0.35">
      <c r="A768" s="45">
        <v>45936</v>
      </c>
      <c r="B768">
        <v>1</v>
      </c>
      <c r="D768" t="s">
        <v>30</v>
      </c>
      <c r="E768" t="s">
        <v>40</v>
      </c>
      <c r="F768" t="s">
        <v>40</v>
      </c>
      <c r="H768" t="s">
        <v>52</v>
      </c>
      <c r="I768" t="s">
        <v>55</v>
      </c>
      <c r="K768">
        <v>141</v>
      </c>
      <c r="M768" s="45">
        <v>50221</v>
      </c>
      <c r="N768" s="45">
        <v>50221</v>
      </c>
      <c r="O768" s="45">
        <v>50221</v>
      </c>
      <c r="P768">
        <v>104.6652334919691</v>
      </c>
      <c r="V768">
        <v>1</v>
      </c>
      <c r="W768" t="s">
        <v>34</v>
      </c>
      <c r="Y768" t="s">
        <v>34</v>
      </c>
      <c r="Z768" t="s">
        <v>35</v>
      </c>
      <c r="AA768">
        <v>1</v>
      </c>
    </row>
    <row r="769" spans="1:27" x14ac:dyDescent="0.35">
      <c r="A769" s="45">
        <v>45936</v>
      </c>
      <c r="B769">
        <v>1</v>
      </c>
      <c r="D769" t="s">
        <v>30</v>
      </c>
      <c r="E769" t="s">
        <v>40</v>
      </c>
      <c r="F769" t="s">
        <v>40</v>
      </c>
      <c r="H769" t="s">
        <v>52</v>
      </c>
      <c r="I769" t="s">
        <v>55</v>
      </c>
      <c r="K769">
        <v>142</v>
      </c>
      <c r="M769" s="45">
        <v>50252</v>
      </c>
      <c r="N769" s="45">
        <v>50252</v>
      </c>
      <c r="O769" s="45">
        <v>50252</v>
      </c>
      <c r="P769">
        <v>104.6652334919691</v>
      </c>
      <c r="V769">
        <v>1</v>
      </c>
      <c r="W769" t="s">
        <v>34</v>
      </c>
      <c r="Y769" t="s">
        <v>34</v>
      </c>
      <c r="Z769" t="s">
        <v>35</v>
      </c>
      <c r="AA769">
        <v>1</v>
      </c>
    </row>
    <row r="770" spans="1:27" x14ac:dyDescent="0.35">
      <c r="A770" s="45">
        <v>45936</v>
      </c>
      <c r="B770">
        <v>1</v>
      </c>
      <c r="D770" t="s">
        <v>30</v>
      </c>
      <c r="E770" t="s">
        <v>40</v>
      </c>
      <c r="F770" t="s">
        <v>40</v>
      </c>
      <c r="H770" t="s">
        <v>52</v>
      </c>
      <c r="I770" t="s">
        <v>55</v>
      </c>
      <c r="K770">
        <v>143</v>
      </c>
      <c r="M770" s="45">
        <v>50283</v>
      </c>
      <c r="N770" s="45">
        <v>50283</v>
      </c>
      <c r="O770" s="45">
        <v>50283</v>
      </c>
      <c r="P770">
        <v>104.6652334919691</v>
      </c>
      <c r="V770">
        <v>1</v>
      </c>
      <c r="W770" t="s">
        <v>34</v>
      </c>
      <c r="Y770" t="s">
        <v>34</v>
      </c>
      <c r="Z770" t="s">
        <v>35</v>
      </c>
      <c r="AA770">
        <v>1</v>
      </c>
    </row>
    <row r="771" spans="1:27" x14ac:dyDescent="0.35">
      <c r="A771" s="45">
        <v>45936</v>
      </c>
      <c r="B771">
        <v>1</v>
      </c>
      <c r="D771" t="s">
        <v>30</v>
      </c>
      <c r="E771" t="s">
        <v>40</v>
      </c>
      <c r="F771" t="s">
        <v>40</v>
      </c>
      <c r="H771" t="s">
        <v>52</v>
      </c>
      <c r="I771" t="s">
        <v>55</v>
      </c>
      <c r="K771">
        <v>144</v>
      </c>
      <c r="M771" s="45">
        <v>50313</v>
      </c>
      <c r="N771" s="45">
        <v>50313</v>
      </c>
      <c r="O771" s="45">
        <v>50313</v>
      </c>
      <c r="P771">
        <v>104.6652334919691</v>
      </c>
      <c r="V771">
        <v>1</v>
      </c>
      <c r="W771" t="s">
        <v>34</v>
      </c>
      <c r="Y771" t="s">
        <v>34</v>
      </c>
      <c r="Z771" t="s">
        <v>35</v>
      </c>
      <c r="AA771">
        <v>1</v>
      </c>
    </row>
    <row r="772" spans="1:27" x14ac:dyDescent="0.35">
      <c r="A772" s="45">
        <v>45936</v>
      </c>
      <c r="B772">
        <v>1</v>
      </c>
      <c r="D772" t="s">
        <v>30</v>
      </c>
      <c r="E772" t="s">
        <v>40</v>
      </c>
      <c r="F772" t="s">
        <v>40</v>
      </c>
      <c r="H772" t="s">
        <v>52</v>
      </c>
      <c r="I772" t="s">
        <v>55</v>
      </c>
      <c r="K772">
        <v>145</v>
      </c>
      <c r="M772" s="45">
        <v>50344</v>
      </c>
      <c r="N772" s="45">
        <v>50344</v>
      </c>
      <c r="O772" s="45">
        <v>50344</v>
      </c>
      <c r="P772">
        <v>104.6652334919691</v>
      </c>
      <c r="V772">
        <v>1</v>
      </c>
      <c r="W772" t="s">
        <v>34</v>
      </c>
      <c r="Y772" t="s">
        <v>34</v>
      </c>
      <c r="Z772" t="s">
        <v>35</v>
      </c>
      <c r="AA772">
        <v>1</v>
      </c>
    </row>
    <row r="773" spans="1:27" x14ac:dyDescent="0.35">
      <c r="A773" s="45">
        <v>45936</v>
      </c>
      <c r="B773">
        <v>1</v>
      </c>
      <c r="D773" t="s">
        <v>30</v>
      </c>
      <c r="E773" t="s">
        <v>40</v>
      </c>
      <c r="F773" t="s">
        <v>40</v>
      </c>
      <c r="H773" t="s">
        <v>52</v>
      </c>
      <c r="I773" t="s">
        <v>55</v>
      </c>
      <c r="K773">
        <v>146</v>
      </c>
      <c r="M773" s="45">
        <v>50374</v>
      </c>
      <c r="N773" s="45">
        <v>50374</v>
      </c>
      <c r="O773" s="45">
        <v>50374</v>
      </c>
      <c r="P773">
        <v>104.6652334919691</v>
      </c>
      <c r="V773">
        <v>1</v>
      </c>
      <c r="W773" t="s">
        <v>34</v>
      </c>
      <c r="Y773" t="s">
        <v>34</v>
      </c>
      <c r="Z773" t="s">
        <v>35</v>
      </c>
      <c r="AA773">
        <v>1</v>
      </c>
    </row>
    <row r="774" spans="1:27" x14ac:dyDescent="0.35">
      <c r="A774" s="45">
        <v>45936</v>
      </c>
      <c r="B774">
        <v>1</v>
      </c>
      <c r="D774" t="s">
        <v>30</v>
      </c>
      <c r="E774" t="s">
        <v>40</v>
      </c>
      <c r="F774" t="s">
        <v>40</v>
      </c>
      <c r="H774" t="s">
        <v>52</v>
      </c>
      <c r="I774" t="s">
        <v>55</v>
      </c>
      <c r="K774">
        <v>147</v>
      </c>
      <c r="M774" s="45">
        <v>50405</v>
      </c>
      <c r="N774" s="45">
        <v>50405</v>
      </c>
      <c r="O774" s="45">
        <v>50405</v>
      </c>
      <c r="P774">
        <v>104.6652334919691</v>
      </c>
      <c r="V774">
        <v>1</v>
      </c>
      <c r="W774" t="s">
        <v>34</v>
      </c>
      <c r="Y774" t="s">
        <v>34</v>
      </c>
      <c r="Z774" t="s">
        <v>35</v>
      </c>
      <c r="AA774">
        <v>1</v>
      </c>
    </row>
    <row r="775" spans="1:27" x14ac:dyDescent="0.35">
      <c r="A775" s="45">
        <v>45936</v>
      </c>
      <c r="B775">
        <v>1</v>
      </c>
      <c r="D775" t="s">
        <v>30</v>
      </c>
      <c r="E775" t="s">
        <v>40</v>
      </c>
      <c r="F775" t="s">
        <v>40</v>
      </c>
      <c r="H775" t="s">
        <v>52</v>
      </c>
      <c r="I775" t="s">
        <v>55</v>
      </c>
      <c r="K775">
        <v>148</v>
      </c>
      <c r="M775" s="45">
        <v>50436</v>
      </c>
      <c r="N775" s="45">
        <v>50436</v>
      </c>
      <c r="O775" s="45">
        <v>50436</v>
      </c>
      <c r="P775">
        <v>104.6652334919691</v>
      </c>
      <c r="V775">
        <v>1</v>
      </c>
      <c r="W775" t="s">
        <v>34</v>
      </c>
      <c r="Y775" t="s">
        <v>34</v>
      </c>
      <c r="Z775" t="s">
        <v>35</v>
      </c>
      <c r="AA775">
        <v>1</v>
      </c>
    </row>
    <row r="776" spans="1:27" x14ac:dyDescent="0.35">
      <c r="A776" s="45">
        <v>45936</v>
      </c>
      <c r="B776">
        <v>1</v>
      </c>
      <c r="D776" t="s">
        <v>30</v>
      </c>
      <c r="E776" t="s">
        <v>40</v>
      </c>
      <c r="F776" t="s">
        <v>40</v>
      </c>
      <c r="H776" t="s">
        <v>52</v>
      </c>
      <c r="I776" t="s">
        <v>55</v>
      </c>
      <c r="K776">
        <v>149</v>
      </c>
      <c r="M776" s="45">
        <v>50464</v>
      </c>
      <c r="N776" s="45">
        <v>50464</v>
      </c>
      <c r="O776" s="45">
        <v>50464</v>
      </c>
      <c r="P776">
        <v>104.6652334919691</v>
      </c>
      <c r="V776">
        <v>1</v>
      </c>
      <c r="W776" t="s">
        <v>34</v>
      </c>
      <c r="Y776" t="s">
        <v>34</v>
      </c>
      <c r="Z776" t="s">
        <v>35</v>
      </c>
      <c r="AA776">
        <v>1</v>
      </c>
    </row>
    <row r="777" spans="1:27" x14ac:dyDescent="0.35">
      <c r="A777" s="45">
        <v>45936</v>
      </c>
      <c r="B777">
        <v>1</v>
      </c>
      <c r="D777" t="s">
        <v>30</v>
      </c>
      <c r="E777" t="s">
        <v>40</v>
      </c>
      <c r="F777" t="s">
        <v>40</v>
      </c>
      <c r="H777" t="s">
        <v>52</v>
      </c>
      <c r="I777" t="s">
        <v>55</v>
      </c>
      <c r="K777">
        <v>150</v>
      </c>
      <c r="M777" s="45">
        <v>50495</v>
      </c>
      <c r="N777" s="45">
        <v>50495</v>
      </c>
      <c r="O777" s="45">
        <v>50495</v>
      </c>
      <c r="P777">
        <v>104.6652334919691</v>
      </c>
      <c r="V777">
        <v>1</v>
      </c>
      <c r="W777" t="s">
        <v>34</v>
      </c>
      <c r="Y777" t="s">
        <v>34</v>
      </c>
      <c r="Z777" t="s">
        <v>35</v>
      </c>
      <c r="AA777">
        <v>1</v>
      </c>
    </row>
    <row r="778" spans="1:27" x14ac:dyDescent="0.35">
      <c r="A778" s="45">
        <v>45936</v>
      </c>
      <c r="B778">
        <v>1</v>
      </c>
      <c r="D778" t="s">
        <v>30</v>
      </c>
      <c r="E778" t="s">
        <v>40</v>
      </c>
      <c r="F778" t="s">
        <v>40</v>
      </c>
      <c r="H778" t="s">
        <v>52</v>
      </c>
      <c r="I778" t="s">
        <v>55</v>
      </c>
      <c r="K778">
        <v>151</v>
      </c>
      <c r="M778" s="45">
        <v>50525</v>
      </c>
      <c r="N778" s="45">
        <v>50525</v>
      </c>
      <c r="O778" s="45">
        <v>50525</v>
      </c>
      <c r="P778">
        <v>104.6652334919691</v>
      </c>
      <c r="V778">
        <v>1</v>
      </c>
      <c r="W778" t="s">
        <v>34</v>
      </c>
      <c r="Y778" t="s">
        <v>34</v>
      </c>
      <c r="Z778" t="s">
        <v>35</v>
      </c>
      <c r="AA778">
        <v>1</v>
      </c>
    </row>
    <row r="779" spans="1:27" x14ac:dyDescent="0.35">
      <c r="A779" s="45">
        <v>45936</v>
      </c>
      <c r="B779">
        <v>1</v>
      </c>
      <c r="D779" t="s">
        <v>30</v>
      </c>
      <c r="E779" t="s">
        <v>40</v>
      </c>
      <c r="F779" t="s">
        <v>40</v>
      </c>
      <c r="H779" t="s">
        <v>52</v>
      </c>
      <c r="I779" t="s">
        <v>55</v>
      </c>
      <c r="K779">
        <v>152</v>
      </c>
      <c r="M779" s="45">
        <v>50556</v>
      </c>
      <c r="N779" s="45">
        <v>50556</v>
      </c>
      <c r="O779" s="45">
        <v>50556</v>
      </c>
      <c r="P779">
        <v>104.6652334919691</v>
      </c>
      <c r="V779">
        <v>1</v>
      </c>
      <c r="W779" t="s">
        <v>34</v>
      </c>
      <c r="Y779" t="s">
        <v>34</v>
      </c>
      <c r="Z779" t="s">
        <v>35</v>
      </c>
      <c r="AA779">
        <v>1</v>
      </c>
    </row>
    <row r="780" spans="1:27" x14ac:dyDescent="0.35">
      <c r="A780" s="45">
        <v>45936</v>
      </c>
      <c r="B780">
        <v>1</v>
      </c>
      <c r="D780" t="s">
        <v>30</v>
      </c>
      <c r="E780" t="s">
        <v>40</v>
      </c>
      <c r="F780" t="s">
        <v>40</v>
      </c>
      <c r="H780" t="s">
        <v>52</v>
      </c>
      <c r="I780" t="s">
        <v>55</v>
      </c>
      <c r="K780">
        <v>153</v>
      </c>
      <c r="M780" s="45">
        <v>50586</v>
      </c>
      <c r="N780" s="45">
        <v>50586</v>
      </c>
      <c r="O780" s="45">
        <v>50586</v>
      </c>
      <c r="P780">
        <v>104.6652334919691</v>
      </c>
      <c r="V780">
        <v>1</v>
      </c>
      <c r="W780" t="s">
        <v>34</v>
      </c>
      <c r="Y780" t="s">
        <v>34</v>
      </c>
      <c r="Z780" t="s">
        <v>35</v>
      </c>
      <c r="AA780">
        <v>1</v>
      </c>
    </row>
    <row r="781" spans="1:27" x14ac:dyDescent="0.35">
      <c r="A781" s="45">
        <v>45936</v>
      </c>
      <c r="B781">
        <v>1</v>
      </c>
      <c r="D781" t="s">
        <v>30</v>
      </c>
      <c r="E781" t="s">
        <v>40</v>
      </c>
      <c r="F781" t="s">
        <v>40</v>
      </c>
      <c r="H781" t="s">
        <v>52</v>
      </c>
      <c r="I781" t="s">
        <v>55</v>
      </c>
      <c r="K781">
        <v>154</v>
      </c>
      <c r="M781" s="45">
        <v>50617</v>
      </c>
      <c r="N781" s="45">
        <v>50617</v>
      </c>
      <c r="O781" s="45">
        <v>50617</v>
      </c>
      <c r="P781">
        <v>104.6652334919691</v>
      </c>
      <c r="V781">
        <v>1</v>
      </c>
      <c r="W781" t="s">
        <v>34</v>
      </c>
      <c r="Y781" t="s">
        <v>34</v>
      </c>
      <c r="Z781" t="s">
        <v>35</v>
      </c>
      <c r="AA781">
        <v>1</v>
      </c>
    </row>
    <row r="782" spans="1:27" x14ac:dyDescent="0.35">
      <c r="A782" s="45">
        <v>45936</v>
      </c>
      <c r="B782">
        <v>1</v>
      </c>
      <c r="D782" t="s">
        <v>30</v>
      </c>
      <c r="E782" t="s">
        <v>40</v>
      </c>
      <c r="F782" t="s">
        <v>40</v>
      </c>
      <c r="H782" t="s">
        <v>52</v>
      </c>
      <c r="I782" t="s">
        <v>55</v>
      </c>
      <c r="K782">
        <v>155</v>
      </c>
      <c r="M782" s="45">
        <v>50648</v>
      </c>
      <c r="N782" s="45">
        <v>50648</v>
      </c>
      <c r="O782" s="45">
        <v>50648</v>
      </c>
      <c r="P782">
        <v>104.6652334919691</v>
      </c>
      <c r="V782">
        <v>1</v>
      </c>
      <c r="W782" t="s">
        <v>34</v>
      </c>
      <c r="Y782" t="s">
        <v>34</v>
      </c>
      <c r="Z782" t="s">
        <v>35</v>
      </c>
      <c r="AA782">
        <v>1</v>
      </c>
    </row>
    <row r="783" spans="1:27" x14ac:dyDescent="0.35">
      <c r="A783" s="45">
        <v>45936</v>
      </c>
      <c r="B783">
        <v>1</v>
      </c>
      <c r="D783" t="s">
        <v>30</v>
      </c>
      <c r="E783" t="s">
        <v>40</v>
      </c>
      <c r="F783" t="s">
        <v>40</v>
      </c>
      <c r="H783" t="s">
        <v>52</v>
      </c>
      <c r="I783" t="s">
        <v>55</v>
      </c>
      <c r="K783">
        <v>156</v>
      </c>
      <c r="M783" s="45">
        <v>50678</v>
      </c>
      <c r="N783" s="45">
        <v>50678</v>
      </c>
      <c r="O783" s="45">
        <v>50678</v>
      </c>
      <c r="P783">
        <v>104.6652334919691</v>
      </c>
      <c r="V783">
        <v>1</v>
      </c>
      <c r="W783" t="s">
        <v>34</v>
      </c>
      <c r="Y783" t="s">
        <v>34</v>
      </c>
      <c r="Z783" t="s">
        <v>35</v>
      </c>
      <c r="AA783">
        <v>1</v>
      </c>
    </row>
    <row r="784" spans="1:27" x14ac:dyDescent="0.35">
      <c r="A784" s="45">
        <v>45936</v>
      </c>
      <c r="B784">
        <v>1</v>
      </c>
      <c r="D784" t="s">
        <v>30</v>
      </c>
      <c r="E784" t="s">
        <v>40</v>
      </c>
      <c r="F784" t="s">
        <v>40</v>
      </c>
      <c r="H784" t="s">
        <v>52</v>
      </c>
      <c r="I784" t="s">
        <v>55</v>
      </c>
      <c r="K784">
        <v>157</v>
      </c>
      <c r="M784" s="45">
        <v>50709</v>
      </c>
      <c r="N784" s="45">
        <v>50709</v>
      </c>
      <c r="O784" s="45">
        <v>50709</v>
      </c>
      <c r="P784">
        <v>104.6652334919691</v>
      </c>
      <c r="V784">
        <v>1</v>
      </c>
      <c r="W784" t="s">
        <v>34</v>
      </c>
      <c r="Y784" t="s">
        <v>34</v>
      </c>
      <c r="Z784" t="s">
        <v>35</v>
      </c>
      <c r="AA784">
        <v>1</v>
      </c>
    </row>
    <row r="785" spans="1:27" x14ac:dyDescent="0.35">
      <c r="A785" s="45">
        <v>45936</v>
      </c>
      <c r="B785">
        <v>1</v>
      </c>
      <c r="D785" t="s">
        <v>30</v>
      </c>
      <c r="E785" t="s">
        <v>40</v>
      </c>
      <c r="F785" t="s">
        <v>40</v>
      </c>
      <c r="H785" t="s">
        <v>52</v>
      </c>
      <c r="I785" t="s">
        <v>55</v>
      </c>
      <c r="K785">
        <v>158</v>
      </c>
      <c r="M785" s="45">
        <v>50739</v>
      </c>
      <c r="N785" s="45">
        <v>50739</v>
      </c>
      <c r="O785" s="45">
        <v>50739</v>
      </c>
      <c r="P785">
        <v>104.6652334919691</v>
      </c>
      <c r="V785">
        <v>1</v>
      </c>
      <c r="W785" t="s">
        <v>34</v>
      </c>
      <c r="Y785" t="s">
        <v>34</v>
      </c>
      <c r="Z785" t="s">
        <v>35</v>
      </c>
      <c r="AA785">
        <v>1</v>
      </c>
    </row>
    <row r="786" spans="1:27" x14ac:dyDescent="0.35">
      <c r="A786" s="45">
        <v>45936</v>
      </c>
      <c r="B786">
        <v>1</v>
      </c>
      <c r="D786" t="s">
        <v>30</v>
      </c>
      <c r="E786" t="s">
        <v>40</v>
      </c>
      <c r="F786" t="s">
        <v>40</v>
      </c>
      <c r="H786" t="s">
        <v>52</v>
      </c>
      <c r="I786" t="s">
        <v>55</v>
      </c>
      <c r="K786">
        <v>159</v>
      </c>
      <c r="M786" s="45">
        <v>50770</v>
      </c>
      <c r="N786" s="45">
        <v>50770</v>
      </c>
      <c r="O786" s="45">
        <v>50770</v>
      </c>
      <c r="P786">
        <v>104.6652334919691</v>
      </c>
      <c r="V786">
        <v>1</v>
      </c>
      <c r="W786" t="s">
        <v>34</v>
      </c>
      <c r="Y786" t="s">
        <v>34</v>
      </c>
      <c r="Z786" t="s">
        <v>35</v>
      </c>
      <c r="AA786">
        <v>1</v>
      </c>
    </row>
    <row r="787" spans="1:27" x14ac:dyDescent="0.35">
      <c r="A787" s="45">
        <v>45936</v>
      </c>
      <c r="B787">
        <v>1</v>
      </c>
      <c r="D787" t="s">
        <v>30</v>
      </c>
      <c r="E787" t="s">
        <v>40</v>
      </c>
      <c r="F787" t="s">
        <v>40</v>
      </c>
      <c r="H787" t="s">
        <v>52</v>
      </c>
      <c r="I787" t="s">
        <v>55</v>
      </c>
      <c r="K787">
        <v>160</v>
      </c>
      <c r="M787" s="45">
        <v>50801</v>
      </c>
      <c r="N787" s="45">
        <v>50801</v>
      </c>
      <c r="O787" s="45">
        <v>50801</v>
      </c>
      <c r="P787">
        <v>104.6652334919691</v>
      </c>
      <c r="V787">
        <v>1</v>
      </c>
      <c r="W787" t="s">
        <v>34</v>
      </c>
      <c r="Y787" t="s">
        <v>34</v>
      </c>
      <c r="Z787" t="s">
        <v>35</v>
      </c>
      <c r="AA787">
        <v>1</v>
      </c>
    </row>
    <row r="788" spans="1:27" x14ac:dyDescent="0.35">
      <c r="A788" s="45">
        <v>45936</v>
      </c>
      <c r="B788">
        <v>1</v>
      </c>
      <c r="D788" t="s">
        <v>30</v>
      </c>
      <c r="E788" t="s">
        <v>40</v>
      </c>
      <c r="F788" t="s">
        <v>40</v>
      </c>
      <c r="H788" t="s">
        <v>52</v>
      </c>
      <c r="I788" t="s">
        <v>55</v>
      </c>
      <c r="K788">
        <v>161</v>
      </c>
      <c r="M788" s="45">
        <v>50829</v>
      </c>
      <c r="N788" s="45">
        <v>50829</v>
      </c>
      <c r="O788" s="45">
        <v>50829</v>
      </c>
      <c r="P788">
        <v>104.6652334919691</v>
      </c>
      <c r="V788">
        <v>1</v>
      </c>
      <c r="W788" t="s">
        <v>34</v>
      </c>
      <c r="Y788" t="s">
        <v>34</v>
      </c>
      <c r="Z788" t="s">
        <v>35</v>
      </c>
      <c r="AA788">
        <v>1</v>
      </c>
    </row>
    <row r="789" spans="1:27" x14ac:dyDescent="0.35">
      <c r="A789" s="45">
        <v>45936</v>
      </c>
      <c r="B789">
        <v>1</v>
      </c>
      <c r="D789" t="s">
        <v>30</v>
      </c>
      <c r="E789" t="s">
        <v>40</v>
      </c>
      <c r="F789" t="s">
        <v>40</v>
      </c>
      <c r="H789" t="s">
        <v>52</v>
      </c>
      <c r="I789" t="s">
        <v>55</v>
      </c>
      <c r="K789">
        <v>162</v>
      </c>
      <c r="M789" s="45">
        <v>50860</v>
      </c>
      <c r="N789" s="45">
        <v>50860</v>
      </c>
      <c r="O789" s="45">
        <v>50860</v>
      </c>
      <c r="P789">
        <v>104.6652334919691</v>
      </c>
      <c r="V789">
        <v>1</v>
      </c>
      <c r="W789" t="s">
        <v>34</v>
      </c>
      <c r="Y789" t="s">
        <v>34</v>
      </c>
      <c r="Z789" t="s">
        <v>35</v>
      </c>
      <c r="AA789">
        <v>1</v>
      </c>
    </row>
    <row r="790" spans="1:27" x14ac:dyDescent="0.35">
      <c r="A790" s="45">
        <v>45936</v>
      </c>
      <c r="B790">
        <v>1</v>
      </c>
      <c r="D790" t="s">
        <v>30</v>
      </c>
      <c r="E790" t="s">
        <v>40</v>
      </c>
      <c r="F790" t="s">
        <v>40</v>
      </c>
      <c r="H790" t="s">
        <v>52</v>
      </c>
      <c r="I790" t="s">
        <v>55</v>
      </c>
      <c r="K790">
        <v>163</v>
      </c>
      <c r="M790" s="45">
        <v>50890</v>
      </c>
      <c r="N790" s="45">
        <v>50890</v>
      </c>
      <c r="O790" s="45">
        <v>50890</v>
      </c>
      <c r="P790">
        <v>104.6652334919691</v>
      </c>
      <c r="V790">
        <v>1</v>
      </c>
      <c r="W790" t="s">
        <v>34</v>
      </c>
      <c r="Y790" t="s">
        <v>34</v>
      </c>
      <c r="Z790" t="s">
        <v>35</v>
      </c>
      <c r="AA790">
        <v>1</v>
      </c>
    </row>
    <row r="791" spans="1:27" x14ac:dyDescent="0.35">
      <c r="A791" s="45">
        <v>45936</v>
      </c>
      <c r="B791">
        <v>1</v>
      </c>
      <c r="D791" t="s">
        <v>30</v>
      </c>
      <c r="E791" t="s">
        <v>40</v>
      </c>
      <c r="F791" t="s">
        <v>40</v>
      </c>
      <c r="H791" t="s">
        <v>52</v>
      </c>
      <c r="I791" t="s">
        <v>55</v>
      </c>
      <c r="K791">
        <v>164</v>
      </c>
      <c r="M791" s="45">
        <v>50921</v>
      </c>
      <c r="N791" s="45">
        <v>50921</v>
      </c>
      <c r="O791" s="45">
        <v>50921</v>
      </c>
      <c r="P791">
        <v>104.6652334919691</v>
      </c>
      <c r="V791">
        <v>1</v>
      </c>
      <c r="W791" t="s">
        <v>34</v>
      </c>
      <c r="Y791" t="s">
        <v>34</v>
      </c>
      <c r="Z791" t="s">
        <v>35</v>
      </c>
      <c r="AA791">
        <v>1</v>
      </c>
    </row>
    <row r="792" spans="1:27" x14ac:dyDescent="0.35">
      <c r="A792" s="45">
        <v>45936</v>
      </c>
      <c r="B792">
        <v>1</v>
      </c>
      <c r="D792" t="s">
        <v>30</v>
      </c>
      <c r="E792" t="s">
        <v>40</v>
      </c>
      <c r="F792" t="s">
        <v>40</v>
      </c>
      <c r="H792" t="s">
        <v>52</v>
      </c>
      <c r="I792" t="s">
        <v>55</v>
      </c>
      <c r="K792">
        <v>165</v>
      </c>
      <c r="M792" s="45">
        <v>50951</v>
      </c>
      <c r="N792" s="45">
        <v>50951</v>
      </c>
      <c r="O792" s="45">
        <v>50951</v>
      </c>
      <c r="P792">
        <v>104.6652334919691</v>
      </c>
      <c r="V792">
        <v>1</v>
      </c>
      <c r="W792" t="s">
        <v>34</v>
      </c>
      <c r="Y792" t="s">
        <v>34</v>
      </c>
      <c r="Z792" t="s">
        <v>35</v>
      </c>
      <c r="AA792">
        <v>1</v>
      </c>
    </row>
    <row r="793" spans="1:27" x14ac:dyDescent="0.35">
      <c r="A793" s="45">
        <v>45936</v>
      </c>
      <c r="B793">
        <v>1</v>
      </c>
      <c r="D793" t="s">
        <v>30</v>
      </c>
      <c r="E793" t="s">
        <v>40</v>
      </c>
      <c r="F793" t="s">
        <v>40</v>
      </c>
      <c r="H793" t="s">
        <v>52</v>
      </c>
      <c r="I793" t="s">
        <v>55</v>
      </c>
      <c r="K793">
        <v>166</v>
      </c>
      <c r="M793" s="45">
        <v>50982</v>
      </c>
      <c r="N793" s="45">
        <v>50982</v>
      </c>
      <c r="O793" s="45">
        <v>50982</v>
      </c>
      <c r="P793">
        <v>104.6652334919691</v>
      </c>
      <c r="V793">
        <v>1</v>
      </c>
      <c r="W793" t="s">
        <v>34</v>
      </c>
      <c r="Y793" t="s">
        <v>34</v>
      </c>
      <c r="Z793" t="s">
        <v>35</v>
      </c>
      <c r="AA793">
        <v>1</v>
      </c>
    </row>
    <row r="794" spans="1:27" x14ac:dyDescent="0.35">
      <c r="A794" s="45">
        <v>45936</v>
      </c>
      <c r="B794">
        <v>1</v>
      </c>
      <c r="D794" t="s">
        <v>30</v>
      </c>
      <c r="E794" t="s">
        <v>40</v>
      </c>
      <c r="F794" t="s">
        <v>40</v>
      </c>
      <c r="H794" t="s">
        <v>52</v>
      </c>
      <c r="I794" t="s">
        <v>55</v>
      </c>
      <c r="K794">
        <v>167</v>
      </c>
      <c r="M794" s="45">
        <v>51013</v>
      </c>
      <c r="N794" s="45">
        <v>51013</v>
      </c>
      <c r="O794" s="45">
        <v>51013</v>
      </c>
      <c r="P794">
        <v>104.6652334919691</v>
      </c>
      <c r="V794">
        <v>1</v>
      </c>
      <c r="W794" t="s">
        <v>34</v>
      </c>
      <c r="Y794" t="s">
        <v>34</v>
      </c>
      <c r="Z794" t="s">
        <v>35</v>
      </c>
      <c r="AA794">
        <v>1</v>
      </c>
    </row>
    <row r="795" spans="1:27" x14ac:dyDescent="0.35">
      <c r="A795" s="45">
        <v>45936</v>
      </c>
      <c r="B795">
        <v>1</v>
      </c>
      <c r="D795" t="s">
        <v>30</v>
      </c>
      <c r="E795" t="s">
        <v>40</v>
      </c>
      <c r="F795" t="s">
        <v>40</v>
      </c>
      <c r="H795" t="s">
        <v>52</v>
      </c>
      <c r="I795" t="s">
        <v>55</v>
      </c>
      <c r="K795">
        <v>168</v>
      </c>
      <c r="M795" s="45">
        <v>51043</v>
      </c>
      <c r="N795" s="45">
        <v>51043</v>
      </c>
      <c r="O795" s="45">
        <v>51043</v>
      </c>
      <c r="P795">
        <v>104.6652334919691</v>
      </c>
      <c r="V795">
        <v>1</v>
      </c>
      <c r="W795" t="s">
        <v>34</v>
      </c>
      <c r="Y795" t="s">
        <v>34</v>
      </c>
      <c r="Z795" t="s">
        <v>35</v>
      </c>
      <c r="AA795">
        <v>1</v>
      </c>
    </row>
    <row r="796" spans="1:27" x14ac:dyDescent="0.35">
      <c r="A796" s="45">
        <v>45936</v>
      </c>
      <c r="B796">
        <v>1</v>
      </c>
      <c r="D796" t="s">
        <v>30</v>
      </c>
      <c r="E796" t="s">
        <v>40</v>
      </c>
      <c r="F796" t="s">
        <v>40</v>
      </c>
      <c r="H796" t="s">
        <v>52</v>
      </c>
      <c r="I796" t="s">
        <v>55</v>
      </c>
      <c r="K796">
        <v>169</v>
      </c>
      <c r="M796" s="45">
        <v>51074</v>
      </c>
      <c r="N796" s="45">
        <v>51074</v>
      </c>
      <c r="O796" s="45">
        <v>51074</v>
      </c>
      <c r="P796">
        <v>104.6652334919691</v>
      </c>
      <c r="V796">
        <v>1</v>
      </c>
      <c r="W796" t="s">
        <v>34</v>
      </c>
      <c r="Y796" t="s">
        <v>34</v>
      </c>
      <c r="Z796" t="s">
        <v>35</v>
      </c>
      <c r="AA796">
        <v>1</v>
      </c>
    </row>
    <row r="797" spans="1:27" x14ac:dyDescent="0.35">
      <c r="A797" s="45">
        <v>45936</v>
      </c>
      <c r="B797">
        <v>1</v>
      </c>
      <c r="D797" t="s">
        <v>30</v>
      </c>
      <c r="E797" t="s">
        <v>40</v>
      </c>
      <c r="F797" t="s">
        <v>40</v>
      </c>
      <c r="H797" t="s">
        <v>52</v>
      </c>
      <c r="I797" t="s">
        <v>55</v>
      </c>
      <c r="K797">
        <v>170</v>
      </c>
      <c r="M797" s="45">
        <v>51104</v>
      </c>
      <c r="N797" s="45">
        <v>51104</v>
      </c>
      <c r="O797" s="45">
        <v>51104</v>
      </c>
      <c r="P797">
        <v>104.6652334919691</v>
      </c>
      <c r="V797">
        <v>1</v>
      </c>
      <c r="W797" t="s">
        <v>34</v>
      </c>
      <c r="Y797" t="s">
        <v>34</v>
      </c>
      <c r="Z797" t="s">
        <v>35</v>
      </c>
      <c r="AA797">
        <v>1</v>
      </c>
    </row>
    <row r="798" spans="1:27" x14ac:dyDescent="0.35">
      <c r="A798" s="45">
        <v>45936</v>
      </c>
      <c r="B798">
        <v>1</v>
      </c>
      <c r="D798" t="s">
        <v>30</v>
      </c>
      <c r="E798" t="s">
        <v>40</v>
      </c>
      <c r="F798" t="s">
        <v>40</v>
      </c>
      <c r="H798" t="s">
        <v>52</v>
      </c>
      <c r="I798" t="s">
        <v>55</v>
      </c>
      <c r="K798">
        <v>171</v>
      </c>
      <c r="M798" s="45">
        <v>51135</v>
      </c>
      <c r="N798" s="45">
        <v>51135</v>
      </c>
      <c r="O798" s="45">
        <v>51135</v>
      </c>
      <c r="P798">
        <v>104.6652334919691</v>
      </c>
      <c r="V798">
        <v>1</v>
      </c>
      <c r="W798" t="s">
        <v>34</v>
      </c>
      <c r="Y798" t="s">
        <v>34</v>
      </c>
      <c r="Z798" t="s">
        <v>35</v>
      </c>
      <c r="AA798">
        <v>1</v>
      </c>
    </row>
    <row r="799" spans="1:27" x14ac:dyDescent="0.35">
      <c r="A799" s="45">
        <v>45936</v>
      </c>
      <c r="B799">
        <v>1</v>
      </c>
      <c r="D799" t="s">
        <v>30</v>
      </c>
      <c r="E799" t="s">
        <v>40</v>
      </c>
      <c r="F799" t="s">
        <v>40</v>
      </c>
      <c r="H799" t="s">
        <v>52</v>
      </c>
      <c r="I799" t="s">
        <v>55</v>
      </c>
      <c r="K799">
        <v>172</v>
      </c>
      <c r="M799" s="45">
        <v>51166</v>
      </c>
      <c r="N799" s="45">
        <v>51166</v>
      </c>
      <c r="O799" s="45">
        <v>51166</v>
      </c>
      <c r="P799">
        <v>104.6652334919691</v>
      </c>
      <c r="V799">
        <v>1</v>
      </c>
      <c r="W799" t="s">
        <v>34</v>
      </c>
      <c r="Y799" t="s">
        <v>34</v>
      </c>
      <c r="Z799" t="s">
        <v>35</v>
      </c>
      <c r="AA799">
        <v>1</v>
      </c>
    </row>
    <row r="800" spans="1:27" x14ac:dyDescent="0.35">
      <c r="A800" s="45">
        <v>45936</v>
      </c>
      <c r="B800">
        <v>1</v>
      </c>
      <c r="D800" t="s">
        <v>30</v>
      </c>
      <c r="E800" t="s">
        <v>40</v>
      </c>
      <c r="F800" t="s">
        <v>40</v>
      </c>
      <c r="H800" t="s">
        <v>52</v>
      </c>
      <c r="I800" t="s">
        <v>55</v>
      </c>
      <c r="K800">
        <v>173</v>
      </c>
      <c r="M800" s="45">
        <v>51195</v>
      </c>
      <c r="N800" s="45">
        <v>51195</v>
      </c>
      <c r="O800" s="45">
        <v>51195</v>
      </c>
      <c r="P800">
        <v>104.6652334919691</v>
      </c>
      <c r="V800">
        <v>1</v>
      </c>
      <c r="W800" t="s">
        <v>34</v>
      </c>
      <c r="Y800" t="s">
        <v>34</v>
      </c>
      <c r="Z800" t="s">
        <v>35</v>
      </c>
      <c r="AA800">
        <v>1</v>
      </c>
    </row>
    <row r="801" spans="1:27" x14ac:dyDescent="0.35">
      <c r="A801" s="45">
        <v>45936</v>
      </c>
      <c r="B801">
        <v>1</v>
      </c>
      <c r="D801" t="s">
        <v>30</v>
      </c>
      <c r="E801" t="s">
        <v>40</v>
      </c>
      <c r="F801" t="s">
        <v>40</v>
      </c>
      <c r="H801" t="s">
        <v>52</v>
      </c>
      <c r="I801" t="s">
        <v>55</v>
      </c>
      <c r="K801">
        <v>174</v>
      </c>
      <c r="M801" s="45">
        <v>51226</v>
      </c>
      <c r="N801" s="45">
        <v>51226</v>
      </c>
      <c r="O801" s="45">
        <v>51226</v>
      </c>
      <c r="P801">
        <v>104.6652334919691</v>
      </c>
      <c r="V801">
        <v>1</v>
      </c>
      <c r="W801" t="s">
        <v>34</v>
      </c>
      <c r="Y801" t="s">
        <v>34</v>
      </c>
      <c r="Z801" t="s">
        <v>35</v>
      </c>
      <c r="AA801">
        <v>1</v>
      </c>
    </row>
    <row r="802" spans="1:27" x14ac:dyDescent="0.35">
      <c r="A802" s="45">
        <v>45936</v>
      </c>
      <c r="B802">
        <v>1</v>
      </c>
      <c r="D802" t="s">
        <v>30</v>
      </c>
      <c r="E802" t="s">
        <v>40</v>
      </c>
      <c r="F802" t="s">
        <v>40</v>
      </c>
      <c r="H802" t="s">
        <v>52</v>
      </c>
      <c r="I802" t="s">
        <v>55</v>
      </c>
      <c r="K802">
        <v>175</v>
      </c>
      <c r="M802" s="45">
        <v>51256</v>
      </c>
      <c r="N802" s="45">
        <v>51256</v>
      </c>
      <c r="O802" s="45">
        <v>51256</v>
      </c>
      <c r="P802">
        <v>104.6652334919691</v>
      </c>
      <c r="V802">
        <v>1</v>
      </c>
      <c r="W802" t="s">
        <v>34</v>
      </c>
      <c r="Y802" t="s">
        <v>34</v>
      </c>
      <c r="Z802" t="s">
        <v>35</v>
      </c>
      <c r="AA802">
        <v>1</v>
      </c>
    </row>
    <row r="803" spans="1:27" x14ac:dyDescent="0.35">
      <c r="A803" s="45">
        <v>45936</v>
      </c>
      <c r="B803">
        <v>1</v>
      </c>
      <c r="D803" t="s">
        <v>30</v>
      </c>
      <c r="E803" t="s">
        <v>40</v>
      </c>
      <c r="F803" t="s">
        <v>40</v>
      </c>
      <c r="H803" t="s">
        <v>52</v>
      </c>
      <c r="I803" t="s">
        <v>55</v>
      </c>
      <c r="K803">
        <v>176</v>
      </c>
      <c r="M803" s="45">
        <v>51287</v>
      </c>
      <c r="N803" s="45">
        <v>51287</v>
      </c>
      <c r="O803" s="45">
        <v>51287</v>
      </c>
      <c r="P803">
        <v>104.6652334919691</v>
      </c>
      <c r="V803">
        <v>1</v>
      </c>
      <c r="W803" t="s">
        <v>34</v>
      </c>
      <c r="Y803" t="s">
        <v>34</v>
      </c>
      <c r="Z803" t="s">
        <v>35</v>
      </c>
      <c r="AA803">
        <v>1</v>
      </c>
    </row>
    <row r="804" spans="1:27" x14ac:dyDescent="0.35">
      <c r="A804" s="45">
        <v>45936</v>
      </c>
      <c r="B804">
        <v>1</v>
      </c>
      <c r="D804" t="s">
        <v>30</v>
      </c>
      <c r="E804" t="s">
        <v>40</v>
      </c>
      <c r="F804" t="s">
        <v>40</v>
      </c>
      <c r="H804" t="s">
        <v>52</v>
      </c>
      <c r="I804" t="s">
        <v>55</v>
      </c>
      <c r="K804">
        <v>177</v>
      </c>
      <c r="M804" s="45">
        <v>51317</v>
      </c>
      <c r="N804" s="45">
        <v>51317</v>
      </c>
      <c r="O804" s="45">
        <v>51317</v>
      </c>
      <c r="P804">
        <v>104.6652334919691</v>
      </c>
      <c r="V804">
        <v>1</v>
      </c>
      <c r="W804" t="s">
        <v>34</v>
      </c>
      <c r="Y804" t="s">
        <v>34</v>
      </c>
      <c r="Z804" t="s">
        <v>35</v>
      </c>
      <c r="AA804">
        <v>1</v>
      </c>
    </row>
    <row r="805" spans="1:27" x14ac:dyDescent="0.35">
      <c r="A805" s="45">
        <v>45936</v>
      </c>
      <c r="B805">
        <v>1</v>
      </c>
      <c r="D805" t="s">
        <v>30</v>
      </c>
      <c r="E805" t="s">
        <v>40</v>
      </c>
      <c r="F805" t="s">
        <v>40</v>
      </c>
      <c r="H805" t="s">
        <v>52</v>
      </c>
      <c r="I805" t="s">
        <v>55</v>
      </c>
      <c r="K805">
        <v>178</v>
      </c>
      <c r="M805" s="45">
        <v>51348</v>
      </c>
      <c r="N805" s="45">
        <v>51348</v>
      </c>
      <c r="O805" s="45">
        <v>51348</v>
      </c>
      <c r="P805">
        <v>104.6652334919691</v>
      </c>
      <c r="V805">
        <v>1</v>
      </c>
      <c r="W805" t="s">
        <v>34</v>
      </c>
      <c r="Y805" t="s">
        <v>34</v>
      </c>
      <c r="Z805" t="s">
        <v>35</v>
      </c>
      <c r="AA805">
        <v>1</v>
      </c>
    </row>
    <row r="806" spans="1:27" x14ac:dyDescent="0.35">
      <c r="A806" s="45">
        <v>45936</v>
      </c>
      <c r="B806">
        <v>1</v>
      </c>
      <c r="D806" t="s">
        <v>30</v>
      </c>
      <c r="E806" t="s">
        <v>40</v>
      </c>
      <c r="F806" t="s">
        <v>40</v>
      </c>
      <c r="H806" t="s">
        <v>52</v>
      </c>
      <c r="I806" t="s">
        <v>55</v>
      </c>
      <c r="K806">
        <v>179</v>
      </c>
      <c r="M806" s="45">
        <v>51379</v>
      </c>
      <c r="N806" s="45">
        <v>51379</v>
      </c>
      <c r="O806" s="45">
        <v>51379</v>
      </c>
      <c r="P806">
        <v>104.6652334919691</v>
      </c>
      <c r="V806">
        <v>1</v>
      </c>
      <c r="W806" t="s">
        <v>34</v>
      </c>
      <c r="Y806" t="s">
        <v>34</v>
      </c>
      <c r="Z806" t="s">
        <v>35</v>
      </c>
      <c r="AA806">
        <v>1</v>
      </c>
    </row>
    <row r="807" spans="1:27" x14ac:dyDescent="0.35">
      <c r="A807" s="45">
        <v>45936</v>
      </c>
      <c r="B807">
        <v>1</v>
      </c>
      <c r="D807" t="s">
        <v>30</v>
      </c>
      <c r="E807" t="s">
        <v>40</v>
      </c>
      <c r="F807" t="s">
        <v>40</v>
      </c>
      <c r="H807" t="s">
        <v>52</v>
      </c>
      <c r="I807" t="s">
        <v>55</v>
      </c>
      <c r="K807">
        <v>180</v>
      </c>
      <c r="M807" s="45">
        <v>51409</v>
      </c>
      <c r="N807" s="45">
        <v>51409</v>
      </c>
      <c r="O807" s="45">
        <v>51409</v>
      </c>
      <c r="P807">
        <v>104.6652334919691</v>
      </c>
      <c r="V807">
        <v>1</v>
      </c>
      <c r="W807" t="s">
        <v>34</v>
      </c>
      <c r="Y807" t="s">
        <v>34</v>
      </c>
      <c r="Z807" t="s">
        <v>35</v>
      </c>
      <c r="AA807">
        <v>1</v>
      </c>
    </row>
    <row r="808" spans="1:27" x14ac:dyDescent="0.35">
      <c r="A808" s="45">
        <v>45936</v>
      </c>
      <c r="B808">
        <v>1</v>
      </c>
      <c r="D808" t="s">
        <v>30</v>
      </c>
      <c r="E808" t="s">
        <v>40</v>
      </c>
      <c r="F808" t="s">
        <v>40</v>
      </c>
      <c r="H808" t="s">
        <v>52</v>
      </c>
      <c r="I808" t="s">
        <v>55</v>
      </c>
      <c r="K808">
        <v>181</v>
      </c>
      <c r="M808" s="45">
        <v>51440</v>
      </c>
      <c r="N808" s="45">
        <v>51440</v>
      </c>
      <c r="O808" s="45">
        <v>51440</v>
      </c>
      <c r="P808">
        <v>104.6652334919691</v>
      </c>
      <c r="V808">
        <v>1</v>
      </c>
      <c r="W808" t="s">
        <v>34</v>
      </c>
      <c r="Y808" t="s">
        <v>34</v>
      </c>
      <c r="Z808" t="s">
        <v>35</v>
      </c>
      <c r="AA808">
        <v>1</v>
      </c>
    </row>
    <row r="809" spans="1:27" x14ac:dyDescent="0.35">
      <c r="A809" s="45">
        <v>45936</v>
      </c>
      <c r="B809">
        <v>1</v>
      </c>
      <c r="D809" t="s">
        <v>30</v>
      </c>
      <c r="E809" t="s">
        <v>40</v>
      </c>
      <c r="F809" t="s">
        <v>40</v>
      </c>
      <c r="H809" t="s">
        <v>52</v>
      </c>
      <c r="I809" t="s">
        <v>55</v>
      </c>
      <c r="K809">
        <v>182</v>
      </c>
      <c r="M809" s="45">
        <v>51470</v>
      </c>
      <c r="N809" s="45">
        <v>51470</v>
      </c>
      <c r="O809" s="45">
        <v>51470</v>
      </c>
      <c r="P809">
        <v>104.6652334919691</v>
      </c>
      <c r="V809">
        <v>1</v>
      </c>
      <c r="W809" t="s">
        <v>34</v>
      </c>
      <c r="Y809" t="s">
        <v>34</v>
      </c>
      <c r="Z809" t="s">
        <v>35</v>
      </c>
      <c r="AA809">
        <v>1</v>
      </c>
    </row>
    <row r="810" spans="1:27" x14ac:dyDescent="0.35">
      <c r="A810" s="45">
        <v>45936</v>
      </c>
      <c r="B810">
        <v>1</v>
      </c>
      <c r="D810" t="s">
        <v>30</v>
      </c>
      <c r="E810" t="s">
        <v>40</v>
      </c>
      <c r="F810" t="s">
        <v>40</v>
      </c>
      <c r="H810" t="s">
        <v>52</v>
      </c>
      <c r="I810" t="s">
        <v>55</v>
      </c>
      <c r="K810">
        <v>183</v>
      </c>
      <c r="M810" s="45">
        <v>51501</v>
      </c>
      <c r="N810" s="45">
        <v>51501</v>
      </c>
      <c r="O810" s="45">
        <v>51501</v>
      </c>
      <c r="P810">
        <v>104.6652334919691</v>
      </c>
      <c r="V810">
        <v>1</v>
      </c>
      <c r="W810" t="s">
        <v>34</v>
      </c>
      <c r="Y810" t="s">
        <v>34</v>
      </c>
      <c r="Z810" t="s">
        <v>35</v>
      </c>
      <c r="AA810">
        <v>1</v>
      </c>
    </row>
    <row r="811" spans="1:27" x14ac:dyDescent="0.35">
      <c r="A811" s="45">
        <v>45936</v>
      </c>
      <c r="B811">
        <v>1</v>
      </c>
      <c r="D811" t="s">
        <v>30</v>
      </c>
      <c r="E811" t="s">
        <v>40</v>
      </c>
      <c r="F811" t="s">
        <v>40</v>
      </c>
      <c r="H811" t="s">
        <v>52</v>
      </c>
      <c r="I811" t="s">
        <v>55</v>
      </c>
      <c r="K811">
        <v>184</v>
      </c>
      <c r="M811" s="45">
        <v>51532</v>
      </c>
      <c r="N811" s="45">
        <v>51532</v>
      </c>
      <c r="O811" s="45">
        <v>51532</v>
      </c>
      <c r="P811">
        <v>104.6652334919691</v>
      </c>
      <c r="V811">
        <v>1</v>
      </c>
      <c r="W811" t="s">
        <v>34</v>
      </c>
      <c r="Y811" t="s">
        <v>34</v>
      </c>
      <c r="Z811" t="s">
        <v>35</v>
      </c>
      <c r="AA811">
        <v>1</v>
      </c>
    </row>
    <row r="812" spans="1:27" x14ac:dyDescent="0.35">
      <c r="A812" s="45">
        <v>45936</v>
      </c>
      <c r="B812">
        <v>1</v>
      </c>
      <c r="D812" t="s">
        <v>30</v>
      </c>
      <c r="E812" t="s">
        <v>40</v>
      </c>
      <c r="F812" t="s">
        <v>40</v>
      </c>
      <c r="H812" t="s">
        <v>52</v>
      </c>
      <c r="I812" t="s">
        <v>55</v>
      </c>
      <c r="K812">
        <v>185</v>
      </c>
      <c r="M812" s="45">
        <v>51560</v>
      </c>
      <c r="N812" s="45">
        <v>51560</v>
      </c>
      <c r="O812" s="45">
        <v>51560</v>
      </c>
      <c r="P812">
        <v>104.6652334919691</v>
      </c>
      <c r="V812">
        <v>1</v>
      </c>
      <c r="W812" t="s">
        <v>34</v>
      </c>
      <c r="Y812" t="s">
        <v>34</v>
      </c>
      <c r="Z812" t="s">
        <v>35</v>
      </c>
      <c r="AA812">
        <v>1</v>
      </c>
    </row>
    <row r="813" spans="1:27" x14ac:dyDescent="0.35">
      <c r="A813" s="45">
        <v>45936</v>
      </c>
      <c r="B813">
        <v>1</v>
      </c>
      <c r="D813" t="s">
        <v>30</v>
      </c>
      <c r="E813" t="s">
        <v>40</v>
      </c>
      <c r="F813" t="s">
        <v>40</v>
      </c>
      <c r="H813" t="s">
        <v>52</v>
      </c>
      <c r="I813" t="s">
        <v>55</v>
      </c>
      <c r="K813">
        <v>186</v>
      </c>
      <c r="M813" s="45">
        <v>51591</v>
      </c>
      <c r="N813" s="45">
        <v>51591</v>
      </c>
      <c r="O813" s="45">
        <v>51591</v>
      </c>
      <c r="P813">
        <v>104.6652334919691</v>
      </c>
      <c r="V813">
        <v>1</v>
      </c>
      <c r="W813" t="s">
        <v>34</v>
      </c>
      <c r="Y813" t="s">
        <v>34</v>
      </c>
      <c r="Z813" t="s">
        <v>35</v>
      </c>
      <c r="AA813">
        <v>1</v>
      </c>
    </row>
    <row r="814" spans="1:27" x14ac:dyDescent="0.35">
      <c r="A814" s="45">
        <v>45936</v>
      </c>
      <c r="B814">
        <v>1</v>
      </c>
      <c r="D814" t="s">
        <v>30</v>
      </c>
      <c r="E814" t="s">
        <v>40</v>
      </c>
      <c r="F814" t="s">
        <v>40</v>
      </c>
      <c r="H814" t="s">
        <v>52</v>
      </c>
      <c r="I814" t="s">
        <v>55</v>
      </c>
      <c r="K814">
        <v>187</v>
      </c>
      <c r="M814" s="45">
        <v>51621</v>
      </c>
      <c r="N814" s="45">
        <v>51621</v>
      </c>
      <c r="O814" s="45">
        <v>51621</v>
      </c>
      <c r="P814">
        <v>104.6652334919691</v>
      </c>
      <c r="V814">
        <v>1</v>
      </c>
      <c r="W814" t="s">
        <v>34</v>
      </c>
      <c r="Y814" t="s">
        <v>34</v>
      </c>
      <c r="Z814" t="s">
        <v>35</v>
      </c>
      <c r="AA814">
        <v>1</v>
      </c>
    </row>
    <row r="815" spans="1:27" x14ac:dyDescent="0.35">
      <c r="A815" s="45">
        <v>45936</v>
      </c>
      <c r="B815">
        <v>1</v>
      </c>
      <c r="D815" t="s">
        <v>30</v>
      </c>
      <c r="E815" t="s">
        <v>40</v>
      </c>
      <c r="F815" t="s">
        <v>40</v>
      </c>
      <c r="H815" t="s">
        <v>52</v>
      </c>
      <c r="I815" t="s">
        <v>55</v>
      </c>
      <c r="K815">
        <v>188</v>
      </c>
      <c r="M815" s="45">
        <v>51652</v>
      </c>
      <c r="N815" s="45">
        <v>51652</v>
      </c>
      <c r="O815" s="45">
        <v>51652</v>
      </c>
      <c r="P815">
        <v>104.6652334919691</v>
      </c>
      <c r="V815">
        <v>1</v>
      </c>
      <c r="W815" t="s">
        <v>34</v>
      </c>
      <c r="Y815" t="s">
        <v>34</v>
      </c>
      <c r="Z815" t="s">
        <v>35</v>
      </c>
      <c r="AA815">
        <v>1</v>
      </c>
    </row>
    <row r="816" spans="1:27" x14ac:dyDescent="0.35">
      <c r="A816" s="45">
        <v>45936</v>
      </c>
      <c r="B816">
        <v>1</v>
      </c>
      <c r="D816" t="s">
        <v>30</v>
      </c>
      <c r="E816" t="s">
        <v>40</v>
      </c>
      <c r="F816" t="s">
        <v>40</v>
      </c>
      <c r="H816" t="s">
        <v>52</v>
      </c>
      <c r="I816" t="s">
        <v>55</v>
      </c>
      <c r="K816">
        <v>189</v>
      </c>
      <c r="M816" s="45">
        <v>51682</v>
      </c>
      <c r="N816" s="45">
        <v>51682</v>
      </c>
      <c r="O816" s="45">
        <v>51682</v>
      </c>
      <c r="P816">
        <v>104.6652334919691</v>
      </c>
      <c r="V816">
        <v>1</v>
      </c>
      <c r="W816" t="s">
        <v>34</v>
      </c>
      <c r="Y816" t="s">
        <v>34</v>
      </c>
      <c r="Z816" t="s">
        <v>35</v>
      </c>
      <c r="AA816">
        <v>1</v>
      </c>
    </row>
    <row r="817" spans="1:27" x14ac:dyDescent="0.35">
      <c r="A817" s="45">
        <v>45936</v>
      </c>
      <c r="B817">
        <v>1</v>
      </c>
      <c r="D817" t="s">
        <v>30</v>
      </c>
      <c r="E817" t="s">
        <v>40</v>
      </c>
      <c r="F817" t="s">
        <v>40</v>
      </c>
      <c r="H817" t="s">
        <v>52</v>
      </c>
      <c r="I817" t="s">
        <v>55</v>
      </c>
      <c r="K817">
        <v>190</v>
      </c>
      <c r="M817" s="45">
        <v>51713</v>
      </c>
      <c r="N817" s="45">
        <v>51713</v>
      </c>
      <c r="O817" s="45">
        <v>51713</v>
      </c>
      <c r="P817">
        <v>104.6652334919691</v>
      </c>
      <c r="V817">
        <v>1</v>
      </c>
      <c r="W817" t="s">
        <v>34</v>
      </c>
      <c r="Y817" t="s">
        <v>34</v>
      </c>
      <c r="Z817" t="s">
        <v>35</v>
      </c>
      <c r="AA817">
        <v>1</v>
      </c>
    </row>
    <row r="818" spans="1:27" x14ac:dyDescent="0.35">
      <c r="A818" s="45">
        <v>45936</v>
      </c>
      <c r="B818">
        <v>1</v>
      </c>
      <c r="D818" t="s">
        <v>30</v>
      </c>
      <c r="E818" t="s">
        <v>40</v>
      </c>
      <c r="F818" t="s">
        <v>40</v>
      </c>
      <c r="H818" t="s">
        <v>52</v>
      </c>
      <c r="I818" t="s">
        <v>55</v>
      </c>
      <c r="K818">
        <v>191</v>
      </c>
      <c r="M818" s="45">
        <v>51744</v>
      </c>
      <c r="N818" s="45">
        <v>51744</v>
      </c>
      <c r="O818" s="45">
        <v>51744</v>
      </c>
      <c r="P818">
        <v>104.6652334919691</v>
      </c>
      <c r="V818">
        <v>1</v>
      </c>
      <c r="W818" t="s">
        <v>34</v>
      </c>
      <c r="Y818" t="s">
        <v>34</v>
      </c>
      <c r="Z818" t="s">
        <v>35</v>
      </c>
      <c r="AA818">
        <v>1</v>
      </c>
    </row>
    <row r="819" spans="1:27" x14ac:dyDescent="0.35">
      <c r="A819" s="45">
        <v>45936</v>
      </c>
      <c r="B819">
        <v>1</v>
      </c>
      <c r="D819" t="s">
        <v>30</v>
      </c>
      <c r="E819" t="s">
        <v>40</v>
      </c>
      <c r="F819" t="s">
        <v>40</v>
      </c>
      <c r="H819" t="s">
        <v>52</v>
      </c>
      <c r="I819" t="s">
        <v>55</v>
      </c>
      <c r="K819">
        <v>192</v>
      </c>
      <c r="M819" s="45">
        <v>51774</v>
      </c>
      <c r="N819" s="45">
        <v>51774</v>
      </c>
      <c r="O819" s="45">
        <v>51774</v>
      </c>
      <c r="P819">
        <v>104.6652334919691</v>
      </c>
      <c r="V819">
        <v>1</v>
      </c>
      <c r="W819" t="s">
        <v>34</v>
      </c>
      <c r="Y819" t="s">
        <v>34</v>
      </c>
      <c r="Z819" t="s">
        <v>35</v>
      </c>
      <c r="AA819">
        <v>1</v>
      </c>
    </row>
    <row r="820" spans="1:27" x14ac:dyDescent="0.35">
      <c r="A820" s="45">
        <v>45936</v>
      </c>
      <c r="B820">
        <v>1</v>
      </c>
      <c r="D820" t="s">
        <v>30</v>
      </c>
      <c r="E820" t="s">
        <v>40</v>
      </c>
      <c r="F820" t="s">
        <v>40</v>
      </c>
      <c r="H820" t="s">
        <v>52</v>
      </c>
      <c r="I820" t="s">
        <v>55</v>
      </c>
      <c r="K820">
        <v>193</v>
      </c>
      <c r="M820" s="45">
        <v>51805</v>
      </c>
      <c r="N820" s="45">
        <v>51805</v>
      </c>
      <c r="O820" s="45">
        <v>51805</v>
      </c>
      <c r="P820">
        <v>104.6652334919691</v>
      </c>
      <c r="V820">
        <v>1</v>
      </c>
      <c r="W820" t="s">
        <v>34</v>
      </c>
      <c r="Y820" t="s">
        <v>34</v>
      </c>
      <c r="Z820" t="s">
        <v>35</v>
      </c>
      <c r="AA820">
        <v>1</v>
      </c>
    </row>
    <row r="821" spans="1:27" x14ac:dyDescent="0.35">
      <c r="A821" s="45">
        <v>45936</v>
      </c>
      <c r="B821">
        <v>1</v>
      </c>
      <c r="D821" t="s">
        <v>30</v>
      </c>
      <c r="E821" t="s">
        <v>40</v>
      </c>
      <c r="F821" t="s">
        <v>40</v>
      </c>
      <c r="H821" t="s">
        <v>52</v>
      </c>
      <c r="I821" t="s">
        <v>55</v>
      </c>
      <c r="K821">
        <v>194</v>
      </c>
      <c r="M821" s="45">
        <v>51835</v>
      </c>
      <c r="N821" s="45">
        <v>51835</v>
      </c>
      <c r="O821" s="45">
        <v>51835</v>
      </c>
      <c r="P821">
        <v>104.6652334919691</v>
      </c>
      <c r="V821">
        <v>1</v>
      </c>
      <c r="W821" t="s">
        <v>34</v>
      </c>
      <c r="Y821" t="s">
        <v>34</v>
      </c>
      <c r="Z821" t="s">
        <v>35</v>
      </c>
      <c r="AA821">
        <v>1</v>
      </c>
    </row>
    <row r="822" spans="1:27" x14ac:dyDescent="0.35">
      <c r="A822" s="45">
        <v>45936</v>
      </c>
      <c r="B822">
        <v>1</v>
      </c>
      <c r="D822" t="s">
        <v>30</v>
      </c>
      <c r="E822" t="s">
        <v>40</v>
      </c>
      <c r="F822" t="s">
        <v>40</v>
      </c>
      <c r="H822" t="s">
        <v>52</v>
      </c>
      <c r="I822" t="s">
        <v>55</v>
      </c>
      <c r="K822">
        <v>195</v>
      </c>
      <c r="M822" s="45">
        <v>51866</v>
      </c>
      <c r="N822" s="45">
        <v>51866</v>
      </c>
      <c r="O822" s="45">
        <v>51866</v>
      </c>
      <c r="P822">
        <v>104.6652334919691</v>
      </c>
      <c r="V822">
        <v>1</v>
      </c>
      <c r="W822" t="s">
        <v>34</v>
      </c>
      <c r="Y822" t="s">
        <v>34</v>
      </c>
      <c r="Z822" t="s">
        <v>35</v>
      </c>
      <c r="AA822">
        <v>1</v>
      </c>
    </row>
    <row r="823" spans="1:27" x14ac:dyDescent="0.35">
      <c r="A823" s="45">
        <v>45936</v>
      </c>
      <c r="B823">
        <v>1</v>
      </c>
      <c r="D823" t="s">
        <v>30</v>
      </c>
      <c r="E823" t="s">
        <v>40</v>
      </c>
      <c r="F823" t="s">
        <v>40</v>
      </c>
      <c r="H823" t="s">
        <v>52</v>
      </c>
      <c r="I823" t="s">
        <v>55</v>
      </c>
      <c r="K823">
        <v>196</v>
      </c>
      <c r="M823" s="45">
        <v>51897</v>
      </c>
      <c r="N823" s="45">
        <v>51897</v>
      </c>
      <c r="O823" s="45">
        <v>51897</v>
      </c>
      <c r="P823">
        <v>104.6652334919691</v>
      </c>
      <c r="V823">
        <v>1</v>
      </c>
      <c r="W823" t="s">
        <v>34</v>
      </c>
      <c r="Y823" t="s">
        <v>34</v>
      </c>
      <c r="Z823" t="s">
        <v>35</v>
      </c>
      <c r="AA823">
        <v>1</v>
      </c>
    </row>
    <row r="824" spans="1:27" x14ac:dyDescent="0.35">
      <c r="A824" s="45">
        <v>45936</v>
      </c>
      <c r="B824">
        <v>1</v>
      </c>
      <c r="D824" t="s">
        <v>30</v>
      </c>
      <c r="E824" t="s">
        <v>40</v>
      </c>
      <c r="F824" t="s">
        <v>40</v>
      </c>
      <c r="H824" t="s">
        <v>52</v>
      </c>
      <c r="I824" t="s">
        <v>55</v>
      </c>
      <c r="K824">
        <v>197</v>
      </c>
      <c r="M824" s="45">
        <v>51925</v>
      </c>
      <c r="N824" s="45">
        <v>51925</v>
      </c>
      <c r="O824" s="45">
        <v>51925</v>
      </c>
      <c r="P824">
        <v>104.6652334919691</v>
      </c>
      <c r="V824">
        <v>1</v>
      </c>
      <c r="W824" t="s">
        <v>34</v>
      </c>
      <c r="Y824" t="s">
        <v>34</v>
      </c>
      <c r="Z824" t="s">
        <v>35</v>
      </c>
      <c r="AA824">
        <v>1</v>
      </c>
    </row>
    <row r="825" spans="1:27" x14ac:dyDescent="0.35">
      <c r="A825" s="45">
        <v>45936</v>
      </c>
      <c r="B825">
        <v>1</v>
      </c>
      <c r="D825" t="s">
        <v>30</v>
      </c>
      <c r="E825" t="s">
        <v>40</v>
      </c>
      <c r="F825" t="s">
        <v>40</v>
      </c>
      <c r="H825" t="s">
        <v>52</v>
      </c>
      <c r="I825" t="s">
        <v>55</v>
      </c>
      <c r="K825">
        <v>198</v>
      </c>
      <c r="M825" s="45">
        <v>51956</v>
      </c>
      <c r="N825" s="45">
        <v>51956</v>
      </c>
      <c r="O825" s="45">
        <v>51956</v>
      </c>
      <c r="P825">
        <v>104.6652334919691</v>
      </c>
      <c r="V825">
        <v>1</v>
      </c>
      <c r="W825" t="s">
        <v>34</v>
      </c>
      <c r="Y825" t="s">
        <v>34</v>
      </c>
      <c r="Z825" t="s">
        <v>35</v>
      </c>
      <c r="AA825">
        <v>1</v>
      </c>
    </row>
    <row r="826" spans="1:27" x14ac:dyDescent="0.35">
      <c r="A826" s="45">
        <v>45936</v>
      </c>
      <c r="B826">
        <v>1</v>
      </c>
      <c r="D826" t="s">
        <v>30</v>
      </c>
      <c r="E826" t="s">
        <v>40</v>
      </c>
      <c r="F826" t="s">
        <v>40</v>
      </c>
      <c r="H826" t="s">
        <v>52</v>
      </c>
      <c r="I826" t="s">
        <v>55</v>
      </c>
      <c r="K826">
        <v>199</v>
      </c>
      <c r="M826" s="45">
        <v>51986</v>
      </c>
      <c r="N826" s="45">
        <v>51986</v>
      </c>
      <c r="O826" s="45">
        <v>51986</v>
      </c>
      <c r="P826">
        <v>104.6652334919691</v>
      </c>
      <c r="V826">
        <v>1</v>
      </c>
      <c r="W826" t="s">
        <v>34</v>
      </c>
      <c r="Y826" t="s">
        <v>34</v>
      </c>
      <c r="Z826" t="s">
        <v>35</v>
      </c>
      <c r="AA826">
        <v>1</v>
      </c>
    </row>
    <row r="827" spans="1:27" x14ac:dyDescent="0.35">
      <c r="A827" s="45">
        <v>45936</v>
      </c>
      <c r="B827">
        <v>1</v>
      </c>
      <c r="D827" t="s">
        <v>30</v>
      </c>
      <c r="E827" t="s">
        <v>40</v>
      </c>
      <c r="F827" t="s">
        <v>40</v>
      </c>
      <c r="H827" t="s">
        <v>52</v>
      </c>
      <c r="I827" t="s">
        <v>55</v>
      </c>
      <c r="K827">
        <v>200</v>
      </c>
      <c r="M827" s="45">
        <v>52017</v>
      </c>
      <c r="N827" s="45">
        <v>52017</v>
      </c>
      <c r="O827" s="45">
        <v>52017</v>
      </c>
      <c r="P827">
        <v>104.6652334919691</v>
      </c>
      <c r="V827">
        <v>1</v>
      </c>
      <c r="W827" t="s">
        <v>34</v>
      </c>
      <c r="Y827" t="s">
        <v>34</v>
      </c>
      <c r="Z827" t="s">
        <v>35</v>
      </c>
      <c r="AA827">
        <v>1</v>
      </c>
    </row>
    <row r="828" spans="1:27" x14ac:dyDescent="0.35">
      <c r="A828" s="45">
        <v>45936</v>
      </c>
      <c r="B828">
        <v>1</v>
      </c>
      <c r="D828" t="s">
        <v>30</v>
      </c>
      <c r="E828" t="s">
        <v>40</v>
      </c>
      <c r="F828" t="s">
        <v>40</v>
      </c>
      <c r="H828" t="s">
        <v>52</v>
      </c>
      <c r="I828" t="s">
        <v>55</v>
      </c>
      <c r="K828">
        <v>201</v>
      </c>
      <c r="M828" s="45">
        <v>52047</v>
      </c>
      <c r="N828" s="45">
        <v>52047</v>
      </c>
      <c r="O828" s="45">
        <v>52047</v>
      </c>
      <c r="P828">
        <v>104.6652334919691</v>
      </c>
      <c r="V828">
        <v>1</v>
      </c>
      <c r="W828" t="s">
        <v>34</v>
      </c>
      <c r="Y828" t="s">
        <v>34</v>
      </c>
      <c r="Z828" t="s">
        <v>35</v>
      </c>
      <c r="AA828">
        <v>1</v>
      </c>
    </row>
    <row r="829" spans="1:27" x14ac:dyDescent="0.35">
      <c r="A829" s="45">
        <v>45936</v>
      </c>
      <c r="B829">
        <v>1</v>
      </c>
      <c r="D829" t="s">
        <v>30</v>
      </c>
      <c r="E829" t="s">
        <v>40</v>
      </c>
      <c r="F829" t="s">
        <v>40</v>
      </c>
      <c r="H829" t="s">
        <v>52</v>
      </c>
      <c r="I829" t="s">
        <v>55</v>
      </c>
      <c r="K829">
        <v>202</v>
      </c>
      <c r="M829" s="45">
        <v>52078</v>
      </c>
      <c r="N829" s="45">
        <v>52078</v>
      </c>
      <c r="O829" s="45">
        <v>52078</v>
      </c>
      <c r="P829">
        <v>104.6652334919691</v>
      </c>
      <c r="V829">
        <v>1</v>
      </c>
      <c r="W829" t="s">
        <v>34</v>
      </c>
      <c r="Y829" t="s">
        <v>34</v>
      </c>
      <c r="Z829" t="s">
        <v>35</v>
      </c>
      <c r="AA829">
        <v>1</v>
      </c>
    </row>
    <row r="830" spans="1:27" x14ac:dyDescent="0.35">
      <c r="A830" s="45">
        <v>45936</v>
      </c>
      <c r="B830">
        <v>1</v>
      </c>
      <c r="D830" t="s">
        <v>30</v>
      </c>
      <c r="E830" t="s">
        <v>40</v>
      </c>
      <c r="F830" t="s">
        <v>40</v>
      </c>
      <c r="H830" t="s">
        <v>52</v>
      </c>
      <c r="I830" t="s">
        <v>55</v>
      </c>
      <c r="K830">
        <v>203</v>
      </c>
      <c r="M830" s="45">
        <v>52109</v>
      </c>
      <c r="N830" s="45">
        <v>52109</v>
      </c>
      <c r="O830" s="45">
        <v>52109</v>
      </c>
      <c r="P830">
        <v>104.6652334919691</v>
      </c>
      <c r="V830">
        <v>1</v>
      </c>
      <c r="W830" t="s">
        <v>34</v>
      </c>
      <c r="Y830" t="s">
        <v>34</v>
      </c>
      <c r="Z830" t="s">
        <v>35</v>
      </c>
      <c r="AA830">
        <v>1</v>
      </c>
    </row>
    <row r="831" spans="1:27" x14ac:dyDescent="0.35">
      <c r="A831" s="45">
        <v>45936</v>
      </c>
      <c r="B831">
        <v>1</v>
      </c>
      <c r="D831" t="s">
        <v>30</v>
      </c>
      <c r="E831" t="s">
        <v>40</v>
      </c>
      <c r="F831" t="s">
        <v>40</v>
      </c>
      <c r="H831" t="s">
        <v>52</v>
      </c>
      <c r="I831" t="s">
        <v>55</v>
      </c>
      <c r="K831">
        <v>204</v>
      </c>
      <c r="M831" s="45">
        <v>52139</v>
      </c>
      <c r="N831" s="45">
        <v>52139</v>
      </c>
      <c r="O831" s="45">
        <v>52139</v>
      </c>
      <c r="P831">
        <v>104.6652334919691</v>
      </c>
      <c r="V831">
        <v>1</v>
      </c>
      <c r="W831" t="s">
        <v>34</v>
      </c>
      <c r="Y831" t="s">
        <v>34</v>
      </c>
      <c r="Z831" t="s">
        <v>35</v>
      </c>
      <c r="AA831">
        <v>1</v>
      </c>
    </row>
    <row r="832" spans="1:27" x14ac:dyDescent="0.35">
      <c r="A832" s="45">
        <v>45936</v>
      </c>
      <c r="B832">
        <v>1</v>
      </c>
      <c r="D832" t="s">
        <v>30</v>
      </c>
      <c r="E832" t="s">
        <v>40</v>
      </c>
      <c r="F832" t="s">
        <v>40</v>
      </c>
      <c r="H832" t="s">
        <v>52</v>
      </c>
      <c r="I832" t="s">
        <v>55</v>
      </c>
      <c r="K832">
        <v>205</v>
      </c>
      <c r="M832" s="45">
        <v>52170</v>
      </c>
      <c r="N832" s="45">
        <v>52170</v>
      </c>
      <c r="O832" s="45">
        <v>52170</v>
      </c>
      <c r="P832">
        <v>90.917367638310537</v>
      </c>
      <c r="V832">
        <v>1</v>
      </c>
      <c r="W832" t="s">
        <v>34</v>
      </c>
      <c r="Y832" t="s">
        <v>34</v>
      </c>
      <c r="Z832" t="s">
        <v>35</v>
      </c>
      <c r="AA832">
        <v>1</v>
      </c>
    </row>
    <row r="833" spans="1:27" x14ac:dyDescent="0.35">
      <c r="A833" s="45">
        <v>45936</v>
      </c>
      <c r="B833">
        <v>1</v>
      </c>
      <c r="D833" t="s">
        <v>30</v>
      </c>
      <c r="E833" t="s">
        <v>40</v>
      </c>
      <c r="F833" t="s">
        <v>40</v>
      </c>
      <c r="H833" t="s">
        <v>52</v>
      </c>
      <c r="I833" t="s">
        <v>56</v>
      </c>
      <c r="M833" s="45">
        <v>45937</v>
      </c>
      <c r="N833" s="45">
        <v>45937</v>
      </c>
      <c r="O833" s="45">
        <v>45937</v>
      </c>
      <c r="P833">
        <v>39537.049416686641</v>
      </c>
      <c r="V833">
        <v>1</v>
      </c>
      <c r="W833" t="s">
        <v>34</v>
      </c>
      <c r="Y833" t="s">
        <v>34</v>
      </c>
      <c r="Z833" t="s">
        <v>35</v>
      </c>
      <c r="AA833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9"/>
  <sheetViews>
    <sheetView topLeftCell="B1" zoomScale="145" zoomScaleNormal="145" workbookViewId="0">
      <selection activeCell="C1" sqref="C1"/>
    </sheetView>
  </sheetViews>
  <sheetFormatPr baseColWidth="10" defaultRowHeight="14.5" x14ac:dyDescent="0.35"/>
  <cols>
    <col min="1" max="2" width="45.26953125" bestFit="1" customWidth="1"/>
    <col min="3" max="5" width="16.81640625" bestFit="1" customWidth="1"/>
    <col min="6" max="6" width="16.6328125" bestFit="1" customWidth="1"/>
    <col min="7" max="7" width="21.6328125" bestFit="1" customWidth="1"/>
  </cols>
  <sheetData>
    <row r="1" spans="1:12" x14ac:dyDescent="0.35">
      <c r="A1" t="s">
        <v>7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L1" t="s">
        <v>67</v>
      </c>
    </row>
    <row r="2" spans="1:12" x14ac:dyDescent="0.35">
      <c r="A2" t="s">
        <v>68</v>
      </c>
      <c r="B2" t="s">
        <v>69</v>
      </c>
      <c r="C2">
        <v>1004286851948.1</v>
      </c>
      <c r="D2">
        <v>4.4215235000000011</v>
      </c>
      <c r="E2" s="43">
        <v>45991</v>
      </c>
      <c r="F2" s="43">
        <v>48213</v>
      </c>
    </row>
    <row r="3" spans="1:12" x14ac:dyDescent="0.35">
      <c r="A3" t="s">
        <v>68</v>
      </c>
      <c r="B3" t="s">
        <v>70</v>
      </c>
      <c r="C3">
        <v>430408650834.90002</v>
      </c>
      <c r="D3">
        <v>0</v>
      </c>
      <c r="E3" s="43">
        <v>45937</v>
      </c>
      <c r="F3" s="43">
        <v>45937</v>
      </c>
    </row>
    <row r="4" spans="1:12" x14ac:dyDescent="0.35">
      <c r="A4" t="s">
        <v>69</v>
      </c>
      <c r="B4" t="s">
        <v>69</v>
      </c>
      <c r="C4">
        <v>1004286851948.1</v>
      </c>
      <c r="D4">
        <v>0</v>
      </c>
      <c r="E4" s="43">
        <v>45937</v>
      </c>
      <c r="F4" s="43">
        <v>45937</v>
      </c>
    </row>
    <row r="5" spans="1:12" x14ac:dyDescent="0.35">
      <c r="A5" t="s">
        <v>70</v>
      </c>
      <c r="B5" t="s">
        <v>70</v>
      </c>
      <c r="C5">
        <v>430408650834.90002</v>
      </c>
      <c r="D5">
        <v>0</v>
      </c>
      <c r="E5" s="43">
        <v>45937</v>
      </c>
      <c r="F5" s="43">
        <v>45937</v>
      </c>
    </row>
    <row r="6" spans="1:12" x14ac:dyDescent="0.35">
      <c r="A6" t="s">
        <v>71</v>
      </c>
      <c r="B6" t="s">
        <v>72</v>
      </c>
      <c r="C6">
        <v>114098468917.3</v>
      </c>
      <c r="D6">
        <v>4.4022379999999997</v>
      </c>
      <c r="E6" s="43">
        <v>45991</v>
      </c>
      <c r="F6" s="43">
        <v>49248</v>
      </c>
    </row>
    <row r="7" spans="1:12" x14ac:dyDescent="0.35">
      <c r="A7" t="s">
        <v>71</v>
      </c>
      <c r="B7" t="s">
        <v>73</v>
      </c>
      <c r="C7">
        <v>48899343821.700012</v>
      </c>
      <c r="D7">
        <v>0</v>
      </c>
      <c r="E7" s="43">
        <v>45937</v>
      </c>
      <c r="F7" s="43">
        <v>45937</v>
      </c>
    </row>
    <row r="8" spans="1:12" x14ac:dyDescent="0.35">
      <c r="A8" t="s">
        <v>72</v>
      </c>
      <c r="B8" t="s">
        <v>72</v>
      </c>
      <c r="C8">
        <v>114098468917.3</v>
      </c>
      <c r="D8">
        <v>0</v>
      </c>
      <c r="E8" s="43">
        <v>45937</v>
      </c>
      <c r="F8" s="43">
        <v>45937</v>
      </c>
    </row>
    <row r="9" spans="1:12" x14ac:dyDescent="0.35">
      <c r="A9" t="s">
        <v>73</v>
      </c>
      <c r="B9" t="s">
        <v>73</v>
      </c>
      <c r="C9">
        <v>48899343821.700012</v>
      </c>
      <c r="D9">
        <v>0</v>
      </c>
      <c r="E9" s="43">
        <v>45937</v>
      </c>
      <c r="F9" s="43">
        <v>45937</v>
      </c>
    </row>
    <row r="10" spans="1:12" x14ac:dyDescent="0.35">
      <c r="A10" t="s">
        <v>74</v>
      </c>
      <c r="B10" t="s">
        <v>75</v>
      </c>
      <c r="C10">
        <v>3260687.9451978109</v>
      </c>
      <c r="D10">
        <v>4.3743015833333336</v>
      </c>
      <c r="E10" s="43">
        <v>45991</v>
      </c>
      <c r="F10" s="43">
        <v>48091</v>
      </c>
    </row>
    <row r="11" spans="1:12" x14ac:dyDescent="0.35">
      <c r="A11" t="s">
        <v>74</v>
      </c>
      <c r="B11" t="s">
        <v>76</v>
      </c>
      <c r="C11">
        <v>1397437.6907990631</v>
      </c>
      <c r="D11">
        <v>0</v>
      </c>
      <c r="E11" s="43">
        <v>45937</v>
      </c>
      <c r="F11" s="43">
        <v>45937</v>
      </c>
    </row>
    <row r="12" spans="1:12" x14ac:dyDescent="0.35">
      <c r="A12" t="s">
        <v>74</v>
      </c>
      <c r="B12" t="s">
        <v>77</v>
      </c>
      <c r="C12">
        <v>773538.53459168063</v>
      </c>
      <c r="D12">
        <v>4.3608019166666674</v>
      </c>
      <c r="E12" s="43">
        <v>45991</v>
      </c>
      <c r="F12" s="43">
        <v>48091</v>
      </c>
    </row>
    <row r="13" spans="1:12" x14ac:dyDescent="0.35">
      <c r="A13" t="s">
        <v>74</v>
      </c>
      <c r="B13" t="s">
        <v>78</v>
      </c>
      <c r="C13">
        <v>331516.51482500602</v>
      </c>
      <c r="D13">
        <v>0</v>
      </c>
      <c r="E13" s="43">
        <v>45937</v>
      </c>
      <c r="F13" s="43">
        <v>45937</v>
      </c>
    </row>
    <row r="14" spans="1:12" x14ac:dyDescent="0.35">
      <c r="A14" t="s">
        <v>75</v>
      </c>
      <c r="B14" t="s">
        <v>75</v>
      </c>
      <c r="C14">
        <v>3260687.9451978118</v>
      </c>
      <c r="D14">
        <v>0</v>
      </c>
      <c r="E14" s="43">
        <v>45937</v>
      </c>
      <c r="F14" s="43">
        <v>45937</v>
      </c>
    </row>
    <row r="15" spans="1:12" x14ac:dyDescent="0.35">
      <c r="A15" t="s">
        <v>76</v>
      </c>
      <c r="B15" t="s">
        <v>76</v>
      </c>
      <c r="C15">
        <v>1397437.6907990631</v>
      </c>
      <c r="D15">
        <v>0</v>
      </c>
      <c r="E15" s="43">
        <v>45937</v>
      </c>
      <c r="F15" s="43">
        <v>45937</v>
      </c>
    </row>
    <row r="16" spans="1:12" x14ac:dyDescent="0.35">
      <c r="A16" t="s">
        <v>77</v>
      </c>
      <c r="B16" t="s">
        <v>77</v>
      </c>
      <c r="C16">
        <v>773538.53459168063</v>
      </c>
      <c r="D16">
        <v>0</v>
      </c>
      <c r="E16" s="43">
        <v>45937</v>
      </c>
      <c r="F16" s="43">
        <v>45937</v>
      </c>
    </row>
    <row r="17" spans="1:12" x14ac:dyDescent="0.35">
      <c r="A17" t="s">
        <v>78</v>
      </c>
      <c r="B17" t="s">
        <v>78</v>
      </c>
      <c r="C17">
        <v>331516.51482500602</v>
      </c>
      <c r="D17">
        <v>0</v>
      </c>
      <c r="E17" s="43">
        <v>45937</v>
      </c>
      <c r="F17" s="43">
        <v>45937</v>
      </c>
    </row>
    <row r="18" spans="1:12" x14ac:dyDescent="0.35">
      <c r="A18" t="s">
        <v>79</v>
      </c>
      <c r="B18" t="s">
        <v>80</v>
      </c>
      <c r="C18">
        <v>1184757000000</v>
      </c>
      <c r="D18">
        <v>1.4221433866533559</v>
      </c>
      <c r="E18" s="43">
        <v>45961</v>
      </c>
      <c r="F18" s="43">
        <v>47208</v>
      </c>
    </row>
    <row r="19" spans="1:12" x14ac:dyDescent="0.35">
      <c r="A19" t="s">
        <v>79</v>
      </c>
      <c r="B19" t="s">
        <v>81</v>
      </c>
      <c r="C19">
        <v>249938502783</v>
      </c>
      <c r="D19">
        <v>0</v>
      </c>
      <c r="E19" s="43">
        <v>45937</v>
      </c>
      <c r="F19" s="43">
        <v>45937</v>
      </c>
    </row>
    <row r="20" spans="1:12" x14ac:dyDescent="0.35">
      <c r="A20" t="s">
        <v>82</v>
      </c>
      <c r="B20" t="s">
        <v>83</v>
      </c>
      <c r="C20">
        <v>125122000000</v>
      </c>
      <c r="D20">
        <v>1.408531761889285</v>
      </c>
      <c r="E20" s="43">
        <v>45961</v>
      </c>
      <c r="F20" s="43">
        <v>47208</v>
      </c>
    </row>
    <row r="21" spans="1:12" x14ac:dyDescent="0.35">
      <c r="A21" t="s">
        <v>82</v>
      </c>
      <c r="B21" t="s">
        <v>84</v>
      </c>
      <c r="C21">
        <v>37875812739</v>
      </c>
      <c r="D21">
        <v>0</v>
      </c>
      <c r="E21" s="43">
        <v>45937</v>
      </c>
      <c r="F21" s="43">
        <v>45937</v>
      </c>
    </row>
    <row r="22" spans="1:12" x14ac:dyDescent="0.35">
      <c r="A22" t="s">
        <v>85</v>
      </c>
      <c r="B22" t="s">
        <v>86</v>
      </c>
      <c r="C22">
        <v>3549440</v>
      </c>
      <c r="D22">
        <v>5.7050549134076904</v>
      </c>
      <c r="E22" s="43">
        <v>45961</v>
      </c>
      <c r="F22" s="43">
        <v>52170</v>
      </c>
    </row>
    <row r="23" spans="1:12" x14ac:dyDescent="0.35">
      <c r="A23" t="s">
        <v>85</v>
      </c>
      <c r="B23" t="s">
        <v>87</v>
      </c>
      <c r="C23">
        <v>1108685.6359968749</v>
      </c>
      <c r="D23">
        <v>0</v>
      </c>
      <c r="E23" s="43">
        <v>45937</v>
      </c>
      <c r="F23" s="43">
        <v>45937</v>
      </c>
    </row>
    <row r="24" spans="1:12" x14ac:dyDescent="0.35">
      <c r="A24" t="s">
        <v>85</v>
      </c>
      <c r="B24" t="s">
        <v>88</v>
      </c>
      <c r="C24">
        <v>1065518</v>
      </c>
      <c r="D24">
        <v>5.3577989301277968</v>
      </c>
      <c r="E24" s="43">
        <v>45961</v>
      </c>
      <c r="F24" s="43">
        <v>52170</v>
      </c>
    </row>
    <row r="25" spans="1:12" ht="15" customHeight="1" x14ac:dyDescent="0.35">
      <c r="A25" t="s">
        <v>85</v>
      </c>
      <c r="B25" t="s">
        <v>89</v>
      </c>
      <c r="C25">
        <v>39537.049416686641</v>
      </c>
      <c r="D25">
        <v>0</v>
      </c>
      <c r="E25" s="43">
        <v>45937</v>
      </c>
      <c r="F25" s="43">
        <v>45937</v>
      </c>
    </row>
    <row r="26" spans="1:12" x14ac:dyDescent="0.35">
      <c r="C26">
        <v>1434695502783</v>
      </c>
      <c r="E26" s="43"/>
      <c r="F26" s="43"/>
      <c r="G26" t="s">
        <v>90</v>
      </c>
      <c r="H26">
        <v>1184757000000</v>
      </c>
      <c r="I26" t="s">
        <v>31</v>
      </c>
      <c r="J26">
        <v>1434695502783</v>
      </c>
      <c r="K26">
        <v>0</v>
      </c>
      <c r="L26">
        <v>1004286851948.1</v>
      </c>
    </row>
    <row r="27" spans="1:12" x14ac:dyDescent="0.35">
      <c r="C27">
        <v>162997812739</v>
      </c>
      <c r="E27" s="43"/>
      <c r="F27" s="43"/>
      <c r="G27" t="s">
        <v>91</v>
      </c>
      <c r="H27">
        <v>125122000000</v>
      </c>
      <c r="I27" t="s">
        <v>31</v>
      </c>
      <c r="J27">
        <v>162997812739</v>
      </c>
      <c r="K27">
        <v>0</v>
      </c>
      <c r="L27">
        <v>114098468917.3</v>
      </c>
    </row>
    <row r="28" spans="1:12" x14ac:dyDescent="0.35">
      <c r="C28">
        <v>4658125.6359968744</v>
      </c>
      <c r="E28" s="43"/>
      <c r="F28" s="43"/>
      <c r="G28" t="s">
        <v>92</v>
      </c>
      <c r="H28">
        <v>3549440</v>
      </c>
      <c r="I28" t="s">
        <v>40</v>
      </c>
      <c r="J28">
        <v>4658125.6359968744</v>
      </c>
      <c r="K28">
        <v>0</v>
      </c>
      <c r="L28">
        <v>3260687.9451978118</v>
      </c>
    </row>
    <row r="29" spans="1:12" x14ac:dyDescent="0.35">
      <c r="C29">
        <v>1105055.0494166871</v>
      </c>
      <c r="E29" s="43"/>
      <c r="F29" s="43"/>
      <c r="G29" t="s">
        <v>93</v>
      </c>
      <c r="H29">
        <v>1065518</v>
      </c>
      <c r="I29" t="s">
        <v>40</v>
      </c>
      <c r="J29">
        <v>1105055.0494166871</v>
      </c>
      <c r="K29">
        <v>0</v>
      </c>
      <c r="L29">
        <v>773538.53459168063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B209"/>
  <sheetViews>
    <sheetView tabSelected="1" topLeftCell="U1" zoomScale="115" zoomScaleNormal="115" workbookViewId="0">
      <selection activeCell="Y2" sqref="Y2:AB25"/>
    </sheetView>
  </sheetViews>
  <sheetFormatPr baseColWidth="10" defaultRowHeight="14.5" x14ac:dyDescent="0.35"/>
  <cols>
    <col min="1" max="1" width="10.90625" style="4" customWidth="1"/>
    <col min="2" max="2" width="21.54296875" bestFit="1" customWidth="1"/>
    <col min="3" max="3" width="21.26953125" bestFit="1" customWidth="1"/>
    <col min="4" max="4" width="15.453125" bestFit="1" customWidth="1"/>
    <col min="5" max="5" width="17.90625" bestFit="1" customWidth="1"/>
    <col min="6" max="6" width="19.54296875" bestFit="1" customWidth="1"/>
    <col min="7" max="7" width="22" bestFit="1" customWidth="1"/>
    <col min="8" max="8" width="17" bestFit="1" customWidth="1"/>
    <col min="9" max="12" width="17.453125" customWidth="1"/>
    <col min="13" max="13" width="12" bestFit="1" customWidth="1"/>
    <col min="14" max="14" width="36.36328125" bestFit="1" customWidth="1"/>
    <col min="15" max="15" width="23" bestFit="1" customWidth="1"/>
    <col min="16" max="16" width="39.08984375" bestFit="1" customWidth="1"/>
    <col min="17" max="17" width="25.54296875" bestFit="1" customWidth="1"/>
    <col min="18" max="18" width="23.1796875" bestFit="1" customWidth="1"/>
    <col min="19" max="19" width="22.90625" bestFit="1" customWidth="1"/>
    <col min="20" max="20" width="27.6328125" bestFit="1" customWidth="1"/>
    <col min="21" max="21" width="10.6328125" bestFit="1" customWidth="1"/>
    <col min="22" max="22" width="12" bestFit="1" customWidth="1"/>
    <col min="24" max="24" width="17.36328125" bestFit="1" customWidth="1"/>
    <col min="25" max="25" width="19.6328125" customWidth="1"/>
    <col min="26" max="26" width="25.54296875" bestFit="1" customWidth="1"/>
    <col min="27" max="27" width="20.08984375" bestFit="1" customWidth="1"/>
    <col min="28" max="28" width="22.90625" bestFit="1" customWidth="1"/>
  </cols>
  <sheetData>
    <row r="1" spans="1:28" ht="15" customHeight="1" thickBot="1" x14ac:dyDescent="0.4">
      <c r="B1" s="2" t="s">
        <v>94</v>
      </c>
      <c r="C1" s="2" t="s">
        <v>95</v>
      </c>
    </row>
    <row r="2" spans="1:28" ht="15" customHeight="1" thickBot="1" x14ac:dyDescent="0.4">
      <c r="A2" s="4">
        <f>DESARROLLO!$A$2</f>
        <v>45936</v>
      </c>
      <c r="B2" s="2" t="s">
        <v>96</v>
      </c>
      <c r="C2" t="s">
        <v>49</v>
      </c>
      <c r="D2" t="s">
        <v>52</v>
      </c>
      <c r="E2" t="s">
        <v>46</v>
      </c>
      <c r="F2" t="s">
        <v>41</v>
      </c>
      <c r="G2" t="s">
        <v>32</v>
      </c>
      <c r="H2" t="s">
        <v>37</v>
      </c>
      <c r="P2" s="19">
        <f>$A$2</f>
        <v>45936</v>
      </c>
      <c r="Q2" s="6"/>
      <c r="R2" s="7"/>
      <c r="S2" s="8"/>
      <c r="Y2" s="19">
        <v>45936</v>
      </c>
      <c r="Z2" s="6"/>
      <c r="AA2" s="7"/>
      <c r="AB2" s="8"/>
    </row>
    <row r="3" spans="1:28" ht="24" customHeight="1" thickBot="1" x14ac:dyDescent="0.4">
      <c r="A3" s="5">
        <f>B3-$A$2</f>
        <v>1</v>
      </c>
      <c r="B3" s="3">
        <v>45937</v>
      </c>
      <c r="C3" s="50">
        <v>37875812739</v>
      </c>
      <c r="D3" s="50">
        <v>1148222.6854135615</v>
      </c>
      <c r="E3" s="50">
        <v>249938502783</v>
      </c>
      <c r="F3" s="50">
        <v>1728954.2056240691</v>
      </c>
      <c r="G3" s="50">
        <v>430408650834.90002</v>
      </c>
      <c r="H3" s="50">
        <v>48899343821.700012</v>
      </c>
      <c r="P3" s="9" t="s">
        <v>97</v>
      </c>
      <c r="Q3" s="10" t="s">
        <v>98</v>
      </c>
      <c r="R3" s="10" t="s">
        <v>98</v>
      </c>
      <c r="S3" s="11" t="s">
        <v>98</v>
      </c>
      <c r="Y3" s="9" t="s">
        <v>97</v>
      </c>
      <c r="Z3" s="10" t="s">
        <v>98</v>
      </c>
      <c r="AA3" s="10" t="s">
        <v>98</v>
      </c>
      <c r="AB3" s="11" t="s">
        <v>98</v>
      </c>
    </row>
    <row r="4" spans="1:28" ht="19.5" customHeight="1" thickBot="1" x14ac:dyDescent="0.4">
      <c r="A4" s="5">
        <f t="shared" ref="A4:A67" si="0">B4-$A$2</f>
        <v>25</v>
      </c>
      <c r="B4" s="3">
        <v>45961</v>
      </c>
      <c r="C4" s="50">
        <v>3833994024.2763772</v>
      </c>
      <c r="D4" s="50">
        <v>35194.564760559188</v>
      </c>
      <c r="E4" s="50">
        <v>36011519040.949707</v>
      </c>
      <c r="F4" s="50"/>
      <c r="G4" s="50"/>
      <c r="H4" s="50"/>
      <c r="N4" s="22" t="s">
        <v>99</v>
      </c>
      <c r="O4" s="23" t="s">
        <v>100</v>
      </c>
      <c r="P4" s="12" t="s">
        <v>97</v>
      </c>
      <c r="Q4" s="20" t="s">
        <v>32</v>
      </c>
      <c r="R4" s="21" t="s">
        <v>37</v>
      </c>
      <c r="S4" s="20" t="s">
        <v>41</v>
      </c>
      <c r="Y4" s="12" t="s">
        <v>97</v>
      </c>
      <c r="Z4" s="20" t="s">
        <v>32</v>
      </c>
      <c r="AA4" s="21" t="s">
        <v>37</v>
      </c>
      <c r="AB4" s="20" t="s">
        <v>41</v>
      </c>
    </row>
    <row r="5" spans="1:28" ht="15" customHeight="1" thickBot="1" x14ac:dyDescent="0.4">
      <c r="A5" s="5">
        <f t="shared" si="0"/>
        <v>55</v>
      </c>
      <c r="B5" s="3">
        <v>45991</v>
      </c>
      <c r="C5" s="50">
        <v>3833994024.2763772</v>
      </c>
      <c r="D5" s="50">
        <v>35194.564760559188</v>
      </c>
      <c r="E5" s="50">
        <v>36011519040.949707</v>
      </c>
      <c r="F5" s="50">
        <v>35421.212042894913</v>
      </c>
      <c r="G5" s="50">
        <v>9694380981.8550091</v>
      </c>
      <c r="H5" s="50">
        <v>1754834451.9480741</v>
      </c>
      <c r="N5" s="24">
        <v>0</v>
      </c>
      <c r="O5" s="25">
        <v>1</v>
      </c>
      <c r="P5" s="16" t="s">
        <v>101</v>
      </c>
      <c r="Q5" s="13">
        <f>SUMIFS($G$3:G$1996,$A$3:$A$1996,"&gt;"&amp;N5,$A$3:$A$1996,"&lt;="&amp;O5)</f>
        <v>430408650834.90002</v>
      </c>
      <c r="R5" s="13">
        <f>SUMIFS($H$3:H$1996,$A$3:$A$1996,"&gt;"&amp;N5,$A$3:$A$1996,"&lt;="&amp;O5)</f>
        <v>48899343821.700012</v>
      </c>
      <c r="S5" s="14">
        <f>SUMIFS($F$3:F$1996,$A$3:$A$1996,"&gt;"&amp;N5,$A$3:$A$1996,"&lt;="&amp;O5)</f>
        <v>1728954.2056240691</v>
      </c>
      <c r="Y5" s="16" t="s">
        <v>101</v>
      </c>
      <c r="Z5" s="13">
        <v>430408650834.90002</v>
      </c>
      <c r="AA5" s="13">
        <v>48899343821.700012</v>
      </c>
      <c r="AB5" s="14">
        <v>1728954.2056240691</v>
      </c>
    </row>
    <row r="6" spans="1:28" ht="15" customHeight="1" thickBot="1" x14ac:dyDescent="0.4">
      <c r="A6" s="5">
        <f t="shared" si="0"/>
        <v>86</v>
      </c>
      <c r="B6" s="3">
        <v>46022</v>
      </c>
      <c r="C6" s="50">
        <v>3833994024.2763772</v>
      </c>
      <c r="D6" s="50">
        <v>35194.564760559188</v>
      </c>
      <c r="E6" s="50">
        <v>36011519040.949707</v>
      </c>
      <c r="F6" s="50">
        <v>35112.290214827139</v>
      </c>
      <c r="G6" s="50">
        <v>9600982304.6238365</v>
      </c>
      <c r="H6" s="50">
        <v>1727907213.283591</v>
      </c>
      <c r="N6" s="24">
        <v>1</v>
      </c>
      <c r="O6" s="25">
        <v>30</v>
      </c>
      <c r="P6" s="16" t="s">
        <v>102</v>
      </c>
      <c r="Q6" s="13">
        <f>SUMIFS($G$3:G$1996,$A$3:$A$1996,"&gt;"&amp;N6,$A$3:$A$1996,"&lt;="&amp;O6)</f>
        <v>0</v>
      </c>
      <c r="R6" s="13">
        <f>SUMIFS($H$3:H$1996,$A$3:$A$1996,"&gt;"&amp;N6,$A$3:$A$1996,"&lt;="&amp;O6)</f>
        <v>0</v>
      </c>
      <c r="S6" s="14">
        <f>SUMIFS($F$3:F$1996,$A$3:$A$1996,"&gt;"&amp;N6,$A$3:$A$1996,"&lt;="&amp;O6)</f>
        <v>0</v>
      </c>
      <c r="Y6" s="16" t="s">
        <v>102</v>
      </c>
      <c r="Z6" s="13">
        <v>0</v>
      </c>
      <c r="AA6" s="13">
        <v>0</v>
      </c>
      <c r="AB6" s="14">
        <v>0</v>
      </c>
    </row>
    <row r="7" spans="1:28" ht="15" customHeight="1" thickBot="1" x14ac:dyDescent="0.4">
      <c r="A7" s="5">
        <f t="shared" si="0"/>
        <v>117</v>
      </c>
      <c r="B7" s="3">
        <v>46053</v>
      </c>
      <c r="C7" s="50">
        <v>3833994024.2763772</v>
      </c>
      <c r="D7" s="50">
        <v>35194.564760559188</v>
      </c>
      <c r="E7" s="50">
        <v>36011519040.949707</v>
      </c>
      <c r="F7" s="50">
        <v>34804.141925293952</v>
      </c>
      <c r="G7" s="50">
        <v>9508587914.2446117</v>
      </c>
      <c r="H7" s="50">
        <v>1701322270.0258601</v>
      </c>
      <c r="N7" s="24">
        <v>30</v>
      </c>
      <c r="O7" s="25">
        <v>90</v>
      </c>
      <c r="P7" s="16" t="s">
        <v>103</v>
      </c>
      <c r="Q7" s="13">
        <f>SUMIFS($G$3:G$1996,$A$3:$A$1996,"&gt;"&amp;N7,$A$3:$A$1996,"&lt;="&amp;O7)</f>
        <v>19295363286.478844</v>
      </c>
      <c r="R7" s="13">
        <f>SUMIFS($H$3:H$1996,$A$3:$A$1996,"&gt;"&amp;N7,$A$3:$A$1996,"&lt;="&amp;O7)</f>
        <v>3482741665.2316651</v>
      </c>
      <c r="S7" s="14">
        <f>SUMIFS($F$3:F$1996,$A$3:$A$1996,"&gt;"&amp;N7,$A$3:$A$1996,"&lt;="&amp;O7)</f>
        <v>70533.502257722052</v>
      </c>
      <c r="Y7" s="16" t="s">
        <v>103</v>
      </c>
      <c r="Z7" s="13">
        <v>19295363286.478844</v>
      </c>
      <c r="AA7" s="13">
        <v>3482741665.2316651</v>
      </c>
      <c r="AB7" s="14">
        <v>70533.502257722052</v>
      </c>
    </row>
    <row r="8" spans="1:28" ht="15" customHeight="1" thickBot="1" x14ac:dyDescent="0.4">
      <c r="A8" s="5">
        <f t="shared" si="0"/>
        <v>145</v>
      </c>
      <c r="B8" s="3">
        <v>46081</v>
      </c>
      <c r="C8" s="50">
        <v>3833994024.2763772</v>
      </c>
      <c r="D8" s="50">
        <v>35194.564760559188</v>
      </c>
      <c r="E8" s="50">
        <v>36011519040.949707</v>
      </c>
      <c r="F8" s="50">
        <v>34496.767174295361</v>
      </c>
      <c r="G8" s="50">
        <v>9416193523.865387</v>
      </c>
      <c r="H8" s="50">
        <v>1675193720.6437991</v>
      </c>
      <c r="N8" s="24">
        <v>90</v>
      </c>
      <c r="O8" s="25">
        <v>180</v>
      </c>
      <c r="P8" s="16" t="s">
        <v>104</v>
      </c>
      <c r="Q8" s="13">
        <f>SUMIFS($G$3:G$1996,$A$3:$A$1996,"&gt;"&amp;N8,$A$3:$A$1996,"&lt;="&amp;O8)</f>
        <v>28250589145.300056</v>
      </c>
      <c r="R8" s="13">
        <f>SUMIFS($H$3:H$1996,$A$3:$A$1996,"&gt;"&amp;N8,$A$3:$A$1996,"&lt;="&amp;O8)</f>
        <v>5025923457.3381481</v>
      </c>
      <c r="S8" s="14">
        <f>SUMIFS($F$3:F$1996,$A$3:$A$1996,"&gt;"&amp;N8,$A$3:$A$1996,"&lt;="&amp;O8)</f>
        <v>103494.33574936586</v>
      </c>
      <c r="Y8" s="16" t="s">
        <v>104</v>
      </c>
      <c r="Z8" s="13">
        <v>28250589145.300056</v>
      </c>
      <c r="AA8" s="13">
        <v>5025923457.3381481</v>
      </c>
      <c r="AB8" s="14">
        <v>103494.33574936586</v>
      </c>
    </row>
    <row r="9" spans="1:28" ht="15" customHeight="1" thickBot="1" x14ac:dyDescent="0.4">
      <c r="A9" s="5">
        <f t="shared" si="0"/>
        <v>176</v>
      </c>
      <c r="B9" s="3">
        <v>46112</v>
      </c>
      <c r="C9" s="50">
        <v>3833994024.2763772</v>
      </c>
      <c r="D9" s="50">
        <v>35194.564760559188</v>
      </c>
      <c r="E9" s="50">
        <v>36011519040.949707</v>
      </c>
      <c r="F9" s="50">
        <v>34193.426649776549</v>
      </c>
      <c r="G9" s="50">
        <v>9325807707.1900578</v>
      </c>
      <c r="H9" s="50">
        <v>1649407466.668489</v>
      </c>
      <c r="N9" s="24">
        <v>180</v>
      </c>
      <c r="O9" s="25">
        <v>270</v>
      </c>
      <c r="P9" s="16" t="s">
        <v>105</v>
      </c>
      <c r="Q9" s="13">
        <f>SUMIFS($G$3:G$1996,$A$3:$A$1996,"&gt;"&amp;N9,$A$3:$A$1996,"&lt;="&amp;O9)</f>
        <v>27439125368.925987</v>
      </c>
      <c r="R9" s="13">
        <f>SUMIFS($H$3:H$1996,$A$3:$A$1996,"&gt;"&amp;N9,$A$3:$A$1996,"&lt;="&amp;O9)</f>
        <v>4797612421.0346298</v>
      </c>
      <c r="S9" s="14">
        <f>SUMIFS($F$3:F$1996,$A$3:$A$1996,"&gt;"&amp;N9,$A$3:$A$1996,"&lt;="&amp;O9)</f>
        <v>100791.90360932742</v>
      </c>
      <c r="Y9" s="16" t="s">
        <v>105</v>
      </c>
      <c r="Z9" s="13">
        <v>27439125368.925987</v>
      </c>
      <c r="AA9" s="13">
        <v>4797612421.0346298</v>
      </c>
      <c r="AB9" s="14">
        <v>100791.90360932742</v>
      </c>
    </row>
    <row r="10" spans="1:28" ht="15" customHeight="1" thickBot="1" x14ac:dyDescent="0.4">
      <c r="A10" s="5">
        <f t="shared" si="0"/>
        <v>206</v>
      </c>
      <c r="B10" s="3">
        <v>46142</v>
      </c>
      <c r="C10" s="50">
        <v>3833994024.2763772</v>
      </c>
      <c r="D10" s="50">
        <v>35194.564760559188</v>
      </c>
      <c r="E10" s="50">
        <v>36011519040.949707</v>
      </c>
      <c r="F10" s="50">
        <v>33893.346813202952</v>
      </c>
      <c r="G10" s="50">
        <v>9235421890.5147266</v>
      </c>
      <c r="H10" s="50">
        <v>1624077606.5688479</v>
      </c>
      <c r="N10" s="24">
        <v>270</v>
      </c>
      <c r="O10" s="25">
        <v>360</v>
      </c>
      <c r="P10" s="16" t="s">
        <v>106</v>
      </c>
      <c r="Q10" s="13">
        <f>SUMIFS($G$3:G$1996,$A$3:$A$1996,"&gt;"&amp;N10,$A$3:$A$1996,"&lt;="&amp;O10)</f>
        <v>26652768763.850624</v>
      </c>
      <c r="R10" s="13">
        <f>SUMIFS($H$3:H$1996,$A$3:$A$1996,"&gt;"&amp;N10,$A$3:$A$1996,"&lt;="&amp;O10)</f>
        <v>4579570246.93367</v>
      </c>
      <c r="S10" s="14">
        <f>SUMIFS($F$3:F$1996,$A$3:$A$1996,"&gt;"&amp;N10,$A$3:$A$1996,"&lt;="&amp;O10)</f>
        <v>98158.826857979933</v>
      </c>
      <c r="Y10" s="16" t="s">
        <v>106</v>
      </c>
      <c r="Z10" s="13">
        <v>26652768763.850624</v>
      </c>
      <c r="AA10" s="13">
        <v>4579570246.93367</v>
      </c>
      <c r="AB10" s="14">
        <v>98158.826857979933</v>
      </c>
    </row>
    <row r="11" spans="1:28" ht="15" customHeight="1" thickBot="1" x14ac:dyDescent="0.4">
      <c r="A11" s="5">
        <f t="shared" si="0"/>
        <v>237</v>
      </c>
      <c r="B11" s="3">
        <v>46173</v>
      </c>
      <c r="C11" s="50">
        <v>3833994024.2763772</v>
      </c>
      <c r="D11" s="50">
        <v>35194.564760559188</v>
      </c>
      <c r="E11" s="50">
        <v>36011519040.949707</v>
      </c>
      <c r="F11" s="50">
        <v>33597.301203109135</v>
      </c>
      <c r="G11" s="50">
        <v>9146040360.6913471</v>
      </c>
      <c r="H11" s="50">
        <v>1599090041.8759589</v>
      </c>
      <c r="N11" s="24">
        <v>360</v>
      </c>
      <c r="O11" s="25">
        <v>540</v>
      </c>
      <c r="P11" s="16" t="s">
        <v>107</v>
      </c>
      <c r="Q11" s="13">
        <f>SUMIFS($G$3:G$1996,$A$3:$A$1996,"&gt;"&amp;N11,$A$3:$A$1996,"&lt;="&amp;O11)</f>
        <v>42732405550.391655</v>
      </c>
      <c r="R11" s="13">
        <f>SUMIFS($H$3:H$1996,$A$3:$A$1996,"&gt;"&amp;N11,$A$3:$A$1996,"&lt;="&amp;O11)</f>
        <v>7174854020.9265747</v>
      </c>
      <c r="S11" s="14">
        <f>SUMIFS($F$3:F$1996,$A$3:$A$1996,"&gt;"&amp;N11,$A$3:$A$1996,"&lt;="&amp;O11)</f>
        <v>157935.81903831998</v>
      </c>
      <c r="Y11" s="16" t="s">
        <v>107</v>
      </c>
      <c r="Z11" s="13">
        <v>42732405550.391655</v>
      </c>
      <c r="AA11" s="13">
        <v>7174854020.9265747</v>
      </c>
      <c r="AB11" s="14">
        <v>157935.81903831998</v>
      </c>
    </row>
    <row r="12" spans="1:28" ht="15" customHeight="1" thickBot="1" x14ac:dyDescent="0.4">
      <c r="A12" s="5">
        <f t="shared" si="0"/>
        <v>267</v>
      </c>
      <c r="B12" s="3">
        <v>46203</v>
      </c>
      <c r="C12" s="50">
        <v>3833994024.2763772</v>
      </c>
      <c r="D12" s="50">
        <v>35194.564760559188</v>
      </c>
      <c r="E12" s="50">
        <v>36011519040.949707</v>
      </c>
      <c r="F12" s="50">
        <v>33301.255593015325</v>
      </c>
      <c r="G12" s="50">
        <v>9057663117.7199135</v>
      </c>
      <c r="H12" s="50">
        <v>1574444772.589823</v>
      </c>
      <c r="N12" s="24">
        <v>540</v>
      </c>
      <c r="O12" s="25">
        <v>720</v>
      </c>
      <c r="P12" s="16" t="s">
        <v>108</v>
      </c>
      <c r="Q12" s="13">
        <f>SUMIFS($G$3:G$1996,$A$3:$A$1996,"&gt;"&amp;N12,$A$3:$A$1996,"&lt;="&amp;O12)</f>
        <v>48618530789.65947</v>
      </c>
      <c r="R12" s="13">
        <f>SUMIFS($H$3:H$1996,$A$3:$A$1996,"&gt;"&amp;N12,$A$3:$A$1996,"&lt;="&amp;O12)</f>
        <v>7907137994.4378071</v>
      </c>
      <c r="S12" s="14">
        <f>SUMIFS($F$3:F$1996,$A$3:$A$1996,"&gt;"&amp;N12,$A$3:$A$1996,"&lt;="&amp;O12)</f>
        <v>180555.50124619328</v>
      </c>
      <c r="Y12" s="16" t="s">
        <v>108</v>
      </c>
      <c r="Z12" s="13">
        <v>48618530789.65947</v>
      </c>
      <c r="AA12" s="13">
        <v>7907137994.4378071</v>
      </c>
      <c r="AB12" s="14">
        <v>180555.50124619328</v>
      </c>
    </row>
    <row r="13" spans="1:28" ht="15" customHeight="1" thickBot="1" x14ac:dyDescent="0.4">
      <c r="A13" s="5">
        <f t="shared" si="0"/>
        <v>298</v>
      </c>
      <c r="B13" s="3">
        <v>46234</v>
      </c>
      <c r="C13" s="50">
        <v>3833994024.2763772</v>
      </c>
      <c r="D13" s="50">
        <v>35194.564760559188</v>
      </c>
      <c r="E13" s="50">
        <v>36011519040.949707</v>
      </c>
      <c r="F13" s="50">
        <v>33010.017747935875</v>
      </c>
      <c r="G13" s="50">
        <v>8970290161.6004295</v>
      </c>
      <c r="H13" s="50">
        <v>1550255897.1793549</v>
      </c>
      <c r="N13" s="24">
        <v>720</v>
      </c>
      <c r="O13" s="25">
        <v>1080</v>
      </c>
      <c r="P13" s="16" t="s">
        <v>109</v>
      </c>
      <c r="Q13" s="13">
        <f>SUMIFS($G$3:G$1996,$A$3:$A$1996,"&gt;"&amp;N13,$A$3:$A$1996,"&lt;="&amp;O13)</f>
        <v>89144518126.321152</v>
      </c>
      <c r="R13" s="13">
        <f>SUMIFS($H$3:H$1996,$A$3:$A$1996,"&gt;"&amp;N13,$A$3:$A$1996,"&lt;="&amp;O13)</f>
        <v>13769973721.284348</v>
      </c>
      <c r="S13" s="14">
        <f>SUMIFS($F$3:F$1996,$A$3:$A$1996,"&gt;"&amp;N13,$A$3:$A$1996,"&lt;="&amp;O13)</f>
        <v>333679.66468846396</v>
      </c>
      <c r="Y13" s="16" t="s">
        <v>109</v>
      </c>
      <c r="Z13" s="13">
        <v>89144518126.321152</v>
      </c>
      <c r="AA13" s="13">
        <v>13769973721.284348</v>
      </c>
      <c r="AB13" s="14">
        <v>333679.66468846396</v>
      </c>
    </row>
    <row r="14" spans="1:28" ht="15" customHeight="1" thickBot="1" x14ac:dyDescent="0.4">
      <c r="A14" s="5">
        <f t="shared" si="0"/>
        <v>329</v>
      </c>
      <c r="B14" s="3">
        <v>46265</v>
      </c>
      <c r="C14" s="50">
        <v>3833994024.2763772</v>
      </c>
      <c r="D14" s="50">
        <v>35194.564760559188</v>
      </c>
      <c r="E14" s="50">
        <v>36011519040.949707</v>
      </c>
      <c r="F14" s="50">
        <v>32718.006364321853</v>
      </c>
      <c r="G14" s="50">
        <v>8883921492.3328915</v>
      </c>
      <c r="H14" s="50">
        <v>1526409317.1756389</v>
      </c>
      <c r="N14" s="24">
        <v>1080</v>
      </c>
      <c r="O14" s="25">
        <v>1440</v>
      </c>
      <c r="P14" s="16" t="s">
        <v>110</v>
      </c>
      <c r="Q14" s="13">
        <f>SUMIFS($G$3:G$1996,$A$3:$A$1996,"&gt;"&amp;N14,$A$3:$A$1996,"&lt;="&amp;O14)</f>
        <v>79351717032.97522</v>
      </c>
      <c r="R14" s="13">
        <f>SUMIFS($H$3:H$1996,$A$3:$A$1996,"&gt;"&amp;N14,$A$3:$A$1996,"&lt;="&amp;O14)</f>
        <v>11432894782.451292</v>
      </c>
      <c r="S14" s="14">
        <f>SUMIFS($F$3:F$1996,$A$3:$A$1996,"&gt;"&amp;N14,$A$3:$A$1996,"&lt;="&amp;O14)</f>
        <v>300167.86663765699</v>
      </c>
      <c r="Y14" s="16" t="s">
        <v>110</v>
      </c>
      <c r="Z14" s="13">
        <v>79351717032.97522</v>
      </c>
      <c r="AA14" s="13">
        <v>11432894782.451292</v>
      </c>
      <c r="AB14" s="14">
        <v>300167.86663765699</v>
      </c>
    </row>
    <row r="15" spans="1:28" ht="15" customHeight="1" thickBot="1" x14ac:dyDescent="0.4">
      <c r="A15" s="5">
        <f t="shared" si="0"/>
        <v>359</v>
      </c>
      <c r="B15" s="3">
        <v>46295</v>
      </c>
      <c r="C15" s="50">
        <v>3833994024.2763772</v>
      </c>
      <c r="D15" s="50">
        <v>35194.564760559188</v>
      </c>
      <c r="E15" s="50">
        <v>36011519040.949707</v>
      </c>
      <c r="F15" s="50">
        <v>32430.802745722212</v>
      </c>
      <c r="G15" s="50">
        <v>8798557109.9173031</v>
      </c>
      <c r="H15" s="50">
        <v>1502905032.578676</v>
      </c>
      <c r="N15" s="24">
        <v>1440</v>
      </c>
      <c r="O15" s="25">
        <v>1800</v>
      </c>
      <c r="P15" s="16" t="s">
        <v>111</v>
      </c>
      <c r="Q15" s="13">
        <f>SUMIFS($G$3:G$1996,$A$3:$A$1996,"&gt;"&amp;N15,$A$3:$A$1996,"&lt;="&amp;O15)</f>
        <v>70630490010.657928</v>
      </c>
      <c r="R15" s="13">
        <f>SUMIFS($H$3:H$1996,$A$3:$A$1996,"&gt;"&amp;N15,$A$3:$A$1996,"&lt;="&amp;O15)</f>
        <v>9492536220.0436897</v>
      </c>
      <c r="S15" s="14">
        <f>SUMIFS($F$3:F$1996,$A$3:$A$1996,"&gt;"&amp;N15,$A$3:$A$1996,"&lt;="&amp;O15)</f>
        <v>270028.62279345433</v>
      </c>
      <c r="Y15" s="16" t="s">
        <v>111</v>
      </c>
      <c r="Z15" s="13">
        <v>70630490010.657928</v>
      </c>
      <c r="AA15" s="13">
        <v>9492536220.0436897</v>
      </c>
      <c r="AB15" s="14">
        <v>270028.62279345433</v>
      </c>
    </row>
    <row r="16" spans="1:28" ht="15" customHeight="1" thickBot="1" x14ac:dyDescent="0.4">
      <c r="A16" s="5">
        <f t="shared" si="0"/>
        <v>390</v>
      </c>
      <c r="B16" s="3">
        <v>46326</v>
      </c>
      <c r="C16" s="50">
        <v>3833994024.2763772</v>
      </c>
      <c r="D16" s="50">
        <v>35194.564760559188</v>
      </c>
      <c r="E16" s="50">
        <v>36011519040.949707</v>
      </c>
      <c r="F16" s="50">
        <v>32146.859815067761</v>
      </c>
      <c r="G16" s="50">
        <v>8713192727.5017147</v>
      </c>
      <c r="H16" s="50">
        <v>1479743043.388463</v>
      </c>
      <c r="N16" s="24">
        <v>1800</v>
      </c>
      <c r="O16" s="25">
        <v>2160</v>
      </c>
      <c r="P16" s="16" t="s">
        <v>112</v>
      </c>
      <c r="Q16" s="13">
        <f>SUMIFS($G$3:G$1996,$A$3:$A$1996,"&gt;"&amp;N16,$A$3:$A$1996,"&lt;="&amp;O16)</f>
        <v>62871369792.506897</v>
      </c>
      <c r="R16" s="13">
        <f>SUMIFS($H$3:H$1996,$A$3:$A$1996,"&gt;"&amp;N16,$A$3:$A$1996,"&lt;="&amp;O16)</f>
        <v>7881237641.9935789</v>
      </c>
      <c r="S16" s="14">
        <f>SUMIFS($F$3:F$1996,$A$3:$A$1996,"&gt;"&amp;N16,$A$3:$A$1996,"&lt;="&amp;O16)</f>
        <v>2418880.4369110088</v>
      </c>
      <c r="Y16" s="16" t="s">
        <v>112</v>
      </c>
      <c r="Z16" s="13">
        <v>62871369792.506897</v>
      </c>
      <c r="AA16" s="13">
        <v>7881237641.9935789</v>
      </c>
      <c r="AB16" s="14">
        <v>2418880.4369110088</v>
      </c>
    </row>
    <row r="17" spans="1:28" ht="15" customHeight="1" thickBot="1" x14ac:dyDescent="0.4">
      <c r="A17" s="5">
        <f t="shared" si="0"/>
        <v>420</v>
      </c>
      <c r="B17" s="3">
        <v>46356</v>
      </c>
      <c r="C17" s="50">
        <v>3833994024.2763772</v>
      </c>
      <c r="D17" s="50">
        <v>35194.564760559188</v>
      </c>
      <c r="E17" s="50">
        <v>36011519040.949707</v>
      </c>
      <c r="F17" s="50">
        <v>31863.690422947904</v>
      </c>
      <c r="G17" s="50">
        <v>8628832631.938076</v>
      </c>
      <c r="H17" s="50">
        <v>1457037448.073921</v>
      </c>
      <c r="N17" s="24">
        <v>2160</v>
      </c>
      <c r="O17" s="25">
        <v>2520</v>
      </c>
      <c r="P17" s="16" t="s">
        <v>113</v>
      </c>
      <c r="Q17" s="13">
        <f>SUMIFS($G$3:G$1996,$A$3:$A$1996,"&gt;"&amp;N17,$A$3:$A$1996,"&lt;="&amp;O17)</f>
        <v>509299974081.03247</v>
      </c>
      <c r="R17" s="13">
        <f>SUMIFS($H$3:H$1996,$A$3:$A$1996,"&gt;"&amp;N17,$A$3:$A$1996,"&lt;="&amp;O17)</f>
        <v>6043681800.0804615</v>
      </c>
      <c r="S17" s="14">
        <f>SUMIFS($F$3:F$1996,$A$3:$A$1996,"&gt;"&amp;N17,$A$3:$A$1996,"&lt;="&amp;O17)</f>
        <v>0</v>
      </c>
      <c r="Y17" s="16" t="s">
        <v>113</v>
      </c>
      <c r="Z17" s="13">
        <v>509299974081.03247</v>
      </c>
      <c r="AA17" s="13">
        <v>6043681800.0804615</v>
      </c>
      <c r="AB17" s="14">
        <v>0</v>
      </c>
    </row>
    <row r="18" spans="1:28" ht="15" customHeight="1" thickBot="1" x14ac:dyDescent="0.4">
      <c r="A18" s="5">
        <f t="shared" si="0"/>
        <v>451</v>
      </c>
      <c r="B18" s="3">
        <v>46387</v>
      </c>
      <c r="C18" s="50">
        <v>3833994024.2763772</v>
      </c>
      <c r="D18" s="50">
        <v>35194.564760559188</v>
      </c>
      <c r="E18" s="50">
        <v>36011519040.949707</v>
      </c>
      <c r="F18" s="50">
        <v>31583.781718773243</v>
      </c>
      <c r="G18" s="50">
        <v>8545476823.2263823</v>
      </c>
      <c r="H18" s="50">
        <v>1434674148.1661301</v>
      </c>
      <c r="N18" s="24">
        <v>2520</v>
      </c>
      <c r="O18" s="25">
        <v>2880</v>
      </c>
      <c r="P18" s="16" t="s">
        <v>114</v>
      </c>
      <c r="Q18" s="13">
        <f>SUMIFS($G$3:G$1996,$A$3:$A$1996,"&gt;"&amp;N18,$A$3:$A$1996,"&lt;="&amp;O18)</f>
        <v>0</v>
      </c>
      <c r="R18" s="13">
        <f>SUMIFS($H$3:H$1996,$A$3:$A$1996,"&gt;"&amp;N18,$A$3:$A$1996,"&lt;="&amp;O18)</f>
        <v>5517801956.8406286</v>
      </c>
      <c r="S18" s="14">
        <f>SUMIFS($F$3:F$1996,$A$3:$A$1996,"&gt;"&amp;N18,$A$3:$A$1996,"&lt;="&amp;O18)</f>
        <v>0</v>
      </c>
      <c r="Y18" s="16" t="s">
        <v>114</v>
      </c>
      <c r="Z18" s="13">
        <v>0</v>
      </c>
      <c r="AA18" s="13">
        <v>5517801956.8406286</v>
      </c>
      <c r="AB18" s="14">
        <v>0</v>
      </c>
    </row>
    <row r="19" spans="1:28" ht="15" customHeight="1" thickBot="1" x14ac:dyDescent="0.4">
      <c r="A19" s="5">
        <f t="shared" si="0"/>
        <v>482</v>
      </c>
      <c r="B19" s="3">
        <v>46418</v>
      </c>
      <c r="C19" s="50">
        <v>3833994024.2763772</v>
      </c>
      <c r="D19" s="50">
        <v>35194.564760559188</v>
      </c>
      <c r="E19" s="50">
        <v>36011519040.949707</v>
      </c>
      <c r="F19" s="50">
        <v>31308.680779612969</v>
      </c>
      <c r="G19" s="50">
        <v>8463125301.3666391</v>
      </c>
      <c r="H19" s="50">
        <v>1412539045.1961739</v>
      </c>
      <c r="N19" s="24">
        <v>2880</v>
      </c>
      <c r="O19" s="25">
        <v>3240</v>
      </c>
      <c r="P19" s="16" t="s">
        <v>115</v>
      </c>
      <c r="Q19" s="13">
        <f>SUMIFS($G$3:G$1996,$A$3:$A$1996,"&gt;"&amp;N19,$A$3:$A$1996,"&lt;="&amp;O19)</f>
        <v>0</v>
      </c>
      <c r="R19" s="13">
        <f>SUMIFS($H$3:H$1996,$A$3:$A$1996,"&gt;"&amp;N19,$A$3:$A$1996,"&lt;="&amp;O19)</f>
        <v>4581281723.9674292</v>
      </c>
      <c r="S19" s="14">
        <f>SUMIFS($F$3:F$1996,$A$3:$A$1996,"&gt;"&amp;N19,$A$3:$A$1996,"&lt;="&amp;O19)</f>
        <v>0</v>
      </c>
      <c r="Y19" s="16" t="s">
        <v>115</v>
      </c>
      <c r="Z19" s="13">
        <v>0</v>
      </c>
      <c r="AA19" s="13">
        <v>4581281723.9674292</v>
      </c>
      <c r="AB19" s="14">
        <v>0</v>
      </c>
    </row>
    <row r="20" spans="1:28" ht="15" customHeight="1" thickBot="1" x14ac:dyDescent="0.4">
      <c r="A20" s="5">
        <f t="shared" si="0"/>
        <v>510</v>
      </c>
      <c r="B20" s="3">
        <v>46446</v>
      </c>
      <c r="C20" s="50">
        <v>3833994024.2763772</v>
      </c>
      <c r="D20" s="50">
        <v>35194.564760559188</v>
      </c>
      <c r="E20" s="50">
        <v>36011519040.949707</v>
      </c>
      <c r="F20" s="50">
        <v>31032.806301918103</v>
      </c>
      <c r="G20" s="50">
        <v>8381778066.3588419</v>
      </c>
      <c r="H20" s="50">
        <v>1390860336.101887</v>
      </c>
      <c r="N20" s="24">
        <v>3240</v>
      </c>
      <c r="O20" s="25">
        <v>3600</v>
      </c>
      <c r="P20" s="16" t="s">
        <v>116</v>
      </c>
      <c r="Q20" s="13">
        <f>SUMIFS($G$3:G$1996,$A$3:$A$1996,"&gt;"&amp;N20,$A$3:$A$1996,"&lt;="&amp;O20)</f>
        <v>0</v>
      </c>
      <c r="R20" s="13">
        <f>SUMIFS($H$3:H$1996,$A$3:$A$1996,"&gt;"&amp;N20,$A$3:$A$1996,"&lt;="&amp;O20)</f>
        <v>22411221264.736061</v>
      </c>
      <c r="S20" s="14">
        <f>SUMIFS($F$3:F$1996,$A$3:$A$1996,"&gt;"&amp;N20,$A$3:$A$1996,"&lt;="&amp;O20)</f>
        <v>0</v>
      </c>
      <c r="Y20" s="16" t="s">
        <v>116</v>
      </c>
      <c r="Z20" s="13">
        <v>0</v>
      </c>
      <c r="AA20" s="13">
        <v>22411221264.736061</v>
      </c>
      <c r="AB20" s="14">
        <v>0</v>
      </c>
    </row>
    <row r="21" spans="1:28" ht="15" customHeight="1" thickBot="1" x14ac:dyDescent="0.4">
      <c r="A21" s="5">
        <f t="shared" si="0"/>
        <v>541</v>
      </c>
      <c r="B21" s="3">
        <v>46477</v>
      </c>
      <c r="C21" s="50">
        <v>3833994024.2763772</v>
      </c>
      <c r="D21" s="50">
        <v>35194.564760559188</v>
      </c>
      <c r="E21" s="50">
        <v>36011519040.949707</v>
      </c>
      <c r="F21" s="50">
        <v>30760.966050703013</v>
      </c>
      <c r="G21" s="50">
        <v>8300430831.3510456</v>
      </c>
      <c r="H21" s="50">
        <v>1369409823.945435</v>
      </c>
      <c r="N21" s="24">
        <v>3600</v>
      </c>
      <c r="O21" s="25">
        <v>5400</v>
      </c>
      <c r="P21" s="16" t="s">
        <v>117</v>
      </c>
      <c r="Q21" s="13">
        <f>SUMIFS($G$3:G$1996,$A$3:$A$1996,"&gt;"&amp;N21,$A$3:$A$1996,"&lt;="&amp;O21)</f>
        <v>0</v>
      </c>
      <c r="R21" s="13">
        <f>SUMIFS($H$3:H$1996,$A$3:$A$1996,"&gt;"&amp;N21,$A$3:$A$1996,"&lt;="&amp;O21)</f>
        <v>0</v>
      </c>
      <c r="S21" s="14">
        <f>SUMIFS($F$3:F$1996,$A$3:$A$1996,"&gt;"&amp;N21,$A$3:$A$1996,"&lt;="&amp;O21)</f>
        <v>0</v>
      </c>
      <c r="Y21" s="16" t="s">
        <v>117</v>
      </c>
      <c r="Z21" s="13">
        <v>0</v>
      </c>
      <c r="AA21" s="13">
        <v>0</v>
      </c>
      <c r="AB21" s="14">
        <v>0</v>
      </c>
    </row>
    <row r="22" spans="1:28" ht="15" customHeight="1" thickBot="1" x14ac:dyDescent="0.4">
      <c r="A22" s="5">
        <f t="shared" si="0"/>
        <v>571</v>
      </c>
      <c r="B22" s="3">
        <v>46507</v>
      </c>
      <c r="C22" s="50">
        <v>3833994024.2763772</v>
      </c>
      <c r="D22" s="50">
        <v>35194.564760559188</v>
      </c>
      <c r="E22" s="50">
        <v>36011519040.949707</v>
      </c>
      <c r="F22" s="50">
        <v>30489.899338022529</v>
      </c>
      <c r="G22" s="50">
        <v>8221092170.0471468</v>
      </c>
      <c r="H22" s="50">
        <v>1348415705.6646509</v>
      </c>
      <c r="N22" s="24">
        <v>5400</v>
      </c>
      <c r="O22" s="25">
        <v>7200</v>
      </c>
      <c r="P22" s="16" t="s">
        <v>118</v>
      </c>
      <c r="Q22" s="13">
        <f>SUMIFS($G$3:G$1996,$A$3:$A$1996,"&gt;"&amp;N22,$A$3:$A$1996,"&lt;="&amp;O22)</f>
        <v>0</v>
      </c>
      <c r="R22" s="13">
        <f>SUMIFS($H$3:H$1996,$A$3:$A$1996,"&gt;"&amp;N22,$A$3:$A$1996,"&lt;="&amp;O22)</f>
        <v>0</v>
      </c>
      <c r="S22" s="14">
        <f>SUMIFS($F$3:F$1996,$A$3:$A$1996,"&gt;"&amp;N22,$A$3:$A$1996,"&lt;="&amp;O22)</f>
        <v>0</v>
      </c>
      <c r="Y22" s="16" t="s">
        <v>118</v>
      </c>
      <c r="Z22" s="13">
        <v>0</v>
      </c>
      <c r="AA22" s="13">
        <v>0</v>
      </c>
      <c r="AB22" s="14">
        <v>0</v>
      </c>
    </row>
    <row r="23" spans="1:28" ht="15" customHeight="1" thickBot="1" x14ac:dyDescent="0.4">
      <c r="A23" s="5">
        <f t="shared" si="0"/>
        <v>602</v>
      </c>
      <c r="B23" s="3">
        <v>46538</v>
      </c>
      <c r="C23" s="50">
        <v>3833994024.2763772</v>
      </c>
      <c r="D23" s="50">
        <v>35194.564760559188</v>
      </c>
      <c r="E23" s="50">
        <v>36011519040.949707</v>
      </c>
      <c r="F23" s="50">
        <v>30222.866851821836</v>
      </c>
      <c r="G23" s="50">
        <v>8141753508.7432461</v>
      </c>
      <c r="H23" s="50">
        <v>1327649784.321703</v>
      </c>
      <c r="N23" s="26">
        <v>7200</v>
      </c>
      <c r="O23" s="27" t="s">
        <v>119</v>
      </c>
      <c r="P23" s="16" t="s">
        <v>120</v>
      </c>
      <c r="Q23" s="13">
        <f>SUMIFS($G$3:G$1996,$A$3:$A$1996,"&gt;"&amp;N23)</f>
        <v>0</v>
      </c>
      <c r="R23" s="13">
        <f>SUMIFS($H$3:H$1996,$A$3:$A$1996,"&gt;"&amp;N23,$A$3:$A$1996,"&lt;="&amp;O23)</f>
        <v>0</v>
      </c>
      <c r="S23" s="14">
        <f>SUMIFS($F$3:F$1996,$A$3:$A$1996,"&gt;"&amp;N23,$A$3:$A$1996,"&lt;="&amp;O23)</f>
        <v>0</v>
      </c>
      <c r="Y23" s="16" t="s">
        <v>120</v>
      </c>
      <c r="Z23" s="13">
        <v>0</v>
      </c>
      <c r="AA23" s="13">
        <v>0</v>
      </c>
      <c r="AB23" s="14">
        <v>0</v>
      </c>
    </row>
    <row r="24" spans="1:28" ht="19" customHeight="1" thickBot="1" x14ac:dyDescent="0.5">
      <c r="A24" s="5">
        <f t="shared" si="0"/>
        <v>632</v>
      </c>
      <c r="B24" s="3">
        <v>46568</v>
      </c>
      <c r="C24" s="50">
        <v>3833994024.2763772</v>
      </c>
      <c r="D24" s="50">
        <v>35194.564760559188</v>
      </c>
      <c r="E24" s="50">
        <v>36011519040.949707</v>
      </c>
      <c r="F24" s="50">
        <v>29955.834365621133</v>
      </c>
      <c r="G24" s="50">
        <v>8062414847.4393473</v>
      </c>
      <c r="H24" s="50">
        <v>1307226158.3855059</v>
      </c>
      <c r="P24" s="17" t="s">
        <v>121</v>
      </c>
      <c r="Q24" s="15">
        <f>SUM(Q5:Q23)</f>
        <v>1434695502783.0002</v>
      </c>
      <c r="R24" s="15">
        <f>SUM(R5:R23)</f>
        <v>162997812738.99997</v>
      </c>
      <c r="S24" s="15">
        <f>SUM(S5:S23)</f>
        <v>5763180.6854135618</v>
      </c>
      <c r="Y24" s="17" t="s">
        <v>121</v>
      </c>
      <c r="Z24" s="15">
        <v>1434695502783.0002</v>
      </c>
      <c r="AA24" s="15">
        <v>162997812738.99997</v>
      </c>
      <c r="AB24" s="15">
        <v>5763180.6854135618</v>
      </c>
    </row>
    <row r="25" spans="1:28" ht="19" customHeight="1" thickBot="1" x14ac:dyDescent="0.5">
      <c r="A25" s="5">
        <f t="shared" si="0"/>
        <v>663</v>
      </c>
      <c r="B25" s="3">
        <v>46599</v>
      </c>
      <c r="C25" s="50">
        <v>3833994024.2763772</v>
      </c>
      <c r="D25" s="50">
        <v>35194.564760559188</v>
      </c>
      <c r="E25" s="50">
        <v>36011519040.949707</v>
      </c>
      <c r="F25" s="50">
        <v>29692.836105900224</v>
      </c>
      <c r="G25" s="50">
        <v>7985084759.8393431</v>
      </c>
      <c r="H25" s="50">
        <v>1287144827.856061</v>
      </c>
      <c r="P25" s="18" t="s">
        <v>122</v>
      </c>
      <c r="Q25" s="15">
        <f>SUM(Q5:Q23)/1000000</f>
        <v>1434695.5027830002</v>
      </c>
      <c r="R25" s="15">
        <f>SUM(R5:R23)/1000000</f>
        <v>162997.81273899996</v>
      </c>
      <c r="S25" s="15">
        <f>SUM(S5:S23)/1000000</f>
        <v>5.7631806854135617</v>
      </c>
      <c r="Y25" s="18" t="s">
        <v>122</v>
      </c>
      <c r="Z25" s="15">
        <v>1434695.5027830002</v>
      </c>
      <c r="AA25" s="15">
        <v>162997.81273899996</v>
      </c>
      <c r="AB25" s="15">
        <v>5.7631806854135617</v>
      </c>
    </row>
    <row r="26" spans="1:28" x14ac:dyDescent="0.35">
      <c r="A26" s="5">
        <f t="shared" si="0"/>
        <v>694</v>
      </c>
      <c r="B26" s="3">
        <v>46630</v>
      </c>
      <c r="C26" s="50">
        <v>3833994024.2763772</v>
      </c>
      <c r="D26" s="50">
        <v>35194.564760559188</v>
      </c>
      <c r="E26" s="50">
        <v>36011519040.949707</v>
      </c>
      <c r="F26" s="50">
        <v>29433.098534124521</v>
      </c>
      <c r="G26" s="50">
        <v>7907754672.2393398</v>
      </c>
      <c r="H26" s="50">
        <v>1267291694.264451</v>
      </c>
    </row>
    <row r="27" spans="1:28" x14ac:dyDescent="0.35">
      <c r="A27" s="5">
        <f t="shared" si="0"/>
        <v>724</v>
      </c>
      <c r="B27" s="3">
        <v>46660</v>
      </c>
      <c r="C27" s="50">
        <v>3833994024.2763772</v>
      </c>
      <c r="D27" s="50">
        <v>35194.564760559188</v>
      </c>
      <c r="E27" s="50">
        <v>36011519040.949707</v>
      </c>
      <c r="F27" s="50">
        <v>29174.134500883392</v>
      </c>
      <c r="G27" s="50">
        <v>7831428871.4912834</v>
      </c>
      <c r="H27" s="50">
        <v>1247780856.0795929</v>
      </c>
    </row>
    <row r="28" spans="1:28" x14ac:dyDescent="0.35">
      <c r="A28" s="5">
        <f t="shared" si="0"/>
        <v>755</v>
      </c>
      <c r="B28" s="3">
        <v>46691</v>
      </c>
      <c r="C28" s="50">
        <v>3833994024.2763772</v>
      </c>
      <c r="D28" s="50">
        <v>35194.564760559188</v>
      </c>
      <c r="E28" s="50">
        <v>36011519040.949707</v>
      </c>
      <c r="F28" s="50">
        <v>28918.431155587474</v>
      </c>
      <c r="G28" s="50">
        <v>7756107357.5951757</v>
      </c>
      <c r="H28" s="50">
        <v>1228612313.301486</v>
      </c>
    </row>
    <row r="29" spans="1:28" x14ac:dyDescent="0.35">
      <c r="A29" s="5">
        <f t="shared" si="0"/>
        <v>785</v>
      </c>
      <c r="B29" s="3">
        <v>46721</v>
      </c>
      <c r="C29" s="50">
        <v>3833994024.2763772</v>
      </c>
      <c r="D29" s="50">
        <v>35194.564760559188</v>
      </c>
      <c r="E29" s="50">
        <v>36011519040.949707</v>
      </c>
      <c r="F29" s="50">
        <v>28663.501348826147</v>
      </c>
      <c r="G29" s="50">
        <v>7680785843.699069</v>
      </c>
      <c r="H29" s="50">
        <v>1209786065.9301319</v>
      </c>
    </row>
    <row r="30" spans="1:28" x14ac:dyDescent="0.35">
      <c r="A30" s="5">
        <f t="shared" si="0"/>
        <v>816</v>
      </c>
      <c r="B30" s="3">
        <v>46752</v>
      </c>
      <c r="C30" s="50">
        <v>3833994024.2763772</v>
      </c>
      <c r="D30" s="50">
        <v>35194.564760559188</v>
      </c>
      <c r="E30" s="50">
        <v>36011519040.949707</v>
      </c>
      <c r="F30" s="50">
        <v>28412.605768544599</v>
      </c>
      <c r="G30" s="50">
        <v>7606468616.6549091</v>
      </c>
      <c r="H30" s="50">
        <v>1191188015.4966121</v>
      </c>
      <c r="X30" s="44"/>
    </row>
    <row r="31" spans="1:28" x14ac:dyDescent="0.35">
      <c r="A31" s="5">
        <f t="shared" si="0"/>
        <v>847</v>
      </c>
      <c r="B31" s="3">
        <v>46783</v>
      </c>
      <c r="C31" s="50">
        <v>3833994024.2763772</v>
      </c>
      <c r="D31" s="50">
        <v>35194.564760559188</v>
      </c>
      <c r="E31" s="50">
        <v>36011519040.949707</v>
      </c>
      <c r="F31" s="50">
        <v>28164.970876208266</v>
      </c>
      <c r="G31" s="50">
        <v>7533155676.462698</v>
      </c>
      <c r="H31" s="50">
        <v>1172818162.000926</v>
      </c>
      <c r="N31" s="28"/>
      <c r="O31" s="28"/>
      <c r="P31" s="28"/>
      <c r="Q31" s="28"/>
      <c r="R31" s="28"/>
      <c r="S31" s="28"/>
      <c r="T31" s="28"/>
      <c r="U31" s="28"/>
      <c r="V31" s="28"/>
    </row>
    <row r="32" spans="1:28" x14ac:dyDescent="0.35">
      <c r="A32" s="5">
        <f t="shared" si="0"/>
        <v>876</v>
      </c>
      <c r="B32" s="3">
        <v>46812</v>
      </c>
      <c r="C32" s="50">
        <v>3833994024.2763772</v>
      </c>
      <c r="D32" s="50">
        <v>35194.564760559188</v>
      </c>
      <c r="E32" s="50">
        <v>36011519040.949707</v>
      </c>
      <c r="F32" s="50">
        <v>27918.10952240651</v>
      </c>
      <c r="G32" s="50">
        <v>7460847023.1224346</v>
      </c>
      <c r="H32" s="50">
        <v>1154790603.911993</v>
      </c>
      <c r="N32" s="28"/>
      <c r="O32" s="28"/>
      <c r="P32" s="28"/>
      <c r="Q32" s="28"/>
      <c r="R32" s="28"/>
      <c r="S32" s="28"/>
      <c r="T32" s="28"/>
      <c r="U32" s="28"/>
      <c r="V32" s="28"/>
    </row>
    <row r="33" spans="1:22" ht="15" customHeight="1" thickBot="1" x14ac:dyDescent="0.4">
      <c r="A33" s="5">
        <f t="shared" si="0"/>
        <v>907</v>
      </c>
      <c r="B33" s="3">
        <v>46843</v>
      </c>
      <c r="C33" s="50">
        <v>3833994024.2763772</v>
      </c>
      <c r="D33" s="50">
        <v>35194.564760559188</v>
      </c>
      <c r="E33" s="50">
        <v>36011519040.949707</v>
      </c>
      <c r="F33" s="50">
        <v>27671.248168604765</v>
      </c>
      <c r="G33" s="50">
        <v>7388538369.7821712</v>
      </c>
      <c r="H33" s="50">
        <v>1136991242.7608941</v>
      </c>
      <c r="N33" s="28"/>
      <c r="O33" s="28"/>
      <c r="P33" s="28"/>
      <c r="Q33" s="28"/>
      <c r="R33" s="28"/>
      <c r="S33" s="28"/>
      <c r="T33" s="28"/>
      <c r="U33" s="28"/>
      <c r="V33" s="28"/>
    </row>
    <row r="34" spans="1:22" ht="15" customHeight="1" thickBot="1" x14ac:dyDescent="0.4">
      <c r="A34" s="5">
        <f t="shared" si="0"/>
        <v>937</v>
      </c>
      <c r="B34" s="3">
        <v>46873</v>
      </c>
      <c r="C34" s="50">
        <v>3833994024.2763772</v>
      </c>
      <c r="D34" s="50">
        <v>35194.564760559188</v>
      </c>
      <c r="E34" s="50">
        <v>36011519040.949707</v>
      </c>
      <c r="F34" s="50">
        <v>27428.421041282803</v>
      </c>
      <c r="G34" s="50">
        <v>7317234003.2938566</v>
      </c>
      <c r="H34" s="50">
        <v>1119534177.016547</v>
      </c>
      <c r="N34" s="28"/>
      <c r="O34" s="28"/>
      <c r="P34" s="29" t="s">
        <v>123</v>
      </c>
      <c r="Q34" s="30" t="s">
        <v>98</v>
      </c>
      <c r="R34" s="30" t="s">
        <v>98</v>
      </c>
      <c r="S34" s="31" t="s">
        <v>98</v>
      </c>
      <c r="T34" s="28"/>
      <c r="U34" s="28"/>
      <c r="V34" s="28"/>
    </row>
    <row r="35" spans="1:22" ht="15" customHeight="1" thickBot="1" x14ac:dyDescent="0.4">
      <c r="A35" s="5">
        <f t="shared" si="0"/>
        <v>968</v>
      </c>
      <c r="B35" s="3">
        <v>46904</v>
      </c>
      <c r="C35" s="50">
        <v>3833994024.2763772</v>
      </c>
      <c r="D35" s="50">
        <v>35194.564760559188</v>
      </c>
      <c r="E35" s="50">
        <v>36011519040.949707</v>
      </c>
      <c r="F35" s="50">
        <v>27188.85460190603</v>
      </c>
      <c r="G35" s="50">
        <v>7246933923.6574898</v>
      </c>
      <c r="H35" s="50">
        <v>1102305308.2100351</v>
      </c>
      <c r="N35" s="28"/>
      <c r="O35" s="28"/>
      <c r="P35" s="32" t="s">
        <v>124</v>
      </c>
      <c r="Q35" s="33" t="s">
        <v>32</v>
      </c>
      <c r="R35" s="34" t="s">
        <v>37</v>
      </c>
      <c r="S35" s="33" t="s">
        <v>41</v>
      </c>
      <c r="T35" s="28"/>
      <c r="U35" s="28"/>
      <c r="V35" s="28"/>
    </row>
    <row r="36" spans="1:22" ht="15" customHeight="1" thickBot="1" x14ac:dyDescent="0.4">
      <c r="A36" s="5">
        <f t="shared" si="0"/>
        <v>998</v>
      </c>
      <c r="B36" s="3">
        <v>46934</v>
      </c>
      <c r="C36" s="50">
        <v>260558730.15873009</v>
      </c>
      <c r="D36" s="50">
        <v>35194.564760559188</v>
      </c>
      <c r="E36" s="50">
        <v>3459166099.773242</v>
      </c>
      <c r="F36" s="50">
        <v>26950.06170106386</v>
      </c>
      <c r="G36" s="50">
        <v>7176633844.021122</v>
      </c>
      <c r="H36" s="50">
        <v>1085304636.341357</v>
      </c>
      <c r="N36" s="28"/>
      <c r="O36" s="28"/>
      <c r="P36" s="35" t="s">
        <v>101</v>
      </c>
      <c r="Q36" s="36">
        <f t="shared" ref="Q36:Q54" si="1">IFERROR((Q5-Z5)/Z5,"NA")</f>
        <v>0</v>
      </c>
      <c r="R36" s="36">
        <f t="shared" ref="R36:R54" si="2">IFERROR((R5-AA5)/AA5,"NA")</f>
        <v>0</v>
      </c>
      <c r="S36" s="36">
        <f t="shared" ref="S36:S54" si="3">IFERROR((S5-AB5)/AB5,"NA")</f>
        <v>0</v>
      </c>
      <c r="T36" s="28"/>
      <c r="U36" s="28"/>
      <c r="V36" s="28"/>
    </row>
    <row r="37" spans="1:22" ht="15" customHeight="1" thickBot="1" x14ac:dyDescent="0.4">
      <c r="A37" s="5">
        <f t="shared" si="0"/>
        <v>1029</v>
      </c>
      <c r="B37" s="3">
        <v>46965</v>
      </c>
      <c r="C37" s="50">
        <v>260558730.15873009</v>
      </c>
      <c r="D37" s="50">
        <v>35194.564760559188</v>
      </c>
      <c r="E37" s="50">
        <v>3459166099.773242</v>
      </c>
      <c r="F37" s="50">
        <v>26712.042338756284</v>
      </c>
      <c r="G37" s="50">
        <v>7107338051.2367039</v>
      </c>
      <c r="H37" s="50">
        <v>1068646259.879432</v>
      </c>
      <c r="N37" s="28"/>
      <c r="O37" s="28"/>
      <c r="P37" s="35" t="s">
        <v>102</v>
      </c>
      <c r="Q37" s="36" t="str">
        <f t="shared" si="1"/>
        <v>NA</v>
      </c>
      <c r="R37" s="36" t="str">
        <f t="shared" si="2"/>
        <v>NA</v>
      </c>
      <c r="S37" s="36" t="str">
        <f t="shared" si="3"/>
        <v>NA</v>
      </c>
      <c r="T37" s="28"/>
      <c r="U37" s="28"/>
      <c r="V37" s="28"/>
    </row>
    <row r="38" spans="1:22" ht="15" customHeight="1" thickBot="1" x14ac:dyDescent="0.4">
      <c r="A38" s="5">
        <f t="shared" si="0"/>
        <v>1060</v>
      </c>
      <c r="B38" s="3">
        <v>46996</v>
      </c>
      <c r="C38" s="50">
        <v>260558730.15873009</v>
      </c>
      <c r="D38" s="50">
        <v>35194.564760559188</v>
      </c>
      <c r="E38" s="50">
        <v>3459166099.773242</v>
      </c>
      <c r="F38" s="50">
        <v>26477.283664393901</v>
      </c>
      <c r="G38" s="50">
        <v>7039046545.3042326</v>
      </c>
      <c r="H38" s="50">
        <v>1052216080.35534</v>
      </c>
      <c r="N38" s="28"/>
      <c r="O38" s="28"/>
      <c r="P38" s="35" t="s">
        <v>103</v>
      </c>
      <c r="Q38" s="36">
        <f t="shared" si="1"/>
        <v>0</v>
      </c>
      <c r="R38" s="36">
        <f t="shared" si="2"/>
        <v>0</v>
      </c>
      <c r="S38" s="36">
        <f t="shared" si="3"/>
        <v>0</v>
      </c>
      <c r="T38" s="28"/>
      <c r="U38" s="28"/>
      <c r="V38" s="28"/>
    </row>
    <row r="39" spans="1:22" ht="15" customHeight="1" thickBot="1" x14ac:dyDescent="0.4">
      <c r="A39" s="5">
        <f t="shared" si="0"/>
        <v>1090</v>
      </c>
      <c r="B39" s="3">
        <v>47026</v>
      </c>
      <c r="C39" s="50">
        <v>260558730.15873009</v>
      </c>
      <c r="D39" s="50">
        <v>35194.564760559188</v>
      </c>
      <c r="E39" s="50">
        <v>3459166099.773242</v>
      </c>
      <c r="F39" s="50">
        <v>26245.785677976713</v>
      </c>
      <c r="G39" s="50">
        <v>6970755039.3717623</v>
      </c>
      <c r="H39" s="50">
        <v>1036014097.769084</v>
      </c>
      <c r="N39" s="28"/>
      <c r="O39" s="28"/>
      <c r="P39" s="35" t="s">
        <v>104</v>
      </c>
      <c r="Q39" s="36">
        <f t="shared" si="1"/>
        <v>0</v>
      </c>
      <c r="R39" s="36">
        <f t="shared" si="2"/>
        <v>0</v>
      </c>
      <c r="S39" s="36">
        <f t="shared" si="3"/>
        <v>0</v>
      </c>
      <c r="T39" s="28"/>
      <c r="U39" s="28"/>
      <c r="V39" s="28"/>
    </row>
    <row r="40" spans="1:22" ht="15" customHeight="1" thickBot="1" x14ac:dyDescent="0.4">
      <c r="A40" s="5">
        <f t="shared" si="0"/>
        <v>1121</v>
      </c>
      <c r="B40" s="3">
        <v>47057</v>
      </c>
      <c r="C40" s="50">
        <v>260558730.15873009</v>
      </c>
      <c r="D40" s="50">
        <v>35194.564760559188</v>
      </c>
      <c r="E40" s="50">
        <v>3459166099.773242</v>
      </c>
      <c r="F40" s="50">
        <v>26015.061230094125</v>
      </c>
      <c r="G40" s="50">
        <v>6903467820.2912388</v>
      </c>
      <c r="H40" s="50">
        <v>1020154410.589579</v>
      </c>
      <c r="N40" s="28"/>
      <c r="O40" s="28"/>
      <c r="P40" s="35" t="s">
        <v>105</v>
      </c>
      <c r="Q40" s="36">
        <f t="shared" si="1"/>
        <v>0</v>
      </c>
      <c r="R40" s="36">
        <f t="shared" si="2"/>
        <v>0</v>
      </c>
      <c r="S40" s="36">
        <f t="shared" si="3"/>
        <v>0</v>
      </c>
      <c r="T40" s="28"/>
      <c r="U40" s="28"/>
      <c r="V40" s="28"/>
    </row>
    <row r="41" spans="1:22" ht="15" customHeight="1" thickBot="1" x14ac:dyDescent="0.4">
      <c r="A41" s="5">
        <f t="shared" si="0"/>
        <v>1151</v>
      </c>
      <c r="B41" s="3">
        <v>47087</v>
      </c>
      <c r="C41" s="50">
        <v>260558730.15873009</v>
      </c>
      <c r="D41" s="50">
        <v>35194.564760559188</v>
      </c>
      <c r="E41" s="50">
        <v>3459166099.773242</v>
      </c>
      <c r="F41" s="50">
        <v>25784.336782211525</v>
      </c>
      <c r="G41" s="50">
        <v>6837184888.062664</v>
      </c>
      <c r="H41" s="50">
        <v>1004408821.878992</v>
      </c>
      <c r="N41" s="28"/>
      <c r="O41" s="28"/>
      <c r="P41" s="35" t="s">
        <v>106</v>
      </c>
      <c r="Q41" s="36">
        <f t="shared" si="1"/>
        <v>0</v>
      </c>
      <c r="R41" s="36">
        <f t="shared" si="2"/>
        <v>0</v>
      </c>
      <c r="S41" s="36">
        <f t="shared" si="3"/>
        <v>0</v>
      </c>
      <c r="T41" s="28"/>
      <c r="U41" s="28"/>
      <c r="V41" s="28"/>
    </row>
    <row r="42" spans="1:22" ht="15" customHeight="1" thickBot="1" x14ac:dyDescent="0.4">
      <c r="A42" s="5">
        <f t="shared" si="0"/>
        <v>1182</v>
      </c>
      <c r="B42" s="3">
        <v>47118</v>
      </c>
      <c r="C42" s="50">
        <v>260558730.15873009</v>
      </c>
      <c r="D42" s="50">
        <v>35194.564760559188</v>
      </c>
      <c r="E42" s="50">
        <v>3459166099.773242</v>
      </c>
      <c r="F42" s="50">
        <v>25560.907248753931</v>
      </c>
      <c r="G42" s="50">
        <v>6770901955.8340902</v>
      </c>
      <c r="H42" s="50">
        <v>989005528.57515633</v>
      </c>
      <c r="N42" s="28"/>
      <c r="O42" s="28"/>
      <c r="P42" s="35" t="s">
        <v>107</v>
      </c>
      <c r="Q42" s="36">
        <f t="shared" si="1"/>
        <v>0</v>
      </c>
      <c r="R42" s="36">
        <f t="shared" si="2"/>
        <v>0</v>
      </c>
      <c r="S42" s="36">
        <f t="shared" si="3"/>
        <v>0</v>
      </c>
      <c r="T42" s="28"/>
      <c r="U42" s="28"/>
      <c r="V42" s="28"/>
    </row>
    <row r="43" spans="1:22" ht="15" customHeight="1" thickBot="1" x14ac:dyDescent="0.4">
      <c r="A43" s="5">
        <f t="shared" si="0"/>
        <v>1213</v>
      </c>
      <c r="B43" s="3">
        <v>47149</v>
      </c>
      <c r="C43" s="50">
        <v>260558730.15873009</v>
      </c>
      <c r="D43" s="50">
        <v>35194.564760559188</v>
      </c>
      <c r="E43" s="50">
        <v>3459166099.773242</v>
      </c>
      <c r="F43" s="50">
        <v>25334.990565885717</v>
      </c>
      <c r="G43" s="50">
        <v>6705623310.4574633</v>
      </c>
      <c r="H43" s="50">
        <v>973716333.74023807</v>
      </c>
      <c r="N43" s="28"/>
      <c r="O43" s="28"/>
      <c r="P43" s="35" t="s">
        <v>108</v>
      </c>
      <c r="Q43" s="36">
        <f t="shared" si="1"/>
        <v>0</v>
      </c>
      <c r="R43" s="36">
        <f t="shared" si="2"/>
        <v>0</v>
      </c>
      <c r="S43" s="36">
        <f t="shared" si="3"/>
        <v>0</v>
      </c>
      <c r="T43" s="28"/>
      <c r="U43" s="28"/>
      <c r="V43" s="28"/>
    </row>
    <row r="44" spans="1:22" ht="15" customHeight="1" thickBot="1" x14ac:dyDescent="0.4">
      <c r="A44" s="5">
        <f t="shared" si="0"/>
        <v>1241</v>
      </c>
      <c r="B44" s="3">
        <v>47177</v>
      </c>
      <c r="C44" s="50">
        <v>260558730.15873009</v>
      </c>
      <c r="D44" s="50">
        <v>35194.564760559188</v>
      </c>
      <c r="E44" s="50">
        <v>3459166099.773242</v>
      </c>
      <c r="F44" s="50">
        <v>25112.334570962703</v>
      </c>
      <c r="G44" s="50">
        <v>6641348951.932785</v>
      </c>
      <c r="H44" s="50">
        <v>958769434.31207192</v>
      </c>
      <c r="N44" s="28"/>
      <c r="O44" s="28"/>
      <c r="P44" s="35" t="s">
        <v>109</v>
      </c>
      <c r="Q44" s="36">
        <f t="shared" si="1"/>
        <v>0</v>
      </c>
      <c r="R44" s="36">
        <f t="shared" si="2"/>
        <v>0</v>
      </c>
      <c r="S44" s="36">
        <f t="shared" si="3"/>
        <v>0</v>
      </c>
      <c r="T44" s="28"/>
      <c r="U44" s="28"/>
      <c r="V44" s="28"/>
    </row>
    <row r="45" spans="1:22" ht="15" customHeight="1" thickBot="1" x14ac:dyDescent="0.4">
      <c r="A45" s="5">
        <f t="shared" si="0"/>
        <v>1272</v>
      </c>
      <c r="B45" s="3">
        <v>47208</v>
      </c>
      <c r="C45" s="50">
        <v>89162651.727357611</v>
      </c>
      <c r="D45" s="50">
        <v>35194.564760559188</v>
      </c>
      <c r="E45" s="50">
        <v>1255895791.6499929</v>
      </c>
      <c r="F45" s="50">
        <v>24893.71280251948</v>
      </c>
      <c r="G45" s="50">
        <v>6577074593.4081068</v>
      </c>
      <c r="H45" s="50">
        <v>944050731.82174015</v>
      </c>
      <c r="N45" s="28"/>
      <c r="O45" s="28"/>
      <c r="P45" s="35" t="s">
        <v>110</v>
      </c>
      <c r="Q45" s="36">
        <f t="shared" si="1"/>
        <v>0</v>
      </c>
      <c r="R45" s="36">
        <f t="shared" si="2"/>
        <v>0</v>
      </c>
      <c r="S45" s="36">
        <f t="shared" si="3"/>
        <v>0</v>
      </c>
      <c r="T45" s="28"/>
      <c r="U45" s="28"/>
      <c r="V45" s="28"/>
    </row>
    <row r="46" spans="1:22" ht="15" customHeight="1" thickBot="1" x14ac:dyDescent="0.4">
      <c r="A46" s="5">
        <f t="shared" si="0"/>
        <v>1302</v>
      </c>
      <c r="B46" s="3">
        <v>47238</v>
      </c>
      <c r="C46" s="50"/>
      <c r="D46" s="50">
        <v>35194.564760559188</v>
      </c>
      <c r="E46" s="50"/>
      <c r="F46" s="50">
        <v>24675.091034076257</v>
      </c>
      <c r="G46" s="50">
        <v>6513804521.7353764</v>
      </c>
      <c r="H46" s="50">
        <v>929560226.269243</v>
      </c>
      <c r="N46" s="28"/>
      <c r="O46" s="28"/>
      <c r="P46" s="35" t="s">
        <v>111</v>
      </c>
      <c r="Q46" s="36">
        <f t="shared" si="1"/>
        <v>0</v>
      </c>
      <c r="R46" s="36">
        <f t="shared" si="2"/>
        <v>0</v>
      </c>
      <c r="S46" s="36">
        <f t="shared" si="3"/>
        <v>0</v>
      </c>
      <c r="T46" s="28"/>
      <c r="U46" s="28"/>
      <c r="V46" s="28"/>
    </row>
    <row r="47" spans="1:22" ht="15" customHeight="1" thickBot="1" x14ac:dyDescent="0.4">
      <c r="A47" s="5">
        <f t="shared" si="0"/>
        <v>1333</v>
      </c>
      <c r="B47" s="3">
        <v>47269</v>
      </c>
      <c r="C47" s="50"/>
      <c r="D47" s="50">
        <v>35194.564760559188</v>
      </c>
      <c r="E47" s="50"/>
      <c r="F47" s="50">
        <v>24456.46926563303</v>
      </c>
      <c r="G47" s="50">
        <v>6450534450.0626459</v>
      </c>
      <c r="H47" s="50">
        <v>915183819.18566322</v>
      </c>
      <c r="N47" s="28"/>
      <c r="O47" s="28"/>
      <c r="P47" s="35" t="s">
        <v>112</v>
      </c>
      <c r="Q47" s="36">
        <f t="shared" si="1"/>
        <v>0</v>
      </c>
      <c r="R47" s="36">
        <f t="shared" si="2"/>
        <v>0</v>
      </c>
      <c r="S47" s="36">
        <f t="shared" si="3"/>
        <v>0</v>
      </c>
      <c r="T47" s="28"/>
      <c r="U47" s="28"/>
      <c r="V47" s="28"/>
    </row>
    <row r="48" spans="1:22" ht="15" customHeight="1" thickBot="1" x14ac:dyDescent="0.4">
      <c r="A48" s="5">
        <f t="shared" si="0"/>
        <v>1363</v>
      </c>
      <c r="B48" s="3">
        <v>47299</v>
      </c>
      <c r="C48" s="50"/>
      <c r="D48" s="50">
        <v>35194.564760559188</v>
      </c>
      <c r="E48" s="50"/>
      <c r="F48" s="50">
        <v>24241.881723669598</v>
      </c>
      <c r="G48" s="50">
        <v>6388268665.2418642</v>
      </c>
      <c r="H48" s="50">
        <v>901149707.50883532</v>
      </c>
      <c r="N48" s="28"/>
      <c r="O48" s="28"/>
      <c r="P48" s="35" t="s">
        <v>113</v>
      </c>
      <c r="Q48" s="36">
        <f t="shared" si="1"/>
        <v>0</v>
      </c>
      <c r="R48" s="36">
        <f t="shared" si="2"/>
        <v>0</v>
      </c>
      <c r="S48" s="36" t="str">
        <f t="shared" si="3"/>
        <v>NA</v>
      </c>
      <c r="T48" s="28"/>
      <c r="U48" s="28"/>
      <c r="V48" s="28"/>
    </row>
    <row r="49" spans="1:24" ht="15" customHeight="1" thickBot="1" x14ac:dyDescent="0.4">
      <c r="A49" s="5">
        <f t="shared" si="0"/>
        <v>1394</v>
      </c>
      <c r="B49" s="3">
        <v>47330</v>
      </c>
      <c r="C49" s="50"/>
      <c r="D49" s="50">
        <v>35194.564760559188</v>
      </c>
      <c r="E49" s="50"/>
      <c r="F49" s="50">
        <v>24030.554869651365</v>
      </c>
      <c r="G49" s="50">
        <v>6327007167.2730303</v>
      </c>
      <c r="H49" s="50">
        <v>887229694.30092466</v>
      </c>
      <c r="N49" s="28"/>
      <c r="O49" s="28"/>
      <c r="P49" s="35" t="s">
        <v>114</v>
      </c>
      <c r="Q49" s="36" t="str">
        <f t="shared" si="1"/>
        <v>NA</v>
      </c>
      <c r="R49" s="36">
        <f t="shared" si="2"/>
        <v>0</v>
      </c>
      <c r="S49" s="36" t="str">
        <f t="shared" si="3"/>
        <v>NA</v>
      </c>
      <c r="T49" s="28"/>
      <c r="U49" s="28"/>
      <c r="V49" s="28"/>
    </row>
    <row r="50" spans="1:24" ht="15" customHeight="1" thickBot="1" x14ac:dyDescent="0.4">
      <c r="A50" s="5">
        <f t="shared" si="0"/>
        <v>1425</v>
      </c>
      <c r="B50" s="3">
        <v>47361</v>
      </c>
      <c r="C50" s="50"/>
      <c r="D50" s="50">
        <v>35194.564760559188</v>
      </c>
      <c r="E50" s="50"/>
      <c r="F50" s="50">
        <v>23816.740866222517</v>
      </c>
      <c r="G50" s="50">
        <v>6265745669.3041954</v>
      </c>
      <c r="H50" s="50">
        <v>873651976.49976599</v>
      </c>
      <c r="N50" s="28"/>
      <c r="O50" s="28"/>
      <c r="P50" s="35" t="s">
        <v>115</v>
      </c>
      <c r="Q50" s="36" t="str">
        <f t="shared" si="1"/>
        <v>NA</v>
      </c>
      <c r="R50" s="36">
        <f t="shared" si="2"/>
        <v>0</v>
      </c>
      <c r="S50" s="36" t="str">
        <f t="shared" si="3"/>
        <v>NA</v>
      </c>
      <c r="T50" s="28"/>
      <c r="U50" s="28"/>
      <c r="V50" s="28"/>
    </row>
    <row r="51" spans="1:24" ht="15" customHeight="1" thickBot="1" x14ac:dyDescent="0.4">
      <c r="A51" s="5">
        <f t="shared" si="0"/>
        <v>1455</v>
      </c>
      <c r="B51" s="3">
        <v>47391</v>
      </c>
      <c r="C51" s="50"/>
      <c r="D51" s="50">
        <v>35194.564760559188</v>
      </c>
      <c r="E51" s="50"/>
      <c r="F51" s="50">
        <v>23610.22177721866</v>
      </c>
      <c r="G51" s="50">
        <v>6205488458.1873093</v>
      </c>
      <c r="H51" s="50">
        <v>860188357.16752458</v>
      </c>
      <c r="N51" s="28"/>
      <c r="O51" s="28"/>
      <c r="P51" s="35" t="s">
        <v>116</v>
      </c>
      <c r="Q51" s="36" t="str">
        <f t="shared" si="1"/>
        <v>NA</v>
      </c>
      <c r="R51" s="36">
        <f t="shared" si="2"/>
        <v>0</v>
      </c>
      <c r="S51" s="36" t="str">
        <f t="shared" si="3"/>
        <v>NA</v>
      </c>
      <c r="T51" s="28"/>
      <c r="U51" s="28"/>
      <c r="V51" s="28"/>
    </row>
    <row r="52" spans="1:24" ht="15" customHeight="1" thickBot="1" x14ac:dyDescent="0.4">
      <c r="A52" s="5">
        <f t="shared" si="0"/>
        <v>1486</v>
      </c>
      <c r="B52" s="3">
        <v>47422</v>
      </c>
      <c r="C52" s="50"/>
      <c r="D52" s="50">
        <v>35194.564760559188</v>
      </c>
      <c r="E52" s="50"/>
      <c r="F52" s="50">
        <v>23403.702688214798</v>
      </c>
      <c r="G52" s="50">
        <v>6145231247.0704241</v>
      </c>
      <c r="H52" s="50">
        <v>846952934.77311778</v>
      </c>
      <c r="N52" s="28"/>
      <c r="O52" s="28"/>
      <c r="P52" s="35" t="s">
        <v>117</v>
      </c>
      <c r="Q52" s="36" t="str">
        <f t="shared" si="1"/>
        <v>NA</v>
      </c>
      <c r="R52" s="36" t="str">
        <f t="shared" si="2"/>
        <v>NA</v>
      </c>
      <c r="S52" s="36" t="str">
        <f t="shared" si="3"/>
        <v>NA</v>
      </c>
      <c r="T52" s="28"/>
      <c r="U52" s="28"/>
      <c r="V52" s="28"/>
    </row>
    <row r="53" spans="1:24" ht="15" customHeight="1" thickBot="1" x14ac:dyDescent="0.4">
      <c r="A53" s="5">
        <f t="shared" si="0"/>
        <v>1516</v>
      </c>
      <c r="B53" s="3">
        <v>47452</v>
      </c>
      <c r="C53" s="50"/>
      <c r="D53" s="50">
        <v>35194.564760559188</v>
      </c>
      <c r="E53" s="50"/>
      <c r="F53" s="50">
        <v>23197.183599210945</v>
      </c>
      <c r="G53" s="50">
        <v>6085978322.8054857</v>
      </c>
      <c r="H53" s="50">
        <v>833945709.31654561</v>
      </c>
      <c r="N53" s="28"/>
      <c r="O53" s="28"/>
      <c r="P53" s="35" t="s">
        <v>118</v>
      </c>
      <c r="Q53" s="36" t="str">
        <f t="shared" si="1"/>
        <v>NA</v>
      </c>
      <c r="R53" s="36" t="str">
        <f t="shared" si="2"/>
        <v>NA</v>
      </c>
      <c r="S53" s="36" t="str">
        <f t="shared" si="3"/>
        <v>NA</v>
      </c>
      <c r="T53" s="28"/>
      <c r="U53" s="28"/>
      <c r="V53" s="28"/>
    </row>
    <row r="54" spans="1:24" ht="15" customHeight="1" thickBot="1" x14ac:dyDescent="0.4">
      <c r="A54" s="5">
        <f t="shared" si="0"/>
        <v>1547</v>
      </c>
      <c r="B54" s="3">
        <v>47483</v>
      </c>
      <c r="C54" s="50"/>
      <c r="D54" s="50">
        <v>35194.564760559188</v>
      </c>
      <c r="E54" s="50"/>
      <c r="F54" s="50">
        <v>22994.698736686878</v>
      </c>
      <c r="G54" s="50">
        <v>6026725398.5405483</v>
      </c>
      <c r="H54" s="50">
        <v>821166680.79780805</v>
      </c>
      <c r="N54" s="28"/>
      <c r="O54" s="28"/>
      <c r="P54" s="35" t="s">
        <v>120</v>
      </c>
      <c r="Q54" s="36" t="str">
        <f t="shared" si="1"/>
        <v>NA</v>
      </c>
      <c r="R54" s="36" t="str">
        <f t="shared" si="2"/>
        <v>NA</v>
      </c>
      <c r="S54" s="36" t="str">
        <f t="shared" si="3"/>
        <v>NA</v>
      </c>
      <c r="T54" s="28"/>
      <c r="U54" s="28"/>
      <c r="V54" s="28"/>
    </row>
    <row r="55" spans="1:24" ht="19" customHeight="1" thickBot="1" x14ac:dyDescent="0.5">
      <c r="A55" s="5">
        <f t="shared" si="0"/>
        <v>1578</v>
      </c>
      <c r="B55" s="3">
        <v>47514</v>
      </c>
      <c r="C55" s="50"/>
      <c r="D55" s="50">
        <v>35194.564760559188</v>
      </c>
      <c r="E55" s="50"/>
      <c r="F55" s="50">
        <v>22792.213874162815</v>
      </c>
      <c r="G55" s="50">
        <v>5968476761.1275587</v>
      </c>
      <c r="H55" s="50">
        <v>808501750.74798775</v>
      </c>
      <c r="N55" s="28"/>
      <c r="O55" s="28"/>
      <c r="P55" s="37" t="s">
        <v>121</v>
      </c>
      <c r="Q55" s="15">
        <f t="shared" ref="Q55:S56" si="4">IFERROR((Q24-Z24),"NA")</f>
        <v>0</v>
      </c>
      <c r="R55" s="15">
        <f t="shared" si="4"/>
        <v>0</v>
      </c>
      <c r="S55" s="15">
        <f t="shared" si="4"/>
        <v>0</v>
      </c>
      <c r="T55" s="28"/>
      <c r="U55" s="28"/>
      <c r="V55" s="28"/>
    </row>
    <row r="56" spans="1:24" ht="19" customHeight="1" thickBot="1" x14ac:dyDescent="0.5">
      <c r="A56" s="5">
        <f t="shared" si="0"/>
        <v>1606</v>
      </c>
      <c r="B56" s="3">
        <v>47542</v>
      </c>
      <c r="C56" s="50"/>
      <c r="D56" s="50">
        <v>35194.564760559188</v>
      </c>
      <c r="E56" s="50"/>
      <c r="F56" s="50">
        <v>22590.502550173336</v>
      </c>
      <c r="G56" s="50">
        <v>5911232410.5665159</v>
      </c>
      <c r="H56" s="50">
        <v>796065017.63600194</v>
      </c>
      <c r="N56" s="28"/>
      <c r="O56" s="28"/>
      <c r="P56" s="38" t="s">
        <v>122</v>
      </c>
      <c r="Q56" s="15">
        <f t="shared" si="4"/>
        <v>0</v>
      </c>
      <c r="R56" s="15">
        <f t="shared" si="4"/>
        <v>0</v>
      </c>
      <c r="S56" s="15">
        <f t="shared" si="4"/>
        <v>0</v>
      </c>
      <c r="T56" s="28"/>
      <c r="U56" s="28"/>
      <c r="V56" s="28"/>
    </row>
    <row r="57" spans="1:24" x14ac:dyDescent="0.35">
      <c r="A57" s="5">
        <f t="shared" si="0"/>
        <v>1637</v>
      </c>
      <c r="B57" s="3">
        <v>47573</v>
      </c>
      <c r="C57" s="50"/>
      <c r="D57" s="50">
        <v>35194.564760559188</v>
      </c>
      <c r="E57" s="50"/>
      <c r="F57" s="50">
        <v>22392.051914129064</v>
      </c>
      <c r="G57" s="50">
        <v>5853988060.005475</v>
      </c>
      <c r="H57" s="50">
        <v>783856481.461851</v>
      </c>
      <c r="N57" s="28"/>
      <c r="O57" s="28"/>
      <c r="P57" s="28"/>
      <c r="Q57" s="28"/>
      <c r="R57" s="28"/>
      <c r="S57" s="28"/>
      <c r="T57" s="28"/>
      <c r="U57" s="28"/>
      <c r="V57" s="28"/>
    </row>
    <row r="58" spans="1:24" x14ac:dyDescent="0.35">
      <c r="A58" s="5">
        <f t="shared" si="0"/>
        <v>1667</v>
      </c>
      <c r="B58" s="3">
        <v>47603</v>
      </c>
      <c r="C58" s="50"/>
      <c r="D58" s="50">
        <v>35194.564760559188</v>
      </c>
      <c r="E58" s="50"/>
      <c r="F58" s="50">
        <v>22196.861966029981</v>
      </c>
      <c r="G58" s="50">
        <v>5797747996.296382</v>
      </c>
      <c r="H58" s="50">
        <v>771762043.75661707</v>
      </c>
      <c r="N58" s="28"/>
      <c r="O58" s="28"/>
      <c r="P58" s="39" t="s">
        <v>125</v>
      </c>
      <c r="Q58" s="40" t="s">
        <v>126</v>
      </c>
      <c r="R58" s="40" t="s">
        <v>127</v>
      </c>
      <c r="S58" s="40" t="s">
        <v>128</v>
      </c>
      <c r="T58" s="40" t="s">
        <v>129</v>
      </c>
      <c r="U58" s="28"/>
      <c r="V58" s="28"/>
    </row>
    <row r="59" spans="1:24" ht="16" customHeight="1" x14ac:dyDescent="0.35">
      <c r="A59" s="5">
        <f t="shared" si="0"/>
        <v>1698</v>
      </c>
      <c r="B59" s="3">
        <v>47634</v>
      </c>
      <c r="C59" s="50"/>
      <c r="D59" s="50">
        <v>35194.564760559188</v>
      </c>
      <c r="E59" s="50"/>
      <c r="F59" s="50">
        <v>21999.1848685203</v>
      </c>
      <c r="G59" s="50">
        <v>5741507932.5872869</v>
      </c>
      <c r="H59" s="50">
        <v>759895802.98921788</v>
      </c>
      <c r="N59" s="28"/>
      <c r="O59" s="28"/>
      <c r="P59" s="41" t="s">
        <v>130</v>
      </c>
      <c r="Q59" s="42">
        <f>SUMIF(DATOS!$G:$G,"INPT_CTA_CTE",DATOS!$C:$C)</f>
        <v>1434695502783</v>
      </c>
      <c r="R59" s="42">
        <f>SUMIFS(DATOS!$C:$C,DATOS!$A:$A,"MDL_MT_CTA. CORRIENTE")</f>
        <v>1434695502783</v>
      </c>
      <c r="S59" s="42">
        <f>$Q$24</f>
        <v>1434695502783.0002</v>
      </c>
      <c r="T59" s="42">
        <f>ROUND(ABS(R59-S59),0)</f>
        <v>0</v>
      </c>
      <c r="U59" s="28"/>
      <c r="V59" s="28"/>
      <c r="X59" s="46"/>
    </row>
    <row r="60" spans="1:24" ht="16" customHeight="1" x14ac:dyDescent="0.35">
      <c r="A60" s="5">
        <f t="shared" si="0"/>
        <v>1728</v>
      </c>
      <c r="B60" s="3">
        <v>47664</v>
      </c>
      <c r="C60" s="50"/>
      <c r="D60" s="50">
        <v>35194.564760559188</v>
      </c>
      <c r="E60" s="50"/>
      <c r="F60" s="50">
        <v>21808.802685435599</v>
      </c>
      <c r="G60" s="50">
        <v>5686272155.7301426</v>
      </c>
      <c r="H60" s="50">
        <v>748143660.69073606</v>
      </c>
      <c r="N60" s="28"/>
      <c r="O60" s="28"/>
      <c r="P60" s="41" t="s">
        <v>131</v>
      </c>
      <c r="Q60" s="42">
        <f>SUMIF(DATOS!$G:$G,"INPT_CTA_VTA",DATOS!$C:$C)</f>
        <v>162997812739</v>
      </c>
      <c r="R60" s="42">
        <f>SUMIFS(DATOS!$C:$C,DATOS!$A:$A,"MDL_MT.CTA. VISTA")</f>
        <v>162997812739</v>
      </c>
      <c r="S60" s="42">
        <f>$R$24</f>
        <v>162997812738.99997</v>
      </c>
      <c r="T60" s="42">
        <f>ROUND(ABS(R60-S60),0)</f>
        <v>0</v>
      </c>
      <c r="U60" s="28"/>
      <c r="V60" s="28"/>
    </row>
    <row r="61" spans="1:24" ht="16" customHeight="1" x14ac:dyDescent="0.35">
      <c r="A61" s="5">
        <f t="shared" si="0"/>
        <v>1759</v>
      </c>
      <c r="B61" s="3">
        <v>47695</v>
      </c>
      <c r="C61" s="50"/>
      <c r="D61" s="50">
        <v>35194.564760559188</v>
      </c>
      <c r="E61" s="50"/>
      <c r="F61" s="50">
        <v>21615.159814405706</v>
      </c>
      <c r="G61" s="50">
        <v>5631036378.8729963</v>
      </c>
      <c r="H61" s="50">
        <v>736733813.79900599</v>
      </c>
      <c r="N61" s="28"/>
      <c r="O61" s="28"/>
      <c r="P61" s="41" t="s">
        <v>132</v>
      </c>
      <c r="Q61" s="42">
        <f>SUMIF(DATOS!$G:$G,"INPT_AGD",DATOS!$C:$C)+SUMIF(DATOS!$G:$G,"INPT_AGI",DATOS!$C:$C)</f>
        <v>5763180.6854135618</v>
      </c>
      <c r="R61" s="42">
        <f>SUMIFS(DATOS!$C:$C,DATOS!$A:$A,"MDL_MT_CTA. AHORRO")</f>
        <v>5763180.6854135608</v>
      </c>
      <c r="S61" s="42">
        <f>$S$24</f>
        <v>5763180.6854135618</v>
      </c>
      <c r="T61" s="42">
        <f>ROUND(ABS(R61-S61),0)</f>
        <v>0</v>
      </c>
      <c r="U61" s="28"/>
      <c r="V61" s="28"/>
      <c r="X61" s="5"/>
    </row>
    <row r="62" spans="1:24" x14ac:dyDescent="0.35">
      <c r="A62" s="5">
        <f t="shared" si="0"/>
        <v>1790</v>
      </c>
      <c r="B62" s="3">
        <v>47726</v>
      </c>
      <c r="C62" s="50"/>
      <c r="D62" s="50">
        <v>35194.564760559188</v>
      </c>
      <c r="E62" s="50"/>
      <c r="F62" s="50">
        <v>21428.038319266208</v>
      </c>
      <c r="G62" s="50">
        <v>5576804888.8677988</v>
      </c>
      <c r="H62" s="50">
        <v>725323966.90727603</v>
      </c>
      <c r="N62" s="28"/>
      <c r="O62" s="28"/>
      <c r="P62" s="28"/>
      <c r="Q62" s="28"/>
      <c r="R62" s="28"/>
      <c r="S62" s="28"/>
      <c r="T62" s="28"/>
      <c r="U62" s="28"/>
      <c r="V62" s="28"/>
    </row>
    <row r="63" spans="1:24" x14ac:dyDescent="0.35">
      <c r="A63" s="5">
        <f t="shared" si="0"/>
        <v>1820</v>
      </c>
      <c r="B63" s="3">
        <v>47756</v>
      </c>
      <c r="C63" s="50"/>
      <c r="D63" s="50">
        <v>35194.564760559188</v>
      </c>
      <c r="E63" s="50"/>
      <c r="F63" s="50">
        <v>21238.429674716099</v>
      </c>
      <c r="G63" s="50">
        <v>5523577685.71455</v>
      </c>
      <c r="H63" s="50">
        <v>714142316.95338058</v>
      </c>
      <c r="N63" s="28"/>
      <c r="O63" s="28"/>
      <c r="P63" s="39" t="s">
        <v>133</v>
      </c>
      <c r="Q63" s="40" t="s">
        <v>134</v>
      </c>
      <c r="R63" s="40" t="s">
        <v>135</v>
      </c>
      <c r="S63" s="28"/>
      <c r="T63" s="28"/>
      <c r="U63" s="28"/>
      <c r="V63" s="28"/>
      <c r="X63" s="5"/>
    </row>
    <row r="64" spans="1:24" x14ac:dyDescent="0.35">
      <c r="A64" s="5">
        <f t="shared" si="0"/>
        <v>1851</v>
      </c>
      <c r="B64" s="3">
        <v>47787</v>
      </c>
      <c r="C64" s="50"/>
      <c r="D64" s="50">
        <v>35194.564760559188</v>
      </c>
      <c r="E64" s="50"/>
      <c r="F64" s="50">
        <v>21052.081718111189</v>
      </c>
      <c r="G64" s="50">
        <v>5470350482.5613003</v>
      </c>
      <c r="H64" s="50">
        <v>703188863.93731987</v>
      </c>
      <c r="N64" s="28"/>
      <c r="O64" s="28"/>
      <c r="P64" s="41" t="s">
        <v>130</v>
      </c>
      <c r="Q64" s="49">
        <f>SUMIFS(DATOS!$D:$D,DATOS!$A:$A,"MDL_MT_CTA. CORRIENTE",DATOS!$B:$B,"MDL_CTA. CORRIENTE PERSONAS_CORE_CORE")</f>
        <v>1.4221433866533559</v>
      </c>
      <c r="R64" s="49">
        <f>SUMIFS(DATOS!$D:$D,DATOS!$A:$A,"MDL_MT_R13_CTA. CORRIENTE",DATOS!$B:$B,"MDL_MT_R13_CTA. CORRIENTE PERSONAS_CORE")</f>
        <v>4.4215235000000011</v>
      </c>
      <c r="S64" s="28"/>
      <c r="T64" s="28"/>
      <c r="U64" s="28"/>
      <c r="V64" s="28"/>
    </row>
    <row r="65" spans="1:24" x14ac:dyDescent="0.35">
      <c r="A65" s="5">
        <f t="shared" si="0"/>
        <v>1881</v>
      </c>
      <c r="B65" s="3">
        <v>47817</v>
      </c>
      <c r="C65" s="50"/>
      <c r="D65" s="50">
        <v>35194.564760559188</v>
      </c>
      <c r="E65" s="50"/>
      <c r="F65" s="50">
        <v>20866.50730004087</v>
      </c>
      <c r="G65" s="50">
        <v>5417123279.4080505</v>
      </c>
      <c r="H65" s="50">
        <v>692349509.3901763</v>
      </c>
      <c r="N65" s="28"/>
      <c r="O65" s="28"/>
      <c r="P65" s="41" t="s">
        <v>131</v>
      </c>
      <c r="Q65" s="49">
        <f>SUMIFS(DATOS!$D:$D,DATOS!$A:$A,"MDL_MT.CTA. VISTA",DATOS!$B:$B,"MDL_CTA. VISTA_CORE_CORE")</f>
        <v>1.408531761889285</v>
      </c>
      <c r="R65" s="49">
        <f>SUMIFS(DATOS!$D:$D,DATOS!$A:$A,"MDL_MT_R13_CTA. VISTA",DATOS!$B:$B,"MDL_MT_R13_CTA. VISTA_CORE")</f>
        <v>4.4022379999999997</v>
      </c>
      <c r="S65" s="28"/>
      <c r="T65" s="28"/>
      <c r="U65" s="28"/>
      <c r="V65" s="28"/>
    </row>
    <row r="66" spans="1:24" x14ac:dyDescent="0.35">
      <c r="A66" s="5">
        <f t="shared" si="0"/>
        <v>1912</v>
      </c>
      <c r="B66" s="3">
        <v>47848</v>
      </c>
      <c r="C66" s="50"/>
      <c r="D66" s="50">
        <v>35194.564760559188</v>
      </c>
      <c r="E66" s="50"/>
      <c r="F66" s="50">
        <v>20683.420031381163</v>
      </c>
      <c r="G66" s="50">
        <v>5364900363.1067495</v>
      </c>
      <c r="H66" s="50">
        <v>681738351.78086746</v>
      </c>
      <c r="N66" s="28"/>
      <c r="O66" s="28"/>
      <c r="P66" s="41" t="s">
        <v>136</v>
      </c>
      <c r="Q66" s="49">
        <f>SUMIFS(DATOS!$D:$D,DATOS!$A:$A,"MDL_MT_CTA. AHORRO",DATOS!$B:$B,"MDL_CTA. AHORRO G.DIF_CORE_CORE")</f>
        <v>5.7050549134076904</v>
      </c>
      <c r="R66" s="49">
        <f>SUMIFS(DATOS!$D:$D,DATOS!$A:$A,"MDL_MT_R13_CTA. AHORRO",DATOS!$B:$B,"MDL_MT_R13_CTA. AHORRO G.DIF_CORE")</f>
        <v>4.3743015833333336</v>
      </c>
      <c r="S66" s="28"/>
      <c r="T66" s="28"/>
      <c r="U66" s="28"/>
      <c r="V66" s="28"/>
      <c r="X66" s="5"/>
    </row>
    <row r="67" spans="1:24" x14ac:dyDescent="0.35">
      <c r="A67" s="5">
        <f t="shared" si="0"/>
        <v>1943</v>
      </c>
      <c r="B67" s="3">
        <v>47879</v>
      </c>
      <c r="C67" s="50"/>
      <c r="D67" s="50">
        <v>35194.564760559188</v>
      </c>
      <c r="E67" s="50"/>
      <c r="F67" s="50">
        <v>20501.879839790636</v>
      </c>
      <c r="G67" s="50">
        <v>5312677446.8054485</v>
      </c>
      <c r="H67" s="50">
        <v>671241292.64047587</v>
      </c>
      <c r="N67" s="28"/>
      <c r="O67" s="28"/>
      <c r="P67" s="41" t="s">
        <v>137</v>
      </c>
      <c r="Q67" s="49">
        <f>SUMIFS(DATOS!$D:$D,DATOS!$A:$A,"MDL_MT_CTA. AHORRO",DATOS!$B:$B,"MDL_CTA. AHORRO G.INC_CORE_CORE")</f>
        <v>5.3577989301277968</v>
      </c>
      <c r="R67" s="49">
        <f>SUMIFS(DATOS!$D:$D,DATOS!$A:$A,"MDL_MT_R13_CTA. AHORRO",DATOS!$B:$B,"MDL_MT_R13_CTA. AHORRO G.INC_CORE")</f>
        <v>4.3608019166666674</v>
      </c>
      <c r="S67" s="28"/>
      <c r="T67" s="28"/>
      <c r="U67" s="28"/>
      <c r="V67" s="28"/>
    </row>
    <row r="68" spans="1:24" x14ac:dyDescent="0.35">
      <c r="A68" s="5">
        <f t="shared" ref="A68:A131" si="5">B68-$A$2</f>
        <v>1971</v>
      </c>
      <c r="B68" s="3">
        <v>47907</v>
      </c>
      <c r="C68" s="50"/>
      <c r="D68" s="50">
        <v>35194.564760559188</v>
      </c>
      <c r="E68" s="50"/>
      <c r="F68" s="50">
        <v>20323.600336145311</v>
      </c>
      <c r="G68" s="50">
        <v>5261458817.3560953</v>
      </c>
      <c r="H68" s="50">
        <v>660972430.4379189</v>
      </c>
      <c r="N68" s="28"/>
      <c r="O68" s="28"/>
      <c r="P68" s="28"/>
      <c r="Q68" s="28"/>
      <c r="R68" s="28"/>
      <c r="S68" s="28"/>
      <c r="T68" s="28"/>
      <c r="U68" s="28"/>
      <c r="V68" s="28"/>
    </row>
    <row r="69" spans="1:24" x14ac:dyDescent="0.35">
      <c r="A69" s="5">
        <f t="shared" si="5"/>
        <v>2002</v>
      </c>
      <c r="B69" s="3">
        <v>47938</v>
      </c>
      <c r="C69" s="50"/>
      <c r="D69" s="50">
        <v>35194.564760559188</v>
      </c>
      <c r="E69" s="50"/>
      <c r="F69" s="50">
        <v>20145.320832499976</v>
      </c>
      <c r="G69" s="50">
        <v>5211244474.7586908</v>
      </c>
      <c r="H69" s="50">
        <v>650817666.70427907</v>
      </c>
      <c r="N69" s="28"/>
      <c r="O69" s="28"/>
      <c r="S69" s="28"/>
      <c r="T69" s="28"/>
      <c r="U69" s="28"/>
      <c r="V69" s="28"/>
    </row>
    <row r="70" spans="1:24" x14ac:dyDescent="0.35">
      <c r="A70" s="5">
        <f t="shared" si="5"/>
        <v>2032</v>
      </c>
      <c r="B70" s="3">
        <v>47968</v>
      </c>
      <c r="C70" s="50"/>
      <c r="D70" s="50">
        <v>35194.564760559188</v>
      </c>
      <c r="E70" s="50"/>
      <c r="F70" s="50">
        <v>19967.041328854648</v>
      </c>
      <c r="G70" s="50">
        <v>5161030132.1612864</v>
      </c>
      <c r="H70" s="50">
        <v>640777001.43955672</v>
      </c>
      <c r="N70" s="28"/>
      <c r="O70" s="28"/>
      <c r="P70" s="39" t="s">
        <v>138</v>
      </c>
      <c r="Q70" s="40" t="s">
        <v>139</v>
      </c>
      <c r="R70" s="40" t="s">
        <v>140</v>
      </c>
      <c r="S70" s="40" t="s">
        <v>141</v>
      </c>
      <c r="T70" s="28"/>
      <c r="U70" s="28"/>
      <c r="V70" s="28"/>
    </row>
    <row r="71" spans="1:24" x14ac:dyDescent="0.35">
      <c r="A71" s="5">
        <f t="shared" si="5"/>
        <v>2063</v>
      </c>
      <c r="B71" s="3">
        <v>47999</v>
      </c>
      <c r="C71" s="50"/>
      <c r="D71" s="50">
        <v>35194.564760559188</v>
      </c>
      <c r="E71" s="50"/>
      <c r="F71" s="50">
        <v>19792.796051689107</v>
      </c>
      <c r="G71" s="50">
        <v>5110815789.5638809</v>
      </c>
      <c r="H71" s="50">
        <v>630964533.11266899</v>
      </c>
      <c r="N71" s="28"/>
      <c r="O71" s="28"/>
      <c r="P71" s="41" t="s">
        <v>130</v>
      </c>
      <c r="Q71" s="48">
        <f>ABS(SUMIFS(DATOS!$C:$C,DATOS!$A:$A,"MDL_MT_R13_CTA. CORRIENTE")-SUMIF(DATOS!$G:$G,"INPT_CTA_CTE",DATOS!$C:$C))</f>
        <v>0</v>
      </c>
      <c r="R71" s="47">
        <f>SUMIFS(DATOS!$C:$C,DATOS!$A:$A,"MDL_MT_R13_CTA. CORRIENTE",DATOS!$B:$B,"MDL_MT_R13_CTA. CORRIENTE PERSONAS_CORE")/ SUMIFS(DATOS!$C:$C,DATOS!$A:$A,"MDL_MT_R13_CTA. CORRIENTE")</f>
        <v>0.7</v>
      </c>
      <c r="S71" s="41" t="b">
        <f>R64&lt;4.5</f>
        <v>1</v>
      </c>
      <c r="T71" s="28"/>
      <c r="U71" s="28"/>
      <c r="V71" s="28"/>
    </row>
    <row r="72" spans="1:24" x14ac:dyDescent="0.35">
      <c r="A72" s="5">
        <f t="shared" si="5"/>
        <v>2093</v>
      </c>
      <c r="B72" s="3">
        <v>48029</v>
      </c>
      <c r="C72" s="50"/>
      <c r="D72" s="50">
        <v>35194.564760559188</v>
      </c>
      <c r="E72" s="50"/>
      <c r="F72" s="50">
        <v>19619.324313058161</v>
      </c>
      <c r="G72" s="50">
        <v>5061605733.8184242</v>
      </c>
      <c r="H72" s="50">
        <v>621152064.78578115</v>
      </c>
      <c r="N72" s="28"/>
      <c r="O72" s="28"/>
      <c r="P72" s="41" t="s">
        <v>131</v>
      </c>
      <c r="Q72" s="48">
        <f>ABS(SUMIFS(DATOS!$C:$C,DATOS!$A:$A,"MDL_MT_R13_CTA. VISTA")-SUMIF(DATOS!$G:$G,"INPT_CTA_VTA",DATOS!$C:$C))</f>
        <v>0</v>
      </c>
      <c r="R72" s="47">
        <f>SUMIFS(DATOS!$C:$C,DATOS!$A:$A,"MDL_MT_R13_CTA. VISTA",DATOS!$B:$B,"MDL_MT_R13_CTA. VISTA_CORE")/ SUMIFS(DATOS!$C:$C,DATOS!$A:$A,"MDL_MT_R13_CTA. VISTA")</f>
        <v>0.70000000000000007</v>
      </c>
      <c r="S72" s="41" t="b">
        <f>R65&lt;4.5</f>
        <v>1</v>
      </c>
      <c r="T72" s="28"/>
      <c r="U72" s="28"/>
      <c r="V72" s="28"/>
    </row>
    <row r="73" spans="1:24" x14ac:dyDescent="0.35">
      <c r="A73" s="5">
        <f t="shared" si="5"/>
        <v>2124</v>
      </c>
      <c r="B73" s="3">
        <v>48060</v>
      </c>
      <c r="C73" s="50"/>
      <c r="D73" s="50">
        <v>35194.564760559188</v>
      </c>
      <c r="E73" s="50"/>
      <c r="F73" s="50">
        <v>19445.852574427212</v>
      </c>
      <c r="G73" s="50">
        <v>5012395678.0729666</v>
      </c>
      <c r="H73" s="50">
        <v>611681891.86564529</v>
      </c>
      <c r="N73" s="28"/>
      <c r="O73" s="28"/>
      <c r="P73" s="41" t="s">
        <v>136</v>
      </c>
      <c r="Q73" s="48">
        <f>ABS((SUMIFS(DATOS!$C:$C,DATOS!$A:$A,"MDL_MT_R13_CTA. AHORRO")-SUMIFS(DATOS!$C:$C,DATOS!$A:$A,"MDL_MT_R13_CTA. AHORRO",DATOS!$B:$B,"MDL_MT_R13_CTA. AHORRO G.INC_CORE")-SUMIFS(DATOS!$C:$C,DATOS!$A:$A,"MDL_MT_R13_CTA. AHORRO",DATOS!$B:$B,"MDL_MT_R13_CTA. AHORRO G.INC_NONCORE")) -SUMIF(DATOS!$G:$G,"INPT_AGD",DATOS!$C:$C))</f>
        <v>0</v>
      </c>
      <c r="R73" s="47">
        <f>SUMIFS(DATOS!$C:$C,DATOS!$A:$A,"MDL_MT_R13_CTA. AHORRO",DATOS!$B:$B,"MDL_MT_R13_CTA. AHORRO G.DIF_CORE")/ (SUMIFS(DATOS!$C:$C,DATOS!$A:$A,"MDL_MT_R13_CTA. AHORRO")-SUMIFS(DATOS!$C:$C,DATOS!$A:$A,"MDL_MT_R13_CTA. AHORRO",DATOS!$B:$B,"MDL_MT_R13_CTA. AHORRO G.INC_CORE")-SUMIFS(DATOS!$C:$C,DATOS!$A:$A,"MDL_MT_R13_CTA. AHORRO",DATOS!$B:$B,"MDL_MT_R13_CTA. AHORRO G.INC_NONCORE"))</f>
        <v>0.69999999999999973</v>
      </c>
      <c r="S73" s="41" t="b">
        <f>R66&lt;4.5</f>
        <v>1</v>
      </c>
      <c r="T73" s="28"/>
      <c r="U73" s="28"/>
      <c r="V73" s="28"/>
    </row>
    <row r="74" spans="1:24" x14ac:dyDescent="0.35">
      <c r="A74" s="5">
        <f t="shared" si="5"/>
        <v>2155</v>
      </c>
      <c r="B74" s="3">
        <v>48091</v>
      </c>
      <c r="C74" s="50"/>
      <c r="D74" s="50">
        <v>35194.564760559188</v>
      </c>
      <c r="E74" s="50"/>
      <c r="F74" s="50">
        <v>2195244.1829102943</v>
      </c>
      <c r="G74" s="50">
        <v>4964189909.1794586</v>
      </c>
      <c r="H74" s="50">
        <v>602211718.94550931</v>
      </c>
      <c r="N74" s="28"/>
      <c r="O74" s="28"/>
      <c r="P74" s="41" t="s">
        <v>137</v>
      </c>
      <c r="Q74" s="48">
        <f>ABS((SUMIFS(DATOS!$C:$C,DATOS!$A:$A,"MDL_MT_R13_CTA. AHORRO")-SUMIFS(DATOS!$C:$C,DATOS!$A:$A,"MDL_MT_R13_CTA. AHORRO",DATOS!$B:$B,"MDL_MT_R13_CTA. AHORRO G.DIF_CORE")-SUMIFS(DATOS!$C:$C,DATOS!$A:$A,"MDL_MT_R13_CTA. AHORRO",DATOS!$B:$B,"MDL_MT_R13_CTA. AHORRO G.DIF_NONCORE")) -SUMIF(DATOS!$G:$G,"INPT_AGI",DATOS!$C:$C))</f>
        <v>2.3283064365386963E-10</v>
      </c>
      <c r="R74" s="47">
        <f>SUMIFS(DATOS!$C:$C,DATOS!$A:$A,"MDL_MT_R13_CTA. AHORRO",DATOS!$B:$B,"MDL_MT_R13_CTA. AHORRO G.INC_CORE")/ (SUMIFS(DATOS!$C:$C,DATOS!$A:$A,"MDL_MT_R13_CTA. AHORRO")-SUMIFS(DATOS!$C:$C,DATOS!$A:$A,"MDL_MT_R13_CTA. AHORRO",DATOS!$B:$B,"MDL_MT_R13_CTA. AHORRO G.DIF_CORE")-SUMIFS(DATOS!$C:$C,DATOS!$A:$A,"MDL_MT_R13_CTA. AHORRO",DATOS!$B:$B,"MDL_MT_R13_CTA. AHORRO G.DIF_NONCORE"))</f>
        <v>0.69999999999999984</v>
      </c>
      <c r="S74" s="41" t="b">
        <f>R67&lt;4.5</f>
        <v>1</v>
      </c>
      <c r="T74" s="28"/>
      <c r="U74" s="28"/>
      <c r="V74" s="28"/>
    </row>
    <row r="75" spans="1:24" x14ac:dyDescent="0.35">
      <c r="A75" s="5">
        <f t="shared" si="5"/>
        <v>2185</v>
      </c>
      <c r="B75" s="3">
        <v>48121</v>
      </c>
      <c r="C75" s="50"/>
      <c r="D75" s="50">
        <v>35194.564760559188</v>
      </c>
      <c r="E75" s="50"/>
      <c r="F75" s="50"/>
      <c r="G75" s="50">
        <v>4915984140.2859497</v>
      </c>
      <c r="H75" s="50">
        <v>592969742.96320808</v>
      </c>
      <c r="N75" s="28"/>
      <c r="O75" s="28"/>
      <c r="R75" s="28"/>
      <c r="S75" s="28"/>
      <c r="T75" s="28"/>
      <c r="U75" s="28"/>
      <c r="V75" s="28"/>
    </row>
    <row r="76" spans="1:24" x14ac:dyDescent="0.35">
      <c r="A76" s="5">
        <f t="shared" si="5"/>
        <v>2216</v>
      </c>
      <c r="B76" s="3">
        <v>48152</v>
      </c>
      <c r="C76" s="50"/>
      <c r="D76" s="50">
        <v>35194.564760559188</v>
      </c>
      <c r="E76" s="50"/>
      <c r="F76" s="50"/>
      <c r="G76" s="50">
        <v>4868782658.2443886</v>
      </c>
      <c r="H76" s="50">
        <v>583841865.44982409</v>
      </c>
      <c r="N76" s="28"/>
      <c r="O76" s="28"/>
      <c r="P76" s="39" t="s">
        <v>142</v>
      </c>
      <c r="Q76" s="40" t="s">
        <v>143</v>
      </c>
      <c r="R76" s="40" t="s">
        <v>140</v>
      </c>
      <c r="S76" s="28"/>
      <c r="T76" s="28"/>
      <c r="U76" s="28"/>
      <c r="V76" s="28"/>
    </row>
    <row r="77" spans="1:24" x14ac:dyDescent="0.35">
      <c r="A77" s="5">
        <f t="shared" si="5"/>
        <v>2246</v>
      </c>
      <c r="B77" s="3">
        <v>48182</v>
      </c>
      <c r="C77" s="50"/>
      <c r="D77" s="50">
        <v>35194.564760559188</v>
      </c>
      <c r="E77" s="50"/>
      <c r="F77" s="50"/>
      <c r="G77" s="50">
        <v>4821581176.2028275</v>
      </c>
      <c r="H77" s="50">
        <v>574828086.40535736</v>
      </c>
      <c r="N77" s="28"/>
      <c r="O77" s="28"/>
      <c r="P77" s="41" t="s">
        <v>130</v>
      </c>
      <c r="Q77" s="41" t="b">
        <f>SUMIFS(DATOS!$C:$C,DATOS!$A:$A,"MDL_MT_CTA. CORRIENTE",DATOS!$B:$B,"MDL_CTA. CORRIENTE PERSONAS_CORE_CORE")&lt;=SUMIFS(DATOS!$C:$C,DATOS!$A:$A,"MDL_MT_CTA. CORRIENTE")</f>
        <v>1</v>
      </c>
      <c r="R77" s="47">
        <f>SUMIFS(DATOS!$C:$C,DATOS!$A:$A,"MDL_MT_CTA. CORRIENTE",DATOS!$B:$B,"MDL_CTA. CORRIENTE PERSONAS_CORE_CORE")/SUMIFS(DATOS!$C:$C,DATOS!$A:$A,"MDL_MT_CTA. CORRIENTE")</f>
        <v>0.82578986112511454</v>
      </c>
      <c r="S77" s="28"/>
      <c r="T77" s="28"/>
      <c r="U77" s="28"/>
      <c r="V77" s="28"/>
    </row>
    <row r="78" spans="1:24" x14ac:dyDescent="0.35">
      <c r="A78" s="5">
        <f t="shared" si="5"/>
        <v>2277</v>
      </c>
      <c r="B78" s="3">
        <v>48213</v>
      </c>
      <c r="C78" s="50"/>
      <c r="D78" s="50">
        <v>35194.564760559188</v>
      </c>
      <c r="E78" s="50"/>
      <c r="F78" s="50"/>
      <c r="G78" s="50">
        <v>494693626106.29932</v>
      </c>
      <c r="H78" s="50">
        <v>566042504.29872525</v>
      </c>
      <c r="N78" s="28"/>
      <c r="O78" s="28"/>
      <c r="P78" s="41" t="s">
        <v>131</v>
      </c>
      <c r="Q78" s="41" t="b">
        <f>SUMIFS(DATOS!$C:$C,DATOS!$A:$A,"MDL_MT.CTA. VISTA",DATOS!$B:$B,"MDL_CTA. VISTA_CORE_CORE")&lt;=SUMIFS(DATOS!$C:$C,DATOS!$A:$A,"MDL_MT.CTA. VISTA")</f>
        <v>1</v>
      </c>
      <c r="R78" s="47">
        <f>SUMIFS(DATOS!$C:$C,DATOS!$A:$A,"MDL_MT.CTA. VISTA",DATOS!$B:$B,"MDL_CTA. VISTA_CORE_CORE")/SUMIFS(DATOS!$C:$C,DATOS!$A:$A,"MDL_MT.CTA. VISTA")</f>
        <v>0.76762993255836764</v>
      </c>
      <c r="S78" s="28"/>
      <c r="T78" s="28"/>
      <c r="U78" s="28"/>
      <c r="V78" s="28"/>
    </row>
    <row r="79" spans="1:24" x14ac:dyDescent="0.35">
      <c r="A79" s="5">
        <f t="shared" si="5"/>
        <v>2308</v>
      </c>
      <c r="B79" s="3">
        <v>48244</v>
      </c>
      <c r="C79" s="50"/>
      <c r="D79" s="50">
        <v>35194.564760559188</v>
      </c>
      <c r="E79" s="50"/>
      <c r="F79" s="50"/>
      <c r="G79" s="50"/>
      <c r="H79" s="50">
        <v>557371020.66101038</v>
      </c>
      <c r="N79" s="28"/>
      <c r="O79" s="28"/>
      <c r="P79" s="41" t="s">
        <v>136</v>
      </c>
      <c r="Q79" s="41" t="b">
        <f>SUMIFS(DATOS!$C:$C,DATOS!$A:$A,"MDL_MT_CTA. AHORRO",DATOS!$B:$B,"MDL_CTA. AHORRO G.DIF_CORE_CORE")&lt;=SUMIFS(DATOS!$C:$C,DATOS!$A:$A,"MDL_MT_CTA. AHORRO",DATOS!$B:$B,"MDL_CTA. AHORRO G.DIF_CORE_CORE")+SUMIFS(DATOS!$C:$C,DATOS!$A:$A,"MDL_MT_CTA. AHORRO",DATOS!$B:$B,"MDL_CTA. AHORRO G.DIF")</f>
        <v>1</v>
      </c>
      <c r="R79" s="47">
        <f>SUMIFS(DATOS!$C:$C,DATOS!$A:$A,"MDL_MT_CTA. AHORRO",DATOS!$B:$B,"MDL_CTA. AHORRO G.DIF_CORE_CORE")/(SUMIFS(DATOS!$C:$C,DATOS!$A:$A,"MDL_MT_CTA. AHORRO",DATOS!$B:$B,"MDL_CTA. AHORRO G.DIF_CORE_CORE")+SUMIFS(DATOS!$C:$C,DATOS!$A:$A,"MDL_MT_CTA. AHORRO",DATOS!$B:$B,"MDL_CTA. AHORRO G.DIF"))</f>
        <v>0.76198889368092215</v>
      </c>
      <c r="S79" s="28"/>
      <c r="T79" s="28"/>
      <c r="U79" s="28"/>
      <c r="V79" s="28"/>
    </row>
    <row r="80" spans="1:24" x14ac:dyDescent="0.35">
      <c r="A80" s="5">
        <f t="shared" si="5"/>
        <v>2337</v>
      </c>
      <c r="B80" s="3">
        <v>48273</v>
      </c>
      <c r="C80" s="50"/>
      <c r="D80" s="50">
        <v>35194.564760559188</v>
      </c>
      <c r="E80" s="50"/>
      <c r="F80" s="50"/>
      <c r="G80" s="50"/>
      <c r="H80" s="50">
        <v>548813635.49221289</v>
      </c>
      <c r="N80" s="28"/>
      <c r="O80" s="28"/>
      <c r="P80" s="41" t="s">
        <v>137</v>
      </c>
      <c r="Q80" s="41" t="b">
        <f>SUMIFS(DATOS!$C:$C,DATOS!$A:$A,"MDL_MT_CTA. AHORRO",DATOS!$B:$B,"MDL_CTA. AHORRO G.INC_CORE_CORE")&lt;=SUMIFS(DATOS!$C:$C,DATOS!$A:$A,"MDL_MT_CTA. AHORRO",DATOS!$B:$B,"MDL_CTA. AHORRO G.INC_CORE_CORE")+SUMIFS(DATOS!$C:$C,DATOS!$A:$A,"MDL_MT_CTA. AHORRO",DATOS!$B:$B,"MDL_CTA. AHORRO G.INC")</f>
        <v>1</v>
      </c>
      <c r="R80" s="47">
        <f>SUMIFS(DATOS!$C:$C,DATOS!$A:$A,"MDL_MT_CTA. AHORRO",DATOS!$B:$B,"MDL_CTA. AHORRO G.INC_CORE_CORE")/(SUMIFS(DATOS!$C:$C,DATOS!$A:$A,"MDL_MT_CTA. AHORRO",DATOS!$B:$B,"MDL_CTA. AHORRO G.INC_CORE_CORE")+SUMIFS(DATOS!$C:$C,DATOS!$A:$A,"MDL_MT_CTA. AHORRO",DATOS!$B:$B,"MDL_CTA. AHORRO G.INC"))</f>
        <v>0.96422164720431203</v>
      </c>
      <c r="S80" s="28"/>
      <c r="T80" s="28"/>
      <c r="U80" s="28"/>
      <c r="V80" s="28"/>
    </row>
    <row r="81" spans="1:22" x14ac:dyDescent="0.35">
      <c r="A81" s="5">
        <f t="shared" si="5"/>
        <v>2368</v>
      </c>
      <c r="B81" s="3">
        <v>48304</v>
      </c>
      <c r="C81" s="50"/>
      <c r="D81" s="50">
        <v>35194.564760559188</v>
      </c>
      <c r="E81" s="50"/>
      <c r="F81" s="50"/>
      <c r="G81" s="50"/>
      <c r="H81" s="50">
        <v>540370348.79233277</v>
      </c>
      <c r="N81" s="28"/>
      <c r="O81" s="28"/>
      <c r="P81" s="28"/>
      <c r="Q81" s="28"/>
      <c r="R81" s="28"/>
      <c r="S81" s="28"/>
      <c r="T81" s="28"/>
      <c r="U81" s="28"/>
      <c r="V81" s="28"/>
    </row>
    <row r="82" spans="1:22" x14ac:dyDescent="0.35">
      <c r="A82" s="5">
        <f t="shared" si="5"/>
        <v>2398</v>
      </c>
      <c r="B82" s="3">
        <v>48334</v>
      </c>
      <c r="C82" s="50"/>
      <c r="D82" s="50">
        <v>35194.564760559188</v>
      </c>
      <c r="E82" s="50"/>
      <c r="F82" s="50"/>
      <c r="G82" s="50"/>
      <c r="H82" s="50">
        <v>532041160.56136978</v>
      </c>
      <c r="N82" s="28"/>
      <c r="O82" s="28"/>
      <c r="P82" s="28"/>
      <c r="Q82" s="28"/>
      <c r="R82" s="28"/>
      <c r="S82" s="28"/>
      <c r="T82" s="28"/>
      <c r="U82" s="28"/>
      <c r="V82" s="28"/>
    </row>
    <row r="83" spans="1:22" x14ac:dyDescent="0.35">
      <c r="A83" s="5">
        <f t="shared" si="5"/>
        <v>2429</v>
      </c>
      <c r="B83" s="3">
        <v>48365</v>
      </c>
      <c r="C83" s="50"/>
      <c r="D83" s="50">
        <v>35194.564760559188</v>
      </c>
      <c r="E83" s="50"/>
      <c r="F83" s="50"/>
      <c r="G83" s="50"/>
      <c r="H83" s="50">
        <v>523826070.79932421</v>
      </c>
      <c r="N83" s="28"/>
      <c r="O83" s="28"/>
      <c r="P83" s="28"/>
      <c r="Q83" s="28"/>
      <c r="R83" s="28"/>
      <c r="S83" s="28"/>
      <c r="T83" s="28"/>
      <c r="U83" s="28"/>
      <c r="V83" s="28"/>
    </row>
    <row r="84" spans="1:22" x14ac:dyDescent="0.35">
      <c r="A84" s="5">
        <f t="shared" si="5"/>
        <v>2459</v>
      </c>
      <c r="B84" s="3">
        <v>48395</v>
      </c>
      <c r="C84" s="50"/>
      <c r="D84" s="50">
        <v>35194.564760559188</v>
      </c>
      <c r="E84" s="50"/>
      <c r="F84" s="50"/>
      <c r="G84" s="50"/>
      <c r="H84" s="50">
        <v>515725079.5061959</v>
      </c>
    </row>
    <row r="85" spans="1:22" x14ac:dyDescent="0.35">
      <c r="A85" s="5">
        <f t="shared" si="5"/>
        <v>2490</v>
      </c>
      <c r="B85" s="3">
        <v>48426</v>
      </c>
      <c r="C85" s="50"/>
      <c r="D85" s="50">
        <v>35194.564760559188</v>
      </c>
      <c r="E85" s="50"/>
      <c r="F85" s="50"/>
      <c r="G85" s="50"/>
      <c r="H85" s="50">
        <v>507852285.15090227</v>
      </c>
    </row>
    <row r="86" spans="1:22" x14ac:dyDescent="0.35">
      <c r="A86" s="5">
        <f t="shared" si="5"/>
        <v>2521</v>
      </c>
      <c r="B86" s="3">
        <v>48457</v>
      </c>
      <c r="C86" s="50"/>
      <c r="D86" s="50">
        <v>35194.564760559188</v>
      </c>
      <c r="E86" s="50"/>
      <c r="F86" s="50"/>
      <c r="G86" s="50"/>
      <c r="H86" s="50">
        <v>499979490.79560852</v>
      </c>
    </row>
    <row r="87" spans="1:22" x14ac:dyDescent="0.35">
      <c r="A87" s="5">
        <f t="shared" si="5"/>
        <v>2551</v>
      </c>
      <c r="B87" s="3">
        <v>48487</v>
      </c>
      <c r="C87" s="50"/>
      <c r="D87" s="50">
        <v>35194.564760559188</v>
      </c>
      <c r="E87" s="50"/>
      <c r="F87" s="50"/>
      <c r="G87" s="50"/>
      <c r="H87" s="50">
        <v>492334893.37814939</v>
      </c>
    </row>
    <row r="88" spans="1:22" x14ac:dyDescent="0.35">
      <c r="A88" s="5">
        <f t="shared" si="5"/>
        <v>2582</v>
      </c>
      <c r="B88" s="3">
        <v>48518</v>
      </c>
      <c r="C88" s="50"/>
      <c r="D88" s="50">
        <v>35194.564760559188</v>
      </c>
      <c r="E88" s="50"/>
      <c r="F88" s="50"/>
      <c r="G88" s="50"/>
      <c r="H88" s="50">
        <v>484804394.42960769</v>
      </c>
    </row>
    <row r="89" spans="1:22" x14ac:dyDescent="0.35">
      <c r="A89" s="5">
        <f t="shared" si="5"/>
        <v>2612</v>
      </c>
      <c r="B89" s="3">
        <v>48548</v>
      </c>
      <c r="C89" s="50"/>
      <c r="D89" s="50">
        <v>35194.564760559188</v>
      </c>
      <c r="E89" s="50"/>
      <c r="F89" s="50"/>
      <c r="G89" s="50"/>
      <c r="H89" s="50">
        <v>477273895.48106593</v>
      </c>
    </row>
    <row r="90" spans="1:22" x14ac:dyDescent="0.35">
      <c r="A90" s="5">
        <f t="shared" si="5"/>
        <v>2643</v>
      </c>
      <c r="B90" s="3">
        <v>48579</v>
      </c>
      <c r="C90" s="50"/>
      <c r="D90" s="50">
        <v>35194.564760559188</v>
      </c>
      <c r="E90" s="50"/>
      <c r="F90" s="50"/>
      <c r="G90" s="50"/>
      <c r="H90" s="50">
        <v>469971593.47035873</v>
      </c>
    </row>
    <row r="91" spans="1:22" x14ac:dyDescent="0.35">
      <c r="A91" s="5">
        <f t="shared" si="5"/>
        <v>2674</v>
      </c>
      <c r="B91" s="3">
        <v>48610</v>
      </c>
      <c r="C91" s="50"/>
      <c r="D91" s="50">
        <v>35194.564760559188</v>
      </c>
      <c r="E91" s="50"/>
      <c r="F91" s="50"/>
      <c r="G91" s="50"/>
      <c r="H91" s="50">
        <v>462783389.92856872</v>
      </c>
    </row>
    <row r="92" spans="1:22" x14ac:dyDescent="0.35">
      <c r="A92" s="5">
        <f t="shared" si="5"/>
        <v>2702</v>
      </c>
      <c r="B92" s="3">
        <v>48638</v>
      </c>
      <c r="C92" s="50"/>
      <c r="D92" s="50">
        <v>35194.564760559188</v>
      </c>
      <c r="E92" s="50"/>
      <c r="F92" s="50"/>
      <c r="G92" s="50"/>
      <c r="H92" s="50">
        <v>455595186.38677877</v>
      </c>
    </row>
    <row r="93" spans="1:22" x14ac:dyDescent="0.35">
      <c r="A93" s="5">
        <f t="shared" si="5"/>
        <v>2733</v>
      </c>
      <c r="B93" s="3">
        <v>48669</v>
      </c>
      <c r="C93" s="50"/>
      <c r="D93" s="50">
        <v>35194.564760559188</v>
      </c>
      <c r="E93" s="50"/>
      <c r="F93" s="50"/>
      <c r="G93" s="50"/>
      <c r="H93" s="50">
        <v>448635179.7828235</v>
      </c>
    </row>
    <row r="94" spans="1:22" x14ac:dyDescent="0.35">
      <c r="A94" s="5">
        <f t="shared" si="5"/>
        <v>2763</v>
      </c>
      <c r="B94" s="3">
        <v>48699</v>
      </c>
      <c r="C94" s="50"/>
      <c r="D94" s="50">
        <v>35194.564760559188</v>
      </c>
      <c r="E94" s="50"/>
      <c r="F94" s="50"/>
      <c r="G94" s="50"/>
      <c r="H94" s="50">
        <v>441675173.17886817</v>
      </c>
    </row>
    <row r="95" spans="1:22" x14ac:dyDescent="0.35">
      <c r="A95" s="5">
        <f t="shared" si="5"/>
        <v>2794</v>
      </c>
      <c r="B95" s="3">
        <v>48730</v>
      </c>
      <c r="C95" s="50"/>
      <c r="D95" s="50">
        <v>35194.564760559188</v>
      </c>
      <c r="E95" s="50"/>
      <c r="F95" s="50"/>
      <c r="G95" s="50"/>
      <c r="H95" s="50">
        <v>434943363.51274753</v>
      </c>
    </row>
    <row r="96" spans="1:22" x14ac:dyDescent="0.35">
      <c r="A96" s="5">
        <f t="shared" si="5"/>
        <v>2824</v>
      </c>
      <c r="B96" s="3">
        <v>48760</v>
      </c>
      <c r="C96" s="50"/>
      <c r="D96" s="50">
        <v>35194.564760559188</v>
      </c>
      <c r="E96" s="50"/>
      <c r="F96" s="50"/>
      <c r="G96" s="50"/>
      <c r="H96" s="50">
        <v>428211553.84662682</v>
      </c>
    </row>
    <row r="97" spans="1:8" x14ac:dyDescent="0.35">
      <c r="A97" s="5">
        <f t="shared" si="5"/>
        <v>2855</v>
      </c>
      <c r="B97" s="3">
        <v>48791</v>
      </c>
      <c r="C97" s="50"/>
      <c r="D97" s="50">
        <v>35194.564760559188</v>
      </c>
      <c r="E97" s="50"/>
      <c r="F97" s="50"/>
      <c r="G97" s="50"/>
      <c r="H97" s="50">
        <v>421593842.64942342</v>
      </c>
    </row>
    <row r="98" spans="1:8" x14ac:dyDescent="0.35">
      <c r="A98" s="5">
        <f t="shared" si="5"/>
        <v>2886</v>
      </c>
      <c r="B98" s="3">
        <v>48822</v>
      </c>
      <c r="C98" s="50"/>
      <c r="D98" s="50">
        <v>35194.564760559188</v>
      </c>
      <c r="E98" s="50"/>
      <c r="F98" s="50"/>
      <c r="G98" s="50"/>
      <c r="H98" s="50">
        <v>415204328.39005458</v>
      </c>
    </row>
    <row r="99" spans="1:8" x14ac:dyDescent="0.35">
      <c r="A99" s="5">
        <f t="shared" si="5"/>
        <v>2916</v>
      </c>
      <c r="B99" s="3">
        <v>48852</v>
      </c>
      <c r="C99" s="50"/>
      <c r="D99" s="50">
        <v>35194.564760559188</v>
      </c>
      <c r="E99" s="50"/>
      <c r="F99" s="50"/>
      <c r="G99" s="50"/>
      <c r="H99" s="50">
        <v>408814814.13068581</v>
      </c>
    </row>
    <row r="100" spans="1:8" x14ac:dyDescent="0.35">
      <c r="A100" s="5">
        <f t="shared" si="5"/>
        <v>2947</v>
      </c>
      <c r="B100" s="3">
        <v>48883</v>
      </c>
      <c r="C100" s="50"/>
      <c r="D100" s="50">
        <v>35194.564760559188</v>
      </c>
      <c r="E100" s="50"/>
      <c r="F100" s="50"/>
      <c r="G100" s="50"/>
      <c r="H100" s="50">
        <v>402539398.34023428</v>
      </c>
    </row>
    <row r="101" spans="1:8" x14ac:dyDescent="0.35">
      <c r="A101" s="5">
        <f t="shared" si="5"/>
        <v>2977</v>
      </c>
      <c r="B101" s="3">
        <v>48913</v>
      </c>
      <c r="C101" s="50"/>
      <c r="D101" s="50">
        <v>35194.564760559188</v>
      </c>
      <c r="E101" s="50"/>
      <c r="F101" s="50"/>
      <c r="G101" s="50"/>
      <c r="H101" s="50">
        <v>396263982.54978287</v>
      </c>
    </row>
    <row r="102" spans="1:8" x14ac:dyDescent="0.35">
      <c r="A102" s="5">
        <f t="shared" si="5"/>
        <v>3008</v>
      </c>
      <c r="B102" s="3">
        <v>48944</v>
      </c>
      <c r="C102" s="50"/>
      <c r="D102" s="50">
        <v>35194.564760559188</v>
      </c>
      <c r="E102" s="50"/>
      <c r="F102" s="50"/>
      <c r="G102" s="50"/>
      <c r="H102" s="50">
        <v>390216763.69716603</v>
      </c>
    </row>
    <row r="103" spans="1:8" x14ac:dyDescent="0.35">
      <c r="A103" s="5">
        <f t="shared" si="5"/>
        <v>3039</v>
      </c>
      <c r="B103" s="3">
        <v>48975</v>
      </c>
      <c r="C103" s="50"/>
      <c r="D103" s="50">
        <v>35194.564760559188</v>
      </c>
      <c r="E103" s="50"/>
      <c r="F103" s="50"/>
      <c r="G103" s="50"/>
      <c r="H103" s="50">
        <v>384169544.84454912</v>
      </c>
    </row>
    <row r="104" spans="1:8" x14ac:dyDescent="0.35">
      <c r="A104" s="5">
        <f t="shared" si="5"/>
        <v>3067</v>
      </c>
      <c r="B104" s="3">
        <v>49003</v>
      </c>
      <c r="C104" s="50"/>
      <c r="D104" s="50">
        <v>35194.564760559188</v>
      </c>
      <c r="E104" s="50"/>
      <c r="F104" s="50"/>
      <c r="G104" s="50"/>
      <c r="H104" s="50">
        <v>378236424.46084952</v>
      </c>
    </row>
    <row r="105" spans="1:8" x14ac:dyDescent="0.35">
      <c r="A105" s="5">
        <f t="shared" si="5"/>
        <v>3098</v>
      </c>
      <c r="B105" s="3">
        <v>49034</v>
      </c>
      <c r="C105" s="50"/>
      <c r="D105" s="50">
        <v>35194.564760559188</v>
      </c>
      <c r="E105" s="50"/>
      <c r="F105" s="50"/>
      <c r="G105" s="50"/>
      <c r="H105" s="50">
        <v>372417402.54606718</v>
      </c>
    </row>
    <row r="106" spans="1:8" x14ac:dyDescent="0.35">
      <c r="A106" s="5">
        <f t="shared" si="5"/>
        <v>3128</v>
      </c>
      <c r="B106" s="3">
        <v>49064</v>
      </c>
      <c r="C106" s="50"/>
      <c r="D106" s="50">
        <v>35194.564760559188</v>
      </c>
      <c r="E106" s="50"/>
      <c r="F106" s="50"/>
      <c r="G106" s="50"/>
      <c r="H106" s="50">
        <v>366712479.10020208</v>
      </c>
    </row>
    <row r="107" spans="1:8" x14ac:dyDescent="0.35">
      <c r="A107" s="5">
        <f t="shared" si="5"/>
        <v>3159</v>
      </c>
      <c r="B107" s="3">
        <v>49095</v>
      </c>
      <c r="C107" s="50"/>
      <c r="D107" s="50">
        <v>35194.564760559188</v>
      </c>
      <c r="E107" s="50"/>
      <c r="F107" s="50"/>
      <c r="G107" s="50"/>
      <c r="H107" s="50">
        <v>361121654.12325442</v>
      </c>
    </row>
    <row r="108" spans="1:8" x14ac:dyDescent="0.35">
      <c r="A108" s="5">
        <f t="shared" si="5"/>
        <v>3189</v>
      </c>
      <c r="B108" s="3">
        <v>49125</v>
      </c>
      <c r="C108" s="50"/>
      <c r="D108" s="50">
        <v>35194.564760559188</v>
      </c>
      <c r="E108" s="50"/>
      <c r="F108" s="50"/>
      <c r="G108" s="50"/>
      <c r="H108" s="50">
        <v>355530829.14630681</v>
      </c>
    </row>
    <row r="109" spans="1:8" x14ac:dyDescent="0.35">
      <c r="A109" s="5">
        <f t="shared" si="5"/>
        <v>3220</v>
      </c>
      <c r="B109" s="3">
        <v>49156</v>
      </c>
      <c r="C109" s="50"/>
      <c r="D109" s="50">
        <v>35194.564760559188</v>
      </c>
      <c r="E109" s="50"/>
      <c r="F109" s="50"/>
      <c r="G109" s="50"/>
      <c r="H109" s="50">
        <v>350054102.63827628</v>
      </c>
    </row>
    <row r="110" spans="1:8" x14ac:dyDescent="0.35">
      <c r="A110" s="5">
        <f t="shared" si="5"/>
        <v>3251</v>
      </c>
      <c r="B110" s="3">
        <v>49187</v>
      </c>
      <c r="C110" s="50"/>
      <c r="D110" s="50">
        <v>35194.564760559188</v>
      </c>
      <c r="E110" s="50"/>
      <c r="F110" s="50"/>
      <c r="G110" s="50"/>
      <c r="H110" s="50">
        <v>344691474.59916317</v>
      </c>
    </row>
    <row r="111" spans="1:8" x14ac:dyDescent="0.35">
      <c r="A111" s="5">
        <f t="shared" si="5"/>
        <v>3281</v>
      </c>
      <c r="B111" s="3">
        <v>49217</v>
      </c>
      <c r="C111" s="50"/>
      <c r="D111" s="50">
        <v>35194.564760559188</v>
      </c>
      <c r="E111" s="50"/>
      <c r="F111" s="50"/>
      <c r="G111" s="50"/>
      <c r="H111" s="50">
        <v>339442945.0289675</v>
      </c>
    </row>
    <row r="112" spans="1:8" x14ac:dyDescent="0.35">
      <c r="A112" s="5">
        <f t="shared" si="5"/>
        <v>3312</v>
      </c>
      <c r="B112" s="3">
        <v>49248</v>
      </c>
      <c r="C112" s="50"/>
      <c r="D112" s="50">
        <v>35194.564760559188</v>
      </c>
      <c r="E112" s="50"/>
      <c r="F112" s="50"/>
      <c r="G112" s="50"/>
      <c r="H112" s="50">
        <v>21727086845.107929</v>
      </c>
    </row>
    <row r="113" spans="1:8" x14ac:dyDescent="0.35">
      <c r="A113" s="5">
        <f t="shared" si="5"/>
        <v>3342</v>
      </c>
      <c r="B113" s="3">
        <v>49278</v>
      </c>
      <c r="C113" s="50"/>
      <c r="D113" s="50">
        <v>35194.564760559188</v>
      </c>
      <c r="E113" s="50"/>
      <c r="F113" s="50"/>
      <c r="G113" s="50"/>
      <c r="H113" s="50"/>
    </row>
    <row r="114" spans="1:8" x14ac:dyDescent="0.35">
      <c r="A114" s="5">
        <f t="shared" si="5"/>
        <v>3373</v>
      </c>
      <c r="B114" s="3">
        <v>49309</v>
      </c>
      <c r="C114" s="50"/>
      <c r="D114" s="50">
        <v>35194.564760559188</v>
      </c>
      <c r="E114" s="50"/>
      <c r="F114" s="50"/>
      <c r="G114" s="50"/>
      <c r="H114" s="50"/>
    </row>
    <row r="115" spans="1:8" x14ac:dyDescent="0.35">
      <c r="A115" s="5">
        <f t="shared" si="5"/>
        <v>3404</v>
      </c>
      <c r="B115" s="3">
        <v>49340</v>
      </c>
      <c r="C115" s="50"/>
      <c r="D115" s="50">
        <v>35194.564760559188</v>
      </c>
      <c r="E115" s="50"/>
      <c r="F115" s="50"/>
      <c r="G115" s="50"/>
      <c r="H115" s="50"/>
    </row>
    <row r="116" spans="1:8" x14ac:dyDescent="0.35">
      <c r="A116" s="5">
        <f t="shared" si="5"/>
        <v>3432</v>
      </c>
      <c r="B116" s="3">
        <v>49368</v>
      </c>
      <c r="C116" s="50"/>
      <c r="D116" s="50">
        <v>35194.564760559188</v>
      </c>
      <c r="E116" s="50"/>
      <c r="F116" s="50"/>
      <c r="G116" s="50"/>
      <c r="H116" s="50"/>
    </row>
    <row r="117" spans="1:8" x14ac:dyDescent="0.35">
      <c r="A117" s="5">
        <f t="shared" si="5"/>
        <v>3463</v>
      </c>
      <c r="B117" s="3">
        <v>49399</v>
      </c>
      <c r="C117" s="50"/>
      <c r="D117" s="50">
        <v>35194.564760559188</v>
      </c>
      <c r="E117" s="50"/>
      <c r="F117" s="50"/>
      <c r="G117" s="50"/>
      <c r="H117" s="50"/>
    </row>
    <row r="118" spans="1:8" x14ac:dyDescent="0.35">
      <c r="A118" s="5">
        <f t="shared" si="5"/>
        <v>3493</v>
      </c>
      <c r="B118" s="3">
        <v>49429</v>
      </c>
      <c r="C118" s="50"/>
      <c r="D118" s="50">
        <v>35194.564760559188</v>
      </c>
      <c r="E118" s="50"/>
      <c r="F118" s="50"/>
      <c r="G118" s="50"/>
      <c r="H118" s="50"/>
    </row>
    <row r="119" spans="1:8" x14ac:dyDescent="0.35">
      <c r="A119" s="5">
        <f t="shared" si="5"/>
        <v>3524</v>
      </c>
      <c r="B119" s="3">
        <v>49460</v>
      </c>
      <c r="C119" s="50"/>
      <c r="D119" s="50">
        <v>35194.564760559188</v>
      </c>
      <c r="E119" s="50"/>
      <c r="F119" s="50"/>
      <c r="G119" s="50"/>
      <c r="H119" s="50"/>
    </row>
    <row r="120" spans="1:8" x14ac:dyDescent="0.35">
      <c r="A120" s="5">
        <f t="shared" si="5"/>
        <v>3554</v>
      </c>
      <c r="B120" s="3">
        <v>49490</v>
      </c>
      <c r="C120" s="50"/>
      <c r="D120" s="50">
        <v>35194.564760559188</v>
      </c>
      <c r="E120" s="50"/>
      <c r="F120" s="50"/>
      <c r="G120" s="50"/>
      <c r="H120" s="50"/>
    </row>
    <row r="121" spans="1:8" x14ac:dyDescent="0.35">
      <c r="A121" s="5">
        <f t="shared" si="5"/>
        <v>3585</v>
      </c>
      <c r="B121" s="3">
        <v>49521</v>
      </c>
      <c r="C121" s="50"/>
      <c r="D121" s="50">
        <v>35194.564760559188</v>
      </c>
      <c r="E121" s="50"/>
      <c r="F121" s="50"/>
      <c r="G121" s="50"/>
      <c r="H121" s="50"/>
    </row>
    <row r="122" spans="1:8" x14ac:dyDescent="0.35">
      <c r="A122" s="5">
        <f t="shared" si="5"/>
        <v>3616</v>
      </c>
      <c r="B122" s="3">
        <v>49552</v>
      </c>
      <c r="C122" s="50"/>
      <c r="D122" s="50">
        <v>35194.564760559188</v>
      </c>
      <c r="E122" s="50"/>
      <c r="F122" s="50"/>
      <c r="G122" s="50"/>
      <c r="H122" s="50"/>
    </row>
    <row r="123" spans="1:8" x14ac:dyDescent="0.35">
      <c r="A123" s="5">
        <f t="shared" si="5"/>
        <v>3646</v>
      </c>
      <c r="B123" s="3">
        <v>49582</v>
      </c>
      <c r="C123" s="50"/>
      <c r="D123" s="50">
        <v>35194.564760559188</v>
      </c>
      <c r="E123" s="50"/>
      <c r="F123" s="50"/>
      <c r="G123" s="50"/>
      <c r="H123" s="50"/>
    </row>
    <row r="124" spans="1:8" x14ac:dyDescent="0.35">
      <c r="A124" s="5">
        <f t="shared" si="5"/>
        <v>3677</v>
      </c>
      <c r="B124" s="3">
        <v>49613</v>
      </c>
      <c r="C124" s="50"/>
      <c r="D124" s="50">
        <v>35194.564760559188</v>
      </c>
      <c r="E124" s="50"/>
      <c r="F124" s="50"/>
      <c r="G124" s="50"/>
      <c r="H124" s="50"/>
    </row>
    <row r="125" spans="1:8" x14ac:dyDescent="0.35">
      <c r="A125" s="5">
        <f t="shared" si="5"/>
        <v>3707</v>
      </c>
      <c r="B125" s="3">
        <v>49643</v>
      </c>
      <c r="C125" s="50"/>
      <c r="D125" s="50">
        <v>35194.564760559188</v>
      </c>
      <c r="E125" s="50"/>
      <c r="F125" s="50"/>
      <c r="G125" s="50"/>
      <c r="H125" s="50"/>
    </row>
    <row r="126" spans="1:8" x14ac:dyDescent="0.35">
      <c r="A126" s="5">
        <f t="shared" si="5"/>
        <v>3738</v>
      </c>
      <c r="B126" s="3">
        <v>49674</v>
      </c>
      <c r="C126" s="50"/>
      <c r="D126" s="50">
        <v>35194.564760559188</v>
      </c>
      <c r="E126" s="50"/>
      <c r="F126" s="50"/>
      <c r="G126" s="50"/>
      <c r="H126" s="50"/>
    </row>
    <row r="127" spans="1:8" x14ac:dyDescent="0.35">
      <c r="A127" s="5">
        <f t="shared" si="5"/>
        <v>3769</v>
      </c>
      <c r="B127" s="3">
        <v>49705</v>
      </c>
      <c r="C127" s="50"/>
      <c r="D127" s="50">
        <v>35194.564760559188</v>
      </c>
      <c r="E127" s="50"/>
      <c r="F127" s="50"/>
      <c r="G127" s="50"/>
      <c r="H127" s="50"/>
    </row>
    <row r="128" spans="1:8" x14ac:dyDescent="0.35">
      <c r="A128" s="5">
        <f t="shared" si="5"/>
        <v>3798</v>
      </c>
      <c r="B128" s="3">
        <v>49734</v>
      </c>
      <c r="C128" s="50"/>
      <c r="D128" s="50">
        <v>35194.564760559188</v>
      </c>
      <c r="E128" s="50"/>
      <c r="F128" s="50"/>
      <c r="G128" s="50"/>
      <c r="H128" s="50"/>
    </row>
    <row r="129" spans="1:8" x14ac:dyDescent="0.35">
      <c r="A129" s="5">
        <f t="shared" si="5"/>
        <v>3829</v>
      </c>
      <c r="B129" s="3">
        <v>49765</v>
      </c>
      <c r="C129" s="50"/>
      <c r="D129" s="50">
        <v>35194.564760559188</v>
      </c>
      <c r="E129" s="50"/>
      <c r="F129" s="50"/>
      <c r="G129" s="50"/>
      <c r="H129" s="50"/>
    </row>
    <row r="130" spans="1:8" x14ac:dyDescent="0.35">
      <c r="A130" s="5">
        <f t="shared" si="5"/>
        <v>3859</v>
      </c>
      <c r="B130" s="3">
        <v>49795</v>
      </c>
      <c r="C130" s="50"/>
      <c r="D130" s="50">
        <v>2297.7991355591912</v>
      </c>
      <c r="E130" s="50"/>
      <c r="F130" s="50"/>
      <c r="G130" s="50"/>
      <c r="H130" s="50"/>
    </row>
    <row r="131" spans="1:8" x14ac:dyDescent="0.35">
      <c r="A131" s="5">
        <f t="shared" si="5"/>
        <v>3890</v>
      </c>
      <c r="B131" s="3">
        <v>49826</v>
      </c>
      <c r="C131" s="50"/>
      <c r="D131" s="50">
        <v>2297.7991355591912</v>
      </c>
      <c r="E131" s="50"/>
      <c r="F131" s="50"/>
      <c r="G131" s="50"/>
      <c r="H131" s="50"/>
    </row>
    <row r="132" spans="1:8" x14ac:dyDescent="0.35">
      <c r="A132" s="5">
        <f t="shared" ref="A132:A195" si="6">B132-$A$2</f>
        <v>3920</v>
      </c>
      <c r="B132" s="3">
        <v>49856</v>
      </c>
      <c r="C132" s="50"/>
      <c r="D132" s="50">
        <v>2297.7991355591912</v>
      </c>
      <c r="E132" s="50"/>
      <c r="F132" s="50"/>
      <c r="G132" s="50"/>
      <c r="H132" s="50"/>
    </row>
    <row r="133" spans="1:8" x14ac:dyDescent="0.35">
      <c r="A133" s="5">
        <f t="shared" si="6"/>
        <v>3951</v>
      </c>
      <c r="B133" s="3">
        <v>49887</v>
      </c>
      <c r="C133" s="50"/>
      <c r="D133" s="50">
        <v>2297.7991355591912</v>
      </c>
      <c r="E133" s="50"/>
      <c r="F133" s="50"/>
      <c r="G133" s="50"/>
      <c r="H133" s="50"/>
    </row>
    <row r="134" spans="1:8" x14ac:dyDescent="0.35">
      <c r="A134" s="5">
        <f t="shared" si="6"/>
        <v>3982</v>
      </c>
      <c r="B134" s="3">
        <v>49918</v>
      </c>
      <c r="C134" s="50"/>
      <c r="D134" s="50">
        <v>2297.7991355591912</v>
      </c>
      <c r="E134" s="50"/>
      <c r="F134" s="50"/>
      <c r="G134" s="50"/>
      <c r="H134" s="50"/>
    </row>
    <row r="135" spans="1:8" x14ac:dyDescent="0.35">
      <c r="A135" s="5">
        <f t="shared" si="6"/>
        <v>4012</v>
      </c>
      <c r="B135" s="3">
        <v>49948</v>
      </c>
      <c r="C135" s="50"/>
      <c r="D135" s="50">
        <v>2297.7991355591912</v>
      </c>
      <c r="E135" s="50"/>
      <c r="F135" s="50"/>
      <c r="G135" s="50"/>
      <c r="H135" s="50"/>
    </row>
    <row r="136" spans="1:8" x14ac:dyDescent="0.35">
      <c r="A136" s="5">
        <f t="shared" si="6"/>
        <v>4043</v>
      </c>
      <c r="B136" s="3">
        <v>49979</v>
      </c>
      <c r="C136" s="50"/>
      <c r="D136" s="50">
        <v>2297.7991355591912</v>
      </c>
      <c r="E136" s="50"/>
      <c r="F136" s="50"/>
      <c r="G136" s="50"/>
      <c r="H136" s="50"/>
    </row>
    <row r="137" spans="1:8" x14ac:dyDescent="0.35">
      <c r="A137" s="5">
        <f t="shared" si="6"/>
        <v>4073</v>
      </c>
      <c r="B137" s="3">
        <v>50009</v>
      </c>
      <c r="C137" s="50"/>
      <c r="D137" s="50">
        <v>2297.7991355591912</v>
      </c>
      <c r="E137" s="50"/>
      <c r="F137" s="50"/>
      <c r="G137" s="50"/>
      <c r="H137" s="50"/>
    </row>
    <row r="138" spans="1:8" x14ac:dyDescent="0.35">
      <c r="A138" s="5">
        <f t="shared" si="6"/>
        <v>4104</v>
      </c>
      <c r="B138" s="3">
        <v>50040</v>
      </c>
      <c r="C138" s="50"/>
      <c r="D138" s="50">
        <v>2297.7991355591912</v>
      </c>
      <c r="E138" s="50"/>
      <c r="F138" s="50"/>
      <c r="G138" s="50"/>
      <c r="H138" s="50"/>
    </row>
    <row r="139" spans="1:8" x14ac:dyDescent="0.35">
      <c r="A139" s="5">
        <f t="shared" si="6"/>
        <v>4135</v>
      </c>
      <c r="B139" s="3">
        <v>50071</v>
      </c>
      <c r="C139" s="50"/>
      <c r="D139" s="50">
        <v>2297.7991355591912</v>
      </c>
      <c r="E139" s="50"/>
      <c r="F139" s="50"/>
      <c r="G139" s="50"/>
      <c r="H139" s="50"/>
    </row>
    <row r="140" spans="1:8" x14ac:dyDescent="0.35">
      <c r="A140" s="5">
        <f t="shared" si="6"/>
        <v>4163</v>
      </c>
      <c r="B140" s="3">
        <v>50099</v>
      </c>
      <c r="C140" s="50"/>
      <c r="D140" s="50">
        <v>2297.7991355591912</v>
      </c>
      <c r="E140" s="50"/>
      <c r="F140" s="50"/>
      <c r="G140" s="50"/>
      <c r="H140" s="50"/>
    </row>
    <row r="141" spans="1:8" x14ac:dyDescent="0.35">
      <c r="A141" s="5">
        <f t="shared" si="6"/>
        <v>4194</v>
      </c>
      <c r="B141" s="3">
        <v>50130</v>
      </c>
      <c r="C141" s="50"/>
      <c r="D141" s="50">
        <v>2297.7991355591912</v>
      </c>
      <c r="E141" s="50"/>
      <c r="F141" s="50"/>
      <c r="G141" s="50"/>
      <c r="H141" s="50"/>
    </row>
    <row r="142" spans="1:8" x14ac:dyDescent="0.35">
      <c r="A142" s="5">
        <f t="shared" si="6"/>
        <v>4224</v>
      </c>
      <c r="B142" s="3">
        <v>50160</v>
      </c>
      <c r="C142" s="50"/>
      <c r="D142" s="50">
        <v>2297.7991355591912</v>
      </c>
      <c r="E142" s="50"/>
      <c r="F142" s="50"/>
      <c r="G142" s="50"/>
      <c r="H142" s="50"/>
    </row>
    <row r="143" spans="1:8" x14ac:dyDescent="0.35">
      <c r="A143" s="5">
        <f t="shared" si="6"/>
        <v>4255</v>
      </c>
      <c r="B143" s="3">
        <v>50191</v>
      </c>
      <c r="C143" s="50"/>
      <c r="D143" s="50">
        <v>2297.7991355591912</v>
      </c>
      <c r="E143" s="50"/>
      <c r="F143" s="50"/>
      <c r="G143" s="50"/>
      <c r="H143" s="50"/>
    </row>
    <row r="144" spans="1:8" x14ac:dyDescent="0.35">
      <c r="A144" s="5">
        <f t="shared" si="6"/>
        <v>4285</v>
      </c>
      <c r="B144" s="3">
        <v>50221</v>
      </c>
      <c r="C144" s="50"/>
      <c r="D144" s="50">
        <v>2297.7991355591912</v>
      </c>
      <c r="E144" s="50"/>
      <c r="F144" s="50"/>
      <c r="G144" s="50"/>
      <c r="H144" s="50"/>
    </row>
    <row r="145" spans="1:8" x14ac:dyDescent="0.35">
      <c r="A145" s="5">
        <f t="shared" si="6"/>
        <v>4316</v>
      </c>
      <c r="B145" s="3">
        <v>50252</v>
      </c>
      <c r="C145" s="50"/>
      <c r="D145" s="50">
        <v>2297.7991355591912</v>
      </c>
      <c r="E145" s="50"/>
      <c r="F145" s="50"/>
      <c r="G145" s="50"/>
      <c r="H145" s="50"/>
    </row>
    <row r="146" spans="1:8" x14ac:dyDescent="0.35">
      <c r="A146" s="5">
        <f t="shared" si="6"/>
        <v>4347</v>
      </c>
      <c r="B146" s="3">
        <v>50283</v>
      </c>
      <c r="C146" s="50"/>
      <c r="D146" s="50">
        <v>2297.7991355591912</v>
      </c>
      <c r="E146" s="50"/>
      <c r="F146" s="50"/>
      <c r="G146" s="50"/>
      <c r="H146" s="50"/>
    </row>
    <row r="147" spans="1:8" x14ac:dyDescent="0.35">
      <c r="A147" s="5">
        <f t="shared" si="6"/>
        <v>4377</v>
      </c>
      <c r="B147" s="3">
        <v>50313</v>
      </c>
      <c r="C147" s="50"/>
      <c r="D147" s="50">
        <v>2297.7991355591912</v>
      </c>
      <c r="E147" s="50"/>
      <c r="F147" s="50"/>
      <c r="G147" s="50"/>
      <c r="H147" s="50"/>
    </row>
    <row r="148" spans="1:8" x14ac:dyDescent="0.35">
      <c r="A148" s="5">
        <f t="shared" si="6"/>
        <v>4408</v>
      </c>
      <c r="B148" s="3">
        <v>50344</v>
      </c>
      <c r="C148" s="50"/>
      <c r="D148" s="50">
        <v>2297.7991355591912</v>
      </c>
      <c r="E148" s="50"/>
      <c r="F148" s="50"/>
      <c r="G148" s="50"/>
      <c r="H148" s="50"/>
    </row>
    <row r="149" spans="1:8" x14ac:dyDescent="0.35">
      <c r="A149" s="5">
        <f t="shared" si="6"/>
        <v>4438</v>
      </c>
      <c r="B149" s="3">
        <v>50374</v>
      </c>
      <c r="C149" s="50"/>
      <c r="D149" s="50">
        <v>2297.7991355591912</v>
      </c>
      <c r="E149" s="50"/>
      <c r="F149" s="50"/>
      <c r="G149" s="50"/>
      <c r="H149" s="50"/>
    </row>
    <row r="150" spans="1:8" x14ac:dyDescent="0.35">
      <c r="A150" s="5">
        <f t="shared" si="6"/>
        <v>4469</v>
      </c>
      <c r="B150" s="3">
        <v>50405</v>
      </c>
      <c r="C150" s="50"/>
      <c r="D150" s="50">
        <v>2297.7991355591912</v>
      </c>
      <c r="E150" s="50"/>
      <c r="F150" s="50"/>
      <c r="G150" s="50"/>
      <c r="H150" s="50"/>
    </row>
    <row r="151" spans="1:8" x14ac:dyDescent="0.35">
      <c r="A151" s="5">
        <f t="shared" si="6"/>
        <v>4500</v>
      </c>
      <c r="B151" s="3">
        <v>50436</v>
      </c>
      <c r="C151" s="50"/>
      <c r="D151" s="50">
        <v>2297.7991355591912</v>
      </c>
      <c r="E151" s="50"/>
      <c r="F151" s="50"/>
      <c r="G151" s="50"/>
      <c r="H151" s="50"/>
    </row>
    <row r="152" spans="1:8" x14ac:dyDescent="0.35">
      <c r="A152" s="5">
        <f t="shared" si="6"/>
        <v>4528</v>
      </c>
      <c r="B152" s="3">
        <v>50464</v>
      </c>
      <c r="C152" s="50"/>
      <c r="D152" s="50">
        <v>2297.7991355591912</v>
      </c>
      <c r="E152" s="50"/>
      <c r="F152" s="50"/>
      <c r="G152" s="50"/>
      <c r="H152" s="50"/>
    </row>
    <row r="153" spans="1:8" x14ac:dyDescent="0.35">
      <c r="A153" s="5">
        <f t="shared" si="6"/>
        <v>4559</v>
      </c>
      <c r="B153" s="3">
        <v>50495</v>
      </c>
      <c r="C153" s="50"/>
      <c r="D153" s="50">
        <v>2297.7991355591912</v>
      </c>
      <c r="E153" s="50"/>
      <c r="F153" s="50"/>
      <c r="G153" s="50"/>
      <c r="H153" s="50"/>
    </row>
    <row r="154" spans="1:8" x14ac:dyDescent="0.35">
      <c r="A154" s="5">
        <f t="shared" si="6"/>
        <v>4589</v>
      </c>
      <c r="B154" s="3">
        <v>50525</v>
      </c>
      <c r="C154" s="50"/>
      <c r="D154" s="50">
        <v>2297.7991355591912</v>
      </c>
      <c r="E154" s="50"/>
      <c r="F154" s="50"/>
      <c r="G154" s="50"/>
      <c r="H154" s="50"/>
    </row>
    <row r="155" spans="1:8" x14ac:dyDescent="0.35">
      <c r="A155" s="5">
        <f t="shared" si="6"/>
        <v>4620</v>
      </c>
      <c r="B155" s="3">
        <v>50556</v>
      </c>
      <c r="C155" s="50"/>
      <c r="D155" s="50">
        <v>2297.7991355591912</v>
      </c>
      <c r="E155" s="50"/>
      <c r="F155" s="50"/>
      <c r="G155" s="50"/>
      <c r="H155" s="50"/>
    </row>
    <row r="156" spans="1:8" x14ac:dyDescent="0.35">
      <c r="A156" s="5">
        <f t="shared" si="6"/>
        <v>4650</v>
      </c>
      <c r="B156" s="3">
        <v>50586</v>
      </c>
      <c r="C156" s="50"/>
      <c r="D156" s="50">
        <v>2297.7991355591912</v>
      </c>
      <c r="E156" s="50"/>
      <c r="F156" s="50"/>
      <c r="G156" s="50"/>
      <c r="H156" s="50"/>
    </row>
    <row r="157" spans="1:8" x14ac:dyDescent="0.35">
      <c r="A157" s="5">
        <f t="shared" si="6"/>
        <v>4681</v>
      </c>
      <c r="B157" s="3">
        <v>50617</v>
      </c>
      <c r="C157" s="50"/>
      <c r="D157" s="50">
        <v>2297.7991355591912</v>
      </c>
      <c r="E157" s="50"/>
      <c r="F157" s="50"/>
      <c r="G157" s="50"/>
      <c r="H157" s="50"/>
    </row>
    <row r="158" spans="1:8" x14ac:dyDescent="0.35">
      <c r="A158" s="5">
        <f t="shared" si="6"/>
        <v>4712</v>
      </c>
      <c r="B158" s="3">
        <v>50648</v>
      </c>
      <c r="C158" s="50"/>
      <c r="D158" s="50">
        <v>2297.7991355591912</v>
      </c>
      <c r="E158" s="50"/>
      <c r="F158" s="50"/>
      <c r="G158" s="50"/>
      <c r="H158" s="50"/>
    </row>
    <row r="159" spans="1:8" x14ac:dyDescent="0.35">
      <c r="A159" s="5">
        <f t="shared" si="6"/>
        <v>4742</v>
      </c>
      <c r="B159" s="3">
        <v>50678</v>
      </c>
      <c r="C159" s="50"/>
      <c r="D159" s="50">
        <v>2297.7991355591912</v>
      </c>
      <c r="E159" s="50"/>
      <c r="F159" s="50"/>
      <c r="G159" s="50"/>
      <c r="H159" s="50"/>
    </row>
    <row r="160" spans="1:8" x14ac:dyDescent="0.35">
      <c r="A160" s="5">
        <f t="shared" si="6"/>
        <v>4773</v>
      </c>
      <c r="B160" s="3">
        <v>50709</v>
      </c>
      <c r="C160" s="50"/>
      <c r="D160" s="50">
        <v>2297.7991355591912</v>
      </c>
      <c r="E160" s="50"/>
      <c r="F160" s="50"/>
      <c r="G160" s="50"/>
      <c r="H160" s="50"/>
    </row>
    <row r="161" spans="1:8" x14ac:dyDescent="0.35">
      <c r="A161" s="5">
        <f t="shared" si="6"/>
        <v>4803</v>
      </c>
      <c r="B161" s="3">
        <v>50739</v>
      </c>
      <c r="C161" s="50"/>
      <c r="D161" s="50">
        <v>2297.7991355591912</v>
      </c>
      <c r="E161" s="50"/>
      <c r="F161" s="50"/>
      <c r="G161" s="50"/>
      <c r="H161" s="50"/>
    </row>
    <row r="162" spans="1:8" x14ac:dyDescent="0.35">
      <c r="A162" s="5">
        <f t="shared" si="6"/>
        <v>4834</v>
      </c>
      <c r="B162" s="3">
        <v>50770</v>
      </c>
      <c r="C162" s="50"/>
      <c r="D162" s="50">
        <v>2297.7991355591912</v>
      </c>
      <c r="E162" s="50"/>
      <c r="F162" s="50"/>
      <c r="G162" s="50"/>
      <c r="H162" s="50"/>
    </row>
    <row r="163" spans="1:8" x14ac:dyDescent="0.35">
      <c r="A163" s="5">
        <f t="shared" si="6"/>
        <v>4865</v>
      </c>
      <c r="B163" s="3">
        <v>50801</v>
      </c>
      <c r="C163" s="50"/>
      <c r="D163" s="50">
        <v>2297.7991355591912</v>
      </c>
      <c r="E163" s="50"/>
      <c r="F163" s="50"/>
      <c r="G163" s="50"/>
      <c r="H163" s="50"/>
    </row>
    <row r="164" spans="1:8" x14ac:dyDescent="0.35">
      <c r="A164" s="5">
        <f t="shared" si="6"/>
        <v>4893</v>
      </c>
      <c r="B164" s="3">
        <v>50829</v>
      </c>
      <c r="C164" s="50"/>
      <c r="D164" s="50">
        <v>2297.7991355591912</v>
      </c>
      <c r="E164" s="50"/>
      <c r="F164" s="50"/>
      <c r="G164" s="50"/>
      <c r="H164" s="50"/>
    </row>
    <row r="165" spans="1:8" x14ac:dyDescent="0.35">
      <c r="A165" s="5">
        <f t="shared" si="6"/>
        <v>4924</v>
      </c>
      <c r="B165" s="3">
        <v>50860</v>
      </c>
      <c r="C165" s="50"/>
      <c r="D165" s="50">
        <v>2297.7991355591912</v>
      </c>
      <c r="E165" s="50"/>
      <c r="F165" s="50"/>
      <c r="G165" s="50"/>
      <c r="H165" s="50"/>
    </row>
    <row r="166" spans="1:8" x14ac:dyDescent="0.35">
      <c r="A166" s="5">
        <f t="shared" si="6"/>
        <v>4954</v>
      </c>
      <c r="B166" s="3">
        <v>50890</v>
      </c>
      <c r="C166" s="50"/>
      <c r="D166" s="50">
        <v>2297.7991355591912</v>
      </c>
      <c r="E166" s="50"/>
      <c r="F166" s="50"/>
      <c r="G166" s="50"/>
      <c r="H166" s="50"/>
    </row>
    <row r="167" spans="1:8" x14ac:dyDescent="0.35">
      <c r="A167" s="5">
        <f t="shared" si="6"/>
        <v>4985</v>
      </c>
      <c r="B167" s="3">
        <v>50921</v>
      </c>
      <c r="C167" s="50"/>
      <c r="D167" s="50">
        <v>2297.7991355591912</v>
      </c>
      <c r="E167" s="50"/>
      <c r="F167" s="50"/>
      <c r="G167" s="50"/>
      <c r="H167" s="50"/>
    </row>
    <row r="168" spans="1:8" x14ac:dyDescent="0.35">
      <c r="A168" s="5">
        <f t="shared" si="6"/>
        <v>5015</v>
      </c>
      <c r="B168" s="3">
        <v>50951</v>
      </c>
      <c r="C168" s="50"/>
      <c r="D168" s="50">
        <v>2297.7991355591912</v>
      </c>
      <c r="E168" s="50"/>
      <c r="F168" s="50"/>
      <c r="G168" s="50"/>
      <c r="H168" s="50"/>
    </row>
    <row r="169" spans="1:8" x14ac:dyDescent="0.35">
      <c r="A169" s="5">
        <f t="shared" si="6"/>
        <v>5046</v>
      </c>
      <c r="B169" s="3">
        <v>50982</v>
      </c>
      <c r="C169" s="50"/>
      <c r="D169" s="50">
        <v>2297.7991355591912</v>
      </c>
      <c r="E169" s="50"/>
      <c r="F169" s="50"/>
      <c r="G169" s="50"/>
      <c r="H169" s="50"/>
    </row>
    <row r="170" spans="1:8" x14ac:dyDescent="0.35">
      <c r="A170" s="5">
        <f t="shared" si="6"/>
        <v>5077</v>
      </c>
      <c r="B170" s="3">
        <v>51013</v>
      </c>
      <c r="C170" s="50"/>
      <c r="D170" s="50">
        <v>2297.7991355591912</v>
      </c>
      <c r="E170" s="50"/>
      <c r="F170" s="50"/>
      <c r="G170" s="50"/>
      <c r="H170" s="50"/>
    </row>
    <row r="171" spans="1:8" x14ac:dyDescent="0.35">
      <c r="A171" s="5">
        <f t="shared" si="6"/>
        <v>5107</v>
      </c>
      <c r="B171" s="3">
        <v>51043</v>
      </c>
      <c r="C171" s="50"/>
      <c r="D171" s="50">
        <v>2297.7991355591912</v>
      </c>
      <c r="E171" s="50"/>
      <c r="F171" s="50"/>
      <c r="G171" s="50"/>
      <c r="H171" s="50"/>
    </row>
    <row r="172" spans="1:8" x14ac:dyDescent="0.35">
      <c r="A172" s="5">
        <f t="shared" si="6"/>
        <v>5138</v>
      </c>
      <c r="B172" s="3">
        <v>51074</v>
      </c>
      <c r="C172" s="50"/>
      <c r="D172" s="50">
        <v>2297.7991355591912</v>
      </c>
      <c r="E172" s="50"/>
      <c r="F172" s="50"/>
      <c r="G172" s="50"/>
      <c r="H172" s="50"/>
    </row>
    <row r="173" spans="1:8" x14ac:dyDescent="0.35">
      <c r="A173" s="5">
        <f t="shared" si="6"/>
        <v>5168</v>
      </c>
      <c r="B173" s="3">
        <v>51104</v>
      </c>
      <c r="C173" s="50"/>
      <c r="D173" s="50">
        <v>2297.7991355591912</v>
      </c>
      <c r="E173" s="50"/>
      <c r="F173" s="50"/>
      <c r="G173" s="50"/>
      <c r="H173" s="50"/>
    </row>
    <row r="174" spans="1:8" x14ac:dyDescent="0.35">
      <c r="A174" s="5">
        <f t="shared" si="6"/>
        <v>5199</v>
      </c>
      <c r="B174" s="3">
        <v>51135</v>
      </c>
      <c r="C174" s="50"/>
      <c r="D174" s="50">
        <v>2297.7991355591912</v>
      </c>
      <c r="E174" s="50"/>
      <c r="F174" s="50"/>
      <c r="G174" s="50"/>
      <c r="H174" s="50"/>
    </row>
    <row r="175" spans="1:8" x14ac:dyDescent="0.35">
      <c r="A175" s="5">
        <f t="shared" si="6"/>
        <v>5230</v>
      </c>
      <c r="B175" s="3">
        <v>51166</v>
      </c>
      <c r="C175" s="50"/>
      <c r="D175" s="50">
        <v>2297.7991355591912</v>
      </c>
      <c r="E175" s="50"/>
      <c r="F175" s="50"/>
      <c r="G175" s="50"/>
      <c r="H175" s="50"/>
    </row>
    <row r="176" spans="1:8" x14ac:dyDescent="0.35">
      <c r="A176" s="5">
        <f t="shared" si="6"/>
        <v>5259</v>
      </c>
      <c r="B176" s="3">
        <v>51195</v>
      </c>
      <c r="C176" s="50"/>
      <c r="D176" s="50">
        <v>2297.7991355591912</v>
      </c>
      <c r="E176" s="50"/>
      <c r="F176" s="50"/>
      <c r="G176" s="50"/>
      <c r="H176" s="50"/>
    </row>
    <row r="177" spans="1:8" x14ac:dyDescent="0.35">
      <c r="A177" s="5">
        <f t="shared" si="6"/>
        <v>5290</v>
      </c>
      <c r="B177" s="3">
        <v>51226</v>
      </c>
      <c r="C177" s="50"/>
      <c r="D177" s="50">
        <v>2297.7991355591912</v>
      </c>
      <c r="E177" s="50"/>
      <c r="F177" s="50"/>
      <c r="G177" s="50"/>
      <c r="H177" s="50"/>
    </row>
    <row r="178" spans="1:8" x14ac:dyDescent="0.35">
      <c r="A178" s="5">
        <f t="shared" si="6"/>
        <v>5320</v>
      </c>
      <c r="B178" s="3">
        <v>51256</v>
      </c>
      <c r="C178" s="50"/>
      <c r="D178" s="50">
        <v>2297.7991355591912</v>
      </c>
      <c r="E178" s="50"/>
      <c r="F178" s="50"/>
      <c r="G178" s="50"/>
      <c r="H178" s="50"/>
    </row>
    <row r="179" spans="1:8" x14ac:dyDescent="0.35">
      <c r="A179" s="5">
        <f t="shared" si="6"/>
        <v>5351</v>
      </c>
      <c r="B179" s="3">
        <v>51287</v>
      </c>
      <c r="C179" s="50"/>
      <c r="D179" s="50">
        <v>2297.7991355591912</v>
      </c>
      <c r="E179" s="50"/>
      <c r="F179" s="50"/>
      <c r="G179" s="50"/>
      <c r="H179" s="50"/>
    </row>
    <row r="180" spans="1:8" x14ac:dyDescent="0.35">
      <c r="A180" s="5">
        <f t="shared" si="6"/>
        <v>5381</v>
      </c>
      <c r="B180" s="3">
        <v>51317</v>
      </c>
      <c r="C180" s="50"/>
      <c r="D180" s="50">
        <v>2297.7991355591912</v>
      </c>
      <c r="E180" s="50"/>
      <c r="F180" s="50"/>
      <c r="G180" s="50"/>
      <c r="H180" s="50"/>
    </row>
    <row r="181" spans="1:8" x14ac:dyDescent="0.35">
      <c r="A181" s="5">
        <f t="shared" si="6"/>
        <v>5412</v>
      </c>
      <c r="B181" s="3">
        <v>51348</v>
      </c>
      <c r="C181" s="50"/>
      <c r="D181" s="50">
        <v>2297.7991355591912</v>
      </c>
      <c r="E181" s="50"/>
      <c r="F181" s="50"/>
      <c r="G181" s="50"/>
      <c r="H181" s="50"/>
    </row>
    <row r="182" spans="1:8" x14ac:dyDescent="0.35">
      <c r="A182" s="5">
        <f t="shared" si="6"/>
        <v>5443</v>
      </c>
      <c r="B182" s="3">
        <v>51379</v>
      </c>
      <c r="C182" s="50"/>
      <c r="D182" s="50">
        <v>2297.7991355591912</v>
      </c>
      <c r="E182" s="50"/>
      <c r="F182" s="50"/>
      <c r="G182" s="50"/>
      <c r="H182" s="50"/>
    </row>
    <row r="183" spans="1:8" x14ac:dyDescent="0.35">
      <c r="A183" s="5">
        <f t="shared" si="6"/>
        <v>5473</v>
      </c>
      <c r="B183" s="3">
        <v>51409</v>
      </c>
      <c r="C183" s="50"/>
      <c r="D183" s="50">
        <v>2297.7991355591912</v>
      </c>
      <c r="E183" s="50"/>
      <c r="F183" s="50"/>
      <c r="G183" s="50"/>
      <c r="H183" s="50"/>
    </row>
    <row r="184" spans="1:8" x14ac:dyDescent="0.35">
      <c r="A184" s="5">
        <f t="shared" si="6"/>
        <v>5504</v>
      </c>
      <c r="B184" s="3">
        <v>51440</v>
      </c>
      <c r="C184" s="50"/>
      <c r="D184" s="50">
        <v>2297.7991355591912</v>
      </c>
      <c r="E184" s="50"/>
      <c r="F184" s="50"/>
      <c r="G184" s="50"/>
      <c r="H184" s="50"/>
    </row>
    <row r="185" spans="1:8" x14ac:dyDescent="0.35">
      <c r="A185" s="5">
        <f t="shared" si="6"/>
        <v>5534</v>
      </c>
      <c r="B185" s="3">
        <v>51470</v>
      </c>
      <c r="C185" s="50"/>
      <c r="D185" s="50">
        <v>2297.7991355591912</v>
      </c>
      <c r="E185" s="50"/>
      <c r="F185" s="50"/>
      <c r="G185" s="50"/>
      <c r="H185" s="50"/>
    </row>
    <row r="186" spans="1:8" x14ac:dyDescent="0.35">
      <c r="A186" s="5">
        <f t="shared" si="6"/>
        <v>5565</v>
      </c>
      <c r="B186" s="3">
        <v>51501</v>
      </c>
      <c r="C186" s="50"/>
      <c r="D186" s="50">
        <v>2297.7991355591912</v>
      </c>
      <c r="E186" s="50"/>
      <c r="F186" s="50"/>
      <c r="G186" s="50"/>
      <c r="H186" s="50"/>
    </row>
    <row r="187" spans="1:8" x14ac:dyDescent="0.35">
      <c r="A187" s="5">
        <f t="shared" si="6"/>
        <v>5596</v>
      </c>
      <c r="B187" s="3">
        <v>51532</v>
      </c>
      <c r="C187" s="50"/>
      <c r="D187" s="50">
        <v>2297.7991355591912</v>
      </c>
      <c r="E187" s="50"/>
      <c r="F187" s="50"/>
      <c r="G187" s="50"/>
      <c r="H187" s="50"/>
    </row>
    <row r="188" spans="1:8" x14ac:dyDescent="0.35">
      <c r="A188" s="5">
        <f t="shared" si="6"/>
        <v>5624</v>
      </c>
      <c r="B188" s="3">
        <v>51560</v>
      </c>
      <c r="C188" s="50"/>
      <c r="D188" s="50">
        <v>2297.7991355591912</v>
      </c>
      <c r="E188" s="50"/>
      <c r="F188" s="50"/>
      <c r="G188" s="50"/>
      <c r="H188" s="50"/>
    </row>
    <row r="189" spans="1:8" x14ac:dyDescent="0.35">
      <c r="A189" s="5">
        <f t="shared" si="6"/>
        <v>5655</v>
      </c>
      <c r="B189" s="3">
        <v>51591</v>
      </c>
      <c r="C189" s="50"/>
      <c r="D189" s="50">
        <v>2297.7991355591912</v>
      </c>
      <c r="E189" s="50"/>
      <c r="F189" s="50"/>
      <c r="G189" s="50"/>
      <c r="H189" s="50"/>
    </row>
    <row r="190" spans="1:8" x14ac:dyDescent="0.35">
      <c r="A190" s="5">
        <f t="shared" si="6"/>
        <v>5685</v>
      </c>
      <c r="B190" s="3">
        <v>51621</v>
      </c>
      <c r="C190" s="50"/>
      <c r="D190" s="50">
        <v>2297.7991355591912</v>
      </c>
      <c r="E190" s="50"/>
      <c r="F190" s="50"/>
      <c r="G190" s="50"/>
      <c r="H190" s="50"/>
    </row>
    <row r="191" spans="1:8" x14ac:dyDescent="0.35">
      <c r="A191" s="5">
        <f t="shared" si="6"/>
        <v>5716</v>
      </c>
      <c r="B191" s="3">
        <v>51652</v>
      </c>
      <c r="C191" s="50"/>
      <c r="D191" s="50">
        <v>2297.7991355591912</v>
      </c>
      <c r="E191" s="50"/>
      <c r="F191" s="50"/>
      <c r="G191" s="50"/>
      <c r="H191" s="50"/>
    </row>
    <row r="192" spans="1:8" x14ac:dyDescent="0.35">
      <c r="A192" s="5">
        <f t="shared" si="6"/>
        <v>5746</v>
      </c>
      <c r="B192" s="3">
        <v>51682</v>
      </c>
      <c r="C192" s="50"/>
      <c r="D192" s="50">
        <v>2297.7991355591912</v>
      </c>
      <c r="E192" s="50"/>
      <c r="F192" s="50"/>
      <c r="G192" s="50"/>
      <c r="H192" s="50"/>
    </row>
    <row r="193" spans="1:8" x14ac:dyDescent="0.35">
      <c r="A193" s="5">
        <f t="shared" si="6"/>
        <v>5777</v>
      </c>
      <c r="B193" s="3">
        <v>51713</v>
      </c>
      <c r="C193" s="50"/>
      <c r="D193" s="50">
        <v>2297.7991355591912</v>
      </c>
      <c r="E193" s="50"/>
      <c r="F193" s="50"/>
      <c r="G193" s="50"/>
      <c r="H193" s="50"/>
    </row>
    <row r="194" spans="1:8" x14ac:dyDescent="0.35">
      <c r="A194" s="5">
        <f t="shared" si="6"/>
        <v>5808</v>
      </c>
      <c r="B194" s="3">
        <v>51744</v>
      </c>
      <c r="C194" s="50"/>
      <c r="D194" s="50">
        <v>2297.7991355591912</v>
      </c>
      <c r="E194" s="50"/>
      <c r="F194" s="50"/>
      <c r="G194" s="50"/>
      <c r="H194" s="50"/>
    </row>
    <row r="195" spans="1:8" x14ac:dyDescent="0.35">
      <c r="A195" s="5">
        <f t="shared" si="6"/>
        <v>5838</v>
      </c>
      <c r="B195" s="3">
        <v>51774</v>
      </c>
      <c r="C195" s="50"/>
      <c r="D195" s="50">
        <v>2297.7991355591912</v>
      </c>
      <c r="E195" s="50"/>
      <c r="F195" s="50"/>
      <c r="G195" s="50"/>
      <c r="H195" s="50"/>
    </row>
    <row r="196" spans="1:8" x14ac:dyDescent="0.35">
      <c r="A196" s="5">
        <f t="shared" ref="A196:A208" si="7">B196-$A$2</f>
        <v>5869</v>
      </c>
      <c r="B196" s="3">
        <v>51805</v>
      </c>
      <c r="C196" s="50"/>
      <c r="D196" s="50">
        <v>2297.7991355591912</v>
      </c>
      <c r="E196" s="50"/>
      <c r="F196" s="50"/>
      <c r="G196" s="50"/>
      <c r="H196" s="50"/>
    </row>
    <row r="197" spans="1:8" x14ac:dyDescent="0.35">
      <c r="A197" s="5">
        <f t="shared" si="7"/>
        <v>5899</v>
      </c>
      <c r="B197" s="3">
        <v>51835</v>
      </c>
      <c r="C197" s="50"/>
      <c r="D197" s="50">
        <v>2297.7991355591912</v>
      </c>
      <c r="E197" s="50"/>
      <c r="F197" s="50"/>
      <c r="G197" s="50"/>
      <c r="H197" s="50"/>
    </row>
    <row r="198" spans="1:8" x14ac:dyDescent="0.35">
      <c r="A198" s="5">
        <f t="shared" si="7"/>
        <v>5930</v>
      </c>
      <c r="B198" s="3">
        <v>51866</v>
      </c>
      <c r="C198" s="50"/>
      <c r="D198" s="50">
        <v>2297.7991355591912</v>
      </c>
      <c r="E198" s="50"/>
      <c r="F198" s="50"/>
      <c r="G198" s="50"/>
      <c r="H198" s="50"/>
    </row>
    <row r="199" spans="1:8" x14ac:dyDescent="0.35">
      <c r="A199" s="5">
        <f t="shared" si="7"/>
        <v>5961</v>
      </c>
      <c r="B199" s="3">
        <v>51897</v>
      </c>
      <c r="C199" s="50"/>
      <c r="D199" s="50">
        <v>2297.7991355591912</v>
      </c>
      <c r="E199" s="50"/>
      <c r="F199" s="50"/>
      <c r="G199" s="50"/>
      <c r="H199" s="50"/>
    </row>
    <row r="200" spans="1:8" x14ac:dyDescent="0.35">
      <c r="A200" s="5">
        <f t="shared" si="7"/>
        <v>5989</v>
      </c>
      <c r="B200" s="3">
        <v>51925</v>
      </c>
      <c r="C200" s="50"/>
      <c r="D200" s="50">
        <v>2297.7991355591912</v>
      </c>
      <c r="E200" s="50"/>
      <c r="F200" s="50"/>
      <c r="G200" s="50"/>
      <c r="H200" s="50"/>
    </row>
    <row r="201" spans="1:8" x14ac:dyDescent="0.35">
      <c r="A201" s="5">
        <f t="shared" si="7"/>
        <v>6020</v>
      </c>
      <c r="B201" s="3">
        <v>51956</v>
      </c>
      <c r="C201" s="50"/>
      <c r="D201" s="50">
        <v>2297.7991355591912</v>
      </c>
      <c r="E201" s="50"/>
      <c r="F201" s="50"/>
      <c r="G201" s="50"/>
      <c r="H201" s="50"/>
    </row>
    <row r="202" spans="1:8" x14ac:dyDescent="0.35">
      <c r="A202" s="5">
        <f t="shared" si="7"/>
        <v>6050</v>
      </c>
      <c r="B202" s="3">
        <v>51986</v>
      </c>
      <c r="C202" s="50"/>
      <c r="D202" s="50">
        <v>2297.7991355591912</v>
      </c>
      <c r="E202" s="50"/>
      <c r="F202" s="50"/>
      <c r="G202" s="50"/>
      <c r="H202" s="50"/>
    </row>
    <row r="203" spans="1:8" x14ac:dyDescent="0.35">
      <c r="A203" s="5">
        <f t="shared" si="7"/>
        <v>6081</v>
      </c>
      <c r="B203" s="3">
        <v>52017</v>
      </c>
      <c r="C203" s="50"/>
      <c r="D203" s="50">
        <v>2297.7991355591912</v>
      </c>
      <c r="E203" s="50"/>
      <c r="F203" s="50"/>
      <c r="G203" s="50"/>
      <c r="H203" s="50"/>
    </row>
    <row r="204" spans="1:8" x14ac:dyDescent="0.35">
      <c r="A204" s="5">
        <f t="shared" si="7"/>
        <v>6111</v>
      </c>
      <c r="B204" s="3">
        <v>52047</v>
      </c>
      <c r="C204" s="50"/>
      <c r="D204" s="50">
        <v>2297.7991355591912</v>
      </c>
      <c r="E204" s="50"/>
      <c r="F204" s="50"/>
      <c r="G204" s="50"/>
      <c r="H204" s="50"/>
    </row>
    <row r="205" spans="1:8" x14ac:dyDescent="0.35">
      <c r="A205" s="5">
        <f t="shared" si="7"/>
        <v>6142</v>
      </c>
      <c r="B205" s="3">
        <v>52078</v>
      </c>
      <c r="C205" s="50"/>
      <c r="D205" s="50">
        <v>2297.7991355591912</v>
      </c>
      <c r="E205" s="50"/>
      <c r="F205" s="50"/>
      <c r="G205" s="50"/>
      <c r="H205" s="50"/>
    </row>
    <row r="206" spans="1:8" x14ac:dyDescent="0.35">
      <c r="A206" s="5">
        <f t="shared" si="7"/>
        <v>6173</v>
      </c>
      <c r="B206" s="3">
        <v>52109</v>
      </c>
      <c r="C206" s="50"/>
      <c r="D206" s="50">
        <v>2297.7991355591912</v>
      </c>
      <c r="E206" s="50"/>
      <c r="F206" s="50"/>
      <c r="G206" s="50"/>
      <c r="H206" s="50"/>
    </row>
    <row r="207" spans="1:8" x14ac:dyDescent="0.35">
      <c r="A207" s="5">
        <f t="shared" si="7"/>
        <v>6203</v>
      </c>
      <c r="B207" s="3">
        <v>52139</v>
      </c>
      <c r="C207" s="50"/>
      <c r="D207" s="50">
        <v>2297.7991355591912</v>
      </c>
      <c r="E207" s="50"/>
      <c r="F207" s="50"/>
      <c r="G207" s="50"/>
      <c r="H207" s="50"/>
    </row>
    <row r="208" spans="1:8" x14ac:dyDescent="0.35">
      <c r="A208" s="5">
        <f t="shared" si="7"/>
        <v>6234</v>
      </c>
      <c r="B208" s="3">
        <v>52170</v>
      </c>
      <c r="C208" s="50"/>
      <c r="D208" s="50">
        <v>1214.5075959250444</v>
      </c>
      <c r="E208" s="50"/>
      <c r="F208" s="50"/>
      <c r="G208" s="50"/>
      <c r="H208" s="50"/>
    </row>
    <row r="209" spans="1:1" x14ac:dyDescent="0.35">
      <c r="A209" s="5"/>
    </row>
  </sheetData>
  <conditionalFormatting sqref="Q36:Q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6:S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F25"/>
  <sheetViews>
    <sheetView workbookViewId="0">
      <selection activeCell="G26" sqref="G26"/>
    </sheetView>
  </sheetViews>
  <sheetFormatPr baseColWidth="10" defaultRowHeight="14.5" x14ac:dyDescent="0.35"/>
  <cols>
    <col min="1" max="1" width="45.7265625" customWidth="1"/>
    <col min="2" max="2" width="45.26953125" bestFit="1" customWidth="1"/>
    <col min="3" max="3" width="16.81640625" bestFit="1" customWidth="1"/>
    <col min="4" max="4" width="11.81640625" bestFit="1" customWidth="1"/>
    <col min="5" max="6" width="16.6328125" bestFit="1" customWidth="1"/>
  </cols>
  <sheetData>
    <row r="1" spans="1:6" x14ac:dyDescent="0.35">
      <c r="A1" t="s">
        <v>7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</row>
    <row r="2" spans="1:6" x14ac:dyDescent="0.35">
      <c r="A2" t="s">
        <v>68</v>
      </c>
      <c r="B2" t="s">
        <v>69</v>
      </c>
      <c r="C2">
        <v>1004286851948.1</v>
      </c>
      <c r="D2">
        <v>4.4215235000000011</v>
      </c>
      <c r="E2" s="43">
        <v>45991</v>
      </c>
      <c r="F2" s="43">
        <v>48213</v>
      </c>
    </row>
    <row r="3" spans="1:6" x14ac:dyDescent="0.35">
      <c r="A3" t="s">
        <v>68</v>
      </c>
      <c r="B3" t="s">
        <v>70</v>
      </c>
      <c r="C3">
        <v>430408650834.90002</v>
      </c>
      <c r="D3">
        <v>0</v>
      </c>
      <c r="E3" s="43">
        <v>45937</v>
      </c>
      <c r="F3" s="43">
        <v>45937</v>
      </c>
    </row>
    <row r="4" spans="1:6" x14ac:dyDescent="0.35">
      <c r="A4" t="s">
        <v>69</v>
      </c>
      <c r="B4" t="s">
        <v>69</v>
      </c>
      <c r="C4">
        <v>1004286851948.1</v>
      </c>
      <c r="D4">
        <v>0</v>
      </c>
      <c r="E4" s="43">
        <v>45937</v>
      </c>
      <c r="F4" s="43">
        <v>45937</v>
      </c>
    </row>
    <row r="5" spans="1:6" x14ac:dyDescent="0.35">
      <c r="A5" t="s">
        <v>70</v>
      </c>
      <c r="B5" t="s">
        <v>70</v>
      </c>
      <c r="C5">
        <v>430408650834.90002</v>
      </c>
      <c r="D5">
        <v>0</v>
      </c>
      <c r="E5" s="43">
        <v>45937</v>
      </c>
      <c r="F5" s="43">
        <v>45937</v>
      </c>
    </row>
    <row r="6" spans="1:6" x14ac:dyDescent="0.35">
      <c r="A6" t="s">
        <v>71</v>
      </c>
      <c r="B6" t="s">
        <v>72</v>
      </c>
      <c r="C6">
        <v>114098468917.3</v>
      </c>
      <c r="D6">
        <v>4.4022379999999997</v>
      </c>
      <c r="E6" s="43">
        <v>45991</v>
      </c>
      <c r="F6" s="43">
        <v>49248</v>
      </c>
    </row>
    <row r="7" spans="1:6" x14ac:dyDescent="0.35">
      <c r="A7" t="s">
        <v>71</v>
      </c>
      <c r="B7" t="s">
        <v>73</v>
      </c>
      <c r="C7">
        <v>48899343821.700012</v>
      </c>
      <c r="D7">
        <v>0</v>
      </c>
      <c r="E7" s="43">
        <v>45937</v>
      </c>
      <c r="F7" s="43">
        <v>45937</v>
      </c>
    </row>
    <row r="8" spans="1:6" x14ac:dyDescent="0.35">
      <c r="A8" t="s">
        <v>72</v>
      </c>
      <c r="B8" t="s">
        <v>72</v>
      </c>
      <c r="C8">
        <v>114098468917.3</v>
      </c>
      <c r="D8">
        <v>0</v>
      </c>
      <c r="E8" s="43">
        <v>45937</v>
      </c>
      <c r="F8" s="43">
        <v>45937</v>
      </c>
    </row>
    <row r="9" spans="1:6" x14ac:dyDescent="0.35">
      <c r="A9" t="s">
        <v>73</v>
      </c>
      <c r="B9" t="s">
        <v>73</v>
      </c>
      <c r="C9">
        <v>48899343821.700012</v>
      </c>
      <c r="D9">
        <v>0</v>
      </c>
      <c r="E9" s="43">
        <v>45937</v>
      </c>
      <c r="F9" s="43">
        <v>45937</v>
      </c>
    </row>
    <row r="10" spans="1:6" x14ac:dyDescent="0.35">
      <c r="A10" t="s">
        <v>74</v>
      </c>
      <c r="B10" t="s">
        <v>75</v>
      </c>
      <c r="C10">
        <v>3260687.9451978109</v>
      </c>
      <c r="D10">
        <v>4.3743015833333336</v>
      </c>
      <c r="E10" s="43">
        <v>45991</v>
      </c>
      <c r="F10" s="43">
        <v>48091</v>
      </c>
    </row>
    <row r="11" spans="1:6" x14ac:dyDescent="0.35">
      <c r="A11" t="s">
        <v>74</v>
      </c>
      <c r="B11" t="s">
        <v>76</v>
      </c>
      <c r="C11">
        <v>1397437.6907990631</v>
      </c>
      <c r="D11">
        <v>0</v>
      </c>
      <c r="E11" s="43">
        <v>45937</v>
      </c>
      <c r="F11" s="43">
        <v>45937</v>
      </c>
    </row>
    <row r="12" spans="1:6" x14ac:dyDescent="0.35">
      <c r="A12" t="s">
        <v>74</v>
      </c>
      <c r="B12" t="s">
        <v>77</v>
      </c>
      <c r="C12">
        <v>773538.53459168063</v>
      </c>
      <c r="D12">
        <v>4.3608019166666674</v>
      </c>
      <c r="E12" s="43">
        <v>45991</v>
      </c>
      <c r="F12" s="43">
        <v>48091</v>
      </c>
    </row>
    <row r="13" spans="1:6" x14ac:dyDescent="0.35">
      <c r="A13" t="s">
        <v>74</v>
      </c>
      <c r="B13" t="s">
        <v>78</v>
      </c>
      <c r="C13">
        <v>331516.51482500602</v>
      </c>
      <c r="D13">
        <v>0</v>
      </c>
      <c r="E13" s="43">
        <v>45937</v>
      </c>
      <c r="F13" s="43">
        <v>45937</v>
      </c>
    </row>
    <row r="14" spans="1:6" x14ac:dyDescent="0.35">
      <c r="A14" t="s">
        <v>75</v>
      </c>
      <c r="B14" t="s">
        <v>75</v>
      </c>
      <c r="C14">
        <v>3260687.9451978118</v>
      </c>
      <c r="D14">
        <v>0</v>
      </c>
      <c r="E14" s="43">
        <v>45937</v>
      </c>
      <c r="F14" s="43">
        <v>45937</v>
      </c>
    </row>
    <row r="15" spans="1:6" x14ac:dyDescent="0.35">
      <c r="A15" t="s">
        <v>76</v>
      </c>
      <c r="B15" t="s">
        <v>76</v>
      </c>
      <c r="C15">
        <v>1397437.6907990631</v>
      </c>
      <c r="D15">
        <v>0</v>
      </c>
      <c r="E15" s="43">
        <v>45937</v>
      </c>
      <c r="F15" s="43">
        <v>45937</v>
      </c>
    </row>
    <row r="16" spans="1:6" x14ac:dyDescent="0.35">
      <c r="A16" t="s">
        <v>77</v>
      </c>
      <c r="B16" t="s">
        <v>77</v>
      </c>
      <c r="C16">
        <v>773538.53459168063</v>
      </c>
      <c r="D16">
        <v>0</v>
      </c>
      <c r="E16" s="43">
        <v>45937</v>
      </c>
      <c r="F16" s="43">
        <v>45937</v>
      </c>
    </row>
    <row r="17" spans="1:6" x14ac:dyDescent="0.35">
      <c r="A17" t="s">
        <v>78</v>
      </c>
      <c r="B17" t="s">
        <v>78</v>
      </c>
      <c r="C17">
        <v>331516.51482500602</v>
      </c>
      <c r="D17">
        <v>0</v>
      </c>
      <c r="E17" s="43">
        <v>45937</v>
      </c>
      <c r="F17" s="43">
        <v>45937</v>
      </c>
    </row>
    <row r="18" spans="1:6" x14ac:dyDescent="0.35">
      <c r="A18" t="s">
        <v>79</v>
      </c>
      <c r="B18" t="s">
        <v>80</v>
      </c>
      <c r="C18">
        <v>1184757000000</v>
      </c>
      <c r="D18">
        <v>1.4221433866533559</v>
      </c>
      <c r="E18" s="43">
        <v>45961</v>
      </c>
      <c r="F18" s="43">
        <v>47208</v>
      </c>
    </row>
    <row r="19" spans="1:6" x14ac:dyDescent="0.35">
      <c r="A19" t="s">
        <v>79</v>
      </c>
      <c r="B19" t="s">
        <v>81</v>
      </c>
      <c r="C19">
        <v>249938502783</v>
      </c>
      <c r="D19">
        <v>0</v>
      </c>
      <c r="E19" s="43">
        <v>45937</v>
      </c>
      <c r="F19" s="43">
        <v>45937</v>
      </c>
    </row>
    <row r="20" spans="1:6" x14ac:dyDescent="0.35">
      <c r="A20" t="s">
        <v>82</v>
      </c>
      <c r="B20" t="s">
        <v>83</v>
      </c>
      <c r="C20">
        <v>125122000000</v>
      </c>
      <c r="D20">
        <v>1.408531761889285</v>
      </c>
      <c r="E20" s="43">
        <v>45961</v>
      </c>
      <c r="F20" s="43">
        <v>47208</v>
      </c>
    </row>
    <row r="21" spans="1:6" x14ac:dyDescent="0.35">
      <c r="A21" t="s">
        <v>82</v>
      </c>
      <c r="B21" t="s">
        <v>84</v>
      </c>
      <c r="C21">
        <v>37875812739</v>
      </c>
      <c r="D21">
        <v>0</v>
      </c>
      <c r="E21" s="43">
        <v>45937</v>
      </c>
      <c r="F21" s="43">
        <v>45937</v>
      </c>
    </row>
    <row r="22" spans="1:6" x14ac:dyDescent="0.35">
      <c r="A22" t="s">
        <v>85</v>
      </c>
      <c r="B22" t="s">
        <v>86</v>
      </c>
      <c r="C22">
        <v>3549440</v>
      </c>
      <c r="D22">
        <v>5.7050549134076904</v>
      </c>
      <c r="E22" s="43">
        <v>45961</v>
      </c>
      <c r="F22" s="43">
        <v>52170</v>
      </c>
    </row>
    <row r="23" spans="1:6" x14ac:dyDescent="0.35">
      <c r="A23" t="s">
        <v>85</v>
      </c>
      <c r="B23" t="s">
        <v>87</v>
      </c>
      <c r="C23">
        <v>1108685.6359968749</v>
      </c>
      <c r="D23">
        <v>0</v>
      </c>
      <c r="E23" s="43">
        <v>45937</v>
      </c>
      <c r="F23" s="43">
        <v>45937</v>
      </c>
    </row>
    <row r="24" spans="1:6" x14ac:dyDescent="0.35">
      <c r="A24" t="s">
        <v>85</v>
      </c>
      <c r="B24" t="s">
        <v>88</v>
      </c>
      <c r="C24">
        <v>1065518</v>
      </c>
      <c r="D24">
        <v>5.3577989301277968</v>
      </c>
      <c r="E24" s="43">
        <v>45961</v>
      </c>
      <c r="F24" s="43">
        <v>52170</v>
      </c>
    </row>
    <row r="25" spans="1:6" x14ac:dyDescent="0.35">
      <c r="A25" t="s">
        <v>85</v>
      </c>
      <c r="B25" t="s">
        <v>89</v>
      </c>
      <c r="C25">
        <v>39537.049416686641</v>
      </c>
      <c r="D25">
        <v>0</v>
      </c>
      <c r="E25" s="43">
        <v>45937</v>
      </c>
      <c r="F25" s="43">
        <v>45937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DESARROLLO</vt:lpstr>
      <vt:lpstr>DATOS</vt:lpstr>
      <vt:lpstr>CONTROL</vt:lpstr>
      <vt:lpstr>RESUMEN_HIST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Ignacio Muñoz Bozo</dc:creator>
  <cp:lastModifiedBy>Rodrigo Ignacio Muñoz Bozo</cp:lastModifiedBy>
  <dcterms:created xsi:type="dcterms:W3CDTF">2025-08-28T20:24:00Z</dcterms:created>
  <dcterms:modified xsi:type="dcterms:W3CDTF">2025-10-08T13:45:45Z</dcterms:modified>
</cp:coreProperties>
</file>