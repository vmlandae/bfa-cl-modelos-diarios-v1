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Z:\RF_PROCESOS\RF_Modelos\RF_Modelo_Saldos_sin_Vencimiento\"/>
    </mc:Choice>
  </mc:AlternateContent>
  <xr:revisionPtr revIDLastSave="0" documentId="13_ncr:1_{076187BE-D178-461E-B475-11B8D9E18FEB}" xr6:coauthVersionLast="47" xr6:coauthVersionMax="47" xr10:uidLastSave="{00000000-0000-0000-0000-000000000000}"/>
  <bookViews>
    <workbookView xWindow="28680" yWindow="-8595" windowWidth="29040" windowHeight="15720" tabRatio="783" xr2:uid="{00000000-000D-0000-FFFF-FFFF00000000}"/>
  </bookViews>
  <sheets>
    <sheet name="DESARROLLO" sheetId="1" r:id="rId1"/>
    <sheet name="Control" sheetId="16" r:id="rId2"/>
    <sheet name="Control_Core" sheetId="22" r:id="rId3"/>
    <sheet name="CartAdcnl" sheetId="15" r:id="rId4"/>
    <sheet name="Montos" sheetId="7" r:id="rId5"/>
    <sheet name="Salida_R" sheetId="14" r:id="rId6"/>
    <sheet name="Data_Bce" sheetId="8" r:id="rId7"/>
    <sheet name="R13_Cta_Cte" sheetId="17" r:id="rId8"/>
    <sheet name="R13_Cta_Vta" sheetId="18" r:id="rId9"/>
    <sheet name="R13_AGD" sheetId="19" r:id="rId10"/>
    <sheet name="R13_AGI" sheetId="20" r:id="rId11"/>
    <sheet name="C40-AGI" sheetId="13" r:id="rId12"/>
    <sheet name="C40-AGD" sheetId="12" r:id="rId13"/>
    <sheet name="C40-Cta_Vta" sheetId="11" r:id="rId14"/>
    <sheet name="C40-Cta_Cte" sheetId="10" r:id="rId15"/>
    <sheet name="Cta_Cte" sheetId="3" r:id="rId16"/>
    <sheet name="Cta_Vta" sheetId="4" r:id="rId17"/>
    <sheet name="AGD" sheetId="5" r:id="rId18"/>
    <sheet name="AGI" sheetId="6" r:id="rId19"/>
    <sheet name="GLOSAS" sheetId="9" r:id="rId20"/>
  </sheets>
  <definedNames>
    <definedName name="_xlnm._FilterDatabase" localSheetId="0" hidden="1">DESARROLLO!$A$1:$AE$1030</definedName>
    <definedName name="_xlnm._FilterDatabase" localSheetId="19" hidden="1">GLOSAS!$A$1:$B$30</definedName>
    <definedName name="_xleta.SUM" hidden="1" xlm="1">#NAME?</definedName>
    <definedName name="Consulta_desde_MS_Access_Database" localSheetId="6" hidden="1">Data_Bce!$P$1:$V$8</definedName>
    <definedName name="Consulta_desde_MS_Access_Database_1" localSheetId="6" hidden="1">Data_Bce!$I$1:$N$14</definedName>
    <definedName name="Consulta_desde_MS_Access_Database_2" localSheetId="6" hidden="1">Data_Bce!$A$1:$E$2</definedName>
  </definedNames>
  <calcPr calcId="191029"/>
  <pivotCaches>
    <pivotCache cacheId="27" r:id="rId21"/>
    <pivotCache cacheId="34" r:id="rId2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2" i="8" l="1"/>
  <c r="W3" i="8"/>
  <c r="W4" i="8"/>
  <c r="W5" i="8"/>
  <c r="W6" i="8"/>
  <c r="W7" i="8"/>
  <c r="W8" i="8"/>
  <c r="B35" i="7"/>
  <c r="G35" i="7" s="1"/>
  <c r="B34" i="7"/>
  <c r="G34" i="7" s="1"/>
  <c r="B33" i="7"/>
  <c r="G33" i="7" s="1"/>
  <c r="B32" i="7"/>
  <c r="G32" i="7" s="1"/>
  <c r="F33" i="7"/>
  <c r="F34" i="7"/>
  <c r="F35" i="7"/>
  <c r="F32" i="7"/>
  <c r="M38" i="3"/>
  <c r="M39" i="3"/>
  <c r="P51" i="4" l="1"/>
  <c r="G43" i="7"/>
  <c r="G44" i="7"/>
  <c r="G45" i="7"/>
  <c r="P62" i="3"/>
  <c r="P63" i="3"/>
  <c r="G42" i="7"/>
  <c r="E43" i="7"/>
  <c r="E44" i="7"/>
  <c r="E45" i="7"/>
  <c r="E42" i="7"/>
  <c r="F23" i="7"/>
  <c r="F24" i="7"/>
  <c r="F25" i="7"/>
  <c r="F22" i="7"/>
  <c r="I2" i="22" l="1"/>
  <c r="I3" i="22" s="1"/>
  <c r="I4" i="22" s="1"/>
  <c r="I5" i="22" s="1"/>
  <c r="I6" i="22" s="1"/>
  <c r="I7" i="22" s="1"/>
  <c r="I8" i="22" s="1"/>
  <c r="I9" i="22" s="1"/>
  <c r="I10" i="22" s="1"/>
  <c r="I11" i="22" s="1"/>
  <c r="I12" i="22" s="1"/>
  <c r="I13" i="22" s="1"/>
  <c r="I14" i="22" s="1"/>
  <c r="I15" i="22" s="1"/>
  <c r="I16" i="22" s="1"/>
  <c r="I17" i="22" s="1"/>
  <c r="I18" i="22" s="1"/>
  <c r="I19" i="22" s="1"/>
  <c r="I20" i="22" s="1"/>
  <c r="I21" i="22" s="1"/>
  <c r="H2" i="22"/>
  <c r="H3" i="22" s="1"/>
  <c r="H4" i="22" s="1"/>
  <c r="H5" i="22" s="1"/>
  <c r="H6" i="22" s="1"/>
  <c r="H7" i="22" s="1"/>
  <c r="H8" i="22" s="1"/>
  <c r="H9" i="22" s="1"/>
  <c r="H10" i="22" s="1"/>
  <c r="H11" i="22" s="1"/>
  <c r="H12" i="22" s="1"/>
  <c r="H13" i="22" s="1"/>
  <c r="H14" i="22" s="1"/>
  <c r="H15" i="22" s="1"/>
  <c r="H16" i="22" s="1"/>
  <c r="H17" i="22" s="1"/>
  <c r="H18" i="22" s="1"/>
  <c r="H19" i="22" s="1"/>
  <c r="H20" i="22" s="1"/>
  <c r="H21" i="22" s="1"/>
  <c r="G2" i="22"/>
  <c r="G3" i="22" s="1"/>
  <c r="G4" i="22" s="1"/>
  <c r="G5" i="22" s="1"/>
  <c r="G6" i="22" s="1"/>
  <c r="G7" i="22" s="1"/>
  <c r="G8" i="22" s="1"/>
  <c r="G9" i="22" s="1"/>
  <c r="G10" i="22" s="1"/>
  <c r="G11" i="22" s="1"/>
  <c r="G12" i="22" s="1"/>
  <c r="G13" i="22" s="1"/>
  <c r="G14" i="22" s="1"/>
  <c r="G15" i="22" s="1"/>
  <c r="G16" i="22" s="1"/>
  <c r="G17" i="22" s="1"/>
  <c r="G18" i="22" s="1"/>
  <c r="G19" i="22" s="1"/>
  <c r="G20" i="22" s="1"/>
  <c r="G21" i="22" s="1"/>
  <c r="F2" i="22"/>
  <c r="F3" i="22" s="1"/>
  <c r="F4" i="22" s="1"/>
  <c r="F5" i="22" s="1"/>
  <c r="F6" i="22" s="1"/>
  <c r="F7" i="22" s="1"/>
  <c r="F8" i="22" s="1"/>
  <c r="F9" i="22" s="1"/>
  <c r="F10" i="22" s="1"/>
  <c r="F11" i="22" s="1"/>
  <c r="F12" i="22" s="1"/>
  <c r="F13" i="22" s="1"/>
  <c r="F14" i="22" s="1"/>
  <c r="F15" i="22" s="1"/>
  <c r="F16" i="22" s="1"/>
  <c r="F17" i="22" s="1"/>
  <c r="F18" i="22" s="1"/>
  <c r="F19" i="22" s="1"/>
  <c r="F20" i="22" s="1"/>
  <c r="F21" i="22" s="1"/>
  <c r="G1" i="22" l="1"/>
  <c r="H1" i="22"/>
  <c r="I1" i="22"/>
  <c r="F1" i="22"/>
  <c r="B5" i="7"/>
  <c r="AC6" i="7" l="1"/>
  <c r="AC8" i="7"/>
  <c r="AC10" i="7"/>
  <c r="AC12" i="7"/>
  <c r="K37" i="18" l="1"/>
  <c r="K38" i="18" s="1"/>
  <c r="K39" i="18" s="1"/>
  <c r="K40" i="18" s="1"/>
  <c r="K41" i="18" s="1"/>
  <c r="K42" i="18" s="1"/>
  <c r="K43" i="18" s="1"/>
  <c r="K44" i="18" s="1"/>
  <c r="K45" i="18" s="1"/>
  <c r="K46" i="18" s="1"/>
  <c r="K47" i="18" s="1"/>
  <c r="K48" i="18" s="1"/>
  <c r="K49" i="18" s="1"/>
  <c r="K50" i="18" s="1"/>
  <c r="K51" i="18" s="1"/>
  <c r="K52" i="18" s="1"/>
  <c r="K53" i="18" s="1"/>
  <c r="K54" i="18" s="1"/>
  <c r="K55" i="18" s="1"/>
  <c r="K56" i="18" s="1"/>
  <c r="K57" i="18" s="1"/>
  <c r="K58" i="18" s="1"/>
  <c r="K59" i="18" s="1"/>
  <c r="K60" i="18" s="1"/>
  <c r="K61" i="18" s="1"/>
  <c r="K62" i="18" s="1"/>
  <c r="K63" i="18" s="1"/>
  <c r="K64" i="18" s="1"/>
  <c r="K65" i="18" s="1"/>
  <c r="K66" i="18" s="1"/>
  <c r="K67" i="18" s="1"/>
  <c r="K68" i="18" s="1"/>
  <c r="K69" i="18" s="1"/>
  <c r="K70" i="18" s="1"/>
  <c r="K71" i="18" s="1"/>
  <c r="K72" i="18" s="1"/>
  <c r="K73" i="18" s="1"/>
  <c r="K74" i="18" s="1"/>
  <c r="K75" i="18" s="1"/>
  <c r="K76" i="18" s="1"/>
  <c r="K77" i="18" s="1"/>
  <c r="K78" i="18" s="1"/>
  <c r="K79" i="18" s="1"/>
  <c r="K80" i="18" s="1"/>
  <c r="K81" i="18" s="1"/>
  <c r="K82" i="18" s="1"/>
  <c r="K83" i="18" s="1"/>
  <c r="K84" i="18" s="1"/>
  <c r="K85" i="18" s="1"/>
  <c r="K86" i="18" s="1"/>
  <c r="K87" i="18" s="1"/>
  <c r="K88" i="18" s="1"/>
  <c r="K89" i="18" s="1"/>
  <c r="K90" i="18" s="1"/>
  <c r="K91" i="18" s="1"/>
  <c r="K92" i="18" s="1"/>
  <c r="K93" i="18" s="1"/>
  <c r="K94" i="18" s="1"/>
  <c r="K95" i="18" s="1"/>
  <c r="K96" i="18" s="1"/>
  <c r="K97" i="18" s="1"/>
  <c r="K98" i="18" s="1"/>
  <c r="K99" i="18" s="1"/>
  <c r="K100" i="18" s="1"/>
  <c r="K101" i="18" s="1"/>
  <c r="K102" i="18" s="1"/>
  <c r="K103" i="18" s="1"/>
  <c r="K104" i="18" s="1"/>
  <c r="K105" i="18" s="1"/>
  <c r="K106" i="18" s="1"/>
  <c r="K107" i="18" s="1"/>
  <c r="K108" i="18" s="1"/>
  <c r="K109" i="18" s="1"/>
  <c r="K110" i="18" s="1"/>
  <c r="K37" i="17"/>
  <c r="K38" i="17" s="1"/>
  <c r="K39" i="17" s="1"/>
  <c r="K40" i="17" s="1"/>
  <c r="K41" i="17" s="1"/>
  <c r="K42" i="17" s="1"/>
  <c r="K43" i="17" s="1"/>
  <c r="K44" i="17" s="1"/>
  <c r="K45" i="17" s="1"/>
  <c r="K46" i="17" s="1"/>
  <c r="K47" i="17" s="1"/>
  <c r="K48" i="17" s="1"/>
  <c r="K49" i="17" s="1"/>
  <c r="K50" i="17" s="1"/>
  <c r="K51" i="17" s="1"/>
  <c r="K52" i="17" s="1"/>
  <c r="K53" i="17" s="1"/>
  <c r="K54" i="17" s="1"/>
  <c r="K55" i="17" s="1"/>
  <c r="K56" i="17" s="1"/>
  <c r="K57" i="17" s="1"/>
  <c r="K58" i="17" s="1"/>
  <c r="K59" i="17" s="1"/>
  <c r="K60" i="17" s="1"/>
  <c r="K61" i="17" s="1"/>
  <c r="K62" i="17" s="1"/>
  <c r="K63" i="17" s="1"/>
  <c r="K64" i="17" s="1"/>
  <c r="K65" i="17" s="1"/>
  <c r="K66" i="17" s="1"/>
  <c r="K67" i="17" s="1"/>
  <c r="K68" i="17" s="1"/>
  <c r="K69" i="17" s="1"/>
  <c r="K70" i="17" s="1"/>
  <c r="K71" i="17" s="1"/>
  <c r="K72" i="17" s="1"/>
  <c r="K73" i="17" s="1"/>
  <c r="K74" i="17" s="1"/>
  <c r="K75" i="17" s="1"/>
  <c r="K76" i="17" s="1"/>
  <c r="K77" i="17" s="1"/>
  <c r="K24" i="7" l="1"/>
  <c r="M5" i="3" l="1"/>
  <c r="M3" i="16"/>
  <c r="I4" i="16"/>
  <c r="M3" i="4" l="1"/>
  <c r="N3" i="4" s="1"/>
  <c r="N29" i="16" l="1"/>
  <c r="O46" i="16"/>
  <c r="O43" i="16"/>
  <c r="N44" i="16" s="1"/>
  <c r="O44" i="16"/>
  <c r="N45" i="16" s="1"/>
  <c r="O45" i="16"/>
  <c r="O42" i="16"/>
  <c r="Q22" i="16" l="1"/>
  <c r="J22" i="16" s="1"/>
  <c r="N43" i="16"/>
  <c r="P20" i="16" s="1"/>
  <c r="I20" i="16" s="1"/>
  <c r="R21" i="16"/>
  <c r="K21" i="16" s="1"/>
  <c r="N47" i="16"/>
  <c r="P22" i="16"/>
  <c r="I22" i="16" s="1"/>
  <c r="R22" i="16"/>
  <c r="K22" i="16" s="1"/>
  <c r="Q21" i="16"/>
  <c r="J21" i="16" s="1"/>
  <c r="P21" i="16"/>
  <c r="I21" i="16" s="1"/>
  <c r="N46" i="16"/>
  <c r="P23" i="16" s="1"/>
  <c r="I23" i="16" s="1"/>
  <c r="E39" i="7"/>
  <c r="A39" i="7" s="1"/>
  <c r="Q20" i="16" l="1"/>
  <c r="J20" i="16" s="1"/>
  <c r="R20" i="16"/>
  <c r="K20" i="16" s="1"/>
  <c r="R24" i="16"/>
  <c r="K24" i="16" s="1"/>
  <c r="Q24" i="16"/>
  <c r="J24" i="16" s="1"/>
  <c r="P24" i="16"/>
  <c r="I24" i="16" s="1"/>
  <c r="R23" i="16"/>
  <c r="K23" i="16" s="1"/>
  <c r="Q23" i="16"/>
  <c r="J23" i="16" s="1"/>
  <c r="D39" i="7"/>
  <c r="C39" i="7" s="1"/>
  <c r="B4" i="7" l="1"/>
  <c r="B3" i="7"/>
  <c r="O39" i="16"/>
  <c r="O40" i="16"/>
  <c r="O41" i="16"/>
  <c r="O38" i="16"/>
  <c r="O30" i="16"/>
  <c r="O31" i="16"/>
  <c r="O32" i="16"/>
  <c r="O33" i="16"/>
  <c r="O34" i="16"/>
  <c r="O35" i="16"/>
  <c r="O36" i="16"/>
  <c r="O37" i="16"/>
  <c r="O29" i="16"/>
  <c r="P6" i="16" s="1"/>
  <c r="B2" i="7"/>
  <c r="N39" i="16" l="1"/>
  <c r="R16" i="16" s="1"/>
  <c r="K16" i="16" s="1"/>
  <c r="N36" i="16"/>
  <c r="Q13" i="16" s="1"/>
  <c r="N42" i="16"/>
  <c r="R19" i="16" s="1"/>
  <c r="K19" i="16" s="1"/>
  <c r="N35" i="16"/>
  <c r="P12" i="16" s="1"/>
  <c r="N41" i="16"/>
  <c r="P18" i="16" s="1"/>
  <c r="I18" i="16" s="1"/>
  <c r="N40" i="16"/>
  <c r="R17" i="16" s="1"/>
  <c r="K17" i="16" s="1"/>
  <c r="N30" i="16"/>
  <c r="R7" i="16" s="1"/>
  <c r="R6" i="16"/>
  <c r="Q6" i="16"/>
  <c r="N37" i="16"/>
  <c r="R14" i="16" s="1"/>
  <c r="N32" i="16"/>
  <c r="R9" i="16" s="1"/>
  <c r="N31" i="16"/>
  <c r="Q8" i="16" s="1"/>
  <c r="N33" i="16"/>
  <c r="Q10" i="16" s="1"/>
  <c r="N34" i="16"/>
  <c r="Q11" i="16" s="1"/>
  <c r="N38" i="16"/>
  <c r="P15" i="16" s="1"/>
  <c r="I15" i="16" s="1"/>
  <c r="M4" i="10"/>
  <c r="M5" i="10"/>
  <c r="P16" i="16" l="1"/>
  <c r="I16" i="16" s="1"/>
  <c r="Q17" i="16"/>
  <c r="J17" i="16" s="1"/>
  <c r="P7" i="16"/>
  <c r="Q16" i="16"/>
  <c r="J16" i="16" s="1"/>
  <c r="R8" i="16"/>
  <c r="P17" i="16"/>
  <c r="I17" i="16" s="1"/>
  <c r="P14" i="16"/>
  <c r="Q14" i="16"/>
  <c r="Q7" i="16"/>
  <c r="R18" i="16"/>
  <c r="K18" i="16" s="1"/>
  <c r="Q18" i="16"/>
  <c r="J18" i="16" s="1"/>
  <c r="P9" i="16"/>
  <c r="I6" i="16"/>
  <c r="Q12" i="16"/>
  <c r="R13" i="16"/>
  <c r="Q9" i="16"/>
  <c r="J9" i="16" s="1"/>
  <c r="R10" i="16"/>
  <c r="R12" i="16"/>
  <c r="P13" i="16"/>
  <c r="R15" i="16"/>
  <c r="K15" i="16" s="1"/>
  <c r="R11" i="16"/>
  <c r="P19" i="16"/>
  <c r="I19" i="16" s="1"/>
  <c r="Q19" i="16"/>
  <c r="J19" i="16" s="1"/>
  <c r="Q15" i="16"/>
  <c r="J15" i="16" s="1"/>
  <c r="P8" i="16"/>
  <c r="P10" i="16"/>
  <c r="P11" i="16"/>
  <c r="P25" i="16" l="1"/>
  <c r="J30" i="16" s="1"/>
  <c r="R25" i="16"/>
  <c r="R26" i="16" s="1"/>
  <c r="Q25" i="16"/>
  <c r="G4" i="7"/>
  <c r="P26" i="16" l="1"/>
  <c r="I25" i="16"/>
  <c r="N12" i="7"/>
  <c r="N11" i="7"/>
  <c r="N10" i="7"/>
  <c r="N9" i="7"/>
  <c r="Z12" i="7"/>
  <c r="AA12" i="7" s="1"/>
  <c r="AB12" i="7" s="1"/>
  <c r="Z6" i="7"/>
  <c r="AA6" i="7" s="1"/>
  <c r="AB6" i="7" s="1"/>
  <c r="Z7" i="7"/>
  <c r="AA7" i="7" s="1"/>
  <c r="AB7" i="7" s="1"/>
  <c r="Z8" i="7"/>
  <c r="AA8" i="7" s="1"/>
  <c r="AB8" i="7" s="1"/>
  <c r="Z9" i="7"/>
  <c r="AA9" i="7" s="1"/>
  <c r="AB9" i="7" s="1"/>
  <c r="Z10" i="7"/>
  <c r="AA10" i="7" s="1"/>
  <c r="AB10" i="7" s="1"/>
  <c r="Z11" i="7"/>
  <c r="AA11" i="7" s="1"/>
  <c r="AB11" i="7" s="1"/>
  <c r="Z5" i="7"/>
  <c r="AA5" i="7" s="1"/>
  <c r="AB5" i="7" s="1"/>
  <c r="N5" i="7"/>
  <c r="N7" i="7"/>
  <c r="N8" i="7"/>
  <c r="N6" i="7"/>
  <c r="B44" i="7" l="1"/>
  <c r="M3" i="20" l="1"/>
  <c r="M3" i="19"/>
  <c r="M3" i="18"/>
  <c r="M4" i="17"/>
  <c r="F50" i="7" l="1"/>
  <c r="H49" i="7"/>
  <c r="C36" i="7" l="1"/>
  <c r="H36" i="7"/>
  <c r="C37" i="7"/>
  <c r="C38" i="7" s="1"/>
  <c r="E57" i="7"/>
  <c r="D9" i="7" l="1"/>
  <c r="G57" i="7"/>
  <c r="G59" i="7" s="1"/>
  <c r="B52" i="7" l="1"/>
  <c r="C53" i="7"/>
  <c r="B53" i="7" s="1"/>
  <c r="D48" i="7"/>
  <c r="C54" i="7" l="1"/>
  <c r="C55" i="7" s="1"/>
  <c r="B55" i="7" s="1"/>
  <c r="C56" i="7" l="1"/>
  <c r="B56" i="7" s="1"/>
  <c r="E59" i="7" s="1"/>
  <c r="B54" i="7"/>
  <c r="C57" i="7" l="1"/>
  <c r="B57" i="7" s="1"/>
  <c r="C58" i="7" l="1"/>
  <c r="B58" i="7" s="1"/>
  <c r="H33" i="7"/>
  <c r="H34" i="7" l="1"/>
  <c r="D16" i="7" l="1"/>
  <c r="D15" i="7"/>
  <c r="D17" i="7"/>
  <c r="D18" i="7" l="1"/>
  <c r="K4" i="20" l="1"/>
  <c r="K5" i="20" s="1"/>
  <c r="K6" i="20" s="1"/>
  <c r="K7" i="20" s="1"/>
  <c r="K8" i="20" s="1"/>
  <c r="K9" i="20" s="1"/>
  <c r="K10" i="20" s="1"/>
  <c r="K11" i="20" s="1"/>
  <c r="K12" i="20" s="1"/>
  <c r="K13" i="20" s="1"/>
  <c r="K14" i="20" s="1"/>
  <c r="K15" i="20" s="1"/>
  <c r="K16" i="20" s="1"/>
  <c r="K17" i="20" s="1"/>
  <c r="K18" i="20" s="1"/>
  <c r="K19" i="20" s="1"/>
  <c r="K20" i="20" s="1"/>
  <c r="K21" i="20" s="1"/>
  <c r="K22" i="20" s="1"/>
  <c r="K23" i="20" s="1"/>
  <c r="K24" i="20" s="1"/>
  <c r="K25" i="20" s="1"/>
  <c r="K26" i="20" s="1"/>
  <c r="K27" i="20" s="1"/>
  <c r="K28" i="20" s="1"/>
  <c r="K29" i="20" s="1"/>
  <c r="K30" i="20" s="1"/>
  <c r="K31" i="20" s="1"/>
  <c r="K32" i="20" s="1"/>
  <c r="K33" i="20" s="1"/>
  <c r="K34" i="20" s="1"/>
  <c r="K35" i="20" s="1"/>
  <c r="K36" i="20" s="1"/>
  <c r="K37" i="20" s="1"/>
  <c r="K38" i="20" s="1"/>
  <c r="K39" i="20" s="1"/>
  <c r="K40" i="20" s="1"/>
  <c r="K41" i="20" s="1"/>
  <c r="K42" i="20" s="1"/>
  <c r="K43" i="20" s="1"/>
  <c r="K44" i="20" s="1"/>
  <c r="K45" i="20" s="1"/>
  <c r="K46" i="20" s="1"/>
  <c r="K47" i="20" s="1"/>
  <c r="K48" i="20" s="1"/>
  <c r="K49" i="20" s="1"/>
  <c r="K50" i="20" s="1"/>
  <c r="K51" i="20" s="1"/>
  <c r="K52" i="20" s="1"/>
  <c r="K53" i="20" s="1"/>
  <c r="K54" i="20" s="1"/>
  <c r="K55" i="20" s="1"/>
  <c r="K56" i="20" s="1"/>
  <c r="K57" i="20" s="1"/>
  <c r="K58" i="20" s="1"/>
  <c r="K59" i="20" s="1"/>
  <c r="K60" i="20" s="1"/>
  <c r="K61" i="20" s="1"/>
  <c r="K62" i="20" s="1"/>
  <c r="K63" i="20" s="1"/>
  <c r="K64" i="20" s="1"/>
  <c r="K65" i="20" s="1"/>
  <c r="K66" i="20" s="1"/>
  <c r="K67" i="20" s="1"/>
  <c r="K68" i="20" s="1"/>
  <c r="K69" i="20" s="1"/>
  <c r="K70" i="20" s="1"/>
  <c r="K71" i="20" s="1"/>
  <c r="K72" i="20" s="1"/>
  <c r="K4" i="19"/>
  <c r="K5" i="19" s="1"/>
  <c r="K6" i="19" s="1"/>
  <c r="K7" i="19" s="1"/>
  <c r="K8" i="19" s="1"/>
  <c r="K9" i="19" s="1"/>
  <c r="K10" i="19" s="1"/>
  <c r="K11" i="19" s="1"/>
  <c r="K12" i="19" s="1"/>
  <c r="K13" i="19" s="1"/>
  <c r="K14" i="19" s="1"/>
  <c r="K15" i="19" s="1"/>
  <c r="K16" i="19" s="1"/>
  <c r="K17" i="19" s="1"/>
  <c r="K18" i="19" s="1"/>
  <c r="K19" i="19" s="1"/>
  <c r="K20" i="19" s="1"/>
  <c r="K21" i="19" s="1"/>
  <c r="K22" i="19" s="1"/>
  <c r="K23" i="19" s="1"/>
  <c r="K24" i="19" s="1"/>
  <c r="K25" i="19" s="1"/>
  <c r="K26" i="19" s="1"/>
  <c r="K27" i="19" s="1"/>
  <c r="K28" i="19" s="1"/>
  <c r="K29" i="19" s="1"/>
  <c r="K30" i="19" s="1"/>
  <c r="K31" i="19" s="1"/>
  <c r="K32" i="19" s="1"/>
  <c r="K33" i="19" s="1"/>
  <c r="K34" i="19" s="1"/>
  <c r="K35" i="19" s="1"/>
  <c r="K36" i="19" s="1"/>
  <c r="K37" i="19" s="1"/>
  <c r="K38" i="19" s="1"/>
  <c r="K39" i="19" s="1"/>
  <c r="K40" i="19" s="1"/>
  <c r="K41" i="19" s="1"/>
  <c r="K42" i="19" s="1"/>
  <c r="K43" i="19" s="1"/>
  <c r="K44" i="19" s="1"/>
  <c r="K45" i="19" s="1"/>
  <c r="K46" i="19" s="1"/>
  <c r="K47" i="19" s="1"/>
  <c r="K48" i="19" s="1"/>
  <c r="K49" i="19" s="1"/>
  <c r="K50" i="19" s="1"/>
  <c r="K51" i="19" s="1"/>
  <c r="K52" i="19" s="1"/>
  <c r="K53" i="19" s="1"/>
  <c r="K54" i="19" s="1"/>
  <c r="K55" i="19" s="1"/>
  <c r="K56" i="19" s="1"/>
  <c r="K57" i="19" s="1"/>
  <c r="K58" i="19" s="1"/>
  <c r="K59" i="19" s="1"/>
  <c r="K60" i="19" s="1"/>
  <c r="K61" i="19" s="1"/>
  <c r="K62" i="19" s="1"/>
  <c r="K63" i="19" s="1"/>
  <c r="K64" i="19" s="1"/>
  <c r="K65" i="19" s="1"/>
  <c r="K66" i="19" s="1"/>
  <c r="K67" i="19" s="1"/>
  <c r="K68" i="19" s="1"/>
  <c r="K69" i="19" s="1"/>
  <c r="K70" i="19" s="1"/>
  <c r="K71" i="19" s="1"/>
  <c r="K72" i="19" s="1"/>
  <c r="K4" i="18"/>
  <c r="K5" i="18" s="1"/>
  <c r="K6" i="18" s="1"/>
  <c r="K7" i="18" s="1"/>
  <c r="K8" i="18" s="1"/>
  <c r="K9" i="18" s="1"/>
  <c r="K10" i="18" s="1"/>
  <c r="K11" i="18" s="1"/>
  <c r="K12" i="18" s="1"/>
  <c r="K13" i="18" s="1"/>
  <c r="K14" i="18" s="1"/>
  <c r="K15" i="18" s="1"/>
  <c r="K16" i="18" s="1"/>
  <c r="K17" i="18" s="1"/>
  <c r="K18" i="18" s="1"/>
  <c r="K19" i="18" s="1"/>
  <c r="K20" i="18" s="1"/>
  <c r="K21" i="18" s="1"/>
  <c r="K22" i="18" s="1"/>
  <c r="K23" i="18" s="1"/>
  <c r="K24" i="18" s="1"/>
  <c r="K25" i="18" s="1"/>
  <c r="K26" i="18" s="1"/>
  <c r="K27" i="18" s="1"/>
  <c r="K28" i="18" s="1"/>
  <c r="K29" i="18" s="1"/>
  <c r="K30" i="18" s="1"/>
  <c r="K31" i="18" s="1"/>
  <c r="K32" i="18" s="1"/>
  <c r="K33" i="18" s="1"/>
  <c r="K34" i="18" s="1"/>
  <c r="K35" i="18" s="1"/>
  <c r="K36" i="18" s="1"/>
  <c r="M5" i="17"/>
  <c r="N5" i="17" s="1"/>
  <c r="O5" i="17" s="1"/>
  <c r="K5" i="17"/>
  <c r="K6" i="17" s="1"/>
  <c r="K7" i="17" s="1"/>
  <c r="K8" i="17" s="1"/>
  <c r="K9" i="17" s="1"/>
  <c r="K10" i="17" s="1"/>
  <c r="K11" i="17" s="1"/>
  <c r="K12" i="17" s="1"/>
  <c r="K13" i="17" s="1"/>
  <c r="K14" i="17" s="1"/>
  <c r="K15" i="17" s="1"/>
  <c r="K16" i="17" s="1"/>
  <c r="K17" i="17" s="1"/>
  <c r="K18" i="17" s="1"/>
  <c r="K19" i="17" s="1"/>
  <c r="K20" i="17" s="1"/>
  <c r="K21" i="17" s="1"/>
  <c r="K22" i="17" s="1"/>
  <c r="K23" i="17" s="1"/>
  <c r="K24" i="17" s="1"/>
  <c r="K25" i="17" s="1"/>
  <c r="K26" i="17" s="1"/>
  <c r="K27" i="17" s="1"/>
  <c r="K28" i="17" s="1"/>
  <c r="K29" i="17" s="1"/>
  <c r="K30" i="17" s="1"/>
  <c r="K31" i="17" s="1"/>
  <c r="K32" i="17" s="1"/>
  <c r="K33" i="17" s="1"/>
  <c r="K34" i="17" s="1"/>
  <c r="K35" i="17" s="1"/>
  <c r="K36" i="17" s="1"/>
  <c r="N4" i="17"/>
  <c r="O4" i="17" s="1"/>
  <c r="A3" i="17"/>
  <c r="A2" i="17"/>
  <c r="M2" i="17" s="1"/>
  <c r="N2" i="17" s="1"/>
  <c r="O2" i="17" s="1"/>
  <c r="A2" i="19" l="1"/>
  <c r="A3" i="19" s="1"/>
  <c r="A4" i="19" s="1"/>
  <c r="A5" i="19" s="1"/>
  <c r="A6" i="19" s="1"/>
  <c r="A7" i="19" s="1"/>
  <c r="A8" i="19" s="1"/>
  <c r="A9" i="19" s="1"/>
  <c r="A10" i="19" s="1"/>
  <c r="A11" i="19" s="1"/>
  <c r="A12" i="19" s="1"/>
  <c r="A13" i="19" s="1"/>
  <c r="A14" i="19" s="1"/>
  <c r="A15" i="19" s="1"/>
  <c r="A16" i="19" s="1"/>
  <c r="A17" i="19" s="1"/>
  <c r="A18" i="19" s="1"/>
  <c r="A19" i="19" s="1"/>
  <c r="A20" i="19" s="1"/>
  <c r="A21" i="19" s="1"/>
  <c r="A22" i="19" s="1"/>
  <c r="A23" i="19" s="1"/>
  <c r="A24" i="19" s="1"/>
  <c r="A25" i="19" s="1"/>
  <c r="A26" i="19" s="1"/>
  <c r="A27" i="19" s="1"/>
  <c r="A28" i="19" s="1"/>
  <c r="A29" i="19" s="1"/>
  <c r="A30" i="19" s="1"/>
  <c r="A31" i="19" s="1"/>
  <c r="A32" i="19" s="1"/>
  <c r="A33" i="19" s="1"/>
  <c r="A34" i="19" s="1"/>
  <c r="A35" i="19" s="1"/>
  <c r="A36" i="19" s="1"/>
  <c r="A37" i="19" s="1"/>
  <c r="A38" i="19" s="1"/>
  <c r="A39" i="19" s="1"/>
  <c r="A40" i="19" s="1"/>
  <c r="A41" i="19" s="1"/>
  <c r="A42" i="19" s="1"/>
  <c r="A43" i="19" s="1"/>
  <c r="A44" i="19" s="1"/>
  <c r="A45" i="19" s="1"/>
  <c r="A46" i="19" s="1"/>
  <c r="A47" i="19" s="1"/>
  <c r="A48" i="19" s="1"/>
  <c r="A49" i="19" s="1"/>
  <c r="A50" i="19" s="1"/>
  <c r="A51" i="19" s="1"/>
  <c r="A52" i="19" s="1"/>
  <c r="A53" i="19" s="1"/>
  <c r="A54" i="19" s="1"/>
  <c r="A55" i="19" s="1"/>
  <c r="A56" i="19" s="1"/>
  <c r="A57" i="19" s="1"/>
  <c r="A58" i="19" s="1"/>
  <c r="A59" i="19" s="1"/>
  <c r="A60" i="19" s="1"/>
  <c r="A61" i="19" s="1"/>
  <c r="A62" i="19" s="1"/>
  <c r="A63" i="19" s="1"/>
  <c r="A64" i="19" s="1"/>
  <c r="A65" i="19" s="1"/>
  <c r="A66" i="19" s="1"/>
  <c r="A67" i="19" s="1"/>
  <c r="A68" i="19" s="1"/>
  <c r="A69" i="19" s="1"/>
  <c r="A70" i="19" s="1"/>
  <c r="A71" i="19" s="1"/>
  <c r="A72" i="19" s="1"/>
  <c r="M3" i="17"/>
  <c r="N3" i="17" s="1"/>
  <c r="O3" i="17" s="1"/>
  <c r="M4" i="18"/>
  <c r="N3" i="18"/>
  <c r="O3" i="18" s="1"/>
  <c r="A4" i="17"/>
  <c r="A5" i="17" s="1"/>
  <c r="A6" i="17" s="1"/>
  <c r="A7" i="17" s="1"/>
  <c r="A8" i="17" s="1"/>
  <c r="A9" i="17" s="1"/>
  <c r="A10" i="17" s="1"/>
  <c r="A11" i="17" s="1"/>
  <c r="A12" i="17" s="1"/>
  <c r="A13" i="17" s="1"/>
  <c r="A14" i="17" s="1"/>
  <c r="A15" i="17" s="1"/>
  <c r="A16" i="17" s="1"/>
  <c r="A17" i="17" s="1"/>
  <c r="A18" i="17" s="1"/>
  <c r="A19" i="17" s="1"/>
  <c r="A20" i="17" s="1"/>
  <c r="A21" i="17" s="1"/>
  <c r="A22" i="17" s="1"/>
  <c r="A23" i="17" s="1"/>
  <c r="A24" i="17" s="1"/>
  <c r="A25" i="17" s="1"/>
  <c r="A26" i="17" s="1"/>
  <c r="A27" i="17" s="1"/>
  <c r="A28" i="17" s="1"/>
  <c r="A29" i="17" s="1"/>
  <c r="A30" i="17" s="1"/>
  <c r="A31" i="17" s="1"/>
  <c r="A32" i="17" s="1"/>
  <c r="A33" i="17" s="1"/>
  <c r="A34" i="17" s="1"/>
  <c r="A35" i="17" s="1"/>
  <c r="A36" i="17" s="1"/>
  <c r="A37" i="17" s="1"/>
  <c r="A38" i="17" s="1"/>
  <c r="A39" i="17" s="1"/>
  <c r="A40" i="17" s="1"/>
  <c r="A41" i="17" s="1"/>
  <c r="A42" i="17" s="1"/>
  <c r="A43" i="17" s="1"/>
  <c r="A44" i="17" s="1"/>
  <c r="A45" i="17" s="1"/>
  <c r="A46" i="17" s="1"/>
  <c r="A47" i="17" s="1"/>
  <c r="A48" i="17" s="1"/>
  <c r="A49" i="17" s="1"/>
  <c r="A50" i="17" s="1"/>
  <c r="A51" i="17" s="1"/>
  <c r="A52" i="17" s="1"/>
  <c r="A53" i="17" s="1"/>
  <c r="A54" i="17" s="1"/>
  <c r="A55" i="17" s="1"/>
  <c r="A56" i="17" s="1"/>
  <c r="A57" i="17" s="1"/>
  <c r="A58" i="17" s="1"/>
  <c r="A59" i="17" s="1"/>
  <c r="A60" i="17" s="1"/>
  <c r="A61" i="17" s="1"/>
  <c r="A62" i="17" s="1"/>
  <c r="A63" i="17" s="1"/>
  <c r="A64" i="17" s="1"/>
  <c r="A65" i="17" s="1"/>
  <c r="A66" i="17" s="1"/>
  <c r="A67" i="17" s="1"/>
  <c r="A68" i="17" s="1"/>
  <c r="A69" i="17" s="1"/>
  <c r="A70" i="17" s="1"/>
  <c r="A71" i="17" s="1"/>
  <c r="A72" i="17" s="1"/>
  <c r="A73" i="17" s="1"/>
  <c r="A74" i="17" s="1"/>
  <c r="A75" i="17" s="1"/>
  <c r="A76" i="17" s="1"/>
  <c r="A77" i="17" s="1"/>
  <c r="M6" i="17"/>
  <c r="M7" i="17" s="1"/>
  <c r="M8" i="17" s="1"/>
  <c r="N3" i="20"/>
  <c r="O3" i="20" s="1"/>
  <c r="N3" i="19"/>
  <c r="O3" i="19" s="1"/>
  <c r="M4" i="19"/>
  <c r="A2" i="20"/>
  <c r="A2" i="18"/>
  <c r="M4" i="20"/>
  <c r="M2" i="19" l="1"/>
  <c r="N2" i="19" s="1"/>
  <c r="O2" i="19" s="1"/>
  <c r="N6" i="17"/>
  <c r="O6" i="17" s="1"/>
  <c r="N7" i="17"/>
  <c r="O7" i="17" s="1"/>
  <c r="M5" i="18"/>
  <c r="N4" i="18"/>
  <c r="O4" i="18" s="1"/>
  <c r="A3" i="18"/>
  <c r="A4" i="18" s="1"/>
  <c r="A5" i="18" s="1"/>
  <c r="A6" i="18" s="1"/>
  <c r="A7" i="18" s="1"/>
  <c r="A8" i="18" s="1"/>
  <c r="A9" i="18" s="1"/>
  <c r="A10" i="18" s="1"/>
  <c r="A11" i="18" s="1"/>
  <c r="A12" i="18" s="1"/>
  <c r="A13" i="18" s="1"/>
  <c r="A14" i="18" s="1"/>
  <c r="A15" i="18" s="1"/>
  <c r="A16" i="18" s="1"/>
  <c r="A17" i="18" s="1"/>
  <c r="A18" i="18" s="1"/>
  <c r="A19" i="18" s="1"/>
  <c r="A20" i="18" s="1"/>
  <c r="A21" i="18" s="1"/>
  <c r="A22" i="18" s="1"/>
  <c r="A23" i="18" s="1"/>
  <c r="A24" i="18" s="1"/>
  <c r="A25" i="18" s="1"/>
  <c r="A26" i="18" s="1"/>
  <c r="A27" i="18" s="1"/>
  <c r="A28" i="18" s="1"/>
  <c r="A29" i="18" s="1"/>
  <c r="A30" i="18" s="1"/>
  <c r="A31" i="18" s="1"/>
  <c r="A32" i="18" s="1"/>
  <c r="A33" i="18" s="1"/>
  <c r="A34" i="18" s="1"/>
  <c r="A35" i="18" s="1"/>
  <c r="A36" i="18" s="1"/>
  <c r="A37" i="18" s="1"/>
  <c r="A38" i="18" s="1"/>
  <c r="A39" i="18" s="1"/>
  <c r="A40" i="18" s="1"/>
  <c r="A41" i="18" s="1"/>
  <c r="A42" i="18" s="1"/>
  <c r="A43" i="18" s="1"/>
  <c r="A44" i="18" s="1"/>
  <c r="A45" i="18" s="1"/>
  <c r="A46" i="18" s="1"/>
  <c r="A47" i="18" s="1"/>
  <c r="A48" i="18" s="1"/>
  <c r="A49" i="18" s="1"/>
  <c r="A50" i="18" s="1"/>
  <c r="A51" i="18" s="1"/>
  <c r="A52" i="18" s="1"/>
  <c r="A53" i="18" s="1"/>
  <c r="A54" i="18" s="1"/>
  <c r="A55" i="18" s="1"/>
  <c r="A56" i="18" s="1"/>
  <c r="A57" i="18" s="1"/>
  <c r="A58" i="18" s="1"/>
  <c r="A59" i="18" s="1"/>
  <c r="A60" i="18" s="1"/>
  <c r="A61" i="18" s="1"/>
  <c r="A62" i="18" s="1"/>
  <c r="A63" i="18" s="1"/>
  <c r="A64" i="18" s="1"/>
  <c r="A65" i="18" s="1"/>
  <c r="A66" i="18" s="1"/>
  <c r="A67" i="18" s="1"/>
  <c r="A68" i="18" s="1"/>
  <c r="A69" i="18" s="1"/>
  <c r="A70" i="18" s="1"/>
  <c r="A71" i="18" s="1"/>
  <c r="A72" i="18" s="1"/>
  <c r="A73" i="18" s="1"/>
  <c r="A74" i="18" s="1"/>
  <c r="A75" i="18" s="1"/>
  <c r="A76" i="18" s="1"/>
  <c r="A77" i="18" s="1"/>
  <c r="A78" i="18" s="1"/>
  <c r="A79" i="18" s="1"/>
  <c r="A80" i="18" s="1"/>
  <c r="A81" i="18" s="1"/>
  <c r="A82" i="18" s="1"/>
  <c r="A83" i="18" s="1"/>
  <c r="A84" i="18" s="1"/>
  <c r="A85" i="18" s="1"/>
  <c r="A86" i="18" s="1"/>
  <c r="A87" i="18" s="1"/>
  <c r="A88" i="18" s="1"/>
  <c r="A89" i="18" s="1"/>
  <c r="A90" i="18" s="1"/>
  <c r="A91" i="18" s="1"/>
  <c r="A92" i="18" s="1"/>
  <c r="A93" i="18" s="1"/>
  <c r="A94" i="18" s="1"/>
  <c r="A95" i="18" s="1"/>
  <c r="A96" i="18" s="1"/>
  <c r="A97" i="18" s="1"/>
  <c r="A98" i="18" s="1"/>
  <c r="A99" i="18" s="1"/>
  <c r="A100" i="18" s="1"/>
  <c r="A101" i="18" s="1"/>
  <c r="A102" i="18" s="1"/>
  <c r="A103" i="18" s="1"/>
  <c r="A104" i="18" s="1"/>
  <c r="A105" i="18" s="1"/>
  <c r="A106" i="18" s="1"/>
  <c r="A107" i="18" s="1"/>
  <c r="A108" i="18" s="1"/>
  <c r="A109" i="18" s="1"/>
  <c r="A110" i="18" s="1"/>
  <c r="M2" i="18"/>
  <c r="N2" i="18" s="1"/>
  <c r="O2" i="18" s="1"/>
  <c r="N4" i="19"/>
  <c r="O4" i="19" s="1"/>
  <c r="M5" i="19"/>
  <c r="N8" i="17"/>
  <c r="O8" i="17" s="1"/>
  <c r="M9" i="17"/>
  <c r="M5" i="20"/>
  <c r="N4" i="20"/>
  <c r="O4" i="20" s="1"/>
  <c r="A3" i="20"/>
  <c r="A4" i="20" s="1"/>
  <c r="A5" i="20" s="1"/>
  <c r="A6" i="20" s="1"/>
  <c r="A7" i="20" s="1"/>
  <c r="A8" i="20" s="1"/>
  <c r="A9" i="20" s="1"/>
  <c r="A10" i="20" s="1"/>
  <c r="A11" i="20" s="1"/>
  <c r="A12" i="20" s="1"/>
  <c r="A13" i="20" s="1"/>
  <c r="A14" i="20" s="1"/>
  <c r="A15" i="20" s="1"/>
  <c r="A16" i="20" s="1"/>
  <c r="A17" i="20" s="1"/>
  <c r="A18" i="20" s="1"/>
  <c r="A19" i="20" s="1"/>
  <c r="A20" i="20" s="1"/>
  <c r="A21" i="20" s="1"/>
  <c r="A22" i="20" s="1"/>
  <c r="A23" i="20" s="1"/>
  <c r="A24" i="20" s="1"/>
  <c r="A25" i="20" s="1"/>
  <c r="A26" i="20" s="1"/>
  <c r="A27" i="20" s="1"/>
  <c r="A28" i="20" s="1"/>
  <c r="A29" i="20" s="1"/>
  <c r="A30" i="20" s="1"/>
  <c r="A31" i="20" s="1"/>
  <c r="A32" i="20" s="1"/>
  <c r="A33" i="20" s="1"/>
  <c r="A34" i="20" s="1"/>
  <c r="A35" i="20" s="1"/>
  <c r="A36" i="20" s="1"/>
  <c r="A37" i="20" s="1"/>
  <c r="A38" i="20" s="1"/>
  <c r="A39" i="20" s="1"/>
  <c r="A40" i="20" s="1"/>
  <c r="A41" i="20" s="1"/>
  <c r="A42" i="20" s="1"/>
  <c r="A43" i="20" s="1"/>
  <c r="A44" i="20" s="1"/>
  <c r="A45" i="20" s="1"/>
  <c r="A46" i="20" s="1"/>
  <c r="A47" i="20" s="1"/>
  <c r="A48" i="20" s="1"/>
  <c r="A49" i="20" s="1"/>
  <c r="A50" i="20" s="1"/>
  <c r="A51" i="20" s="1"/>
  <c r="A52" i="20" s="1"/>
  <c r="A53" i="20" s="1"/>
  <c r="A54" i="20" s="1"/>
  <c r="A55" i="20" s="1"/>
  <c r="A56" i="20" s="1"/>
  <c r="A57" i="20" s="1"/>
  <c r="A58" i="20" s="1"/>
  <c r="A59" i="20" s="1"/>
  <c r="A60" i="20" s="1"/>
  <c r="A61" i="20" s="1"/>
  <c r="A62" i="20" s="1"/>
  <c r="A63" i="20" s="1"/>
  <c r="A64" i="20" s="1"/>
  <c r="A65" i="20" s="1"/>
  <c r="A66" i="20" s="1"/>
  <c r="A67" i="20" s="1"/>
  <c r="A68" i="20" s="1"/>
  <c r="A69" i="20" s="1"/>
  <c r="A70" i="20" s="1"/>
  <c r="A71" i="20" s="1"/>
  <c r="A72" i="20" s="1"/>
  <c r="M2" i="20"/>
  <c r="N2" i="20" s="1"/>
  <c r="O2" i="20" s="1"/>
  <c r="M6" i="18" l="1"/>
  <c r="N5" i="18"/>
  <c r="O5" i="18" s="1"/>
  <c r="M6" i="20"/>
  <c r="N5" i="20"/>
  <c r="O5" i="20" s="1"/>
  <c r="N9" i="17"/>
  <c r="O9" i="17" s="1"/>
  <c r="M10" i="17"/>
  <c r="N5" i="19"/>
  <c r="O5" i="19" s="1"/>
  <c r="M6" i="19"/>
  <c r="E32" i="7"/>
  <c r="M7" i="18" l="1"/>
  <c r="N6" i="18"/>
  <c r="O6" i="18" s="1"/>
  <c r="M7" i="19"/>
  <c r="N6" i="19"/>
  <c r="O6" i="19" s="1"/>
  <c r="M11" i="17"/>
  <c r="N10" i="17"/>
  <c r="O10" i="17" s="1"/>
  <c r="M7" i="20"/>
  <c r="N6" i="20"/>
  <c r="O6" i="20" s="1"/>
  <c r="H32" i="7"/>
  <c r="H35" i="7"/>
  <c r="M8" i="18" l="1"/>
  <c r="N7" i="18"/>
  <c r="O7" i="18" s="1"/>
  <c r="N11" i="17"/>
  <c r="O11" i="17" s="1"/>
  <c r="M12" i="17"/>
  <c r="N7" i="19"/>
  <c r="O7" i="19" s="1"/>
  <c r="M8" i="19"/>
  <c r="M8" i="20"/>
  <c r="N7" i="20"/>
  <c r="O7" i="20" s="1"/>
  <c r="B6" i="7"/>
  <c r="E33" i="7"/>
  <c r="E34" i="7"/>
  <c r="E35" i="7"/>
  <c r="C5" i="7" l="1"/>
  <c r="C6" i="7"/>
  <c r="D36" i="7"/>
  <c r="G36" i="7"/>
  <c r="I35" i="7"/>
  <c r="J35" i="7" s="1"/>
  <c r="M9" i="18"/>
  <c r="N8" i="18"/>
  <c r="O8" i="18" s="1"/>
  <c r="M9" i="20"/>
  <c r="N8" i="20"/>
  <c r="O8" i="20" s="1"/>
  <c r="M13" i="17"/>
  <c r="N12" i="17"/>
  <c r="O12" i="17" s="1"/>
  <c r="M9" i="19"/>
  <c r="N8" i="19"/>
  <c r="O8" i="19" s="1"/>
  <c r="I32" i="7"/>
  <c r="I33" i="7"/>
  <c r="I34" i="7"/>
  <c r="J34" i="7" s="1"/>
  <c r="E6" i="7" l="1"/>
  <c r="F6" i="7"/>
  <c r="I6" i="7"/>
  <c r="E5" i="7"/>
  <c r="F5" i="7"/>
  <c r="I5" i="7"/>
  <c r="I36" i="7"/>
  <c r="E36" i="7"/>
  <c r="M10" i="18"/>
  <c r="N9" i="18"/>
  <c r="O9" i="18" s="1"/>
  <c r="N13" i="17"/>
  <c r="O13" i="17" s="1"/>
  <c r="M14" i="17"/>
  <c r="M10" i="20"/>
  <c r="N9" i="20"/>
  <c r="O9" i="20" s="1"/>
  <c r="N9" i="19"/>
  <c r="O9" i="19" s="1"/>
  <c r="M10" i="19"/>
  <c r="L63" i="13"/>
  <c r="L64" i="13"/>
  <c r="L65" i="13"/>
  <c r="L66" i="13"/>
  <c r="L67" i="13"/>
  <c r="L68" i="13"/>
  <c r="L69" i="13"/>
  <c r="L70" i="13"/>
  <c r="L71" i="13"/>
  <c r="L72" i="13"/>
  <c r="L73" i="13"/>
  <c r="L74" i="13"/>
  <c r="L75" i="13"/>
  <c r="L76" i="13"/>
  <c r="L77" i="13"/>
  <c r="L78" i="13"/>
  <c r="L79" i="13"/>
  <c r="L80" i="13"/>
  <c r="L81" i="13"/>
  <c r="L82" i="13"/>
  <c r="L83" i="13"/>
  <c r="L84" i="13"/>
  <c r="L85" i="13"/>
  <c r="L86" i="13"/>
  <c r="L87" i="13"/>
  <c r="L88" i="13"/>
  <c r="L89" i="13"/>
  <c r="L90" i="13"/>
  <c r="L91" i="13"/>
  <c r="L92" i="13"/>
  <c r="L93" i="13"/>
  <c r="L94" i="13"/>
  <c r="L95" i="13"/>
  <c r="L96" i="13"/>
  <c r="L97" i="13"/>
  <c r="L98" i="13"/>
  <c r="L99" i="13"/>
  <c r="L100" i="13"/>
  <c r="L101" i="13"/>
  <c r="L102" i="13"/>
  <c r="L103" i="13"/>
  <c r="L104" i="13"/>
  <c r="L105" i="13"/>
  <c r="L106" i="13"/>
  <c r="L107" i="13"/>
  <c r="L108" i="13"/>
  <c r="L109" i="13"/>
  <c r="L110" i="13"/>
  <c r="L111" i="13"/>
  <c r="L112" i="13"/>
  <c r="L113" i="13"/>
  <c r="L114" i="13"/>
  <c r="L115" i="13"/>
  <c r="L116" i="13"/>
  <c r="L117" i="13"/>
  <c r="L118" i="13"/>
  <c r="L119" i="13"/>
  <c r="L120" i="13"/>
  <c r="L121" i="13"/>
  <c r="L122" i="13"/>
  <c r="L123" i="13"/>
  <c r="L124" i="13"/>
  <c r="L125" i="13"/>
  <c r="L126" i="13"/>
  <c r="L127" i="13"/>
  <c r="L128" i="13"/>
  <c r="L129" i="13"/>
  <c r="L130" i="13"/>
  <c r="L131" i="13"/>
  <c r="L132" i="13"/>
  <c r="L133" i="13"/>
  <c r="L134" i="13"/>
  <c r="L135" i="13"/>
  <c r="L136" i="13"/>
  <c r="L137" i="13"/>
  <c r="L138" i="13"/>
  <c r="L139" i="13"/>
  <c r="L140" i="13"/>
  <c r="L141" i="13"/>
  <c r="L142" i="13"/>
  <c r="L143" i="13"/>
  <c r="L144" i="13"/>
  <c r="L145" i="13"/>
  <c r="L146" i="13"/>
  <c r="L147" i="13"/>
  <c r="L148" i="13"/>
  <c r="L149" i="13"/>
  <c r="L150" i="13"/>
  <c r="L151" i="13"/>
  <c r="L152" i="13"/>
  <c r="L153" i="13"/>
  <c r="L154" i="13"/>
  <c r="L155" i="13"/>
  <c r="L156" i="13"/>
  <c r="L157" i="13"/>
  <c r="L158" i="13"/>
  <c r="L159" i="13"/>
  <c r="L160" i="13"/>
  <c r="L161" i="13"/>
  <c r="L162" i="13"/>
  <c r="L163" i="13"/>
  <c r="L164" i="13"/>
  <c r="L165" i="13"/>
  <c r="L166" i="13"/>
  <c r="L167" i="13"/>
  <c r="L168" i="13"/>
  <c r="L169" i="13"/>
  <c r="L170" i="13"/>
  <c r="L171" i="13"/>
  <c r="L172" i="13"/>
  <c r="L173" i="13"/>
  <c r="L174" i="13"/>
  <c r="L175" i="13"/>
  <c r="L176" i="13"/>
  <c r="L177" i="13"/>
  <c r="L178" i="13"/>
  <c r="L179" i="13"/>
  <c r="L180" i="13"/>
  <c r="L181" i="13"/>
  <c r="L182" i="13"/>
  <c r="L183" i="13"/>
  <c r="L184" i="13"/>
  <c r="L185" i="13"/>
  <c r="L186" i="13"/>
  <c r="L187" i="13"/>
  <c r="L188" i="13"/>
  <c r="L189" i="13"/>
  <c r="L190" i="13"/>
  <c r="L191" i="13"/>
  <c r="L192" i="13"/>
  <c r="L193" i="13"/>
  <c r="L194" i="13"/>
  <c r="L195" i="13"/>
  <c r="L196" i="13"/>
  <c r="L197" i="13"/>
  <c r="L198" i="13"/>
  <c r="L199" i="13"/>
  <c r="L200" i="13"/>
  <c r="L201" i="13"/>
  <c r="L202" i="13"/>
  <c r="L203" i="13"/>
  <c r="L204" i="13"/>
  <c r="L205" i="13"/>
  <c r="L206" i="13"/>
  <c r="L207" i="13"/>
  <c r="L208" i="13"/>
  <c r="L209" i="13"/>
  <c r="L210" i="13"/>
  <c r="L211" i="13"/>
  <c r="L212" i="13"/>
  <c r="L213" i="13"/>
  <c r="L214" i="13"/>
  <c r="L215" i="13"/>
  <c r="L216" i="13"/>
  <c r="L217" i="13"/>
  <c r="L4" i="13"/>
  <c r="L5" i="13"/>
  <c r="L6" i="13"/>
  <c r="L7" i="13"/>
  <c r="L8" i="13"/>
  <c r="L9" i="13"/>
  <c r="L10" i="13"/>
  <c r="L11" i="13"/>
  <c r="L12" i="13"/>
  <c r="L13" i="13"/>
  <c r="L14" i="13"/>
  <c r="L15" i="13"/>
  <c r="L16" i="13"/>
  <c r="L17" i="13"/>
  <c r="L18" i="13"/>
  <c r="L19" i="13"/>
  <c r="L20" i="13"/>
  <c r="L21" i="13"/>
  <c r="L22" i="13"/>
  <c r="L23" i="13"/>
  <c r="L24" i="13"/>
  <c r="L25" i="13"/>
  <c r="L26" i="13"/>
  <c r="L27" i="13"/>
  <c r="L28" i="13"/>
  <c r="L29" i="13"/>
  <c r="L30" i="13"/>
  <c r="L31" i="13"/>
  <c r="L32" i="13"/>
  <c r="L33" i="13"/>
  <c r="L34" i="13"/>
  <c r="L35" i="13"/>
  <c r="L36" i="13"/>
  <c r="L37" i="13"/>
  <c r="L38" i="13"/>
  <c r="L39" i="13"/>
  <c r="L40" i="13"/>
  <c r="L41" i="13"/>
  <c r="L42" i="13"/>
  <c r="L43" i="13"/>
  <c r="L44" i="13"/>
  <c r="L45" i="13"/>
  <c r="L46" i="13"/>
  <c r="L47" i="13"/>
  <c r="L48" i="13"/>
  <c r="L49" i="13"/>
  <c r="L50" i="13"/>
  <c r="L51" i="13"/>
  <c r="L52" i="13"/>
  <c r="L53" i="13"/>
  <c r="L54" i="13"/>
  <c r="L55" i="13"/>
  <c r="L56" i="13"/>
  <c r="L57" i="13"/>
  <c r="L58" i="13"/>
  <c r="L59" i="13"/>
  <c r="L60" i="13"/>
  <c r="L61" i="13"/>
  <c r="L62" i="13"/>
  <c r="L3" i="13"/>
  <c r="K3" i="13"/>
  <c r="P3" i="13"/>
  <c r="L4" i="12"/>
  <c r="L5" i="12"/>
  <c r="L6" i="12"/>
  <c r="L7" i="12"/>
  <c r="L8" i="12"/>
  <c r="L9" i="12"/>
  <c r="L10" i="12"/>
  <c r="L11" i="12"/>
  <c r="L12" i="12"/>
  <c r="L13" i="12"/>
  <c r="L14" i="12"/>
  <c r="L15" i="12"/>
  <c r="L16" i="12"/>
  <c r="L17" i="12"/>
  <c r="L18" i="12"/>
  <c r="L19" i="12"/>
  <c r="L20" i="12"/>
  <c r="L21" i="12"/>
  <c r="L22" i="12"/>
  <c r="L23" i="12"/>
  <c r="L24" i="12"/>
  <c r="L25" i="12"/>
  <c r="L26" i="12"/>
  <c r="L27" i="12"/>
  <c r="L28" i="12"/>
  <c r="L29" i="12"/>
  <c r="L30" i="12"/>
  <c r="L31" i="12"/>
  <c r="L32" i="12"/>
  <c r="L33" i="12"/>
  <c r="L34" i="12"/>
  <c r="L35" i="12"/>
  <c r="L36" i="12"/>
  <c r="L37" i="12"/>
  <c r="L38" i="12"/>
  <c r="L39" i="12"/>
  <c r="L40" i="12"/>
  <c r="L41" i="12"/>
  <c r="L42" i="12"/>
  <c r="L43" i="12"/>
  <c r="L44" i="12"/>
  <c r="L45" i="12"/>
  <c r="L46" i="12"/>
  <c r="L47" i="12"/>
  <c r="L48" i="12"/>
  <c r="L49" i="12"/>
  <c r="L50" i="12"/>
  <c r="L51" i="12"/>
  <c r="L52" i="12"/>
  <c r="L53" i="12"/>
  <c r="L54" i="12"/>
  <c r="L55" i="12"/>
  <c r="L56" i="12"/>
  <c r="L57" i="12"/>
  <c r="L58" i="12"/>
  <c r="L59" i="12"/>
  <c r="L60" i="12"/>
  <c r="L61" i="12"/>
  <c r="L62" i="12"/>
  <c r="L63" i="12"/>
  <c r="L64" i="12"/>
  <c r="L65" i="12"/>
  <c r="L66" i="12"/>
  <c r="L67" i="12"/>
  <c r="L68" i="12"/>
  <c r="L69" i="12"/>
  <c r="L70" i="12"/>
  <c r="L71" i="12"/>
  <c r="L72" i="12"/>
  <c r="L73" i="12"/>
  <c r="L74" i="12"/>
  <c r="L75" i="12"/>
  <c r="L76" i="12"/>
  <c r="L77" i="12"/>
  <c r="L78" i="12"/>
  <c r="L79" i="12"/>
  <c r="L80" i="12"/>
  <c r="L81" i="12"/>
  <c r="L82" i="12"/>
  <c r="L83" i="12"/>
  <c r="L84" i="12"/>
  <c r="L85" i="12"/>
  <c r="L86" i="12"/>
  <c r="L87" i="12"/>
  <c r="L88" i="12"/>
  <c r="L89" i="12"/>
  <c r="L90" i="12"/>
  <c r="L91" i="12"/>
  <c r="L92" i="12"/>
  <c r="L93" i="12"/>
  <c r="L94" i="12"/>
  <c r="L95" i="12"/>
  <c r="L96" i="12"/>
  <c r="L97" i="12"/>
  <c r="L98" i="12"/>
  <c r="L99" i="12"/>
  <c r="L100" i="12"/>
  <c r="L101" i="12"/>
  <c r="L102" i="12"/>
  <c r="L103" i="12"/>
  <c r="L104" i="12"/>
  <c r="L105" i="12"/>
  <c r="L106" i="12"/>
  <c r="L107" i="12"/>
  <c r="L108" i="12"/>
  <c r="L109" i="12"/>
  <c r="L110" i="12"/>
  <c r="L111" i="12"/>
  <c r="L112" i="12"/>
  <c r="L113" i="12"/>
  <c r="L114" i="12"/>
  <c r="L115" i="12"/>
  <c r="L116" i="12"/>
  <c r="L117" i="12"/>
  <c r="L118" i="12"/>
  <c r="L119" i="12"/>
  <c r="L120" i="12"/>
  <c r="L121" i="12"/>
  <c r="L122" i="12"/>
  <c r="L123" i="12"/>
  <c r="L124" i="12"/>
  <c r="L125" i="12"/>
  <c r="L126" i="12"/>
  <c r="L127" i="12"/>
  <c r="L128" i="12"/>
  <c r="L129" i="12"/>
  <c r="L130" i="12"/>
  <c r="L131" i="12"/>
  <c r="L132" i="12"/>
  <c r="L133" i="12"/>
  <c r="L134" i="12"/>
  <c r="L135" i="12"/>
  <c r="L136" i="12"/>
  <c r="L137" i="12"/>
  <c r="L138" i="12"/>
  <c r="L139" i="12"/>
  <c r="L140" i="12"/>
  <c r="L141" i="12"/>
  <c r="L142" i="12"/>
  <c r="L143" i="12"/>
  <c r="L144" i="12"/>
  <c r="L145" i="12"/>
  <c r="L146" i="12"/>
  <c r="L147" i="12"/>
  <c r="L148" i="12"/>
  <c r="L149" i="12"/>
  <c r="L150" i="12"/>
  <c r="L151" i="12"/>
  <c r="L152" i="12"/>
  <c r="L153" i="12"/>
  <c r="L154" i="12"/>
  <c r="L155" i="12"/>
  <c r="L156" i="12"/>
  <c r="L157" i="12"/>
  <c r="L158" i="12"/>
  <c r="L159" i="12"/>
  <c r="L160" i="12"/>
  <c r="L161" i="12"/>
  <c r="L162" i="12"/>
  <c r="L163" i="12"/>
  <c r="L164" i="12"/>
  <c r="L165" i="12"/>
  <c r="L166" i="12"/>
  <c r="L167" i="12"/>
  <c r="L168" i="12"/>
  <c r="L169" i="12"/>
  <c r="L170" i="12"/>
  <c r="L171" i="12"/>
  <c r="L172" i="12"/>
  <c r="L173" i="12"/>
  <c r="L174" i="12"/>
  <c r="L175" i="12"/>
  <c r="L176" i="12"/>
  <c r="L177" i="12"/>
  <c r="L178" i="12"/>
  <c r="L179" i="12"/>
  <c r="L180" i="12"/>
  <c r="L181" i="12"/>
  <c r="L182" i="12"/>
  <c r="L183" i="12"/>
  <c r="L184" i="12"/>
  <c r="L185" i="12"/>
  <c r="L186" i="12"/>
  <c r="L187" i="12"/>
  <c r="L188" i="12"/>
  <c r="L189" i="12"/>
  <c r="L190" i="12"/>
  <c r="L191" i="12"/>
  <c r="L192" i="12"/>
  <c r="L193" i="12"/>
  <c r="L194" i="12"/>
  <c r="L195" i="12"/>
  <c r="L196" i="12"/>
  <c r="L197" i="12"/>
  <c r="L198" i="12"/>
  <c r="L199" i="12"/>
  <c r="L200" i="12"/>
  <c r="L201" i="12"/>
  <c r="L202" i="12"/>
  <c r="L203" i="12"/>
  <c r="L204" i="12"/>
  <c r="L205" i="12"/>
  <c r="L206" i="12"/>
  <c r="L207" i="12"/>
  <c r="L208" i="12"/>
  <c r="L209" i="12"/>
  <c r="L210" i="12"/>
  <c r="L211" i="12"/>
  <c r="L212" i="12"/>
  <c r="L213" i="12"/>
  <c r="L214" i="12"/>
  <c r="L215" i="12"/>
  <c r="L216" i="12"/>
  <c r="L217" i="12"/>
  <c r="L3" i="12"/>
  <c r="P3" i="12"/>
  <c r="K3" i="12"/>
  <c r="L4" i="11"/>
  <c r="L5" i="11"/>
  <c r="L6" i="11"/>
  <c r="L7" i="11"/>
  <c r="L8" i="11"/>
  <c r="L9" i="11"/>
  <c r="L10" i="11"/>
  <c r="L11" i="11"/>
  <c r="L12" i="11"/>
  <c r="L13" i="11"/>
  <c r="L14" i="11"/>
  <c r="L15" i="11"/>
  <c r="L16" i="11"/>
  <c r="L17" i="11"/>
  <c r="L18" i="11"/>
  <c r="L19" i="11"/>
  <c r="L20" i="11"/>
  <c r="L21" i="11"/>
  <c r="L22" i="11"/>
  <c r="L23" i="11"/>
  <c r="L24" i="11"/>
  <c r="L25" i="11"/>
  <c r="L26" i="11"/>
  <c r="L27" i="11"/>
  <c r="L28" i="11"/>
  <c r="L29" i="11"/>
  <c r="L30" i="11"/>
  <c r="L31" i="11"/>
  <c r="L32" i="11"/>
  <c r="L33" i="11"/>
  <c r="L34" i="11"/>
  <c r="L35" i="11"/>
  <c r="L36" i="11"/>
  <c r="L37" i="11"/>
  <c r="L38" i="11"/>
  <c r="L39" i="11"/>
  <c r="L40" i="11"/>
  <c r="L41" i="11"/>
  <c r="L42" i="11"/>
  <c r="L43" i="11"/>
  <c r="L44" i="11"/>
  <c r="L45" i="11"/>
  <c r="L46" i="11"/>
  <c r="L47" i="11"/>
  <c r="L48" i="11"/>
  <c r="L49" i="11"/>
  <c r="L50" i="11"/>
  <c r="L51" i="11"/>
  <c r="L3" i="11"/>
  <c r="K3" i="11"/>
  <c r="L5" i="10"/>
  <c r="L6" i="10"/>
  <c r="L7" i="10"/>
  <c r="L8" i="10"/>
  <c r="L9" i="10"/>
  <c r="L10" i="10"/>
  <c r="L11" i="10"/>
  <c r="L12" i="10"/>
  <c r="L13" i="10"/>
  <c r="L14" i="10"/>
  <c r="L15" i="10"/>
  <c r="L16" i="10"/>
  <c r="L17" i="10"/>
  <c r="L18" i="10"/>
  <c r="L19" i="10"/>
  <c r="L20" i="10"/>
  <c r="L21" i="10"/>
  <c r="L22" i="10"/>
  <c r="L23" i="10"/>
  <c r="L24" i="10"/>
  <c r="L25" i="10"/>
  <c r="L26" i="10"/>
  <c r="L27" i="10"/>
  <c r="L28" i="10"/>
  <c r="L29" i="10"/>
  <c r="L30" i="10"/>
  <c r="L31" i="10"/>
  <c r="L32" i="10"/>
  <c r="L33" i="10"/>
  <c r="L34" i="10"/>
  <c r="L35" i="10"/>
  <c r="L36" i="10"/>
  <c r="L37" i="10"/>
  <c r="L38" i="10"/>
  <c r="L39" i="10"/>
  <c r="L40" i="10"/>
  <c r="L41" i="10"/>
  <c r="L42" i="10"/>
  <c r="L43" i="10"/>
  <c r="L44" i="10"/>
  <c r="L45" i="10"/>
  <c r="L46" i="10"/>
  <c r="L47" i="10"/>
  <c r="L48" i="10"/>
  <c r="L49" i="10"/>
  <c r="L50" i="10"/>
  <c r="L51" i="10"/>
  <c r="L52" i="10"/>
  <c r="L53" i="10"/>
  <c r="L54" i="10"/>
  <c r="L55" i="10"/>
  <c r="L56" i="10"/>
  <c r="L57" i="10"/>
  <c r="L58" i="10"/>
  <c r="L59" i="10"/>
  <c r="L60" i="10"/>
  <c r="L61" i="10"/>
  <c r="L62" i="10"/>
  <c r="L63" i="10"/>
  <c r="L4" i="10"/>
  <c r="K4" i="10"/>
  <c r="H5" i="7" l="1"/>
  <c r="K5" i="7" s="1"/>
  <c r="AB17" i="7"/>
  <c r="H6" i="7"/>
  <c r="K6" i="7" s="1"/>
  <c r="L6" i="7" s="1"/>
  <c r="AB18" i="7"/>
  <c r="J5" i="7"/>
  <c r="J6" i="7"/>
  <c r="M11" i="18"/>
  <c r="N10" i="18"/>
  <c r="O10" i="18" s="1"/>
  <c r="M15" i="17"/>
  <c r="N14" i="17"/>
  <c r="O14" i="17" s="1"/>
  <c r="M11" i="19"/>
  <c r="N10" i="19"/>
  <c r="O10" i="19" s="1"/>
  <c r="M11" i="20"/>
  <c r="N10" i="20"/>
  <c r="O10" i="20" s="1"/>
  <c r="M38" i="10"/>
  <c r="J9" i="7" l="1"/>
  <c r="L5" i="7"/>
  <c r="K12" i="7"/>
  <c r="K11" i="7"/>
  <c r="M12" i="18"/>
  <c r="N11" i="18"/>
  <c r="O11" i="18" s="1"/>
  <c r="N11" i="19"/>
  <c r="O11" i="19" s="1"/>
  <c r="M12" i="19"/>
  <c r="M12" i="20"/>
  <c r="N11" i="20"/>
  <c r="O11" i="20" s="1"/>
  <c r="N15" i="17"/>
  <c r="O15" i="17" s="1"/>
  <c r="M16" i="17"/>
  <c r="M6" i="7" l="1"/>
  <c r="M5" i="7"/>
  <c r="M13" i="18"/>
  <c r="N12" i="18"/>
  <c r="O12" i="18" s="1"/>
  <c r="M17" i="17"/>
  <c r="N16" i="17"/>
  <c r="O16" i="17" s="1"/>
  <c r="M13" i="19"/>
  <c r="N12" i="19"/>
  <c r="O12" i="19" s="1"/>
  <c r="M13" i="20"/>
  <c r="N12" i="20"/>
  <c r="O12" i="20" s="1"/>
  <c r="J36" i="7"/>
  <c r="M14" i="18" l="1"/>
  <c r="N13" i="18"/>
  <c r="O13" i="18" s="1"/>
  <c r="M14" i="20"/>
  <c r="N13" i="20"/>
  <c r="O13" i="20" s="1"/>
  <c r="N13" i="19"/>
  <c r="O13" i="19" s="1"/>
  <c r="M14" i="19"/>
  <c r="N17" i="17"/>
  <c r="O17" i="17" s="1"/>
  <c r="M18" i="17"/>
  <c r="J32" i="7"/>
  <c r="J33" i="7"/>
  <c r="M15" i="18" l="1"/>
  <c r="N14" i="18"/>
  <c r="O14" i="18" s="1"/>
  <c r="M19" i="17"/>
  <c r="N18" i="17"/>
  <c r="O18" i="17" s="1"/>
  <c r="M15" i="19"/>
  <c r="N14" i="19"/>
  <c r="O14" i="19" s="1"/>
  <c r="M15" i="20"/>
  <c r="N14" i="20"/>
  <c r="O14" i="20" s="1"/>
  <c r="M16" i="18" l="1"/>
  <c r="N15" i="18"/>
  <c r="O15" i="18" s="1"/>
  <c r="N15" i="19"/>
  <c r="O15" i="19" s="1"/>
  <c r="M16" i="19"/>
  <c r="M16" i="20"/>
  <c r="N15" i="20"/>
  <c r="O15" i="20" s="1"/>
  <c r="N19" i="17"/>
  <c r="O19" i="17" s="1"/>
  <c r="M20" i="17"/>
  <c r="I11" i="14"/>
  <c r="I12" i="14"/>
  <c r="I13" i="14"/>
  <c r="I14" i="14"/>
  <c r="I10" i="14"/>
  <c r="H11" i="14"/>
  <c r="H12" i="14"/>
  <c r="H13" i="14"/>
  <c r="H14" i="14"/>
  <c r="H10" i="14"/>
  <c r="M17" i="18" l="1"/>
  <c r="N16" i="18"/>
  <c r="O16" i="18" s="1"/>
  <c r="M21" i="17"/>
  <c r="N20" i="17"/>
  <c r="O20" i="17" s="1"/>
  <c r="M17" i="19"/>
  <c r="N16" i="19"/>
  <c r="O16" i="19" s="1"/>
  <c r="M17" i="20"/>
  <c r="N16" i="20"/>
  <c r="O16" i="20" s="1"/>
  <c r="G19" i="7"/>
  <c r="M18" i="18" l="1"/>
  <c r="N17" i="18"/>
  <c r="O17" i="18" s="1"/>
  <c r="M18" i="20"/>
  <c r="N17" i="20"/>
  <c r="O17" i="20" s="1"/>
  <c r="N21" i="17"/>
  <c r="O21" i="17" s="1"/>
  <c r="M22" i="17"/>
  <c r="N17" i="19"/>
  <c r="O17" i="19" s="1"/>
  <c r="M18" i="19"/>
  <c r="D1" i="16"/>
  <c r="K26" i="16" s="1"/>
  <c r="K13" i="16" l="1"/>
  <c r="K6" i="16"/>
  <c r="K14" i="16"/>
  <c r="K8" i="16"/>
  <c r="K10" i="16"/>
  <c r="K11" i="16"/>
  <c r="K12" i="16"/>
  <c r="J10" i="16"/>
  <c r="J12" i="16"/>
  <c r="I12" i="16"/>
  <c r="J13" i="16"/>
  <c r="I13" i="16"/>
  <c r="J8" i="16"/>
  <c r="I8" i="16"/>
  <c r="J11" i="16"/>
  <c r="I11" i="16"/>
  <c r="J14" i="16"/>
  <c r="I14" i="16"/>
  <c r="I9" i="16"/>
  <c r="I7" i="16"/>
  <c r="M19" i="18"/>
  <c r="N18" i="18"/>
  <c r="O18" i="18" s="1"/>
  <c r="M23" i="17"/>
  <c r="N22" i="17"/>
  <c r="O22" i="17" s="1"/>
  <c r="M19" i="19"/>
  <c r="N18" i="19"/>
  <c r="O18" i="19" s="1"/>
  <c r="M19" i="20"/>
  <c r="N18" i="20"/>
  <c r="O18" i="20" s="1"/>
  <c r="J6" i="16"/>
  <c r="J29" i="16" l="1"/>
  <c r="M20" i="18"/>
  <c r="N19" i="18"/>
  <c r="O19" i="18" s="1"/>
  <c r="N19" i="19"/>
  <c r="O19" i="19" s="1"/>
  <c r="M20" i="19"/>
  <c r="M20" i="20"/>
  <c r="N19" i="20"/>
  <c r="O19" i="20" s="1"/>
  <c r="N23" i="17"/>
  <c r="O23" i="17" s="1"/>
  <c r="M24" i="17"/>
  <c r="K9" i="16"/>
  <c r="I10" i="16"/>
  <c r="J7" i="16"/>
  <c r="K7" i="16"/>
  <c r="J31" i="16"/>
  <c r="M21" i="18" l="1"/>
  <c r="N20" i="18"/>
  <c r="O20" i="18" s="1"/>
  <c r="M21" i="20"/>
  <c r="N20" i="20"/>
  <c r="O20" i="20" s="1"/>
  <c r="M25" i="17"/>
  <c r="N24" i="17"/>
  <c r="O24" i="17" s="1"/>
  <c r="M21" i="19"/>
  <c r="N20" i="19"/>
  <c r="O20" i="19" s="1"/>
  <c r="K25" i="16"/>
  <c r="Q26" i="16"/>
  <c r="J26" i="16" s="1"/>
  <c r="J25" i="16"/>
  <c r="I26" i="16"/>
  <c r="M22" i="18" l="1"/>
  <c r="N21" i="18"/>
  <c r="O21" i="18" s="1"/>
  <c r="N21" i="19"/>
  <c r="O21" i="19" s="1"/>
  <c r="M22" i="19"/>
  <c r="N25" i="17"/>
  <c r="O25" i="17" s="1"/>
  <c r="M26" i="17"/>
  <c r="M22" i="20"/>
  <c r="N21" i="20"/>
  <c r="O21" i="20" s="1"/>
  <c r="M1" i="16"/>
  <c r="M23" i="18" l="1"/>
  <c r="N22" i="18"/>
  <c r="O22" i="18" s="1"/>
  <c r="M23" i="19"/>
  <c r="N22" i="19"/>
  <c r="O22" i="19" s="1"/>
  <c r="M23" i="20"/>
  <c r="N22" i="20"/>
  <c r="O22" i="20" s="1"/>
  <c r="M27" i="17"/>
  <c r="N26" i="17"/>
  <c r="O26" i="17" s="1"/>
  <c r="G3" i="7"/>
  <c r="M24" i="18" l="1"/>
  <c r="N23" i="18"/>
  <c r="O23" i="18" s="1"/>
  <c r="M24" i="20"/>
  <c r="N23" i="20"/>
  <c r="O23" i="20" s="1"/>
  <c r="N27" i="17"/>
  <c r="O27" i="17" s="1"/>
  <c r="M28" i="17"/>
  <c r="N23" i="19"/>
  <c r="O23" i="19" s="1"/>
  <c r="M24" i="19"/>
  <c r="G6" i="7"/>
  <c r="G5" i="7"/>
  <c r="G8" i="7"/>
  <c r="M25" i="18" l="1"/>
  <c r="N24" i="18"/>
  <c r="O24" i="18" s="1"/>
  <c r="M25" i="19"/>
  <c r="N24" i="19"/>
  <c r="O24" i="19" s="1"/>
  <c r="M29" i="17"/>
  <c r="N28" i="17"/>
  <c r="O28" i="17" s="1"/>
  <c r="M25" i="20"/>
  <c r="N24" i="20"/>
  <c r="O24" i="20" s="1"/>
  <c r="G2" i="7"/>
  <c r="M3" i="5"/>
  <c r="M3" i="6"/>
  <c r="M26" i="18" l="1"/>
  <c r="N25" i="18"/>
  <c r="O25" i="18" s="1"/>
  <c r="M26" i="20"/>
  <c r="N25" i="20"/>
  <c r="O25" i="20" s="1"/>
  <c r="N29" i="17"/>
  <c r="O29" i="17" s="1"/>
  <c r="M30" i="17"/>
  <c r="N25" i="19"/>
  <c r="O25" i="19" s="1"/>
  <c r="M26" i="19"/>
  <c r="M3" i="12"/>
  <c r="M3" i="13"/>
  <c r="M37" i="4"/>
  <c r="M37" i="11" s="1"/>
  <c r="M3" i="11"/>
  <c r="M27" i="18" l="1"/>
  <c r="N26" i="18"/>
  <c r="O26" i="18" s="1"/>
  <c r="M31" i="17"/>
  <c r="N30" i="17"/>
  <c r="O30" i="17" s="1"/>
  <c r="M27" i="19"/>
  <c r="N26" i="19"/>
  <c r="O26" i="19" s="1"/>
  <c r="M27" i="20"/>
  <c r="N26" i="20"/>
  <c r="O26" i="20" s="1"/>
  <c r="A3" i="10"/>
  <c r="A4" i="10" s="1"/>
  <c r="A5" i="10" s="1"/>
  <c r="A6" i="10" s="1"/>
  <c r="A7" i="10" s="1"/>
  <c r="A8" i="10" s="1"/>
  <c r="A9" i="10" s="1"/>
  <c r="A10" i="10" s="1"/>
  <c r="A11" i="10" s="1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24" i="10" s="1"/>
  <c r="A25" i="10" s="1"/>
  <c r="A26" i="10" s="1"/>
  <c r="A27" i="10" s="1"/>
  <c r="A28" i="10" s="1"/>
  <c r="A29" i="10" s="1"/>
  <c r="A30" i="10" s="1"/>
  <c r="A31" i="10" s="1"/>
  <c r="A32" i="10" s="1"/>
  <c r="A33" i="10" s="1"/>
  <c r="A34" i="10" s="1"/>
  <c r="A35" i="10" s="1"/>
  <c r="A36" i="10" s="1"/>
  <c r="A37" i="10" s="1"/>
  <c r="A38" i="10" s="1"/>
  <c r="A39" i="10" s="1"/>
  <c r="A40" i="10" s="1"/>
  <c r="A41" i="10" s="1"/>
  <c r="A42" i="10" s="1"/>
  <c r="A43" i="10" s="1"/>
  <c r="A44" i="10" s="1"/>
  <c r="A45" i="10" s="1"/>
  <c r="A46" i="10" s="1"/>
  <c r="A47" i="10" s="1"/>
  <c r="A48" i="10" s="1"/>
  <c r="A49" i="10" s="1"/>
  <c r="A50" i="10" s="1"/>
  <c r="A51" i="10" s="1"/>
  <c r="A52" i="10" s="1"/>
  <c r="A53" i="10" s="1"/>
  <c r="A54" i="10" s="1"/>
  <c r="A55" i="10" s="1"/>
  <c r="A56" i="10" s="1"/>
  <c r="A57" i="10" s="1"/>
  <c r="A58" i="10" s="1"/>
  <c r="A59" i="10" s="1"/>
  <c r="A60" i="10" s="1"/>
  <c r="A61" i="10" s="1"/>
  <c r="A62" i="10" s="1"/>
  <c r="A63" i="10" s="1"/>
  <c r="A3" i="3"/>
  <c r="M3" i="3" s="1"/>
  <c r="M4" i="6"/>
  <c r="K4" i="6"/>
  <c r="P4" i="13" s="1"/>
  <c r="K4" i="5"/>
  <c r="P4" i="12" s="1"/>
  <c r="K5" i="3"/>
  <c r="K4" i="4"/>
  <c r="M4" i="5"/>
  <c r="M4" i="4"/>
  <c r="M4" i="11" s="1"/>
  <c r="N4" i="3"/>
  <c r="N3" i="6"/>
  <c r="N3" i="5"/>
  <c r="E19" i="7"/>
  <c r="E20" i="7"/>
  <c r="A2" i="10"/>
  <c r="M2" i="10" s="1"/>
  <c r="N2" i="10" s="1"/>
  <c r="O2" i="10" s="1"/>
  <c r="A2" i="3"/>
  <c r="M2" i="3" s="1"/>
  <c r="N2" i="3" s="1"/>
  <c r="O2" i="3" s="1"/>
  <c r="E15" i="7"/>
  <c r="E16" i="7"/>
  <c r="E17" i="7"/>
  <c r="E18" i="7"/>
  <c r="A2" i="6" l="1"/>
  <c r="A3" i="6" s="1"/>
  <c r="A4" i="6" s="1"/>
  <c r="A5" i="6" s="1"/>
  <c r="A6" i="6" s="1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A42" i="6" s="1"/>
  <c r="A43" i="6" s="1"/>
  <c r="A44" i="6" s="1"/>
  <c r="A45" i="6" s="1"/>
  <c r="A46" i="6" s="1"/>
  <c r="A47" i="6" s="1"/>
  <c r="A48" i="6" s="1"/>
  <c r="A49" i="6" s="1"/>
  <c r="A50" i="6" s="1"/>
  <c r="A51" i="6" s="1"/>
  <c r="A52" i="6" s="1"/>
  <c r="A53" i="6" s="1"/>
  <c r="A54" i="6" s="1"/>
  <c r="A55" i="6" s="1"/>
  <c r="A56" i="6" s="1"/>
  <c r="A57" i="6" s="1"/>
  <c r="A58" i="6" s="1"/>
  <c r="A59" i="6" s="1"/>
  <c r="A60" i="6" s="1"/>
  <c r="A61" i="6" s="1"/>
  <c r="A62" i="6" s="1"/>
  <c r="A63" i="6" s="1"/>
  <c r="A64" i="6" s="1"/>
  <c r="A65" i="6" s="1"/>
  <c r="A66" i="6" s="1"/>
  <c r="A67" i="6" s="1"/>
  <c r="A68" i="6" s="1"/>
  <c r="A69" i="6" s="1"/>
  <c r="A70" i="6" s="1"/>
  <c r="A71" i="6" s="1"/>
  <c r="A72" i="6" s="1"/>
  <c r="A73" i="6" s="1"/>
  <c r="A74" i="6" s="1"/>
  <c r="A75" i="6" s="1"/>
  <c r="A76" i="6" s="1"/>
  <c r="A77" i="6" s="1"/>
  <c r="A78" i="6" s="1"/>
  <c r="A79" i="6" s="1"/>
  <c r="A80" i="6" s="1"/>
  <c r="A81" i="6" s="1"/>
  <c r="A82" i="6" s="1"/>
  <c r="A83" i="6" s="1"/>
  <c r="A84" i="6" s="1"/>
  <c r="A85" i="6" s="1"/>
  <c r="A86" i="6" s="1"/>
  <c r="A87" i="6" s="1"/>
  <c r="A88" i="6" s="1"/>
  <c r="A89" i="6" s="1"/>
  <c r="A90" i="6" s="1"/>
  <c r="A91" i="6" s="1"/>
  <c r="A92" i="6" s="1"/>
  <c r="A93" i="6" s="1"/>
  <c r="A94" i="6" s="1"/>
  <c r="A95" i="6" s="1"/>
  <c r="A96" i="6" s="1"/>
  <c r="A97" i="6" s="1"/>
  <c r="A98" i="6" s="1"/>
  <c r="A99" i="6" s="1"/>
  <c r="A100" i="6" s="1"/>
  <c r="A101" i="6" s="1"/>
  <c r="A102" i="6" s="1"/>
  <c r="A103" i="6" s="1"/>
  <c r="A104" i="6" s="1"/>
  <c r="A105" i="6" s="1"/>
  <c r="A106" i="6" s="1"/>
  <c r="A107" i="6" s="1"/>
  <c r="A108" i="6" s="1"/>
  <c r="A109" i="6" s="1"/>
  <c r="A110" i="6" s="1"/>
  <c r="A111" i="6" s="1"/>
  <c r="A112" i="6" s="1"/>
  <c r="A113" i="6" s="1"/>
  <c r="A114" i="6" s="1"/>
  <c r="A115" i="6" s="1"/>
  <c r="A116" i="6" s="1"/>
  <c r="A117" i="6" s="1"/>
  <c r="A118" i="6" s="1"/>
  <c r="A119" i="6" s="1"/>
  <c r="A120" i="6" s="1"/>
  <c r="A121" i="6" s="1"/>
  <c r="A122" i="6" s="1"/>
  <c r="A123" i="6" s="1"/>
  <c r="A124" i="6" s="1"/>
  <c r="A125" i="6" s="1"/>
  <c r="A126" i="6" s="1"/>
  <c r="A127" i="6" s="1"/>
  <c r="A128" i="6" s="1"/>
  <c r="A129" i="6" s="1"/>
  <c r="A130" i="6" s="1"/>
  <c r="A131" i="6" s="1"/>
  <c r="A132" i="6" s="1"/>
  <c r="A133" i="6" s="1"/>
  <c r="A134" i="6" s="1"/>
  <c r="A135" i="6" s="1"/>
  <c r="A136" i="6" s="1"/>
  <c r="A137" i="6" s="1"/>
  <c r="A138" i="6" s="1"/>
  <c r="A139" i="6" s="1"/>
  <c r="A140" i="6" s="1"/>
  <c r="A141" i="6" s="1"/>
  <c r="A142" i="6" s="1"/>
  <c r="A143" i="6" s="1"/>
  <c r="A144" i="6" s="1"/>
  <c r="A145" i="6" s="1"/>
  <c r="A146" i="6" s="1"/>
  <c r="A147" i="6" s="1"/>
  <c r="A148" i="6" s="1"/>
  <c r="A149" i="6" s="1"/>
  <c r="A150" i="6" s="1"/>
  <c r="A151" i="6" s="1"/>
  <c r="A152" i="6" s="1"/>
  <c r="A153" i="6" s="1"/>
  <c r="A154" i="6" s="1"/>
  <c r="A155" i="6" s="1"/>
  <c r="A156" i="6" s="1"/>
  <c r="A157" i="6" s="1"/>
  <c r="A158" i="6" s="1"/>
  <c r="A159" i="6" s="1"/>
  <c r="A160" i="6" s="1"/>
  <c r="A161" i="6" s="1"/>
  <c r="A162" i="6" s="1"/>
  <c r="A163" i="6" s="1"/>
  <c r="A164" i="6" s="1"/>
  <c r="A165" i="6" s="1"/>
  <c r="A166" i="6" s="1"/>
  <c r="A167" i="6" s="1"/>
  <c r="A168" i="6" s="1"/>
  <c r="A169" i="6" s="1"/>
  <c r="A170" i="6" s="1"/>
  <c r="A171" i="6" s="1"/>
  <c r="A172" i="6" s="1"/>
  <c r="A173" i="6" s="1"/>
  <c r="A174" i="6" s="1"/>
  <c r="A175" i="6" s="1"/>
  <c r="A176" i="6" s="1"/>
  <c r="A177" i="6" s="1"/>
  <c r="A178" i="6" s="1"/>
  <c r="A179" i="6" s="1"/>
  <c r="A180" i="6" s="1"/>
  <c r="A181" i="6" s="1"/>
  <c r="A182" i="6" s="1"/>
  <c r="A183" i="6" s="1"/>
  <c r="A184" i="6" s="1"/>
  <c r="A185" i="6" s="1"/>
  <c r="A186" i="6" s="1"/>
  <c r="A187" i="6" s="1"/>
  <c r="A188" i="6" s="1"/>
  <c r="A189" i="6" s="1"/>
  <c r="A190" i="6" s="1"/>
  <c r="A191" i="6" s="1"/>
  <c r="A192" i="6" s="1"/>
  <c r="A193" i="6" s="1"/>
  <c r="A194" i="6" s="1"/>
  <c r="A195" i="6" s="1"/>
  <c r="A196" i="6" s="1"/>
  <c r="A197" i="6" s="1"/>
  <c r="A198" i="6" s="1"/>
  <c r="A199" i="6" s="1"/>
  <c r="A200" i="6" s="1"/>
  <c r="A201" i="6" s="1"/>
  <c r="A202" i="6" s="1"/>
  <c r="A203" i="6" s="1"/>
  <c r="A204" i="6" s="1"/>
  <c r="A205" i="6" s="1"/>
  <c r="A206" i="6" s="1"/>
  <c r="A207" i="6" s="1"/>
  <c r="A208" i="6" s="1"/>
  <c r="A209" i="6" s="1"/>
  <c r="A210" i="6" s="1"/>
  <c r="A211" i="6" s="1"/>
  <c r="A212" i="6" s="1"/>
  <c r="A213" i="6" s="1"/>
  <c r="A214" i="6" s="1"/>
  <c r="A215" i="6" s="1"/>
  <c r="A216" i="6" s="1"/>
  <c r="A217" i="6" s="1"/>
  <c r="A218" i="6" s="1"/>
  <c r="A219" i="6" s="1"/>
  <c r="A220" i="6" s="1"/>
  <c r="A221" i="6" s="1"/>
  <c r="A222" i="6" s="1"/>
  <c r="A223" i="6" s="1"/>
  <c r="A224" i="6" s="1"/>
  <c r="A225" i="6" s="1"/>
  <c r="A226" i="6" s="1"/>
  <c r="A227" i="6" s="1"/>
  <c r="A228" i="6" s="1"/>
  <c r="A229" i="6" s="1"/>
  <c r="A230" i="6" s="1"/>
  <c r="A231" i="6" s="1"/>
  <c r="A232" i="6" s="1"/>
  <c r="A233" i="6" s="1"/>
  <c r="A234" i="6" s="1"/>
  <c r="A235" i="6" s="1"/>
  <c r="A236" i="6" s="1"/>
  <c r="A237" i="6" s="1"/>
  <c r="A238" i="6" s="1"/>
  <c r="A239" i="6" s="1"/>
  <c r="A240" i="6" s="1"/>
  <c r="A241" i="6" s="1"/>
  <c r="A242" i="6" s="1"/>
  <c r="A243" i="6" s="1"/>
  <c r="A244" i="6" s="1"/>
  <c r="A245" i="6" s="1"/>
  <c r="A246" i="6" s="1"/>
  <c r="A247" i="6" s="1"/>
  <c r="A248" i="6" s="1"/>
  <c r="A249" i="6" s="1"/>
  <c r="A250" i="6" s="1"/>
  <c r="A251" i="6" s="1"/>
  <c r="A252" i="6" s="1"/>
  <c r="A253" i="6" s="1"/>
  <c r="A254" i="6" s="1"/>
  <c r="A255" i="6" s="1"/>
  <c r="A256" i="6" s="1"/>
  <c r="A257" i="6" s="1"/>
  <c r="A258" i="6" s="1"/>
  <c r="A259" i="6" s="1"/>
  <c r="A260" i="6" s="1"/>
  <c r="A261" i="6" s="1"/>
  <c r="A262" i="6" s="1"/>
  <c r="A263" i="6" s="1"/>
  <c r="A264" i="6" s="1"/>
  <c r="A265" i="6" s="1"/>
  <c r="A266" i="6" s="1"/>
  <c r="A267" i="6" s="1"/>
  <c r="A268" i="6" s="1"/>
  <c r="A269" i="6" s="1"/>
  <c r="A270" i="6" s="1"/>
  <c r="A271" i="6" s="1"/>
  <c r="A272" i="6" s="1"/>
  <c r="A273" i="6" s="1"/>
  <c r="A274" i="6" s="1"/>
  <c r="A275" i="6" s="1"/>
  <c r="A276" i="6" s="1"/>
  <c r="A277" i="6" s="1"/>
  <c r="A278" i="6" s="1"/>
  <c r="A279" i="6" s="1"/>
  <c r="A280" i="6" s="1"/>
  <c r="A281" i="6" s="1"/>
  <c r="A282" i="6" s="1"/>
  <c r="A283" i="6" s="1"/>
  <c r="A284" i="6" s="1"/>
  <c r="A285" i="6" s="1"/>
  <c r="A286" i="6" s="1"/>
  <c r="A287" i="6" s="1"/>
  <c r="A288" i="6" s="1"/>
  <c r="A289" i="6" s="1"/>
  <c r="A290" i="6" s="1"/>
  <c r="A291" i="6" s="1"/>
  <c r="A292" i="6" s="1"/>
  <c r="A293" i="6" s="1"/>
  <c r="A294" i="6" s="1"/>
  <c r="A295" i="6" s="1"/>
  <c r="A296" i="6" s="1"/>
  <c r="N3" i="3"/>
  <c r="O3" i="3" s="1"/>
  <c r="C2" i="7"/>
  <c r="E2" i="7" s="1"/>
  <c r="P2" i="17" s="1"/>
  <c r="M28" i="18"/>
  <c r="N27" i="18"/>
  <c r="O27" i="18" s="1"/>
  <c r="N27" i="19"/>
  <c r="O27" i="19" s="1"/>
  <c r="M28" i="19"/>
  <c r="M28" i="20"/>
  <c r="N27" i="20"/>
  <c r="O27" i="20" s="1"/>
  <c r="N31" i="17"/>
  <c r="O31" i="17" s="1"/>
  <c r="M32" i="17"/>
  <c r="O4" i="3"/>
  <c r="O4" i="10" s="1"/>
  <c r="N4" i="10"/>
  <c r="M5" i="5"/>
  <c r="N5" i="5" s="1"/>
  <c r="M4" i="12"/>
  <c r="K5" i="5"/>
  <c r="P5" i="12" s="1"/>
  <c r="K4" i="12"/>
  <c r="K6" i="3"/>
  <c r="K5" i="10"/>
  <c r="O3" i="5"/>
  <c r="O3" i="12" s="1"/>
  <c r="N3" i="12"/>
  <c r="K5" i="6"/>
  <c r="P5" i="13" s="1"/>
  <c r="K4" i="13"/>
  <c r="O3" i="6"/>
  <c r="O3" i="13" s="1"/>
  <c r="N3" i="13"/>
  <c r="M5" i="6"/>
  <c r="M5" i="13" s="1"/>
  <c r="M4" i="13"/>
  <c r="O3" i="4"/>
  <c r="O3" i="11" s="1"/>
  <c r="N3" i="11"/>
  <c r="K5" i="4"/>
  <c r="K4" i="11"/>
  <c r="A2" i="13"/>
  <c r="M2" i="13" s="1"/>
  <c r="N2" i="13" s="1"/>
  <c r="O2" i="13" s="1"/>
  <c r="C3" i="7"/>
  <c r="C4" i="7"/>
  <c r="I4" i="7" s="1"/>
  <c r="N4" i="5"/>
  <c r="A2" i="4"/>
  <c r="A4" i="3"/>
  <c r="A5" i="3" s="1"/>
  <c r="A6" i="3" s="1"/>
  <c r="A7" i="3" s="1"/>
  <c r="A8" i="3" s="1"/>
  <c r="A9" i="3" s="1"/>
  <c r="A10" i="3" s="1"/>
  <c r="A11" i="3" s="1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32" i="3" s="1"/>
  <c r="A33" i="3" s="1"/>
  <c r="A34" i="3" s="1"/>
  <c r="A35" i="3" s="1"/>
  <c r="A36" i="3" s="1"/>
  <c r="A37" i="3" s="1"/>
  <c r="A38" i="3" s="1"/>
  <c r="A39" i="3" s="1"/>
  <c r="A40" i="3" s="1"/>
  <c r="A41" i="3" s="1"/>
  <c r="A42" i="3" s="1"/>
  <c r="A43" i="3" s="1"/>
  <c r="A44" i="3" s="1"/>
  <c r="A45" i="3" s="1"/>
  <c r="A46" i="3" s="1"/>
  <c r="A47" i="3" s="1"/>
  <c r="A48" i="3" s="1"/>
  <c r="A49" i="3" s="1"/>
  <c r="A50" i="3" s="1"/>
  <c r="A51" i="3" s="1"/>
  <c r="A52" i="3" s="1"/>
  <c r="A53" i="3" s="1"/>
  <c r="A54" i="3" s="1"/>
  <c r="A55" i="3" s="1"/>
  <c r="A56" i="3" s="1"/>
  <c r="A57" i="3" s="1"/>
  <c r="A58" i="3" s="1"/>
  <c r="A59" i="3" s="1"/>
  <c r="A60" i="3" s="1"/>
  <c r="A61" i="3" s="1"/>
  <c r="A62" i="3" s="1"/>
  <c r="A63" i="3" s="1"/>
  <c r="N4" i="6"/>
  <c r="M3" i="10"/>
  <c r="N3" i="10" s="1"/>
  <c r="O3" i="10" s="1"/>
  <c r="N4" i="4"/>
  <c r="M5" i="4"/>
  <c r="M5" i="11" s="1"/>
  <c r="M6" i="3"/>
  <c r="M6" i="10" s="1"/>
  <c r="N5" i="3"/>
  <c r="A2" i="11"/>
  <c r="A3" i="11" s="1"/>
  <c r="A4" i="11" s="1"/>
  <c r="A5" i="11" s="1"/>
  <c r="A6" i="11" s="1"/>
  <c r="A7" i="11" s="1"/>
  <c r="A8" i="11" s="1"/>
  <c r="A9" i="11" s="1"/>
  <c r="A10" i="11" s="1"/>
  <c r="A11" i="11" s="1"/>
  <c r="A12" i="11" s="1"/>
  <c r="A13" i="11" s="1"/>
  <c r="A14" i="11" s="1"/>
  <c r="A15" i="11" s="1"/>
  <c r="A16" i="11" s="1"/>
  <c r="A17" i="11" s="1"/>
  <c r="A18" i="11" s="1"/>
  <c r="A19" i="11" s="1"/>
  <c r="A20" i="11" s="1"/>
  <c r="A21" i="11" s="1"/>
  <c r="A22" i="11" s="1"/>
  <c r="A23" i="11" s="1"/>
  <c r="A24" i="11" s="1"/>
  <c r="A25" i="11" s="1"/>
  <c r="A26" i="11" s="1"/>
  <c r="A27" i="11" s="1"/>
  <c r="A28" i="11" s="1"/>
  <c r="A29" i="11" s="1"/>
  <c r="A30" i="11" s="1"/>
  <c r="A31" i="11" s="1"/>
  <c r="A32" i="11" s="1"/>
  <c r="A33" i="11" s="1"/>
  <c r="A34" i="11" s="1"/>
  <c r="A35" i="11" s="1"/>
  <c r="A36" i="11" s="1"/>
  <c r="A37" i="11" s="1"/>
  <c r="A38" i="11" s="1"/>
  <c r="A39" i="11" s="1"/>
  <c r="A40" i="11" s="1"/>
  <c r="A41" i="11" s="1"/>
  <c r="A42" i="11" s="1"/>
  <c r="A43" i="11" s="1"/>
  <c r="A44" i="11" s="1"/>
  <c r="A45" i="11" s="1"/>
  <c r="A46" i="11" s="1"/>
  <c r="A47" i="11" s="1"/>
  <c r="A48" i="11" s="1"/>
  <c r="A49" i="11" s="1"/>
  <c r="A50" i="11" s="1"/>
  <c r="A51" i="11" s="1"/>
  <c r="A2" i="5"/>
  <c r="A2" i="12"/>
  <c r="I3" i="7" l="1"/>
  <c r="F3" i="7"/>
  <c r="F4" i="7"/>
  <c r="M2" i="6"/>
  <c r="N2" i="6" s="1"/>
  <c r="O2" i="6" s="1"/>
  <c r="P2" i="3"/>
  <c r="A3" i="4"/>
  <c r="A4" i="4" s="1"/>
  <c r="M2" i="4"/>
  <c r="N2" i="4" s="1"/>
  <c r="O2" i="4" s="1"/>
  <c r="AC11" i="7"/>
  <c r="D12" i="7"/>
  <c r="C14" i="7"/>
  <c r="E14" i="7" s="1"/>
  <c r="M29" i="18"/>
  <c r="N28" i="18"/>
  <c r="O28" i="18" s="1"/>
  <c r="M29" i="19"/>
  <c r="N28" i="19"/>
  <c r="O28" i="19" s="1"/>
  <c r="M33" i="17"/>
  <c r="N32" i="17"/>
  <c r="O32" i="17" s="1"/>
  <c r="M29" i="20"/>
  <c r="N28" i="20"/>
  <c r="O28" i="20" s="1"/>
  <c r="N5" i="6"/>
  <c r="O5" i="6" s="1"/>
  <c r="O5" i="13" s="1"/>
  <c r="O5" i="3"/>
  <c r="O5" i="10" s="1"/>
  <c r="N5" i="10"/>
  <c r="K7" i="3"/>
  <c r="K6" i="10"/>
  <c r="O4" i="5"/>
  <c r="O4" i="12" s="1"/>
  <c r="N4" i="12"/>
  <c r="O4" i="4"/>
  <c r="O4" i="11" s="1"/>
  <c r="N4" i="11"/>
  <c r="O5" i="5"/>
  <c r="O5" i="12" s="1"/>
  <c r="N5" i="12"/>
  <c r="K6" i="5"/>
  <c r="P6" i="12" s="1"/>
  <c r="K5" i="12"/>
  <c r="K6" i="4"/>
  <c r="K5" i="11"/>
  <c r="K6" i="6"/>
  <c r="P6" i="13" s="1"/>
  <c r="K5" i="13"/>
  <c r="M6" i="5"/>
  <c r="M5" i="12"/>
  <c r="M6" i="6"/>
  <c r="M6" i="13" s="1"/>
  <c r="O4" i="6"/>
  <c r="O4" i="13" s="1"/>
  <c r="N4" i="13"/>
  <c r="A3" i="13"/>
  <c r="A4" i="13" s="1"/>
  <c r="A5" i="13" s="1"/>
  <c r="A6" i="13" s="1"/>
  <c r="A7" i="13" s="1"/>
  <c r="A8" i="13" s="1"/>
  <c r="A9" i="13" s="1"/>
  <c r="A10" i="13" s="1"/>
  <c r="A11" i="13" s="1"/>
  <c r="A12" i="13" s="1"/>
  <c r="A13" i="13" s="1"/>
  <c r="A14" i="13" s="1"/>
  <c r="A15" i="13" s="1"/>
  <c r="A16" i="13" s="1"/>
  <c r="A17" i="13" s="1"/>
  <c r="A18" i="13" s="1"/>
  <c r="A19" i="13" s="1"/>
  <c r="A20" i="13" s="1"/>
  <c r="A21" i="13" s="1"/>
  <c r="A22" i="13" s="1"/>
  <c r="A23" i="13" s="1"/>
  <c r="A24" i="13" s="1"/>
  <c r="A25" i="13" s="1"/>
  <c r="A26" i="13" s="1"/>
  <c r="A27" i="13" s="1"/>
  <c r="A28" i="13" s="1"/>
  <c r="A29" i="13" s="1"/>
  <c r="A30" i="13" s="1"/>
  <c r="A31" i="13" s="1"/>
  <c r="A32" i="13" s="1"/>
  <c r="A33" i="13" s="1"/>
  <c r="A34" i="13" s="1"/>
  <c r="A35" i="13" s="1"/>
  <c r="A36" i="13" s="1"/>
  <c r="A37" i="13" s="1"/>
  <c r="A38" i="13" s="1"/>
  <c r="A39" i="13" s="1"/>
  <c r="A40" i="13" s="1"/>
  <c r="A41" i="13" s="1"/>
  <c r="A42" i="13" s="1"/>
  <c r="A43" i="13" s="1"/>
  <c r="A44" i="13" s="1"/>
  <c r="A45" i="13" s="1"/>
  <c r="A46" i="13" s="1"/>
  <c r="A47" i="13" s="1"/>
  <c r="A48" i="13" s="1"/>
  <c r="A49" i="13" s="1"/>
  <c r="A50" i="13" s="1"/>
  <c r="A51" i="13" s="1"/>
  <c r="A52" i="13" s="1"/>
  <c r="A53" i="13" s="1"/>
  <c r="A54" i="13" s="1"/>
  <c r="A55" i="13" s="1"/>
  <c r="A56" i="13" s="1"/>
  <c r="A57" i="13" s="1"/>
  <c r="A58" i="13" s="1"/>
  <c r="A59" i="13" s="1"/>
  <c r="A60" i="13" s="1"/>
  <c r="A61" i="13" s="1"/>
  <c r="A62" i="13" s="1"/>
  <c r="A63" i="13" s="1"/>
  <c r="A64" i="13" s="1"/>
  <c r="A65" i="13" s="1"/>
  <c r="A66" i="13" s="1"/>
  <c r="A67" i="13" s="1"/>
  <c r="A68" i="13" s="1"/>
  <c r="A69" i="13" s="1"/>
  <c r="A70" i="13" s="1"/>
  <c r="A71" i="13" s="1"/>
  <c r="A72" i="13" s="1"/>
  <c r="A73" i="13" s="1"/>
  <c r="A74" i="13" s="1"/>
  <c r="A75" i="13" s="1"/>
  <c r="A76" i="13" s="1"/>
  <c r="A77" i="13" s="1"/>
  <c r="A78" i="13" s="1"/>
  <c r="A79" i="13" s="1"/>
  <c r="A80" i="13" s="1"/>
  <c r="A81" i="13" s="1"/>
  <c r="A82" i="13" s="1"/>
  <c r="A83" i="13" s="1"/>
  <c r="A84" i="13" s="1"/>
  <c r="A85" i="13" s="1"/>
  <c r="A86" i="13" s="1"/>
  <c r="A87" i="13" s="1"/>
  <c r="A88" i="13" s="1"/>
  <c r="A89" i="13" s="1"/>
  <c r="A90" i="13" s="1"/>
  <c r="A91" i="13" s="1"/>
  <c r="A92" i="13" s="1"/>
  <c r="A93" i="13" s="1"/>
  <c r="A94" i="13" s="1"/>
  <c r="A95" i="13" s="1"/>
  <c r="A96" i="13" s="1"/>
  <c r="A97" i="13" s="1"/>
  <c r="A98" i="13" s="1"/>
  <c r="A99" i="13" s="1"/>
  <c r="A100" i="13" s="1"/>
  <c r="A101" i="13" s="1"/>
  <c r="A102" i="13" s="1"/>
  <c r="A103" i="13" s="1"/>
  <c r="A104" i="13" s="1"/>
  <c r="A105" i="13" s="1"/>
  <c r="A106" i="13" s="1"/>
  <c r="A107" i="13" s="1"/>
  <c r="A108" i="13" s="1"/>
  <c r="A109" i="13" s="1"/>
  <c r="A110" i="13" s="1"/>
  <c r="A111" i="13" s="1"/>
  <c r="A112" i="13" s="1"/>
  <c r="A113" i="13" s="1"/>
  <c r="A114" i="13" s="1"/>
  <c r="A115" i="13" s="1"/>
  <c r="A116" i="13" s="1"/>
  <c r="A117" i="13" s="1"/>
  <c r="A118" i="13" s="1"/>
  <c r="A119" i="13" s="1"/>
  <c r="A120" i="13" s="1"/>
  <c r="A121" i="13" s="1"/>
  <c r="A122" i="13" s="1"/>
  <c r="A123" i="13" s="1"/>
  <c r="A124" i="13" s="1"/>
  <c r="A125" i="13" s="1"/>
  <c r="A126" i="13" s="1"/>
  <c r="A127" i="13" s="1"/>
  <c r="A128" i="13" s="1"/>
  <c r="A129" i="13" s="1"/>
  <c r="A130" i="13" s="1"/>
  <c r="A131" i="13" s="1"/>
  <c r="A132" i="13" s="1"/>
  <c r="A133" i="13" s="1"/>
  <c r="A134" i="13" s="1"/>
  <c r="A135" i="13" s="1"/>
  <c r="A136" i="13" s="1"/>
  <c r="A137" i="13" s="1"/>
  <c r="A138" i="13" s="1"/>
  <c r="A139" i="13" s="1"/>
  <c r="A140" i="13" s="1"/>
  <c r="A141" i="13" s="1"/>
  <c r="A142" i="13" s="1"/>
  <c r="A143" i="13" s="1"/>
  <c r="A144" i="13" s="1"/>
  <c r="A145" i="13" s="1"/>
  <c r="A146" i="13" s="1"/>
  <c r="A147" i="13" s="1"/>
  <c r="A148" i="13" s="1"/>
  <c r="A149" i="13" s="1"/>
  <c r="A150" i="13" s="1"/>
  <c r="A151" i="13" s="1"/>
  <c r="A152" i="13" s="1"/>
  <c r="A153" i="13" s="1"/>
  <c r="A154" i="13" s="1"/>
  <c r="A155" i="13" s="1"/>
  <c r="A156" i="13" s="1"/>
  <c r="A157" i="13" s="1"/>
  <c r="A158" i="13" s="1"/>
  <c r="A159" i="13" s="1"/>
  <c r="A160" i="13" s="1"/>
  <c r="A161" i="13" s="1"/>
  <c r="A162" i="13" s="1"/>
  <c r="A163" i="13" s="1"/>
  <c r="A164" i="13" s="1"/>
  <c r="A165" i="13" s="1"/>
  <c r="A166" i="13" s="1"/>
  <c r="A167" i="13" s="1"/>
  <c r="A168" i="13" s="1"/>
  <c r="A169" i="13" s="1"/>
  <c r="A170" i="13" s="1"/>
  <c r="A171" i="13" s="1"/>
  <c r="A172" i="13" s="1"/>
  <c r="A173" i="13" s="1"/>
  <c r="A174" i="13" s="1"/>
  <c r="A175" i="13" s="1"/>
  <c r="A176" i="13" s="1"/>
  <c r="A177" i="13" s="1"/>
  <c r="A178" i="13" s="1"/>
  <c r="A179" i="13" s="1"/>
  <c r="A180" i="13" s="1"/>
  <c r="A181" i="13" s="1"/>
  <c r="A182" i="13" s="1"/>
  <c r="A183" i="13" s="1"/>
  <c r="A184" i="13" s="1"/>
  <c r="A185" i="13" s="1"/>
  <c r="A186" i="13" s="1"/>
  <c r="A187" i="13" s="1"/>
  <c r="A188" i="13" s="1"/>
  <c r="A189" i="13" s="1"/>
  <c r="A190" i="13" s="1"/>
  <c r="A191" i="13" s="1"/>
  <c r="A192" i="13" s="1"/>
  <c r="A193" i="13" s="1"/>
  <c r="A194" i="13" s="1"/>
  <c r="A195" i="13" s="1"/>
  <c r="A196" i="13" s="1"/>
  <c r="A197" i="13" s="1"/>
  <c r="A198" i="13" s="1"/>
  <c r="A199" i="13" s="1"/>
  <c r="A200" i="13" s="1"/>
  <c r="A201" i="13" s="1"/>
  <c r="A202" i="13" s="1"/>
  <c r="A203" i="13" s="1"/>
  <c r="A204" i="13" s="1"/>
  <c r="A205" i="13" s="1"/>
  <c r="A206" i="13" s="1"/>
  <c r="A207" i="13" s="1"/>
  <c r="A208" i="13" s="1"/>
  <c r="A209" i="13" s="1"/>
  <c r="A210" i="13" s="1"/>
  <c r="A211" i="13" s="1"/>
  <c r="A212" i="13" s="1"/>
  <c r="A213" i="13" s="1"/>
  <c r="A214" i="13" s="1"/>
  <c r="A215" i="13" s="1"/>
  <c r="A216" i="13" s="1"/>
  <c r="A217" i="13" s="1"/>
  <c r="P2" i="10"/>
  <c r="P2" i="6"/>
  <c r="P2" i="13"/>
  <c r="M7" i="3"/>
  <c r="M7" i="10" s="1"/>
  <c r="N6" i="3"/>
  <c r="M6" i="4"/>
  <c r="M6" i="11" s="1"/>
  <c r="N5" i="4"/>
  <c r="M2" i="11"/>
  <c r="N2" i="11" s="1"/>
  <c r="O2" i="11" s="1"/>
  <c r="A3" i="5"/>
  <c r="A4" i="5" s="1"/>
  <c r="A5" i="5" s="1"/>
  <c r="A6" i="5" s="1"/>
  <c r="A7" i="5" s="1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A18" i="5" s="1"/>
  <c r="A19" i="5" s="1"/>
  <c r="A20" i="5" s="1"/>
  <c r="A21" i="5" s="1"/>
  <c r="A22" i="5" s="1"/>
  <c r="A23" i="5" s="1"/>
  <c r="A24" i="5" s="1"/>
  <c r="A25" i="5" s="1"/>
  <c r="A26" i="5" s="1"/>
  <c r="A27" i="5" s="1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A40" i="5" s="1"/>
  <c r="A41" i="5" s="1"/>
  <c r="A42" i="5" s="1"/>
  <c r="A43" i="5" s="1"/>
  <c r="A44" i="5" s="1"/>
  <c r="A45" i="5" s="1"/>
  <c r="A46" i="5" s="1"/>
  <c r="A47" i="5" s="1"/>
  <c r="A48" i="5" s="1"/>
  <c r="A49" i="5" s="1"/>
  <c r="A50" i="5" s="1"/>
  <c r="A51" i="5" s="1"/>
  <c r="A52" i="5" s="1"/>
  <c r="A53" i="5" s="1"/>
  <c r="A54" i="5" s="1"/>
  <c r="A55" i="5" s="1"/>
  <c r="A56" i="5" s="1"/>
  <c r="A57" i="5" s="1"/>
  <c r="A58" i="5" s="1"/>
  <c r="A59" i="5" s="1"/>
  <c r="A60" i="5" s="1"/>
  <c r="A61" i="5" s="1"/>
  <c r="A62" i="5" s="1"/>
  <c r="A63" i="5" s="1"/>
  <c r="A64" i="5" s="1"/>
  <c r="A65" i="5" s="1"/>
  <c r="A66" i="5" s="1"/>
  <c r="A67" i="5" s="1"/>
  <c r="A68" i="5" s="1"/>
  <c r="A69" i="5" s="1"/>
  <c r="A70" i="5" s="1"/>
  <c r="A71" i="5" s="1"/>
  <c r="A72" i="5" s="1"/>
  <c r="A73" i="5" s="1"/>
  <c r="A74" i="5" s="1"/>
  <c r="A75" i="5" s="1"/>
  <c r="A76" i="5" s="1"/>
  <c r="A77" i="5" s="1"/>
  <c r="A78" i="5" s="1"/>
  <c r="A79" i="5" s="1"/>
  <c r="A80" i="5" s="1"/>
  <c r="A81" i="5" s="1"/>
  <c r="A82" i="5" s="1"/>
  <c r="A83" i="5" s="1"/>
  <c r="A84" i="5" s="1"/>
  <c r="A85" i="5" s="1"/>
  <c r="A86" i="5" s="1"/>
  <c r="A87" i="5" s="1"/>
  <c r="A88" i="5" s="1"/>
  <c r="A89" i="5" s="1"/>
  <c r="A90" i="5" s="1"/>
  <c r="A91" i="5" s="1"/>
  <c r="A92" i="5" s="1"/>
  <c r="A93" i="5" s="1"/>
  <c r="A94" i="5" s="1"/>
  <c r="A95" i="5" s="1"/>
  <c r="A96" i="5" s="1"/>
  <c r="A97" i="5" s="1"/>
  <c r="A98" i="5" s="1"/>
  <c r="A99" i="5" s="1"/>
  <c r="A100" i="5" s="1"/>
  <c r="A101" i="5" s="1"/>
  <c r="A102" i="5" s="1"/>
  <c r="A103" i="5" s="1"/>
  <c r="A104" i="5" s="1"/>
  <c r="A105" i="5" s="1"/>
  <c r="A106" i="5" s="1"/>
  <c r="A107" i="5" s="1"/>
  <c r="A108" i="5" s="1"/>
  <c r="A109" i="5" s="1"/>
  <c r="A110" i="5" s="1"/>
  <c r="A111" i="5" s="1"/>
  <c r="A112" i="5" s="1"/>
  <c r="A113" i="5" s="1"/>
  <c r="A114" i="5" s="1"/>
  <c r="A115" i="5" s="1"/>
  <c r="A116" i="5" s="1"/>
  <c r="A117" i="5" s="1"/>
  <c r="A118" i="5" s="1"/>
  <c r="A119" i="5" s="1"/>
  <c r="A120" i="5" s="1"/>
  <c r="A121" i="5" s="1"/>
  <c r="A122" i="5" s="1"/>
  <c r="A123" i="5" s="1"/>
  <c r="A124" i="5" s="1"/>
  <c r="A125" i="5" s="1"/>
  <c r="A126" i="5" s="1"/>
  <c r="A127" i="5" s="1"/>
  <c r="A128" i="5" s="1"/>
  <c r="A129" i="5" s="1"/>
  <c r="A130" i="5" s="1"/>
  <c r="A131" i="5" s="1"/>
  <c r="A132" i="5" s="1"/>
  <c r="A133" i="5" s="1"/>
  <c r="A134" i="5" s="1"/>
  <c r="A135" i="5" s="1"/>
  <c r="A136" i="5" s="1"/>
  <c r="A137" i="5" s="1"/>
  <c r="A138" i="5" s="1"/>
  <c r="A139" i="5" s="1"/>
  <c r="A140" i="5" s="1"/>
  <c r="A141" i="5" s="1"/>
  <c r="A142" i="5" s="1"/>
  <c r="A143" i="5" s="1"/>
  <c r="A144" i="5" s="1"/>
  <c r="A145" i="5" s="1"/>
  <c r="A146" i="5" s="1"/>
  <c r="A147" i="5" s="1"/>
  <c r="A148" i="5" s="1"/>
  <c r="A149" i="5" s="1"/>
  <c r="A150" i="5" s="1"/>
  <c r="A151" i="5" s="1"/>
  <c r="A152" i="5" s="1"/>
  <c r="A153" i="5" s="1"/>
  <c r="A154" i="5" s="1"/>
  <c r="A155" i="5" s="1"/>
  <c r="A156" i="5" s="1"/>
  <c r="A157" i="5" s="1"/>
  <c r="A158" i="5" s="1"/>
  <c r="A159" i="5" s="1"/>
  <c r="A160" i="5" s="1"/>
  <c r="A161" i="5" s="1"/>
  <c r="A162" i="5" s="1"/>
  <c r="A163" i="5" s="1"/>
  <c r="A164" i="5" s="1"/>
  <c r="A165" i="5" s="1"/>
  <c r="A166" i="5" s="1"/>
  <c r="A167" i="5" s="1"/>
  <c r="A168" i="5" s="1"/>
  <c r="A169" i="5" s="1"/>
  <c r="A170" i="5" s="1"/>
  <c r="A171" i="5" s="1"/>
  <c r="A172" i="5" s="1"/>
  <c r="A173" i="5" s="1"/>
  <c r="A174" i="5" s="1"/>
  <c r="A175" i="5" s="1"/>
  <c r="A176" i="5" s="1"/>
  <c r="A177" i="5" s="1"/>
  <c r="A178" i="5" s="1"/>
  <c r="A179" i="5" s="1"/>
  <c r="A180" i="5" s="1"/>
  <c r="A181" i="5" s="1"/>
  <c r="A182" i="5" s="1"/>
  <c r="A183" i="5" s="1"/>
  <c r="A184" i="5" s="1"/>
  <c r="A185" i="5" s="1"/>
  <c r="A186" i="5" s="1"/>
  <c r="A187" i="5" s="1"/>
  <c r="A188" i="5" s="1"/>
  <c r="A189" i="5" s="1"/>
  <c r="A190" i="5" s="1"/>
  <c r="A191" i="5" s="1"/>
  <c r="A192" i="5" s="1"/>
  <c r="A193" i="5" s="1"/>
  <c r="A194" i="5" s="1"/>
  <c r="A195" i="5" s="1"/>
  <c r="A196" i="5" s="1"/>
  <c r="A197" i="5" s="1"/>
  <c r="A198" i="5" s="1"/>
  <c r="A199" i="5" s="1"/>
  <c r="A200" i="5" s="1"/>
  <c r="A201" i="5" s="1"/>
  <c r="A202" i="5" s="1"/>
  <c r="A203" i="5" s="1"/>
  <c r="A204" i="5" s="1"/>
  <c r="A205" i="5" s="1"/>
  <c r="A206" i="5" s="1"/>
  <c r="A207" i="5" s="1"/>
  <c r="A208" i="5" s="1"/>
  <c r="A209" i="5" s="1"/>
  <c r="A210" i="5" s="1"/>
  <c r="A211" i="5" s="1"/>
  <c r="A212" i="5" s="1"/>
  <c r="A213" i="5" s="1"/>
  <c r="A214" i="5" s="1"/>
  <c r="A215" i="5" s="1"/>
  <c r="A216" i="5" s="1"/>
  <c r="A217" i="5" s="1"/>
  <c r="A218" i="5" s="1"/>
  <c r="A219" i="5" s="1"/>
  <c r="A220" i="5" s="1"/>
  <c r="A221" i="5" s="1"/>
  <c r="A222" i="5" s="1"/>
  <c r="A223" i="5" s="1"/>
  <c r="A224" i="5" s="1"/>
  <c r="A225" i="5" s="1"/>
  <c r="A226" i="5" s="1"/>
  <c r="A227" i="5" s="1"/>
  <c r="A228" i="5" s="1"/>
  <c r="A229" i="5" s="1"/>
  <c r="A230" i="5" s="1"/>
  <c r="A231" i="5" s="1"/>
  <c r="A232" i="5" s="1"/>
  <c r="A233" i="5" s="1"/>
  <c r="A234" i="5" s="1"/>
  <c r="A235" i="5" s="1"/>
  <c r="A236" i="5" s="1"/>
  <c r="A237" i="5" s="1"/>
  <c r="A238" i="5" s="1"/>
  <c r="A239" i="5" s="1"/>
  <c r="A240" i="5" s="1"/>
  <c r="A241" i="5" s="1"/>
  <c r="A242" i="5" s="1"/>
  <c r="A243" i="5" s="1"/>
  <c r="A244" i="5" s="1"/>
  <c r="A245" i="5" s="1"/>
  <c r="A246" i="5" s="1"/>
  <c r="A247" i="5" s="1"/>
  <c r="A248" i="5" s="1"/>
  <c r="A249" i="5" s="1"/>
  <c r="A250" i="5" s="1"/>
  <c r="A251" i="5" s="1"/>
  <c r="A252" i="5" s="1"/>
  <c r="A253" i="5" s="1"/>
  <c r="A254" i="5" s="1"/>
  <c r="A255" i="5" s="1"/>
  <c r="A256" i="5" s="1"/>
  <c r="A257" i="5" s="1"/>
  <c r="A258" i="5" s="1"/>
  <c r="A259" i="5" s="1"/>
  <c r="A260" i="5" s="1"/>
  <c r="A261" i="5" s="1"/>
  <c r="A262" i="5" s="1"/>
  <c r="A263" i="5" s="1"/>
  <c r="A264" i="5" s="1"/>
  <c r="A265" i="5" s="1"/>
  <c r="A266" i="5" s="1"/>
  <c r="A267" i="5" s="1"/>
  <c r="A268" i="5" s="1"/>
  <c r="A269" i="5" s="1"/>
  <c r="A270" i="5" s="1"/>
  <c r="A271" i="5" s="1"/>
  <c r="A272" i="5" s="1"/>
  <c r="A273" i="5" s="1"/>
  <c r="A274" i="5" s="1"/>
  <c r="A275" i="5" s="1"/>
  <c r="A276" i="5" s="1"/>
  <c r="A277" i="5" s="1"/>
  <c r="A278" i="5" s="1"/>
  <c r="A279" i="5" s="1"/>
  <c r="A280" i="5" s="1"/>
  <c r="A281" i="5" s="1"/>
  <c r="A282" i="5" s="1"/>
  <c r="A283" i="5" s="1"/>
  <c r="A284" i="5" s="1"/>
  <c r="A285" i="5" s="1"/>
  <c r="A286" i="5" s="1"/>
  <c r="A287" i="5" s="1"/>
  <c r="A288" i="5" s="1"/>
  <c r="A289" i="5" s="1"/>
  <c r="A290" i="5" s="1"/>
  <c r="A291" i="5" s="1"/>
  <c r="A292" i="5" s="1"/>
  <c r="A293" i="5" s="1"/>
  <c r="A294" i="5" s="1"/>
  <c r="A295" i="5" s="1"/>
  <c r="A296" i="5" s="1"/>
  <c r="M2" i="5"/>
  <c r="N2" i="5" s="1"/>
  <c r="O2" i="5" s="1"/>
  <c r="M2" i="12"/>
  <c r="N2" i="12" s="1"/>
  <c r="O2" i="12" s="1"/>
  <c r="A3" i="12"/>
  <c r="A4" i="12" s="1"/>
  <c r="A5" i="12" s="1"/>
  <c r="A6" i="12" s="1"/>
  <c r="A7" i="12" s="1"/>
  <c r="A8" i="12" s="1"/>
  <c r="A9" i="12" s="1"/>
  <c r="A10" i="12" s="1"/>
  <c r="A11" i="12" s="1"/>
  <c r="A12" i="12" s="1"/>
  <c r="A13" i="12" s="1"/>
  <c r="A14" i="12" s="1"/>
  <c r="A15" i="12" s="1"/>
  <c r="A16" i="12" s="1"/>
  <c r="A17" i="12" s="1"/>
  <c r="A18" i="12" s="1"/>
  <c r="A19" i="12" s="1"/>
  <c r="A20" i="12" s="1"/>
  <c r="A21" i="12" s="1"/>
  <c r="A22" i="12" s="1"/>
  <c r="A23" i="12" s="1"/>
  <c r="A24" i="12" s="1"/>
  <c r="A25" i="12" s="1"/>
  <c r="A26" i="12" s="1"/>
  <c r="A27" i="12" s="1"/>
  <c r="A28" i="12" s="1"/>
  <c r="A29" i="12" s="1"/>
  <c r="A30" i="12" s="1"/>
  <c r="A31" i="12" s="1"/>
  <c r="A32" i="12" s="1"/>
  <c r="A33" i="12" s="1"/>
  <c r="A34" i="12" s="1"/>
  <c r="A35" i="12" s="1"/>
  <c r="A36" i="12" s="1"/>
  <c r="A37" i="12" s="1"/>
  <c r="A38" i="12" s="1"/>
  <c r="A39" i="12" s="1"/>
  <c r="A40" i="12" s="1"/>
  <c r="A41" i="12" s="1"/>
  <c r="A42" i="12" s="1"/>
  <c r="A43" i="12" s="1"/>
  <c r="A44" i="12" s="1"/>
  <c r="A45" i="12" s="1"/>
  <c r="A46" i="12" s="1"/>
  <c r="A47" i="12" s="1"/>
  <c r="A48" i="12" s="1"/>
  <c r="A49" i="12" s="1"/>
  <c r="A50" i="12" s="1"/>
  <c r="A51" i="12" s="1"/>
  <c r="A52" i="12" s="1"/>
  <c r="A53" i="12" s="1"/>
  <c r="A54" i="12" s="1"/>
  <c r="A55" i="12" s="1"/>
  <c r="A56" i="12" s="1"/>
  <c r="A57" i="12" s="1"/>
  <c r="A58" i="12" s="1"/>
  <c r="A59" i="12" s="1"/>
  <c r="A60" i="12" s="1"/>
  <c r="A61" i="12" s="1"/>
  <c r="A62" i="12" s="1"/>
  <c r="A63" i="12" s="1"/>
  <c r="A64" i="12" s="1"/>
  <c r="A65" i="12" s="1"/>
  <c r="A66" i="12" s="1"/>
  <c r="A67" i="12" s="1"/>
  <c r="A68" i="12" s="1"/>
  <c r="A69" i="12" s="1"/>
  <c r="A70" i="12" s="1"/>
  <c r="A71" i="12" s="1"/>
  <c r="A72" i="12" s="1"/>
  <c r="A73" i="12" s="1"/>
  <c r="A74" i="12" s="1"/>
  <c r="A75" i="12" s="1"/>
  <c r="A76" i="12" s="1"/>
  <c r="A77" i="12" s="1"/>
  <c r="A78" i="12" s="1"/>
  <c r="A79" i="12" s="1"/>
  <c r="A80" i="12" s="1"/>
  <c r="A81" i="12" s="1"/>
  <c r="A82" i="12" s="1"/>
  <c r="A83" i="12" s="1"/>
  <c r="A84" i="12" s="1"/>
  <c r="A85" i="12" s="1"/>
  <c r="A86" i="12" s="1"/>
  <c r="A87" i="12" s="1"/>
  <c r="A88" i="12" s="1"/>
  <c r="A89" i="12" s="1"/>
  <c r="A90" i="12" s="1"/>
  <c r="A91" i="12" s="1"/>
  <c r="A92" i="12" s="1"/>
  <c r="A93" i="12" s="1"/>
  <c r="A94" i="12" s="1"/>
  <c r="A95" i="12" s="1"/>
  <c r="A96" i="12" s="1"/>
  <c r="A97" i="12" s="1"/>
  <c r="A98" i="12" s="1"/>
  <c r="A99" i="12" s="1"/>
  <c r="A100" i="12" s="1"/>
  <c r="A101" i="12" s="1"/>
  <c r="A102" i="12" s="1"/>
  <c r="A103" i="12" s="1"/>
  <c r="A104" i="12" s="1"/>
  <c r="A105" i="12" s="1"/>
  <c r="A106" i="12" s="1"/>
  <c r="A107" i="12" s="1"/>
  <c r="A108" i="12" s="1"/>
  <c r="A109" i="12" s="1"/>
  <c r="A110" i="12" s="1"/>
  <c r="A111" i="12" s="1"/>
  <c r="A112" i="12" s="1"/>
  <c r="A113" i="12" s="1"/>
  <c r="A114" i="12" s="1"/>
  <c r="A115" i="12" s="1"/>
  <c r="A116" i="12" s="1"/>
  <c r="A117" i="12" s="1"/>
  <c r="A118" i="12" s="1"/>
  <c r="A119" i="12" s="1"/>
  <c r="A120" i="12" s="1"/>
  <c r="A121" i="12" s="1"/>
  <c r="A122" i="12" s="1"/>
  <c r="A123" i="12" s="1"/>
  <c r="A124" i="12" s="1"/>
  <c r="A125" i="12" s="1"/>
  <c r="A126" i="12" s="1"/>
  <c r="A127" i="12" s="1"/>
  <c r="A128" i="12" s="1"/>
  <c r="A129" i="12" s="1"/>
  <c r="A130" i="12" s="1"/>
  <c r="A131" i="12" s="1"/>
  <c r="A132" i="12" s="1"/>
  <c r="A133" i="12" s="1"/>
  <c r="A134" i="12" s="1"/>
  <c r="A135" i="12" s="1"/>
  <c r="A136" i="12" s="1"/>
  <c r="A137" i="12" s="1"/>
  <c r="A138" i="12" s="1"/>
  <c r="A139" i="12" s="1"/>
  <c r="A140" i="12" s="1"/>
  <c r="A141" i="12" s="1"/>
  <c r="A142" i="12" s="1"/>
  <c r="A143" i="12" s="1"/>
  <c r="A144" i="12" s="1"/>
  <c r="A145" i="12" s="1"/>
  <c r="A146" i="12" s="1"/>
  <c r="A147" i="12" s="1"/>
  <c r="A148" i="12" s="1"/>
  <c r="A149" i="12" s="1"/>
  <c r="A150" i="12" s="1"/>
  <c r="A151" i="12" s="1"/>
  <c r="A152" i="12" s="1"/>
  <c r="A153" i="12" s="1"/>
  <c r="A154" i="12" s="1"/>
  <c r="A155" i="12" s="1"/>
  <c r="A156" i="12" s="1"/>
  <c r="A157" i="12" s="1"/>
  <c r="A158" i="12" s="1"/>
  <c r="A159" i="12" s="1"/>
  <c r="A160" i="12" s="1"/>
  <c r="A161" i="12" s="1"/>
  <c r="A162" i="12" s="1"/>
  <c r="A163" i="12" s="1"/>
  <c r="A164" i="12" s="1"/>
  <c r="A165" i="12" s="1"/>
  <c r="A166" i="12" s="1"/>
  <c r="A167" i="12" s="1"/>
  <c r="A168" i="12" s="1"/>
  <c r="A169" i="12" s="1"/>
  <c r="A170" i="12" s="1"/>
  <c r="A171" i="12" s="1"/>
  <c r="A172" i="12" s="1"/>
  <c r="A173" i="12" s="1"/>
  <c r="A174" i="12" s="1"/>
  <c r="A175" i="12" s="1"/>
  <c r="A176" i="12" s="1"/>
  <c r="A177" i="12" s="1"/>
  <c r="A178" i="12" s="1"/>
  <c r="A179" i="12" s="1"/>
  <c r="A180" i="12" s="1"/>
  <c r="A181" i="12" s="1"/>
  <c r="A182" i="12" s="1"/>
  <c r="A183" i="12" s="1"/>
  <c r="A184" i="12" s="1"/>
  <c r="A185" i="12" s="1"/>
  <c r="A186" i="12" s="1"/>
  <c r="A187" i="12" s="1"/>
  <c r="A188" i="12" s="1"/>
  <c r="A189" i="12" s="1"/>
  <c r="A190" i="12" s="1"/>
  <c r="A191" i="12" s="1"/>
  <c r="A192" i="12" s="1"/>
  <c r="A193" i="12" s="1"/>
  <c r="A194" i="12" s="1"/>
  <c r="A195" i="12" s="1"/>
  <c r="A196" i="12" s="1"/>
  <c r="A197" i="12" s="1"/>
  <c r="A198" i="12" s="1"/>
  <c r="A199" i="12" s="1"/>
  <c r="A200" i="12" s="1"/>
  <c r="A201" i="12" s="1"/>
  <c r="A202" i="12" s="1"/>
  <c r="A203" i="12" s="1"/>
  <c r="A204" i="12" s="1"/>
  <c r="A205" i="12" s="1"/>
  <c r="A206" i="12" s="1"/>
  <c r="A207" i="12" s="1"/>
  <c r="A208" i="12" s="1"/>
  <c r="A209" i="12" s="1"/>
  <c r="A210" i="12" s="1"/>
  <c r="A211" i="12" s="1"/>
  <c r="A212" i="12" s="1"/>
  <c r="A213" i="12" s="1"/>
  <c r="A214" i="12" s="1"/>
  <c r="A215" i="12" s="1"/>
  <c r="A216" i="12" s="1"/>
  <c r="A217" i="12" s="1"/>
  <c r="A5" i="4" l="1"/>
  <c r="A6" i="4" s="1"/>
  <c r="A7" i="4" s="1"/>
  <c r="A8" i="4" s="1"/>
  <c r="A9" i="4" s="1"/>
  <c r="A10" i="4" s="1"/>
  <c r="A11" i="4" s="1"/>
  <c r="A12" i="4" s="1"/>
  <c r="A13" i="4" s="1"/>
  <c r="A14" i="4" s="1"/>
  <c r="A15" i="4" s="1"/>
  <c r="A16" i="4" s="1"/>
  <c r="A17" i="4" s="1"/>
  <c r="A18" i="4" s="1"/>
  <c r="A19" i="4" s="1"/>
  <c r="A20" i="4" s="1"/>
  <c r="A21" i="4" s="1"/>
  <c r="A22" i="4" s="1"/>
  <c r="A23" i="4" s="1"/>
  <c r="A24" i="4" s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A44" i="4" s="1"/>
  <c r="A45" i="4" s="1"/>
  <c r="A46" i="4" s="1"/>
  <c r="A47" i="4" s="1"/>
  <c r="A48" i="4" s="1"/>
  <c r="A49" i="4" s="1"/>
  <c r="A50" i="4" s="1"/>
  <c r="A51" i="4" s="1"/>
  <c r="F7" i="7"/>
  <c r="P2" i="20"/>
  <c r="AC9" i="7"/>
  <c r="D11" i="7"/>
  <c r="C13" i="7"/>
  <c r="E13" i="7" s="1"/>
  <c r="M30" i="18"/>
  <c r="N29" i="18"/>
  <c r="O29" i="18" s="1"/>
  <c r="N33" i="17"/>
  <c r="O33" i="17" s="1"/>
  <c r="M34" i="17"/>
  <c r="M30" i="20"/>
  <c r="N29" i="20"/>
  <c r="O29" i="20" s="1"/>
  <c r="N29" i="19"/>
  <c r="O29" i="19" s="1"/>
  <c r="M30" i="19"/>
  <c r="P2" i="5"/>
  <c r="N5" i="13"/>
  <c r="O6" i="3"/>
  <c r="O6" i="10" s="1"/>
  <c r="N6" i="10"/>
  <c r="K7" i="6"/>
  <c r="P7" i="13" s="1"/>
  <c r="K6" i="13"/>
  <c r="K7" i="4"/>
  <c r="K6" i="11"/>
  <c r="N6" i="6"/>
  <c r="K7" i="5"/>
  <c r="P7" i="12" s="1"/>
  <c r="K6" i="12"/>
  <c r="K8" i="3"/>
  <c r="K7" i="10"/>
  <c r="M7" i="6"/>
  <c r="M7" i="13" s="1"/>
  <c r="O5" i="4"/>
  <c r="O5" i="11" s="1"/>
  <c r="N5" i="11"/>
  <c r="M7" i="5"/>
  <c r="M6" i="12"/>
  <c r="N6" i="5"/>
  <c r="P2" i="12"/>
  <c r="M7" i="4"/>
  <c r="M7" i="11" s="1"/>
  <c r="N6" i="4"/>
  <c r="M8" i="3"/>
  <c r="M8" i="10" s="1"/>
  <c r="N7" i="3"/>
  <c r="P2" i="19" l="1"/>
  <c r="M31" i="18"/>
  <c r="N30" i="18"/>
  <c r="O30" i="18" s="1"/>
  <c r="M31" i="20"/>
  <c r="N30" i="20"/>
  <c r="O30" i="20" s="1"/>
  <c r="M31" i="19"/>
  <c r="N30" i="19"/>
  <c r="O30" i="19" s="1"/>
  <c r="M35" i="17"/>
  <c r="N34" i="17"/>
  <c r="O34" i="17" s="1"/>
  <c r="O6" i="6"/>
  <c r="O6" i="13" s="1"/>
  <c r="N6" i="13"/>
  <c r="M8" i="5"/>
  <c r="M7" i="12"/>
  <c r="N7" i="5"/>
  <c r="K8" i="4"/>
  <c r="K7" i="11"/>
  <c r="K8" i="5"/>
  <c r="P8" i="12" s="1"/>
  <c r="K7" i="12"/>
  <c r="M8" i="6"/>
  <c r="M8" i="13" s="1"/>
  <c r="K8" i="6"/>
  <c r="P8" i="13" s="1"/>
  <c r="K7" i="13"/>
  <c r="O6" i="4"/>
  <c r="O6" i="11" s="1"/>
  <c r="N6" i="11"/>
  <c r="K9" i="3"/>
  <c r="K8" i="10"/>
  <c r="O7" i="3"/>
  <c r="O7" i="10" s="1"/>
  <c r="N7" i="10"/>
  <c r="N7" i="6"/>
  <c r="O6" i="5"/>
  <c r="O6" i="12" s="1"/>
  <c r="N6" i="12"/>
  <c r="M8" i="4"/>
  <c r="M8" i="11" s="1"/>
  <c r="N7" i="4"/>
  <c r="M9" i="3"/>
  <c r="M9" i="10" s="1"/>
  <c r="N8" i="3"/>
  <c r="AC16" i="7" l="1"/>
  <c r="M32" i="18"/>
  <c r="N31" i="18"/>
  <c r="O31" i="18" s="1"/>
  <c r="N35" i="17"/>
  <c r="O35" i="17" s="1"/>
  <c r="M36" i="17"/>
  <c r="M37" i="17" s="1"/>
  <c r="N31" i="19"/>
  <c r="O31" i="19" s="1"/>
  <c r="M32" i="19"/>
  <c r="M32" i="20"/>
  <c r="N31" i="20"/>
  <c r="O31" i="20" s="1"/>
  <c r="M9" i="6"/>
  <c r="M9" i="13" s="1"/>
  <c r="N8" i="6"/>
  <c r="O8" i="6" s="1"/>
  <c r="O8" i="13" s="1"/>
  <c r="K9" i="5"/>
  <c r="P9" i="12" s="1"/>
  <c r="K8" i="12"/>
  <c r="K10" i="3"/>
  <c r="K9" i="10"/>
  <c r="O8" i="3"/>
  <c r="O8" i="10" s="1"/>
  <c r="N8" i="10"/>
  <c r="K9" i="4"/>
  <c r="K8" i="11"/>
  <c r="O7" i="4"/>
  <c r="O7" i="11" s="1"/>
  <c r="N7" i="11"/>
  <c r="O7" i="5"/>
  <c r="O7" i="12" s="1"/>
  <c r="N7" i="12"/>
  <c r="K9" i="6"/>
  <c r="P9" i="13" s="1"/>
  <c r="K8" i="13"/>
  <c r="M9" i="5"/>
  <c r="M8" i="12"/>
  <c r="N8" i="5"/>
  <c r="O7" i="6"/>
  <c r="O7" i="13" s="1"/>
  <c r="N7" i="13"/>
  <c r="M10" i="3"/>
  <c r="M10" i="10" s="1"/>
  <c r="N9" i="3"/>
  <c r="N8" i="4"/>
  <c r="M9" i="4"/>
  <c r="M9" i="11" s="1"/>
  <c r="N37" i="17" l="1"/>
  <c r="O37" i="17" s="1"/>
  <c r="M38" i="17"/>
  <c r="N9" i="6"/>
  <c r="N9" i="13" s="1"/>
  <c r="M10" i="6"/>
  <c r="M10" i="13" s="1"/>
  <c r="M33" i="18"/>
  <c r="N32" i="18"/>
  <c r="O32" i="18" s="1"/>
  <c r="M33" i="19"/>
  <c r="N32" i="19"/>
  <c r="O32" i="19" s="1"/>
  <c r="N36" i="17"/>
  <c r="O36" i="17" s="1"/>
  <c r="M33" i="20"/>
  <c r="N32" i="20"/>
  <c r="O32" i="20" s="1"/>
  <c r="N8" i="13"/>
  <c r="K10" i="6"/>
  <c r="P10" i="13" s="1"/>
  <c r="K9" i="13"/>
  <c r="O9" i="3"/>
  <c r="O9" i="10" s="1"/>
  <c r="N9" i="10"/>
  <c r="K11" i="3"/>
  <c r="K10" i="10"/>
  <c r="O8" i="4"/>
  <c r="O8" i="11" s="1"/>
  <c r="N8" i="11"/>
  <c r="O8" i="5"/>
  <c r="O8" i="12" s="1"/>
  <c r="N8" i="12"/>
  <c r="K10" i="5"/>
  <c r="P10" i="12" s="1"/>
  <c r="K9" i="12"/>
  <c r="M10" i="5"/>
  <c r="M9" i="12"/>
  <c r="N9" i="5"/>
  <c r="K10" i="4"/>
  <c r="K9" i="11"/>
  <c r="M10" i="4"/>
  <c r="M10" i="11" s="1"/>
  <c r="N9" i="4"/>
  <c r="M11" i="3"/>
  <c r="M11" i="10" s="1"/>
  <c r="N10" i="3"/>
  <c r="N38" i="17" l="1"/>
  <c r="O38" i="17" s="1"/>
  <c r="M39" i="17"/>
  <c r="O9" i="6"/>
  <c r="O9" i="13" s="1"/>
  <c r="N10" i="6"/>
  <c r="O10" i="6" s="1"/>
  <c r="O10" i="13" s="1"/>
  <c r="M11" i="6"/>
  <c r="M11" i="13" s="1"/>
  <c r="M34" i="18"/>
  <c r="N33" i="18"/>
  <c r="O33" i="18" s="1"/>
  <c r="M34" i="20"/>
  <c r="N33" i="20"/>
  <c r="O33" i="20" s="1"/>
  <c r="N33" i="19"/>
  <c r="O33" i="19" s="1"/>
  <c r="M34" i="19"/>
  <c r="K12" i="3"/>
  <c r="K11" i="10"/>
  <c r="O10" i="3"/>
  <c r="O10" i="10" s="1"/>
  <c r="N10" i="10"/>
  <c r="K11" i="5"/>
  <c r="P11" i="12" s="1"/>
  <c r="K10" i="12"/>
  <c r="M11" i="5"/>
  <c r="M10" i="12"/>
  <c r="N10" i="5"/>
  <c r="K11" i="6"/>
  <c r="P11" i="13" s="1"/>
  <c r="K10" i="13"/>
  <c r="K11" i="4"/>
  <c r="K10" i="11"/>
  <c r="O9" i="4"/>
  <c r="O9" i="11" s="1"/>
  <c r="N9" i="11"/>
  <c r="O9" i="5"/>
  <c r="O9" i="12" s="1"/>
  <c r="N9" i="12"/>
  <c r="M12" i="3"/>
  <c r="M12" i="10" s="1"/>
  <c r="N11" i="3"/>
  <c r="M11" i="4"/>
  <c r="M11" i="11" s="1"/>
  <c r="N10" i="4"/>
  <c r="M40" i="17" l="1"/>
  <c r="N39" i="17"/>
  <c r="O39" i="17" s="1"/>
  <c r="M12" i="6"/>
  <c r="M12" i="13" s="1"/>
  <c r="N11" i="6"/>
  <c r="N11" i="13" s="1"/>
  <c r="N10" i="13"/>
  <c r="M35" i="18"/>
  <c r="N34" i="18"/>
  <c r="O34" i="18" s="1"/>
  <c r="M35" i="19"/>
  <c r="N34" i="19"/>
  <c r="O34" i="19" s="1"/>
  <c r="M35" i="20"/>
  <c r="N34" i="20"/>
  <c r="O34" i="20" s="1"/>
  <c r="M12" i="5"/>
  <c r="M11" i="12"/>
  <c r="N11" i="5"/>
  <c r="K12" i="5"/>
  <c r="P12" i="12" s="1"/>
  <c r="K11" i="12"/>
  <c r="K12" i="4"/>
  <c r="K11" i="11"/>
  <c r="K12" i="6"/>
  <c r="P12" i="13" s="1"/>
  <c r="K11" i="13"/>
  <c r="O10" i="4"/>
  <c r="O10" i="11" s="1"/>
  <c r="N10" i="11"/>
  <c r="O11" i="3"/>
  <c r="O11" i="10" s="1"/>
  <c r="N11" i="10"/>
  <c r="O10" i="5"/>
  <c r="O10" i="12" s="1"/>
  <c r="N10" i="12"/>
  <c r="K13" i="3"/>
  <c r="K12" i="10"/>
  <c r="M12" i="4"/>
  <c r="M12" i="11" s="1"/>
  <c r="N11" i="4"/>
  <c r="M13" i="3"/>
  <c r="M13" i="10" s="1"/>
  <c r="N12" i="3"/>
  <c r="M13" i="6"/>
  <c r="M13" i="13" s="1"/>
  <c r="N12" i="6" l="1"/>
  <c r="M41" i="17"/>
  <c r="N40" i="17"/>
  <c r="O40" i="17" s="1"/>
  <c r="O11" i="6"/>
  <c r="O11" i="13" s="1"/>
  <c r="M36" i="18"/>
  <c r="N35" i="18"/>
  <c r="O35" i="18" s="1"/>
  <c r="M36" i="20"/>
  <c r="N35" i="20"/>
  <c r="O35" i="20" s="1"/>
  <c r="N35" i="19"/>
  <c r="O35" i="19" s="1"/>
  <c r="M36" i="19"/>
  <c r="K13" i="4"/>
  <c r="K12" i="11"/>
  <c r="M13" i="5"/>
  <c r="M12" i="12"/>
  <c r="N12" i="5"/>
  <c r="O12" i="6"/>
  <c r="O12" i="13" s="1"/>
  <c r="N12" i="13"/>
  <c r="O11" i="4"/>
  <c r="O11" i="11" s="1"/>
  <c r="N11" i="11"/>
  <c r="K13" i="5"/>
  <c r="P13" i="12" s="1"/>
  <c r="K12" i="12"/>
  <c r="O12" i="3"/>
  <c r="O12" i="10" s="1"/>
  <c r="N12" i="10"/>
  <c r="O11" i="5"/>
  <c r="O11" i="12" s="1"/>
  <c r="N11" i="12"/>
  <c r="K14" i="3"/>
  <c r="K13" i="10"/>
  <c r="K13" i="6"/>
  <c r="P13" i="13" s="1"/>
  <c r="K12" i="13"/>
  <c r="M14" i="3"/>
  <c r="M14" i="10" s="1"/>
  <c r="N13" i="3"/>
  <c r="M14" i="6"/>
  <c r="M14" i="13" s="1"/>
  <c r="N13" i="6"/>
  <c r="M13" i="4"/>
  <c r="M13" i="11" s="1"/>
  <c r="N12" i="4"/>
  <c r="N36" i="18" l="1"/>
  <c r="O36" i="18" s="1"/>
  <c r="M37" i="18"/>
  <c r="M42" i="17"/>
  <c r="N41" i="17"/>
  <c r="O41" i="17" s="1"/>
  <c r="M37" i="19"/>
  <c r="N36" i="19"/>
  <c r="O36" i="19" s="1"/>
  <c r="M37" i="20"/>
  <c r="N36" i="20"/>
  <c r="O36" i="20" s="1"/>
  <c r="O13" i="3"/>
  <c r="O13" i="10" s="1"/>
  <c r="N13" i="10"/>
  <c r="K15" i="3"/>
  <c r="K14" i="10"/>
  <c r="K14" i="4"/>
  <c r="K13" i="11"/>
  <c r="O12" i="4"/>
  <c r="O12" i="11" s="1"/>
  <c r="N12" i="11"/>
  <c r="O12" i="5"/>
  <c r="O12" i="12" s="1"/>
  <c r="N12" i="12"/>
  <c r="M14" i="5"/>
  <c r="M13" i="12"/>
  <c r="N13" i="5"/>
  <c r="O13" i="6"/>
  <c r="O13" i="13" s="1"/>
  <c r="N13" i="13"/>
  <c r="K14" i="6"/>
  <c r="P14" i="13" s="1"/>
  <c r="K13" i="13"/>
  <c r="K14" i="5"/>
  <c r="P14" i="12" s="1"/>
  <c r="K13" i="12"/>
  <c r="M14" i="4"/>
  <c r="M14" i="11" s="1"/>
  <c r="N13" i="4"/>
  <c r="M15" i="6"/>
  <c r="M15" i="13" s="1"/>
  <c r="N14" i="6"/>
  <c r="M15" i="3"/>
  <c r="M15" i="10" s="1"/>
  <c r="N14" i="3"/>
  <c r="N42" i="17" l="1"/>
  <c r="O42" i="17" s="1"/>
  <c r="M43" i="17"/>
  <c r="N37" i="18"/>
  <c r="O37" i="18" s="1"/>
  <c r="M38" i="18"/>
  <c r="M38" i="20"/>
  <c r="N37" i="20"/>
  <c r="O37" i="20" s="1"/>
  <c r="N37" i="19"/>
  <c r="O37" i="19" s="1"/>
  <c r="M38" i="19"/>
  <c r="K15" i="6"/>
  <c r="P15" i="13" s="1"/>
  <c r="K14" i="13"/>
  <c r="O14" i="3"/>
  <c r="O14" i="10" s="1"/>
  <c r="N14" i="10"/>
  <c r="O13" i="5"/>
  <c r="O13" i="12" s="1"/>
  <c r="N13" i="12"/>
  <c r="K15" i="4"/>
  <c r="K14" i="11"/>
  <c r="O14" i="6"/>
  <c r="O14" i="13" s="1"/>
  <c r="N14" i="13"/>
  <c r="M15" i="5"/>
  <c r="M14" i="12"/>
  <c r="N14" i="5"/>
  <c r="K16" i="3"/>
  <c r="K15" i="10"/>
  <c r="O13" i="4"/>
  <c r="O13" i="11" s="1"/>
  <c r="N13" i="11"/>
  <c r="K15" i="5"/>
  <c r="P15" i="12" s="1"/>
  <c r="K14" i="12"/>
  <c r="M15" i="4"/>
  <c r="M15" i="11" s="1"/>
  <c r="N14" i="4"/>
  <c r="M16" i="3"/>
  <c r="M16" i="10" s="1"/>
  <c r="N15" i="3"/>
  <c r="M16" i="6"/>
  <c r="M16" i="13" s="1"/>
  <c r="N15" i="6"/>
  <c r="M39" i="18" l="1"/>
  <c r="N38" i="18"/>
  <c r="O38" i="18" s="1"/>
  <c r="N43" i="17"/>
  <c r="O43" i="17" s="1"/>
  <c r="M44" i="17"/>
  <c r="M39" i="19"/>
  <c r="N38" i="19"/>
  <c r="O38" i="19" s="1"/>
  <c r="M39" i="20"/>
  <c r="N38" i="20"/>
  <c r="O38" i="20" s="1"/>
  <c r="K16" i="4"/>
  <c r="K15" i="11"/>
  <c r="K17" i="3"/>
  <c r="K16" i="10"/>
  <c r="O15" i="6"/>
  <c r="O15" i="13" s="1"/>
  <c r="N15" i="13"/>
  <c r="O14" i="5"/>
  <c r="O14" i="12" s="1"/>
  <c r="N14" i="12"/>
  <c r="O15" i="3"/>
  <c r="O15" i="10" s="1"/>
  <c r="N15" i="10"/>
  <c r="M16" i="5"/>
  <c r="M15" i="12"/>
  <c r="N15" i="5"/>
  <c r="K16" i="5"/>
  <c r="P16" i="12" s="1"/>
  <c r="K15" i="12"/>
  <c r="O14" i="4"/>
  <c r="O14" i="11" s="1"/>
  <c r="N14" i="11"/>
  <c r="K16" i="6"/>
  <c r="P16" i="13" s="1"/>
  <c r="K15" i="13"/>
  <c r="M17" i="3"/>
  <c r="M17" i="10" s="1"/>
  <c r="N16" i="3"/>
  <c r="M17" i="6"/>
  <c r="M17" i="13" s="1"/>
  <c r="N16" i="6"/>
  <c r="M16" i="4"/>
  <c r="M16" i="11" s="1"/>
  <c r="N15" i="4"/>
  <c r="N44" i="17" l="1"/>
  <c r="O44" i="17" s="1"/>
  <c r="M45" i="17"/>
  <c r="N39" i="18"/>
  <c r="O39" i="18" s="1"/>
  <c r="M40" i="18"/>
  <c r="M40" i="20"/>
  <c r="N39" i="20"/>
  <c r="O39" i="20" s="1"/>
  <c r="N39" i="19"/>
  <c r="O39" i="19" s="1"/>
  <c r="M40" i="19"/>
  <c r="K17" i="5"/>
  <c r="P17" i="12" s="1"/>
  <c r="K16" i="12"/>
  <c r="O15" i="4"/>
  <c r="O15" i="11" s="1"/>
  <c r="N15" i="11"/>
  <c r="O15" i="5"/>
  <c r="O15" i="12" s="1"/>
  <c r="N15" i="12"/>
  <c r="O16" i="6"/>
  <c r="O16" i="13" s="1"/>
  <c r="N16" i="13"/>
  <c r="M17" i="5"/>
  <c r="M16" i="12"/>
  <c r="N16" i="5"/>
  <c r="K18" i="3"/>
  <c r="K17" i="10"/>
  <c r="K17" i="6"/>
  <c r="P17" i="13" s="1"/>
  <c r="K16" i="13"/>
  <c r="O16" i="3"/>
  <c r="O16" i="10" s="1"/>
  <c r="N16" i="10"/>
  <c r="K17" i="4"/>
  <c r="K16" i="11"/>
  <c r="M17" i="4"/>
  <c r="M17" i="11" s="1"/>
  <c r="N16" i="4"/>
  <c r="M18" i="3"/>
  <c r="M18" i="10" s="1"/>
  <c r="N17" i="3"/>
  <c r="M18" i="6"/>
  <c r="M18" i="13" s="1"/>
  <c r="N17" i="6"/>
  <c r="N40" i="18" l="1"/>
  <c r="O40" i="18" s="1"/>
  <c r="M41" i="18"/>
  <c r="N45" i="17"/>
  <c r="O45" i="17" s="1"/>
  <c r="M46" i="17"/>
  <c r="M41" i="19"/>
  <c r="N40" i="19"/>
  <c r="O40" i="19" s="1"/>
  <c r="M41" i="20"/>
  <c r="N40" i="20"/>
  <c r="O40" i="20" s="1"/>
  <c r="M18" i="5"/>
  <c r="M17" i="12"/>
  <c r="N17" i="5"/>
  <c r="K18" i="5"/>
  <c r="P18" i="12" s="1"/>
  <c r="K17" i="12"/>
  <c r="O16" i="4"/>
  <c r="O16" i="11" s="1"/>
  <c r="N16" i="11"/>
  <c r="K18" i="6"/>
  <c r="P18" i="13" s="1"/>
  <c r="K17" i="13"/>
  <c r="O17" i="6"/>
  <c r="O17" i="13" s="1"/>
  <c r="N17" i="13"/>
  <c r="K19" i="3"/>
  <c r="K18" i="10"/>
  <c r="O17" i="3"/>
  <c r="O17" i="10" s="1"/>
  <c r="N17" i="10"/>
  <c r="O16" i="5"/>
  <c r="O16" i="12" s="1"/>
  <c r="N16" i="12"/>
  <c r="K18" i="4"/>
  <c r="K17" i="11"/>
  <c r="M19" i="3"/>
  <c r="M19" i="10" s="1"/>
  <c r="N18" i="3"/>
  <c r="M19" i="6"/>
  <c r="M19" i="13" s="1"/>
  <c r="N18" i="6"/>
  <c r="M18" i="4"/>
  <c r="M18" i="11" s="1"/>
  <c r="N17" i="4"/>
  <c r="N46" i="17" l="1"/>
  <c r="O46" i="17" s="1"/>
  <c r="M47" i="17"/>
  <c r="M42" i="18"/>
  <c r="N41" i="18"/>
  <c r="O41" i="18" s="1"/>
  <c r="M42" i="20"/>
  <c r="N41" i="20"/>
  <c r="O41" i="20" s="1"/>
  <c r="N41" i="19"/>
  <c r="O41" i="19" s="1"/>
  <c r="M42" i="19"/>
  <c r="M19" i="5"/>
  <c r="M18" i="12"/>
  <c r="N18" i="5"/>
  <c r="K19" i="6"/>
  <c r="P19" i="13" s="1"/>
  <c r="K18" i="13"/>
  <c r="O18" i="3"/>
  <c r="O18" i="10" s="1"/>
  <c r="N18" i="10"/>
  <c r="K19" i="5"/>
  <c r="P19" i="12" s="1"/>
  <c r="K18" i="12"/>
  <c r="O17" i="4"/>
  <c r="O17" i="11" s="1"/>
  <c r="N17" i="11"/>
  <c r="K20" i="3"/>
  <c r="K19" i="10"/>
  <c r="O18" i="6"/>
  <c r="O18" i="13" s="1"/>
  <c r="N18" i="13"/>
  <c r="O17" i="5"/>
  <c r="O17" i="12" s="1"/>
  <c r="N17" i="12"/>
  <c r="K19" i="4"/>
  <c r="K18" i="11"/>
  <c r="M19" i="4"/>
  <c r="M19" i="11" s="1"/>
  <c r="N18" i="4"/>
  <c r="M20" i="3"/>
  <c r="M20" i="10" s="1"/>
  <c r="N19" i="3"/>
  <c r="M20" i="6"/>
  <c r="M20" i="13" s="1"/>
  <c r="N19" i="6"/>
  <c r="N42" i="18" l="1"/>
  <c r="O42" i="18" s="1"/>
  <c r="M43" i="18"/>
  <c r="N47" i="17"/>
  <c r="O47" i="17" s="1"/>
  <c r="M48" i="17"/>
  <c r="M43" i="19"/>
  <c r="N42" i="19"/>
  <c r="O42" i="19" s="1"/>
  <c r="M43" i="20"/>
  <c r="N42" i="20"/>
  <c r="O42" i="20" s="1"/>
  <c r="K20" i="5"/>
  <c r="P20" i="12" s="1"/>
  <c r="K19" i="12"/>
  <c r="O19" i="6"/>
  <c r="O19" i="13" s="1"/>
  <c r="N19" i="13"/>
  <c r="K21" i="3"/>
  <c r="K20" i="10"/>
  <c r="K20" i="6"/>
  <c r="P20" i="13" s="1"/>
  <c r="K19" i="13"/>
  <c r="O19" i="3"/>
  <c r="O19" i="10" s="1"/>
  <c r="N19" i="10"/>
  <c r="O18" i="5"/>
  <c r="O18" i="12" s="1"/>
  <c r="N18" i="12"/>
  <c r="K20" i="4"/>
  <c r="K19" i="11"/>
  <c r="O18" i="4"/>
  <c r="O18" i="11" s="1"/>
  <c r="N18" i="11"/>
  <c r="M20" i="5"/>
  <c r="M19" i="12"/>
  <c r="N19" i="5"/>
  <c r="M21" i="3"/>
  <c r="M21" i="10" s="1"/>
  <c r="N20" i="3"/>
  <c r="M21" i="6"/>
  <c r="M21" i="13" s="1"/>
  <c r="N20" i="6"/>
  <c r="M20" i="4"/>
  <c r="M20" i="11" s="1"/>
  <c r="N19" i="4"/>
  <c r="N48" i="17" l="1"/>
  <c r="O48" i="17" s="1"/>
  <c r="M49" i="17"/>
  <c r="N43" i="18"/>
  <c r="O43" i="18" s="1"/>
  <c r="M44" i="18"/>
  <c r="M44" i="20"/>
  <c r="N43" i="20"/>
  <c r="O43" i="20" s="1"/>
  <c r="N43" i="19"/>
  <c r="O43" i="19" s="1"/>
  <c r="M44" i="19"/>
  <c r="K21" i="6"/>
  <c r="P21" i="13" s="1"/>
  <c r="K20" i="13"/>
  <c r="O19" i="4"/>
  <c r="O19" i="11" s="1"/>
  <c r="N19" i="11"/>
  <c r="K21" i="4"/>
  <c r="K20" i="11"/>
  <c r="K22" i="3"/>
  <c r="K21" i="10"/>
  <c r="O20" i="6"/>
  <c r="O20" i="13" s="1"/>
  <c r="N20" i="13"/>
  <c r="O19" i="5"/>
  <c r="O19" i="12" s="1"/>
  <c r="N19" i="12"/>
  <c r="O20" i="3"/>
  <c r="O20" i="10" s="1"/>
  <c r="N20" i="10"/>
  <c r="M21" i="5"/>
  <c r="M20" i="12"/>
  <c r="N20" i="5"/>
  <c r="K21" i="5"/>
  <c r="P21" i="12" s="1"/>
  <c r="K20" i="12"/>
  <c r="M22" i="3"/>
  <c r="M22" i="10" s="1"/>
  <c r="N21" i="3"/>
  <c r="N20" i="4"/>
  <c r="M21" i="4"/>
  <c r="M21" i="11" s="1"/>
  <c r="M22" i="6"/>
  <c r="M22" i="13" s="1"/>
  <c r="N21" i="6"/>
  <c r="M45" i="18" l="1"/>
  <c r="N44" i="18"/>
  <c r="O44" i="18" s="1"/>
  <c r="M50" i="17"/>
  <c r="N49" i="17"/>
  <c r="O49" i="17" s="1"/>
  <c r="M45" i="19"/>
  <c r="N44" i="19"/>
  <c r="O44" i="19" s="1"/>
  <c r="M45" i="20"/>
  <c r="N44" i="20"/>
  <c r="O44" i="20" s="1"/>
  <c r="O21" i="3"/>
  <c r="O21" i="10" s="1"/>
  <c r="N21" i="10"/>
  <c r="O20" i="5"/>
  <c r="O20" i="12" s="1"/>
  <c r="N20" i="12"/>
  <c r="M22" i="5"/>
  <c r="M21" i="12"/>
  <c r="N21" i="5"/>
  <c r="K23" i="3"/>
  <c r="K22" i="10"/>
  <c r="O21" i="6"/>
  <c r="O21" i="13" s="1"/>
  <c r="N21" i="13"/>
  <c r="K22" i="4"/>
  <c r="K21" i="11"/>
  <c r="K22" i="6"/>
  <c r="P22" i="13" s="1"/>
  <c r="K21" i="13"/>
  <c r="O20" i="4"/>
  <c r="O20" i="11" s="1"/>
  <c r="N20" i="11"/>
  <c r="K22" i="5"/>
  <c r="P22" i="12" s="1"/>
  <c r="K21" i="12"/>
  <c r="M22" i="4"/>
  <c r="M22" i="11" s="1"/>
  <c r="N21" i="4"/>
  <c r="M23" i="6"/>
  <c r="M23" i="13" s="1"/>
  <c r="N22" i="6"/>
  <c r="M23" i="3"/>
  <c r="M23" i="10" s="1"/>
  <c r="N22" i="3"/>
  <c r="N50" i="17" l="1"/>
  <c r="O50" i="17" s="1"/>
  <c r="M51" i="17"/>
  <c r="N45" i="18"/>
  <c r="O45" i="18" s="1"/>
  <c r="M46" i="18"/>
  <c r="M46" i="20"/>
  <c r="N45" i="20"/>
  <c r="O45" i="20" s="1"/>
  <c r="N45" i="19"/>
  <c r="O45" i="19" s="1"/>
  <c r="M46" i="19"/>
  <c r="K23" i="6"/>
  <c r="P23" i="13" s="1"/>
  <c r="K22" i="13"/>
  <c r="M23" i="5"/>
  <c r="M22" i="12"/>
  <c r="N22" i="5"/>
  <c r="K23" i="4"/>
  <c r="K22" i="11"/>
  <c r="K24" i="3"/>
  <c r="K23" i="10"/>
  <c r="O21" i="5"/>
  <c r="O21" i="12" s="1"/>
  <c r="N21" i="12"/>
  <c r="O22" i="3"/>
  <c r="O22" i="10" s="1"/>
  <c r="N22" i="10"/>
  <c r="O22" i="6"/>
  <c r="O22" i="13" s="1"/>
  <c r="N22" i="13"/>
  <c r="K23" i="5"/>
  <c r="P23" i="12" s="1"/>
  <c r="K22" i="12"/>
  <c r="O21" i="4"/>
  <c r="O21" i="11" s="1"/>
  <c r="N21" i="11"/>
  <c r="M24" i="3"/>
  <c r="M24" i="10" s="1"/>
  <c r="N23" i="3"/>
  <c r="M24" i="6"/>
  <c r="M24" i="13" s="1"/>
  <c r="N23" i="6"/>
  <c r="M23" i="4"/>
  <c r="M23" i="11" s="1"/>
  <c r="N22" i="4"/>
  <c r="M47" i="18" l="1"/>
  <c r="N46" i="18"/>
  <c r="O46" i="18" s="1"/>
  <c r="M52" i="17"/>
  <c r="N51" i="17"/>
  <c r="O51" i="17" s="1"/>
  <c r="M47" i="19"/>
  <c r="N46" i="19"/>
  <c r="O46" i="19" s="1"/>
  <c r="M47" i="20"/>
  <c r="N46" i="20"/>
  <c r="O46" i="20" s="1"/>
  <c r="K24" i="5"/>
  <c r="P24" i="12" s="1"/>
  <c r="K23" i="12"/>
  <c r="K24" i="4"/>
  <c r="K23" i="11"/>
  <c r="O22" i="4"/>
  <c r="O22" i="11" s="1"/>
  <c r="N22" i="11"/>
  <c r="O22" i="5"/>
  <c r="O22" i="12" s="1"/>
  <c r="N22" i="12"/>
  <c r="O23" i="6"/>
  <c r="O23" i="13" s="1"/>
  <c r="N23" i="13"/>
  <c r="M24" i="5"/>
  <c r="M23" i="12"/>
  <c r="N23" i="5"/>
  <c r="K25" i="3"/>
  <c r="K24" i="10"/>
  <c r="O23" i="3"/>
  <c r="O23" i="10" s="1"/>
  <c r="N23" i="10"/>
  <c r="K24" i="6"/>
  <c r="P24" i="13" s="1"/>
  <c r="K23" i="13"/>
  <c r="M24" i="4"/>
  <c r="M24" i="11" s="1"/>
  <c r="N23" i="4"/>
  <c r="M25" i="3"/>
  <c r="M25" i="10" s="1"/>
  <c r="N24" i="3"/>
  <c r="M25" i="6"/>
  <c r="M25" i="13" s="1"/>
  <c r="N24" i="6"/>
  <c r="M53" i="17" l="1"/>
  <c r="N52" i="17"/>
  <c r="O52" i="17" s="1"/>
  <c r="N47" i="18"/>
  <c r="O47" i="18" s="1"/>
  <c r="M48" i="18"/>
  <c r="M48" i="20"/>
  <c r="N47" i="20"/>
  <c r="O47" i="20" s="1"/>
  <c r="N47" i="19"/>
  <c r="O47" i="19" s="1"/>
  <c r="M48" i="19"/>
  <c r="K26" i="3"/>
  <c r="K25" i="10"/>
  <c r="O23" i="4"/>
  <c r="O23" i="11" s="1"/>
  <c r="N23" i="11"/>
  <c r="O24" i="6"/>
  <c r="O24" i="13" s="1"/>
  <c r="N24" i="13"/>
  <c r="O23" i="5"/>
  <c r="O23" i="12" s="1"/>
  <c r="N23" i="12"/>
  <c r="O24" i="3"/>
  <c r="O24" i="10" s="1"/>
  <c r="N24" i="10"/>
  <c r="M25" i="5"/>
  <c r="M24" i="12"/>
  <c r="N24" i="5"/>
  <c r="K25" i="4"/>
  <c r="K24" i="11"/>
  <c r="K25" i="6"/>
  <c r="P25" i="13" s="1"/>
  <c r="K24" i="13"/>
  <c r="K25" i="5"/>
  <c r="P25" i="12" s="1"/>
  <c r="K24" i="12"/>
  <c r="M26" i="3"/>
  <c r="M26" i="10" s="1"/>
  <c r="N25" i="3"/>
  <c r="M26" i="6"/>
  <c r="M26" i="13" s="1"/>
  <c r="N25" i="6"/>
  <c r="M25" i="4"/>
  <c r="M25" i="11" s="1"/>
  <c r="N24" i="4"/>
  <c r="N48" i="18" l="1"/>
  <c r="O48" i="18" s="1"/>
  <c r="M49" i="18"/>
  <c r="N53" i="17"/>
  <c r="O53" i="17" s="1"/>
  <c r="M54" i="17"/>
  <c r="M49" i="19"/>
  <c r="N48" i="19"/>
  <c r="O48" i="19" s="1"/>
  <c r="M49" i="20"/>
  <c r="N48" i="20"/>
  <c r="O48" i="20" s="1"/>
  <c r="K26" i="6"/>
  <c r="P26" i="13" s="1"/>
  <c r="K25" i="13"/>
  <c r="K26" i="4"/>
  <c r="K25" i="11"/>
  <c r="O24" i="4"/>
  <c r="O24" i="11" s="1"/>
  <c r="N24" i="11"/>
  <c r="O24" i="5"/>
  <c r="O24" i="12" s="1"/>
  <c r="N24" i="12"/>
  <c r="O25" i="6"/>
  <c r="O25" i="13" s="1"/>
  <c r="N25" i="13"/>
  <c r="K26" i="5"/>
  <c r="P26" i="12" s="1"/>
  <c r="K25" i="12"/>
  <c r="M26" i="5"/>
  <c r="M25" i="12"/>
  <c r="N25" i="5"/>
  <c r="O25" i="3"/>
  <c r="O25" i="10" s="1"/>
  <c r="N25" i="10"/>
  <c r="K27" i="3"/>
  <c r="K26" i="10"/>
  <c r="M26" i="4"/>
  <c r="M26" i="11" s="1"/>
  <c r="N25" i="4"/>
  <c r="M27" i="3"/>
  <c r="M27" i="10" s="1"/>
  <c r="N26" i="3"/>
  <c r="M27" i="6"/>
  <c r="M27" i="13" s="1"/>
  <c r="N26" i="6"/>
  <c r="N54" i="17" l="1"/>
  <c r="O54" i="17" s="1"/>
  <c r="M55" i="17"/>
  <c r="M50" i="18"/>
  <c r="N49" i="18"/>
  <c r="O49" i="18" s="1"/>
  <c r="M50" i="20"/>
  <c r="N49" i="20"/>
  <c r="O49" i="20" s="1"/>
  <c r="N49" i="19"/>
  <c r="O49" i="19" s="1"/>
  <c r="M50" i="19"/>
  <c r="O25" i="5"/>
  <c r="O25" i="12" s="1"/>
  <c r="N25" i="12"/>
  <c r="O26" i="6"/>
  <c r="O26" i="13" s="1"/>
  <c r="N26" i="13"/>
  <c r="M27" i="5"/>
  <c r="M26" i="12"/>
  <c r="N26" i="5"/>
  <c r="O25" i="4"/>
  <c r="O25" i="11" s="1"/>
  <c r="N25" i="11"/>
  <c r="K27" i="5"/>
  <c r="P27" i="12" s="1"/>
  <c r="K26" i="12"/>
  <c r="K27" i="4"/>
  <c r="K26" i="11"/>
  <c r="O26" i="3"/>
  <c r="O26" i="10" s="1"/>
  <c r="N26" i="10"/>
  <c r="K28" i="3"/>
  <c r="K27" i="10"/>
  <c r="K27" i="6"/>
  <c r="P27" i="13" s="1"/>
  <c r="K26" i="13"/>
  <c r="M28" i="3"/>
  <c r="M28" i="10" s="1"/>
  <c r="N27" i="3"/>
  <c r="M28" i="6"/>
  <c r="M28" i="13" s="1"/>
  <c r="N27" i="6"/>
  <c r="M27" i="4"/>
  <c r="M27" i="11" s="1"/>
  <c r="N26" i="4"/>
  <c r="N50" i="18" l="1"/>
  <c r="O50" i="18" s="1"/>
  <c r="M51" i="18"/>
  <c r="N55" i="17"/>
  <c r="O55" i="17" s="1"/>
  <c r="M56" i="17"/>
  <c r="M51" i="19"/>
  <c r="N50" i="19"/>
  <c r="O50" i="19" s="1"/>
  <c r="M51" i="20"/>
  <c r="N50" i="20"/>
  <c r="O50" i="20" s="1"/>
  <c r="K29" i="3"/>
  <c r="K28" i="10"/>
  <c r="O26" i="5"/>
  <c r="O26" i="12" s="1"/>
  <c r="N26" i="12"/>
  <c r="O26" i="4"/>
  <c r="O26" i="11" s="1"/>
  <c r="N26" i="11"/>
  <c r="M28" i="5"/>
  <c r="M27" i="12"/>
  <c r="N27" i="5"/>
  <c r="K28" i="4"/>
  <c r="K27" i="11"/>
  <c r="O27" i="6"/>
  <c r="O27" i="13" s="1"/>
  <c r="N27" i="13"/>
  <c r="K28" i="6"/>
  <c r="P28" i="13" s="1"/>
  <c r="K27" i="13"/>
  <c r="K28" i="5"/>
  <c r="P28" i="12" s="1"/>
  <c r="K27" i="12"/>
  <c r="O27" i="3"/>
  <c r="O27" i="10" s="1"/>
  <c r="N27" i="10"/>
  <c r="M28" i="4"/>
  <c r="M28" i="11" s="1"/>
  <c r="N27" i="4"/>
  <c r="M29" i="6"/>
  <c r="M29" i="13" s="1"/>
  <c r="N28" i="6"/>
  <c r="M29" i="3"/>
  <c r="M29" i="10" s="1"/>
  <c r="N28" i="3"/>
  <c r="N56" i="17" l="1"/>
  <c r="O56" i="17" s="1"/>
  <c r="M57" i="17"/>
  <c r="N51" i="18"/>
  <c r="O51" i="18" s="1"/>
  <c r="M52" i="18"/>
  <c r="M52" i="20"/>
  <c r="N51" i="20"/>
  <c r="O51" i="20" s="1"/>
  <c r="N51" i="19"/>
  <c r="O51" i="19" s="1"/>
  <c r="M52" i="19"/>
  <c r="M29" i="5"/>
  <c r="M28" i="12"/>
  <c r="N28" i="5"/>
  <c r="K29" i="6"/>
  <c r="P29" i="13" s="1"/>
  <c r="K28" i="13"/>
  <c r="K29" i="5"/>
  <c r="P29" i="12" s="1"/>
  <c r="K28" i="12"/>
  <c r="O28" i="3"/>
  <c r="O28" i="10" s="1"/>
  <c r="N28" i="10"/>
  <c r="O28" i="6"/>
  <c r="O28" i="13" s="1"/>
  <c r="N28" i="13"/>
  <c r="K29" i="4"/>
  <c r="K28" i="11"/>
  <c r="O27" i="4"/>
  <c r="O27" i="11" s="1"/>
  <c r="N27" i="11"/>
  <c r="O27" i="5"/>
  <c r="O27" i="12" s="1"/>
  <c r="N27" i="12"/>
  <c r="K30" i="3"/>
  <c r="K29" i="10"/>
  <c r="M29" i="4"/>
  <c r="M29" i="11" s="1"/>
  <c r="N28" i="4"/>
  <c r="M30" i="3"/>
  <c r="M30" i="10" s="1"/>
  <c r="N29" i="3"/>
  <c r="M30" i="6"/>
  <c r="M30" i="13" s="1"/>
  <c r="N29" i="6"/>
  <c r="M53" i="18" l="1"/>
  <c r="N52" i="18"/>
  <c r="O52" i="18" s="1"/>
  <c r="N57" i="17"/>
  <c r="O57" i="17" s="1"/>
  <c r="M58" i="17"/>
  <c r="M53" i="19"/>
  <c r="N52" i="19"/>
  <c r="O52" i="19" s="1"/>
  <c r="M53" i="20"/>
  <c r="N52" i="20"/>
  <c r="O52" i="20" s="1"/>
  <c r="K30" i="5"/>
  <c r="P30" i="12" s="1"/>
  <c r="K29" i="12"/>
  <c r="K30" i="4"/>
  <c r="K29" i="11"/>
  <c r="K30" i="6"/>
  <c r="P30" i="13" s="1"/>
  <c r="K29" i="13"/>
  <c r="O28" i="4"/>
  <c r="O28" i="11" s="1"/>
  <c r="N28" i="11"/>
  <c r="O29" i="6"/>
  <c r="O29" i="13" s="1"/>
  <c r="N29" i="13"/>
  <c r="O28" i="5"/>
  <c r="O28" i="12" s="1"/>
  <c r="N28" i="12"/>
  <c r="K31" i="3"/>
  <c r="K30" i="10"/>
  <c r="O29" i="3"/>
  <c r="O29" i="10" s="1"/>
  <c r="N29" i="10"/>
  <c r="M30" i="5"/>
  <c r="M29" i="12"/>
  <c r="N29" i="5"/>
  <c r="M31" i="3"/>
  <c r="M31" i="10" s="1"/>
  <c r="N30" i="3"/>
  <c r="M31" i="6"/>
  <c r="M31" i="13" s="1"/>
  <c r="N30" i="6"/>
  <c r="M30" i="4"/>
  <c r="M30" i="11" s="1"/>
  <c r="N29" i="4"/>
  <c r="N58" i="17" l="1"/>
  <c r="O58" i="17" s="1"/>
  <c r="M59" i="17"/>
  <c r="N53" i="18"/>
  <c r="O53" i="18" s="1"/>
  <c r="M54" i="18"/>
  <c r="M54" i="20"/>
  <c r="N53" i="20"/>
  <c r="O53" i="20" s="1"/>
  <c r="N53" i="19"/>
  <c r="O53" i="19" s="1"/>
  <c r="M54" i="19"/>
  <c r="O30" i="3"/>
  <c r="O30" i="10" s="1"/>
  <c r="N30" i="10"/>
  <c r="K32" i="3"/>
  <c r="K31" i="10"/>
  <c r="K31" i="6"/>
  <c r="P31" i="13" s="1"/>
  <c r="K30" i="13"/>
  <c r="O29" i="4"/>
  <c r="O29" i="11" s="1"/>
  <c r="N29" i="11"/>
  <c r="O29" i="5"/>
  <c r="O29" i="12" s="1"/>
  <c r="N29" i="12"/>
  <c r="K31" i="4"/>
  <c r="K30" i="11"/>
  <c r="O30" i="6"/>
  <c r="O30" i="13" s="1"/>
  <c r="N30" i="13"/>
  <c r="M31" i="5"/>
  <c r="M30" i="12"/>
  <c r="N30" i="5"/>
  <c r="K31" i="5"/>
  <c r="P31" i="12" s="1"/>
  <c r="K30" i="12"/>
  <c r="M31" i="4"/>
  <c r="M31" i="11" s="1"/>
  <c r="N30" i="4"/>
  <c r="M32" i="6"/>
  <c r="M32" i="13" s="1"/>
  <c r="N31" i="6"/>
  <c r="M32" i="3"/>
  <c r="M32" i="10" s="1"/>
  <c r="N31" i="3"/>
  <c r="N54" i="18" l="1"/>
  <c r="O54" i="18" s="1"/>
  <c r="M55" i="18"/>
  <c r="N59" i="17"/>
  <c r="O59" i="17" s="1"/>
  <c r="M60" i="17"/>
  <c r="M55" i="19"/>
  <c r="N54" i="19"/>
  <c r="O54" i="19" s="1"/>
  <c r="M55" i="20"/>
  <c r="N54" i="20"/>
  <c r="O54" i="20" s="1"/>
  <c r="K32" i="6"/>
  <c r="P32" i="13" s="1"/>
  <c r="K31" i="13"/>
  <c r="O30" i="4"/>
  <c r="O30" i="11" s="1"/>
  <c r="N30" i="11"/>
  <c r="M32" i="5"/>
  <c r="M31" i="12"/>
  <c r="N31" i="5"/>
  <c r="K32" i="4"/>
  <c r="K31" i="11"/>
  <c r="K33" i="3"/>
  <c r="K32" i="10"/>
  <c r="O31" i="3"/>
  <c r="O31" i="10" s="1"/>
  <c r="N31" i="10"/>
  <c r="K32" i="5"/>
  <c r="P32" i="12" s="1"/>
  <c r="K31" i="12"/>
  <c r="O31" i="6"/>
  <c r="O31" i="13" s="1"/>
  <c r="N31" i="13"/>
  <c r="O30" i="5"/>
  <c r="O30" i="12" s="1"/>
  <c r="N30" i="12"/>
  <c r="M32" i="4"/>
  <c r="M32" i="11" s="1"/>
  <c r="N31" i="4"/>
  <c r="M33" i="3"/>
  <c r="M33" i="10" s="1"/>
  <c r="N32" i="3"/>
  <c r="M33" i="6"/>
  <c r="M33" i="13" s="1"/>
  <c r="N32" i="6"/>
  <c r="N60" i="17" l="1"/>
  <c r="O60" i="17" s="1"/>
  <c r="M61" i="17"/>
  <c r="N55" i="18"/>
  <c r="O55" i="18" s="1"/>
  <c r="M56" i="18"/>
  <c r="N55" i="19"/>
  <c r="O55" i="19" s="1"/>
  <c r="M56" i="19"/>
  <c r="M56" i="20"/>
  <c r="N55" i="20"/>
  <c r="O55" i="20" s="1"/>
  <c r="K33" i="4"/>
  <c r="K32" i="11"/>
  <c r="O31" i="5"/>
  <c r="O31" i="12" s="1"/>
  <c r="N31" i="12"/>
  <c r="K33" i="5"/>
  <c r="P33" i="12" s="1"/>
  <c r="K32" i="12"/>
  <c r="O31" i="4"/>
  <c r="O31" i="11" s="1"/>
  <c r="N31" i="11"/>
  <c r="K34" i="3"/>
  <c r="K33" i="10"/>
  <c r="M33" i="5"/>
  <c r="M32" i="12"/>
  <c r="N32" i="5"/>
  <c r="O32" i="6"/>
  <c r="O32" i="13" s="1"/>
  <c r="N32" i="13"/>
  <c r="O32" i="3"/>
  <c r="O32" i="10" s="1"/>
  <c r="N32" i="10"/>
  <c r="K33" i="6"/>
  <c r="P33" i="13" s="1"/>
  <c r="K32" i="13"/>
  <c r="M34" i="3"/>
  <c r="M34" i="10" s="1"/>
  <c r="N33" i="3"/>
  <c r="M34" i="6"/>
  <c r="M34" i="13" s="1"/>
  <c r="N33" i="6"/>
  <c r="M33" i="4"/>
  <c r="M33" i="11" s="1"/>
  <c r="N32" i="4"/>
  <c r="N56" i="18" l="1"/>
  <c r="O56" i="18" s="1"/>
  <c r="M57" i="18"/>
  <c r="N61" i="17"/>
  <c r="O61" i="17" s="1"/>
  <c r="M62" i="17"/>
  <c r="K34" i="4"/>
  <c r="M57" i="20"/>
  <c r="N56" i="20"/>
  <c r="O56" i="20" s="1"/>
  <c r="M57" i="19"/>
  <c r="N56" i="19"/>
  <c r="O56" i="19" s="1"/>
  <c r="M34" i="5"/>
  <c r="M33" i="12"/>
  <c r="N33" i="5"/>
  <c r="K35" i="3"/>
  <c r="K34" i="10"/>
  <c r="O33" i="3"/>
  <c r="O33" i="10" s="1"/>
  <c r="N33" i="10"/>
  <c r="O32" i="5"/>
  <c r="O32" i="12" s="1"/>
  <c r="N32" i="12"/>
  <c r="K34" i="5"/>
  <c r="P34" i="12" s="1"/>
  <c r="K33" i="12"/>
  <c r="O32" i="4"/>
  <c r="O32" i="11" s="1"/>
  <c r="N32" i="11"/>
  <c r="O33" i="6"/>
  <c r="O33" i="13" s="1"/>
  <c r="N33" i="13"/>
  <c r="K34" i="6"/>
  <c r="P34" i="13" s="1"/>
  <c r="K33" i="13"/>
  <c r="K33" i="11"/>
  <c r="M34" i="4"/>
  <c r="M34" i="11" s="1"/>
  <c r="N33" i="4"/>
  <c r="M35" i="6"/>
  <c r="M35" i="13" s="1"/>
  <c r="N34" i="6"/>
  <c r="M35" i="3"/>
  <c r="N34" i="3"/>
  <c r="M35" i="10" l="1"/>
  <c r="M36" i="3"/>
  <c r="M37" i="3" s="1"/>
  <c r="N62" i="17"/>
  <c r="O62" i="17" s="1"/>
  <c r="M63" i="17"/>
  <c r="M58" i="18"/>
  <c r="N57" i="18"/>
  <c r="O57" i="18" s="1"/>
  <c r="K35" i="4"/>
  <c r="M58" i="20"/>
  <c r="N57" i="20"/>
  <c r="O57" i="20" s="1"/>
  <c r="N57" i="19"/>
  <c r="O57" i="19" s="1"/>
  <c r="M58" i="19"/>
  <c r="O33" i="4"/>
  <c r="O33" i="11" s="1"/>
  <c r="N33" i="11"/>
  <c r="K36" i="3"/>
  <c r="K35" i="10"/>
  <c r="K35" i="6"/>
  <c r="P35" i="13" s="1"/>
  <c r="K34" i="13"/>
  <c r="O34" i="3"/>
  <c r="O34" i="10" s="1"/>
  <c r="N34" i="10"/>
  <c r="O33" i="5"/>
  <c r="O33" i="12" s="1"/>
  <c r="N33" i="12"/>
  <c r="K34" i="11"/>
  <c r="K35" i="5"/>
  <c r="P35" i="12" s="1"/>
  <c r="K34" i="12"/>
  <c r="O34" i="6"/>
  <c r="O34" i="13" s="1"/>
  <c r="N34" i="13"/>
  <c r="M35" i="5"/>
  <c r="M34" i="12"/>
  <c r="N34" i="5"/>
  <c r="M35" i="4"/>
  <c r="M35" i="11" s="1"/>
  <c r="N34" i="4"/>
  <c r="M36" i="10"/>
  <c r="N35" i="3"/>
  <c r="M36" i="6"/>
  <c r="M36" i="13" s="1"/>
  <c r="N35" i="6"/>
  <c r="N58" i="18" l="1"/>
  <c r="O58" i="18" s="1"/>
  <c r="M59" i="18"/>
  <c r="N63" i="17"/>
  <c r="O63" i="17" s="1"/>
  <c r="M64" i="17"/>
  <c r="K36" i="4"/>
  <c r="M59" i="20"/>
  <c r="N58" i="20"/>
  <c r="O58" i="20" s="1"/>
  <c r="M59" i="19"/>
  <c r="N58" i="19"/>
  <c r="O58" i="19" s="1"/>
  <c r="O35" i="3"/>
  <c r="O35" i="10" s="1"/>
  <c r="N35" i="10"/>
  <c r="K36" i="5"/>
  <c r="P36" i="12" s="1"/>
  <c r="K35" i="12"/>
  <c r="K36" i="6"/>
  <c r="P36" i="13" s="1"/>
  <c r="K35" i="13"/>
  <c r="O34" i="4"/>
  <c r="O34" i="11" s="1"/>
  <c r="N34" i="11"/>
  <c r="O35" i="6"/>
  <c r="O35" i="13" s="1"/>
  <c r="N35" i="13"/>
  <c r="O34" i="5"/>
  <c r="O34" i="12" s="1"/>
  <c r="N34" i="12"/>
  <c r="K35" i="11"/>
  <c r="K37" i="3"/>
  <c r="K36" i="10"/>
  <c r="M36" i="5"/>
  <c r="M35" i="12"/>
  <c r="N35" i="5"/>
  <c r="M37" i="10"/>
  <c r="N36" i="3"/>
  <c r="M37" i="6"/>
  <c r="M37" i="13" s="1"/>
  <c r="N36" i="6"/>
  <c r="M36" i="4"/>
  <c r="M36" i="11" s="1"/>
  <c r="N35" i="4"/>
  <c r="M65" i="17" l="1"/>
  <c r="N64" i="17"/>
  <c r="O64" i="17" s="1"/>
  <c r="M60" i="18"/>
  <c r="N59" i="18"/>
  <c r="O59" i="18" s="1"/>
  <c r="K38" i="3"/>
  <c r="K37" i="4"/>
  <c r="M60" i="20"/>
  <c r="N59" i="20"/>
  <c r="O59" i="20" s="1"/>
  <c r="N59" i="19"/>
  <c r="O59" i="19" s="1"/>
  <c r="M60" i="19"/>
  <c r="O36" i="3"/>
  <c r="O36" i="10" s="1"/>
  <c r="N36" i="10"/>
  <c r="K36" i="11"/>
  <c r="K37" i="6"/>
  <c r="P37" i="13" s="1"/>
  <c r="K36" i="13"/>
  <c r="K37" i="10"/>
  <c r="O35" i="4"/>
  <c r="O35" i="11" s="1"/>
  <c r="N35" i="11"/>
  <c r="O35" i="5"/>
  <c r="O35" i="12" s="1"/>
  <c r="N35" i="12"/>
  <c r="K37" i="5"/>
  <c r="P37" i="12" s="1"/>
  <c r="K36" i="12"/>
  <c r="O36" i="6"/>
  <c r="O36" i="13" s="1"/>
  <c r="N36" i="13"/>
  <c r="M37" i="5"/>
  <c r="M36" i="12"/>
  <c r="N36" i="5"/>
  <c r="N36" i="4"/>
  <c r="M38" i="6"/>
  <c r="M38" i="13" s="1"/>
  <c r="N37" i="6"/>
  <c r="N37" i="3"/>
  <c r="M61" i="18" l="1"/>
  <c r="N60" i="18"/>
  <c r="O60" i="18" s="1"/>
  <c r="M66" i="17"/>
  <c r="N65" i="17"/>
  <c r="O65" i="17" s="1"/>
  <c r="P37" i="11"/>
  <c r="K38" i="4"/>
  <c r="K37" i="11"/>
  <c r="K39" i="3"/>
  <c r="P38" i="10"/>
  <c r="K38" i="10"/>
  <c r="N60" i="20"/>
  <c r="O60" i="20" s="1"/>
  <c r="M61" i="20"/>
  <c r="M61" i="19"/>
  <c r="N60" i="19"/>
  <c r="O60" i="19" s="1"/>
  <c r="K39" i="10"/>
  <c r="O37" i="6"/>
  <c r="O37" i="13" s="1"/>
  <c r="N37" i="13"/>
  <c r="K38" i="5"/>
  <c r="P38" i="12" s="1"/>
  <c r="K37" i="12"/>
  <c r="K38" i="6"/>
  <c r="P38" i="13" s="1"/>
  <c r="K37" i="13"/>
  <c r="O36" i="4"/>
  <c r="O36" i="11" s="1"/>
  <c r="N36" i="11"/>
  <c r="O36" i="5"/>
  <c r="O36" i="12" s="1"/>
  <c r="N36" i="12"/>
  <c r="K38" i="11"/>
  <c r="O37" i="3"/>
  <c r="O37" i="10" s="1"/>
  <c r="N37" i="10"/>
  <c r="M38" i="5"/>
  <c r="M37" i="12"/>
  <c r="N37" i="5"/>
  <c r="M39" i="10"/>
  <c r="N38" i="3"/>
  <c r="M39" i="6"/>
  <c r="M39" i="13" s="1"/>
  <c r="N38" i="6"/>
  <c r="M38" i="4"/>
  <c r="M38" i="11" s="1"/>
  <c r="N37" i="4"/>
  <c r="N66" i="17" l="1"/>
  <c r="O66" i="17" s="1"/>
  <c r="M67" i="17"/>
  <c r="N61" i="18"/>
  <c r="O61" i="18" s="1"/>
  <c r="M62" i="18"/>
  <c r="K40" i="3"/>
  <c r="P39" i="10"/>
  <c r="P38" i="11"/>
  <c r="K39" i="4"/>
  <c r="K39" i="11" s="1"/>
  <c r="N61" i="20"/>
  <c r="O61" i="20" s="1"/>
  <c r="M62" i="20"/>
  <c r="N61" i="19"/>
  <c r="O61" i="19" s="1"/>
  <c r="M62" i="19"/>
  <c r="K39" i="6"/>
  <c r="P39" i="13" s="1"/>
  <c r="K38" i="13"/>
  <c r="K39" i="5"/>
  <c r="P39" i="12" s="1"/>
  <c r="K38" i="12"/>
  <c r="O38" i="6"/>
  <c r="O38" i="13" s="1"/>
  <c r="N38" i="13"/>
  <c r="O37" i="4"/>
  <c r="O37" i="11" s="1"/>
  <c r="N37" i="11"/>
  <c r="O37" i="5"/>
  <c r="O37" i="12" s="1"/>
  <c r="N37" i="12"/>
  <c r="M39" i="5"/>
  <c r="M38" i="12"/>
  <c r="N38" i="5"/>
  <c r="K40" i="10"/>
  <c r="O38" i="3"/>
  <c r="O38" i="10" s="1"/>
  <c r="N38" i="10"/>
  <c r="N39" i="3"/>
  <c r="M40" i="3"/>
  <c r="M40" i="10" s="1"/>
  <c r="M39" i="4"/>
  <c r="M39" i="11" s="1"/>
  <c r="N38" i="4"/>
  <c r="M40" i="6"/>
  <c r="M40" i="13" s="1"/>
  <c r="N39" i="6"/>
  <c r="M63" i="18" l="1"/>
  <c r="N62" i="18"/>
  <c r="O62" i="18" s="1"/>
  <c r="N67" i="17"/>
  <c r="O67" i="17" s="1"/>
  <c r="M68" i="17"/>
  <c r="P39" i="11"/>
  <c r="K40" i="4"/>
  <c r="K41" i="3"/>
  <c r="P40" i="10"/>
  <c r="N62" i="20"/>
  <c r="O62" i="20" s="1"/>
  <c r="M63" i="20"/>
  <c r="M63" i="19"/>
  <c r="N62" i="19"/>
  <c r="O62" i="19" s="1"/>
  <c r="O39" i="3"/>
  <c r="O39" i="10" s="1"/>
  <c r="N39" i="10"/>
  <c r="O38" i="5"/>
  <c r="O38" i="12" s="1"/>
  <c r="N38" i="12"/>
  <c r="K40" i="5"/>
  <c r="P40" i="12" s="1"/>
  <c r="K39" i="12"/>
  <c r="O39" i="6"/>
  <c r="O39" i="13" s="1"/>
  <c r="N39" i="13"/>
  <c r="M40" i="5"/>
  <c r="M39" i="12"/>
  <c r="N39" i="5"/>
  <c r="O38" i="4"/>
  <c r="O38" i="11" s="1"/>
  <c r="N38" i="11"/>
  <c r="K41" i="10"/>
  <c r="K40" i="11"/>
  <c r="K40" i="6"/>
  <c r="P40" i="13" s="1"/>
  <c r="K39" i="13"/>
  <c r="M40" i="4"/>
  <c r="M40" i="11" s="1"/>
  <c r="N39" i="4"/>
  <c r="M41" i="3"/>
  <c r="M41" i="10" s="1"/>
  <c r="N40" i="3"/>
  <c r="M41" i="6"/>
  <c r="M41" i="13" s="1"/>
  <c r="N40" i="6"/>
  <c r="M69" i="17" l="1"/>
  <c r="N68" i="17"/>
  <c r="O68" i="17" s="1"/>
  <c r="N63" i="18"/>
  <c r="O63" i="18" s="1"/>
  <c r="M64" i="18"/>
  <c r="P41" i="10"/>
  <c r="K42" i="3"/>
  <c r="P40" i="11"/>
  <c r="K41" i="4"/>
  <c r="N63" i="19"/>
  <c r="O63" i="19" s="1"/>
  <c r="M64" i="19"/>
  <c r="N63" i="20"/>
  <c r="O63" i="20" s="1"/>
  <c r="M64" i="20"/>
  <c r="K41" i="11"/>
  <c r="K42" i="10"/>
  <c r="O39" i="4"/>
  <c r="O39" i="11" s="1"/>
  <c r="N39" i="11"/>
  <c r="O40" i="6"/>
  <c r="O40" i="13" s="1"/>
  <c r="N40" i="13"/>
  <c r="K41" i="5"/>
  <c r="P41" i="12" s="1"/>
  <c r="K40" i="12"/>
  <c r="K41" i="6"/>
  <c r="P41" i="13" s="1"/>
  <c r="K40" i="13"/>
  <c r="O40" i="3"/>
  <c r="O40" i="10" s="1"/>
  <c r="N40" i="10"/>
  <c r="O39" i="5"/>
  <c r="O39" i="12" s="1"/>
  <c r="N39" i="12"/>
  <c r="M41" i="5"/>
  <c r="M40" i="12"/>
  <c r="N40" i="5"/>
  <c r="M42" i="6"/>
  <c r="M42" i="13" s="1"/>
  <c r="N41" i="6"/>
  <c r="M41" i="4"/>
  <c r="M41" i="11" s="1"/>
  <c r="N40" i="4"/>
  <c r="N41" i="3"/>
  <c r="M42" i="3"/>
  <c r="M42" i="10" s="1"/>
  <c r="N64" i="18" l="1"/>
  <c r="O64" i="18" s="1"/>
  <c r="M65" i="18"/>
  <c r="N69" i="17"/>
  <c r="O69" i="17" s="1"/>
  <c r="M70" i="17"/>
  <c r="K42" i="4"/>
  <c r="P41" i="11"/>
  <c r="K43" i="3"/>
  <c r="P42" i="10"/>
  <c r="M65" i="19"/>
  <c r="N64" i="19"/>
  <c r="O64" i="19" s="1"/>
  <c r="N64" i="20"/>
  <c r="O64" i="20" s="1"/>
  <c r="M65" i="20"/>
  <c r="O40" i="5"/>
  <c r="O40" i="12" s="1"/>
  <c r="N40" i="12"/>
  <c r="K42" i="6"/>
  <c r="P42" i="13" s="1"/>
  <c r="K41" i="13"/>
  <c r="K43" i="10"/>
  <c r="O41" i="6"/>
  <c r="O41" i="13" s="1"/>
  <c r="N41" i="13"/>
  <c r="K42" i="11"/>
  <c r="O41" i="3"/>
  <c r="O41" i="10" s="1"/>
  <c r="N41" i="10"/>
  <c r="O40" i="4"/>
  <c r="O40" i="11" s="1"/>
  <c r="N40" i="11"/>
  <c r="M42" i="5"/>
  <c r="M41" i="12"/>
  <c r="N41" i="5"/>
  <c r="K42" i="5"/>
  <c r="P42" i="12" s="1"/>
  <c r="K41" i="12"/>
  <c r="N41" i="4"/>
  <c r="M42" i="4"/>
  <c r="M42" i="11" s="1"/>
  <c r="N42" i="3"/>
  <c r="M43" i="3"/>
  <c r="M43" i="10" s="1"/>
  <c r="M43" i="6"/>
  <c r="M43" i="13" s="1"/>
  <c r="N42" i="6"/>
  <c r="N70" i="17" l="1"/>
  <c r="O70" i="17" s="1"/>
  <c r="M71" i="17"/>
  <c r="M66" i="18"/>
  <c r="N65" i="18"/>
  <c r="O65" i="18" s="1"/>
  <c r="P43" i="10"/>
  <c r="K44" i="3"/>
  <c r="P42" i="11"/>
  <c r="K43" i="4"/>
  <c r="N65" i="20"/>
  <c r="O65" i="20" s="1"/>
  <c r="M66" i="20"/>
  <c r="N65" i="19"/>
  <c r="O65" i="19" s="1"/>
  <c r="M66" i="19"/>
  <c r="K44" i="10"/>
  <c r="O42" i="6"/>
  <c r="O42" i="13" s="1"/>
  <c r="N42" i="13"/>
  <c r="K43" i="5"/>
  <c r="P43" i="12" s="1"/>
  <c r="K42" i="12"/>
  <c r="O41" i="4"/>
  <c r="O41" i="11" s="1"/>
  <c r="N41" i="11"/>
  <c r="O41" i="5"/>
  <c r="O41" i="12" s="1"/>
  <c r="N41" i="12"/>
  <c r="K43" i="6"/>
  <c r="P43" i="13" s="1"/>
  <c r="K42" i="13"/>
  <c r="O42" i="3"/>
  <c r="O42" i="10" s="1"/>
  <c r="N42" i="10"/>
  <c r="K43" i="11"/>
  <c r="M43" i="5"/>
  <c r="M42" i="12"/>
  <c r="N42" i="5"/>
  <c r="N43" i="3"/>
  <c r="M44" i="3"/>
  <c r="M44" i="10" s="1"/>
  <c r="M44" i="6"/>
  <c r="M44" i="13" s="1"/>
  <c r="N43" i="6"/>
  <c r="M43" i="4"/>
  <c r="M43" i="11" s="1"/>
  <c r="N42" i="4"/>
  <c r="M67" i="18" l="1"/>
  <c r="N66" i="18"/>
  <c r="O66" i="18" s="1"/>
  <c r="M72" i="17"/>
  <c r="N71" i="17"/>
  <c r="O71" i="17" s="1"/>
  <c r="P43" i="11"/>
  <c r="K44" i="4"/>
  <c r="P44" i="10"/>
  <c r="K45" i="3"/>
  <c r="K45" i="10" s="1"/>
  <c r="M67" i="19"/>
  <c r="N66" i="19"/>
  <c r="O66" i="19" s="1"/>
  <c r="N66" i="20"/>
  <c r="O66" i="20" s="1"/>
  <c r="M67" i="20"/>
  <c r="K44" i="5"/>
  <c r="P44" i="12" s="1"/>
  <c r="K43" i="12"/>
  <c r="K44" i="11"/>
  <c r="O42" i="5"/>
  <c r="O42" i="12" s="1"/>
  <c r="N42" i="12"/>
  <c r="K44" i="6"/>
  <c r="P44" i="13" s="1"/>
  <c r="K43" i="13"/>
  <c r="O43" i="3"/>
  <c r="O43" i="10" s="1"/>
  <c r="N43" i="10"/>
  <c r="M44" i="5"/>
  <c r="M43" i="12"/>
  <c r="N43" i="5"/>
  <c r="O42" i="4"/>
  <c r="O42" i="11" s="1"/>
  <c r="N42" i="11"/>
  <c r="O43" i="6"/>
  <c r="O43" i="13" s="1"/>
  <c r="N43" i="13"/>
  <c r="M45" i="6"/>
  <c r="M45" i="13" s="1"/>
  <c r="N44" i="6"/>
  <c r="N44" i="3"/>
  <c r="M45" i="3"/>
  <c r="M45" i="10" s="1"/>
  <c r="N43" i="4"/>
  <c r="M44" i="4"/>
  <c r="M44" i="11" s="1"/>
  <c r="N72" i="17" l="1"/>
  <c r="O72" i="17" s="1"/>
  <c r="M73" i="17"/>
  <c r="M68" i="18"/>
  <c r="N67" i="18"/>
  <c r="O67" i="18" s="1"/>
  <c r="K46" i="3"/>
  <c r="P45" i="10"/>
  <c r="P44" i="11"/>
  <c r="K45" i="4"/>
  <c r="N67" i="20"/>
  <c r="O67" i="20" s="1"/>
  <c r="M68" i="20"/>
  <c r="N67" i="19"/>
  <c r="O67" i="19" s="1"/>
  <c r="M68" i="19"/>
  <c r="K45" i="6"/>
  <c r="P45" i="13" s="1"/>
  <c r="K44" i="13"/>
  <c r="O43" i="5"/>
  <c r="O43" i="12" s="1"/>
  <c r="N43" i="12"/>
  <c r="O43" i="4"/>
  <c r="O43" i="11" s="1"/>
  <c r="N43" i="11"/>
  <c r="M45" i="5"/>
  <c r="M44" i="12"/>
  <c r="N44" i="5"/>
  <c r="O44" i="3"/>
  <c r="O44" i="10" s="1"/>
  <c r="N44" i="10"/>
  <c r="O44" i="6"/>
  <c r="O44" i="13" s="1"/>
  <c r="N44" i="13"/>
  <c r="K45" i="5"/>
  <c r="P45" i="12" s="1"/>
  <c r="K44" i="12"/>
  <c r="N45" i="3"/>
  <c r="M46" i="3"/>
  <c r="M46" i="10" s="1"/>
  <c r="N44" i="4"/>
  <c r="M45" i="4"/>
  <c r="M45" i="11" s="1"/>
  <c r="M46" i="6"/>
  <c r="M46" i="13" s="1"/>
  <c r="N45" i="6"/>
  <c r="M69" i="18" l="1"/>
  <c r="N68" i="18"/>
  <c r="O68" i="18" s="1"/>
  <c r="N73" i="17"/>
  <c r="O73" i="17" s="1"/>
  <c r="M74" i="17"/>
  <c r="P45" i="11"/>
  <c r="K46" i="4"/>
  <c r="K46" i="11" s="1"/>
  <c r="K45" i="11"/>
  <c r="K47" i="3"/>
  <c r="P46" i="10"/>
  <c r="K46" i="10"/>
  <c r="N68" i="20"/>
  <c r="O68" i="20" s="1"/>
  <c r="M69" i="20"/>
  <c r="M69" i="19"/>
  <c r="N68" i="19"/>
  <c r="O68" i="19" s="1"/>
  <c r="O44" i="5"/>
  <c r="O44" i="12" s="1"/>
  <c r="N44" i="12"/>
  <c r="O45" i="3"/>
  <c r="O45" i="10" s="1"/>
  <c r="N45" i="10"/>
  <c r="O45" i="6"/>
  <c r="O45" i="13" s="1"/>
  <c r="N45" i="13"/>
  <c r="M46" i="5"/>
  <c r="M45" i="12"/>
  <c r="N45" i="5"/>
  <c r="K46" i="5"/>
  <c r="P46" i="12" s="1"/>
  <c r="K45" i="12"/>
  <c r="K46" i="6"/>
  <c r="P46" i="13" s="1"/>
  <c r="K45" i="13"/>
  <c r="O44" i="4"/>
  <c r="O44" i="11" s="1"/>
  <c r="N44" i="11"/>
  <c r="K47" i="10"/>
  <c r="M47" i="6"/>
  <c r="M47" i="13" s="1"/>
  <c r="N46" i="6"/>
  <c r="M46" i="4"/>
  <c r="M46" i="11" s="1"/>
  <c r="N45" i="4"/>
  <c r="N46" i="3"/>
  <c r="M47" i="3"/>
  <c r="M47" i="10" s="1"/>
  <c r="N74" i="17" l="1"/>
  <c r="O74" i="17" s="1"/>
  <c r="M75" i="17"/>
  <c r="N69" i="18"/>
  <c r="O69" i="18" s="1"/>
  <c r="M70" i="18"/>
  <c r="K48" i="3"/>
  <c r="P47" i="10"/>
  <c r="K47" i="4"/>
  <c r="K47" i="11" s="1"/>
  <c r="P46" i="11"/>
  <c r="N69" i="20"/>
  <c r="O69" i="20" s="1"/>
  <c r="M70" i="20"/>
  <c r="N69" i="19"/>
  <c r="O69" i="19" s="1"/>
  <c r="M70" i="19"/>
  <c r="K47" i="6"/>
  <c r="P47" i="13" s="1"/>
  <c r="K46" i="13"/>
  <c r="O45" i="4"/>
  <c r="O45" i="11" s="1"/>
  <c r="N45" i="11"/>
  <c r="K48" i="10"/>
  <c r="K47" i="5"/>
  <c r="P47" i="12" s="1"/>
  <c r="K46" i="12"/>
  <c r="O46" i="6"/>
  <c r="O46" i="13" s="1"/>
  <c r="N46" i="13"/>
  <c r="O46" i="3"/>
  <c r="O46" i="10" s="1"/>
  <c r="N46" i="10"/>
  <c r="O45" i="5"/>
  <c r="O45" i="12" s="1"/>
  <c r="N45" i="12"/>
  <c r="M47" i="5"/>
  <c r="M46" i="12"/>
  <c r="N46" i="5"/>
  <c r="N47" i="3"/>
  <c r="M48" i="3"/>
  <c r="M47" i="4"/>
  <c r="M47" i="11" s="1"/>
  <c r="N46" i="4"/>
  <c r="M48" i="6"/>
  <c r="M48" i="13" s="1"/>
  <c r="N47" i="6"/>
  <c r="M71" i="18" l="1"/>
  <c r="N70" i="18"/>
  <c r="O70" i="18" s="1"/>
  <c r="N75" i="17"/>
  <c r="O75" i="17" s="1"/>
  <c r="M76" i="17"/>
  <c r="P47" i="11"/>
  <c r="K48" i="4"/>
  <c r="K48" i="11" s="1"/>
  <c r="K49" i="3"/>
  <c r="P48" i="10"/>
  <c r="M71" i="19"/>
  <c r="N70" i="19"/>
  <c r="O70" i="19" s="1"/>
  <c r="M71" i="20"/>
  <c r="N70" i="20"/>
  <c r="O70" i="20" s="1"/>
  <c r="K48" i="5"/>
  <c r="P48" i="12" s="1"/>
  <c r="K47" i="12"/>
  <c r="K49" i="10"/>
  <c r="O46" i="5"/>
  <c r="O46" i="12" s="1"/>
  <c r="N46" i="12"/>
  <c r="O47" i="3"/>
  <c r="O47" i="10" s="1"/>
  <c r="N47" i="10"/>
  <c r="O47" i="6"/>
  <c r="O47" i="13" s="1"/>
  <c r="N47" i="13"/>
  <c r="O46" i="4"/>
  <c r="O46" i="11" s="1"/>
  <c r="N46" i="11"/>
  <c r="M48" i="5"/>
  <c r="M47" i="12"/>
  <c r="N47" i="5"/>
  <c r="M49" i="3"/>
  <c r="M49" i="10" s="1"/>
  <c r="M48" i="10"/>
  <c r="K48" i="6"/>
  <c r="P48" i="13" s="1"/>
  <c r="K47" i="13"/>
  <c r="M49" i="6"/>
  <c r="M49" i="13" s="1"/>
  <c r="N48" i="6"/>
  <c r="N48" i="3"/>
  <c r="M48" i="4"/>
  <c r="M48" i="11" s="1"/>
  <c r="N47" i="4"/>
  <c r="N76" i="17" l="1"/>
  <c r="O76" i="17" s="1"/>
  <c r="M77" i="17"/>
  <c r="N77" i="17" s="1"/>
  <c r="O77" i="17" s="1"/>
  <c r="M72" i="18"/>
  <c r="N71" i="18"/>
  <c r="O71" i="18" s="1"/>
  <c r="P49" i="10"/>
  <c r="K50" i="3"/>
  <c r="K50" i="10" s="1"/>
  <c r="P48" i="11"/>
  <c r="K49" i="4"/>
  <c r="N71" i="20"/>
  <c r="O71" i="20" s="1"/>
  <c r="M72" i="20"/>
  <c r="N71" i="19"/>
  <c r="O71" i="19" s="1"/>
  <c r="M72" i="19"/>
  <c r="N49" i="3"/>
  <c r="O49" i="3" s="1"/>
  <c r="O49" i="10" s="1"/>
  <c r="O48" i="3"/>
  <c r="O48" i="10" s="1"/>
  <c r="N48" i="10"/>
  <c r="K49" i="6"/>
  <c r="P49" i="13" s="1"/>
  <c r="K48" i="13"/>
  <c r="O48" i="6"/>
  <c r="O48" i="13" s="1"/>
  <c r="N48" i="13"/>
  <c r="O47" i="4"/>
  <c r="O47" i="11" s="1"/>
  <c r="N47" i="11"/>
  <c r="O47" i="5"/>
  <c r="O47" i="12" s="1"/>
  <c r="N47" i="12"/>
  <c r="K49" i="11"/>
  <c r="M50" i="3"/>
  <c r="M50" i="10" s="1"/>
  <c r="M49" i="5"/>
  <c r="M48" i="12"/>
  <c r="N48" i="5"/>
  <c r="K49" i="5"/>
  <c r="P49" i="12" s="1"/>
  <c r="K48" i="12"/>
  <c r="M50" i="6"/>
  <c r="M50" i="13" s="1"/>
  <c r="N49" i="6"/>
  <c r="N48" i="4"/>
  <c r="M49" i="4"/>
  <c r="N72" i="18" l="1"/>
  <c r="O72" i="18" s="1"/>
  <c r="M73" i="18"/>
  <c r="K50" i="4"/>
  <c r="P49" i="11"/>
  <c r="P50" i="10"/>
  <c r="K51" i="3"/>
  <c r="N72" i="19"/>
  <c r="O72" i="19" s="1"/>
  <c r="N72" i="20"/>
  <c r="O72" i="20" s="1"/>
  <c r="N49" i="10"/>
  <c r="M51" i="3"/>
  <c r="M51" i="10" s="1"/>
  <c r="K50" i="11"/>
  <c r="O48" i="4"/>
  <c r="O48" i="11" s="1"/>
  <c r="N48" i="11"/>
  <c r="K50" i="5"/>
  <c r="P50" i="12" s="1"/>
  <c r="K49" i="12"/>
  <c r="K51" i="10"/>
  <c r="O49" i="6"/>
  <c r="O49" i="13" s="1"/>
  <c r="N49" i="13"/>
  <c r="O48" i="5"/>
  <c r="O48" i="12" s="1"/>
  <c r="N48" i="12"/>
  <c r="K50" i="6"/>
  <c r="P50" i="13" s="1"/>
  <c r="K49" i="13"/>
  <c r="M50" i="5"/>
  <c r="M49" i="12"/>
  <c r="N49" i="5"/>
  <c r="M50" i="4"/>
  <c r="M50" i="11" s="1"/>
  <c r="M49" i="11"/>
  <c r="N50" i="3"/>
  <c r="N49" i="4"/>
  <c r="M51" i="6"/>
  <c r="M51" i="13" s="1"/>
  <c r="N50" i="6"/>
  <c r="M74" i="18" l="1"/>
  <c r="N73" i="18"/>
  <c r="O73" i="18" s="1"/>
  <c r="P51" i="10"/>
  <c r="K52" i="3"/>
  <c r="P50" i="11"/>
  <c r="K51" i="4"/>
  <c r="P51" i="11" s="1"/>
  <c r="M52" i="3"/>
  <c r="M52" i="10" s="1"/>
  <c r="N51" i="3"/>
  <c r="N51" i="10" s="1"/>
  <c r="K51" i="6"/>
  <c r="P51" i="13" s="1"/>
  <c r="K50" i="13"/>
  <c r="O50" i="6"/>
  <c r="O50" i="13" s="1"/>
  <c r="N50" i="13"/>
  <c r="O50" i="3"/>
  <c r="O50" i="10" s="1"/>
  <c r="N50" i="10"/>
  <c r="O49" i="5"/>
  <c r="O49" i="12" s="1"/>
  <c r="N49" i="12"/>
  <c r="N50" i="4"/>
  <c r="K51" i="5"/>
  <c r="P51" i="12" s="1"/>
  <c r="K50" i="12"/>
  <c r="O49" i="4"/>
  <c r="O49" i="11" s="1"/>
  <c r="N49" i="11"/>
  <c r="M51" i="4"/>
  <c r="M51" i="5"/>
  <c r="M50" i="12"/>
  <c r="N50" i="5"/>
  <c r="M52" i="6"/>
  <c r="M52" i="13" s="1"/>
  <c r="N51" i="6"/>
  <c r="N74" i="18" l="1"/>
  <c r="O74" i="18" s="1"/>
  <c r="M75" i="18"/>
  <c r="K51" i="11"/>
  <c r="K53" i="3"/>
  <c r="P52" i="10"/>
  <c r="K52" i="10"/>
  <c r="N52" i="3"/>
  <c r="N52" i="10" s="1"/>
  <c r="O51" i="3"/>
  <c r="O51" i="10" s="1"/>
  <c r="M53" i="3"/>
  <c r="M53" i="10" s="1"/>
  <c r="N51" i="4"/>
  <c r="M51" i="11"/>
  <c r="K53" i="10"/>
  <c r="O51" i="6"/>
  <c r="O51" i="13" s="1"/>
  <c r="N51" i="13"/>
  <c r="K52" i="5"/>
  <c r="P52" i="12" s="1"/>
  <c r="K51" i="12"/>
  <c r="O50" i="5"/>
  <c r="O50" i="12" s="1"/>
  <c r="N50" i="12"/>
  <c r="M52" i="5"/>
  <c r="M51" i="12"/>
  <c r="N51" i="5"/>
  <c r="O50" i="4"/>
  <c r="O50" i="11" s="1"/>
  <c r="N50" i="11"/>
  <c r="K52" i="6"/>
  <c r="P52" i="13" s="1"/>
  <c r="K51" i="13"/>
  <c r="M53" i="6"/>
  <c r="M53" i="13" s="1"/>
  <c r="N52" i="6"/>
  <c r="M76" i="18" l="1"/>
  <c r="N75" i="18"/>
  <c r="O75" i="18" s="1"/>
  <c r="P53" i="10"/>
  <c r="K54" i="3"/>
  <c r="K54" i="10" s="1"/>
  <c r="O52" i="3"/>
  <c r="O52" i="10" s="1"/>
  <c r="M54" i="3"/>
  <c r="M54" i="10" s="1"/>
  <c r="N53" i="3"/>
  <c r="N53" i="10" s="1"/>
  <c r="M53" i="5"/>
  <c r="M52" i="12"/>
  <c r="N52" i="5"/>
  <c r="O51" i="5"/>
  <c r="O51" i="12" s="1"/>
  <c r="N51" i="12"/>
  <c r="K53" i="6"/>
  <c r="P53" i="13" s="1"/>
  <c r="K52" i="13"/>
  <c r="O52" i="6"/>
  <c r="O52" i="13" s="1"/>
  <c r="N52" i="13"/>
  <c r="K53" i="5"/>
  <c r="P53" i="12" s="1"/>
  <c r="K52" i="12"/>
  <c r="O51" i="4"/>
  <c r="O51" i="11" s="1"/>
  <c r="N51" i="11"/>
  <c r="M54" i="6"/>
  <c r="M54" i="13" s="1"/>
  <c r="N53" i="6"/>
  <c r="M77" i="18" l="1"/>
  <c r="N76" i="18"/>
  <c r="O76" i="18" s="1"/>
  <c r="P54" i="10"/>
  <c r="K55" i="3"/>
  <c r="O53" i="3"/>
  <c r="O53" i="10" s="1"/>
  <c r="M55" i="3"/>
  <c r="M55" i="10" s="1"/>
  <c r="N54" i="3"/>
  <c r="N54" i="10" s="1"/>
  <c r="O53" i="6"/>
  <c r="O53" i="13" s="1"/>
  <c r="N53" i="13"/>
  <c r="K54" i="5"/>
  <c r="P54" i="12" s="1"/>
  <c r="K53" i="12"/>
  <c r="K54" i="6"/>
  <c r="P54" i="13" s="1"/>
  <c r="K53" i="13"/>
  <c r="O52" i="5"/>
  <c r="O52" i="12" s="1"/>
  <c r="N52" i="12"/>
  <c r="K55" i="10"/>
  <c r="M54" i="5"/>
  <c r="M53" i="12"/>
  <c r="N53" i="5"/>
  <c r="M55" i="6"/>
  <c r="M55" i="13" s="1"/>
  <c r="N54" i="6"/>
  <c r="N77" i="18" l="1"/>
  <c r="O77" i="18" s="1"/>
  <c r="M78" i="18"/>
  <c r="K56" i="3"/>
  <c r="P55" i="10"/>
  <c r="O54" i="3"/>
  <c r="O54" i="10" s="1"/>
  <c r="M56" i="3"/>
  <c r="M56" i="10" s="1"/>
  <c r="N55" i="3"/>
  <c r="O55" i="3" s="1"/>
  <c r="O55" i="10" s="1"/>
  <c r="M55" i="5"/>
  <c r="M54" i="12"/>
  <c r="N54" i="5"/>
  <c r="K55" i="5"/>
  <c r="P55" i="12" s="1"/>
  <c r="K54" i="12"/>
  <c r="O53" i="5"/>
  <c r="O53" i="12" s="1"/>
  <c r="N53" i="12"/>
  <c r="K56" i="10"/>
  <c r="K55" i="6"/>
  <c r="P55" i="13" s="1"/>
  <c r="K54" i="13"/>
  <c r="O54" i="6"/>
  <c r="O54" i="13" s="1"/>
  <c r="N54" i="13"/>
  <c r="M56" i="6"/>
  <c r="M56" i="13" s="1"/>
  <c r="N55" i="6"/>
  <c r="M79" i="18" l="1"/>
  <c r="N78" i="18"/>
  <c r="O78" i="18" s="1"/>
  <c r="M57" i="3"/>
  <c r="M57" i="10" s="1"/>
  <c r="N55" i="10"/>
  <c r="N56" i="3"/>
  <c r="N56" i="10" s="1"/>
  <c r="P56" i="10"/>
  <c r="K57" i="3"/>
  <c r="K56" i="5"/>
  <c r="P56" i="12" s="1"/>
  <c r="K55" i="12"/>
  <c r="O55" i="6"/>
  <c r="O55" i="13" s="1"/>
  <c r="N55" i="13"/>
  <c r="K56" i="6"/>
  <c r="P56" i="13" s="1"/>
  <c r="K55" i="13"/>
  <c r="O54" i="5"/>
  <c r="O54" i="12" s="1"/>
  <c r="N54" i="12"/>
  <c r="K57" i="10"/>
  <c r="M56" i="5"/>
  <c r="M55" i="12"/>
  <c r="N55" i="5"/>
  <c r="M58" i="3"/>
  <c r="M58" i="10" s="1"/>
  <c r="M57" i="6"/>
  <c r="M57" i="13" s="1"/>
  <c r="N56" i="6"/>
  <c r="O56" i="3" l="1"/>
  <c r="O56" i="10" s="1"/>
  <c r="M80" i="18"/>
  <c r="N79" i="18"/>
  <c r="O79" i="18" s="1"/>
  <c r="N57" i="3"/>
  <c r="O57" i="3" s="1"/>
  <c r="O57" i="10" s="1"/>
  <c r="K58" i="3"/>
  <c r="P57" i="10"/>
  <c r="O55" i="5"/>
  <c r="O55" i="12" s="1"/>
  <c r="N55" i="12"/>
  <c r="M57" i="5"/>
  <c r="M56" i="12"/>
  <c r="N56" i="5"/>
  <c r="K57" i="6"/>
  <c r="P57" i="13" s="1"/>
  <c r="K56" i="13"/>
  <c r="K58" i="10"/>
  <c r="O56" i="6"/>
  <c r="O56" i="13" s="1"/>
  <c r="N56" i="13"/>
  <c r="K57" i="5"/>
  <c r="P57" i="12" s="1"/>
  <c r="K56" i="12"/>
  <c r="M59" i="3"/>
  <c r="M59" i="10" s="1"/>
  <c r="N58" i="3"/>
  <c r="M58" i="6"/>
  <c r="M58" i="13" s="1"/>
  <c r="N57" i="6"/>
  <c r="N57" i="10" l="1"/>
  <c r="N80" i="18"/>
  <c r="O80" i="18" s="1"/>
  <c r="M81" i="18"/>
  <c r="P58" i="10"/>
  <c r="K59" i="3"/>
  <c r="K58" i="6"/>
  <c r="P58" i="13" s="1"/>
  <c r="K57" i="13"/>
  <c r="O57" i="6"/>
  <c r="O57" i="13" s="1"/>
  <c r="N57" i="13"/>
  <c r="O56" i="5"/>
  <c r="O56" i="12" s="1"/>
  <c r="N56" i="12"/>
  <c r="M58" i="5"/>
  <c r="M57" i="12"/>
  <c r="N57" i="5"/>
  <c r="K58" i="5"/>
  <c r="P58" i="12" s="1"/>
  <c r="K57" i="12"/>
  <c r="O58" i="3"/>
  <c r="O58" i="10" s="1"/>
  <c r="N58" i="10"/>
  <c r="K59" i="10"/>
  <c r="M60" i="3"/>
  <c r="M60" i="10" s="1"/>
  <c r="N59" i="3"/>
  <c r="M59" i="6"/>
  <c r="M59" i="13" s="1"/>
  <c r="N58" i="6"/>
  <c r="M82" i="18" l="1"/>
  <c r="N81" i="18"/>
  <c r="O81" i="18" s="1"/>
  <c r="P59" i="10"/>
  <c r="K60" i="3"/>
  <c r="M59" i="5"/>
  <c r="M58" i="12"/>
  <c r="N58" i="5"/>
  <c r="O59" i="3"/>
  <c r="O59" i="10" s="1"/>
  <c r="N59" i="10"/>
  <c r="K59" i="5"/>
  <c r="P59" i="12" s="1"/>
  <c r="K58" i="12"/>
  <c r="K60" i="10"/>
  <c r="O58" i="6"/>
  <c r="O58" i="13" s="1"/>
  <c r="N58" i="13"/>
  <c r="O57" i="5"/>
  <c r="O57" i="12" s="1"/>
  <c r="N57" i="12"/>
  <c r="K59" i="6"/>
  <c r="P59" i="13" s="1"/>
  <c r="K58" i="13"/>
  <c r="M61" i="3"/>
  <c r="M61" i="10" s="1"/>
  <c r="N60" i="3"/>
  <c r="M60" i="6"/>
  <c r="M60" i="13" s="1"/>
  <c r="N59" i="6"/>
  <c r="M83" i="18" l="1"/>
  <c r="N82" i="18"/>
  <c r="O82" i="18" s="1"/>
  <c r="K61" i="3"/>
  <c r="P60" i="10"/>
  <c r="K60" i="6"/>
  <c r="P60" i="13" s="1"/>
  <c r="K59" i="13"/>
  <c r="K61" i="10"/>
  <c r="O59" i="6"/>
  <c r="O59" i="13" s="1"/>
  <c r="N59" i="13"/>
  <c r="K60" i="5"/>
  <c r="P60" i="12" s="1"/>
  <c r="K59" i="12"/>
  <c r="O58" i="5"/>
  <c r="O58" i="12" s="1"/>
  <c r="N58" i="12"/>
  <c r="O60" i="3"/>
  <c r="O60" i="10" s="1"/>
  <c r="N60" i="10"/>
  <c r="M60" i="5"/>
  <c r="M59" i="12"/>
  <c r="N59" i="5"/>
  <c r="M62" i="3"/>
  <c r="M62" i="10" s="1"/>
  <c r="N61" i="3"/>
  <c r="M61" i="6"/>
  <c r="M61" i="13" s="1"/>
  <c r="N60" i="6"/>
  <c r="M84" i="18" l="1"/>
  <c r="N83" i="18"/>
  <c r="O83" i="18" s="1"/>
  <c r="K62" i="3"/>
  <c r="K62" i="10" s="1"/>
  <c r="P61" i="10"/>
  <c r="K61" i="5"/>
  <c r="P61" i="12" s="1"/>
  <c r="K60" i="12"/>
  <c r="O59" i="5"/>
  <c r="O59" i="12" s="1"/>
  <c r="N59" i="12"/>
  <c r="O60" i="6"/>
  <c r="O60" i="13" s="1"/>
  <c r="N60" i="13"/>
  <c r="O61" i="3"/>
  <c r="O61" i="10" s="1"/>
  <c r="N61" i="10"/>
  <c r="M61" i="5"/>
  <c r="M60" i="12"/>
  <c r="N60" i="5"/>
  <c r="K61" i="6"/>
  <c r="P61" i="13" s="1"/>
  <c r="K60" i="13"/>
  <c r="M63" i="3"/>
  <c r="N62" i="3"/>
  <c r="M62" i="6"/>
  <c r="M62" i="13" s="1"/>
  <c r="N61" i="6"/>
  <c r="M85" i="18" l="1"/>
  <c r="N84" i="18"/>
  <c r="O84" i="18" s="1"/>
  <c r="P62" i="10"/>
  <c r="K63" i="3"/>
  <c r="P63" i="10" s="1"/>
  <c r="M62" i="5"/>
  <c r="M61" i="12"/>
  <c r="N61" i="5"/>
  <c r="O60" i="5"/>
  <c r="O60" i="12" s="1"/>
  <c r="N60" i="12"/>
  <c r="K62" i="6"/>
  <c r="K61" i="13"/>
  <c r="O61" i="6"/>
  <c r="O61" i="13" s="1"/>
  <c r="N61" i="13"/>
  <c r="O62" i="3"/>
  <c r="O62" i="10" s="1"/>
  <c r="N62" i="10"/>
  <c r="N63" i="3"/>
  <c r="M63" i="10"/>
  <c r="K62" i="5"/>
  <c r="K61" i="12"/>
  <c r="M63" i="6"/>
  <c r="M63" i="13" s="1"/>
  <c r="N62" i="6"/>
  <c r="N85" i="18" l="1"/>
  <c r="O85" i="18" s="1"/>
  <c r="M86" i="18"/>
  <c r="K63" i="10"/>
  <c r="K63" i="5"/>
  <c r="K62" i="12"/>
  <c r="O63" i="3"/>
  <c r="O63" i="10" s="1"/>
  <c r="N63" i="10"/>
  <c r="K63" i="6"/>
  <c r="K62" i="13"/>
  <c r="O61" i="5"/>
  <c r="O61" i="12" s="1"/>
  <c r="N61" i="12"/>
  <c r="O62" i="6"/>
  <c r="O62" i="13" s="1"/>
  <c r="N62" i="13"/>
  <c r="M63" i="5"/>
  <c r="M62" i="12"/>
  <c r="N62" i="5"/>
  <c r="M64" i="6"/>
  <c r="M64" i="13" s="1"/>
  <c r="N63" i="6"/>
  <c r="M87" i="18" l="1"/>
  <c r="N86" i="18"/>
  <c r="O86" i="18" s="1"/>
  <c r="K64" i="6"/>
  <c r="K63" i="13"/>
  <c r="O63" i="6"/>
  <c r="O63" i="13" s="1"/>
  <c r="N63" i="13"/>
  <c r="O62" i="5"/>
  <c r="O62" i="12" s="1"/>
  <c r="N62" i="12"/>
  <c r="M64" i="5"/>
  <c r="M63" i="12"/>
  <c r="N63" i="5"/>
  <c r="K64" i="5"/>
  <c r="K63" i="12"/>
  <c r="M65" i="6"/>
  <c r="M65" i="13" s="1"/>
  <c r="N64" i="6"/>
  <c r="N87" i="18" l="1"/>
  <c r="O87" i="18" s="1"/>
  <c r="M88" i="18"/>
  <c r="O64" i="6"/>
  <c r="O64" i="13" s="1"/>
  <c r="N64" i="13"/>
  <c r="K65" i="5"/>
  <c r="K64" i="12"/>
  <c r="M65" i="5"/>
  <c r="M64" i="12"/>
  <c r="N64" i="5"/>
  <c r="O63" i="5"/>
  <c r="O63" i="12" s="1"/>
  <c r="N63" i="12"/>
  <c r="K65" i="6"/>
  <c r="K64" i="13"/>
  <c r="M66" i="6"/>
  <c r="M66" i="13" s="1"/>
  <c r="N65" i="6"/>
  <c r="N88" i="18" l="1"/>
  <c r="O88" i="18" s="1"/>
  <c r="M89" i="18"/>
  <c r="M66" i="5"/>
  <c r="M65" i="12"/>
  <c r="N65" i="5"/>
  <c r="K66" i="5"/>
  <c r="K65" i="12"/>
  <c r="O65" i="6"/>
  <c r="O65" i="13" s="1"/>
  <c r="N65" i="13"/>
  <c r="O64" i="5"/>
  <c r="O64" i="12" s="1"/>
  <c r="N64" i="12"/>
  <c r="K66" i="6"/>
  <c r="K65" i="13"/>
  <c r="M67" i="6"/>
  <c r="M67" i="13" s="1"/>
  <c r="N66" i="6"/>
  <c r="M90" i="18" l="1"/>
  <c r="N89" i="18"/>
  <c r="O89" i="18" s="1"/>
  <c r="K67" i="5"/>
  <c r="K66" i="12"/>
  <c r="O66" i="6"/>
  <c r="O66" i="13" s="1"/>
  <c r="N66" i="13"/>
  <c r="O65" i="5"/>
  <c r="O65" i="12" s="1"/>
  <c r="N65" i="12"/>
  <c r="K67" i="6"/>
  <c r="K66" i="13"/>
  <c r="M67" i="5"/>
  <c r="M66" i="12"/>
  <c r="N66" i="5"/>
  <c r="M68" i="6"/>
  <c r="M68" i="13" s="1"/>
  <c r="N67" i="6"/>
  <c r="N90" i="18" l="1"/>
  <c r="O90" i="18" s="1"/>
  <c r="M91" i="18"/>
  <c r="O67" i="6"/>
  <c r="O67" i="13" s="1"/>
  <c r="N67" i="13"/>
  <c r="O66" i="5"/>
  <c r="O66" i="12" s="1"/>
  <c r="N66" i="12"/>
  <c r="K68" i="6"/>
  <c r="K67" i="13"/>
  <c r="M68" i="5"/>
  <c r="M67" i="12"/>
  <c r="N67" i="5"/>
  <c r="K68" i="5"/>
  <c r="K67" i="12"/>
  <c r="M69" i="6"/>
  <c r="M69" i="13" s="1"/>
  <c r="N68" i="6"/>
  <c r="M92" i="18" l="1"/>
  <c r="N91" i="18"/>
  <c r="O91" i="18" s="1"/>
  <c r="O68" i="6"/>
  <c r="O68" i="13" s="1"/>
  <c r="N68" i="13"/>
  <c r="K69" i="5"/>
  <c r="K68" i="12"/>
  <c r="M69" i="5"/>
  <c r="M68" i="12"/>
  <c r="N68" i="5"/>
  <c r="K69" i="6"/>
  <c r="K68" i="13"/>
  <c r="O67" i="5"/>
  <c r="O67" i="12" s="1"/>
  <c r="N67" i="12"/>
  <c r="M70" i="6"/>
  <c r="M70" i="13" s="1"/>
  <c r="N69" i="6"/>
  <c r="M93" i="18" l="1"/>
  <c r="N92" i="18"/>
  <c r="O92" i="18" s="1"/>
  <c r="M70" i="5"/>
  <c r="M69" i="12"/>
  <c r="N69" i="5"/>
  <c r="O69" i="6"/>
  <c r="O69" i="13" s="1"/>
  <c r="N69" i="13"/>
  <c r="K70" i="5"/>
  <c r="K69" i="12"/>
  <c r="K70" i="6"/>
  <c r="K69" i="13"/>
  <c r="O68" i="5"/>
  <c r="O68" i="12" s="1"/>
  <c r="N68" i="12"/>
  <c r="M71" i="6"/>
  <c r="M71" i="13" s="1"/>
  <c r="N70" i="6"/>
  <c r="N93" i="18" l="1"/>
  <c r="O93" i="18" s="1"/>
  <c r="M94" i="18"/>
  <c r="O70" i="6"/>
  <c r="O70" i="13" s="1"/>
  <c r="N70" i="13"/>
  <c r="K71" i="6"/>
  <c r="K70" i="13"/>
  <c r="K71" i="5"/>
  <c r="K70" i="12"/>
  <c r="O69" i="5"/>
  <c r="O69" i="12" s="1"/>
  <c r="N69" i="12"/>
  <c r="M71" i="5"/>
  <c r="M70" i="12"/>
  <c r="N70" i="5"/>
  <c r="M72" i="6"/>
  <c r="M72" i="13" s="1"/>
  <c r="N71" i="6"/>
  <c r="N94" i="18" l="1"/>
  <c r="O94" i="18" s="1"/>
  <c r="M95" i="18"/>
  <c r="O71" i="6"/>
  <c r="O71" i="13" s="1"/>
  <c r="N71" i="13"/>
  <c r="K72" i="5"/>
  <c r="K71" i="12"/>
  <c r="O70" i="5"/>
  <c r="O70" i="12" s="1"/>
  <c r="N70" i="12"/>
  <c r="K72" i="6"/>
  <c r="K71" i="13"/>
  <c r="M72" i="5"/>
  <c r="M71" i="12"/>
  <c r="N71" i="5"/>
  <c r="M73" i="6"/>
  <c r="M73" i="13" s="1"/>
  <c r="N72" i="6"/>
  <c r="M96" i="18" l="1"/>
  <c r="N95" i="18"/>
  <c r="O95" i="18" s="1"/>
  <c r="O72" i="6"/>
  <c r="O72" i="13" s="1"/>
  <c r="N72" i="13"/>
  <c r="O71" i="5"/>
  <c r="O71" i="12" s="1"/>
  <c r="N71" i="12"/>
  <c r="K73" i="6"/>
  <c r="K72" i="13"/>
  <c r="K73" i="5"/>
  <c r="K72" i="12"/>
  <c r="M73" i="5"/>
  <c r="M72" i="12"/>
  <c r="N72" i="5"/>
  <c r="M74" i="6"/>
  <c r="M74" i="13" s="1"/>
  <c r="N73" i="6"/>
  <c r="N96" i="18" l="1"/>
  <c r="O96" i="18" s="1"/>
  <c r="M97" i="18"/>
  <c r="K74" i="6"/>
  <c r="K73" i="13"/>
  <c r="K74" i="5"/>
  <c r="K73" i="12"/>
  <c r="O73" i="6"/>
  <c r="O73" i="13" s="1"/>
  <c r="N73" i="13"/>
  <c r="O72" i="5"/>
  <c r="O72" i="12" s="1"/>
  <c r="N72" i="12"/>
  <c r="M74" i="5"/>
  <c r="M73" i="12"/>
  <c r="N73" i="5"/>
  <c r="M75" i="6"/>
  <c r="M75" i="13" s="1"/>
  <c r="N74" i="6"/>
  <c r="M98" i="18" l="1"/>
  <c r="N97" i="18"/>
  <c r="O97" i="18" s="1"/>
  <c r="O74" i="6"/>
  <c r="O74" i="13" s="1"/>
  <c r="N74" i="13"/>
  <c r="K75" i="5"/>
  <c r="K74" i="12"/>
  <c r="O73" i="5"/>
  <c r="O73" i="12" s="1"/>
  <c r="N73" i="12"/>
  <c r="M75" i="5"/>
  <c r="M74" i="12"/>
  <c r="N74" i="5"/>
  <c r="K75" i="6"/>
  <c r="K74" i="13"/>
  <c r="M76" i="6"/>
  <c r="M76" i="13" s="1"/>
  <c r="N75" i="6"/>
  <c r="N98" i="18" l="1"/>
  <c r="O98" i="18" s="1"/>
  <c r="M99" i="18"/>
  <c r="O75" i="6"/>
  <c r="O75" i="13" s="1"/>
  <c r="N75" i="13"/>
  <c r="K76" i="5"/>
  <c r="K75" i="12"/>
  <c r="M76" i="5"/>
  <c r="M75" i="12"/>
  <c r="N75" i="5"/>
  <c r="K76" i="6"/>
  <c r="K75" i="13"/>
  <c r="O74" i="5"/>
  <c r="O74" i="12" s="1"/>
  <c r="N74" i="12"/>
  <c r="M77" i="6"/>
  <c r="M77" i="13" s="1"/>
  <c r="N76" i="6"/>
  <c r="M100" i="18" l="1"/>
  <c r="N99" i="18"/>
  <c r="O99" i="18" s="1"/>
  <c r="K77" i="6"/>
  <c r="K76" i="13"/>
  <c r="K77" i="5"/>
  <c r="K76" i="12"/>
  <c r="O76" i="6"/>
  <c r="O76" i="13" s="1"/>
  <c r="N76" i="13"/>
  <c r="O75" i="5"/>
  <c r="O75" i="12" s="1"/>
  <c r="N75" i="12"/>
  <c r="M77" i="5"/>
  <c r="M76" i="12"/>
  <c r="N76" i="5"/>
  <c r="M78" i="6"/>
  <c r="M78" i="13" s="1"/>
  <c r="N77" i="6"/>
  <c r="M101" i="18" l="1"/>
  <c r="N100" i="18"/>
  <c r="O100" i="18" s="1"/>
  <c r="O77" i="6"/>
  <c r="O77" i="13" s="1"/>
  <c r="N77" i="13"/>
  <c r="O76" i="5"/>
  <c r="O76" i="12" s="1"/>
  <c r="N76" i="12"/>
  <c r="K78" i="5"/>
  <c r="K77" i="12"/>
  <c r="M78" i="5"/>
  <c r="M77" i="12"/>
  <c r="N77" i="5"/>
  <c r="K78" i="6"/>
  <c r="K77" i="13"/>
  <c r="M79" i="6"/>
  <c r="M79" i="13" s="1"/>
  <c r="N78" i="6"/>
  <c r="N101" i="18" l="1"/>
  <c r="O101" i="18" s="1"/>
  <c r="M102" i="18"/>
  <c r="K79" i="5"/>
  <c r="K78" i="12"/>
  <c r="O78" i="6"/>
  <c r="O78" i="13" s="1"/>
  <c r="N78" i="13"/>
  <c r="M79" i="5"/>
  <c r="M78" i="12"/>
  <c r="N78" i="5"/>
  <c r="K79" i="6"/>
  <c r="K78" i="13"/>
  <c r="O77" i="5"/>
  <c r="O77" i="12" s="1"/>
  <c r="N77" i="12"/>
  <c r="M80" i="6"/>
  <c r="M80" i="13" s="1"/>
  <c r="N79" i="6"/>
  <c r="M103" i="18" l="1"/>
  <c r="N102" i="18"/>
  <c r="O102" i="18" s="1"/>
  <c r="M80" i="5"/>
  <c r="M79" i="12"/>
  <c r="N79" i="5"/>
  <c r="K80" i="6"/>
  <c r="K79" i="13"/>
  <c r="O78" i="5"/>
  <c r="O78" i="12" s="1"/>
  <c r="N78" i="12"/>
  <c r="O79" i="6"/>
  <c r="O79" i="13" s="1"/>
  <c r="N79" i="13"/>
  <c r="K80" i="5"/>
  <c r="K79" i="12"/>
  <c r="M81" i="6"/>
  <c r="M81" i="13" s="1"/>
  <c r="N80" i="6"/>
  <c r="N103" i="18" l="1"/>
  <c r="O103" i="18" s="1"/>
  <c r="M104" i="18"/>
  <c r="K81" i="6"/>
  <c r="K80" i="13"/>
  <c r="O79" i="5"/>
  <c r="O79" i="12" s="1"/>
  <c r="N79" i="12"/>
  <c r="O80" i="6"/>
  <c r="O80" i="13" s="1"/>
  <c r="N80" i="13"/>
  <c r="K81" i="5"/>
  <c r="K80" i="12"/>
  <c r="M81" i="5"/>
  <c r="M80" i="12"/>
  <c r="N80" i="5"/>
  <c r="M82" i="6"/>
  <c r="M82" i="13" s="1"/>
  <c r="N81" i="6"/>
  <c r="N104" i="18" l="1"/>
  <c r="O104" i="18" s="1"/>
  <c r="M105" i="18"/>
  <c r="K82" i="5"/>
  <c r="K81" i="12"/>
  <c r="O80" i="5"/>
  <c r="O80" i="12" s="1"/>
  <c r="N80" i="12"/>
  <c r="O81" i="6"/>
  <c r="O81" i="13" s="1"/>
  <c r="N81" i="13"/>
  <c r="M82" i="5"/>
  <c r="M81" i="12"/>
  <c r="N81" i="5"/>
  <c r="K82" i="6"/>
  <c r="K81" i="13"/>
  <c r="M83" i="6"/>
  <c r="M83" i="13" s="1"/>
  <c r="N82" i="6"/>
  <c r="M106" i="18" l="1"/>
  <c r="N105" i="18"/>
  <c r="O105" i="18" s="1"/>
  <c r="O82" i="6"/>
  <c r="O82" i="13" s="1"/>
  <c r="N82" i="13"/>
  <c r="M83" i="5"/>
  <c r="M82" i="12"/>
  <c r="N82" i="5"/>
  <c r="K83" i="6"/>
  <c r="K82" i="13"/>
  <c r="O81" i="5"/>
  <c r="O81" i="12" s="1"/>
  <c r="N81" i="12"/>
  <c r="K83" i="5"/>
  <c r="K82" i="12"/>
  <c r="M84" i="6"/>
  <c r="M84" i="13" s="1"/>
  <c r="N83" i="6"/>
  <c r="M107" i="18" l="1"/>
  <c r="N106" i="18"/>
  <c r="O106" i="18" s="1"/>
  <c r="K84" i="6"/>
  <c r="K83" i="13"/>
  <c r="O82" i="5"/>
  <c r="O82" i="12" s="1"/>
  <c r="N82" i="12"/>
  <c r="M84" i="5"/>
  <c r="M83" i="12"/>
  <c r="N83" i="5"/>
  <c r="O83" i="6"/>
  <c r="O83" i="13" s="1"/>
  <c r="N83" i="13"/>
  <c r="K84" i="5"/>
  <c r="K83" i="12"/>
  <c r="M85" i="6"/>
  <c r="M85" i="13" s="1"/>
  <c r="N84" i="6"/>
  <c r="M108" i="18" l="1"/>
  <c r="N107" i="18"/>
  <c r="O107" i="18" s="1"/>
  <c r="O84" i="6"/>
  <c r="O84" i="13" s="1"/>
  <c r="N84" i="13"/>
  <c r="O83" i="5"/>
  <c r="O83" i="12" s="1"/>
  <c r="N83" i="12"/>
  <c r="M85" i="5"/>
  <c r="M84" i="12"/>
  <c r="N84" i="5"/>
  <c r="K85" i="5"/>
  <c r="K84" i="12"/>
  <c r="K85" i="6"/>
  <c r="K84" i="13"/>
  <c r="M86" i="6"/>
  <c r="M86" i="13" s="1"/>
  <c r="N85" i="6"/>
  <c r="M109" i="18" l="1"/>
  <c r="N108" i="18"/>
  <c r="O108" i="18" s="1"/>
  <c r="M86" i="5"/>
  <c r="M85" i="12"/>
  <c r="N85" i="5"/>
  <c r="O85" i="6"/>
  <c r="O85" i="13" s="1"/>
  <c r="N85" i="13"/>
  <c r="O84" i="5"/>
  <c r="O84" i="12" s="1"/>
  <c r="N84" i="12"/>
  <c r="K86" i="5"/>
  <c r="K85" i="12"/>
  <c r="K86" i="6"/>
  <c r="K85" i="13"/>
  <c r="M87" i="6"/>
  <c r="M87" i="13" s="1"/>
  <c r="N86" i="6"/>
  <c r="N109" i="18" l="1"/>
  <c r="O109" i="18" s="1"/>
  <c r="M110" i="18"/>
  <c r="N110" i="18" s="1"/>
  <c r="O110" i="18" s="1"/>
  <c r="K87" i="5"/>
  <c r="K86" i="12"/>
  <c r="O85" i="5"/>
  <c r="O85" i="12" s="1"/>
  <c r="N85" i="12"/>
  <c r="K87" i="6"/>
  <c r="K86" i="13"/>
  <c r="O86" i="6"/>
  <c r="O86" i="13" s="1"/>
  <c r="N86" i="13"/>
  <c r="M87" i="5"/>
  <c r="M86" i="12"/>
  <c r="N86" i="5"/>
  <c r="M88" i="6"/>
  <c r="M88" i="13" s="1"/>
  <c r="N87" i="6"/>
  <c r="O86" i="5" l="1"/>
  <c r="O86" i="12" s="1"/>
  <c r="N86" i="12"/>
  <c r="K88" i="6"/>
  <c r="K87" i="13"/>
  <c r="M88" i="5"/>
  <c r="M87" i="12"/>
  <c r="N87" i="5"/>
  <c r="O87" i="6"/>
  <c r="O87" i="13" s="1"/>
  <c r="N87" i="13"/>
  <c r="K88" i="5"/>
  <c r="K87" i="12"/>
  <c r="M89" i="6"/>
  <c r="M89" i="13" s="1"/>
  <c r="N88" i="6"/>
  <c r="M89" i="5" l="1"/>
  <c r="M88" i="12"/>
  <c r="N88" i="5"/>
  <c r="K89" i="6"/>
  <c r="K88" i="13"/>
  <c r="K89" i="5"/>
  <c r="K88" i="12"/>
  <c r="O88" i="6"/>
  <c r="O88" i="13" s="1"/>
  <c r="N88" i="13"/>
  <c r="O87" i="5"/>
  <c r="O87" i="12" s="1"/>
  <c r="N87" i="12"/>
  <c r="M90" i="6"/>
  <c r="M90" i="13" s="1"/>
  <c r="N89" i="6"/>
  <c r="K90" i="6" l="1"/>
  <c r="K89" i="13"/>
  <c r="O88" i="5"/>
  <c r="O88" i="12" s="1"/>
  <c r="N88" i="12"/>
  <c r="K90" i="5"/>
  <c r="K89" i="12"/>
  <c r="O89" i="6"/>
  <c r="O89" i="13" s="1"/>
  <c r="N89" i="13"/>
  <c r="M90" i="5"/>
  <c r="M89" i="12"/>
  <c r="N89" i="5"/>
  <c r="M91" i="6"/>
  <c r="M91" i="13" s="1"/>
  <c r="N90" i="6"/>
  <c r="AC18" i="7" l="1"/>
  <c r="AD18" i="7" s="1"/>
  <c r="K91" i="5"/>
  <c r="K90" i="12"/>
  <c r="O89" i="5"/>
  <c r="O89" i="12" s="1"/>
  <c r="N89" i="12"/>
  <c r="M91" i="5"/>
  <c r="M90" i="12"/>
  <c r="N90" i="5"/>
  <c r="O90" i="6"/>
  <c r="O90" i="13" s="1"/>
  <c r="N90" i="13"/>
  <c r="K91" i="6"/>
  <c r="K90" i="13"/>
  <c r="M92" i="6"/>
  <c r="M92" i="13" s="1"/>
  <c r="N91" i="6"/>
  <c r="M92" i="5" l="1"/>
  <c r="M91" i="12"/>
  <c r="N91" i="5"/>
  <c r="K92" i="6"/>
  <c r="K91" i="13"/>
  <c r="O91" i="6"/>
  <c r="O91" i="13" s="1"/>
  <c r="N91" i="13"/>
  <c r="O90" i="5"/>
  <c r="O90" i="12" s="1"/>
  <c r="N90" i="12"/>
  <c r="K92" i="5"/>
  <c r="K91" i="12"/>
  <c r="M93" i="6"/>
  <c r="M93" i="13" s="1"/>
  <c r="N92" i="6"/>
  <c r="K93" i="5" l="1"/>
  <c r="K92" i="12"/>
  <c r="K93" i="6"/>
  <c r="K92" i="13"/>
  <c r="O91" i="5"/>
  <c r="O91" i="12" s="1"/>
  <c r="N91" i="12"/>
  <c r="O92" i="6"/>
  <c r="O92" i="13" s="1"/>
  <c r="N92" i="13"/>
  <c r="M93" i="5"/>
  <c r="M92" i="12"/>
  <c r="N92" i="5"/>
  <c r="M94" i="6"/>
  <c r="M94" i="13" s="1"/>
  <c r="N93" i="6"/>
  <c r="O92" i="5" l="1"/>
  <c r="O92" i="12" s="1"/>
  <c r="N92" i="12"/>
  <c r="M94" i="5"/>
  <c r="M93" i="12"/>
  <c r="N93" i="5"/>
  <c r="K94" i="6"/>
  <c r="K93" i="13"/>
  <c r="O93" i="6"/>
  <c r="O93" i="13" s="1"/>
  <c r="N93" i="13"/>
  <c r="K94" i="5"/>
  <c r="K93" i="12"/>
  <c r="M95" i="6"/>
  <c r="M95" i="13" s="1"/>
  <c r="N94" i="6"/>
  <c r="K95" i="6" l="1"/>
  <c r="K94" i="13"/>
  <c r="M95" i="5"/>
  <c r="M94" i="12"/>
  <c r="N94" i="5"/>
  <c r="O93" i="5"/>
  <c r="O93" i="12" s="1"/>
  <c r="N93" i="12"/>
  <c r="K95" i="5"/>
  <c r="K94" i="12"/>
  <c r="O94" i="6"/>
  <c r="O94" i="13" s="1"/>
  <c r="N94" i="13"/>
  <c r="M96" i="6"/>
  <c r="M96" i="13" s="1"/>
  <c r="N95" i="6"/>
  <c r="K96" i="5" l="1"/>
  <c r="K95" i="12"/>
  <c r="O94" i="5"/>
  <c r="O94" i="12" s="1"/>
  <c r="N94" i="12"/>
  <c r="M96" i="5"/>
  <c r="M95" i="12"/>
  <c r="N95" i="5"/>
  <c r="O95" i="6"/>
  <c r="O95" i="13" s="1"/>
  <c r="N95" i="13"/>
  <c r="K96" i="6"/>
  <c r="K95" i="13"/>
  <c r="M97" i="6"/>
  <c r="M97" i="13" s="1"/>
  <c r="N96" i="6"/>
  <c r="M97" i="5" l="1"/>
  <c r="M96" i="12"/>
  <c r="N96" i="5"/>
  <c r="K97" i="6"/>
  <c r="K96" i="13"/>
  <c r="O96" i="6"/>
  <c r="O96" i="13" s="1"/>
  <c r="N96" i="13"/>
  <c r="O95" i="5"/>
  <c r="O95" i="12" s="1"/>
  <c r="N95" i="12"/>
  <c r="K97" i="5"/>
  <c r="K96" i="12"/>
  <c r="M98" i="6"/>
  <c r="M98" i="13" s="1"/>
  <c r="N97" i="6"/>
  <c r="K98" i="5" l="1"/>
  <c r="K97" i="12"/>
  <c r="K98" i="6"/>
  <c r="K97" i="13"/>
  <c r="O96" i="5"/>
  <c r="O96" i="12" s="1"/>
  <c r="N96" i="12"/>
  <c r="O97" i="6"/>
  <c r="O97" i="13" s="1"/>
  <c r="N97" i="13"/>
  <c r="M98" i="5"/>
  <c r="M97" i="12"/>
  <c r="N97" i="5"/>
  <c r="M99" i="6"/>
  <c r="M99" i="13" s="1"/>
  <c r="N98" i="6"/>
  <c r="O97" i="5" l="1"/>
  <c r="O97" i="12" s="1"/>
  <c r="N97" i="12"/>
  <c r="K99" i="6"/>
  <c r="K98" i="13"/>
  <c r="M99" i="5"/>
  <c r="M98" i="12"/>
  <c r="N98" i="5"/>
  <c r="O98" i="6"/>
  <c r="O98" i="13" s="1"/>
  <c r="N98" i="13"/>
  <c r="K99" i="5"/>
  <c r="K98" i="12"/>
  <c r="M100" i="6"/>
  <c r="M100" i="13" s="1"/>
  <c r="N99" i="6"/>
  <c r="M100" i="5" l="1"/>
  <c r="M99" i="12"/>
  <c r="N99" i="5"/>
  <c r="K100" i="6"/>
  <c r="K99" i="13"/>
  <c r="K100" i="5"/>
  <c r="K99" i="12"/>
  <c r="O99" i="6"/>
  <c r="O99" i="13" s="1"/>
  <c r="N99" i="13"/>
  <c r="O98" i="5"/>
  <c r="O98" i="12" s="1"/>
  <c r="N98" i="12"/>
  <c r="M101" i="6"/>
  <c r="M101" i="13" s="1"/>
  <c r="N100" i="6"/>
  <c r="K101" i="5" l="1"/>
  <c r="K100" i="12"/>
  <c r="K101" i="6"/>
  <c r="K100" i="13"/>
  <c r="O99" i="5"/>
  <c r="O99" i="12" s="1"/>
  <c r="N99" i="12"/>
  <c r="O100" i="6"/>
  <c r="O100" i="13" s="1"/>
  <c r="N100" i="13"/>
  <c r="M101" i="5"/>
  <c r="M100" i="12"/>
  <c r="N100" i="5"/>
  <c r="M102" i="6"/>
  <c r="M102" i="13" s="1"/>
  <c r="N101" i="6"/>
  <c r="O100" i="5" l="1"/>
  <c r="O100" i="12" s="1"/>
  <c r="N100" i="12"/>
  <c r="K102" i="6"/>
  <c r="K101" i="13"/>
  <c r="M102" i="5"/>
  <c r="M101" i="12"/>
  <c r="N101" i="5"/>
  <c r="O101" i="6"/>
  <c r="O101" i="13" s="1"/>
  <c r="N101" i="13"/>
  <c r="K102" i="5"/>
  <c r="K101" i="12"/>
  <c r="M103" i="6"/>
  <c r="M103" i="13" s="1"/>
  <c r="N102" i="6"/>
  <c r="K103" i="6" l="1"/>
  <c r="K102" i="13"/>
  <c r="M103" i="5"/>
  <c r="M102" i="12"/>
  <c r="N102" i="5"/>
  <c r="K103" i="5"/>
  <c r="K102" i="12"/>
  <c r="O102" i="6"/>
  <c r="O102" i="13" s="1"/>
  <c r="N102" i="13"/>
  <c r="O101" i="5"/>
  <c r="O101" i="12" s="1"/>
  <c r="N101" i="12"/>
  <c r="M104" i="6"/>
  <c r="M104" i="13" s="1"/>
  <c r="N103" i="6"/>
  <c r="K104" i="5" l="1"/>
  <c r="K103" i="12"/>
  <c r="O102" i="5"/>
  <c r="O102" i="12" s="1"/>
  <c r="N102" i="12"/>
  <c r="M104" i="5"/>
  <c r="M103" i="12"/>
  <c r="N103" i="5"/>
  <c r="O103" i="6"/>
  <c r="O103" i="13" s="1"/>
  <c r="N103" i="13"/>
  <c r="K104" i="6"/>
  <c r="K103" i="13"/>
  <c r="M105" i="6"/>
  <c r="M105" i="13" s="1"/>
  <c r="N104" i="6"/>
  <c r="K105" i="6" l="1"/>
  <c r="K104" i="13"/>
  <c r="M104" i="12"/>
  <c r="M105" i="5"/>
  <c r="N104" i="5"/>
  <c r="O103" i="5"/>
  <c r="O103" i="12" s="1"/>
  <c r="N103" i="12"/>
  <c r="O104" i="6"/>
  <c r="O104" i="13" s="1"/>
  <c r="N104" i="13"/>
  <c r="K105" i="5"/>
  <c r="K104" i="12"/>
  <c r="M106" i="6"/>
  <c r="M106" i="13" s="1"/>
  <c r="N105" i="6"/>
  <c r="M105" i="12" l="1"/>
  <c r="M106" i="5"/>
  <c r="N105" i="5"/>
  <c r="O104" i="5"/>
  <c r="O104" i="12" s="1"/>
  <c r="N104" i="12"/>
  <c r="K106" i="5"/>
  <c r="K105" i="12"/>
  <c r="O105" i="6"/>
  <c r="O105" i="13" s="1"/>
  <c r="N105" i="13"/>
  <c r="K106" i="6"/>
  <c r="K105" i="13"/>
  <c r="M107" i="6"/>
  <c r="M107" i="13" s="1"/>
  <c r="N106" i="6"/>
  <c r="K107" i="5" l="1"/>
  <c r="K106" i="12"/>
  <c r="K107" i="6"/>
  <c r="K106" i="13"/>
  <c r="O105" i="5"/>
  <c r="O105" i="12" s="1"/>
  <c r="N105" i="12"/>
  <c r="M106" i="12"/>
  <c r="N106" i="5"/>
  <c r="M107" i="5"/>
  <c r="O106" i="6"/>
  <c r="O106" i="13" s="1"/>
  <c r="N106" i="13"/>
  <c r="M108" i="6"/>
  <c r="M108" i="13" s="1"/>
  <c r="N107" i="6"/>
  <c r="K108" i="6" l="1"/>
  <c r="K107" i="13"/>
  <c r="O106" i="5"/>
  <c r="O106" i="12" s="1"/>
  <c r="N106" i="12"/>
  <c r="M107" i="12"/>
  <c r="M108" i="5"/>
  <c r="N107" i="5"/>
  <c r="O107" i="6"/>
  <c r="O107" i="13" s="1"/>
  <c r="N107" i="13"/>
  <c r="K108" i="5"/>
  <c r="K107" i="12"/>
  <c r="M109" i="6"/>
  <c r="M109" i="13" s="1"/>
  <c r="N108" i="6"/>
  <c r="M108" i="12" l="1"/>
  <c r="M109" i="5"/>
  <c r="N108" i="5"/>
  <c r="K109" i="6"/>
  <c r="K108" i="13"/>
  <c r="K109" i="5"/>
  <c r="K108" i="12"/>
  <c r="O108" i="6"/>
  <c r="O108" i="13" s="1"/>
  <c r="N108" i="13"/>
  <c r="O107" i="5"/>
  <c r="O107" i="12" s="1"/>
  <c r="N107" i="12"/>
  <c r="M110" i="6"/>
  <c r="M110" i="13" s="1"/>
  <c r="N109" i="6"/>
  <c r="K110" i="5" l="1"/>
  <c r="K109" i="12"/>
  <c r="K110" i="6"/>
  <c r="K109" i="13"/>
  <c r="O108" i="5"/>
  <c r="O108" i="12" s="1"/>
  <c r="N108" i="12"/>
  <c r="M109" i="12"/>
  <c r="N109" i="5"/>
  <c r="M110" i="5"/>
  <c r="O109" i="6"/>
  <c r="O109" i="13" s="1"/>
  <c r="N109" i="13"/>
  <c r="M111" i="6"/>
  <c r="M111" i="13" s="1"/>
  <c r="N110" i="6"/>
  <c r="K111" i="5" l="1"/>
  <c r="K110" i="12"/>
  <c r="O109" i="5"/>
  <c r="O109" i="12" s="1"/>
  <c r="N109" i="12"/>
  <c r="M110" i="12"/>
  <c r="M111" i="5"/>
  <c r="N110" i="5"/>
  <c r="K111" i="6"/>
  <c r="K110" i="13"/>
  <c r="O110" i="6"/>
  <c r="O110" i="13" s="1"/>
  <c r="N110" i="13"/>
  <c r="M112" i="6"/>
  <c r="M112" i="13" s="1"/>
  <c r="N111" i="6"/>
  <c r="M111" i="12" l="1"/>
  <c r="M112" i="5"/>
  <c r="N111" i="5"/>
  <c r="K112" i="6"/>
  <c r="K111" i="13"/>
  <c r="O111" i="6"/>
  <c r="O111" i="13" s="1"/>
  <c r="N111" i="13"/>
  <c r="O110" i="5"/>
  <c r="O110" i="12" s="1"/>
  <c r="N110" i="12"/>
  <c r="K112" i="5"/>
  <c r="K111" i="12"/>
  <c r="M113" i="6"/>
  <c r="M113" i="13" s="1"/>
  <c r="N112" i="6"/>
  <c r="M112" i="12" l="1"/>
  <c r="M113" i="5"/>
  <c r="N112" i="5"/>
  <c r="O112" i="6"/>
  <c r="O112" i="13" s="1"/>
  <c r="N112" i="13"/>
  <c r="K113" i="6"/>
  <c r="K112" i="13"/>
  <c r="K113" i="5"/>
  <c r="K112" i="12"/>
  <c r="O111" i="5"/>
  <c r="O111" i="12" s="1"/>
  <c r="N111" i="12"/>
  <c r="M114" i="6"/>
  <c r="M114" i="13" s="1"/>
  <c r="N113" i="6"/>
  <c r="K114" i="5" l="1"/>
  <c r="K113" i="12"/>
  <c r="K114" i="6"/>
  <c r="K113" i="13"/>
  <c r="O112" i="5"/>
  <c r="O112" i="12" s="1"/>
  <c r="N112" i="12"/>
  <c r="M113" i="12"/>
  <c r="M114" i="5"/>
  <c r="N113" i="5"/>
  <c r="O113" i="6"/>
  <c r="O113" i="13" s="1"/>
  <c r="N113" i="13"/>
  <c r="M115" i="6"/>
  <c r="M115" i="13" s="1"/>
  <c r="N114" i="6"/>
  <c r="K115" i="6" l="1"/>
  <c r="K114" i="13"/>
  <c r="O113" i="5"/>
  <c r="O113" i="12" s="1"/>
  <c r="N113" i="12"/>
  <c r="M114" i="12"/>
  <c r="N114" i="5"/>
  <c r="M115" i="5"/>
  <c r="O114" i="6"/>
  <c r="O114" i="13" s="1"/>
  <c r="N114" i="13"/>
  <c r="K115" i="5"/>
  <c r="K114" i="12"/>
  <c r="M116" i="6"/>
  <c r="M116" i="13" s="1"/>
  <c r="N115" i="6"/>
  <c r="O114" i="5" l="1"/>
  <c r="O114" i="12" s="1"/>
  <c r="N114" i="12"/>
  <c r="O115" i="6"/>
  <c r="O115" i="13" s="1"/>
  <c r="N115" i="13"/>
  <c r="K116" i="5"/>
  <c r="K115" i="12"/>
  <c r="K116" i="6"/>
  <c r="K115" i="13"/>
  <c r="M115" i="12"/>
  <c r="M116" i="5"/>
  <c r="N115" i="5"/>
  <c r="M117" i="6"/>
  <c r="M117" i="13" s="1"/>
  <c r="N116" i="6"/>
  <c r="O116" i="6" l="1"/>
  <c r="O116" i="13" s="1"/>
  <c r="N116" i="13"/>
  <c r="O115" i="5"/>
  <c r="O115" i="12" s="1"/>
  <c r="N115" i="12"/>
  <c r="K117" i="5"/>
  <c r="K116" i="12"/>
  <c r="K117" i="6"/>
  <c r="K116" i="13"/>
  <c r="M116" i="12"/>
  <c r="M117" i="5"/>
  <c r="N116" i="5"/>
  <c r="M118" i="6"/>
  <c r="M118" i="13" s="1"/>
  <c r="N117" i="6"/>
  <c r="K118" i="5" l="1"/>
  <c r="K117" i="12"/>
  <c r="K118" i="6"/>
  <c r="K117" i="13"/>
  <c r="O116" i="5"/>
  <c r="O116" i="12" s="1"/>
  <c r="N116" i="12"/>
  <c r="O117" i="6"/>
  <c r="O117" i="13" s="1"/>
  <c r="N117" i="13"/>
  <c r="M117" i="12"/>
  <c r="M118" i="5"/>
  <c r="N117" i="5"/>
  <c r="M119" i="6"/>
  <c r="M119" i="13" s="1"/>
  <c r="N118" i="6"/>
  <c r="O118" i="6" l="1"/>
  <c r="O118" i="13" s="1"/>
  <c r="N118" i="13"/>
  <c r="O117" i="5"/>
  <c r="O117" i="12" s="1"/>
  <c r="N117" i="12"/>
  <c r="K119" i="6"/>
  <c r="K118" i="13"/>
  <c r="M118" i="12"/>
  <c r="N118" i="5"/>
  <c r="M119" i="5"/>
  <c r="K119" i="5"/>
  <c r="K118" i="12"/>
  <c r="M120" i="6"/>
  <c r="M120" i="13" s="1"/>
  <c r="N119" i="6"/>
  <c r="O118" i="5" l="1"/>
  <c r="O118" i="12" s="1"/>
  <c r="N118" i="12"/>
  <c r="O119" i="6"/>
  <c r="O119" i="13" s="1"/>
  <c r="N119" i="13"/>
  <c r="K120" i="6"/>
  <c r="K119" i="13"/>
  <c r="K120" i="5"/>
  <c r="K119" i="12"/>
  <c r="M119" i="12"/>
  <c r="M120" i="5"/>
  <c r="N119" i="5"/>
  <c r="M121" i="6"/>
  <c r="M121" i="13" s="1"/>
  <c r="N120" i="6"/>
  <c r="O120" i="6" l="1"/>
  <c r="O120" i="13" s="1"/>
  <c r="N120" i="13"/>
  <c r="K121" i="6"/>
  <c r="K120" i="13"/>
  <c r="O119" i="5"/>
  <c r="O119" i="12" s="1"/>
  <c r="N119" i="12"/>
  <c r="K121" i="5"/>
  <c r="K120" i="12"/>
  <c r="M120" i="12"/>
  <c r="N120" i="5"/>
  <c r="M121" i="5"/>
  <c r="M122" i="6"/>
  <c r="M122" i="13" s="1"/>
  <c r="N121" i="6"/>
  <c r="M121" i="12" l="1"/>
  <c r="M122" i="5"/>
  <c r="N121" i="5"/>
  <c r="K122" i="6"/>
  <c r="K121" i="13"/>
  <c r="K122" i="5"/>
  <c r="K121" i="12"/>
  <c r="O121" i="6"/>
  <c r="O121" i="13" s="1"/>
  <c r="N121" i="13"/>
  <c r="O120" i="5"/>
  <c r="O120" i="12" s="1"/>
  <c r="N120" i="12"/>
  <c r="M123" i="6"/>
  <c r="M123" i="13" s="1"/>
  <c r="N122" i="6"/>
  <c r="K123" i="5" l="1"/>
  <c r="K122" i="12"/>
  <c r="O122" i="6"/>
  <c r="O122" i="13" s="1"/>
  <c r="N122" i="13"/>
  <c r="K123" i="6"/>
  <c r="K122" i="13"/>
  <c r="O121" i="5"/>
  <c r="O121" i="12" s="1"/>
  <c r="N121" i="12"/>
  <c r="M122" i="12"/>
  <c r="N122" i="5"/>
  <c r="M123" i="5"/>
  <c r="M124" i="6"/>
  <c r="M124" i="13" s="1"/>
  <c r="N123" i="6"/>
  <c r="K124" i="6" l="1"/>
  <c r="K123" i="13"/>
  <c r="M123" i="12"/>
  <c r="N123" i="5"/>
  <c r="M124" i="5"/>
  <c r="O122" i="5"/>
  <c r="O122" i="12" s="1"/>
  <c r="N122" i="12"/>
  <c r="O123" i="6"/>
  <c r="O123" i="13" s="1"/>
  <c r="N123" i="13"/>
  <c r="K124" i="5"/>
  <c r="K123" i="12"/>
  <c r="M125" i="6"/>
  <c r="M125" i="13" s="1"/>
  <c r="N124" i="6"/>
  <c r="M124" i="12" l="1"/>
  <c r="M125" i="5"/>
  <c r="N124" i="5"/>
  <c r="K125" i="5"/>
  <c r="K124" i="12"/>
  <c r="O124" i="6"/>
  <c r="O124" i="13" s="1"/>
  <c r="N124" i="13"/>
  <c r="O123" i="5"/>
  <c r="O123" i="12" s="1"/>
  <c r="N123" i="12"/>
  <c r="K125" i="6"/>
  <c r="K124" i="13"/>
  <c r="M126" i="6"/>
  <c r="M126" i="13" s="1"/>
  <c r="N125" i="6"/>
  <c r="O125" i="6" l="1"/>
  <c r="O125" i="13" s="1"/>
  <c r="N125" i="13"/>
  <c r="O124" i="5"/>
  <c r="O124" i="12" s="1"/>
  <c r="N124" i="12"/>
  <c r="K126" i="5"/>
  <c r="K125" i="12"/>
  <c r="M125" i="12"/>
  <c r="M126" i="5"/>
  <c r="N125" i="5"/>
  <c r="K126" i="6"/>
  <c r="K125" i="13"/>
  <c r="M127" i="6"/>
  <c r="M127" i="13" s="1"/>
  <c r="N126" i="6"/>
  <c r="M126" i="12" l="1"/>
  <c r="M127" i="5"/>
  <c r="N126" i="5"/>
  <c r="O126" i="6"/>
  <c r="O126" i="13" s="1"/>
  <c r="N126" i="13"/>
  <c r="K127" i="5"/>
  <c r="K126" i="12"/>
  <c r="K127" i="6"/>
  <c r="K126" i="13"/>
  <c r="O125" i="5"/>
  <c r="O125" i="12" s="1"/>
  <c r="N125" i="12"/>
  <c r="M128" i="6"/>
  <c r="M128" i="13" s="1"/>
  <c r="N127" i="6"/>
  <c r="M127" i="12" l="1"/>
  <c r="N127" i="5"/>
  <c r="M128" i="5"/>
  <c r="K128" i="6"/>
  <c r="K127" i="13"/>
  <c r="K128" i="5"/>
  <c r="K127" i="12"/>
  <c r="O127" i="6"/>
  <c r="O127" i="13" s="1"/>
  <c r="N127" i="13"/>
  <c r="O126" i="5"/>
  <c r="O126" i="12" s="1"/>
  <c r="N126" i="12"/>
  <c r="M129" i="6"/>
  <c r="M129" i="13" s="1"/>
  <c r="N128" i="6"/>
  <c r="K129" i="5" l="1"/>
  <c r="K128" i="12"/>
  <c r="O128" i="6"/>
  <c r="O128" i="13" s="1"/>
  <c r="N128" i="13"/>
  <c r="K129" i="6"/>
  <c r="K128" i="13"/>
  <c r="M128" i="12"/>
  <c r="M129" i="5"/>
  <c r="N128" i="5"/>
  <c r="O127" i="5"/>
  <c r="O127" i="12" s="1"/>
  <c r="N127" i="12"/>
  <c r="M130" i="6"/>
  <c r="M130" i="13" s="1"/>
  <c r="N129" i="6"/>
  <c r="K130" i="6" l="1"/>
  <c r="K129" i="13"/>
  <c r="M129" i="12"/>
  <c r="M130" i="5"/>
  <c r="N129" i="5"/>
  <c r="O129" i="6"/>
  <c r="O129" i="13" s="1"/>
  <c r="N129" i="13"/>
  <c r="O128" i="5"/>
  <c r="O128" i="12" s="1"/>
  <c r="N128" i="12"/>
  <c r="K130" i="5"/>
  <c r="K129" i="12"/>
  <c r="M131" i="6"/>
  <c r="M131" i="13" s="1"/>
  <c r="N130" i="6"/>
  <c r="AC17" i="7" l="1"/>
  <c r="AD17" i="7" s="1"/>
  <c r="O130" i="6"/>
  <c r="O130" i="13" s="1"/>
  <c r="N130" i="13"/>
  <c r="O129" i="5"/>
  <c r="O129" i="12" s="1"/>
  <c r="N129" i="12"/>
  <c r="M130" i="12"/>
  <c r="M131" i="5"/>
  <c r="N130" i="5"/>
  <c r="K131" i="5"/>
  <c r="K130" i="12"/>
  <c r="K131" i="6"/>
  <c r="K130" i="13"/>
  <c r="M132" i="6"/>
  <c r="M132" i="13" s="1"/>
  <c r="N131" i="6"/>
  <c r="K132" i="5" l="1"/>
  <c r="K131" i="12"/>
  <c r="O130" i="5"/>
  <c r="O130" i="12" s="1"/>
  <c r="N130" i="12"/>
  <c r="M131" i="12"/>
  <c r="M132" i="5"/>
  <c r="N131" i="5"/>
  <c r="O131" i="6"/>
  <c r="O131" i="13" s="1"/>
  <c r="N131" i="13"/>
  <c r="K132" i="6"/>
  <c r="K131" i="13"/>
  <c r="M133" i="6"/>
  <c r="M133" i="13" s="1"/>
  <c r="N132" i="6"/>
  <c r="O131" i="5" l="1"/>
  <c r="O131" i="12" s="1"/>
  <c r="N131" i="12"/>
  <c r="M132" i="12"/>
  <c r="M133" i="5"/>
  <c r="N132" i="5"/>
  <c r="O132" i="6"/>
  <c r="O132" i="13" s="1"/>
  <c r="N132" i="13"/>
  <c r="K133" i="6"/>
  <c r="K132" i="13"/>
  <c r="K133" i="5"/>
  <c r="K132" i="12"/>
  <c r="M134" i="6"/>
  <c r="M134" i="13" s="1"/>
  <c r="N133" i="6"/>
  <c r="K134" i="5" l="1"/>
  <c r="K133" i="12"/>
  <c r="O132" i="5"/>
  <c r="O132" i="12" s="1"/>
  <c r="N132" i="12"/>
  <c r="O133" i="6"/>
  <c r="O133" i="13" s="1"/>
  <c r="N133" i="13"/>
  <c r="M133" i="12"/>
  <c r="M134" i="5"/>
  <c r="N133" i="5"/>
  <c r="K134" i="6"/>
  <c r="K133" i="13"/>
  <c r="M135" i="6"/>
  <c r="M135" i="13" s="1"/>
  <c r="N134" i="6"/>
  <c r="K135" i="6" l="1"/>
  <c r="K134" i="13"/>
  <c r="M134" i="12"/>
  <c r="M135" i="5"/>
  <c r="N134" i="5"/>
  <c r="O134" i="6"/>
  <c r="O134" i="13" s="1"/>
  <c r="N134" i="13"/>
  <c r="O133" i="5"/>
  <c r="O133" i="12" s="1"/>
  <c r="N133" i="12"/>
  <c r="K135" i="5"/>
  <c r="K134" i="12"/>
  <c r="M136" i="6"/>
  <c r="M136" i="13" s="1"/>
  <c r="N135" i="6"/>
  <c r="O135" i="6" l="1"/>
  <c r="O135" i="13" s="1"/>
  <c r="N135" i="13"/>
  <c r="O134" i="5"/>
  <c r="O134" i="12" s="1"/>
  <c r="N134" i="12"/>
  <c r="M135" i="12"/>
  <c r="M136" i="5"/>
  <c r="N135" i="5"/>
  <c r="K136" i="5"/>
  <c r="K135" i="12"/>
  <c r="K136" i="6"/>
  <c r="K135" i="13"/>
  <c r="M137" i="6"/>
  <c r="M137" i="13" s="1"/>
  <c r="N136" i="6"/>
  <c r="M136" i="12" l="1"/>
  <c r="M137" i="5"/>
  <c r="N136" i="5"/>
  <c r="K137" i="5"/>
  <c r="K136" i="12"/>
  <c r="O135" i="5"/>
  <c r="O135" i="12" s="1"/>
  <c r="N135" i="12"/>
  <c r="K137" i="6"/>
  <c r="K136" i="13"/>
  <c r="O136" i="6"/>
  <c r="O136" i="13" s="1"/>
  <c r="N136" i="13"/>
  <c r="M138" i="6"/>
  <c r="M138" i="13" s="1"/>
  <c r="N137" i="6"/>
  <c r="O137" i="6" l="1"/>
  <c r="O137" i="13" s="1"/>
  <c r="N137" i="13"/>
  <c r="K138" i="5"/>
  <c r="K137" i="12"/>
  <c r="O136" i="5"/>
  <c r="O136" i="12" s="1"/>
  <c r="N136" i="12"/>
  <c r="K138" i="6"/>
  <c r="K137" i="13"/>
  <c r="M137" i="12"/>
  <c r="M138" i="5"/>
  <c r="N137" i="5"/>
  <c r="M139" i="6"/>
  <c r="M139" i="13" s="1"/>
  <c r="N138" i="6"/>
  <c r="K139" i="6" l="1"/>
  <c r="K138" i="13"/>
  <c r="O138" i="6"/>
  <c r="O138" i="13" s="1"/>
  <c r="N138" i="13"/>
  <c r="O137" i="5"/>
  <c r="O137" i="12" s="1"/>
  <c r="N137" i="12"/>
  <c r="K139" i="5"/>
  <c r="K138" i="12"/>
  <c r="M138" i="12"/>
  <c r="M139" i="5"/>
  <c r="N138" i="5"/>
  <c r="M140" i="6"/>
  <c r="M140" i="13" s="1"/>
  <c r="N139" i="6"/>
  <c r="O139" i="6" l="1"/>
  <c r="O139" i="13" s="1"/>
  <c r="N139" i="13"/>
  <c r="O138" i="5"/>
  <c r="O138" i="12" s="1"/>
  <c r="N138" i="12"/>
  <c r="M139" i="12"/>
  <c r="M140" i="5"/>
  <c r="N139" i="5"/>
  <c r="K140" i="5"/>
  <c r="K139" i="12"/>
  <c r="K140" i="6"/>
  <c r="K139" i="13"/>
  <c r="M141" i="6"/>
  <c r="M141" i="13" s="1"/>
  <c r="N140" i="6"/>
  <c r="M140" i="12" l="1"/>
  <c r="M141" i="5"/>
  <c r="N140" i="5"/>
  <c r="K141" i="5"/>
  <c r="K140" i="12"/>
  <c r="O139" i="5"/>
  <c r="O139" i="12" s="1"/>
  <c r="N139" i="12"/>
  <c r="O140" i="6"/>
  <c r="O140" i="13" s="1"/>
  <c r="N140" i="13"/>
  <c r="K141" i="6"/>
  <c r="K140" i="13"/>
  <c r="M142" i="6"/>
  <c r="M142" i="13" s="1"/>
  <c r="N141" i="6"/>
  <c r="K142" i="5" l="1"/>
  <c r="K141" i="12"/>
  <c r="O140" i="5"/>
  <c r="O140" i="12" s="1"/>
  <c r="N140" i="12"/>
  <c r="K142" i="6"/>
  <c r="K141" i="13"/>
  <c r="O141" i="6"/>
  <c r="O141" i="13" s="1"/>
  <c r="N141" i="13"/>
  <c r="M141" i="12"/>
  <c r="N141" i="5"/>
  <c r="M142" i="5"/>
  <c r="M143" i="6"/>
  <c r="M143" i="13" s="1"/>
  <c r="N142" i="6"/>
  <c r="K143" i="6" l="1"/>
  <c r="K142" i="13"/>
  <c r="O142" i="6"/>
  <c r="O142" i="13" s="1"/>
  <c r="N142" i="13"/>
  <c r="M142" i="12"/>
  <c r="M143" i="5"/>
  <c r="N142" i="5"/>
  <c r="O141" i="5"/>
  <c r="O141" i="12" s="1"/>
  <c r="N141" i="12"/>
  <c r="K143" i="5"/>
  <c r="K142" i="12"/>
  <c r="M144" i="6"/>
  <c r="M144" i="13" s="1"/>
  <c r="N143" i="6"/>
  <c r="O142" i="5" l="1"/>
  <c r="O142" i="12" s="1"/>
  <c r="N142" i="12"/>
  <c r="M143" i="12"/>
  <c r="M144" i="5"/>
  <c r="N143" i="5"/>
  <c r="O143" i="6"/>
  <c r="O143" i="13" s="1"/>
  <c r="N143" i="13"/>
  <c r="K144" i="5"/>
  <c r="K143" i="12"/>
  <c r="K144" i="6"/>
  <c r="K143" i="13"/>
  <c r="M145" i="6"/>
  <c r="M145" i="13" s="1"/>
  <c r="N144" i="6"/>
  <c r="O143" i="5" l="1"/>
  <c r="O143" i="12" s="1"/>
  <c r="N143" i="12"/>
  <c r="K145" i="5"/>
  <c r="K144" i="12"/>
  <c r="O144" i="6"/>
  <c r="O144" i="13" s="1"/>
  <c r="N144" i="13"/>
  <c r="K145" i="6"/>
  <c r="K144" i="13"/>
  <c r="M144" i="12"/>
  <c r="M145" i="5"/>
  <c r="N144" i="5"/>
  <c r="M146" i="6"/>
  <c r="M146" i="13" s="1"/>
  <c r="N145" i="6"/>
  <c r="K146" i="6" l="1"/>
  <c r="K145" i="13"/>
  <c r="O145" i="6"/>
  <c r="O145" i="13" s="1"/>
  <c r="N145" i="13"/>
  <c r="K146" i="5"/>
  <c r="K145" i="12"/>
  <c r="M145" i="12"/>
  <c r="M146" i="5"/>
  <c r="N145" i="5"/>
  <c r="O144" i="5"/>
  <c r="O144" i="12" s="1"/>
  <c r="N144" i="12"/>
  <c r="M147" i="6"/>
  <c r="M147" i="13" s="1"/>
  <c r="N146" i="6"/>
  <c r="K147" i="5" l="1"/>
  <c r="K146" i="12"/>
  <c r="M146" i="12"/>
  <c r="N146" i="5"/>
  <c r="M147" i="5"/>
  <c r="O146" i="6"/>
  <c r="O146" i="13" s="1"/>
  <c r="N146" i="13"/>
  <c r="O145" i="5"/>
  <c r="O145" i="12" s="1"/>
  <c r="N145" i="12"/>
  <c r="K147" i="6"/>
  <c r="K146" i="13"/>
  <c r="M148" i="6"/>
  <c r="M148" i="13" s="1"/>
  <c r="N147" i="6"/>
  <c r="O147" i="6" l="1"/>
  <c r="O147" i="13" s="1"/>
  <c r="N147" i="13"/>
  <c r="O146" i="5"/>
  <c r="O146" i="12" s="1"/>
  <c r="N146" i="12"/>
  <c r="M147" i="12"/>
  <c r="M148" i="5"/>
  <c r="N147" i="5"/>
  <c r="K148" i="6"/>
  <c r="K147" i="13"/>
  <c r="K148" i="5"/>
  <c r="K147" i="12"/>
  <c r="M149" i="6"/>
  <c r="M149" i="13" s="1"/>
  <c r="N148" i="6"/>
  <c r="M148" i="12" l="1"/>
  <c r="M149" i="5"/>
  <c r="N148" i="5"/>
  <c r="O148" i="6"/>
  <c r="O148" i="13" s="1"/>
  <c r="N148" i="13"/>
  <c r="K149" i="5"/>
  <c r="K148" i="12"/>
  <c r="K149" i="6"/>
  <c r="K148" i="13"/>
  <c r="O147" i="5"/>
  <c r="O147" i="12" s="1"/>
  <c r="N147" i="12"/>
  <c r="M150" i="6"/>
  <c r="M150" i="13" s="1"/>
  <c r="N149" i="6"/>
  <c r="K150" i="6" l="1"/>
  <c r="K149" i="13"/>
  <c r="K150" i="5"/>
  <c r="K149" i="12"/>
  <c r="M149" i="12"/>
  <c r="N149" i="5"/>
  <c r="M150" i="5"/>
  <c r="O149" i="6"/>
  <c r="O149" i="13" s="1"/>
  <c r="N149" i="13"/>
  <c r="O148" i="5"/>
  <c r="O148" i="12" s="1"/>
  <c r="N148" i="12"/>
  <c r="M151" i="6"/>
  <c r="M151" i="13" s="1"/>
  <c r="N150" i="6"/>
  <c r="O150" i="6" l="1"/>
  <c r="O150" i="13" s="1"/>
  <c r="N150" i="13"/>
  <c r="M150" i="12"/>
  <c r="N150" i="5"/>
  <c r="M151" i="5"/>
  <c r="O149" i="5"/>
  <c r="O149" i="12" s="1"/>
  <c r="N149" i="12"/>
  <c r="K151" i="5"/>
  <c r="K150" i="12"/>
  <c r="K151" i="6"/>
  <c r="K150" i="13"/>
  <c r="M152" i="6"/>
  <c r="M152" i="13" s="1"/>
  <c r="N151" i="6"/>
  <c r="K152" i="5" l="1"/>
  <c r="K151" i="12"/>
  <c r="O151" i="6"/>
  <c r="O151" i="13" s="1"/>
  <c r="N151" i="13"/>
  <c r="M151" i="12"/>
  <c r="M152" i="5"/>
  <c r="N151" i="5"/>
  <c r="O150" i="5"/>
  <c r="O150" i="12" s="1"/>
  <c r="N150" i="12"/>
  <c r="K152" i="6"/>
  <c r="K151" i="13"/>
  <c r="M153" i="6"/>
  <c r="M153" i="13" s="1"/>
  <c r="N152" i="6"/>
  <c r="M152" i="12" l="1"/>
  <c r="N152" i="5"/>
  <c r="M153" i="5"/>
  <c r="O151" i="5"/>
  <c r="O151" i="12" s="1"/>
  <c r="N151" i="12"/>
  <c r="K153" i="6"/>
  <c r="K152" i="13"/>
  <c r="O152" i="6"/>
  <c r="O152" i="13" s="1"/>
  <c r="N152" i="13"/>
  <c r="K153" i="5"/>
  <c r="K152" i="12"/>
  <c r="M154" i="6"/>
  <c r="M154" i="13" s="1"/>
  <c r="N153" i="6"/>
  <c r="O153" i="6" l="1"/>
  <c r="O153" i="13" s="1"/>
  <c r="N153" i="13"/>
  <c r="M153" i="12"/>
  <c r="N153" i="5"/>
  <c r="M154" i="5"/>
  <c r="K154" i="6"/>
  <c r="K153" i="13"/>
  <c r="K154" i="5"/>
  <c r="K153" i="12"/>
  <c r="O152" i="5"/>
  <c r="O152" i="12" s="1"/>
  <c r="N152" i="12"/>
  <c r="M155" i="6"/>
  <c r="M155" i="13" s="1"/>
  <c r="N154" i="6"/>
  <c r="O154" i="6" l="1"/>
  <c r="O154" i="13" s="1"/>
  <c r="N154" i="13"/>
  <c r="K155" i="5"/>
  <c r="K154" i="12"/>
  <c r="K155" i="6"/>
  <c r="K154" i="13"/>
  <c r="M154" i="12"/>
  <c r="N154" i="5"/>
  <c r="M155" i="5"/>
  <c r="O153" i="5"/>
  <c r="O153" i="12" s="1"/>
  <c r="N153" i="12"/>
  <c r="M156" i="6"/>
  <c r="M156" i="13" s="1"/>
  <c r="N155" i="6"/>
  <c r="O154" i="5" l="1"/>
  <c r="O154" i="12" s="1"/>
  <c r="N154" i="12"/>
  <c r="O155" i="6"/>
  <c r="O155" i="13" s="1"/>
  <c r="N155" i="13"/>
  <c r="K156" i="6"/>
  <c r="K155" i="13"/>
  <c r="K156" i="5"/>
  <c r="K155" i="12"/>
  <c r="M155" i="12"/>
  <c r="M156" i="5"/>
  <c r="N155" i="5"/>
  <c r="M157" i="6"/>
  <c r="M157" i="13" s="1"/>
  <c r="N156" i="6"/>
  <c r="K157" i="5" l="1"/>
  <c r="K156" i="12"/>
  <c r="O156" i="6"/>
  <c r="O156" i="13" s="1"/>
  <c r="N156" i="13"/>
  <c r="K157" i="6"/>
  <c r="K156" i="13"/>
  <c r="O155" i="5"/>
  <c r="O155" i="12" s="1"/>
  <c r="N155" i="12"/>
  <c r="M156" i="12"/>
  <c r="M157" i="5"/>
  <c r="N156" i="5"/>
  <c r="M158" i="6"/>
  <c r="M158" i="13" s="1"/>
  <c r="N157" i="6"/>
  <c r="O157" i="6" l="1"/>
  <c r="O157" i="13" s="1"/>
  <c r="N157" i="13"/>
  <c r="K158" i="6"/>
  <c r="K157" i="13"/>
  <c r="M157" i="12"/>
  <c r="N157" i="5"/>
  <c r="M158" i="5"/>
  <c r="O156" i="5"/>
  <c r="O156" i="12" s="1"/>
  <c r="N156" i="12"/>
  <c r="K158" i="5"/>
  <c r="K157" i="12"/>
  <c r="M159" i="6"/>
  <c r="M159" i="13" s="1"/>
  <c r="N158" i="6"/>
  <c r="M158" i="12" l="1"/>
  <c r="M159" i="5"/>
  <c r="N158" i="5"/>
  <c r="O157" i="5"/>
  <c r="O157" i="12" s="1"/>
  <c r="N157" i="12"/>
  <c r="O158" i="6"/>
  <c r="O158" i="13" s="1"/>
  <c r="N158" i="13"/>
  <c r="K159" i="5"/>
  <c r="K158" i="12"/>
  <c r="K159" i="6"/>
  <c r="K158" i="13"/>
  <c r="M160" i="6"/>
  <c r="M160" i="13" s="1"/>
  <c r="N159" i="6"/>
  <c r="K160" i="5" l="1"/>
  <c r="K159" i="12"/>
  <c r="O159" i="6"/>
  <c r="O159" i="13" s="1"/>
  <c r="N159" i="13"/>
  <c r="O158" i="5"/>
  <c r="O158" i="12" s="1"/>
  <c r="N158" i="12"/>
  <c r="K160" i="6"/>
  <c r="K159" i="13"/>
  <c r="M159" i="12"/>
  <c r="N159" i="5"/>
  <c r="M160" i="5"/>
  <c r="M161" i="6"/>
  <c r="M161" i="13" s="1"/>
  <c r="N160" i="6"/>
  <c r="O160" i="6" l="1"/>
  <c r="O160" i="13" s="1"/>
  <c r="N160" i="13"/>
  <c r="K161" i="6"/>
  <c r="K160" i="13"/>
  <c r="M160" i="12"/>
  <c r="N160" i="5"/>
  <c r="M161" i="5"/>
  <c r="O159" i="5"/>
  <c r="O159" i="12" s="1"/>
  <c r="N159" i="12"/>
  <c r="K161" i="5"/>
  <c r="K160" i="12"/>
  <c r="M162" i="6"/>
  <c r="M162" i="13" s="1"/>
  <c r="N161" i="6"/>
  <c r="M161" i="12" l="1"/>
  <c r="N161" i="5"/>
  <c r="M162" i="5"/>
  <c r="K162" i="5"/>
  <c r="K161" i="12"/>
  <c r="O160" i="5"/>
  <c r="O160" i="12" s="1"/>
  <c r="N160" i="12"/>
  <c r="O161" i="6"/>
  <c r="O161" i="13" s="1"/>
  <c r="N161" i="13"/>
  <c r="K162" i="6"/>
  <c r="K161" i="13"/>
  <c r="M163" i="6"/>
  <c r="M163" i="13" s="1"/>
  <c r="N162" i="6"/>
  <c r="O162" i="6" l="1"/>
  <c r="O162" i="13" s="1"/>
  <c r="N162" i="13"/>
  <c r="M162" i="12"/>
  <c r="M163" i="5"/>
  <c r="N162" i="5"/>
  <c r="O161" i="5"/>
  <c r="O161" i="12" s="1"/>
  <c r="N161" i="12"/>
  <c r="K163" i="5"/>
  <c r="K162" i="12"/>
  <c r="K163" i="6"/>
  <c r="K162" i="13"/>
  <c r="M164" i="6"/>
  <c r="M164" i="13" s="1"/>
  <c r="N163" i="6"/>
  <c r="O163" i="6" l="1"/>
  <c r="O163" i="13" s="1"/>
  <c r="N163" i="13"/>
  <c r="O162" i="5"/>
  <c r="O162" i="12" s="1"/>
  <c r="N162" i="12"/>
  <c r="K164" i="5"/>
  <c r="K163" i="12"/>
  <c r="K164" i="6"/>
  <c r="K163" i="13"/>
  <c r="M163" i="12"/>
  <c r="N163" i="5"/>
  <c r="M164" i="5"/>
  <c r="M165" i="6"/>
  <c r="M165" i="13" s="1"/>
  <c r="N164" i="6"/>
  <c r="K165" i="5" l="1"/>
  <c r="K164" i="12"/>
  <c r="M164" i="12"/>
  <c r="N164" i="5"/>
  <c r="M165" i="5"/>
  <c r="K165" i="6"/>
  <c r="K164" i="13"/>
  <c r="O164" i="6"/>
  <c r="O164" i="13" s="1"/>
  <c r="N164" i="13"/>
  <c r="O163" i="5"/>
  <c r="O163" i="12" s="1"/>
  <c r="N163" i="12"/>
  <c r="M166" i="6"/>
  <c r="M166" i="13" s="1"/>
  <c r="N165" i="6"/>
  <c r="K166" i="6" l="1"/>
  <c r="K165" i="13"/>
  <c r="M165" i="12"/>
  <c r="N165" i="5"/>
  <c r="M166" i="5"/>
  <c r="O165" i="6"/>
  <c r="O165" i="13" s="1"/>
  <c r="N165" i="13"/>
  <c r="O164" i="5"/>
  <c r="O164" i="12" s="1"/>
  <c r="N164" i="12"/>
  <c r="K166" i="5"/>
  <c r="K165" i="12"/>
  <c r="M167" i="6"/>
  <c r="M167" i="13" s="1"/>
  <c r="N166" i="6"/>
  <c r="O166" i="6" l="1"/>
  <c r="O166" i="13" s="1"/>
  <c r="N166" i="13"/>
  <c r="M166" i="12"/>
  <c r="M167" i="5"/>
  <c r="N166" i="5"/>
  <c r="O165" i="5"/>
  <c r="O165" i="12" s="1"/>
  <c r="N165" i="12"/>
  <c r="K167" i="5"/>
  <c r="K166" i="12"/>
  <c r="K167" i="6"/>
  <c r="K166" i="13"/>
  <c r="M168" i="6"/>
  <c r="M168" i="13" s="1"/>
  <c r="N167" i="6"/>
  <c r="K168" i="5" l="1"/>
  <c r="K167" i="12"/>
  <c r="O167" i="6"/>
  <c r="O167" i="13" s="1"/>
  <c r="N167" i="13"/>
  <c r="O166" i="5"/>
  <c r="O166" i="12" s="1"/>
  <c r="N166" i="12"/>
  <c r="K168" i="6"/>
  <c r="K167" i="13"/>
  <c r="M167" i="12"/>
  <c r="N167" i="5"/>
  <c r="M168" i="5"/>
  <c r="M169" i="6"/>
  <c r="M169" i="13" s="1"/>
  <c r="N168" i="6"/>
  <c r="K169" i="6" l="1"/>
  <c r="K168" i="13"/>
  <c r="O168" i="6"/>
  <c r="O168" i="13" s="1"/>
  <c r="N168" i="13"/>
  <c r="M168" i="12"/>
  <c r="N168" i="5"/>
  <c r="M169" i="5"/>
  <c r="O167" i="5"/>
  <c r="O167" i="12" s="1"/>
  <c r="N167" i="12"/>
  <c r="K169" i="5"/>
  <c r="K168" i="12"/>
  <c r="M170" i="6"/>
  <c r="M170" i="13" s="1"/>
  <c r="N169" i="6"/>
  <c r="O168" i="5" l="1"/>
  <c r="O168" i="12" s="1"/>
  <c r="N168" i="12"/>
  <c r="M169" i="12"/>
  <c r="N169" i="5"/>
  <c r="M170" i="5"/>
  <c r="O169" i="6"/>
  <c r="O169" i="13" s="1"/>
  <c r="N169" i="13"/>
  <c r="K170" i="5"/>
  <c r="K169" i="12"/>
  <c r="K170" i="6"/>
  <c r="K169" i="13"/>
  <c r="M171" i="6"/>
  <c r="M171" i="13" s="1"/>
  <c r="N170" i="6"/>
  <c r="K171" i="5" l="1"/>
  <c r="K170" i="12"/>
  <c r="O170" i="6"/>
  <c r="O170" i="13" s="1"/>
  <c r="N170" i="13"/>
  <c r="O169" i="5"/>
  <c r="O169" i="12" s="1"/>
  <c r="N169" i="12"/>
  <c r="K171" i="6"/>
  <c r="K170" i="13"/>
  <c r="M170" i="12"/>
  <c r="N170" i="5"/>
  <c r="M171" i="5"/>
  <c r="M172" i="6"/>
  <c r="M172" i="13" s="1"/>
  <c r="N171" i="6"/>
  <c r="K172" i="6" l="1"/>
  <c r="K171" i="13"/>
  <c r="O171" i="6"/>
  <c r="O171" i="13" s="1"/>
  <c r="N171" i="13"/>
  <c r="M171" i="12"/>
  <c r="N171" i="5"/>
  <c r="M172" i="5"/>
  <c r="O170" i="5"/>
  <c r="O170" i="12" s="1"/>
  <c r="N170" i="12"/>
  <c r="K172" i="5"/>
  <c r="K171" i="12"/>
  <c r="M173" i="6"/>
  <c r="M173" i="13" s="1"/>
  <c r="N172" i="6"/>
  <c r="O172" i="6" l="1"/>
  <c r="O172" i="13" s="1"/>
  <c r="N172" i="13"/>
  <c r="M172" i="12"/>
  <c r="N172" i="5"/>
  <c r="M173" i="5"/>
  <c r="O171" i="5"/>
  <c r="O171" i="12" s="1"/>
  <c r="N171" i="12"/>
  <c r="K173" i="5"/>
  <c r="K172" i="12"/>
  <c r="K173" i="6"/>
  <c r="K172" i="13"/>
  <c r="M174" i="6"/>
  <c r="M174" i="13" s="1"/>
  <c r="N173" i="6"/>
  <c r="M173" i="12" l="1"/>
  <c r="N173" i="5"/>
  <c r="M174" i="5"/>
  <c r="O173" i="6"/>
  <c r="O173" i="13" s="1"/>
  <c r="N173" i="13"/>
  <c r="K174" i="5"/>
  <c r="K173" i="12"/>
  <c r="O172" i="5"/>
  <c r="O172" i="12" s="1"/>
  <c r="N172" i="12"/>
  <c r="K174" i="6"/>
  <c r="K173" i="13"/>
  <c r="M175" i="6"/>
  <c r="M175" i="13" s="1"/>
  <c r="N174" i="6"/>
  <c r="K175" i="5" l="1"/>
  <c r="K174" i="12"/>
  <c r="O174" i="6"/>
  <c r="O174" i="13" s="1"/>
  <c r="N174" i="13"/>
  <c r="M174" i="12"/>
  <c r="N174" i="5"/>
  <c r="M175" i="5"/>
  <c r="K175" i="6"/>
  <c r="K174" i="13"/>
  <c r="O173" i="5"/>
  <c r="O173" i="12" s="1"/>
  <c r="N173" i="12"/>
  <c r="M176" i="6"/>
  <c r="M176" i="13" s="1"/>
  <c r="N175" i="6"/>
  <c r="M175" i="12" l="1"/>
  <c r="N175" i="5"/>
  <c r="M176" i="5"/>
  <c r="K176" i="6"/>
  <c r="K175" i="13"/>
  <c r="O174" i="5"/>
  <c r="O174" i="12" s="1"/>
  <c r="N174" i="12"/>
  <c r="O175" i="6"/>
  <c r="O175" i="13" s="1"/>
  <c r="N175" i="13"/>
  <c r="K176" i="5"/>
  <c r="K175" i="12"/>
  <c r="M177" i="6"/>
  <c r="M177" i="13" s="1"/>
  <c r="N176" i="6"/>
  <c r="O176" i="6" l="1"/>
  <c r="O176" i="13" s="1"/>
  <c r="N176" i="13"/>
  <c r="K177" i="6"/>
  <c r="K176" i="13"/>
  <c r="M176" i="12"/>
  <c r="M177" i="5"/>
  <c r="N176" i="5"/>
  <c r="K177" i="5"/>
  <c r="K176" i="12"/>
  <c r="O175" i="5"/>
  <c r="O175" i="12" s="1"/>
  <c r="N175" i="12"/>
  <c r="M178" i="6"/>
  <c r="M178" i="13" s="1"/>
  <c r="N177" i="6"/>
  <c r="K178" i="5" l="1"/>
  <c r="K177" i="12"/>
  <c r="O176" i="5"/>
  <c r="O176" i="12" s="1"/>
  <c r="N176" i="12"/>
  <c r="O177" i="6"/>
  <c r="O177" i="13" s="1"/>
  <c r="N177" i="13"/>
  <c r="K178" i="6"/>
  <c r="K177" i="13"/>
  <c r="M177" i="12"/>
  <c r="N177" i="5"/>
  <c r="M178" i="5"/>
  <c r="M179" i="6"/>
  <c r="M179" i="13" s="1"/>
  <c r="N178" i="6"/>
  <c r="K179" i="6" l="1"/>
  <c r="K178" i="13"/>
  <c r="O178" i="6"/>
  <c r="O178" i="13" s="1"/>
  <c r="N178" i="13"/>
  <c r="M178" i="12"/>
  <c r="N178" i="5"/>
  <c r="M179" i="5"/>
  <c r="O177" i="5"/>
  <c r="O177" i="12" s="1"/>
  <c r="N177" i="12"/>
  <c r="K179" i="5"/>
  <c r="K178" i="12"/>
  <c r="M180" i="6"/>
  <c r="M180" i="13" s="1"/>
  <c r="N179" i="6"/>
  <c r="M179" i="12" l="1"/>
  <c r="N179" i="5"/>
  <c r="M180" i="5"/>
  <c r="O179" i="6"/>
  <c r="O179" i="13" s="1"/>
  <c r="N179" i="13"/>
  <c r="O178" i="5"/>
  <c r="O178" i="12" s="1"/>
  <c r="N178" i="12"/>
  <c r="K180" i="5"/>
  <c r="K179" i="12"/>
  <c r="K180" i="6"/>
  <c r="K179" i="13"/>
  <c r="M181" i="6"/>
  <c r="M181" i="13" s="1"/>
  <c r="N180" i="6"/>
  <c r="K181" i="5" l="1"/>
  <c r="K180" i="12"/>
  <c r="O180" i="6"/>
  <c r="O180" i="13" s="1"/>
  <c r="N180" i="13"/>
  <c r="M180" i="12"/>
  <c r="N180" i="5"/>
  <c r="M181" i="5"/>
  <c r="K181" i="6"/>
  <c r="K180" i="13"/>
  <c r="O179" i="5"/>
  <c r="O179" i="12" s="1"/>
  <c r="N179" i="12"/>
  <c r="M182" i="6"/>
  <c r="M182" i="13" s="1"/>
  <c r="N181" i="6"/>
  <c r="M181" i="12" l="1"/>
  <c r="N181" i="5"/>
  <c r="M182" i="5"/>
  <c r="K182" i="6"/>
  <c r="K181" i="13"/>
  <c r="O180" i="5"/>
  <c r="O180" i="12" s="1"/>
  <c r="N180" i="12"/>
  <c r="O181" i="6"/>
  <c r="O181" i="13" s="1"/>
  <c r="N181" i="13"/>
  <c r="K182" i="5"/>
  <c r="K181" i="12"/>
  <c r="M183" i="6"/>
  <c r="M183" i="13" s="1"/>
  <c r="N182" i="6"/>
  <c r="O182" i="6" l="1"/>
  <c r="O182" i="13" s="1"/>
  <c r="N182" i="13"/>
  <c r="M182" i="12"/>
  <c r="N182" i="5"/>
  <c r="M183" i="5"/>
  <c r="K183" i="6"/>
  <c r="K182" i="13"/>
  <c r="K183" i="5"/>
  <c r="K182" i="12"/>
  <c r="O181" i="5"/>
  <c r="O181" i="12" s="1"/>
  <c r="N181" i="12"/>
  <c r="M184" i="6"/>
  <c r="N183" i="6"/>
  <c r="M184" i="13" l="1"/>
  <c r="M185" i="6"/>
  <c r="M183" i="12"/>
  <c r="N183" i="5"/>
  <c r="M184" i="5"/>
  <c r="M185" i="5" s="1"/>
  <c r="O182" i="5"/>
  <c r="O182" i="12" s="1"/>
  <c r="N182" i="12"/>
  <c r="K184" i="6"/>
  <c r="K183" i="13"/>
  <c r="K184" i="5"/>
  <c r="K183" i="12"/>
  <c r="O183" i="6"/>
  <c r="O183" i="13" s="1"/>
  <c r="N183" i="13"/>
  <c r="N184" i="6"/>
  <c r="M186" i="5" l="1"/>
  <c r="M185" i="12"/>
  <c r="N185" i="5"/>
  <c r="M186" i="6"/>
  <c r="M187" i="6" s="1"/>
  <c r="M188" i="6" s="1"/>
  <c r="M189" i="6" s="1"/>
  <c r="M190" i="6" s="1"/>
  <c r="M191" i="6" s="1"/>
  <c r="M192" i="6" s="1"/>
  <c r="M193" i="6" s="1"/>
  <c r="M194" i="6" s="1"/>
  <c r="M195" i="6" s="1"/>
  <c r="M196" i="6" s="1"/>
  <c r="M197" i="6" s="1"/>
  <c r="M198" i="6" s="1"/>
  <c r="M199" i="6" s="1"/>
  <c r="M200" i="6" s="1"/>
  <c r="M201" i="6" s="1"/>
  <c r="M202" i="6" s="1"/>
  <c r="M203" i="6" s="1"/>
  <c r="M204" i="6" s="1"/>
  <c r="M205" i="6" s="1"/>
  <c r="M206" i="6" s="1"/>
  <c r="M207" i="6" s="1"/>
  <c r="M208" i="6" s="1"/>
  <c r="M209" i="6" s="1"/>
  <c r="M210" i="6" s="1"/>
  <c r="M211" i="6" s="1"/>
  <c r="M212" i="6" s="1"/>
  <c r="M213" i="6" s="1"/>
  <c r="M214" i="6" s="1"/>
  <c r="M215" i="6" s="1"/>
  <c r="M216" i="6" s="1"/>
  <c r="M217" i="6" s="1"/>
  <c r="M218" i="6" s="1"/>
  <c r="M219" i="6" s="1"/>
  <c r="M220" i="6" s="1"/>
  <c r="M221" i="6" s="1"/>
  <c r="M222" i="6" s="1"/>
  <c r="M223" i="6" s="1"/>
  <c r="M224" i="6" s="1"/>
  <c r="M225" i="6" s="1"/>
  <c r="M226" i="6" s="1"/>
  <c r="M227" i="6" s="1"/>
  <c r="M228" i="6" s="1"/>
  <c r="M229" i="6" s="1"/>
  <c r="M230" i="6" s="1"/>
  <c r="M231" i="6" s="1"/>
  <c r="M232" i="6" s="1"/>
  <c r="M233" i="6" s="1"/>
  <c r="M234" i="6" s="1"/>
  <c r="M235" i="6" s="1"/>
  <c r="M236" i="6" s="1"/>
  <c r="M237" i="6" s="1"/>
  <c r="M238" i="6" s="1"/>
  <c r="M239" i="6" s="1"/>
  <c r="M240" i="6" s="1"/>
  <c r="M241" i="6" s="1"/>
  <c r="M242" i="6" s="1"/>
  <c r="M243" i="6" s="1"/>
  <c r="M244" i="6" s="1"/>
  <c r="M245" i="6" s="1"/>
  <c r="M246" i="6" s="1"/>
  <c r="M247" i="6" s="1"/>
  <c r="M248" i="6" s="1"/>
  <c r="M249" i="6" s="1"/>
  <c r="M250" i="6" s="1"/>
  <c r="M251" i="6" s="1"/>
  <c r="M252" i="6" s="1"/>
  <c r="M253" i="6" s="1"/>
  <c r="M254" i="6" s="1"/>
  <c r="M255" i="6" s="1"/>
  <c r="M256" i="6" s="1"/>
  <c r="M257" i="6" s="1"/>
  <c r="M258" i="6" s="1"/>
  <c r="M259" i="6" s="1"/>
  <c r="M260" i="6" s="1"/>
  <c r="M261" i="6" s="1"/>
  <c r="M262" i="6" s="1"/>
  <c r="M263" i="6" s="1"/>
  <c r="M264" i="6" s="1"/>
  <c r="M265" i="6" s="1"/>
  <c r="M266" i="6" s="1"/>
  <c r="M267" i="6" s="1"/>
  <c r="M268" i="6" s="1"/>
  <c r="M269" i="6" s="1"/>
  <c r="M270" i="6" s="1"/>
  <c r="M271" i="6" s="1"/>
  <c r="M272" i="6" s="1"/>
  <c r="M273" i="6" s="1"/>
  <c r="M274" i="6" s="1"/>
  <c r="M275" i="6" s="1"/>
  <c r="M276" i="6" s="1"/>
  <c r="M277" i="6" s="1"/>
  <c r="M278" i="6" s="1"/>
  <c r="M279" i="6" s="1"/>
  <c r="M280" i="6" s="1"/>
  <c r="M281" i="6" s="1"/>
  <c r="M282" i="6" s="1"/>
  <c r="M283" i="6" s="1"/>
  <c r="M284" i="6" s="1"/>
  <c r="M285" i="6" s="1"/>
  <c r="M286" i="6" s="1"/>
  <c r="M287" i="6" s="1"/>
  <c r="M288" i="6" s="1"/>
  <c r="M289" i="6" s="1"/>
  <c r="M290" i="6" s="1"/>
  <c r="M291" i="6" s="1"/>
  <c r="M292" i="6" s="1"/>
  <c r="M293" i="6" s="1"/>
  <c r="M294" i="6" s="1"/>
  <c r="M295" i="6" s="1"/>
  <c r="M296" i="6" s="1"/>
  <c r="M185" i="13"/>
  <c r="K185" i="5"/>
  <c r="P62" i="12"/>
  <c r="P62" i="13"/>
  <c r="K185" i="6"/>
  <c r="M184" i="12"/>
  <c r="N184" i="5"/>
  <c r="K184" i="13"/>
  <c r="O183" i="5"/>
  <c r="O183" i="12" s="1"/>
  <c r="N183" i="12"/>
  <c r="K184" i="12"/>
  <c r="O184" i="6"/>
  <c r="O184" i="13" s="1"/>
  <c r="N184" i="13"/>
  <c r="M186" i="13"/>
  <c r="N185" i="6"/>
  <c r="O185" i="5" l="1"/>
  <c r="O185" i="12" s="1"/>
  <c r="N185" i="12"/>
  <c r="M187" i="5"/>
  <c r="M186" i="12"/>
  <c r="N186" i="5"/>
  <c r="K186" i="6"/>
  <c r="P185" i="13"/>
  <c r="K185" i="13"/>
  <c r="K186" i="5"/>
  <c r="P185" i="12"/>
  <c r="K185" i="12"/>
  <c r="O185" i="6"/>
  <c r="O185" i="13" s="1"/>
  <c r="N185" i="13"/>
  <c r="K186" i="13"/>
  <c r="K186" i="12"/>
  <c r="O184" i="5"/>
  <c r="O184" i="12" s="1"/>
  <c r="N184" i="12"/>
  <c r="M187" i="13"/>
  <c r="N186" i="6"/>
  <c r="M188" i="5" l="1"/>
  <c r="M187" i="12"/>
  <c r="N187" i="5"/>
  <c r="O186" i="5"/>
  <c r="O186" i="12" s="1"/>
  <c r="N186" i="12"/>
  <c r="P186" i="12"/>
  <c r="K187" i="5"/>
  <c r="K187" i="6"/>
  <c r="P186" i="13"/>
  <c r="K187" i="12"/>
  <c r="K187" i="13"/>
  <c r="O186" i="6"/>
  <c r="O186" i="13" s="1"/>
  <c r="N186" i="13"/>
  <c r="M188" i="13"/>
  <c r="N187" i="6"/>
  <c r="O187" i="5" l="1"/>
  <c r="O187" i="12" s="1"/>
  <c r="N187" i="12"/>
  <c r="M189" i="5"/>
  <c r="M188" i="12"/>
  <c r="N188" i="5"/>
  <c r="P187" i="13"/>
  <c r="K188" i="6"/>
  <c r="K188" i="5"/>
  <c r="P187" i="12"/>
  <c r="K188" i="13"/>
  <c r="O187" i="6"/>
  <c r="O187" i="13" s="1"/>
  <c r="N187" i="13"/>
  <c r="K188" i="12"/>
  <c r="M189" i="13"/>
  <c r="N188" i="6"/>
  <c r="M190" i="5" l="1"/>
  <c r="M189" i="12"/>
  <c r="N189" i="5"/>
  <c r="O188" i="5"/>
  <c r="O188" i="12" s="1"/>
  <c r="N188" i="12"/>
  <c r="P188" i="12"/>
  <c r="K189" i="5"/>
  <c r="P188" i="13"/>
  <c r="K189" i="6"/>
  <c r="K189" i="13" s="1"/>
  <c r="O188" i="6"/>
  <c r="O188" i="13" s="1"/>
  <c r="N188" i="13"/>
  <c r="K189" i="12"/>
  <c r="M190" i="13"/>
  <c r="N189" i="6"/>
  <c r="N189" i="12" l="1"/>
  <c r="O189" i="5"/>
  <c r="O189" i="12" s="1"/>
  <c r="M191" i="5"/>
  <c r="M190" i="12"/>
  <c r="N190" i="5"/>
  <c r="P189" i="13"/>
  <c r="K190" i="6"/>
  <c r="K190" i="5"/>
  <c r="P189" i="12"/>
  <c r="K190" i="13"/>
  <c r="K190" i="12"/>
  <c r="O189" i="6"/>
  <c r="O189" i="13" s="1"/>
  <c r="N189" i="13"/>
  <c r="M191" i="13"/>
  <c r="N190" i="6"/>
  <c r="O190" i="5" l="1"/>
  <c r="O190" i="12" s="1"/>
  <c r="N190" i="12"/>
  <c r="M192" i="5"/>
  <c r="M191" i="12"/>
  <c r="N191" i="5"/>
  <c r="P190" i="13"/>
  <c r="K191" i="6"/>
  <c r="P190" i="12"/>
  <c r="K191" i="5"/>
  <c r="K191" i="12" s="1"/>
  <c r="O190" i="6"/>
  <c r="O190" i="13" s="1"/>
  <c r="N190" i="13"/>
  <c r="K191" i="13"/>
  <c r="M192" i="13"/>
  <c r="N191" i="6"/>
  <c r="O191" i="5" l="1"/>
  <c r="O191" i="12" s="1"/>
  <c r="N191" i="12"/>
  <c r="M193" i="5"/>
  <c r="M192" i="12"/>
  <c r="N192" i="5"/>
  <c r="P191" i="13"/>
  <c r="K192" i="6"/>
  <c r="P191" i="12"/>
  <c r="K192" i="5"/>
  <c r="K192" i="13"/>
  <c r="O191" i="6"/>
  <c r="O191" i="13" s="1"/>
  <c r="N191" i="13"/>
  <c r="M193" i="13"/>
  <c r="N192" i="6"/>
  <c r="N192" i="12" l="1"/>
  <c r="O192" i="5"/>
  <c r="O192" i="12" s="1"/>
  <c r="M194" i="5"/>
  <c r="M193" i="12"/>
  <c r="N193" i="5"/>
  <c r="K193" i="5"/>
  <c r="P192" i="12"/>
  <c r="K192" i="12"/>
  <c r="K193" i="6"/>
  <c r="P192" i="13"/>
  <c r="K193" i="12"/>
  <c r="O192" i="6"/>
  <c r="O192" i="13" s="1"/>
  <c r="N192" i="13"/>
  <c r="K193" i="13"/>
  <c r="M194" i="13"/>
  <c r="N193" i="6"/>
  <c r="M195" i="5" l="1"/>
  <c r="M194" i="12"/>
  <c r="N194" i="5"/>
  <c r="O193" i="5"/>
  <c r="O193" i="12" s="1"/>
  <c r="N193" i="12"/>
  <c r="P193" i="13"/>
  <c r="K194" i="6"/>
  <c r="K194" i="13" s="1"/>
  <c r="P193" i="12"/>
  <c r="K194" i="5"/>
  <c r="O193" i="6"/>
  <c r="O193" i="13" s="1"/>
  <c r="N193" i="13"/>
  <c r="K194" i="12"/>
  <c r="M195" i="13"/>
  <c r="N194" i="6"/>
  <c r="O194" i="5" l="1"/>
  <c r="O194" i="12" s="1"/>
  <c r="N194" i="12"/>
  <c r="M196" i="5"/>
  <c r="M195" i="12"/>
  <c r="N195" i="5"/>
  <c r="K195" i="5"/>
  <c r="P194" i="12"/>
  <c r="K195" i="6"/>
  <c r="P194" i="13"/>
  <c r="K195" i="12"/>
  <c r="O194" i="6"/>
  <c r="O194" i="13" s="1"/>
  <c r="N194" i="13"/>
  <c r="K195" i="13"/>
  <c r="M196" i="13"/>
  <c r="N195" i="6"/>
  <c r="N195" i="12" l="1"/>
  <c r="O195" i="5"/>
  <c r="O195" i="12" s="1"/>
  <c r="M197" i="5"/>
  <c r="M196" i="12"/>
  <c r="N196" i="5"/>
  <c r="K196" i="6"/>
  <c r="P195" i="13"/>
  <c r="K196" i="5"/>
  <c r="P195" i="12"/>
  <c r="K196" i="13"/>
  <c r="O195" i="6"/>
  <c r="O195" i="13" s="1"/>
  <c r="N195" i="13"/>
  <c r="K196" i="12"/>
  <c r="M197" i="13"/>
  <c r="N196" i="6"/>
  <c r="M198" i="5" l="1"/>
  <c r="M197" i="12"/>
  <c r="N197" i="5"/>
  <c r="O196" i="5"/>
  <c r="O196" i="12" s="1"/>
  <c r="N196" i="12"/>
  <c r="K197" i="5"/>
  <c r="P196" i="12"/>
  <c r="K197" i="6"/>
  <c r="P196" i="13"/>
  <c r="K197" i="12"/>
  <c r="O196" i="6"/>
  <c r="O196" i="13" s="1"/>
  <c r="N196" i="13"/>
  <c r="K197" i="13"/>
  <c r="M198" i="13"/>
  <c r="N197" i="6"/>
  <c r="O197" i="5" l="1"/>
  <c r="O197" i="12" s="1"/>
  <c r="N197" i="12"/>
  <c r="M199" i="5"/>
  <c r="M198" i="12"/>
  <c r="N198" i="5"/>
  <c r="P197" i="13"/>
  <c r="K198" i="6"/>
  <c r="P197" i="12"/>
  <c r="K198" i="5"/>
  <c r="O197" i="6"/>
  <c r="O197" i="13" s="1"/>
  <c r="N197" i="13"/>
  <c r="K198" i="12"/>
  <c r="K198" i="13"/>
  <c r="M199" i="13"/>
  <c r="N198" i="6"/>
  <c r="M200" i="5" l="1"/>
  <c r="M199" i="12"/>
  <c r="N199" i="5"/>
  <c r="N198" i="12"/>
  <c r="O198" i="5"/>
  <c r="O198" i="12" s="1"/>
  <c r="K199" i="5"/>
  <c r="P198" i="12"/>
  <c r="K199" i="6"/>
  <c r="P198" i="13"/>
  <c r="K199" i="13"/>
  <c r="K199" i="12"/>
  <c r="O198" i="6"/>
  <c r="O198" i="13" s="1"/>
  <c r="N198" i="13"/>
  <c r="M200" i="13"/>
  <c r="N199" i="6"/>
  <c r="N199" i="12" l="1"/>
  <c r="O199" i="5"/>
  <c r="O199" i="12" s="1"/>
  <c r="M201" i="5"/>
  <c r="M200" i="12"/>
  <c r="N200" i="5"/>
  <c r="P199" i="13"/>
  <c r="K200" i="6"/>
  <c r="P199" i="12"/>
  <c r="K200" i="5"/>
  <c r="K200" i="12"/>
  <c r="O199" i="6"/>
  <c r="O199" i="13" s="1"/>
  <c r="N199" i="13"/>
  <c r="K200" i="13"/>
  <c r="M201" i="13"/>
  <c r="N200" i="6"/>
  <c r="M202" i="5" l="1"/>
  <c r="M201" i="12"/>
  <c r="N201" i="5"/>
  <c r="O200" i="5"/>
  <c r="O200" i="12" s="1"/>
  <c r="N200" i="12"/>
  <c r="P200" i="13"/>
  <c r="K201" i="6"/>
  <c r="P200" i="12"/>
  <c r="K201" i="5"/>
  <c r="K201" i="13"/>
  <c r="O200" i="6"/>
  <c r="O200" i="13" s="1"/>
  <c r="N200" i="13"/>
  <c r="K201" i="12"/>
  <c r="M202" i="13"/>
  <c r="N201" i="6"/>
  <c r="N201" i="12" l="1"/>
  <c r="O201" i="5"/>
  <c r="O201" i="12" s="1"/>
  <c r="M203" i="5"/>
  <c r="M202" i="12"/>
  <c r="N202" i="5"/>
  <c r="P201" i="12"/>
  <c r="K202" i="5"/>
  <c r="K202" i="6"/>
  <c r="P201" i="13"/>
  <c r="K202" i="12"/>
  <c r="O201" i="6"/>
  <c r="O201" i="13" s="1"/>
  <c r="N201" i="13"/>
  <c r="K202" i="13"/>
  <c r="M203" i="13"/>
  <c r="N202" i="6"/>
  <c r="M204" i="5" l="1"/>
  <c r="M203" i="12"/>
  <c r="N203" i="5"/>
  <c r="N202" i="12"/>
  <c r="O202" i="5"/>
  <c r="O202" i="12" s="1"/>
  <c r="P202" i="13"/>
  <c r="K203" i="6"/>
  <c r="K203" i="5"/>
  <c r="P202" i="12"/>
  <c r="K203" i="12"/>
  <c r="O202" i="6"/>
  <c r="O202" i="13" s="1"/>
  <c r="N202" i="13"/>
  <c r="K203" i="13"/>
  <c r="M204" i="13"/>
  <c r="N203" i="6"/>
  <c r="N203" i="12" l="1"/>
  <c r="O203" i="5"/>
  <c r="O203" i="12" s="1"/>
  <c r="M205" i="5"/>
  <c r="M204" i="12"/>
  <c r="N204" i="5"/>
  <c r="P203" i="12"/>
  <c r="K204" i="5"/>
  <c r="P203" i="13"/>
  <c r="K204" i="6"/>
  <c r="K204" i="13" s="1"/>
  <c r="K204" i="12"/>
  <c r="O203" i="6"/>
  <c r="O203" i="13" s="1"/>
  <c r="N203" i="13"/>
  <c r="M205" i="13"/>
  <c r="N204" i="6"/>
  <c r="N204" i="12" l="1"/>
  <c r="O204" i="5"/>
  <c r="O204" i="12" s="1"/>
  <c r="M206" i="5"/>
  <c r="M205" i="12"/>
  <c r="N205" i="5"/>
  <c r="P204" i="13"/>
  <c r="K205" i="6"/>
  <c r="P204" i="12"/>
  <c r="K205" i="5"/>
  <c r="K205" i="12" s="1"/>
  <c r="O204" i="6"/>
  <c r="O204" i="13" s="1"/>
  <c r="N204" i="13"/>
  <c r="K205" i="13"/>
  <c r="M206" i="13"/>
  <c r="N205" i="6"/>
  <c r="M207" i="5" l="1"/>
  <c r="M206" i="12"/>
  <c r="N206" i="5"/>
  <c r="O205" i="5"/>
  <c r="O205" i="12" s="1"/>
  <c r="N205" i="12"/>
  <c r="K206" i="5"/>
  <c r="P205" i="12"/>
  <c r="P205" i="13"/>
  <c r="K206" i="6"/>
  <c r="K206" i="13" s="1"/>
  <c r="K206" i="12"/>
  <c r="O205" i="6"/>
  <c r="O205" i="13" s="1"/>
  <c r="N205" i="13"/>
  <c r="M207" i="13"/>
  <c r="N206" i="6"/>
  <c r="O206" i="5" l="1"/>
  <c r="O206" i="12" s="1"/>
  <c r="N206" i="12"/>
  <c r="M208" i="5"/>
  <c r="M207" i="12"/>
  <c r="N207" i="5"/>
  <c r="K207" i="6"/>
  <c r="P206" i="13"/>
  <c r="P206" i="12"/>
  <c r="K207" i="5"/>
  <c r="K207" i="12" s="1"/>
  <c r="O206" i="6"/>
  <c r="O206" i="13" s="1"/>
  <c r="N206" i="13"/>
  <c r="K207" i="13"/>
  <c r="M208" i="13"/>
  <c r="N207" i="6"/>
  <c r="N207" i="12" l="1"/>
  <c r="O207" i="5"/>
  <c r="O207" i="12" s="1"/>
  <c r="M209" i="5"/>
  <c r="M208" i="12"/>
  <c r="N208" i="5"/>
  <c r="K208" i="5"/>
  <c r="P207" i="12"/>
  <c r="P207" i="13"/>
  <c r="K208" i="6"/>
  <c r="K208" i="13"/>
  <c r="O207" i="6"/>
  <c r="O207" i="13" s="1"/>
  <c r="N207" i="13"/>
  <c r="K208" i="12"/>
  <c r="M209" i="13"/>
  <c r="N208" i="6"/>
  <c r="M210" i="5" l="1"/>
  <c r="M209" i="12"/>
  <c r="N209" i="5"/>
  <c r="O208" i="5"/>
  <c r="O208" i="12" s="1"/>
  <c r="N208" i="12"/>
  <c r="K209" i="6"/>
  <c r="P208" i="13"/>
  <c r="P208" i="12"/>
  <c r="K209" i="5"/>
  <c r="K209" i="12" s="1"/>
  <c r="O208" i="6"/>
  <c r="O208" i="13" s="1"/>
  <c r="N208" i="13"/>
  <c r="K209" i="13"/>
  <c r="M210" i="13"/>
  <c r="N209" i="6"/>
  <c r="O209" i="5" l="1"/>
  <c r="O209" i="12" s="1"/>
  <c r="N209" i="12"/>
  <c r="M211" i="5"/>
  <c r="M210" i="12"/>
  <c r="N210" i="5"/>
  <c r="P209" i="12"/>
  <c r="K210" i="5"/>
  <c r="K210" i="6"/>
  <c r="P209" i="13"/>
  <c r="K210" i="13"/>
  <c r="O209" i="6"/>
  <c r="O209" i="13" s="1"/>
  <c r="N209" i="13"/>
  <c r="M211" i="13"/>
  <c r="N210" i="6"/>
  <c r="M212" i="5" l="1"/>
  <c r="M211" i="12"/>
  <c r="N211" i="5"/>
  <c r="N210" i="12"/>
  <c r="O210" i="5"/>
  <c r="O210" i="12" s="1"/>
  <c r="K211" i="6"/>
  <c r="P210" i="13"/>
  <c r="P210" i="12"/>
  <c r="K211" i="5"/>
  <c r="K210" i="12"/>
  <c r="O210" i="6"/>
  <c r="O210" i="13" s="1"/>
  <c r="N210" i="13"/>
  <c r="K211" i="12"/>
  <c r="K211" i="13"/>
  <c r="M212" i="13"/>
  <c r="N211" i="6"/>
  <c r="O211" i="5" l="1"/>
  <c r="O211" i="12" s="1"/>
  <c r="N211" i="12"/>
  <c r="M213" i="5"/>
  <c r="M212" i="12"/>
  <c r="N212" i="5"/>
  <c r="K212" i="5"/>
  <c r="P211" i="12"/>
  <c r="K212" i="6"/>
  <c r="P211" i="13"/>
  <c r="K212" i="13"/>
  <c r="K212" i="12"/>
  <c r="O211" i="6"/>
  <c r="O211" i="13" s="1"/>
  <c r="N211" i="13"/>
  <c r="M213" i="13"/>
  <c r="N212" i="6"/>
  <c r="O212" i="5" l="1"/>
  <c r="O212" i="12" s="1"/>
  <c r="N212" i="12"/>
  <c r="M214" i="5"/>
  <c r="M213" i="12"/>
  <c r="N213" i="5"/>
  <c r="P212" i="13"/>
  <c r="K213" i="6"/>
  <c r="P212" i="12"/>
  <c r="K213" i="5"/>
  <c r="O212" i="6"/>
  <c r="O212" i="13" s="1"/>
  <c r="N212" i="13"/>
  <c r="K213" i="13"/>
  <c r="M214" i="13"/>
  <c r="N213" i="6"/>
  <c r="O213" i="5" l="1"/>
  <c r="O213" i="12" s="1"/>
  <c r="N213" i="12"/>
  <c r="M215" i="5"/>
  <c r="M214" i="12"/>
  <c r="N214" i="5"/>
  <c r="P213" i="12"/>
  <c r="K214" i="5"/>
  <c r="K213" i="12"/>
  <c r="P213" i="13"/>
  <c r="K214" i="6"/>
  <c r="K214" i="12"/>
  <c r="K214" i="13"/>
  <c r="O213" i="6"/>
  <c r="O213" i="13" s="1"/>
  <c r="N213" i="13"/>
  <c r="M215" i="13"/>
  <c r="N214" i="6"/>
  <c r="O214" i="5" l="1"/>
  <c r="O214" i="12" s="1"/>
  <c r="N214" i="12"/>
  <c r="M216" i="5"/>
  <c r="M215" i="12"/>
  <c r="N215" i="5"/>
  <c r="P214" i="13"/>
  <c r="K215" i="6"/>
  <c r="K215" i="5"/>
  <c r="P214" i="12"/>
  <c r="O214" i="6"/>
  <c r="O214" i="13" s="1"/>
  <c r="N214" i="13"/>
  <c r="K215" i="12"/>
  <c r="M216" i="13"/>
  <c r="N215" i="6"/>
  <c r="N215" i="12" l="1"/>
  <c r="O215" i="5"/>
  <c r="O215" i="12" s="1"/>
  <c r="M217" i="5"/>
  <c r="M216" i="12"/>
  <c r="N216" i="5"/>
  <c r="K216" i="5"/>
  <c r="P215" i="12"/>
  <c r="K216" i="6"/>
  <c r="K216" i="13" s="1"/>
  <c r="P215" i="13"/>
  <c r="K215" i="13"/>
  <c r="K216" i="12"/>
  <c r="O215" i="6"/>
  <c r="O215" i="13" s="1"/>
  <c r="N215" i="13"/>
  <c r="M217" i="13"/>
  <c r="N216" i="6"/>
  <c r="O216" i="5" l="1"/>
  <c r="O216" i="12" s="1"/>
  <c r="N216" i="12"/>
  <c r="M218" i="5"/>
  <c r="M217" i="12"/>
  <c r="N217" i="5"/>
  <c r="K217" i="6"/>
  <c r="P216" i="13"/>
  <c r="P216" i="12"/>
  <c r="K217" i="5"/>
  <c r="K217" i="12" s="1"/>
  <c r="K217" i="13"/>
  <c r="O216" i="6"/>
  <c r="O216" i="13" s="1"/>
  <c r="N216" i="13"/>
  <c r="N217" i="6"/>
  <c r="O217" i="5" l="1"/>
  <c r="O217" i="12" s="1"/>
  <c r="N217" i="12"/>
  <c r="M219" i="5"/>
  <c r="N218" i="5"/>
  <c r="O218" i="5" s="1"/>
  <c r="K218" i="5"/>
  <c r="P217" i="12"/>
  <c r="K218" i="6"/>
  <c r="P217" i="13"/>
  <c r="O217" i="6"/>
  <c r="O217" i="13" s="1"/>
  <c r="N217" i="13"/>
  <c r="N218" i="6"/>
  <c r="O218" i="6" s="1"/>
  <c r="M220" i="5" l="1"/>
  <c r="N219" i="5"/>
  <c r="O219" i="5" s="1"/>
  <c r="K219" i="6"/>
  <c r="K219" i="5"/>
  <c r="N219" i="6"/>
  <c r="O219" i="6" s="1"/>
  <c r="M221" i="5" l="1"/>
  <c r="N220" i="5"/>
  <c r="O220" i="5" s="1"/>
  <c r="K220" i="5"/>
  <c r="K220" i="6"/>
  <c r="N220" i="6"/>
  <c r="O220" i="6" s="1"/>
  <c r="M222" i="5" l="1"/>
  <c r="N221" i="5"/>
  <c r="O221" i="5" s="1"/>
  <c r="K221" i="5"/>
  <c r="K221" i="6"/>
  <c r="N221" i="6"/>
  <c r="O221" i="6" s="1"/>
  <c r="M223" i="5" l="1"/>
  <c r="N222" i="5"/>
  <c r="O222" i="5" s="1"/>
  <c r="K222" i="6"/>
  <c r="K222" i="5"/>
  <c r="N222" i="6"/>
  <c r="O222" i="6" s="1"/>
  <c r="M224" i="5" l="1"/>
  <c r="N223" i="5"/>
  <c r="O223" i="5" s="1"/>
  <c r="K223" i="6"/>
  <c r="K223" i="5"/>
  <c r="N223" i="6"/>
  <c r="O223" i="6" s="1"/>
  <c r="M225" i="5" l="1"/>
  <c r="N224" i="5"/>
  <c r="O224" i="5" s="1"/>
  <c r="K224" i="5"/>
  <c r="K224" i="6"/>
  <c r="N224" i="6"/>
  <c r="O224" i="6" s="1"/>
  <c r="M226" i="5" l="1"/>
  <c r="N225" i="5"/>
  <c r="O225" i="5" s="1"/>
  <c r="K225" i="6"/>
  <c r="K225" i="5"/>
  <c r="N225" i="6"/>
  <c r="O225" i="6" s="1"/>
  <c r="M227" i="5" l="1"/>
  <c r="N226" i="5"/>
  <c r="O226" i="5" s="1"/>
  <c r="K226" i="5"/>
  <c r="K226" i="6"/>
  <c r="N226" i="6"/>
  <c r="O226" i="6" s="1"/>
  <c r="M228" i="5" l="1"/>
  <c r="N227" i="5"/>
  <c r="O227" i="5" s="1"/>
  <c r="K227" i="6"/>
  <c r="K227" i="5"/>
  <c r="N227" i="6"/>
  <c r="O227" i="6" s="1"/>
  <c r="M229" i="5" l="1"/>
  <c r="N228" i="5"/>
  <c r="O228" i="5" s="1"/>
  <c r="K228" i="5"/>
  <c r="K228" i="6"/>
  <c r="N228" i="6"/>
  <c r="O228" i="6" s="1"/>
  <c r="M230" i="5" l="1"/>
  <c r="N229" i="5"/>
  <c r="O229" i="5" s="1"/>
  <c r="K229" i="6"/>
  <c r="K229" i="5"/>
  <c r="N229" i="6"/>
  <c r="O229" i="6" s="1"/>
  <c r="M231" i="5" l="1"/>
  <c r="N230" i="5"/>
  <c r="O230" i="5" s="1"/>
  <c r="K230" i="5"/>
  <c r="K230" i="6"/>
  <c r="N230" i="6"/>
  <c r="O230" i="6" s="1"/>
  <c r="M232" i="5" l="1"/>
  <c r="N231" i="5"/>
  <c r="O231" i="5" s="1"/>
  <c r="K231" i="6"/>
  <c r="K231" i="5"/>
  <c r="N231" i="6"/>
  <c r="O231" i="6" s="1"/>
  <c r="M233" i="5" l="1"/>
  <c r="N232" i="5"/>
  <c r="O232" i="5" s="1"/>
  <c r="K232" i="6"/>
  <c r="K232" i="5"/>
  <c r="N232" i="6"/>
  <c r="O232" i="6" s="1"/>
  <c r="M234" i="5" l="1"/>
  <c r="N233" i="5"/>
  <c r="O233" i="5" s="1"/>
  <c r="K233" i="5"/>
  <c r="K233" i="6"/>
  <c r="N233" i="6"/>
  <c r="O233" i="6" s="1"/>
  <c r="M235" i="5" l="1"/>
  <c r="N234" i="5"/>
  <c r="O234" i="5" s="1"/>
  <c r="K234" i="6"/>
  <c r="K234" i="5"/>
  <c r="N234" i="6"/>
  <c r="O234" i="6" s="1"/>
  <c r="M236" i="5" l="1"/>
  <c r="N235" i="5"/>
  <c r="O235" i="5" s="1"/>
  <c r="K235" i="5"/>
  <c r="K235" i="6"/>
  <c r="N235" i="6"/>
  <c r="O235" i="6" s="1"/>
  <c r="M237" i="5" l="1"/>
  <c r="N236" i="5"/>
  <c r="O236" i="5" s="1"/>
  <c r="K236" i="6"/>
  <c r="K236" i="5"/>
  <c r="N236" i="6"/>
  <c r="O236" i="6" s="1"/>
  <c r="M238" i="5" l="1"/>
  <c r="N237" i="5"/>
  <c r="O237" i="5" s="1"/>
  <c r="K237" i="5"/>
  <c r="K237" i="6"/>
  <c r="N237" i="6"/>
  <c r="O237" i="6" s="1"/>
  <c r="M239" i="5" l="1"/>
  <c r="N238" i="5"/>
  <c r="O238" i="5" s="1"/>
  <c r="K238" i="6"/>
  <c r="K238" i="5"/>
  <c r="N238" i="6"/>
  <c r="O238" i="6" s="1"/>
  <c r="M240" i="5" l="1"/>
  <c r="N239" i="5"/>
  <c r="O239" i="5" s="1"/>
  <c r="K239" i="5"/>
  <c r="K239" i="6"/>
  <c r="N239" i="6"/>
  <c r="O239" i="6" s="1"/>
  <c r="M241" i="5" l="1"/>
  <c r="N240" i="5"/>
  <c r="O240" i="5" s="1"/>
  <c r="K240" i="6"/>
  <c r="K240" i="5"/>
  <c r="N240" i="6"/>
  <c r="O240" i="6" s="1"/>
  <c r="M242" i="5" l="1"/>
  <c r="N241" i="5"/>
  <c r="O241" i="5" s="1"/>
  <c r="K241" i="5"/>
  <c r="K241" i="6"/>
  <c r="N241" i="6"/>
  <c r="O241" i="6" s="1"/>
  <c r="M243" i="5" l="1"/>
  <c r="N242" i="5"/>
  <c r="O242" i="5" s="1"/>
  <c r="K242" i="6"/>
  <c r="K242" i="5"/>
  <c r="N242" i="6"/>
  <c r="O242" i="6" s="1"/>
  <c r="M244" i="5" l="1"/>
  <c r="N243" i="5"/>
  <c r="O243" i="5" s="1"/>
  <c r="K243" i="5"/>
  <c r="K243" i="6"/>
  <c r="N243" i="6"/>
  <c r="O243" i="6" s="1"/>
  <c r="M245" i="5" l="1"/>
  <c r="N244" i="5"/>
  <c r="O244" i="5" s="1"/>
  <c r="K244" i="6"/>
  <c r="K244" i="5"/>
  <c r="N244" i="6"/>
  <c r="O244" i="6" s="1"/>
  <c r="M246" i="5" l="1"/>
  <c r="N245" i="5"/>
  <c r="O245" i="5" s="1"/>
  <c r="K245" i="5"/>
  <c r="K245" i="6"/>
  <c r="N245" i="6"/>
  <c r="O245" i="6" s="1"/>
  <c r="M247" i="5" l="1"/>
  <c r="N246" i="5"/>
  <c r="O246" i="5" s="1"/>
  <c r="K246" i="6"/>
  <c r="K246" i="5"/>
  <c r="N246" i="6"/>
  <c r="O246" i="6" s="1"/>
  <c r="M248" i="5" l="1"/>
  <c r="N247" i="5"/>
  <c r="O247" i="5" s="1"/>
  <c r="K247" i="5"/>
  <c r="K247" i="6"/>
  <c r="N247" i="6"/>
  <c r="O247" i="6" s="1"/>
  <c r="M249" i="5" l="1"/>
  <c r="N248" i="5"/>
  <c r="O248" i="5" s="1"/>
  <c r="K248" i="6"/>
  <c r="K248" i="5"/>
  <c r="N248" i="6"/>
  <c r="O248" i="6" s="1"/>
  <c r="M250" i="5" l="1"/>
  <c r="N249" i="5"/>
  <c r="O249" i="5" s="1"/>
  <c r="K249" i="5"/>
  <c r="K249" i="6"/>
  <c r="N249" i="6"/>
  <c r="O249" i="6" s="1"/>
  <c r="M251" i="5" l="1"/>
  <c r="N250" i="5"/>
  <c r="O250" i="5" s="1"/>
  <c r="K250" i="6"/>
  <c r="K250" i="5"/>
  <c r="N250" i="6"/>
  <c r="O250" i="6" s="1"/>
  <c r="M252" i="5" l="1"/>
  <c r="N251" i="5"/>
  <c r="O251" i="5" s="1"/>
  <c r="K251" i="5"/>
  <c r="K251" i="6"/>
  <c r="N251" i="6"/>
  <c r="O251" i="6" s="1"/>
  <c r="M253" i="5" l="1"/>
  <c r="N252" i="5"/>
  <c r="O252" i="5" s="1"/>
  <c r="K252" i="6"/>
  <c r="K252" i="5"/>
  <c r="N252" i="6"/>
  <c r="O252" i="6" s="1"/>
  <c r="M254" i="5" l="1"/>
  <c r="N253" i="5"/>
  <c r="O253" i="5" s="1"/>
  <c r="K253" i="5"/>
  <c r="K253" i="6"/>
  <c r="N253" i="6"/>
  <c r="O253" i="6" s="1"/>
  <c r="M255" i="5" l="1"/>
  <c r="N254" i="5"/>
  <c r="O254" i="5" s="1"/>
  <c r="K254" i="6"/>
  <c r="K254" i="5"/>
  <c r="N254" i="6"/>
  <c r="O254" i="6" s="1"/>
  <c r="M256" i="5" l="1"/>
  <c r="N255" i="5"/>
  <c r="O255" i="5" s="1"/>
  <c r="K255" i="5"/>
  <c r="K255" i="6"/>
  <c r="N255" i="6"/>
  <c r="O255" i="6" s="1"/>
  <c r="M257" i="5" l="1"/>
  <c r="N256" i="5"/>
  <c r="O256" i="5" s="1"/>
  <c r="K256" i="5"/>
  <c r="K256" i="6"/>
  <c r="N256" i="6"/>
  <c r="O256" i="6" s="1"/>
  <c r="M258" i="5" l="1"/>
  <c r="N257" i="5"/>
  <c r="O257" i="5" s="1"/>
  <c r="K257" i="6"/>
  <c r="K257" i="5"/>
  <c r="N257" i="6"/>
  <c r="O257" i="6" s="1"/>
  <c r="M259" i="5" l="1"/>
  <c r="N258" i="5"/>
  <c r="O258" i="5" s="1"/>
  <c r="K258" i="5"/>
  <c r="K258" i="6"/>
  <c r="N258" i="6"/>
  <c r="O258" i="6" s="1"/>
  <c r="M260" i="5" l="1"/>
  <c r="N259" i="5"/>
  <c r="O259" i="5" s="1"/>
  <c r="K259" i="6"/>
  <c r="K259" i="5"/>
  <c r="N259" i="6"/>
  <c r="O259" i="6" s="1"/>
  <c r="M261" i="5" l="1"/>
  <c r="N260" i="5"/>
  <c r="O260" i="5" s="1"/>
  <c r="K260" i="5"/>
  <c r="K260" i="6"/>
  <c r="N260" i="6"/>
  <c r="O260" i="6" s="1"/>
  <c r="M262" i="5" l="1"/>
  <c r="N261" i="5"/>
  <c r="O261" i="5" s="1"/>
  <c r="K261" i="6"/>
  <c r="K261" i="5"/>
  <c r="N261" i="6"/>
  <c r="O261" i="6" s="1"/>
  <c r="M263" i="5" l="1"/>
  <c r="N262" i="5"/>
  <c r="O262" i="5" s="1"/>
  <c r="K262" i="5"/>
  <c r="K262" i="6"/>
  <c r="N262" i="6"/>
  <c r="O262" i="6" s="1"/>
  <c r="M264" i="5" l="1"/>
  <c r="N263" i="5"/>
  <c r="O263" i="5" s="1"/>
  <c r="K263" i="6"/>
  <c r="K263" i="5"/>
  <c r="N263" i="6"/>
  <c r="O263" i="6" s="1"/>
  <c r="M265" i="5" l="1"/>
  <c r="N264" i="5"/>
  <c r="O264" i="5" s="1"/>
  <c r="K264" i="5"/>
  <c r="K264" i="6"/>
  <c r="N264" i="6"/>
  <c r="O264" i="6" s="1"/>
  <c r="M266" i="5" l="1"/>
  <c r="N265" i="5"/>
  <c r="O265" i="5" s="1"/>
  <c r="K265" i="6"/>
  <c r="K265" i="5"/>
  <c r="N265" i="6"/>
  <c r="O265" i="6" s="1"/>
  <c r="M267" i="5" l="1"/>
  <c r="N266" i="5"/>
  <c r="O266" i="5" s="1"/>
  <c r="K266" i="5"/>
  <c r="K266" i="6"/>
  <c r="N266" i="6"/>
  <c r="O266" i="6" s="1"/>
  <c r="M268" i="5" l="1"/>
  <c r="N267" i="5"/>
  <c r="O267" i="5" s="1"/>
  <c r="K267" i="6"/>
  <c r="K267" i="5"/>
  <c r="N267" i="6"/>
  <c r="O267" i="6" s="1"/>
  <c r="M269" i="5" l="1"/>
  <c r="N268" i="5"/>
  <c r="O268" i="5" s="1"/>
  <c r="K268" i="5"/>
  <c r="K268" i="6"/>
  <c r="N268" i="6"/>
  <c r="O268" i="6" s="1"/>
  <c r="M270" i="5" l="1"/>
  <c r="N269" i="5"/>
  <c r="O269" i="5" s="1"/>
  <c r="K269" i="6"/>
  <c r="K269" i="5"/>
  <c r="N269" i="6"/>
  <c r="O269" i="6" s="1"/>
  <c r="M271" i="5" l="1"/>
  <c r="N270" i="5"/>
  <c r="O270" i="5" s="1"/>
  <c r="K270" i="5"/>
  <c r="K270" i="6"/>
  <c r="N270" i="6"/>
  <c r="O270" i="6" s="1"/>
  <c r="M272" i="5" l="1"/>
  <c r="N271" i="5"/>
  <c r="O271" i="5" s="1"/>
  <c r="K271" i="6"/>
  <c r="K271" i="5"/>
  <c r="N271" i="6"/>
  <c r="O271" i="6" s="1"/>
  <c r="M273" i="5" l="1"/>
  <c r="N272" i="5"/>
  <c r="O272" i="5" s="1"/>
  <c r="K272" i="6"/>
  <c r="K272" i="5"/>
  <c r="N272" i="6"/>
  <c r="O272" i="6" s="1"/>
  <c r="M274" i="5" l="1"/>
  <c r="N273" i="5"/>
  <c r="O273" i="5" s="1"/>
  <c r="K273" i="6"/>
  <c r="K273" i="5"/>
  <c r="N273" i="6"/>
  <c r="O273" i="6" s="1"/>
  <c r="M275" i="5" l="1"/>
  <c r="N274" i="5"/>
  <c r="O274" i="5" s="1"/>
  <c r="K274" i="5"/>
  <c r="K274" i="6"/>
  <c r="N274" i="6"/>
  <c r="O274" i="6" s="1"/>
  <c r="M276" i="5" l="1"/>
  <c r="N275" i="5"/>
  <c r="O275" i="5" s="1"/>
  <c r="K275" i="6"/>
  <c r="K275" i="5"/>
  <c r="N275" i="6"/>
  <c r="O275" i="6" s="1"/>
  <c r="M277" i="5" l="1"/>
  <c r="N276" i="5"/>
  <c r="O276" i="5" s="1"/>
  <c r="K276" i="5"/>
  <c r="K276" i="6"/>
  <c r="N276" i="6"/>
  <c r="O276" i="6" s="1"/>
  <c r="M278" i="5" l="1"/>
  <c r="N277" i="5"/>
  <c r="O277" i="5" s="1"/>
  <c r="K277" i="6"/>
  <c r="K277" i="5"/>
  <c r="N277" i="6"/>
  <c r="O277" i="6" s="1"/>
  <c r="M279" i="5" l="1"/>
  <c r="N278" i="5"/>
  <c r="O278" i="5" s="1"/>
  <c r="K278" i="5"/>
  <c r="K278" i="6"/>
  <c r="N278" i="6"/>
  <c r="O278" i="6" s="1"/>
  <c r="M280" i="5" l="1"/>
  <c r="N279" i="5"/>
  <c r="O279" i="5" s="1"/>
  <c r="K279" i="6"/>
  <c r="K279" i="5"/>
  <c r="N279" i="6"/>
  <c r="O279" i="6" s="1"/>
  <c r="M281" i="5" l="1"/>
  <c r="N280" i="5"/>
  <c r="O280" i="5" s="1"/>
  <c r="K280" i="5"/>
  <c r="K280" i="6"/>
  <c r="N280" i="6"/>
  <c r="O280" i="6" s="1"/>
  <c r="M282" i="5" l="1"/>
  <c r="N281" i="5"/>
  <c r="O281" i="5" s="1"/>
  <c r="K281" i="5"/>
  <c r="K281" i="6"/>
  <c r="N281" i="6"/>
  <c r="O281" i="6" s="1"/>
  <c r="M283" i="5" l="1"/>
  <c r="N282" i="5"/>
  <c r="O282" i="5" s="1"/>
  <c r="K282" i="6"/>
  <c r="K282" i="5"/>
  <c r="N282" i="6"/>
  <c r="O282" i="6" s="1"/>
  <c r="M284" i="5" l="1"/>
  <c r="N283" i="5"/>
  <c r="O283" i="5" s="1"/>
  <c r="K283" i="5"/>
  <c r="K283" i="6"/>
  <c r="N283" i="6"/>
  <c r="O283" i="6" s="1"/>
  <c r="M285" i="5" l="1"/>
  <c r="N284" i="5"/>
  <c r="O284" i="5" s="1"/>
  <c r="K284" i="6"/>
  <c r="K284" i="5"/>
  <c r="N284" i="6"/>
  <c r="O284" i="6" s="1"/>
  <c r="M286" i="5" l="1"/>
  <c r="N285" i="5"/>
  <c r="O285" i="5" s="1"/>
  <c r="K285" i="5"/>
  <c r="K285" i="6"/>
  <c r="N285" i="6"/>
  <c r="O285" i="6" s="1"/>
  <c r="M287" i="5" l="1"/>
  <c r="N286" i="5"/>
  <c r="O286" i="5" s="1"/>
  <c r="K286" i="5"/>
  <c r="K286" i="6"/>
  <c r="N286" i="6"/>
  <c r="O286" i="6" s="1"/>
  <c r="M288" i="5" l="1"/>
  <c r="N287" i="5"/>
  <c r="O287" i="5" s="1"/>
  <c r="K287" i="6"/>
  <c r="K287" i="5"/>
  <c r="N287" i="6"/>
  <c r="O287" i="6" s="1"/>
  <c r="M289" i="5" l="1"/>
  <c r="N288" i="5"/>
  <c r="O288" i="5" s="1"/>
  <c r="K288" i="5"/>
  <c r="K288" i="6"/>
  <c r="N288" i="6"/>
  <c r="O288" i="6" s="1"/>
  <c r="M290" i="5" l="1"/>
  <c r="N289" i="5"/>
  <c r="O289" i="5" s="1"/>
  <c r="K289" i="6"/>
  <c r="K289" i="5"/>
  <c r="N289" i="6"/>
  <c r="O289" i="6" s="1"/>
  <c r="M291" i="5" l="1"/>
  <c r="N290" i="5"/>
  <c r="O290" i="5" s="1"/>
  <c r="K290" i="5"/>
  <c r="K290" i="6"/>
  <c r="N290" i="6"/>
  <c r="O290" i="6" s="1"/>
  <c r="M292" i="5" l="1"/>
  <c r="N291" i="5"/>
  <c r="O291" i="5" s="1"/>
  <c r="K291" i="6"/>
  <c r="K291" i="5"/>
  <c r="N291" i="6"/>
  <c r="O291" i="6" s="1"/>
  <c r="M293" i="5" l="1"/>
  <c r="N292" i="5"/>
  <c r="O292" i="5" s="1"/>
  <c r="K292" i="5"/>
  <c r="K292" i="6"/>
  <c r="N292" i="6"/>
  <c r="O292" i="6" s="1"/>
  <c r="M294" i="5" l="1"/>
  <c r="N293" i="5"/>
  <c r="O293" i="5" s="1"/>
  <c r="K293" i="6"/>
  <c r="K293" i="5"/>
  <c r="N293" i="6"/>
  <c r="O293" i="6" s="1"/>
  <c r="M295" i="5" l="1"/>
  <c r="N294" i="5"/>
  <c r="O294" i="5" s="1"/>
  <c r="K294" i="5"/>
  <c r="K294" i="6"/>
  <c r="N294" i="6"/>
  <c r="O294" i="6" s="1"/>
  <c r="M296" i="5" l="1"/>
  <c r="N296" i="5" s="1"/>
  <c r="O296" i="5" s="1"/>
  <c r="N295" i="5"/>
  <c r="O295" i="5" s="1"/>
  <c r="K295" i="6"/>
  <c r="K295" i="5"/>
  <c r="N295" i="6"/>
  <c r="O295" i="6" s="1"/>
  <c r="K296" i="5" l="1"/>
  <c r="P296" i="5" s="1"/>
  <c r="K296" i="6"/>
  <c r="P296" i="6" s="1"/>
  <c r="N296" i="6"/>
  <c r="O296" i="6" s="1"/>
  <c r="P4" i="11" l="1"/>
  <c r="P8" i="11"/>
  <c r="P12" i="11"/>
  <c r="P16" i="11"/>
  <c r="P20" i="11"/>
  <c r="P24" i="11"/>
  <c r="P28" i="11"/>
  <c r="P32" i="11"/>
  <c r="P36" i="11"/>
  <c r="P6" i="11"/>
  <c r="P14" i="11"/>
  <c r="P22" i="11"/>
  <c r="P30" i="11"/>
  <c r="P19" i="11"/>
  <c r="P35" i="11"/>
  <c r="P5" i="11"/>
  <c r="P9" i="11"/>
  <c r="P13" i="11"/>
  <c r="P17" i="11"/>
  <c r="P21" i="11"/>
  <c r="P25" i="11"/>
  <c r="P29" i="11"/>
  <c r="P33" i="11"/>
  <c r="P3" i="11"/>
  <c r="P10" i="11"/>
  <c r="P18" i="11"/>
  <c r="P26" i="11"/>
  <c r="P34" i="11"/>
  <c r="P7" i="11"/>
  <c r="P15" i="11"/>
  <c r="P23" i="11"/>
  <c r="P31" i="11"/>
  <c r="P11" i="11"/>
  <c r="P27" i="11"/>
  <c r="C9" i="7"/>
  <c r="E4" i="7" s="1"/>
  <c r="E9" i="7" l="1"/>
  <c r="B8" i="7" l="1"/>
  <c r="C12" i="7" l="1"/>
  <c r="E12" i="7" s="1"/>
  <c r="P2" i="4"/>
  <c r="P2" i="11"/>
  <c r="P28" i="10" l="1"/>
  <c r="P36" i="10"/>
  <c r="P20" i="10"/>
  <c r="P17" i="10"/>
  <c r="P34" i="10"/>
  <c r="P23" i="10"/>
  <c r="P18" i="10"/>
  <c r="P7" i="10"/>
  <c r="P16" i="10"/>
  <c r="P32" i="10"/>
  <c r="P29" i="10"/>
  <c r="P13" i="10"/>
  <c r="P27" i="10"/>
  <c r="P22" i="10"/>
  <c r="P11" i="10"/>
  <c r="P6" i="10"/>
  <c r="P12" i="10"/>
  <c r="P33" i="10"/>
  <c r="P25" i="10"/>
  <c r="P9" i="10"/>
  <c r="P31" i="10"/>
  <c r="P26" i="10"/>
  <c r="P15" i="10"/>
  <c r="P10" i="10"/>
  <c r="P4" i="10"/>
  <c r="P24" i="10"/>
  <c r="P8" i="10"/>
  <c r="P37" i="10"/>
  <c r="P21" i="10"/>
  <c r="P5" i="10"/>
  <c r="P35" i="10"/>
  <c r="P30" i="10"/>
  <c r="P19" i="10"/>
  <c r="P14" i="10"/>
  <c r="E52" i="7"/>
  <c r="F53" i="7" s="1"/>
  <c r="J3" i="7" l="1"/>
  <c r="K9" i="7" s="1"/>
  <c r="D8" i="7"/>
  <c r="AB15" i="7"/>
  <c r="H3" i="7"/>
  <c r="M3" i="7" l="1"/>
  <c r="AC15" i="7"/>
  <c r="AD15" i="7" s="1"/>
  <c r="C8" i="7"/>
  <c r="E3" i="7" s="1"/>
  <c r="E8" i="7"/>
  <c r="E10" i="7" s="1"/>
  <c r="K3" i="7"/>
  <c r="P3" i="17"/>
  <c r="AC5" i="7"/>
  <c r="J10" i="7" l="1"/>
  <c r="L3" i="7"/>
  <c r="B9" i="7"/>
  <c r="C11" i="7" l="1"/>
  <c r="E11" i="7" s="1"/>
  <c r="P3" i="10"/>
  <c r="P3" i="3"/>
  <c r="AB16" i="7" l="1"/>
  <c r="AD16" i="7" s="1"/>
  <c r="J4" i="7"/>
  <c r="K10" i="7" s="1"/>
  <c r="H4" i="7"/>
  <c r="AC7" i="7" s="1"/>
  <c r="P2" i="18" l="1"/>
  <c r="M4" i="7"/>
  <c r="K4" i="7"/>
  <c r="J11" i="7" l="1"/>
  <c r="L4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Luis Giordano C.</author>
  </authors>
  <commentList>
    <comment ref="A2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Luis Giordano C.:</t>
        </r>
        <r>
          <rPr>
            <sz val="9"/>
            <color indexed="81"/>
            <rFont val="Tahoma"/>
            <family val="2"/>
          </rPr>
          <t xml:space="preserve">
Productos Vista como Vale Vista??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Consulta desde MS Access Database" type="1" refreshedVersion="8" background="1" saveData="1">
    <dbPr connection="DSN=MS Access Database;DBQ=Z:\RF_PROCESOS\RF_Balance\RF_Generador_Balance_Falabella.accdb;DefaultDir=Z:\RF_PROCESOS\RF_Balance;DriverId=25;FIL=MS Access;MaxBufferSize=2048;PageTimeout=5;" command="SELECT Precios_dia.Fecha, Precios_dia.NEMOTECNICO, Precios_dia.Instrumento, Precios_dia.Moneda, Precios_dia.Precio_Mid_x000d__x000a_FROM `Z:\RF_PROCESOS\RF_Balance\RF_Generador_Balance_Falabella.accdb`.Precios_dia Precios_dia_x000d__x000a_WHERE (Precios_dia.Moneda='CLF')"/>
  </connection>
  <connection id="2" xr16:uid="{00000000-0015-0000-FFFF-FFFF01000000}" name="Consulta desde MS Access Database1" type="1" refreshedVersion="8" background="1" saveData="1">
    <dbPr connection="DSN=MS Access Database;DBQ=Z:\RF_PROCESOS\RF_Balance\RF_Generador_Balance_Falabella.accdb;DefaultDir=Z:\RF_PROCESOS\RF_Balance;DriverId=25;FIL=MS Access;MaxBufferSize=2048;PageTimeout=5;" command="SELECT RF_Balance_Final_Ajustado.Fecha_Proceso, RF_Balance_Final_Ajustado.Tipo_Cuenta, RF_Balance_Final_Ajustado.Cod_Pro, RF_Balance_Final_Ajustado.Cod_Sub_Pro, RF_Balance_Final_Ajustado.Moneda, RF_Balance_Final_Ajustado.Saldo_Final_Pesos_x000d__x000a_FROM `Z:\RF_PROCESOS\RF_Balance\RF_Generador_Balance_Falabella.accdb`.RF_Balance_Final_Ajustado RF_Balance_Final_Ajustado_x000d__x000a_WHERE (RF_Balance_Final_Ajustado.Cod_Pro='CTA. CORRIENTE') AND (RF_Balance_Final_Ajustado.Cod_Sub_Pro&lt;&gt;'VALES VISTA' And RF_Balance_Final_Ajustado.Cod_Sub_Pro&lt;&gt;'VALES VISTA POR EMITIR') OR (RF_Balance_Final_Ajustado.Cod_Pro='CTA. AHORRO') AND (RF_Balance_Final_Ajustado.Cod_Sub_Pro&lt;&gt;'VALES VISTA' And RF_Balance_Final_Ajustado.Cod_Sub_Pro&lt;&gt;'VALES VISTA POR EMITIR') OR (RF_Balance_Final_Ajustado.Cod_Pro='CTA. VISTA') AND (RF_Balance_Final_Ajustado.Cod_Sub_Pro&lt;&gt;'VALES VISTA' And RF_Balance_Final_Ajustado.Cod_Sub_Pro&lt;&gt;'VALES VISTA POR EMITIR')"/>
  </connection>
  <connection id="3" xr16:uid="{00000000-0015-0000-FFFF-FFFF02000000}" name="Consulta desde MS Access Database11" type="1" refreshedVersion="8" background="1" saveData="1">
    <dbPr connection="DSN=MS Access Database;DBQ=Z:\RF_PROCESOS\RF_Carteras\INTERFAZ_DATOS\RF_Base_Carteras_Completa.accdb;DefaultDir=Z:\RF_PROCESOS\RF_Carteras\INTERFAZ_DATOS;DriverId=25;FIL=MS Access;MaxBufferSize=2048;PageTimeout=5;" command="SELECT MOD_Saldos_para_Modelos.Fec_Pro, MOD_Saldos_para_Modelos.Cod_A_P, MOD_Saldos_para_Modelos.Moneda, MOD_Saldos_para_Modelos.Cod_Pro, MOD_Saldos_para_Modelos.Cod_Sub_Pro, MOD_Saldos_para_Modelos.Cap_Amort, MOD_Saldos_para_Modelos.Int_Total_Cont_x000d__x000a_FROM MOD_Saldos_para_Modelos MOD_Saldos_para_Modelos"/>
  </connection>
</connections>
</file>

<file path=xl/sharedStrings.xml><?xml version="1.0" encoding="utf-8"?>
<sst xmlns="http://schemas.openxmlformats.org/spreadsheetml/2006/main" count="39129" uniqueCount="211">
  <si>
    <t>FECHA PROCESO</t>
  </si>
  <si>
    <t>CODIGO_EMPRESA</t>
  </si>
  <si>
    <t>OPERACION</t>
  </si>
  <si>
    <t>COD ACT/PAS</t>
  </si>
  <si>
    <t>MONEDA_ORIGEN</t>
  </si>
  <si>
    <t>MONEDA_COMPENSACION</t>
  </si>
  <si>
    <t>COMPENSACION</t>
  </si>
  <si>
    <t>CODIGO_PRODUCTO</t>
  </si>
  <si>
    <t>CODIGO_SUBPRODUCTO</t>
  </si>
  <si>
    <t>FECHA CREACION</t>
  </si>
  <si>
    <t>NUMERO_CUOTA</t>
  </si>
  <si>
    <t>FECHA_INICIO_CUOTA</t>
  </si>
  <si>
    <t>FECHA_VENCIMIENTO_CUOTA</t>
  </si>
  <si>
    <t>FECHA PAGO</t>
  </si>
  <si>
    <t>FECHA_REPRICING</t>
  </si>
  <si>
    <t>AMORTIZACION</t>
  </si>
  <si>
    <t>INTERES</t>
  </si>
  <si>
    <t>INTERES_DEVENGADO</t>
  </si>
  <si>
    <t>VP_AMORTIZACION</t>
  </si>
  <si>
    <t>VP_INTERES</t>
  </si>
  <si>
    <t>FACTOR DE RIESGO</t>
  </si>
  <si>
    <t>TIPO_CUOTA</t>
  </si>
  <si>
    <t>AREA NEGOCIO</t>
  </si>
  <si>
    <t>CODIGO_ EJECUTIVO</t>
  </si>
  <si>
    <t>CODIGO_ESTRATEGIA</t>
  </si>
  <si>
    <t>CLASIFICACION_CONTABLE</t>
  </si>
  <si>
    <t>TIPO TASA</t>
  </si>
  <si>
    <t>INDEXADOR</t>
  </si>
  <si>
    <t>TASA</t>
  </si>
  <si>
    <t>TASA CF</t>
  </si>
  <si>
    <t>SPREAD</t>
  </si>
  <si>
    <t>PAS</t>
  </si>
  <si>
    <t>CLF</t>
  </si>
  <si>
    <t>BALANCE TASAS</t>
  </si>
  <si>
    <t>HTM</t>
  </si>
  <si>
    <t>Fecha_Proceso</t>
  </si>
  <si>
    <t>Tipo_Cuenta</t>
  </si>
  <si>
    <t>Cod_Pro</t>
  </si>
  <si>
    <t>Cod_Sub_Pro</t>
  </si>
  <si>
    <t>Moneda</t>
  </si>
  <si>
    <t>Saldo_Final_Pesos</t>
  </si>
  <si>
    <t>CLP</t>
  </si>
  <si>
    <t>CTA. CORRIENTE</t>
  </si>
  <si>
    <t>CTA. CORRIENTE-MAYORISTA</t>
  </si>
  <si>
    <t>CTA. VISTA</t>
  </si>
  <si>
    <t>CTA. AHORRO</t>
  </si>
  <si>
    <t>CTA. AHORRO GIRO DIFERIDO</t>
  </si>
  <si>
    <t>CTA. AHORRO INCONDICIONAL</t>
  </si>
  <si>
    <t>Fecha</t>
  </si>
  <si>
    <t>NEMOTECNICO</t>
  </si>
  <si>
    <t>Instrumento</t>
  </si>
  <si>
    <t>Precio_Mid</t>
  </si>
  <si>
    <t>sub_producto</t>
  </si>
  <si>
    <t>Core</t>
  </si>
  <si>
    <t>Non Core</t>
  </si>
  <si>
    <t>Saldo</t>
  </si>
  <si>
    <t>MT_CTA. CORRIENTE</t>
  </si>
  <si>
    <t>CTA. CORRIENTE PERSONAS</t>
  </si>
  <si>
    <t>MT.CTA. VISTA</t>
  </si>
  <si>
    <t>MT_CTA. AHORRO</t>
  </si>
  <si>
    <t>CTA. AHORRO G.DIF</t>
  </si>
  <si>
    <t>CTA. AHORRO G.INC</t>
  </si>
  <si>
    <t>CTA. CORRIENTE EMPRESAS</t>
  </si>
  <si>
    <t>MT_C40_CTA_ AHORRO G.DIF</t>
  </si>
  <si>
    <t>MT_C40_CTA_ AHORRO G.INC</t>
  </si>
  <si>
    <t>MT_C40_CTA_VISTA</t>
  </si>
  <si>
    <t>Etiquetas de fila</t>
  </si>
  <si>
    <t>Total general</t>
  </si>
  <si>
    <t>Suma de AMORTIZACION</t>
  </si>
  <si>
    <t>CONTROL</t>
  </si>
  <si>
    <t>CTA. CORRIENTE-MAYORISTAS</t>
  </si>
  <si>
    <t>MT_C40_CTA_VISTA_MAYORISTAS</t>
  </si>
  <si>
    <t>Saldo CORE AGREGADO</t>
  </si>
  <si>
    <t>CORE Script R</t>
  </si>
  <si>
    <t>TCRC</t>
  </si>
  <si>
    <t>Product</t>
  </si>
  <si>
    <t>Inicio</t>
  </si>
  <si>
    <t>Fin</t>
  </si>
  <si>
    <t>SaldoCore</t>
  </si>
  <si>
    <t>R2</t>
  </si>
  <si>
    <t>B1</t>
  </si>
  <si>
    <t>B0</t>
  </si>
  <si>
    <t>Ctas_Vta_Cte</t>
  </si>
  <si>
    <t>Cta_Cte</t>
  </si>
  <si>
    <t>Cta_Vta</t>
  </si>
  <si>
    <t>Aho_GD</t>
  </si>
  <si>
    <t>Aho_GI</t>
  </si>
  <si>
    <t>Fec_Pro</t>
  </si>
  <si>
    <t>Cod_Emp</t>
  </si>
  <si>
    <t>Cod_A_P</t>
  </si>
  <si>
    <t>Fuente</t>
  </si>
  <si>
    <t>Sistema</t>
  </si>
  <si>
    <t>Num_Oper</t>
  </si>
  <si>
    <t>Num_Cup</t>
  </si>
  <si>
    <t>Correlativo</t>
  </si>
  <si>
    <t>Emisor</t>
  </si>
  <si>
    <t>Nemotecnico</t>
  </si>
  <si>
    <t>Tasa_Emi</t>
  </si>
  <si>
    <t>Tasa_Cont</t>
  </si>
  <si>
    <t>Tasa_Transferencia</t>
  </si>
  <si>
    <t>Compensacion</t>
  </si>
  <si>
    <t>Fec_Cre</t>
  </si>
  <si>
    <t>Fec_Ini_Cup</t>
  </si>
  <si>
    <t>Fec_Vcto_Cup</t>
  </si>
  <si>
    <t>Fec_Rep</t>
  </si>
  <si>
    <t>Fec_Vcto</t>
  </si>
  <si>
    <t>Fec_Pago</t>
  </si>
  <si>
    <t>Dias_Liq</t>
  </si>
  <si>
    <t>Dias_Vcto</t>
  </si>
  <si>
    <t>Dias_Pago</t>
  </si>
  <si>
    <t>Cap_Amort</t>
  </si>
  <si>
    <t>Int_Total_Cont</t>
  </si>
  <si>
    <t>Int_Devengado</t>
  </si>
  <si>
    <t>VP_Cap_Amort</t>
  </si>
  <si>
    <t>VP_Int_Total</t>
  </si>
  <si>
    <t>Flujo_Liq</t>
  </si>
  <si>
    <t>Moneda_Liq</t>
  </si>
  <si>
    <t>Tipo_Cupon</t>
  </si>
  <si>
    <t>Cod_Area_Neg</t>
  </si>
  <si>
    <t>Cod_Estrategia</t>
  </si>
  <si>
    <t>Tipo_Book</t>
  </si>
  <si>
    <t>Clasificacion_Contable</t>
  </si>
  <si>
    <t>RUT_cli</t>
  </si>
  <si>
    <t>Nombre_Cli</t>
  </si>
  <si>
    <t>Dias_Pacto</t>
  </si>
  <si>
    <t>Tir_Compra</t>
  </si>
  <si>
    <t>VP_Cap_Amort_Comp</t>
  </si>
  <si>
    <t>VP_Int_Total_Comp</t>
  </si>
  <si>
    <t>Tir_Mcdo</t>
  </si>
  <si>
    <t>VP_Cap_Amort_TasAnt</t>
  </si>
  <si>
    <t>VP_Int_Total_TasAnt</t>
  </si>
  <si>
    <t>VP_Int_Total_Cont</t>
  </si>
  <si>
    <t>Empresa_Relacionada</t>
  </si>
  <si>
    <t>Pais</t>
  </si>
  <si>
    <t xml:space="preserve"> Renovacion</t>
  </si>
  <si>
    <t>Cupo</t>
  </si>
  <si>
    <t>Estrategia cobertura</t>
  </si>
  <si>
    <t>Tipo cobertura</t>
  </si>
  <si>
    <t>CARTERA ADICIONAL</t>
  </si>
  <si>
    <t>RF</t>
  </si>
  <si>
    <t>Etiquetas de columna</t>
  </si>
  <si>
    <t>MODELO SSV</t>
  </si>
  <si>
    <t>banda</t>
  </si>
  <si>
    <t>capital</t>
  </si>
  <si>
    <t>Desde</t>
  </si>
  <si>
    <t>Hasta</t>
  </si>
  <si>
    <t>TOTAL</t>
  </si>
  <si>
    <t>TOTAL MM$</t>
  </si>
  <si>
    <t>SSV</t>
  </si>
  <si>
    <t>CTA. CORRIENTE PERSONAS_CORE_CORE</t>
  </si>
  <si>
    <t>CTA. CORRIENTE PERSONAS_CORE_SOFT</t>
  </si>
  <si>
    <t>Nueva propuesta con core soft</t>
  </si>
  <si>
    <t>CORE</t>
  </si>
  <si>
    <t>CORE SOFT</t>
  </si>
  <si>
    <t>VALOR CUOTA</t>
  </si>
  <si>
    <t>CTA.VTA Y CTA.CORRIENTE</t>
  </si>
  <si>
    <t>CTA. VISTA_CORE_SOFT</t>
  </si>
  <si>
    <t>CTA. VISTA_CORE_CORE</t>
  </si>
  <si>
    <t>CTA. AHORRO G.DIF_CORE_SOFT</t>
  </si>
  <si>
    <t>CTA. AHORRO G.DIF_CORE_CORE</t>
  </si>
  <si>
    <t>CTA. AHORRO G.INC_CORE_CORE</t>
  </si>
  <si>
    <t>CTA. AHORRO G.INC_CORE_SOFT</t>
  </si>
  <si>
    <t>Cuotas CoreCore</t>
  </si>
  <si>
    <t>Pendientes coreSoft</t>
  </si>
  <si>
    <t>1°er período junio 2022--&gt;</t>
  </si>
  <si>
    <t>Core Total</t>
  </si>
  <si>
    <t>Datos calculados al cierre de junio 2022 el 05-07-22</t>
  </si>
  <si>
    <t>Revisar cores en  cierres de mes</t>
  </si>
  <si>
    <t>CORE CIERRE Mayo 22</t>
  </si>
  <si>
    <t>CORE_R13</t>
  </si>
  <si>
    <t>CUOTA_R13</t>
  </si>
  <si>
    <t>NON_CORE_R13</t>
  </si>
  <si>
    <t>MT_R13_CTA. AHORRO</t>
  </si>
  <si>
    <t>MT_R13_CTA. AHORRO G.INC_CORE</t>
  </si>
  <si>
    <t>MT_R13_CTA. AHORRO G.INC_NONCORE</t>
  </si>
  <si>
    <t>MT_R13_CTA. AHORRO G.DIF_CORE</t>
  </si>
  <si>
    <t>MT_R13_CTA. AHORRO G.DIF_NONCORE</t>
  </si>
  <si>
    <t>MT_R13_CTA. VISTA_NONCORE</t>
  </si>
  <si>
    <t>MT_R13_CTA. VISTA_CORE</t>
  </si>
  <si>
    <t>MT_R13_CTA. VISTA</t>
  </si>
  <si>
    <t>MT_R13_CTA. CORRIENTE</t>
  </si>
  <si>
    <t>MT_R13_CTA. CORRIENTE PERSONAS_CORE</t>
  </si>
  <si>
    <t>MT_R13_CTA. CORRIENTE PERSONAS_NONCORE</t>
  </si>
  <si>
    <t>MT_R13_CTA. CORRIENTE-MAYORISTAS</t>
  </si>
  <si>
    <t>Total</t>
  </si>
  <si>
    <t>DAP</t>
  </si>
  <si>
    <t>Producto</t>
  </si>
  <si>
    <t>ACT</t>
  </si>
  <si>
    <t>LINEA DE CREDITO</t>
  </si>
  <si>
    <t>Delta 1° Cuota</t>
  </si>
  <si>
    <t>CONTORL</t>
  </si>
  <si>
    <t>Fecha Inicial</t>
  </si>
  <si>
    <t>Fecha Termino</t>
  </si>
  <si>
    <t>Z:\RF_PROCESOS\RF_Riesgo_Liq\RF_KRI\Input Indicador Resumen Liquidez</t>
  </si>
  <si>
    <t>inf</t>
  </si>
  <si>
    <t>plazo remanente (dias)</t>
  </si>
  <si>
    <t>Nuevo Core</t>
  </si>
  <si>
    <t>Delta nuevo core</t>
  </si>
  <si>
    <t>Core Actual</t>
  </si>
  <si>
    <t>Core cierre Junio</t>
  </si>
  <si>
    <t>Core Final</t>
  </si>
  <si>
    <t>Delta (Saldo-Core)</t>
  </si>
  <si>
    <t xml:space="preserve"> Cuenta Corriente</t>
  </si>
  <si>
    <t>Cuenta Vista</t>
  </si>
  <si>
    <t>Cuenta AGI</t>
  </si>
  <si>
    <t>Cuenta AGD</t>
  </si>
  <si>
    <t>CUOTAS Caterpillar</t>
  </si>
  <si>
    <t>Caterpillar</t>
  </si>
  <si>
    <t>Pendientes Caterpillar</t>
  </si>
  <si>
    <t>Delta Core</t>
  </si>
  <si>
    <t>Cuota mes anterior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</si>
</sst>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64" formatCode="_(* #,##0.00_);_(* \(#,##0.00\);_(* &quot;-&quot;??_);_(@_)"/>
    <numFmt numFmtId="165" formatCode="_(* #,##0_);_(* \(#,##0\);_(* &quot;-&quot;_);_(@_)"/>
    <numFmt numFmtId="166" formatCode="_-* #,##0_-;\-* #,##0_-;_-* &quot;-&quot;??_-;_-@_-"/>
    <numFmt numFmtId="167" formatCode="_(* #,##0_);_(* \(#,##0\);_(* &quot;-&quot;??_);_(@_)"/>
    <numFmt numFmtId="168" formatCode="0.0%"/>
    <numFmt numFmtId="169" formatCode="0.0000000%"/>
    <numFmt numFmtId="170" formatCode="m/d/yyyy"/>
    <numFmt numFmtId="171" formatCode="_(* #,##0.000_);_(* \(#,##0.000\);_(* &quot;-&quot;_);_(@_)"/>
    <numFmt numFmtId="172" formatCode="_(* #,##0.0000_);_(* \(#,##0.0000\);_(* &quot;-&quot;_);_(@_)"/>
    <numFmt numFmtId="173" formatCode="_(* #,##0.00000_);_(* \(#,##0.00000\);_(* &quot;-&quot;_);_(@_)"/>
    <numFmt numFmtId="174" formatCode="_-* #,##0.00000\ _€_-;\-* #,##0.00000\ _€_-;_-* &quot;-&quot;?????\ _€_-;_-@_-"/>
    <numFmt numFmtId="175" formatCode="_-* #,##0.000\ _€_-;\-* #,##0.000\ _€_-;_-* &quot;-&quot;???\ _€_-;_-@_-"/>
    <numFmt numFmtId="176" formatCode="_(* #,##0.00_);_(* \(#,##0.00\);_(* &quot;-&quot;_);_(@_)"/>
  </numFmts>
  <fonts count="2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Arial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3"/>
      <name val="Calibri"/>
      <family val="2"/>
    </font>
    <font>
      <u/>
      <sz val="10"/>
      <color theme="1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indexed="8"/>
      <name val="MS Sans Serif"/>
      <family val="2"/>
    </font>
    <font>
      <b/>
      <sz val="9"/>
      <color indexed="8"/>
      <name val="MS Sans Serif"/>
      <family val="2"/>
    </font>
    <font>
      <b/>
      <sz val="10"/>
      <color theme="1"/>
      <name val="Arial"/>
      <family val="2"/>
    </font>
    <font>
      <sz val="7.2"/>
      <color indexed="8"/>
      <name val="Arial"/>
      <family val="2"/>
    </font>
    <font>
      <sz val="10"/>
      <color theme="1"/>
      <name val="Arial"/>
      <family val="2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indexed="8"/>
      <name val="MS Sans Serif"/>
      <family val="2"/>
    </font>
    <font>
      <b/>
      <sz val="12"/>
      <color theme="0"/>
      <name val="MS Sans Serif"/>
      <family val="2"/>
    </font>
    <font>
      <b/>
      <sz val="14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sz val="11"/>
      <color theme="1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00B05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7030A0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4" tint="0.39997558519241921"/>
      </bottom>
      <diagonal/>
    </border>
    <border>
      <left style="medium">
        <color indexed="64"/>
      </left>
      <right style="medium">
        <color indexed="64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 style="medium">
        <color indexed="64"/>
      </right>
      <top style="thin">
        <color theme="4" tint="0.39997558519241921"/>
      </top>
      <bottom style="medium">
        <color indexed="64"/>
      </bottom>
      <diagonal/>
    </border>
  </borders>
  <cellStyleXfs count="9">
    <xf numFmtId="0" fontId="0" fillId="0" borderId="0"/>
    <xf numFmtId="164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0" borderId="0"/>
    <xf numFmtId="0" fontId="4" fillId="0" borderId="0"/>
    <xf numFmtId="0" fontId="7" fillId="0" borderId="0" applyNumberFormat="0" applyFill="0" applyBorder="0" applyAlignment="0" applyProtection="0"/>
    <xf numFmtId="0" fontId="10" fillId="0" borderId="0"/>
    <xf numFmtId="164" fontId="13" fillId="0" borderId="0" applyFont="0" applyFill="0" applyBorder="0" applyAlignment="0" applyProtection="0"/>
  </cellStyleXfs>
  <cellXfs count="196">
    <xf numFmtId="0" fontId="0" fillId="0" borderId="0" xfId="0"/>
    <xf numFmtId="14" fontId="0" fillId="2" borderId="1" xfId="0" applyNumberFormat="1" applyFill="1" applyBorder="1"/>
    <xf numFmtId="0" fontId="0" fillId="0" borderId="1" xfId="0" applyBorder="1"/>
    <xf numFmtId="166" fontId="0" fillId="0" borderId="1" xfId="1" applyNumberFormat="1" applyFont="1" applyBorder="1" applyAlignment="1">
      <alignment horizontal="left"/>
    </xf>
    <xf numFmtId="10" fontId="0" fillId="2" borderId="1" xfId="3" applyNumberFormat="1" applyFont="1" applyFill="1" applyBorder="1"/>
    <xf numFmtId="14" fontId="0" fillId="2" borderId="1" xfId="3" applyNumberFormat="1" applyFont="1" applyFill="1" applyBorder="1"/>
    <xf numFmtId="166" fontId="0" fillId="0" borderId="1" xfId="1" applyNumberFormat="1" applyFont="1" applyBorder="1" applyAlignment="1">
      <alignment horizontal="center"/>
    </xf>
    <xf numFmtId="166" fontId="0" fillId="2" borderId="1" xfId="1" applyNumberFormat="1" applyFont="1" applyFill="1" applyBorder="1"/>
    <xf numFmtId="14" fontId="0" fillId="2" borderId="1" xfId="1" applyNumberFormat="1" applyFont="1" applyFill="1" applyBorder="1"/>
    <xf numFmtId="0" fontId="0" fillId="2" borderId="1" xfId="0" applyFill="1" applyBorder="1" applyAlignment="1">
      <alignment horizontal="center"/>
    </xf>
    <xf numFmtId="14" fontId="0" fillId="0" borderId="1" xfId="0" applyNumberFormat="1" applyBorder="1" applyAlignment="1">
      <alignment horizontal="center"/>
    </xf>
    <xf numFmtId="14" fontId="0" fillId="0" borderId="1" xfId="0" applyNumberFormat="1" applyBorder="1"/>
    <xf numFmtId="0" fontId="0" fillId="2" borderId="1" xfId="0" applyFill="1" applyBorder="1"/>
    <xf numFmtId="14" fontId="0" fillId="0" borderId="0" xfId="0" applyNumberFormat="1"/>
    <xf numFmtId="166" fontId="0" fillId="0" borderId="0" xfId="1" applyNumberFormat="1" applyFont="1" applyAlignment="1">
      <alignment horizontal="left"/>
    </xf>
    <xf numFmtId="10" fontId="0" fillId="0" borderId="0" xfId="3" applyNumberFormat="1" applyFont="1"/>
    <xf numFmtId="14" fontId="0" fillId="0" borderId="0" xfId="3" applyNumberFormat="1" applyFont="1"/>
    <xf numFmtId="166" fontId="0" fillId="0" borderId="0" xfId="1" applyNumberFormat="1" applyFont="1" applyAlignment="1">
      <alignment horizontal="center"/>
    </xf>
    <xf numFmtId="166" fontId="0" fillId="0" borderId="0" xfId="1" applyNumberFormat="1" applyFont="1"/>
    <xf numFmtId="14" fontId="0" fillId="0" borderId="0" xfId="1" applyNumberFormat="1" applyFont="1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0" fillId="3" borderId="2" xfId="0" applyFill="1" applyBorder="1"/>
    <xf numFmtId="0" fontId="0" fillId="0" borderId="2" xfId="0" applyBorder="1"/>
    <xf numFmtId="165" fontId="0" fillId="0" borderId="0" xfId="2" applyFont="1"/>
    <xf numFmtId="165" fontId="0" fillId="0" borderId="0" xfId="0" applyNumberFormat="1"/>
    <xf numFmtId="0" fontId="3" fillId="0" borderId="0" xfId="4"/>
    <xf numFmtId="167" fontId="3" fillId="0" borderId="0" xfId="1" applyNumberFormat="1" applyFont="1" applyFill="1"/>
    <xf numFmtId="14" fontId="3" fillId="0" borderId="0" xfId="4" applyNumberFormat="1"/>
    <xf numFmtId="167" fontId="3" fillId="0" borderId="0" xfId="1" applyNumberFormat="1" applyFont="1"/>
    <xf numFmtId="0" fontId="2" fillId="4" borderId="0" xfId="0" applyFont="1" applyFill="1" applyAlignment="1">
      <alignment horizontal="center" vertical="center"/>
    </xf>
    <xf numFmtId="0" fontId="5" fillId="5" borderId="3" xfId="5" applyFont="1" applyFill="1" applyBorder="1"/>
    <xf numFmtId="0" fontId="5" fillId="2" borderId="3" xfId="5" applyFont="1" applyFill="1" applyBorder="1"/>
    <xf numFmtId="0" fontId="5" fillId="6" borderId="3" xfId="5" applyFont="1" applyFill="1" applyBorder="1"/>
    <xf numFmtId="0" fontId="6" fillId="7" borderId="3" xfId="5" applyFont="1" applyFill="1" applyBorder="1"/>
    <xf numFmtId="0" fontId="6" fillId="8" borderId="3" xfId="5" applyFont="1" applyFill="1" applyBorder="1"/>
    <xf numFmtId="0" fontId="5" fillId="9" borderId="4" xfId="5" applyFont="1" applyFill="1" applyBorder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165" fontId="0" fillId="2" borderId="0" xfId="0" applyNumberFormat="1" applyFill="1"/>
    <xf numFmtId="165" fontId="0" fillId="2" borderId="0" xfId="2" applyFont="1" applyFill="1"/>
    <xf numFmtId="0" fontId="0" fillId="3" borderId="0" xfId="0" applyFill="1"/>
    <xf numFmtId="14" fontId="0" fillId="2" borderId="0" xfId="0" applyNumberFormat="1" applyFill="1"/>
    <xf numFmtId="165" fontId="0" fillId="0" borderId="0" xfId="2" applyFont="1" applyFill="1"/>
    <xf numFmtId="0" fontId="7" fillId="0" borderId="0" xfId="6"/>
    <xf numFmtId="9" fontId="0" fillId="0" borderId="0" xfId="3" applyFont="1"/>
    <xf numFmtId="0" fontId="2" fillId="4" borderId="0" xfId="0" applyFont="1" applyFill="1" applyAlignment="1">
      <alignment horizontal="center"/>
    </xf>
    <xf numFmtId="168" fontId="0" fillId="2" borderId="0" xfId="3" applyNumberFormat="1" applyFont="1" applyFill="1"/>
    <xf numFmtId="0" fontId="0" fillId="10" borderId="0" xfId="0" applyFill="1"/>
    <xf numFmtId="14" fontId="0" fillId="10" borderId="0" xfId="0" applyNumberFormat="1" applyFill="1"/>
    <xf numFmtId="10" fontId="0" fillId="10" borderId="0" xfId="0" applyNumberFormat="1" applyFill="1"/>
    <xf numFmtId="165" fontId="2" fillId="4" borderId="0" xfId="0" applyNumberFormat="1" applyFont="1" applyFill="1"/>
    <xf numFmtId="4" fontId="0" fillId="0" borderId="0" xfId="0" applyNumberFormat="1"/>
    <xf numFmtId="0" fontId="11" fillId="11" borderId="5" xfId="7" applyFont="1" applyFill="1" applyBorder="1" applyAlignment="1">
      <alignment horizontal="center" vertical="center"/>
    </xf>
    <xf numFmtId="0" fontId="11" fillId="2" borderId="6" xfId="7" applyFont="1" applyFill="1" applyBorder="1"/>
    <xf numFmtId="0" fontId="11" fillId="2" borderId="7" xfId="7" applyFont="1" applyFill="1" applyBorder="1"/>
    <xf numFmtId="0" fontId="11" fillId="2" borderId="8" xfId="7" applyFont="1" applyFill="1" applyBorder="1"/>
    <xf numFmtId="0" fontId="12" fillId="0" borderId="9" xfId="7" applyFont="1" applyBorder="1" applyAlignment="1">
      <alignment vertical="center" wrapText="1"/>
    </xf>
    <xf numFmtId="0" fontId="12" fillId="0" borderId="10" xfId="7" applyFont="1" applyBorder="1"/>
    <xf numFmtId="0" fontId="12" fillId="0" borderId="11" xfId="7" applyFont="1" applyBorder="1"/>
    <xf numFmtId="166" fontId="12" fillId="0" borderId="13" xfId="8" applyNumberFormat="1" applyFont="1" applyBorder="1" applyAlignment="1">
      <alignment vertical="center" wrapText="1"/>
    </xf>
    <xf numFmtId="166" fontId="12" fillId="0" borderId="15" xfId="8" applyNumberFormat="1" applyFont="1" applyBorder="1" applyAlignment="1">
      <alignment vertical="center" wrapText="1"/>
    </xf>
    <xf numFmtId="166" fontId="14" fillId="0" borderId="9" xfId="8" applyNumberFormat="1" applyFont="1" applyBorder="1"/>
    <xf numFmtId="166" fontId="14" fillId="0" borderId="12" xfId="8" applyNumberFormat="1" applyFont="1" applyBorder="1"/>
    <xf numFmtId="166" fontId="14" fillId="0" borderId="5" xfId="8" applyNumberFormat="1" applyFont="1" applyBorder="1"/>
    <xf numFmtId="0" fontId="0" fillId="0" borderId="6" xfId="0" applyBorder="1"/>
    <xf numFmtId="0" fontId="0" fillId="0" borderId="7" xfId="0" applyBorder="1"/>
    <xf numFmtId="166" fontId="15" fillId="2" borderId="5" xfId="0" applyNumberFormat="1" applyFont="1" applyFill="1" applyBorder="1"/>
    <xf numFmtId="166" fontId="0" fillId="0" borderId="0" xfId="0" applyNumberFormat="1"/>
    <xf numFmtId="166" fontId="12" fillId="0" borderId="17" xfId="8" applyNumberFormat="1" applyFont="1" applyBorder="1" applyAlignment="1">
      <alignment vertical="center" wrapText="1"/>
    </xf>
    <xf numFmtId="166" fontId="12" fillId="0" borderId="5" xfId="8" applyNumberFormat="1" applyFont="1" applyBorder="1" applyAlignment="1">
      <alignment vertical="center" wrapText="1"/>
    </xf>
    <xf numFmtId="0" fontId="12" fillId="0" borderId="5" xfId="7" applyFont="1" applyBorder="1" applyAlignment="1">
      <alignment horizontal="center" vertical="center" wrapText="1"/>
    </xf>
    <xf numFmtId="0" fontId="16" fillId="0" borderId="0" xfId="0" applyFont="1"/>
    <xf numFmtId="10" fontId="14" fillId="0" borderId="5" xfId="3" applyNumberFormat="1" applyFont="1" applyBorder="1" applyAlignment="1">
      <alignment horizontal="center"/>
    </xf>
    <xf numFmtId="14" fontId="17" fillId="2" borderId="6" xfId="7" applyNumberFormat="1" applyFont="1" applyFill="1" applyBorder="1" applyAlignment="1">
      <alignment horizontal="center"/>
    </xf>
    <xf numFmtId="166" fontId="19" fillId="12" borderId="5" xfId="0" applyNumberFormat="1" applyFont="1" applyFill="1" applyBorder="1" applyAlignment="1">
      <alignment horizontal="center"/>
    </xf>
    <xf numFmtId="0" fontId="18" fillId="12" borderId="6" xfId="7" applyFont="1" applyFill="1" applyBorder="1"/>
    <xf numFmtId="166" fontId="12" fillId="0" borderId="17" xfId="8" applyNumberFormat="1" applyFont="1" applyBorder="1" applyAlignment="1">
      <alignment horizontal="center" vertical="center" wrapText="1"/>
    </xf>
    <xf numFmtId="14" fontId="18" fillId="12" borderId="6" xfId="7" applyNumberFormat="1" applyFont="1" applyFill="1" applyBorder="1"/>
    <xf numFmtId="14" fontId="18" fillId="12" borderId="7" xfId="7" applyNumberFormat="1" applyFont="1" applyFill="1" applyBorder="1"/>
    <xf numFmtId="14" fontId="18" fillId="12" borderId="8" xfId="7" applyNumberFormat="1" applyFont="1" applyFill="1" applyBorder="1"/>
    <xf numFmtId="169" fontId="0" fillId="0" borderId="0" xfId="3" applyNumberFormat="1" applyFont="1"/>
    <xf numFmtId="164" fontId="0" fillId="13" borderId="0" xfId="0" applyNumberFormat="1" applyFill="1"/>
    <xf numFmtId="165" fontId="0" fillId="13" borderId="0" xfId="2" applyFont="1" applyFill="1"/>
    <xf numFmtId="0" fontId="5" fillId="14" borderId="3" xfId="5" applyFont="1" applyFill="1" applyBorder="1"/>
    <xf numFmtId="0" fontId="5" fillId="15" borderId="3" xfId="5" applyFont="1" applyFill="1" applyBorder="1"/>
    <xf numFmtId="165" fontId="0" fillId="15" borderId="0" xfId="0" applyNumberFormat="1" applyFill="1"/>
    <xf numFmtId="0" fontId="0" fillId="15" borderId="0" xfId="0" applyFill="1"/>
    <xf numFmtId="0" fontId="0" fillId="14" borderId="0" xfId="0" applyFill="1"/>
    <xf numFmtId="14" fontId="0" fillId="15" borderId="0" xfId="0" applyNumberFormat="1" applyFill="1"/>
    <xf numFmtId="14" fontId="0" fillId="14" borderId="0" xfId="1" applyNumberFormat="1" applyFont="1" applyFill="1"/>
    <xf numFmtId="0" fontId="0" fillId="14" borderId="0" xfId="0" applyFill="1" applyAlignment="1">
      <alignment horizontal="center"/>
    </xf>
    <xf numFmtId="14" fontId="0" fillId="14" borderId="0" xfId="0" applyNumberFormat="1" applyFill="1" applyAlignment="1">
      <alignment horizontal="center"/>
    </xf>
    <xf numFmtId="14" fontId="0" fillId="14" borderId="0" xfId="0" applyNumberFormat="1" applyFill="1"/>
    <xf numFmtId="165" fontId="0" fillId="14" borderId="0" xfId="2" applyFont="1" applyFill="1"/>
    <xf numFmtId="165" fontId="0" fillId="0" borderId="0" xfId="2" applyFont="1" applyAlignment="1">
      <alignment horizontal="center"/>
    </xf>
    <xf numFmtId="0" fontId="0" fillId="2" borderId="0" xfId="0" applyFill="1"/>
    <xf numFmtId="164" fontId="21" fillId="2" borderId="0" xfId="0" applyNumberFormat="1" applyFont="1" applyFill="1"/>
    <xf numFmtId="165" fontId="20" fillId="2" borderId="0" xfId="0" applyNumberFormat="1" applyFont="1" applyFill="1" applyAlignment="1">
      <alignment horizontal="center"/>
    </xf>
    <xf numFmtId="0" fontId="15" fillId="0" borderId="1" xfId="0" applyFont="1" applyBorder="1" applyAlignment="1">
      <alignment horizontal="left"/>
    </xf>
    <xf numFmtId="0" fontId="15" fillId="0" borderId="1" xfId="0" applyFont="1" applyBorder="1" applyAlignment="1">
      <alignment horizontal="center"/>
    </xf>
    <xf numFmtId="0" fontId="15" fillId="0" borderId="0" xfId="0" applyFont="1" applyAlignment="1">
      <alignment horizontal="center"/>
    </xf>
    <xf numFmtId="0" fontId="22" fillId="0" borderId="0" xfId="0" applyFont="1"/>
    <xf numFmtId="0" fontId="22" fillId="0" borderId="1" xfId="0" applyFont="1" applyBorder="1"/>
    <xf numFmtId="165" fontId="22" fillId="0" borderId="1" xfId="2" applyFont="1" applyBorder="1"/>
    <xf numFmtId="165" fontId="22" fillId="0" borderId="0" xfId="0" applyNumberFormat="1" applyFont="1"/>
    <xf numFmtId="0" fontId="22" fillId="3" borderId="1" xfId="0" applyFont="1" applyFill="1" applyBorder="1"/>
    <xf numFmtId="165" fontId="20" fillId="0" borderId="0" xfId="0" applyNumberFormat="1" applyFont="1"/>
    <xf numFmtId="14" fontId="0" fillId="0" borderId="0" xfId="0" applyNumberFormat="1" applyAlignment="1">
      <alignment horizontal="left"/>
    </xf>
    <xf numFmtId="165" fontId="0" fillId="16" borderId="0" xfId="0" applyNumberFormat="1" applyFill="1"/>
    <xf numFmtId="0" fontId="22" fillId="2" borderId="1" xfId="0" applyFont="1" applyFill="1" applyBorder="1"/>
    <xf numFmtId="0" fontId="22" fillId="4" borderId="1" xfId="0" applyFont="1" applyFill="1" applyBorder="1"/>
    <xf numFmtId="165" fontId="22" fillId="4" borderId="1" xfId="2" applyFont="1" applyFill="1" applyBorder="1"/>
    <xf numFmtId="165" fontId="22" fillId="2" borderId="0" xfId="0" applyNumberFormat="1" applyFont="1" applyFill="1"/>
    <xf numFmtId="165" fontId="22" fillId="2" borderId="1" xfId="2" applyFont="1" applyFill="1" applyBorder="1"/>
    <xf numFmtId="165" fontId="22" fillId="0" borderId="1" xfId="0" applyNumberFormat="1" applyFont="1" applyBorder="1"/>
    <xf numFmtId="165" fontId="23" fillId="2" borderId="0" xfId="0" applyNumberFormat="1" applyFont="1" applyFill="1" applyAlignment="1">
      <alignment horizontal="center"/>
    </xf>
    <xf numFmtId="14" fontId="0" fillId="2" borderId="18" xfId="0" applyNumberFormat="1" applyFill="1" applyBorder="1"/>
    <xf numFmtId="0" fontId="0" fillId="0" borderId="18" xfId="0" applyBorder="1"/>
    <xf numFmtId="166" fontId="0" fillId="0" borderId="18" xfId="1" applyNumberFormat="1" applyFont="1" applyBorder="1" applyAlignment="1">
      <alignment horizontal="left"/>
    </xf>
    <xf numFmtId="10" fontId="0" fillId="2" borderId="18" xfId="3" applyNumberFormat="1" applyFont="1" applyFill="1" applyBorder="1"/>
    <xf numFmtId="14" fontId="0" fillId="2" borderId="18" xfId="3" applyNumberFormat="1" applyFont="1" applyFill="1" applyBorder="1"/>
    <xf numFmtId="166" fontId="0" fillId="0" borderId="18" xfId="1" applyNumberFormat="1" applyFont="1" applyBorder="1" applyAlignment="1">
      <alignment horizontal="center"/>
    </xf>
    <xf numFmtId="166" fontId="0" fillId="2" borderId="18" xfId="1" applyNumberFormat="1" applyFont="1" applyFill="1" applyBorder="1"/>
    <xf numFmtId="14" fontId="0" fillId="2" borderId="18" xfId="1" applyNumberFormat="1" applyFont="1" applyFill="1" applyBorder="1"/>
    <xf numFmtId="0" fontId="0" fillId="2" borderId="18" xfId="0" applyFill="1" applyBorder="1" applyAlignment="1">
      <alignment horizontal="center"/>
    </xf>
    <xf numFmtId="14" fontId="0" fillId="0" borderId="18" xfId="0" applyNumberFormat="1" applyBorder="1" applyAlignment="1">
      <alignment horizontal="center"/>
    </xf>
    <xf numFmtId="14" fontId="0" fillId="0" borderId="18" xfId="0" applyNumberFormat="1" applyBorder="1"/>
    <xf numFmtId="0" fontId="0" fillId="2" borderId="18" xfId="0" applyFill="1" applyBorder="1"/>
    <xf numFmtId="14" fontId="0" fillId="0" borderId="9" xfId="0" applyNumberFormat="1" applyBorder="1"/>
    <xf numFmtId="0" fontId="0" fillId="0" borderId="19" xfId="0" applyBorder="1"/>
    <xf numFmtId="14" fontId="0" fillId="10" borderId="19" xfId="0" applyNumberFormat="1" applyFill="1" applyBorder="1"/>
    <xf numFmtId="165" fontId="0" fillId="10" borderId="19" xfId="2" applyFont="1" applyFill="1" applyBorder="1"/>
    <xf numFmtId="166" fontId="0" fillId="10" borderId="19" xfId="1" applyNumberFormat="1" applyFont="1" applyFill="1" applyBorder="1"/>
    <xf numFmtId="0" fontId="0" fillId="10" borderId="19" xfId="0" applyFill="1" applyBorder="1"/>
    <xf numFmtId="10" fontId="0" fillId="10" borderId="19" xfId="3" applyNumberFormat="1" applyFont="1" applyFill="1" applyBorder="1"/>
    <xf numFmtId="0" fontId="0" fillId="0" borderId="20" xfId="0" applyBorder="1"/>
    <xf numFmtId="14" fontId="0" fillId="0" borderId="16" xfId="0" applyNumberFormat="1" applyBorder="1"/>
    <xf numFmtId="165" fontId="0" fillId="10" borderId="0" xfId="2" applyFont="1" applyFill="1" applyBorder="1"/>
    <xf numFmtId="166" fontId="0" fillId="10" borderId="0" xfId="1" applyNumberFormat="1" applyFont="1" applyFill="1" applyBorder="1"/>
    <xf numFmtId="10" fontId="0" fillId="10" borderId="0" xfId="3" applyNumberFormat="1" applyFont="1" applyFill="1" applyBorder="1"/>
    <xf numFmtId="0" fontId="0" fillId="0" borderId="21" xfId="0" applyBorder="1"/>
    <xf numFmtId="14" fontId="0" fillId="0" borderId="13" xfId="0" applyNumberFormat="1" applyBorder="1"/>
    <xf numFmtId="0" fontId="0" fillId="0" borderId="22" xfId="0" applyBorder="1"/>
    <xf numFmtId="14" fontId="0" fillId="10" borderId="22" xfId="0" applyNumberFormat="1" applyFill="1" applyBorder="1"/>
    <xf numFmtId="165" fontId="0" fillId="0" borderId="22" xfId="0" applyNumberFormat="1" applyBorder="1"/>
    <xf numFmtId="0" fontId="0" fillId="10" borderId="22" xfId="0" applyFill="1" applyBorder="1"/>
    <xf numFmtId="10" fontId="0" fillId="10" borderId="22" xfId="3" applyNumberFormat="1" applyFont="1" applyFill="1" applyBorder="1"/>
    <xf numFmtId="0" fontId="0" fillId="0" borderId="23" xfId="0" applyBorder="1"/>
    <xf numFmtId="0" fontId="0" fillId="18" borderId="0" xfId="0" applyFill="1"/>
    <xf numFmtId="165" fontId="24" fillId="2" borderId="0" xfId="0" applyNumberFormat="1" applyFont="1" applyFill="1"/>
    <xf numFmtId="165" fontId="20" fillId="2" borderId="0" xfId="2" applyFont="1" applyFill="1"/>
    <xf numFmtId="0" fontId="20" fillId="0" borderId="1" xfId="0" applyFont="1" applyBorder="1" applyAlignment="1">
      <alignment horizontal="center"/>
    </xf>
    <xf numFmtId="0" fontId="20" fillId="0" borderId="1" xfId="0" applyFont="1" applyBorder="1"/>
    <xf numFmtId="166" fontId="16" fillId="0" borderId="1" xfId="0" applyNumberFormat="1" applyFont="1" applyBorder="1" applyAlignment="1">
      <alignment horizontal="center" vertical="center"/>
    </xf>
    <xf numFmtId="170" fontId="3" fillId="0" borderId="0" xfId="4" applyNumberFormat="1"/>
    <xf numFmtId="167" fontId="0" fillId="10" borderId="0" xfId="1" applyNumberFormat="1" applyFont="1" applyFill="1"/>
    <xf numFmtId="171" fontId="0" fillId="0" borderId="0" xfId="0" applyNumberFormat="1"/>
    <xf numFmtId="172" fontId="0" fillId="2" borderId="0" xfId="0" applyNumberFormat="1" applyFill="1"/>
    <xf numFmtId="173" fontId="20" fillId="2" borderId="0" xfId="0" applyNumberFormat="1" applyFont="1" applyFill="1" applyAlignment="1">
      <alignment horizontal="center"/>
    </xf>
    <xf numFmtId="173" fontId="0" fillId="2" borderId="0" xfId="0" applyNumberFormat="1" applyFill="1"/>
    <xf numFmtId="174" fontId="0" fillId="0" borderId="0" xfId="0" applyNumberFormat="1"/>
    <xf numFmtId="172" fontId="0" fillId="0" borderId="0" xfId="0" applyNumberFormat="1"/>
    <xf numFmtId="171" fontId="0" fillId="0" borderId="0" xfId="1" applyNumberFormat="1" applyFont="1"/>
    <xf numFmtId="175" fontId="0" fillId="0" borderId="0" xfId="0" applyNumberFormat="1"/>
    <xf numFmtId="171" fontId="20" fillId="0" borderId="0" xfId="0" applyNumberFormat="1" applyFont="1"/>
    <xf numFmtId="0" fontId="0" fillId="17" borderId="0" xfId="0" applyFill="1"/>
    <xf numFmtId="165" fontId="22" fillId="2" borderId="1" xfId="0" applyNumberFormat="1" applyFont="1" applyFill="1" applyBorder="1"/>
    <xf numFmtId="167" fontId="0" fillId="0" borderId="0" xfId="1" applyNumberFormat="1" applyFont="1"/>
    <xf numFmtId="167" fontId="0" fillId="0" borderId="0" xfId="0" applyNumberFormat="1"/>
    <xf numFmtId="0" fontId="14" fillId="0" borderId="16" xfId="7" applyFont="1" applyBorder="1" applyAlignment="1">
      <alignment horizontal="center" vertical="center"/>
    </xf>
    <xf numFmtId="0" fontId="14" fillId="0" borderId="12" xfId="7" applyFont="1" applyBorder="1" applyAlignment="1">
      <alignment horizontal="center" vertical="center"/>
    </xf>
    <xf numFmtId="0" fontId="14" fillId="0" borderId="24" xfId="7" applyFont="1" applyBorder="1" applyAlignment="1">
      <alignment horizontal="center" vertical="center"/>
    </xf>
    <xf numFmtId="0" fontId="14" fillId="0" borderId="17" xfId="7" applyFont="1" applyBorder="1" applyAlignment="1">
      <alignment horizontal="center" vertical="center"/>
    </xf>
    <xf numFmtId="0" fontId="14" fillId="0" borderId="21" xfId="7" applyFont="1" applyBorder="1" applyAlignment="1">
      <alignment horizontal="center" vertical="center"/>
    </xf>
    <xf numFmtId="0" fontId="12" fillId="0" borderId="13" xfId="7" applyFont="1" applyBorder="1" applyAlignment="1">
      <alignment horizontal="center" vertical="center"/>
    </xf>
    <xf numFmtId="0" fontId="12" fillId="0" borderId="14" xfId="7" applyFont="1" applyBorder="1" applyAlignment="1">
      <alignment horizontal="center" vertical="center"/>
    </xf>
    <xf numFmtId="166" fontId="12" fillId="0" borderId="9" xfId="8" applyNumberFormat="1" applyFont="1" applyBorder="1" applyAlignment="1">
      <alignment horizontal="center" vertical="center" wrapText="1"/>
    </xf>
    <xf numFmtId="166" fontId="12" fillId="0" borderId="12" xfId="8" applyNumberFormat="1" applyFont="1" applyBorder="1" applyAlignment="1">
      <alignment horizontal="center" vertical="center" wrapText="1"/>
    </xf>
    <xf numFmtId="0" fontId="25" fillId="2" borderId="25" xfId="0" applyFont="1" applyFill="1" applyBorder="1" applyAlignment="1">
      <alignment horizontal="center"/>
    </xf>
    <xf numFmtId="165" fontId="26" fillId="0" borderId="0" xfId="2" applyFont="1"/>
    <xf numFmtId="19" fontId="0" fillId="10" borderId="0" xfId="0" applyNumberFormat="1" applyFill="1"/>
    <xf numFmtId="0" fontId="0" fillId="0" borderId="26" xfId="0" applyBorder="1"/>
    <xf numFmtId="0" fontId="0" fillId="3" borderId="27" xfId="0" applyFill="1" applyBorder="1"/>
    <xf numFmtId="0" fontId="0" fillId="0" borderId="27" xfId="0" applyBorder="1"/>
    <xf numFmtId="0" fontId="0" fillId="3" borderId="28" xfId="0" applyFill="1" applyBorder="1"/>
    <xf numFmtId="167" fontId="0" fillId="0" borderId="12" xfId="1" applyNumberFormat="1" applyFont="1" applyBorder="1"/>
    <xf numFmtId="167" fontId="0" fillId="0" borderId="24" xfId="1" applyNumberFormat="1" applyFont="1" applyBorder="1"/>
    <xf numFmtId="167" fontId="0" fillId="0" borderId="17" xfId="1" applyNumberFormat="1" applyFont="1" applyBorder="1"/>
    <xf numFmtId="167" fontId="0" fillId="0" borderId="24" xfId="0" applyNumberFormat="1" applyBorder="1"/>
    <xf numFmtId="167" fontId="0" fillId="0" borderId="17" xfId="0" applyNumberFormat="1" applyBorder="1"/>
    <xf numFmtId="167" fontId="0" fillId="0" borderId="12" xfId="0" applyNumberFormat="1" applyBorder="1"/>
    <xf numFmtId="0" fontId="2" fillId="4" borderId="5" xfId="0" applyFont="1" applyFill="1" applyBorder="1" applyAlignment="1">
      <alignment horizontal="center" vertical="center"/>
    </xf>
    <xf numFmtId="0" fontId="21" fillId="2" borderId="1" xfId="0" applyFont="1" applyFill="1" applyBorder="1"/>
    <xf numFmtId="176" fontId="0" fillId="0" borderId="0" xfId="0" applyNumberFormat="1"/>
    <xf numFmtId="165" fontId="22" fillId="4" borderId="1" xfId="0" applyNumberFormat="1" applyFont="1" applyFill="1" applyBorder="1"/>
  </cellXfs>
  <cellStyles count="9">
    <cellStyle name="Hipervínculo" xfId="6" builtinId="8"/>
    <cellStyle name="Millares" xfId="1" builtinId="3"/>
    <cellStyle name="Millares [0]" xfId="2" builtinId="6"/>
    <cellStyle name="Millares 32" xfId="8" xr:uid="{00000000-0005-0000-0000-000003000000}"/>
    <cellStyle name="Normal" xfId="0" builtinId="0"/>
    <cellStyle name="Normal 13" xfId="7" xr:uid="{00000000-0005-0000-0000-000005000000}"/>
    <cellStyle name="Normal 2 2 2" xfId="4" xr:uid="{00000000-0005-0000-0000-000006000000}"/>
    <cellStyle name="Normal_MT" xfId="5" xr:uid="{00000000-0005-0000-0000-000007000000}"/>
    <cellStyle name="Porcentaje" xfId="3" builtinId="5"/>
  </cellStyles>
  <dxfs count="28">
    <dxf>
      <numFmt numFmtId="165" formatCode="_(* #,##0_);_(* \(#,##0\);_(* &quot;-&quot;_);_(@_)"/>
    </dxf>
    <dxf>
      <fill>
        <patternFill patternType="solid">
          <bgColor theme="7" tint="0.59999389629810485"/>
        </patternFill>
      </fill>
    </dxf>
    <dxf>
      <fill>
        <patternFill patternType="solid">
          <bgColor theme="7" tint="0.59999389629810485"/>
        </patternFill>
      </fill>
    </dxf>
    <dxf>
      <fill>
        <patternFill patternType="solid">
          <bgColor theme="7" tint="0.59999389629810485"/>
        </patternFill>
      </fill>
    </dxf>
    <dxf>
      <fill>
        <patternFill patternType="solid">
          <bgColor theme="7" tint="0.59999389629810485"/>
        </patternFill>
      </fill>
    </dxf>
    <dxf>
      <fill>
        <patternFill patternType="solid">
          <bgColor theme="7" tint="0.59999389629810485"/>
        </patternFill>
      </fill>
    </dxf>
    <dxf>
      <fill>
        <patternFill patternType="solid">
          <bgColor theme="7" tint="0.59999389629810485"/>
        </patternFill>
      </fill>
    </dxf>
    <dxf>
      <fill>
        <patternFill patternType="solid">
          <bgColor theme="7" tint="0.59999389629810485"/>
        </patternFill>
      </fill>
    </dxf>
    <dxf>
      <numFmt numFmtId="165" formatCode="_(* #,##0_);_(* \(#,##0\);_(* &quot;-&quot;_);_(@_)"/>
    </dxf>
    <dxf>
      <numFmt numFmtId="165" formatCode="_(* #,##0_);_(* \(#,##0\);_(* &quot;-&quot;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70" formatCode="m/d/yyyy"/>
      <fill>
        <patternFill patternType="none">
          <fgColor indexed="64"/>
          <bgColor indexed="65"/>
        </patternFill>
      </fill>
    </dxf>
    <dxf>
      <numFmt numFmtId="170" formatCode="m/d/yyyy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sz val="10"/>
        <color auto="1"/>
        <name val="Arial"/>
        <family val="2"/>
        <scheme val="none"/>
      </font>
      <numFmt numFmtId="167" formatCode="_(* #,##0_);_(* \(#,##0\);_(* &quot;-&quot;??_);_(@_)"/>
    </dxf>
    <dxf>
      <numFmt numFmtId="170" formatCode="m/d/yyyy"/>
      <fill>
        <patternFill patternType="none">
          <fgColor indexed="64"/>
          <bgColor indexed="65"/>
        </patternFill>
      </fill>
    </dxf>
    <dxf>
      <fill>
        <patternFill patternType="solid">
          <bgColor theme="7" tint="0.59999389629810485"/>
        </patternFill>
      </fill>
    </dxf>
    <dxf>
      <fill>
        <patternFill patternType="solid">
          <bgColor theme="7" tint="0.59999389629810485"/>
        </patternFill>
      </fill>
    </dxf>
    <dxf>
      <fill>
        <patternFill patternType="solid">
          <bgColor theme="7" tint="0.59999389629810485"/>
        </patternFill>
      </fill>
    </dxf>
    <dxf>
      <fill>
        <patternFill patternType="solid">
          <bgColor theme="7" tint="0.59999389629810485"/>
        </patternFill>
      </fill>
    </dxf>
    <dxf>
      <fill>
        <patternFill patternType="solid">
          <bgColor theme="7" tint="0.59999389629810485"/>
        </patternFill>
      </fill>
    </dxf>
    <dxf>
      <fill>
        <patternFill patternType="solid">
          <bgColor theme="7" tint="0.59999389629810485"/>
        </patternFill>
      </fill>
    </dxf>
    <dxf>
      <fill>
        <patternFill patternType="solid">
          <bgColor theme="7" tint="0.59999389629810485"/>
        </patternFill>
      </fill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2.xml"/><Relationship Id="rId27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L" sz="1600"/>
              <a:t>Cuenta Corriente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Control_Core!$B$1</c:f>
              <c:strCache>
                <c:ptCount val="1"/>
                <c:pt idx="0">
                  <c:v> Cuenta Corriente</c:v>
                </c:pt>
              </c:strCache>
            </c:strRef>
          </c:tx>
          <c:spPr>
            <a:ln w="22225" cap="rnd">
              <a:solidFill>
                <a:srgbClr val="00B050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Control_Core!$A$2:$A$21</c:f>
              <c:numCache>
                <c:formatCode>m/d/yyyy</c:formatCode>
                <c:ptCount val="20"/>
                <c:pt idx="0">
                  <c:v>45870</c:v>
                </c:pt>
                <c:pt idx="1">
                  <c:v>45873</c:v>
                </c:pt>
                <c:pt idx="2">
                  <c:v>45874</c:v>
                </c:pt>
                <c:pt idx="3">
                  <c:v>45875</c:v>
                </c:pt>
                <c:pt idx="4">
                  <c:v>45876</c:v>
                </c:pt>
                <c:pt idx="5">
                  <c:v>45877</c:v>
                </c:pt>
                <c:pt idx="6">
                  <c:v>45880</c:v>
                </c:pt>
                <c:pt idx="7">
                  <c:v>45881</c:v>
                </c:pt>
                <c:pt idx="8">
                  <c:v>45882</c:v>
                </c:pt>
                <c:pt idx="9">
                  <c:v>45883</c:v>
                </c:pt>
                <c:pt idx="10">
                  <c:v>45887</c:v>
                </c:pt>
                <c:pt idx="11">
                  <c:v>45888</c:v>
                </c:pt>
                <c:pt idx="12">
                  <c:v>45889</c:v>
                </c:pt>
                <c:pt idx="13">
                  <c:v>45890</c:v>
                </c:pt>
                <c:pt idx="14">
                  <c:v>45891</c:v>
                </c:pt>
                <c:pt idx="15">
                  <c:v>45894</c:v>
                </c:pt>
                <c:pt idx="16">
                  <c:v>45895</c:v>
                </c:pt>
                <c:pt idx="17">
                  <c:v>45896</c:v>
                </c:pt>
                <c:pt idx="18">
                  <c:v>45897</c:v>
                </c:pt>
                <c:pt idx="19">
                  <c:v>45898</c:v>
                </c:pt>
              </c:numCache>
            </c:numRef>
          </c:cat>
          <c:val>
            <c:numRef>
              <c:f>Control_Core!$B$2:$B$21</c:f>
              <c:numCache>
                <c:formatCode>_(* #,##0_);_(* \(#,##0\);_(* "-"??_);_(@_)</c:formatCode>
                <c:ptCount val="20"/>
                <c:pt idx="0">
                  <c:v>1523635331450</c:v>
                </c:pt>
                <c:pt idx="1">
                  <c:v>1421149348870</c:v>
                </c:pt>
                <c:pt idx="2">
                  <c:v>1410144063354</c:v>
                </c:pt>
                <c:pt idx="3">
                  <c:v>1402432747098</c:v>
                </c:pt>
                <c:pt idx="4">
                  <c:v>1387664561523</c:v>
                </c:pt>
                <c:pt idx="5">
                  <c:v>1384862231063</c:v>
                </c:pt>
                <c:pt idx="6">
                  <c:v>1320853683180</c:v>
                </c:pt>
                <c:pt idx="7">
                  <c:v>1311840839400</c:v>
                </c:pt>
                <c:pt idx="8">
                  <c:v>1305286339780</c:v>
                </c:pt>
                <c:pt idx="9">
                  <c:v>1331289747872</c:v>
                </c:pt>
                <c:pt idx="10">
                  <c:v>1281647551773</c:v>
                </c:pt>
                <c:pt idx="11">
                  <c:v>1292002279174</c:v>
                </c:pt>
                <c:pt idx="12">
                  <c:v>1291785542386</c:v>
                </c:pt>
                <c:pt idx="13">
                  <c:v>1289101692401</c:v>
                </c:pt>
                <c:pt idx="14">
                  <c:v>1299070091338</c:v>
                </c:pt>
                <c:pt idx="15">
                  <c:v>1282191247790</c:v>
                </c:pt>
                <c:pt idx="16">
                  <c:v>1283221707798</c:v>
                </c:pt>
                <c:pt idx="17">
                  <c:v>1291743278335</c:v>
                </c:pt>
                <c:pt idx="18">
                  <c:v>1366138750607</c:v>
                </c:pt>
                <c:pt idx="19">
                  <c:v>1551535077845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419-4A5D-B992-CFF5F26D629E}"/>
            </c:ext>
          </c:extLst>
        </c:ser>
        <c:ser>
          <c:idx val="1"/>
          <c:order val="1"/>
          <c:tx>
            <c:strRef>
              <c:f>Control_Core!$F$1</c:f>
              <c:strCache>
                <c:ptCount val="1"/>
                <c:pt idx="0">
                  <c:v>Core  Cuenta Corriente</c:v>
                </c:pt>
              </c:strCache>
            </c:strRef>
          </c:tx>
          <c:spPr>
            <a:ln w="22225" cap="rnd">
              <a:solidFill>
                <a:srgbClr val="92D050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Control_Core!$A$2:$A$21</c:f>
              <c:numCache>
                <c:formatCode>m/d/yyyy</c:formatCode>
                <c:ptCount val="20"/>
                <c:pt idx="0">
                  <c:v>45870</c:v>
                </c:pt>
                <c:pt idx="1">
                  <c:v>45873</c:v>
                </c:pt>
                <c:pt idx="2">
                  <c:v>45874</c:v>
                </c:pt>
                <c:pt idx="3">
                  <c:v>45875</c:v>
                </c:pt>
                <c:pt idx="4">
                  <c:v>45876</c:v>
                </c:pt>
                <c:pt idx="5">
                  <c:v>45877</c:v>
                </c:pt>
                <c:pt idx="6">
                  <c:v>45880</c:v>
                </c:pt>
                <c:pt idx="7">
                  <c:v>45881</c:v>
                </c:pt>
                <c:pt idx="8">
                  <c:v>45882</c:v>
                </c:pt>
                <c:pt idx="9">
                  <c:v>45883</c:v>
                </c:pt>
                <c:pt idx="10">
                  <c:v>45887</c:v>
                </c:pt>
                <c:pt idx="11">
                  <c:v>45888</c:v>
                </c:pt>
                <c:pt idx="12">
                  <c:v>45889</c:v>
                </c:pt>
                <c:pt idx="13">
                  <c:v>45890</c:v>
                </c:pt>
                <c:pt idx="14">
                  <c:v>45891</c:v>
                </c:pt>
                <c:pt idx="15">
                  <c:v>45894</c:v>
                </c:pt>
                <c:pt idx="16">
                  <c:v>45895</c:v>
                </c:pt>
                <c:pt idx="17">
                  <c:v>45896</c:v>
                </c:pt>
                <c:pt idx="18">
                  <c:v>45897</c:v>
                </c:pt>
                <c:pt idx="19">
                  <c:v>45898</c:v>
                </c:pt>
              </c:numCache>
            </c:numRef>
          </c:cat>
          <c:val>
            <c:numRef>
              <c:f>Control_Core!$F$2:$F$21</c:f>
              <c:numCache>
                <c:formatCode>_(* #,##0_);_(* \(#,##0\);_(* "-"??_);_(@_)</c:formatCode>
                <c:ptCount val="20"/>
                <c:pt idx="0">
                  <c:v>1184757000000</c:v>
                </c:pt>
                <c:pt idx="1">
                  <c:v>1184757000000</c:v>
                </c:pt>
                <c:pt idx="2">
                  <c:v>1184757000000</c:v>
                </c:pt>
                <c:pt idx="3">
                  <c:v>1184757000000</c:v>
                </c:pt>
                <c:pt idx="4">
                  <c:v>1184757000000</c:v>
                </c:pt>
                <c:pt idx="5">
                  <c:v>1184757000000</c:v>
                </c:pt>
                <c:pt idx="6">
                  <c:v>1184757000000</c:v>
                </c:pt>
                <c:pt idx="7">
                  <c:v>1184757000000</c:v>
                </c:pt>
                <c:pt idx="8">
                  <c:v>1184757000000</c:v>
                </c:pt>
                <c:pt idx="9">
                  <c:v>1184757000000</c:v>
                </c:pt>
                <c:pt idx="10">
                  <c:v>1184757000000</c:v>
                </c:pt>
                <c:pt idx="11">
                  <c:v>1184757000000</c:v>
                </c:pt>
                <c:pt idx="12">
                  <c:v>1184757000000</c:v>
                </c:pt>
                <c:pt idx="13">
                  <c:v>1184757000000</c:v>
                </c:pt>
                <c:pt idx="14">
                  <c:v>1184757000000</c:v>
                </c:pt>
                <c:pt idx="15">
                  <c:v>1184757000000</c:v>
                </c:pt>
                <c:pt idx="16">
                  <c:v>1184757000000</c:v>
                </c:pt>
                <c:pt idx="17">
                  <c:v>1184757000000</c:v>
                </c:pt>
                <c:pt idx="18">
                  <c:v>1184757000000</c:v>
                </c:pt>
                <c:pt idx="19">
                  <c:v>1184757000000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419-4A5D-B992-CFF5F26D62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3172367"/>
        <c:axId val="133160367"/>
      </c:lineChart>
      <c:dateAx>
        <c:axId val="133172367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3160367"/>
        <c:crosses val="autoZero"/>
        <c:auto val="1"/>
        <c:lblOffset val="100"/>
        <c:baseTimeUnit val="days"/>
      </c:dateAx>
      <c:valAx>
        <c:axId val="133160367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3172367"/>
        <c:crosses val="autoZero"/>
        <c:crossBetween val="between"/>
        <c:dispUnits>
          <c:builtInUnit val="millions"/>
          <c:dispUnitsLbl>
            <c:layout>
              <c:manualLayout>
                <c:xMode val="edge"/>
                <c:yMode val="edge"/>
                <c:x val="2.3762376237623763E-2"/>
                <c:y val="0.43435728011423713"/>
              </c:manualLayout>
            </c:layout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L" sz="1600"/>
              <a:t>Cuenta Vista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Control_Core!$C$1</c:f>
              <c:strCache>
                <c:ptCount val="1"/>
                <c:pt idx="0">
                  <c:v>Cuenta Vista</c:v>
                </c:pt>
              </c:strCache>
            </c:strRef>
          </c:tx>
          <c:spPr>
            <a:ln w="22225" cap="rnd">
              <a:solidFill>
                <a:srgbClr val="00B050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Control_Core!$A$2:$A$21</c:f>
              <c:numCache>
                <c:formatCode>m/d/yyyy</c:formatCode>
                <c:ptCount val="20"/>
                <c:pt idx="0">
                  <c:v>45870</c:v>
                </c:pt>
                <c:pt idx="1">
                  <c:v>45873</c:v>
                </c:pt>
                <c:pt idx="2">
                  <c:v>45874</c:v>
                </c:pt>
                <c:pt idx="3">
                  <c:v>45875</c:v>
                </c:pt>
                <c:pt idx="4">
                  <c:v>45876</c:v>
                </c:pt>
                <c:pt idx="5">
                  <c:v>45877</c:v>
                </c:pt>
                <c:pt idx="6">
                  <c:v>45880</c:v>
                </c:pt>
                <c:pt idx="7">
                  <c:v>45881</c:v>
                </c:pt>
                <c:pt idx="8">
                  <c:v>45882</c:v>
                </c:pt>
                <c:pt idx="9">
                  <c:v>45883</c:v>
                </c:pt>
                <c:pt idx="10">
                  <c:v>45887</c:v>
                </c:pt>
                <c:pt idx="11">
                  <c:v>45888</c:v>
                </c:pt>
                <c:pt idx="12">
                  <c:v>45889</c:v>
                </c:pt>
                <c:pt idx="13">
                  <c:v>45890</c:v>
                </c:pt>
                <c:pt idx="14">
                  <c:v>45891</c:v>
                </c:pt>
                <c:pt idx="15">
                  <c:v>45894</c:v>
                </c:pt>
                <c:pt idx="16">
                  <c:v>45895</c:v>
                </c:pt>
                <c:pt idx="17">
                  <c:v>45896</c:v>
                </c:pt>
                <c:pt idx="18">
                  <c:v>45897</c:v>
                </c:pt>
                <c:pt idx="19">
                  <c:v>45898</c:v>
                </c:pt>
              </c:numCache>
            </c:numRef>
          </c:cat>
          <c:val>
            <c:numRef>
              <c:f>Control_Core!$C$2:$C$21</c:f>
              <c:numCache>
                <c:formatCode>_(* #,##0_);_(* \(#,##0\);_(* "-"??_);_(@_)</c:formatCode>
                <c:ptCount val="20"/>
                <c:pt idx="0">
                  <c:v>169499611709</c:v>
                </c:pt>
                <c:pt idx="1">
                  <c:v>162713820478</c:v>
                </c:pt>
                <c:pt idx="2">
                  <c:v>161911504040</c:v>
                </c:pt>
                <c:pt idx="3">
                  <c:v>160773926018</c:v>
                </c:pt>
                <c:pt idx="4">
                  <c:v>159539778309</c:v>
                </c:pt>
                <c:pt idx="5">
                  <c:v>159901915177</c:v>
                </c:pt>
                <c:pt idx="6">
                  <c:v>155803996630</c:v>
                </c:pt>
                <c:pt idx="7">
                  <c:v>154794323807</c:v>
                </c:pt>
                <c:pt idx="8">
                  <c:v>154321954361</c:v>
                </c:pt>
                <c:pt idx="9">
                  <c:v>156336386820</c:v>
                </c:pt>
                <c:pt idx="10">
                  <c:v>152410118371</c:v>
                </c:pt>
                <c:pt idx="11">
                  <c:v>152547237064</c:v>
                </c:pt>
                <c:pt idx="12">
                  <c:v>152601889694</c:v>
                </c:pt>
                <c:pt idx="13">
                  <c:v>152118282621</c:v>
                </c:pt>
                <c:pt idx="14">
                  <c:v>153245629511</c:v>
                </c:pt>
                <c:pt idx="15">
                  <c:v>152388898039</c:v>
                </c:pt>
                <c:pt idx="16">
                  <c:v>151667266347</c:v>
                </c:pt>
                <c:pt idx="17">
                  <c:v>154648422640</c:v>
                </c:pt>
                <c:pt idx="18">
                  <c:v>160504620459</c:v>
                </c:pt>
                <c:pt idx="19">
                  <c:v>171479775387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959-4047-A794-3FD39DDE4632}"/>
            </c:ext>
          </c:extLst>
        </c:ser>
        <c:ser>
          <c:idx val="1"/>
          <c:order val="1"/>
          <c:tx>
            <c:strRef>
              <c:f>Control_Core!$G$1</c:f>
              <c:strCache>
                <c:ptCount val="1"/>
                <c:pt idx="0">
                  <c:v>Core Cuenta Vista</c:v>
                </c:pt>
              </c:strCache>
            </c:strRef>
          </c:tx>
          <c:spPr>
            <a:ln w="22225" cap="rnd">
              <a:solidFill>
                <a:srgbClr val="92D050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Control_Core!$A$2:$A$21</c:f>
              <c:numCache>
                <c:formatCode>m/d/yyyy</c:formatCode>
                <c:ptCount val="20"/>
                <c:pt idx="0">
                  <c:v>45870</c:v>
                </c:pt>
                <c:pt idx="1">
                  <c:v>45873</c:v>
                </c:pt>
                <c:pt idx="2">
                  <c:v>45874</c:v>
                </c:pt>
                <c:pt idx="3">
                  <c:v>45875</c:v>
                </c:pt>
                <c:pt idx="4">
                  <c:v>45876</c:v>
                </c:pt>
                <c:pt idx="5">
                  <c:v>45877</c:v>
                </c:pt>
                <c:pt idx="6">
                  <c:v>45880</c:v>
                </c:pt>
                <c:pt idx="7">
                  <c:v>45881</c:v>
                </c:pt>
                <c:pt idx="8">
                  <c:v>45882</c:v>
                </c:pt>
                <c:pt idx="9">
                  <c:v>45883</c:v>
                </c:pt>
                <c:pt idx="10">
                  <c:v>45887</c:v>
                </c:pt>
                <c:pt idx="11">
                  <c:v>45888</c:v>
                </c:pt>
                <c:pt idx="12">
                  <c:v>45889</c:v>
                </c:pt>
                <c:pt idx="13">
                  <c:v>45890</c:v>
                </c:pt>
                <c:pt idx="14">
                  <c:v>45891</c:v>
                </c:pt>
                <c:pt idx="15">
                  <c:v>45894</c:v>
                </c:pt>
                <c:pt idx="16">
                  <c:v>45895</c:v>
                </c:pt>
                <c:pt idx="17">
                  <c:v>45896</c:v>
                </c:pt>
                <c:pt idx="18">
                  <c:v>45897</c:v>
                </c:pt>
                <c:pt idx="19">
                  <c:v>45898</c:v>
                </c:pt>
              </c:numCache>
            </c:numRef>
          </c:cat>
          <c:val>
            <c:numRef>
              <c:f>Control_Core!$G$2:$G$21</c:f>
              <c:numCache>
                <c:formatCode>_(* #,##0_);_(* \(#,##0\);_(* "-"??_);_(@_)</c:formatCode>
                <c:ptCount val="20"/>
                <c:pt idx="0">
                  <c:v>125122000000</c:v>
                </c:pt>
                <c:pt idx="1">
                  <c:v>125122000000</c:v>
                </c:pt>
                <c:pt idx="2">
                  <c:v>125122000000</c:v>
                </c:pt>
                <c:pt idx="3">
                  <c:v>125122000000</c:v>
                </c:pt>
                <c:pt idx="4">
                  <c:v>125122000000</c:v>
                </c:pt>
                <c:pt idx="5">
                  <c:v>125122000000</c:v>
                </c:pt>
                <c:pt idx="6">
                  <c:v>125122000000</c:v>
                </c:pt>
                <c:pt idx="7">
                  <c:v>125122000000</c:v>
                </c:pt>
                <c:pt idx="8">
                  <c:v>125122000000</c:v>
                </c:pt>
                <c:pt idx="9">
                  <c:v>125122000000</c:v>
                </c:pt>
                <c:pt idx="10">
                  <c:v>125122000000</c:v>
                </c:pt>
                <c:pt idx="11">
                  <c:v>125122000000</c:v>
                </c:pt>
                <c:pt idx="12">
                  <c:v>125122000000</c:v>
                </c:pt>
                <c:pt idx="13">
                  <c:v>125122000000</c:v>
                </c:pt>
                <c:pt idx="14">
                  <c:v>125122000000</c:v>
                </c:pt>
                <c:pt idx="15">
                  <c:v>125122000000</c:v>
                </c:pt>
                <c:pt idx="16">
                  <c:v>125122000000</c:v>
                </c:pt>
                <c:pt idx="17">
                  <c:v>125122000000</c:v>
                </c:pt>
                <c:pt idx="18">
                  <c:v>125122000000</c:v>
                </c:pt>
                <c:pt idx="19">
                  <c:v>125122000000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959-4047-A794-3FD39DDE46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3172367"/>
        <c:axId val="133160367"/>
      </c:lineChart>
      <c:dateAx>
        <c:axId val="133172367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3160367"/>
        <c:crosses val="autoZero"/>
        <c:auto val="1"/>
        <c:lblOffset val="100"/>
        <c:baseTimeUnit val="days"/>
      </c:dateAx>
      <c:valAx>
        <c:axId val="133160367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3172367"/>
        <c:crosses val="autoZero"/>
        <c:crossBetween val="between"/>
        <c:dispUnits>
          <c:builtInUnit val="millions"/>
          <c:dispUnitsLbl>
            <c:layout>
              <c:manualLayout>
                <c:xMode val="edge"/>
                <c:yMode val="edge"/>
                <c:x val="2.8928336620644313E-2"/>
                <c:y val="0.42981440755933992"/>
              </c:manualLayout>
            </c:layout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L" sz="1600"/>
              <a:t>Cuenta AGD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Control_Core!$D$1</c:f>
              <c:strCache>
                <c:ptCount val="1"/>
                <c:pt idx="0">
                  <c:v>Cuenta AGD</c:v>
                </c:pt>
              </c:strCache>
            </c:strRef>
          </c:tx>
          <c:spPr>
            <a:ln w="22225" cap="rnd">
              <a:solidFill>
                <a:srgbClr val="00B050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Control_Core!$A$2:$A$21</c:f>
              <c:numCache>
                <c:formatCode>m/d/yyyy</c:formatCode>
                <c:ptCount val="20"/>
                <c:pt idx="0">
                  <c:v>45870</c:v>
                </c:pt>
                <c:pt idx="1">
                  <c:v>45873</c:v>
                </c:pt>
                <c:pt idx="2">
                  <c:v>45874</c:v>
                </c:pt>
                <c:pt idx="3">
                  <c:v>45875</c:v>
                </c:pt>
                <c:pt idx="4">
                  <c:v>45876</c:v>
                </c:pt>
                <c:pt idx="5">
                  <c:v>45877</c:v>
                </c:pt>
                <c:pt idx="6">
                  <c:v>45880</c:v>
                </c:pt>
                <c:pt idx="7">
                  <c:v>45881</c:v>
                </c:pt>
                <c:pt idx="8">
                  <c:v>45882</c:v>
                </c:pt>
                <c:pt idx="9">
                  <c:v>45883</c:v>
                </c:pt>
                <c:pt idx="10">
                  <c:v>45887</c:v>
                </c:pt>
                <c:pt idx="11">
                  <c:v>45888</c:v>
                </c:pt>
                <c:pt idx="12">
                  <c:v>45889</c:v>
                </c:pt>
                <c:pt idx="13">
                  <c:v>45890</c:v>
                </c:pt>
                <c:pt idx="14">
                  <c:v>45891</c:v>
                </c:pt>
                <c:pt idx="15">
                  <c:v>45894</c:v>
                </c:pt>
                <c:pt idx="16">
                  <c:v>45895</c:v>
                </c:pt>
                <c:pt idx="17">
                  <c:v>45896</c:v>
                </c:pt>
                <c:pt idx="18">
                  <c:v>45897</c:v>
                </c:pt>
                <c:pt idx="19">
                  <c:v>45898</c:v>
                </c:pt>
              </c:numCache>
            </c:numRef>
          </c:cat>
          <c:val>
            <c:numRef>
              <c:f>Control_Core!$D$2:$D$21</c:f>
              <c:numCache>
                <c:formatCode>_(* #,##0_);_(* \(#,##0\);_(* "-"??_);_(@_)</c:formatCode>
                <c:ptCount val="20"/>
                <c:pt idx="0">
                  <c:v>4054641.0591221978</c:v>
                </c:pt>
                <c:pt idx="1">
                  <c:v>4093030.7736074314</c:v>
                </c:pt>
                <c:pt idx="2">
                  <c:v>4139033.2506335927</c:v>
                </c:pt>
                <c:pt idx="3">
                  <c:v>4154717.6648582597</c:v>
                </c:pt>
                <c:pt idx="4">
                  <c:v>4160330.2777697588</c:v>
                </c:pt>
                <c:pt idx="5">
                  <c:v>4164169.2919582273</c:v>
                </c:pt>
                <c:pt idx="6">
                  <c:v>4178816.5589609579</c:v>
                </c:pt>
                <c:pt idx="7">
                  <c:v>4180486.1814672407</c:v>
                </c:pt>
                <c:pt idx="8">
                  <c:v>4179460.7501725424</c:v>
                </c:pt>
                <c:pt idx="9">
                  <c:v>4185779.8152795965</c:v>
                </c:pt>
                <c:pt idx="10">
                  <c:v>4192469.9357059882</c:v>
                </c:pt>
                <c:pt idx="11">
                  <c:v>4191962.0444460069</c:v>
                </c:pt>
                <c:pt idx="12">
                  <c:v>4191565.2507281308</c:v>
                </c:pt>
                <c:pt idx="13">
                  <c:v>4191022.1889761006</c:v>
                </c:pt>
                <c:pt idx="14">
                  <c:v>4195558.2650386598</c:v>
                </c:pt>
                <c:pt idx="15">
                  <c:v>4200517.8485528622</c:v>
                </c:pt>
                <c:pt idx="16">
                  <c:v>4200174</c:v>
                </c:pt>
                <c:pt idx="17">
                  <c:v>4197981</c:v>
                </c:pt>
                <c:pt idx="18">
                  <c:v>4216864</c:v>
                </c:pt>
                <c:pt idx="19">
                  <c:v>4260606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638-4CE5-9808-045925DAEBAF}"/>
            </c:ext>
          </c:extLst>
        </c:ser>
        <c:ser>
          <c:idx val="1"/>
          <c:order val="1"/>
          <c:tx>
            <c:strRef>
              <c:f>Control_Core!$H$1</c:f>
              <c:strCache>
                <c:ptCount val="1"/>
                <c:pt idx="0">
                  <c:v>Core Cuenta AGD</c:v>
                </c:pt>
              </c:strCache>
            </c:strRef>
          </c:tx>
          <c:spPr>
            <a:ln w="22225" cap="rnd">
              <a:solidFill>
                <a:srgbClr val="92D050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Control_Core!$A$2:$A$21</c:f>
              <c:numCache>
                <c:formatCode>m/d/yyyy</c:formatCode>
                <c:ptCount val="20"/>
                <c:pt idx="0">
                  <c:v>45870</c:v>
                </c:pt>
                <c:pt idx="1">
                  <c:v>45873</c:v>
                </c:pt>
                <c:pt idx="2">
                  <c:v>45874</c:v>
                </c:pt>
                <c:pt idx="3">
                  <c:v>45875</c:v>
                </c:pt>
                <c:pt idx="4">
                  <c:v>45876</c:v>
                </c:pt>
                <c:pt idx="5">
                  <c:v>45877</c:v>
                </c:pt>
                <c:pt idx="6">
                  <c:v>45880</c:v>
                </c:pt>
                <c:pt idx="7">
                  <c:v>45881</c:v>
                </c:pt>
                <c:pt idx="8">
                  <c:v>45882</c:v>
                </c:pt>
                <c:pt idx="9">
                  <c:v>45883</c:v>
                </c:pt>
                <c:pt idx="10">
                  <c:v>45887</c:v>
                </c:pt>
                <c:pt idx="11">
                  <c:v>45888</c:v>
                </c:pt>
                <c:pt idx="12">
                  <c:v>45889</c:v>
                </c:pt>
                <c:pt idx="13">
                  <c:v>45890</c:v>
                </c:pt>
                <c:pt idx="14">
                  <c:v>45891</c:v>
                </c:pt>
                <c:pt idx="15">
                  <c:v>45894</c:v>
                </c:pt>
                <c:pt idx="16">
                  <c:v>45895</c:v>
                </c:pt>
                <c:pt idx="17">
                  <c:v>45896</c:v>
                </c:pt>
                <c:pt idx="18">
                  <c:v>45897</c:v>
                </c:pt>
                <c:pt idx="19">
                  <c:v>45898</c:v>
                </c:pt>
              </c:numCache>
            </c:numRef>
          </c:cat>
          <c:val>
            <c:numRef>
              <c:f>Control_Core!$H$2:$H$21</c:f>
              <c:numCache>
                <c:formatCode>_(* #,##0_);_(* \(#,##0\);_(* "-"??_);_(@_)</c:formatCode>
                <c:ptCount val="20"/>
                <c:pt idx="0">
                  <c:v>3549440</c:v>
                </c:pt>
                <c:pt idx="1">
                  <c:v>3549440</c:v>
                </c:pt>
                <c:pt idx="2">
                  <c:v>3549440</c:v>
                </c:pt>
                <c:pt idx="3">
                  <c:v>3549440</c:v>
                </c:pt>
                <c:pt idx="4">
                  <c:v>3549440</c:v>
                </c:pt>
                <c:pt idx="5">
                  <c:v>3549440</c:v>
                </c:pt>
                <c:pt idx="6">
                  <c:v>3549440</c:v>
                </c:pt>
                <c:pt idx="7">
                  <c:v>3549440</c:v>
                </c:pt>
                <c:pt idx="8">
                  <c:v>3549440</c:v>
                </c:pt>
                <c:pt idx="9">
                  <c:v>3549440</c:v>
                </c:pt>
                <c:pt idx="10">
                  <c:v>3549440</c:v>
                </c:pt>
                <c:pt idx="11">
                  <c:v>3549440</c:v>
                </c:pt>
                <c:pt idx="12">
                  <c:v>3549440</c:v>
                </c:pt>
                <c:pt idx="13">
                  <c:v>3549440</c:v>
                </c:pt>
                <c:pt idx="14">
                  <c:v>3549440</c:v>
                </c:pt>
                <c:pt idx="15">
                  <c:v>3549440</c:v>
                </c:pt>
                <c:pt idx="16">
                  <c:v>3549440</c:v>
                </c:pt>
                <c:pt idx="17">
                  <c:v>3549440</c:v>
                </c:pt>
                <c:pt idx="18">
                  <c:v>3549440</c:v>
                </c:pt>
                <c:pt idx="19">
                  <c:v>3549440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638-4CE5-9808-045925DAEB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3172367"/>
        <c:axId val="133160367"/>
      </c:lineChart>
      <c:dateAx>
        <c:axId val="133172367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3160367"/>
        <c:crosses val="autoZero"/>
        <c:auto val="1"/>
        <c:lblOffset val="100"/>
        <c:baseTimeUnit val="days"/>
      </c:dateAx>
      <c:valAx>
        <c:axId val="133160367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31723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L" sz="1600"/>
              <a:t>Cuenta AGI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Control_Core!$E$1</c:f>
              <c:strCache>
                <c:ptCount val="1"/>
                <c:pt idx="0">
                  <c:v>Cuenta AGI</c:v>
                </c:pt>
              </c:strCache>
            </c:strRef>
          </c:tx>
          <c:spPr>
            <a:ln w="22225" cap="rnd">
              <a:solidFill>
                <a:srgbClr val="00B050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Control_Core!$A$2:$A$21</c:f>
              <c:numCache>
                <c:formatCode>m/d/yyyy</c:formatCode>
                <c:ptCount val="20"/>
                <c:pt idx="0">
                  <c:v>45870</c:v>
                </c:pt>
                <c:pt idx="1">
                  <c:v>45873</c:v>
                </c:pt>
                <c:pt idx="2">
                  <c:v>45874</c:v>
                </c:pt>
                <c:pt idx="3">
                  <c:v>45875</c:v>
                </c:pt>
                <c:pt idx="4">
                  <c:v>45876</c:v>
                </c:pt>
                <c:pt idx="5">
                  <c:v>45877</c:v>
                </c:pt>
                <c:pt idx="6">
                  <c:v>45880</c:v>
                </c:pt>
                <c:pt idx="7">
                  <c:v>45881</c:v>
                </c:pt>
                <c:pt idx="8">
                  <c:v>45882</c:v>
                </c:pt>
                <c:pt idx="9">
                  <c:v>45883</c:v>
                </c:pt>
                <c:pt idx="10">
                  <c:v>45887</c:v>
                </c:pt>
                <c:pt idx="11">
                  <c:v>45888</c:v>
                </c:pt>
                <c:pt idx="12">
                  <c:v>45889</c:v>
                </c:pt>
                <c:pt idx="13">
                  <c:v>45890</c:v>
                </c:pt>
                <c:pt idx="14">
                  <c:v>45891</c:v>
                </c:pt>
                <c:pt idx="15">
                  <c:v>45894</c:v>
                </c:pt>
                <c:pt idx="16">
                  <c:v>45895</c:v>
                </c:pt>
                <c:pt idx="17">
                  <c:v>45896</c:v>
                </c:pt>
                <c:pt idx="18">
                  <c:v>45897</c:v>
                </c:pt>
                <c:pt idx="19">
                  <c:v>45898</c:v>
                </c:pt>
              </c:numCache>
            </c:numRef>
          </c:cat>
          <c:val>
            <c:numRef>
              <c:f>Control_Core!$E$2:$E$21</c:f>
              <c:numCache>
                <c:formatCode>_(* #,##0_);_(* \(#,##0\);_(* "-"??_);_(@_)</c:formatCode>
                <c:ptCount val="20"/>
                <c:pt idx="0">
                  <c:v>1092314.8407551448</c:v>
                </c:pt>
                <c:pt idx="1">
                  <c:v>1091862.8759089604</c:v>
                </c:pt>
                <c:pt idx="2">
                  <c:v>1092608.7612176528</c:v>
                </c:pt>
                <c:pt idx="3">
                  <c:v>1094668.6815860479</c:v>
                </c:pt>
                <c:pt idx="4">
                  <c:v>1092853.0568111187</c:v>
                </c:pt>
                <c:pt idx="5">
                  <c:v>1093579.5550980351</c:v>
                </c:pt>
                <c:pt idx="6">
                  <c:v>1092120.7377755893</c:v>
                </c:pt>
                <c:pt idx="7">
                  <c:v>1093078.273589771</c:v>
                </c:pt>
                <c:pt idx="8">
                  <c:v>1092869.7493435212</c:v>
                </c:pt>
                <c:pt idx="9">
                  <c:v>1092425.4019388598</c:v>
                </c:pt>
                <c:pt idx="10">
                  <c:v>1091853.6068466778</c:v>
                </c:pt>
                <c:pt idx="11">
                  <c:v>1093164.0654047013</c:v>
                </c:pt>
                <c:pt idx="12">
                  <c:v>1093230.8806904876</c:v>
                </c:pt>
                <c:pt idx="13">
                  <c:v>1093610.0397739613</c:v>
                </c:pt>
                <c:pt idx="14">
                  <c:v>1094058.0471202696</c:v>
                </c:pt>
                <c:pt idx="15">
                  <c:v>1092749.3583847729</c:v>
                </c:pt>
                <c:pt idx="16">
                  <c:v>1092462</c:v>
                </c:pt>
                <c:pt idx="17">
                  <c:v>1090996</c:v>
                </c:pt>
                <c:pt idx="18">
                  <c:v>1091583</c:v>
                </c:pt>
                <c:pt idx="19">
                  <c:v>1092444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5B0-4532-AC45-CA1AD487E7AD}"/>
            </c:ext>
          </c:extLst>
        </c:ser>
        <c:ser>
          <c:idx val="1"/>
          <c:order val="1"/>
          <c:tx>
            <c:strRef>
              <c:f>Control_Core!$I$1</c:f>
              <c:strCache>
                <c:ptCount val="1"/>
                <c:pt idx="0">
                  <c:v>Core Cuenta AGI</c:v>
                </c:pt>
              </c:strCache>
            </c:strRef>
          </c:tx>
          <c:spPr>
            <a:ln w="22225" cap="rnd">
              <a:solidFill>
                <a:srgbClr val="92D050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Control_Core!$A$2:$A$21</c:f>
              <c:numCache>
                <c:formatCode>m/d/yyyy</c:formatCode>
                <c:ptCount val="20"/>
                <c:pt idx="0">
                  <c:v>45870</c:v>
                </c:pt>
                <c:pt idx="1">
                  <c:v>45873</c:v>
                </c:pt>
                <c:pt idx="2">
                  <c:v>45874</c:v>
                </c:pt>
                <c:pt idx="3">
                  <c:v>45875</c:v>
                </c:pt>
                <c:pt idx="4">
                  <c:v>45876</c:v>
                </c:pt>
                <c:pt idx="5">
                  <c:v>45877</c:v>
                </c:pt>
                <c:pt idx="6">
                  <c:v>45880</c:v>
                </c:pt>
                <c:pt idx="7">
                  <c:v>45881</c:v>
                </c:pt>
                <c:pt idx="8">
                  <c:v>45882</c:v>
                </c:pt>
                <c:pt idx="9">
                  <c:v>45883</c:v>
                </c:pt>
                <c:pt idx="10">
                  <c:v>45887</c:v>
                </c:pt>
                <c:pt idx="11">
                  <c:v>45888</c:v>
                </c:pt>
                <c:pt idx="12">
                  <c:v>45889</c:v>
                </c:pt>
                <c:pt idx="13">
                  <c:v>45890</c:v>
                </c:pt>
                <c:pt idx="14">
                  <c:v>45891</c:v>
                </c:pt>
                <c:pt idx="15">
                  <c:v>45894</c:v>
                </c:pt>
                <c:pt idx="16">
                  <c:v>45895</c:v>
                </c:pt>
                <c:pt idx="17">
                  <c:v>45896</c:v>
                </c:pt>
                <c:pt idx="18">
                  <c:v>45897</c:v>
                </c:pt>
                <c:pt idx="19">
                  <c:v>45898</c:v>
                </c:pt>
              </c:numCache>
            </c:numRef>
          </c:cat>
          <c:val>
            <c:numRef>
              <c:f>Control_Core!$I$2:$I$21</c:f>
              <c:numCache>
                <c:formatCode>_(* #,##0_);_(* \(#,##0\);_(* "-"??_);_(@_)</c:formatCode>
                <c:ptCount val="20"/>
                <c:pt idx="0">
                  <c:v>1065518</c:v>
                </c:pt>
                <c:pt idx="1">
                  <c:v>1065518</c:v>
                </c:pt>
                <c:pt idx="2">
                  <c:v>1065518</c:v>
                </c:pt>
                <c:pt idx="3">
                  <c:v>1065518</c:v>
                </c:pt>
                <c:pt idx="4">
                  <c:v>1065518</c:v>
                </c:pt>
                <c:pt idx="5">
                  <c:v>1065518</c:v>
                </c:pt>
                <c:pt idx="6">
                  <c:v>1065518</c:v>
                </c:pt>
                <c:pt idx="7">
                  <c:v>1065518</c:v>
                </c:pt>
                <c:pt idx="8">
                  <c:v>1065518</c:v>
                </c:pt>
                <c:pt idx="9">
                  <c:v>1065518</c:v>
                </c:pt>
                <c:pt idx="10">
                  <c:v>1065518</c:v>
                </c:pt>
                <c:pt idx="11">
                  <c:v>1065518</c:v>
                </c:pt>
                <c:pt idx="12">
                  <c:v>1065518</c:v>
                </c:pt>
                <c:pt idx="13">
                  <c:v>1065518</c:v>
                </c:pt>
                <c:pt idx="14">
                  <c:v>1065518</c:v>
                </c:pt>
                <c:pt idx="15">
                  <c:v>1065518</c:v>
                </c:pt>
                <c:pt idx="16">
                  <c:v>1065518</c:v>
                </c:pt>
                <c:pt idx="17">
                  <c:v>1065518</c:v>
                </c:pt>
                <c:pt idx="18">
                  <c:v>1065518</c:v>
                </c:pt>
                <c:pt idx="19">
                  <c:v>1065518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5B0-4532-AC45-CA1AD487E7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3172367"/>
        <c:axId val="133160367"/>
      </c:lineChart>
      <c:dateAx>
        <c:axId val="133172367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3160367"/>
        <c:crosses val="autoZero"/>
        <c:auto val="1"/>
        <c:lblOffset val="100"/>
        <c:baseTimeUnit val="days"/>
      </c:dateAx>
      <c:valAx>
        <c:axId val="133160367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31723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228599</xdr:colOff>
      <xdr:row>2</xdr:row>
      <xdr:rowOff>52387</xdr:rowOff>
    </xdr:from>
    <xdr:to>
      <xdr:col>9</xdr:col>
      <xdr:colOff>209549</xdr:colOff>
      <xdr:row>16</xdr:row>
      <xdr:rowOff>180975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590329A7-896C-26CF-27F7-81CFBC135F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238125</xdr:colOff>
      <xdr:row>2</xdr:row>
      <xdr:rowOff>57150</xdr:rowOff>
    </xdr:from>
    <xdr:to>
      <xdr:col>15</xdr:col>
      <xdr:colOff>495300</xdr:colOff>
      <xdr:row>16</xdr:row>
      <xdr:rowOff>185738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16D7CA8A-5AEE-4BCD-978D-1F6F8352EB6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219075</xdr:colOff>
      <xdr:row>17</xdr:row>
      <xdr:rowOff>38100</xdr:rowOff>
    </xdr:from>
    <xdr:to>
      <xdr:col>9</xdr:col>
      <xdr:colOff>200025</xdr:colOff>
      <xdr:row>31</xdr:row>
      <xdr:rowOff>166688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4647ACEB-1D74-4A08-970F-9F66D4CCCF4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247651</xdr:colOff>
      <xdr:row>17</xdr:row>
      <xdr:rowOff>42863</xdr:rowOff>
    </xdr:from>
    <xdr:to>
      <xdr:col>15</xdr:col>
      <xdr:colOff>523875</xdr:colOff>
      <xdr:row>31</xdr:row>
      <xdr:rowOff>171451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35BB7A3F-99C5-4747-BE05-ED90EE69FBE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76200</xdr:colOff>
      <xdr:row>11</xdr:row>
      <xdr:rowOff>66674</xdr:rowOff>
    </xdr:from>
    <xdr:to>
      <xdr:col>6</xdr:col>
      <xdr:colOff>1162050</xdr:colOff>
      <xdr:row>14</xdr:row>
      <xdr:rowOff>95249</xdr:rowOff>
    </xdr:to>
    <xdr:sp macro="[0]!Actualiza_SSV" textlink="">
      <xdr:nvSpPr>
        <xdr:cNvPr id="2" name="Rectángulo redondead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7334250" y="2162174"/>
          <a:ext cx="2371725" cy="600075"/>
        </a:xfrm>
        <a:prstGeom prst="roundRect">
          <a:avLst/>
        </a:prstGeom>
        <a:solidFill>
          <a:srgbClr val="00B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2400" b="1"/>
            <a:t>Actualiza SSV</a:t>
          </a:r>
        </a:p>
      </xdr:txBody>
    </xdr:sp>
    <xdr:clientData/>
  </xdr:twoCellAnchor>
  <xdr:twoCellAnchor>
    <xdr:from>
      <xdr:col>11</xdr:col>
      <xdr:colOff>530678</xdr:colOff>
      <xdr:row>6</xdr:row>
      <xdr:rowOff>81643</xdr:rowOff>
    </xdr:from>
    <xdr:to>
      <xdr:col>11</xdr:col>
      <xdr:colOff>631371</xdr:colOff>
      <xdr:row>19</xdr:row>
      <xdr:rowOff>87086</xdr:rowOff>
    </xdr:to>
    <xdr:cxnSp macro="">
      <xdr:nvCxnSpPr>
        <xdr:cNvPr id="4" name="Conector recto de flecha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CxnSpPr/>
      </xdr:nvCxnSpPr>
      <xdr:spPr>
        <a:xfrm flipH="1" flipV="1">
          <a:off x="20157621" y="1202872"/>
          <a:ext cx="100693" cy="2726871"/>
        </a:xfrm>
        <a:prstGeom prst="straightConnector1">
          <a:avLst/>
        </a:prstGeom>
        <a:ln w="28575">
          <a:solidFill>
            <a:srgbClr val="FF0000"/>
          </a:solidFill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108858</xdr:colOff>
      <xdr:row>17</xdr:row>
      <xdr:rowOff>2</xdr:rowOff>
    </xdr:from>
    <xdr:to>
      <xdr:col>11</xdr:col>
      <xdr:colOff>631371</xdr:colOff>
      <xdr:row>19</xdr:row>
      <xdr:rowOff>108857</xdr:rowOff>
    </xdr:to>
    <xdr:cxnSp macro="">
      <xdr:nvCxnSpPr>
        <xdr:cNvPr id="5" name="Conector recto de flecha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CxnSpPr/>
      </xdr:nvCxnSpPr>
      <xdr:spPr>
        <a:xfrm flipH="1" flipV="1">
          <a:off x="7554687" y="3472545"/>
          <a:ext cx="12703627" cy="478969"/>
        </a:xfrm>
        <a:prstGeom prst="straightConnector1">
          <a:avLst/>
        </a:prstGeom>
        <a:ln w="28575">
          <a:solidFill>
            <a:srgbClr val="FF0000"/>
          </a:solidFill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106138</xdr:colOff>
      <xdr:row>10</xdr:row>
      <xdr:rowOff>73482</xdr:rowOff>
    </xdr:from>
    <xdr:to>
      <xdr:col>11</xdr:col>
      <xdr:colOff>609600</xdr:colOff>
      <xdr:row>19</xdr:row>
      <xdr:rowOff>108857</xdr:rowOff>
    </xdr:to>
    <xdr:cxnSp macro="">
      <xdr:nvCxnSpPr>
        <xdr:cNvPr id="8" name="Conector recto de flecha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CxnSpPr/>
      </xdr:nvCxnSpPr>
      <xdr:spPr>
        <a:xfrm flipH="1" flipV="1">
          <a:off x="18013138" y="2152653"/>
          <a:ext cx="2223405" cy="1798861"/>
        </a:xfrm>
        <a:prstGeom prst="straightConnector1">
          <a:avLst/>
        </a:prstGeom>
        <a:ln w="28575">
          <a:solidFill>
            <a:srgbClr val="FF0000"/>
          </a:solidFill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 editAs="oneCell">
    <xdr:from>
      <xdr:col>0</xdr:col>
      <xdr:colOff>0</xdr:colOff>
      <xdr:row>46</xdr:row>
      <xdr:rowOff>176892</xdr:rowOff>
    </xdr:from>
    <xdr:to>
      <xdr:col>8</xdr:col>
      <xdr:colOff>1522776</xdr:colOff>
      <xdr:row>56</xdr:row>
      <xdr:rowOff>40820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2D443095-7BE2-07D0-85E6-62E3721DA9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191499"/>
          <a:ext cx="16176171" cy="1632857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odrigo Ignacio Muñoz Bozo" refreshedDate="45931.684718402779" createdVersion="6" refreshedVersion="8" minRefreshableVersion="3" recordCount="655" xr:uid="{00000000-000A-0000-FFFF-FFFF41020000}">
  <cacheSource type="worksheet">
    <worksheetSource ref="A1:AE656" sheet="DESARROLLO"/>
  </cacheSource>
  <cacheFields count="31">
    <cacheField name="FECHA PROCESO" numFmtId="14">
      <sharedItems containsSemiMixedTypes="0" containsNonDate="0" containsDate="1" containsString="0" minDate="2025-09-30T00:00:00" maxDate="2025-10-01T00:00:00"/>
    </cacheField>
    <cacheField name="CODIGO_EMPRESA" numFmtId="0">
      <sharedItems containsSemiMixedTypes="0" containsString="0" containsNumber="1" containsInteger="1" minValue="1" maxValue="1"/>
    </cacheField>
    <cacheField name="OPERACION" numFmtId="0">
      <sharedItems containsNonDate="0" containsString="0" containsBlank="1"/>
    </cacheField>
    <cacheField name="COD ACT/PAS" numFmtId="0">
      <sharedItems/>
    </cacheField>
    <cacheField name="MONEDA_ORIGEN" numFmtId="0">
      <sharedItems/>
    </cacheField>
    <cacheField name="MONEDA_COMPENSACION" numFmtId="0">
      <sharedItems/>
    </cacheField>
    <cacheField name="COMPENSACION" numFmtId="0">
      <sharedItems containsNonDate="0" containsString="0" containsBlank="1"/>
    </cacheField>
    <cacheField name="CODIGO_PRODUCTO" numFmtId="0">
      <sharedItems containsBlank="1" count="10">
        <s v="MT_CTA. CORRIENTE"/>
        <s v="MT.CTA. VISTA"/>
        <s v="MT_CTA. AHORRO"/>
        <s v="MT_C40_CTA_VISTA" u="1"/>
        <s v="MT_C40_CTA_ AHORRO G.DIF" u="1"/>
        <s v="MT_C40_CTA_ AHORRO G.INC" u="1"/>
        <s v="MT_R13_CTA. CORRIENTE" u="1"/>
        <s v="MT_R13_CTA. VISTA" u="1"/>
        <s v="MT_R13_CTA. AHORRO" u="1"/>
        <m u="1"/>
      </sharedItems>
    </cacheField>
    <cacheField name="CODIGO_SUBPRODUCTO" numFmtId="0">
      <sharedItems/>
    </cacheField>
    <cacheField name="FECHA CREACION" numFmtId="0">
      <sharedItems containsNonDate="0" containsString="0" containsBlank="1"/>
    </cacheField>
    <cacheField name="NUMERO_CUOTA" numFmtId="0">
      <sharedItems containsString="0" containsBlank="1" containsNumber="1" containsInteger="1" minValue="1" maxValue="294"/>
    </cacheField>
    <cacheField name="FECHA_INICIO_CUOTA" numFmtId="14">
      <sharedItems containsNonDate="0" containsString="0" containsBlank="1"/>
    </cacheField>
    <cacheField name="FECHA_VENCIMIENTO_CUOTA" numFmtId="14">
      <sharedItems containsSemiMixedTypes="0" containsNonDate="0" containsDate="1" containsString="0" minDate="2025-10-01T00:00:00" maxDate="2050-04-01T00:00:00"/>
    </cacheField>
    <cacheField name="FECHA PAGO" numFmtId="14">
      <sharedItems containsSemiMixedTypes="0" containsNonDate="0" containsDate="1" containsString="0" minDate="2025-10-01T00:00:00" maxDate="2050-04-01T00:00:00"/>
    </cacheField>
    <cacheField name="FECHA_REPRICING" numFmtId="14">
      <sharedItems containsSemiMixedTypes="0" containsNonDate="0" containsDate="1" containsString="0" minDate="2025-10-01T00:00:00" maxDate="2050-04-01T00:00:00"/>
    </cacheField>
    <cacheField name="AMORTIZACION" numFmtId="165">
      <sharedItems containsSemiMixedTypes="0" containsString="0" containsNumber="1" minValue="0" maxValue="357810792922"/>
    </cacheField>
    <cacheField name="INTERES" numFmtId="0">
      <sharedItems containsNonDate="0" containsString="0" containsBlank="1"/>
    </cacheField>
    <cacheField name="INTERES_DEVENGADO" numFmtId="0">
      <sharedItems containsNonDate="0" containsString="0" containsBlank="1"/>
    </cacheField>
    <cacheField name="VP_AMORTIZACION" numFmtId="0">
      <sharedItems containsNonDate="0" containsString="0" containsBlank="1"/>
    </cacheField>
    <cacheField name="VP_INTERES" numFmtId="0">
      <sharedItems containsNonDate="0" containsString="0" containsBlank="1"/>
    </cacheField>
    <cacheField name="FACTOR DE RIESGO" numFmtId="0">
      <sharedItems containsNonDate="0" containsString="0" containsBlank="1"/>
    </cacheField>
    <cacheField name="TIPO_CUOTA" numFmtId="0">
      <sharedItems containsSemiMixedTypes="0" containsString="0" containsNumber="1" containsInteger="1" minValue="1" maxValue="1"/>
    </cacheField>
    <cacheField name="AREA NEGOCIO" numFmtId="0">
      <sharedItems/>
    </cacheField>
    <cacheField name="CODIGO_ EJECUTIVO" numFmtId="0">
      <sharedItems containsNonDate="0" containsString="0" containsBlank="1"/>
    </cacheField>
    <cacheField name="CODIGO_ESTRATEGIA" numFmtId="0">
      <sharedItems/>
    </cacheField>
    <cacheField name="CLASIFICACION_CONTABLE" numFmtId="0">
      <sharedItems/>
    </cacheField>
    <cacheField name="TIPO TASA" numFmtId="0">
      <sharedItems containsSemiMixedTypes="0" containsString="0" containsNumber="1" containsInteger="1" minValue="1" maxValue="1"/>
    </cacheField>
    <cacheField name="INDEXADOR" numFmtId="0">
      <sharedItems containsNonDate="0" containsString="0" containsBlank="1"/>
    </cacheField>
    <cacheField name="TASA" numFmtId="0">
      <sharedItems containsNonDate="0" containsString="0" containsBlank="1"/>
    </cacheField>
    <cacheField name="TASA CF" numFmtId="0">
      <sharedItems containsNonDate="0" containsString="0" containsBlank="1"/>
    </cacheField>
    <cacheField name="SPREAD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odrigo Ignacio Muñoz Bozo" refreshedDate="45931.685126157405" createdVersion="6" refreshedVersion="8" minRefreshableVersion="3" recordCount="1574" xr:uid="{00000000-000A-0000-FFFF-FFFF47020000}">
  <cacheSource type="worksheet">
    <worksheetSource ref="A1:AE1048576" sheet="DESARROLLO"/>
  </cacheSource>
  <cacheFields count="31">
    <cacheField name="FECHA PROCESO" numFmtId="14">
      <sharedItems containsNonDate="0" containsDate="1" containsString="0" containsBlank="1" minDate="2022-03-10T00:00:00" maxDate="2025-10-01T00:00:00" count="866">
        <d v="2025-09-30T00:00:00"/>
        <m/>
        <d v="2025-09-29T00:00:00" u="1"/>
        <d v="2025-09-26T00:00:00" u="1"/>
        <d v="2025-09-25T00:00:00" u="1"/>
        <d v="2025-09-24T00:00:00" u="1"/>
        <d v="2025-09-23T00:00:00" u="1"/>
        <d v="2025-09-22T00:00:00" u="1"/>
        <d v="2025-09-17T00:00:00" u="1"/>
        <d v="2025-09-16T00:00:00" u="1"/>
        <d v="2025-09-15T00:00:00" u="1"/>
        <d v="2025-09-12T00:00:00" u="1"/>
        <d v="2025-09-11T00:00:00" u="1"/>
        <d v="2025-09-10T00:00:00" u="1"/>
        <d v="2025-09-09T00:00:00" u="1"/>
        <d v="2025-09-08T00:00:00" u="1"/>
        <d v="2025-09-05T00:00:00" u="1"/>
        <d v="2025-09-04T00:00:00" u="1"/>
        <d v="2025-09-03T00:00:00" u="1"/>
        <d v="2025-09-02T00:00:00" u="1"/>
        <d v="2025-09-01T00:00:00" u="1"/>
        <d v="2025-08-29T00:00:00" u="1"/>
        <d v="2025-08-28T00:00:00" u="1"/>
        <d v="2025-08-27T00:00:00" u="1"/>
        <d v="2025-08-26T00:00:00" u="1"/>
        <d v="2025-08-25T00:00:00" u="1"/>
        <d v="2025-08-22T00:00:00" u="1"/>
        <d v="2025-08-21T00:00:00" u="1"/>
        <d v="2025-08-20T00:00:00" u="1"/>
        <d v="2025-08-19T00:00:00" u="1"/>
        <d v="2025-08-18T00:00:00" u="1"/>
        <d v="2025-08-14T00:00:00" u="1"/>
        <d v="2025-08-13T00:00:00" u="1"/>
        <d v="2025-08-12T00:00:00" u="1"/>
        <d v="2025-08-11T00:00:00" u="1"/>
        <d v="2025-08-08T00:00:00" u="1"/>
        <d v="2025-08-07T00:00:00" u="1"/>
        <d v="2025-08-06T00:00:00" u="1"/>
        <d v="2025-08-05T00:00:00" u="1"/>
        <d v="2025-08-04T00:00:00" u="1"/>
        <d v="2025-08-01T00:00:00" u="1"/>
        <d v="2025-07-31T00:00:00" u="1"/>
        <d v="2025-07-30T00:00:00" u="1"/>
        <d v="2025-07-29T00:00:00" u="1"/>
        <d v="2025-07-28T00:00:00" u="1"/>
        <d v="2025-07-25T00:00:00" u="1"/>
        <d v="2025-07-24T00:00:00" u="1"/>
        <d v="2025-07-23T00:00:00" u="1"/>
        <d v="2025-07-22T00:00:00" u="1"/>
        <d v="2025-07-21T00:00:00" u="1"/>
        <d v="2025-07-18T00:00:00" u="1"/>
        <d v="2025-07-17T00:00:00" u="1"/>
        <d v="2025-07-15T00:00:00" u="1"/>
        <d v="2025-07-14T00:00:00" u="1"/>
        <d v="2025-07-11T00:00:00" u="1"/>
        <d v="2025-07-10T00:00:00" u="1"/>
        <d v="2025-07-09T00:00:00" u="1"/>
        <d v="2025-07-08T00:00:00" u="1"/>
        <d v="2025-07-07T00:00:00" u="1"/>
        <d v="2025-07-04T00:00:00" u="1"/>
        <d v="2025-07-03T00:00:00" u="1"/>
        <d v="2025-07-02T00:00:00" u="1"/>
        <d v="2025-07-01T00:00:00" u="1"/>
        <d v="2025-06-30T00:00:00" u="1"/>
        <d v="2025-06-27T00:00:00" u="1"/>
        <d v="2025-06-26T00:00:00" u="1"/>
        <d v="2025-06-25T00:00:00" u="1"/>
        <d v="2025-06-24T00:00:00" u="1"/>
        <d v="2025-06-23T00:00:00" u="1"/>
        <d v="2025-06-19T00:00:00" u="1"/>
        <d v="2025-06-18T00:00:00" u="1"/>
        <d v="2025-06-17T00:00:00" u="1"/>
        <d v="2025-06-16T00:00:00" u="1"/>
        <d v="2025-06-13T00:00:00" u="1"/>
        <d v="2025-06-12T00:00:00" u="1"/>
        <d v="2025-06-11T00:00:00" u="1"/>
        <d v="2025-06-10T00:00:00" u="1"/>
        <d v="2025-06-09T00:00:00" u="1"/>
        <d v="2025-06-06T00:00:00" u="1"/>
        <d v="2025-06-05T00:00:00" u="1"/>
        <d v="2025-06-04T00:00:00" u="1"/>
        <d v="2025-06-03T00:00:00" u="1"/>
        <d v="2025-06-02T00:00:00" u="1"/>
        <d v="2025-05-30T00:00:00" u="1"/>
        <d v="2025-05-29T00:00:00" u="1"/>
        <d v="2025-05-28T00:00:00" u="1"/>
        <d v="2025-05-27T00:00:00" u="1"/>
        <d v="2025-05-26T00:00:00" u="1"/>
        <d v="2025-05-23T00:00:00" u="1"/>
        <d v="2025-05-22T00:00:00" u="1"/>
        <d v="2025-05-20T00:00:00" u="1"/>
        <d v="2025-05-19T00:00:00" u="1"/>
        <d v="2025-05-16T00:00:00" u="1"/>
        <d v="2025-05-15T00:00:00" u="1"/>
        <d v="2025-05-14T00:00:00" u="1"/>
        <d v="2025-05-13T00:00:00" u="1"/>
        <d v="2025-05-12T00:00:00" u="1"/>
        <d v="2025-05-09T00:00:00" u="1"/>
        <d v="2025-05-08T00:00:00" u="1"/>
        <d v="2025-05-07T00:00:00" u="1"/>
        <d v="2025-05-06T00:00:00" u="1"/>
        <d v="2025-05-05T00:00:00" u="1"/>
        <d v="2025-05-02T00:00:00" u="1"/>
        <d v="2025-04-30T00:00:00" u="1"/>
        <d v="2025-04-29T00:00:00" u="1"/>
        <d v="2025-04-28T00:00:00" u="1"/>
        <d v="2025-04-25T00:00:00" u="1"/>
        <d v="2025-04-24T00:00:00" u="1"/>
        <d v="2025-04-23T00:00:00" u="1"/>
        <d v="2025-04-22T00:00:00" u="1"/>
        <d v="2025-04-21T00:00:00" u="1"/>
        <d v="2025-04-17T00:00:00" u="1"/>
        <d v="2025-04-16T00:00:00" u="1"/>
        <d v="2025-04-15T00:00:00" u="1"/>
        <d v="2025-04-14T00:00:00" u="1"/>
        <d v="2025-04-11T00:00:00" u="1"/>
        <d v="2025-04-10T00:00:00" u="1"/>
        <d v="2025-04-09T00:00:00" u="1"/>
        <d v="2025-04-08T00:00:00" u="1"/>
        <d v="2025-04-07T00:00:00" u="1"/>
        <d v="2025-04-04T00:00:00" u="1"/>
        <d v="2025-04-03T00:00:00" u="1"/>
        <d v="2025-04-02T00:00:00" u="1"/>
        <d v="2025-04-01T00:00:00" u="1"/>
        <d v="2025-03-31T00:00:00" u="1"/>
        <d v="2025-03-28T00:00:00" u="1"/>
        <d v="2025-03-27T00:00:00" u="1"/>
        <d v="2025-03-26T00:00:00" u="1"/>
        <d v="2025-03-25T00:00:00" u="1"/>
        <d v="2025-03-24T00:00:00" u="1"/>
        <d v="2025-03-21T00:00:00" u="1"/>
        <d v="2025-03-20T00:00:00" u="1"/>
        <d v="2025-03-19T00:00:00" u="1"/>
        <d v="2025-03-18T00:00:00" u="1"/>
        <d v="2025-03-17T00:00:00" u="1"/>
        <d v="2025-03-14T00:00:00" u="1"/>
        <d v="2025-03-13T00:00:00" u="1"/>
        <d v="2025-03-12T00:00:00" u="1"/>
        <d v="2025-03-11T00:00:00" u="1"/>
        <d v="2025-03-10T00:00:00" u="1"/>
        <d v="2025-03-07T00:00:00" u="1"/>
        <d v="2025-03-06T00:00:00" u="1"/>
        <d v="2025-03-05T00:00:00" u="1"/>
        <d v="2025-03-04T00:00:00" u="1"/>
        <d v="2025-03-03T00:00:00" u="1"/>
        <d v="2025-02-28T00:00:00" u="1"/>
        <d v="2025-02-27T00:00:00" u="1"/>
        <d v="2025-02-26T00:00:00" u="1"/>
        <d v="2025-02-25T00:00:00" u="1"/>
        <d v="2025-02-24T00:00:00" u="1"/>
        <d v="2025-02-21T00:00:00" u="1"/>
        <d v="2025-02-20T00:00:00" u="1"/>
        <d v="2025-02-19T00:00:00" u="1"/>
        <d v="2025-02-18T00:00:00" u="1"/>
        <d v="2025-02-17T00:00:00" u="1"/>
        <d v="2025-02-14T00:00:00" u="1"/>
        <d v="2025-02-13T00:00:00" u="1"/>
        <d v="2025-02-12T00:00:00" u="1"/>
        <d v="2025-02-11T00:00:00" u="1"/>
        <d v="2025-02-10T00:00:00" u="1"/>
        <d v="2025-02-07T00:00:00" u="1"/>
        <d v="2025-02-06T00:00:00" u="1"/>
        <d v="2025-02-05T00:00:00" u="1"/>
        <d v="2025-02-04T00:00:00" u="1"/>
        <d v="2025-02-03T00:00:00" u="1"/>
        <d v="2025-01-31T00:00:00" u="1"/>
        <d v="2025-01-30T00:00:00" u="1"/>
        <d v="2025-01-29T00:00:00" u="1"/>
        <d v="2025-01-28T00:00:00" u="1"/>
        <d v="2025-01-27T00:00:00" u="1"/>
        <d v="2025-01-24T00:00:00" u="1"/>
        <d v="2025-01-23T00:00:00" u="1"/>
        <d v="2025-01-22T00:00:00" u="1"/>
        <d v="2025-01-21T00:00:00" u="1"/>
        <d v="2025-01-20T00:00:00" u="1"/>
        <d v="2025-01-17T00:00:00" u="1"/>
        <d v="2025-01-16T00:00:00" u="1"/>
        <d v="2025-01-15T00:00:00" u="1"/>
        <d v="2025-01-14T00:00:00" u="1"/>
        <d v="2025-01-13T00:00:00" u="1"/>
        <d v="2025-01-10T00:00:00" u="1"/>
        <d v="2025-01-09T00:00:00" u="1"/>
        <d v="2025-01-08T00:00:00" u="1"/>
        <d v="2025-01-07T00:00:00" u="1"/>
        <d v="2025-01-06T00:00:00" u="1"/>
        <d v="2025-01-03T00:00:00" u="1"/>
        <d v="2025-01-02T00:00:00" u="1"/>
        <d v="2024-12-30T00:00:00" u="1"/>
        <d v="2024-12-27T00:00:00" u="1"/>
        <d v="2024-12-26T00:00:00" u="1"/>
        <d v="2024-12-24T00:00:00" u="1"/>
        <d v="2024-12-23T00:00:00" u="1"/>
        <d v="2024-12-20T00:00:00" u="1"/>
        <d v="2024-12-19T00:00:00" u="1"/>
        <d v="2024-12-18T00:00:00" u="1"/>
        <d v="2024-12-17T00:00:00" u="1"/>
        <d v="2024-12-16T00:00:00" u="1"/>
        <d v="2024-12-13T00:00:00" u="1"/>
        <d v="2024-12-12T00:00:00" u="1"/>
        <d v="2024-12-11T00:00:00" u="1"/>
        <d v="2024-12-10T00:00:00" u="1"/>
        <d v="2024-12-09T00:00:00" u="1"/>
        <d v="2024-12-06T00:00:00" u="1"/>
        <d v="2024-12-05T00:00:00" u="1"/>
        <d v="2024-12-04T00:00:00" u="1"/>
        <d v="2024-12-03T00:00:00" u="1"/>
        <d v="2024-12-02T00:00:00" u="1"/>
        <d v="2024-11-29T00:00:00" u="1"/>
        <d v="2024-11-28T00:00:00" u="1"/>
        <d v="2024-11-27T00:00:00" u="1"/>
        <d v="2024-11-26T00:00:00" u="1"/>
        <d v="2024-11-25T00:00:00" u="1"/>
        <d v="2024-11-22T00:00:00" u="1"/>
        <d v="2024-11-21T00:00:00" u="1"/>
        <d v="2024-11-20T00:00:00" u="1"/>
        <d v="2024-11-19T00:00:00" u="1"/>
        <d v="2024-11-18T00:00:00" u="1"/>
        <d v="2024-11-15T00:00:00" u="1"/>
        <d v="2024-11-14T00:00:00" u="1"/>
        <d v="2024-11-13T00:00:00" u="1"/>
        <d v="2024-11-12T00:00:00" u="1"/>
        <d v="2024-11-11T00:00:00" u="1"/>
        <d v="2024-11-08T00:00:00" u="1"/>
        <d v="2024-11-07T00:00:00" u="1"/>
        <d v="2024-11-06T00:00:00" u="1"/>
        <d v="2024-11-05T00:00:00" u="1"/>
        <d v="2024-11-04T00:00:00" u="1"/>
        <d v="2024-10-30T00:00:00" u="1"/>
        <d v="2024-10-29T00:00:00" u="1"/>
        <d v="2024-10-28T00:00:00" u="1"/>
        <d v="2024-10-25T00:00:00" u="1"/>
        <d v="2024-10-24T00:00:00" u="1"/>
        <d v="2024-10-23T00:00:00" u="1"/>
        <d v="2024-10-22T00:00:00" u="1"/>
        <d v="2024-10-21T00:00:00" u="1"/>
        <d v="2024-10-18T00:00:00" u="1"/>
        <d v="2024-10-17T00:00:00" u="1"/>
        <d v="2024-10-16T00:00:00" u="1"/>
        <d v="2024-10-15T00:00:00" u="1"/>
        <d v="2024-10-14T00:00:00" u="1"/>
        <d v="2024-10-11T00:00:00" u="1"/>
        <d v="2024-10-10T00:00:00" u="1"/>
        <d v="2024-10-09T00:00:00" u="1"/>
        <d v="2024-10-08T00:00:00" u="1"/>
        <d v="2024-10-07T00:00:00" u="1"/>
        <d v="2024-10-04T00:00:00" u="1"/>
        <d v="2024-10-03T00:00:00" u="1"/>
        <d v="2022-09-29T00:00:00" u="1"/>
        <d v="2023-09-29T00:00:00" u="1"/>
        <d v="2022-10-25T00:00:00" u="1"/>
        <d v="2023-10-25T00:00:00" u="1"/>
        <d v="2022-11-21T00:00:00" u="1"/>
        <d v="2023-11-21T00:00:00" u="1"/>
        <d v="2022-10-27T00:00:00" u="1"/>
        <d v="2022-11-23T00:00:00" u="1"/>
        <d v="2023-11-23T00:00:00" u="1"/>
        <d v="2023-12-19T00:00:00" u="1"/>
        <d v="2022-11-25T00:00:00" u="1"/>
        <d v="2022-12-21T00:00:00" u="1"/>
        <d v="2023-12-21T00:00:00" u="1"/>
        <d v="2024-01-02T00:00:00" u="1"/>
        <d v="2023-10-31T00:00:00" u="1"/>
        <d v="2023-11-27T00:00:00" u="1"/>
        <d v="2022-12-23T00:00:00" u="1"/>
        <d v="2023-01-04T00:00:00" u="1"/>
        <d v="2024-01-04T00:00:00" u="1"/>
        <d v="2022-11-29T00:00:00" u="1"/>
        <d v="2023-11-29T00:00:00" u="1"/>
        <d v="2023-01-06T00:00:00" u="1"/>
        <d v="2023-02-02T00:00:00" u="1"/>
        <d v="2024-02-02T00:00:00" u="1"/>
        <d v="2022-12-27T00:00:00" u="1"/>
        <d v="2023-12-27T00:00:00" u="1"/>
        <d v="2024-01-08T00:00:00" u="1"/>
        <d v="2022-12-29T00:00:00" u="1"/>
        <d v="2023-12-29T00:00:00" u="1"/>
        <d v="2023-01-10T00:00:00" u="1"/>
        <d v="2024-01-10T00:00:00" u="1"/>
        <d v="2023-02-06T00:00:00" u="1"/>
        <d v="2024-02-06T00:00:00" u="1"/>
        <d v="2023-03-02T00:00:00" u="1"/>
        <d v="2023-01-12T00:00:00" u="1"/>
        <d v="2024-01-12T00:00:00" u="1"/>
        <d v="2023-02-08T00:00:00" u="1"/>
        <d v="2024-02-08T00:00:00" u="1"/>
        <d v="2024-03-04T00:00:00" u="1"/>
        <d v="2023-02-10T00:00:00" u="1"/>
        <d v="2023-03-06T00:00:00" u="1"/>
        <d v="2024-03-06T00:00:00" u="1"/>
        <d v="2024-04-02T00:00:00" u="1"/>
        <d v="2023-01-16T00:00:00" u="1"/>
        <d v="2024-01-16T00:00:00" u="1"/>
        <d v="2024-02-12T00:00:00" u="1"/>
        <d v="2023-03-08T00:00:00" u="1"/>
        <d v="2022-04-04T00:00:00" u="1"/>
        <d v="2024-03-08T00:00:00" u="1"/>
        <d v="2023-04-04T00:00:00" u="1"/>
        <d v="2024-04-04T00:00:00" u="1"/>
        <d v="2023-01-18T00:00:00" u="1"/>
        <d v="2024-01-18T00:00:00" u="1"/>
        <d v="2023-02-14T00:00:00" u="1"/>
        <d v="2022-03-10T00:00:00" u="1"/>
        <d v="2024-02-14T00:00:00" u="1"/>
        <d v="2023-03-10T00:00:00" u="1"/>
        <d v="2022-04-06T00:00:00" u="1"/>
        <d v="2023-04-06T00:00:00" u="1"/>
        <d v="2022-05-02T00:00:00" u="1"/>
        <d v="2023-05-02T00:00:00" u="1"/>
        <d v="2024-05-02T00:00:00" u="1"/>
        <d v="2023-01-20T00:00:00" u="1"/>
        <d v="2023-02-16T00:00:00" u="1"/>
        <d v="2024-02-16T00:00:00" u="1"/>
        <d v="2022-04-08T00:00:00" u="1"/>
        <d v="2024-03-12T00:00:00" u="1"/>
        <d v="2022-05-04T00:00:00" u="1"/>
        <d v="2024-04-08T00:00:00" u="1"/>
        <d v="2023-05-04T00:00:00" u="1"/>
        <d v="2024-01-22T00:00:00" u="1"/>
        <d v="2022-03-14T00:00:00" u="1"/>
        <d v="2023-03-14T00:00:00" u="1"/>
        <d v="2024-03-14T00:00:00" u="1"/>
        <d v="2023-04-10T00:00:00" u="1"/>
        <d v="2022-05-06T00:00:00" u="1"/>
        <d v="2024-04-10T00:00:00" u="1"/>
        <d v="2022-06-02T00:00:00" u="1"/>
        <d v="2024-05-06T00:00:00" u="1"/>
        <d v="2023-06-02T00:00:00" u="1"/>
        <d v="2023-01-24T00:00:00" u="1"/>
        <d v="2024-01-24T00:00:00" u="1"/>
        <d v="2023-02-20T00:00:00" u="1"/>
        <d v="2022-03-16T00:00:00" u="1"/>
        <d v="2024-02-20T00:00:00" u="1"/>
        <d v="2023-03-16T00:00:00" u="1"/>
        <d v="2022-04-12T00:00:00" u="1"/>
        <d v="2023-04-12T00:00:00" u="1"/>
        <d v="2024-04-12T00:00:00" u="1"/>
        <d v="2023-05-08T00:00:00" u="1"/>
        <d v="2024-05-08T00:00:00" u="1"/>
        <d v="2024-06-04T00:00:00" u="1"/>
        <d v="2023-01-26T00:00:00" u="1"/>
        <d v="2024-01-26T00:00:00" u="1"/>
        <d v="2023-02-22T00:00:00" u="1"/>
        <d v="2022-03-18T00:00:00" u="1"/>
        <d v="2024-02-22T00:00:00" u="1"/>
        <d v="2022-04-14T00:00:00" u="1"/>
        <d v="2024-03-18T00:00:00" u="1"/>
        <d v="2023-04-14T00:00:00" u="1"/>
        <d v="2022-05-10T00:00:00" u="1"/>
        <d v="2023-05-10T00:00:00" u="1"/>
        <d v="2022-06-06T00:00:00" u="1"/>
        <d v="2024-05-10T00:00:00" u="1"/>
        <d v="2023-06-06T00:00:00" u="1"/>
        <d v="2024-06-06T00:00:00" u="1"/>
        <d v="2024-07-02T00:00:00" u="1"/>
        <d v="2023-02-24T00:00:00" u="1"/>
        <d v="2023-03-20T00:00:00" u="1"/>
        <d v="2024-03-20T00:00:00" u="1"/>
        <d v="2022-05-12T00:00:00" u="1"/>
        <d v="2024-04-16T00:00:00" u="1"/>
        <d v="2023-05-12T00:00:00" u="1"/>
        <d v="2022-06-08T00:00:00" u="1"/>
        <d v="2023-06-08T00:00:00" u="1"/>
        <d v="2022-07-04T00:00:00" u="1"/>
        <d v="2023-07-04T00:00:00" u="1"/>
        <d v="2024-07-04T00:00:00" u="1"/>
        <d v="2023-01-30T00:00:00" u="1"/>
        <d v="2024-01-30T00:00:00" u="1"/>
        <d v="2022-03-22T00:00:00" u="1"/>
        <d v="2024-02-26T00:00:00" u="1"/>
        <d v="2023-03-22T00:00:00" u="1"/>
        <d v="2022-04-18T00:00:00" u="1"/>
        <d v="2024-03-22T00:00:00" u="1"/>
        <d v="2023-04-18T00:00:00" u="1"/>
        <d v="2024-04-18T00:00:00" u="1"/>
        <d v="2022-06-10T00:00:00" u="1"/>
        <d v="2024-05-14T00:00:00" u="1"/>
        <d v="2022-07-06T00:00:00" u="1"/>
        <d v="2024-06-10T00:00:00" u="1"/>
        <d v="2023-07-06T00:00:00" u="1"/>
        <d v="2022-08-02T00:00:00" u="1"/>
        <d v="2023-08-02T00:00:00" u="1"/>
        <d v="2024-08-02T00:00:00" u="1"/>
        <d v="2023-02-28T00:00:00" u="1"/>
        <d v="2022-03-24T00:00:00" u="1"/>
        <d v="2024-02-28T00:00:00" u="1"/>
        <d v="2023-03-24T00:00:00" u="1"/>
        <d v="2022-04-20T00:00:00" u="1"/>
        <d v="2023-04-20T00:00:00" u="1"/>
        <d v="2022-05-16T00:00:00" u="1"/>
        <d v="2023-05-16T00:00:00" u="1"/>
        <d v="2024-05-16T00:00:00" u="1"/>
        <d v="2023-06-12T00:00:00" u="1"/>
        <d v="2022-07-08T00:00:00" u="1"/>
        <d v="2024-06-12T00:00:00" u="1"/>
        <d v="2022-08-04T00:00:00" u="1"/>
        <d v="2024-07-08T00:00:00" u="1"/>
        <d v="2023-08-04T00:00:00" u="1"/>
        <d v="2022-04-22T00:00:00" u="1"/>
        <d v="2024-03-26T00:00:00" u="1"/>
        <d v="2022-05-18T00:00:00" u="1"/>
        <d v="2024-04-22T00:00:00" u="1"/>
        <d v="2023-05-18T00:00:00" u="1"/>
        <d v="2022-06-14T00:00:00" u="1"/>
        <d v="2023-06-14T00:00:00" u="1"/>
        <d v="2024-06-14T00:00:00" u="1"/>
        <d v="2023-07-10T00:00:00" u="1"/>
        <d v="2024-07-10T00:00:00" u="1"/>
        <d v="2022-09-02T00:00:00" u="1"/>
        <d v="2024-08-06T00:00:00" u="1"/>
        <d v="2024-09-02T00:00:00" u="1"/>
        <d v="2022-03-28T00:00:00" u="1"/>
        <d v="2023-03-28T00:00:00" u="1"/>
        <d v="2024-03-28T00:00:00" u="1"/>
        <d v="2023-04-24T00:00:00" u="1"/>
        <d v="2022-05-20T00:00:00" u="1"/>
        <d v="2024-04-24T00:00:00" u="1"/>
        <d v="2022-06-16T00:00:00" u="1"/>
        <d v="2024-05-20T00:00:00" u="1"/>
        <d v="2023-06-16T00:00:00" u="1"/>
        <d v="2022-07-12T00:00:00" u="1"/>
        <d v="2023-07-12T00:00:00" u="1"/>
        <d v="2022-08-08T00:00:00" u="1"/>
        <d v="2024-07-12T00:00:00" u="1"/>
        <d v="2023-08-08T00:00:00" u="1"/>
        <d v="2024-08-08T00:00:00" u="1"/>
        <d v="2023-09-04T00:00:00" u="1"/>
        <d v="2024-09-04T00:00:00" u="1"/>
        <d v="2022-03-30T00:00:00" u="1"/>
        <d v="2023-03-30T00:00:00" u="1"/>
        <d v="2022-04-26T00:00:00" u="1"/>
        <d v="2023-04-26T00:00:00" u="1"/>
        <d v="2024-04-26T00:00:00" u="1"/>
        <d v="2023-05-22T00:00:00" u="1"/>
        <d v="2024-05-22T00:00:00" u="1"/>
        <d v="2022-07-14T00:00:00" u="1"/>
        <d v="2024-06-18T00:00:00" u="1"/>
        <d v="2023-07-14T00:00:00" u="1"/>
        <d v="2022-08-10T00:00:00" u="1"/>
        <d v="2023-08-10T00:00:00" u="1"/>
        <d v="2022-09-06T00:00:00" u="1"/>
        <d v="2023-09-06T00:00:00" u="1"/>
        <d v="2024-09-06T00:00:00" u="1"/>
        <d v="2023-10-02T00:00:00" u="1"/>
        <d v="2024-10-02T00:00:00" u="1"/>
        <d v="2022-04-28T00:00:00" u="1"/>
        <d v="2023-04-28T00:00:00" u="1"/>
        <d v="2022-05-24T00:00:00" u="1"/>
        <d v="2023-05-24T00:00:00" u="1"/>
        <d v="2022-06-20T00:00:00" u="1"/>
        <d v="2024-05-24T00:00:00" u="1"/>
        <d v="2023-06-20T00:00:00" u="1"/>
        <d v="2022-08-12T00:00:00" u="1"/>
        <d v="2022-09-08T00:00:00" u="1"/>
        <d v="2024-08-12T00:00:00" u="1"/>
        <d v="2023-09-08T00:00:00" u="1"/>
        <d v="2022-10-04T00:00:00" u="1"/>
        <d v="2023-10-04T00:00:00" u="1"/>
        <d v="2022-05-26T00:00:00" u="1"/>
        <d v="2024-04-30T00:00:00" u="1"/>
        <d v="2023-05-26T00:00:00" u="1"/>
        <d v="2022-06-22T00:00:00" u="1"/>
        <d v="2023-06-22T00:00:00" u="1"/>
        <d v="2022-07-18T00:00:00" u="1"/>
        <d v="2023-07-18T00:00:00" u="1"/>
        <d v="2024-07-18T00:00:00" u="1"/>
        <d v="2023-08-14T00:00:00" u="1"/>
        <d v="2024-08-14T00:00:00" u="1"/>
        <d v="2022-10-06T00:00:00" u="1"/>
        <d v="2024-09-10T00:00:00" u="1"/>
        <d v="2023-10-06T00:00:00" u="1"/>
        <d v="2022-11-02T00:00:00" u="1"/>
        <d v="2023-11-02T00:00:00" u="1"/>
        <d v="2022-06-24T00:00:00" u="1"/>
        <d v="2024-05-28T00:00:00" u="1"/>
        <d v="2022-07-20T00:00:00" u="1"/>
        <d v="2024-06-24T00:00:00" u="1"/>
        <d v="2023-07-20T00:00:00" u="1"/>
        <d v="2022-08-16T00:00:00" u="1"/>
        <d v="2023-08-16T00:00:00" u="1"/>
        <d v="2022-09-12T00:00:00" u="1"/>
        <d v="2024-08-16T00:00:00" u="1"/>
        <d v="2023-09-12T00:00:00" u="1"/>
        <d v="2024-09-12T00:00:00" u="1"/>
        <d v="2022-11-04T00:00:00" u="1"/>
        <d v="2022-05-30T00:00:00" u="1"/>
        <d v="2023-05-30T00:00:00" u="1"/>
        <d v="2024-05-30T00:00:00" u="1"/>
        <d v="2022-07-22T00:00:00" u="1"/>
        <d v="2024-06-26T00:00:00" u="1"/>
        <d v="2022-08-18T00:00:00" u="1"/>
        <d v="2024-07-22T00:00:00" u="1"/>
        <d v="2023-08-18T00:00:00" u="1"/>
        <d v="2022-09-14T00:00:00" u="1"/>
        <d v="2023-09-14T00:00:00" u="1"/>
        <d v="2023-10-10T00:00:00" u="1"/>
        <d v="2023-11-06T00:00:00" u="1"/>
        <d v="2022-06-28T00:00:00" u="1"/>
        <d v="2023-06-28T00:00:00" u="1"/>
        <d v="2024-06-28T00:00:00" u="1"/>
        <d v="2023-07-24T00:00:00" u="1"/>
        <d v="2024-07-24T00:00:00" u="1"/>
        <d v="2024-08-20T00:00:00" u="1"/>
        <d v="2022-10-12T00:00:00" u="1"/>
        <d v="2024-09-16T00:00:00" u="1"/>
        <d v="2023-10-12T00:00:00" u="1"/>
        <d v="2022-11-08T00:00:00" u="1"/>
        <d v="2023-11-08T00:00:00" u="1"/>
        <d v="2023-12-04T00:00:00" u="1"/>
        <d v="2022-06-30T00:00:00" u="1"/>
        <d v="2023-06-30T00:00:00" u="1"/>
        <d v="2022-07-26T00:00:00" u="1"/>
        <d v="2023-07-26T00:00:00" u="1"/>
        <d v="2022-08-22T00:00:00" u="1"/>
        <d v="2024-07-26T00:00:00" u="1"/>
        <d v="2023-08-22T00:00:00" u="1"/>
        <d v="2024-08-22T00:00:00" u="1"/>
        <d v="2022-10-14T00:00:00" u="1"/>
        <d v="2022-11-10T00:00:00" u="1"/>
        <d v="2023-11-10T00:00:00" u="1"/>
        <d v="2023-12-06T00:00:00" u="1"/>
        <d v="2022-07-28T00:00:00" u="1"/>
        <d v="2023-07-28T00:00:00" u="1"/>
        <d v="2022-08-24T00:00:00" u="1"/>
        <d v="2023-08-24T00:00:00" u="1"/>
        <d v="2022-09-20T00:00:00" u="1"/>
        <d v="2023-09-20T00:00:00" u="1"/>
        <d v="2023-10-16T00:00:00" u="1"/>
        <d v="2022-08-26T00:00:00" u="1"/>
        <d v="2024-07-30T00:00:00" u="1"/>
        <d v="2022-09-22T00:00:00" u="1"/>
        <d v="2024-08-26T00:00:00" u="1"/>
        <d v="2023-09-22T00:00:00" u="1"/>
        <d v="2022-10-18T00:00:00" u="1"/>
        <d v="2023-10-18T00:00:00" u="1"/>
        <d v="2022-11-14T00:00:00" u="1"/>
        <d v="2023-11-14T00:00:00" u="1"/>
        <d v="2023-08-28T00:00:00" u="1"/>
        <d v="2024-08-28T00:00:00" u="1"/>
        <d v="2022-10-20T00:00:00" u="1"/>
        <d v="2024-09-24T00:00:00" u="1"/>
        <d v="2023-10-20T00:00:00" u="1"/>
        <d v="2022-11-16T00:00:00" u="1"/>
        <d v="2023-11-16T00:00:00" u="1"/>
        <d v="2022-08-30T00:00:00" u="1"/>
        <d v="2023-08-30T00:00:00" u="1"/>
        <d v="2022-09-26T00:00:00" u="1"/>
        <d v="2024-08-30T00:00:00" u="1"/>
        <d v="2023-09-26T00:00:00" u="1"/>
        <d v="2024-09-26T00:00:00" u="1"/>
        <d v="2022-11-18T00:00:00" u="1"/>
        <d v="2023-12-14T00:00:00" u="1"/>
        <d v="2022-09-28T00:00:00" u="1"/>
        <d v="2023-09-28T00:00:00" u="1"/>
        <d v="2022-10-24T00:00:00" u="1"/>
        <d v="2023-10-24T00:00:00" u="1"/>
        <d v="2023-11-20T00:00:00" u="1"/>
        <d v="2022-12-16T00:00:00" u="1"/>
        <d v="2022-09-30T00:00:00" u="1"/>
        <d v="2022-10-26T00:00:00" u="1"/>
        <d v="2024-09-30T00:00:00" u="1"/>
        <d v="2023-10-26T00:00:00" u="1"/>
        <d v="2022-11-22T00:00:00" u="1"/>
        <d v="2023-11-22T00:00:00" u="1"/>
        <d v="2023-12-18T00:00:00" u="1"/>
        <d v="2022-10-28T00:00:00" u="1"/>
        <d v="2022-11-24T00:00:00" u="1"/>
        <d v="2023-11-24T00:00:00" u="1"/>
        <d v="2022-12-20T00:00:00" u="1"/>
        <d v="2023-12-20T00:00:00" u="1"/>
        <d v="2023-10-30T00:00:00" u="1"/>
        <d v="2022-12-22T00:00:00" u="1"/>
        <d v="2023-12-22T00:00:00" u="1"/>
        <d v="2023-01-03T00:00:00" u="1"/>
        <d v="2024-01-03T00:00:00" u="1"/>
        <d v="2022-11-28T00:00:00" u="1"/>
        <d v="2023-11-28T00:00:00" u="1"/>
        <d v="2023-01-05T00:00:00" u="1"/>
        <d v="2024-01-05T00:00:00" u="1"/>
        <d v="2023-02-01T00:00:00" u="1"/>
        <d v="2024-02-01T00:00:00" u="1"/>
        <d v="2023-11-30T00:00:00" u="1"/>
        <d v="2022-12-26T00:00:00" u="1"/>
        <d v="2023-12-26T00:00:00" u="1"/>
        <d v="2023-02-03T00:00:00" u="1"/>
        <d v="2022-12-28T00:00:00" u="1"/>
        <d v="2023-12-28T00:00:00" u="1"/>
        <d v="2023-01-09T00:00:00" u="1"/>
        <d v="2024-01-09T00:00:00" u="1"/>
        <d v="2024-02-05T00:00:00" u="1"/>
        <d v="2023-03-01T00:00:00" u="1"/>
        <d v="2024-03-01T00:00:00" u="1"/>
        <d v="2022-12-30T00:00:00" u="1"/>
        <d v="2023-01-11T00:00:00" u="1"/>
        <d v="2024-01-11T00:00:00" u="1"/>
        <d v="2023-02-07T00:00:00" u="1"/>
        <d v="2024-02-07T00:00:00" u="1"/>
        <d v="2023-03-03T00:00:00" u="1"/>
        <d v="2023-01-13T00:00:00" u="1"/>
        <d v="2023-02-09T00:00:00" u="1"/>
        <d v="2024-02-09T00:00:00" u="1"/>
        <d v="2022-04-01T00:00:00" u="1"/>
        <d v="2024-03-05T00:00:00" u="1"/>
        <d v="2024-04-01T00:00:00" u="1"/>
        <d v="2024-01-15T00:00:00" u="1"/>
        <d v="2023-03-07T00:00:00" u="1"/>
        <d v="2024-03-07T00:00:00" u="1"/>
        <d v="2023-04-03T00:00:00" u="1"/>
        <d v="2024-04-03T00:00:00" u="1"/>
        <d v="2023-01-17T00:00:00" u="1"/>
        <d v="2024-01-17T00:00:00" u="1"/>
        <d v="2023-02-13T00:00:00" u="1"/>
        <d v="2024-02-13T00:00:00" u="1"/>
        <d v="2023-03-09T00:00:00" u="1"/>
        <d v="2022-04-05T00:00:00" u="1"/>
        <d v="2023-04-05T00:00:00" u="1"/>
        <d v="2024-04-05T00:00:00" u="1"/>
        <d v="2023-01-19T00:00:00" u="1"/>
        <d v="2024-01-19T00:00:00" u="1"/>
        <d v="2023-02-15T00:00:00" u="1"/>
        <d v="2022-03-11T00:00:00" u="1"/>
        <d v="2024-02-15T00:00:00" u="1"/>
        <d v="2022-04-07T00:00:00" u="1"/>
        <d v="2024-03-11T00:00:00" u="1"/>
        <d v="2022-05-03T00:00:00" u="1"/>
        <d v="2023-05-03T00:00:00" u="1"/>
        <d v="2024-05-03T00:00:00" u="1"/>
        <d v="2023-02-17T00:00:00" u="1"/>
        <d v="2023-03-13T00:00:00" u="1"/>
        <d v="2024-03-13T00:00:00" u="1"/>
        <d v="2022-05-05T00:00:00" u="1"/>
        <d v="2024-04-09T00:00:00" u="1"/>
        <d v="2023-05-05T00:00:00" u="1"/>
        <d v="2022-06-01T00:00:00" u="1"/>
        <d v="2023-06-01T00:00:00" u="1"/>
        <d v="2023-01-23T00:00:00" u="1"/>
        <d v="2024-01-23T00:00:00" u="1"/>
        <d v="2022-03-15T00:00:00" u="1"/>
        <d v="2024-02-19T00:00:00" u="1"/>
        <d v="2023-03-15T00:00:00" u="1"/>
        <d v="2022-04-11T00:00:00" u="1"/>
        <d v="2024-03-15T00:00:00" u="1"/>
        <d v="2023-04-11T00:00:00" u="1"/>
        <d v="2024-04-11T00:00:00" u="1"/>
        <d v="2022-06-03T00:00:00" u="1"/>
        <d v="2024-05-07T00:00:00" u="1"/>
        <d v="2024-06-03T00:00:00" u="1"/>
        <d v="2023-01-25T00:00:00" u="1"/>
        <d v="2024-01-25T00:00:00" u="1"/>
        <d v="2023-02-21T00:00:00" u="1"/>
        <d v="2022-03-17T00:00:00" u="1"/>
        <d v="2024-02-21T00:00:00" u="1"/>
        <d v="2023-03-17T00:00:00" u="1"/>
        <d v="2022-04-13T00:00:00" u="1"/>
        <d v="2023-04-13T00:00:00" u="1"/>
        <d v="2022-05-09T00:00:00" u="1"/>
        <d v="2023-05-09T00:00:00" u="1"/>
        <d v="2024-05-09T00:00:00" u="1"/>
        <d v="2023-06-05T00:00:00" u="1"/>
        <d v="2022-07-01T00:00:00" u="1"/>
        <d v="2024-06-05T00:00:00" u="1"/>
        <d v="2024-07-01T00:00:00" u="1"/>
        <d v="2023-01-27T00:00:00" u="1"/>
        <d v="2023-02-23T00:00:00" u="1"/>
        <d v="2024-02-23T00:00:00" u="1"/>
        <d v="2024-03-19T00:00:00" u="1"/>
        <d v="2022-05-11T00:00:00" u="1"/>
        <d v="2024-04-15T00:00:00" u="1"/>
        <d v="2023-05-11T00:00:00" u="1"/>
        <d v="2022-06-07T00:00:00" u="1"/>
        <d v="2023-06-07T00:00:00" u="1"/>
        <d v="2024-06-07T00:00:00" u="1"/>
        <d v="2023-07-03T00:00:00" u="1"/>
        <d v="2024-07-03T00:00:00" u="1"/>
        <d v="2024-01-29T00:00:00" u="1"/>
        <d v="2022-03-21T00:00:00" u="1"/>
        <d v="2023-03-21T00:00:00" u="1"/>
        <d v="2024-03-21T00:00:00" u="1"/>
        <d v="2023-04-17T00:00:00" u="1"/>
        <d v="2022-05-13T00:00:00" u="1"/>
        <d v="2024-04-17T00:00:00" u="1"/>
        <d v="2022-06-09T00:00:00" u="1"/>
        <d v="2024-05-13T00:00:00" u="1"/>
        <d v="2023-06-09T00:00:00" u="1"/>
        <d v="2022-07-05T00:00:00" u="1"/>
        <d v="2023-07-05T00:00:00" u="1"/>
        <d v="2022-08-01T00:00:00" u="1"/>
        <d v="2024-07-05T00:00:00" u="1"/>
        <d v="2023-08-01T00:00:00" u="1"/>
        <d v="2024-08-01T00:00:00" u="1"/>
        <d v="2023-01-31T00:00:00" u="1"/>
        <d v="2024-01-31T00:00:00" u="1"/>
        <d v="2023-02-27T00:00:00" u="1"/>
        <d v="2022-03-23T00:00:00" u="1"/>
        <d v="2024-02-27T00:00:00" u="1"/>
        <d v="2023-03-23T00:00:00" u="1"/>
        <d v="2022-04-19T00:00:00" u="1"/>
        <d v="2023-04-19T00:00:00" u="1"/>
        <d v="2024-04-19T00:00:00" u="1"/>
        <d v="2023-05-15T00:00:00" u="1"/>
        <d v="2024-05-15T00:00:00" u="1"/>
        <d v="2022-07-07T00:00:00" u="1"/>
        <d v="2024-06-11T00:00:00" u="1"/>
        <d v="2023-07-07T00:00:00" u="1"/>
        <d v="2022-08-03T00:00:00" u="1"/>
        <d v="2023-08-03T00:00:00" u="1"/>
        <d v="2022-03-25T00:00:00" u="1"/>
        <d v="2024-02-29T00:00:00" u="1"/>
        <d v="2022-04-21T00:00:00" u="1"/>
        <d v="2024-03-25T00:00:00" u="1"/>
        <d v="2023-04-21T00:00:00" u="1"/>
        <d v="2022-05-17T00:00:00" u="1"/>
        <d v="2023-05-17T00:00:00" u="1"/>
        <d v="2022-06-13T00:00:00" u="1"/>
        <d v="2024-05-17T00:00:00" u="1"/>
        <d v="2023-06-13T00:00:00" u="1"/>
        <d v="2024-06-13T00:00:00" u="1"/>
        <d v="2022-08-05T00:00:00" u="1"/>
        <d v="2024-07-09T00:00:00" u="1"/>
        <d v="2022-09-01T00:00:00" u="1"/>
        <d v="2024-08-05T00:00:00" u="1"/>
        <d v="2023-09-01T00:00:00" u="1"/>
        <d v="2023-03-27T00:00:00" u="1"/>
        <d v="2024-03-27T00:00:00" u="1"/>
        <d v="2022-05-19T00:00:00" u="1"/>
        <d v="2024-04-23T00:00:00" u="1"/>
        <d v="2023-05-19T00:00:00" u="1"/>
        <d v="2022-06-15T00:00:00" u="1"/>
        <d v="2023-06-15T00:00:00" u="1"/>
        <d v="2022-07-11T00:00:00" u="1"/>
        <d v="2023-07-11T00:00:00" u="1"/>
        <d v="2024-07-11T00:00:00" u="1"/>
        <d v="2023-08-07T00:00:00" u="1"/>
        <d v="2024-08-07T00:00:00" u="1"/>
        <d v="2024-09-03T00:00:00" u="1"/>
        <d v="2022-03-29T00:00:00" u="1"/>
        <d v="2023-03-29T00:00:00" u="1"/>
        <d v="2022-04-25T00:00:00" u="1"/>
        <d v="2023-04-25T00:00:00" u="1"/>
        <d v="2024-04-25T00:00:00" u="1"/>
        <d v="2022-06-17T00:00:00" u="1"/>
        <d v="2022-07-13T00:00:00" u="1"/>
        <d v="2024-06-17T00:00:00" u="1"/>
        <d v="2023-07-13T00:00:00" u="1"/>
        <d v="2022-08-09T00:00:00" u="1"/>
        <d v="2023-08-09T00:00:00" u="1"/>
        <d v="2022-09-05T00:00:00" u="1"/>
        <d v="2024-08-09T00:00:00" u="1"/>
        <d v="2023-09-05T00:00:00" u="1"/>
        <d v="2024-09-05T00:00:00" u="1"/>
        <d v="2024-10-01T00:00:00" u="1"/>
        <d v="2022-03-31T00:00:00" u="1"/>
        <d v="2023-03-31T00:00:00" u="1"/>
        <d v="2022-04-27T00:00:00" u="1"/>
        <d v="2023-04-27T00:00:00" u="1"/>
        <d v="2022-05-23T00:00:00" u="1"/>
        <d v="2023-05-23T00:00:00" u="1"/>
        <d v="2024-05-23T00:00:00" u="1"/>
        <d v="2023-06-19T00:00:00" u="1"/>
        <d v="2022-07-15T00:00:00" u="1"/>
        <d v="2024-06-19T00:00:00" u="1"/>
        <d v="2022-08-11T00:00:00" u="1"/>
        <d v="2024-07-15T00:00:00" u="1"/>
        <d v="2023-08-11T00:00:00" u="1"/>
        <d v="2022-09-07T00:00:00" u="1"/>
        <d v="2023-09-07T00:00:00" u="1"/>
        <d v="2022-10-03T00:00:00" u="1"/>
        <d v="2023-10-03T00:00:00" u="1"/>
        <d v="2022-04-29T00:00:00" u="1"/>
        <d v="2022-05-25T00:00:00" u="1"/>
        <d v="2024-04-29T00:00:00" u="1"/>
        <d v="2023-05-25T00:00:00" u="1"/>
        <d v="2024-06-21T00:00:00" u="1"/>
        <d v="2023-07-17T00:00:00" u="1"/>
        <d v="2024-07-17T00:00:00" u="1"/>
        <d v="2022-09-09T00:00:00" u="1"/>
        <d v="2024-08-13T00:00:00" u="1"/>
        <d v="2022-10-05T00:00:00" u="1"/>
        <d v="2024-09-09T00:00:00" u="1"/>
        <d v="2023-10-05T00:00:00" u="1"/>
        <d v="2022-05-27T00:00:00" u="1"/>
        <d v="2022-06-23T00:00:00" u="1"/>
        <d v="2024-05-27T00:00:00" u="1"/>
        <d v="2023-06-23T00:00:00" u="1"/>
        <d v="2022-07-19T00:00:00" u="1"/>
        <d v="2023-07-19T00:00:00" u="1"/>
        <d v="2024-07-19T00:00:00" u="1"/>
        <d v="2023-09-11T00:00:00" u="1"/>
        <d v="2022-10-07T00:00:00" u="1"/>
        <d v="2024-09-11T00:00:00" u="1"/>
        <d v="2023-11-03T00:00:00" u="1"/>
        <d v="2023-05-29T00:00:00" u="1"/>
        <d v="2024-05-29T00:00:00" u="1"/>
        <d v="2022-07-21T00:00:00" u="1"/>
        <d v="2024-06-25T00:00:00" u="1"/>
        <d v="2023-07-21T00:00:00" u="1"/>
        <d v="2022-08-17T00:00:00" u="1"/>
        <d v="2023-08-17T00:00:00" u="1"/>
        <d v="2022-09-13T00:00:00" u="1"/>
        <d v="2023-09-13T00:00:00" u="1"/>
        <d v="2024-09-13T00:00:00" u="1"/>
        <d v="2023-12-01T00:00:00" u="1"/>
        <d v="2022-05-31T00:00:00" u="1"/>
        <d v="2023-05-31T00:00:00" u="1"/>
        <d v="2024-05-31T00:00:00" u="1"/>
        <d v="2023-06-27T00:00:00" u="1"/>
        <d v="2024-06-27T00:00:00" u="1"/>
        <d v="2022-08-19T00:00:00" u="1"/>
        <d v="2024-07-23T00:00:00" u="1"/>
        <d v="2022-09-15T00:00:00" u="1"/>
        <d v="2024-08-19T00:00:00" u="1"/>
        <d v="2023-09-15T00:00:00" u="1"/>
        <d v="2022-10-11T00:00:00" u="1"/>
        <d v="2023-10-11T00:00:00" u="1"/>
        <d v="2022-11-07T00:00:00" u="1"/>
        <d v="2023-11-07T00:00:00" u="1"/>
        <d v="2022-06-29T00:00:00" u="1"/>
        <d v="2023-06-29T00:00:00" u="1"/>
        <d v="2022-07-25T00:00:00" u="1"/>
        <d v="2023-07-25T00:00:00" u="1"/>
        <d v="2024-07-25T00:00:00" u="1"/>
        <d v="2023-08-21T00:00:00" u="1"/>
        <d v="2024-08-21T00:00:00" u="1"/>
        <d v="2022-10-13T00:00:00" u="1"/>
        <d v="2024-09-17T00:00:00" u="1"/>
        <d v="2023-10-13T00:00:00" u="1"/>
        <d v="2022-11-09T00:00:00" u="1"/>
        <d v="2023-11-09T00:00:00" u="1"/>
        <d v="2022-07-27T00:00:00" u="1"/>
        <d v="2023-07-27T00:00:00" u="1"/>
        <d v="2022-08-23T00:00:00" u="1"/>
        <d v="2023-08-23T00:00:00" u="1"/>
        <d v="2024-08-23T00:00:00" u="1"/>
        <d v="2022-11-11T00:00:00" u="1"/>
        <d v="2022-07-29T00:00:00" u="1"/>
        <d v="2022-08-25T00:00:00" u="1"/>
        <d v="2024-07-29T00:00:00" u="1"/>
        <d v="2023-08-25T00:00:00" u="1"/>
        <d v="2022-09-21T00:00:00" u="1"/>
        <d v="2023-09-21T00:00:00" u="1"/>
        <d v="2022-10-17T00:00:00" u="1"/>
        <d v="2023-10-17T00:00:00" u="1"/>
        <d v="2023-11-13T00:00:00" u="1"/>
        <d v="2023-07-31T00:00:00" u="1"/>
        <d v="2024-07-31T00:00:00" u="1"/>
        <d v="2022-09-23T00:00:00" u="1"/>
        <d v="2024-08-27T00:00:00" u="1"/>
        <d v="2022-10-19T00:00:00" u="1"/>
        <d v="2024-09-23T00:00:00" u="1"/>
        <d v="2023-10-19T00:00:00" u="1"/>
        <d v="2022-11-15T00:00:00" u="1"/>
        <d v="2023-11-15T00:00:00" u="1"/>
        <d v="2022-08-29T00:00:00" u="1"/>
        <d v="2023-08-29T00:00:00" u="1"/>
        <d v="2024-08-29T00:00:00" u="1"/>
        <d v="2023-09-25T00:00:00" u="1"/>
        <d v="2022-10-21T00:00:00" u="1"/>
        <d v="2024-09-25T00:00:00" u="1"/>
        <d v="2022-11-17T00:00:00" u="1"/>
        <d v="2023-11-17T00:00:00" u="1"/>
        <d v="2022-08-31T00:00:00" u="1"/>
        <d v="2023-08-31T00:00:00" u="1"/>
        <d v="2022-09-27T00:00:00" u="1"/>
        <d v="2023-09-27T00:00:00" u="1"/>
        <d v="2024-09-27T00:00:00" u="1"/>
        <d v="2023-10-23T00:00:00" u="1"/>
        <d v="2023-12-15T00:00:00" u="1"/>
      </sharedItems>
    </cacheField>
    <cacheField name="CODIGO_EMPRESA" numFmtId="0">
      <sharedItems containsString="0" containsBlank="1" containsNumber="1" containsInteger="1" minValue="1" maxValue="1"/>
    </cacheField>
    <cacheField name="OPERACION" numFmtId="0">
      <sharedItems containsNonDate="0" containsString="0" containsBlank="1"/>
    </cacheField>
    <cacheField name="COD ACT/PAS" numFmtId="0">
      <sharedItems containsBlank="1"/>
    </cacheField>
    <cacheField name="MONEDA_ORIGEN" numFmtId="0">
      <sharedItems containsBlank="1"/>
    </cacheField>
    <cacheField name="MONEDA_COMPENSACION" numFmtId="0">
      <sharedItems containsBlank="1"/>
    </cacheField>
    <cacheField name="COMPENSACION" numFmtId="0">
      <sharedItems containsNonDate="0" containsString="0" containsBlank="1"/>
    </cacheField>
    <cacheField name="CODIGO_PRODUCTO" numFmtId="0">
      <sharedItems containsBlank="1" count="18">
        <s v="MT_CTA. CORRIENTE"/>
        <s v="MT.CTA. VISTA"/>
        <s v="MT_CTA. AHORRO"/>
        <s v="MT_R13_CTA. CORRIENTE"/>
        <s v="MT_R13_CTA. VISTA"/>
        <s v="MT_R13_CTA. AHORRO"/>
        <s v="MT_R13_CTA. CORRIENTE PERSONAS_NONCORE"/>
        <s v="MT_R13_CTA. CORRIENTE PERSONAS_CORE"/>
        <s v="MT_R13_CTA. VISTA_NONCORE"/>
        <s v="MT_R13_CTA. VISTA_CORE"/>
        <s v="MT_R13_CTA. AHORRO G.DIF_NONCORE"/>
        <s v="MT_R13_CTA. AHORRO G.DIF_CORE"/>
        <s v="MT_R13_CTA. AHORRO G.INC_NONCORE"/>
        <s v="MT_R13_CTA. AHORRO G.INC_CORE"/>
        <m/>
        <s v="MT_C40_CTA_VISTA" u="1"/>
        <s v="MT_C40_CTA_ AHORRO G.DIF" u="1"/>
        <s v="MT_C40_CTA_ AHORRO G.INC" u="1"/>
      </sharedItems>
    </cacheField>
    <cacheField name="CODIGO_SUBPRODUCTO" numFmtId="0">
      <sharedItems containsBlank="1" count="27">
        <s v="CTA. CORRIENTE-MAYORISTAS"/>
        <s v="CTA. CORRIENTE PERSONAS"/>
        <s v="CTA. CORRIENTE PERSONAS_CORE_CORE"/>
        <s v="CTA. CORRIENTE PERSONAS_CORE_SOFT"/>
        <s v="CTA. VISTA"/>
        <s v="CTA. VISTA_CORE_CORE"/>
        <s v="CTA. VISTA_CORE_SOFT"/>
        <s v="CTA. AHORRO G.DIF"/>
        <s v="CTA. AHORRO G.DIF_CORE_CORE"/>
        <s v="CTA. AHORRO G.DIF_CORE_SOFT"/>
        <s v="CTA. AHORRO G.INC"/>
        <s v="CTA. AHORRO G.INC_CORE_CORE"/>
        <s v="CTA. AHORRO G.INC_CORE_SOFT"/>
        <s v="MT_R13_CTA. CORRIENTE-MAYORISTAS"/>
        <s v="MT_R13_CTA. CORRIENTE PERSONAS_NONCORE"/>
        <s v="MT_R13_CTA. CORRIENTE PERSONAS_CORE"/>
        <s v="MT_R13_CTA. VISTA_NONCORE"/>
        <s v="MT_R13_CTA. VISTA_CORE"/>
        <s v="MT_R13_CTA. AHORRO G.DIF_NONCORE"/>
        <s v="MT_R13_CTA. AHORRO G.DIF_CORE"/>
        <s v="MT_R13_CTA. AHORRO G.INC_NONCORE"/>
        <s v="MT_R13_CTA. AHORRO G.INC_CORE"/>
        <m/>
        <s v="MT_C40_CTA_VISTA_MAYORISTAS" u="1"/>
        <s v="MT_C40_CTA_VISTA" u="1"/>
        <s v="MT_C40_CTA_ AHORRO G.DIF" u="1"/>
        <s v="MT_C40_CTA_ AHORRO G.INC" u="1"/>
      </sharedItems>
    </cacheField>
    <cacheField name="FECHA CREACION" numFmtId="0">
      <sharedItems containsNonDate="0" containsString="0" containsBlank="1"/>
    </cacheField>
    <cacheField name="NUMERO_CUOTA" numFmtId="0">
      <sharedItems containsString="0" containsBlank="1" containsNumber="1" containsInteger="1" minValue="1" maxValue="294"/>
    </cacheField>
    <cacheField name="FECHA_INICIO_CUOTA" numFmtId="0">
      <sharedItems containsNonDate="0" containsString="0" containsBlank="1"/>
    </cacheField>
    <cacheField name="FECHA_VENCIMIENTO_CUOTA" numFmtId="14">
      <sharedItems containsNonDate="0" containsDate="1" containsString="0" containsBlank="1" minDate="2022-01-31T00:00:00" maxDate="2050-04-01T00:00:00" count="1174">
        <d v="2025-10-01T00:00:00"/>
        <d v="2025-10-31T00:00:00"/>
        <d v="2025-11-30T00:00:00"/>
        <d v="2025-12-31T00:00:00"/>
        <d v="2026-01-31T00:00:00"/>
        <d v="2026-02-28T00:00:00"/>
        <d v="2026-03-31T00:00:00"/>
        <d v="2026-04-30T00:00:00"/>
        <d v="2026-05-31T00:00:00"/>
        <d v="2026-06-30T00:00:00"/>
        <d v="2026-07-31T00:00:00"/>
        <d v="2026-08-31T00:00:00"/>
        <d v="2026-09-30T00:00:00"/>
        <d v="2026-10-31T00:00:00"/>
        <d v="2026-11-30T00:00:00"/>
        <d v="2026-12-31T00:00:00"/>
        <d v="2027-01-31T00:00:00"/>
        <d v="2027-02-28T00:00:00"/>
        <d v="2027-03-31T00:00:00"/>
        <d v="2027-04-30T00:00:00"/>
        <d v="2027-05-31T00:00:00"/>
        <d v="2027-06-30T00:00:00"/>
        <d v="2027-07-31T00:00:00"/>
        <d v="2027-08-31T00:00:00"/>
        <d v="2027-09-30T00:00:00"/>
        <d v="2027-10-31T00:00:00"/>
        <d v="2027-11-30T00:00:00"/>
        <d v="2027-12-31T00:00:00"/>
        <d v="2028-01-31T00:00:00"/>
        <d v="2028-02-29T00:00:00"/>
        <d v="2028-03-31T00:00:00"/>
        <d v="2028-04-30T00:00:00"/>
        <d v="2028-05-31T00:00:00"/>
        <d v="2028-06-30T00:00:00"/>
        <d v="2028-07-31T00:00:00"/>
        <d v="2028-08-31T00:00:00"/>
        <d v="2028-09-30T00:00:00"/>
        <d v="2028-10-31T00:00:00"/>
        <d v="2028-11-30T00:00:00"/>
        <d v="2028-12-31T00:00:00"/>
        <d v="2029-01-31T00:00:00"/>
        <d v="2029-02-28T00:00:00"/>
        <d v="2029-03-31T00:00:00"/>
        <d v="2029-04-30T00:00:00"/>
        <d v="2029-05-31T00:00:00"/>
        <d v="2029-06-30T00:00:00"/>
        <d v="2029-07-31T00:00:00"/>
        <d v="2029-08-31T00:00:00"/>
        <d v="2029-09-30T00:00:00"/>
        <d v="2029-10-31T00:00:00"/>
        <d v="2029-11-30T00:00:00"/>
        <d v="2029-12-31T00:00:00"/>
        <d v="2030-01-31T00:00:00"/>
        <d v="2030-02-28T00:00:00"/>
        <d v="2030-03-31T00:00:00"/>
        <d v="2030-04-30T00:00:00"/>
        <d v="2030-05-31T00:00:00"/>
        <d v="2030-06-30T00:00:00"/>
        <d v="2030-07-31T00:00:00"/>
        <d v="2030-08-31T00:00:00"/>
        <d v="2030-09-30T00:00:00"/>
        <d v="2030-10-31T00:00:00"/>
        <d v="2030-11-30T00:00:00"/>
        <d v="2030-12-31T00:00:00"/>
        <d v="2031-01-31T00:00:00"/>
        <d v="2031-02-28T00:00:00"/>
        <d v="2031-03-31T00:00:00"/>
        <d v="2031-04-30T00:00:00"/>
        <d v="2031-05-31T00:00:00"/>
        <d v="2031-06-30T00:00:00"/>
        <d v="2031-07-31T00:00:00"/>
        <d v="2031-08-31T00:00:00"/>
        <d v="2031-09-30T00:00:00"/>
        <d v="2031-10-31T00:00:00"/>
        <d v="2031-11-30T00:00:00"/>
        <d v="2031-12-31T00:00:00"/>
        <d v="2032-01-31T00:00:00"/>
        <d v="2032-02-29T00:00:00"/>
        <d v="2032-03-31T00:00:00"/>
        <d v="2032-04-30T00:00:00"/>
        <d v="2032-05-31T00:00:00"/>
        <d v="2032-06-30T00:00:00"/>
        <d v="2032-07-31T00:00:00"/>
        <d v="2032-08-31T00:00:00"/>
        <d v="2032-09-30T00:00:00"/>
        <d v="2032-10-31T00:00:00"/>
        <d v="2032-11-30T00:00:00"/>
        <d v="2032-12-31T00:00:00"/>
        <d v="2033-01-31T00:00:00"/>
        <d v="2033-02-28T00:00:00"/>
        <d v="2033-03-31T00:00:00"/>
        <d v="2033-04-30T00:00:00"/>
        <d v="2033-05-31T00:00:00"/>
        <d v="2033-06-30T00:00:00"/>
        <d v="2033-07-31T00:00:00"/>
        <d v="2033-08-31T00:00:00"/>
        <d v="2033-09-30T00:00:00"/>
        <d v="2033-10-31T00:00:00"/>
        <d v="2033-11-30T00:00:00"/>
        <d v="2033-12-31T00:00:00"/>
        <d v="2034-01-31T00:00:00"/>
        <d v="2034-02-28T00:00:00"/>
        <d v="2034-03-31T00:00:00"/>
        <d v="2034-04-30T00:00:00"/>
        <d v="2034-05-31T00:00:00"/>
        <d v="2034-06-30T00:00:00"/>
        <d v="2034-07-31T00:00:00"/>
        <d v="2034-08-31T00:00:00"/>
        <d v="2034-09-30T00:00:00"/>
        <d v="2034-10-31T00:00:00"/>
        <d v="2034-11-30T00:00:00"/>
        <d v="2034-12-31T00:00:00"/>
        <d v="2035-01-31T00:00:00"/>
        <d v="2035-02-28T00:00:00"/>
        <d v="2035-03-31T00:00:00"/>
        <d v="2035-04-30T00:00:00"/>
        <d v="2035-05-31T00:00:00"/>
        <d v="2035-06-30T00:00:00"/>
        <d v="2035-07-31T00:00:00"/>
        <d v="2035-08-31T00:00:00"/>
        <d v="2035-09-30T00:00:00"/>
        <d v="2035-10-31T00:00:00"/>
        <d v="2035-11-30T00:00:00"/>
        <d v="2035-12-31T00:00:00"/>
        <d v="2036-01-31T00:00:00"/>
        <d v="2036-02-29T00:00:00"/>
        <d v="2036-03-31T00:00:00"/>
        <d v="2036-04-30T00:00:00"/>
        <d v="2036-05-31T00:00:00"/>
        <d v="2036-06-30T00:00:00"/>
        <d v="2036-07-31T00:00:00"/>
        <d v="2036-08-31T00:00:00"/>
        <d v="2036-09-30T00:00:00"/>
        <d v="2036-10-31T00:00:00"/>
        <d v="2036-11-30T00:00:00"/>
        <d v="2036-12-31T00:00:00"/>
        <d v="2037-01-31T00:00:00"/>
        <d v="2037-02-28T00:00:00"/>
        <d v="2037-03-31T00:00:00"/>
        <d v="2037-04-30T00:00:00"/>
        <d v="2037-05-31T00:00:00"/>
        <d v="2037-06-30T00:00:00"/>
        <d v="2037-07-31T00:00:00"/>
        <d v="2037-08-31T00:00:00"/>
        <d v="2037-09-30T00:00:00"/>
        <d v="2037-10-31T00:00:00"/>
        <d v="2037-11-30T00:00:00"/>
        <d v="2037-12-31T00:00:00"/>
        <d v="2038-01-31T00:00:00"/>
        <d v="2038-02-28T00:00:00"/>
        <d v="2038-03-31T00:00:00"/>
        <d v="2038-04-30T00:00:00"/>
        <d v="2038-05-31T00:00:00"/>
        <d v="2038-06-30T00:00:00"/>
        <d v="2038-07-31T00:00:00"/>
        <d v="2038-08-31T00:00:00"/>
        <d v="2038-09-30T00:00:00"/>
        <d v="2038-10-31T00:00:00"/>
        <d v="2038-11-30T00:00:00"/>
        <d v="2038-12-31T00:00:00"/>
        <d v="2039-01-31T00:00:00"/>
        <d v="2039-02-28T00:00:00"/>
        <d v="2039-03-31T00:00:00"/>
        <d v="2039-04-30T00:00:00"/>
        <d v="2039-05-31T00:00:00"/>
        <d v="2039-06-30T00:00:00"/>
        <d v="2039-07-31T00:00:00"/>
        <d v="2039-08-31T00:00:00"/>
        <d v="2039-09-30T00:00:00"/>
        <d v="2039-10-31T00:00:00"/>
        <d v="2039-11-30T00:00:00"/>
        <d v="2039-12-31T00:00:00"/>
        <d v="2040-01-31T00:00:00"/>
        <d v="2040-02-29T00:00:00"/>
        <d v="2040-03-31T00:00:00"/>
        <d v="2040-04-30T00:00:00"/>
        <d v="2040-05-31T00:00:00"/>
        <d v="2040-06-30T00:00:00"/>
        <d v="2040-07-31T00:00:00"/>
        <d v="2040-08-31T00:00:00"/>
        <d v="2040-09-30T00:00:00"/>
        <d v="2040-10-31T00:00:00"/>
        <d v="2040-11-30T00:00:00"/>
        <d v="2040-12-31T00:00:00"/>
        <d v="2041-01-31T00:00:00"/>
        <d v="2041-02-28T00:00:00"/>
        <d v="2041-03-31T00:00:00"/>
        <d v="2041-04-30T00:00:00"/>
        <d v="2041-05-31T00:00:00"/>
        <d v="2041-06-30T00:00:00"/>
        <d v="2041-07-31T00:00:00"/>
        <d v="2041-08-31T00:00:00"/>
        <d v="2041-09-30T00:00:00"/>
        <d v="2041-10-31T00:00:00"/>
        <d v="2041-11-30T00:00:00"/>
        <d v="2041-12-31T00:00:00"/>
        <d v="2042-01-31T00:00:00"/>
        <d v="2042-02-28T00:00:00"/>
        <d v="2042-03-31T00:00:00"/>
        <d v="2042-04-30T00:00:00"/>
        <d v="2042-05-31T00:00:00"/>
        <d v="2042-06-30T00:00:00"/>
        <d v="2042-07-31T00:00:00"/>
        <d v="2042-08-31T00:00:00"/>
        <d v="2042-09-30T00:00:00"/>
        <d v="2042-10-31T00:00:00"/>
        <d v="2042-11-30T00:00:00"/>
        <d v="2042-12-31T00:00:00"/>
        <d v="2043-01-31T00:00:00"/>
        <d v="2043-02-28T00:00:00"/>
        <d v="2043-03-31T00:00:00"/>
        <d v="2043-04-30T00:00:00"/>
        <d v="2043-05-31T00:00:00"/>
        <d v="2043-06-30T00:00:00"/>
        <d v="2043-07-31T00:00:00"/>
        <d v="2043-08-31T00:00:00"/>
        <d v="2043-09-30T00:00:00"/>
        <d v="2043-10-31T00:00:00"/>
        <d v="2043-11-30T00:00:00"/>
        <d v="2043-12-31T00:00:00"/>
        <d v="2044-01-31T00:00:00"/>
        <d v="2044-02-29T00:00:00"/>
        <d v="2044-03-31T00:00:00"/>
        <d v="2044-04-30T00:00:00"/>
        <d v="2044-05-31T00:00:00"/>
        <d v="2044-06-30T00:00:00"/>
        <d v="2044-07-31T00:00:00"/>
        <d v="2044-08-31T00:00:00"/>
        <d v="2044-09-30T00:00:00"/>
        <d v="2044-10-31T00:00:00"/>
        <d v="2044-11-30T00:00:00"/>
        <d v="2044-12-31T00:00:00"/>
        <d v="2045-01-31T00:00:00"/>
        <d v="2045-02-28T00:00:00"/>
        <d v="2045-03-31T00:00:00"/>
        <d v="2045-04-30T00:00:00"/>
        <d v="2045-05-31T00:00:00"/>
        <d v="2045-06-30T00:00:00"/>
        <d v="2045-07-31T00:00:00"/>
        <d v="2045-08-31T00:00:00"/>
        <d v="2045-09-30T00:00:00"/>
        <d v="2045-10-31T00:00:00"/>
        <d v="2045-11-30T00:00:00"/>
        <d v="2045-12-31T00:00:00"/>
        <d v="2046-01-31T00:00:00"/>
        <d v="2046-02-28T00:00:00"/>
        <d v="2046-03-31T00:00:00"/>
        <d v="2046-04-30T00:00:00"/>
        <d v="2046-05-31T00:00:00"/>
        <d v="2046-06-30T00:00:00"/>
        <d v="2046-07-31T00:00:00"/>
        <d v="2046-08-31T00:00:00"/>
        <d v="2046-09-30T00:00:00"/>
        <d v="2046-10-31T00:00:00"/>
        <d v="2046-11-30T00:00:00"/>
        <d v="2046-12-31T00:00:00"/>
        <d v="2047-01-31T00:00:00"/>
        <d v="2047-02-28T00:00:00"/>
        <d v="2047-03-31T00:00:00"/>
        <d v="2047-04-30T00:00:00"/>
        <d v="2047-05-31T00:00:00"/>
        <d v="2047-06-30T00:00:00"/>
        <d v="2047-07-31T00:00:00"/>
        <d v="2047-08-31T00:00:00"/>
        <d v="2047-09-30T00:00:00"/>
        <d v="2047-10-31T00:00:00"/>
        <d v="2047-11-30T00:00:00"/>
        <d v="2047-12-31T00:00:00"/>
        <d v="2048-01-31T00:00:00"/>
        <d v="2048-02-29T00:00:00"/>
        <d v="2048-03-31T00:00:00"/>
        <d v="2048-04-30T00:00:00"/>
        <d v="2048-05-31T00:00:00"/>
        <d v="2048-06-30T00:00:00"/>
        <d v="2048-07-31T00:00:00"/>
        <d v="2048-08-31T00:00:00"/>
        <d v="2048-09-30T00:00:00"/>
        <d v="2048-10-31T00:00:00"/>
        <d v="2048-11-30T00:00:00"/>
        <d v="2048-12-31T00:00:00"/>
        <d v="2049-01-31T00:00:00"/>
        <d v="2049-02-28T00:00:00"/>
        <d v="2049-03-31T00:00:00"/>
        <d v="2049-04-30T00:00:00"/>
        <d v="2049-05-31T00:00:00"/>
        <d v="2049-06-30T00:00:00"/>
        <d v="2049-07-31T00:00:00"/>
        <d v="2049-08-31T00:00:00"/>
        <d v="2049-09-30T00:00:00"/>
        <d v="2049-10-31T00:00:00"/>
        <d v="2049-11-30T00:00:00"/>
        <d v="2049-12-31T00:00:00"/>
        <d v="2050-01-31T00:00:00"/>
        <d v="2050-02-28T00:00:00"/>
        <d v="2050-03-31T00:00:00"/>
        <m/>
        <d v="2025-09-30T00:00:00" u="1"/>
        <d v="2025-09-27T00:00:00" u="1"/>
        <d v="2025-09-26T00:00:00" u="1"/>
        <d v="2025-09-25T00:00:00" u="1"/>
        <d v="2025-09-24T00:00:00" u="1"/>
        <d v="2025-09-23T00:00:00" u="1"/>
        <d v="2025-09-18T00:00:00" u="1"/>
        <d v="2025-09-17T00:00:00" u="1"/>
        <d v="2025-09-16T00:00:00" u="1"/>
        <d v="2025-09-13T00:00:00" u="1"/>
        <d v="2025-09-12T00:00:00" u="1"/>
        <d v="2025-09-11T00:00:00" u="1"/>
        <d v="2025-09-10T00:00:00" u="1"/>
        <d v="2025-09-09T00:00:00" u="1"/>
        <d v="2025-09-06T00:00:00" u="1"/>
        <d v="2025-09-05T00:00:00" u="1"/>
        <d v="2025-09-04T00:00:00" u="1"/>
        <d v="2025-09-03T00:00:00" u="1"/>
        <d v="2025-09-02T00:00:00" u="1"/>
        <d v="2025-08-30T00:00:00" u="1"/>
        <d v="2025-08-29T00:00:00" u="1"/>
        <d v="2025-08-31T00:00:00" u="1"/>
        <d v="2025-08-28T00:00:00" u="1"/>
        <d v="2025-08-27T00:00:00" u="1"/>
        <d v="2025-08-26T00:00:00" u="1"/>
        <d v="2025-08-23T00:00:00" u="1"/>
        <d v="2025-08-22T00:00:00" u="1"/>
        <d v="2025-08-21T00:00:00" u="1"/>
        <d v="2025-08-20T00:00:00" u="1"/>
        <d v="2025-08-19T00:00:00" u="1"/>
        <d v="2025-08-15T00:00:00" u="1"/>
        <d v="2025-08-14T00:00:00" u="1"/>
        <d v="2025-08-13T00:00:00" u="1"/>
        <d v="2025-08-12T00:00:00" u="1"/>
        <d v="2025-08-09T00:00:00" u="1"/>
        <d v="2025-08-08T00:00:00" u="1"/>
        <d v="2025-08-07T00:00:00" u="1"/>
        <d v="2025-08-06T00:00:00" u="1"/>
        <d v="2025-08-05T00:00:00" u="1"/>
        <d v="2025-08-02T00:00:00" u="1"/>
        <d v="2025-08-01T00:00:00" u="1"/>
        <d v="2025-07-31T00:00:00" u="1"/>
        <d v="2025-07-30T00:00:00" u="1"/>
        <d v="2025-07-29T00:00:00" u="1"/>
        <d v="2025-07-26T00:00:00" u="1"/>
        <d v="2025-07-25T00:00:00" u="1"/>
        <d v="2025-07-24T00:00:00" u="1"/>
        <d v="2025-07-23T00:00:00" u="1"/>
        <d v="2025-07-22T00:00:00" u="1"/>
        <d v="2025-07-19T00:00:00" u="1"/>
        <d v="2025-07-18T00:00:00" u="1"/>
        <d v="2025-07-16T00:00:00" u="1"/>
        <d v="2025-07-15T00:00:00" u="1"/>
        <d v="2025-07-12T00:00:00" u="1"/>
        <d v="2025-07-11T00:00:00" u="1"/>
        <d v="2025-07-10T00:00:00" u="1"/>
        <d v="2025-07-09T00:00:00" u="1"/>
        <d v="2025-07-08T00:00:00" u="1"/>
        <d v="2025-07-05T00:00:00" u="1"/>
        <d v="2025-07-04T00:00:00" u="1"/>
        <d v="2025-07-03T00:00:00" u="1"/>
        <d v="2025-07-02T00:00:00" u="1"/>
        <d v="2025-07-01T00:00:00" u="1"/>
        <d v="2025-06-28T00:00:00" u="1"/>
        <d v="2025-06-30T00:00:00" u="1"/>
        <d v="2025-06-27T00:00:00" u="1"/>
        <d v="2025-06-26T00:00:00" u="1"/>
        <d v="2025-06-25T00:00:00" u="1"/>
        <d v="2025-06-24T00:00:00" u="1"/>
        <d v="2025-06-20T00:00:00" u="1"/>
        <d v="2025-06-19T00:00:00" u="1"/>
        <d v="2025-06-18T00:00:00" u="1"/>
        <d v="2025-06-17T00:00:00" u="1"/>
        <d v="2025-06-14T00:00:00" u="1"/>
        <d v="2025-06-13T00:00:00" u="1"/>
        <d v="2025-06-12T00:00:00" u="1"/>
        <d v="2025-06-11T00:00:00" u="1"/>
        <d v="2025-06-10T00:00:00" u="1"/>
        <d v="2025-06-07T00:00:00" u="1"/>
        <d v="2025-06-06T00:00:00" u="1"/>
        <d v="2025-06-05T00:00:00" u="1"/>
        <d v="2025-06-04T00:00:00" u="1"/>
        <d v="2025-06-03T00:00:00" u="1"/>
        <d v="2025-05-31T00:00:00" u="1"/>
        <d v="2025-05-30T00:00:00" u="1"/>
        <d v="2025-05-29T00:00:00" u="1"/>
        <d v="2025-05-28T00:00:00" u="1"/>
        <d v="2025-05-27T00:00:00" u="1"/>
        <d v="2025-05-24T00:00:00" u="1"/>
        <d v="2025-05-23T00:00:00" u="1"/>
        <d v="2025-05-21T00:00:00" u="1"/>
        <d v="2025-05-20T00:00:00" u="1"/>
        <d v="2025-05-17T00:00:00" u="1"/>
        <d v="2025-05-16T00:00:00" u="1"/>
        <d v="2025-05-15T00:00:00" u="1"/>
        <d v="2025-05-14T00:00:00" u="1"/>
        <d v="2025-05-13T00:00:00" u="1"/>
        <d v="2025-05-10T00:00:00" u="1"/>
        <d v="2025-05-09T00:00:00" u="1"/>
        <d v="2025-05-08T00:00:00" u="1"/>
        <d v="2025-05-07T00:00:00" u="1"/>
        <d v="2025-05-06T00:00:00" u="1"/>
        <d v="2025-05-03T00:00:00" u="1"/>
        <d v="2025-05-01T00:00:00" u="1"/>
        <d v="2025-04-30T00:00:00" u="1"/>
        <d v="2025-04-29T00:00:00" u="1"/>
        <d v="2025-04-26T00:00:00" u="1"/>
        <d v="2025-04-25T00:00:00" u="1"/>
        <d v="2025-04-24T00:00:00" u="1"/>
        <d v="2025-04-23T00:00:00" u="1"/>
        <d v="2025-04-22T00:00:00" u="1"/>
        <d v="2025-04-18T00:00:00" u="1"/>
        <d v="2025-04-17T00:00:00" u="1"/>
        <d v="2025-04-16T00:00:00" u="1"/>
        <d v="2025-04-15T00:00:00" u="1"/>
        <d v="2025-04-12T00:00:00" u="1"/>
        <d v="2025-04-11T00:00:00" u="1"/>
        <d v="2025-04-10T00:00:00" u="1"/>
        <d v="2025-04-09T00:00:00" u="1"/>
        <d v="2025-04-08T00:00:00" u="1"/>
        <d v="2025-04-05T00:00:00" u="1"/>
        <d v="2025-04-04T00:00:00" u="1"/>
        <d v="2025-04-03T00:00:00" u="1"/>
        <d v="2025-04-02T00:00:00" u="1"/>
        <d v="2025-04-01T00:00:00" u="1"/>
        <d v="2025-03-29T00:00:00" u="1"/>
        <d v="2025-03-31T00:00:00" u="1"/>
        <d v="2025-03-28T00:00:00" u="1"/>
        <d v="2025-03-27T00:00:00" u="1"/>
        <d v="2025-03-26T00:00:00" u="1"/>
        <d v="2025-03-25T00:00:00" u="1"/>
        <d v="2025-03-22T00:00:00" u="1"/>
        <d v="2025-03-21T00:00:00" u="1"/>
        <d v="2025-03-20T00:00:00" u="1"/>
        <d v="2025-03-19T00:00:00" u="1"/>
        <d v="2025-03-18T00:00:00" u="1"/>
        <d v="2025-03-15T00:00:00" u="1"/>
        <d v="2025-03-14T00:00:00" u="1"/>
        <d v="2025-03-13T00:00:00" u="1"/>
        <d v="2025-03-12T00:00:00" u="1"/>
        <d v="2025-03-11T00:00:00" u="1"/>
        <d v="2025-03-08T00:00:00" u="1"/>
        <d v="2025-03-07T00:00:00" u="1"/>
        <d v="2025-03-06T00:00:00" u="1"/>
        <d v="2025-03-05T00:00:00" u="1"/>
        <d v="2025-03-04T00:00:00" u="1"/>
        <d v="2025-03-01T00:00:00" u="1"/>
        <d v="2025-02-28T00:00:00" u="1"/>
        <d v="2025-02-27T00:00:00" u="1"/>
        <d v="2025-02-26T00:00:00" u="1"/>
        <d v="2025-02-25T00:00:00" u="1"/>
        <d v="2025-02-22T00:00:00" u="1"/>
        <d v="2025-02-21T00:00:00" u="1"/>
        <d v="2025-02-20T00:00:00" u="1"/>
        <d v="2025-02-19T00:00:00" u="1"/>
        <d v="2025-02-18T00:00:00" u="1"/>
        <d v="2025-02-15T00:00:00" u="1"/>
        <d v="2025-02-14T00:00:00" u="1"/>
        <d v="2025-02-13T00:00:00" u="1"/>
        <d v="2025-02-12T00:00:00" u="1"/>
        <d v="2025-02-11T00:00:00" u="1"/>
        <d v="2025-02-08T00:00:00" u="1"/>
        <d v="2025-02-07T00:00:00" u="1"/>
        <d v="2025-02-06T00:00:00" u="1"/>
        <d v="2025-02-05T00:00:00" u="1"/>
        <d v="2025-02-04T00:00:00" u="1"/>
        <d v="2025-02-01T00:00:00" u="1"/>
        <d v="2025-01-31T00:00:00" u="1"/>
        <d v="2025-01-30T00:00:00" u="1"/>
        <d v="2025-01-29T00:00:00" u="1"/>
        <d v="2025-01-28T00:00:00" u="1"/>
        <d v="2025-01-25T00:00:00" u="1"/>
        <d v="2025-01-24T00:00:00" u="1"/>
        <d v="2025-01-23T00:00:00" u="1"/>
        <d v="2025-01-22T00:00:00" u="1"/>
        <d v="2025-01-21T00:00:00" u="1"/>
        <d v="2025-01-18T00:00:00" u="1"/>
        <d v="2025-01-17T00:00:00" u="1"/>
        <d v="2025-01-16T00:00:00" u="1"/>
        <d v="2025-01-15T00:00:00" u="1"/>
        <d v="2025-01-14T00:00:00" u="1"/>
        <d v="2025-01-11T00:00:00" u="1"/>
        <d v="2025-01-10T00:00:00" u="1"/>
        <d v="2025-01-09T00:00:00" u="1"/>
        <d v="2025-01-08T00:00:00" u="1"/>
        <d v="2025-01-07T00:00:00" u="1"/>
        <d v="2025-01-04T00:00:00" u="1"/>
        <d v="2025-01-03T00:00:00" u="1"/>
        <d v="2024-12-31T00:00:00" u="1"/>
        <d v="2024-12-28T00:00:00" u="1"/>
        <d v="2024-12-27T00:00:00" u="1"/>
        <d v="2024-12-25T00:00:00" u="1"/>
        <d v="2024-12-24T00:00:00" u="1"/>
        <d v="2024-12-21T00:00:00" u="1"/>
        <d v="2024-12-20T00:00:00" u="1"/>
        <d v="2024-12-19T00:00:00" u="1"/>
        <d v="2024-12-18T00:00:00" u="1"/>
        <d v="2024-12-17T00:00:00" u="1"/>
        <d v="2024-12-14T00:00:00" u="1"/>
        <d v="2024-12-13T00:00:00" u="1"/>
        <d v="2024-12-12T00:00:00" u="1"/>
        <d v="2024-12-11T00:00:00" u="1"/>
        <d v="2024-12-10T00:00:00" u="1"/>
        <d v="2024-12-07T00:00:00" u="1"/>
        <d v="2024-12-06T00:00:00" u="1"/>
        <d v="2024-12-05T00:00:00" u="1"/>
        <d v="2024-12-04T00:00:00" u="1"/>
        <d v="2024-12-03T00:00:00" u="1"/>
        <d v="2024-11-30T00:00:00" u="1"/>
        <d v="2024-11-29T00:00:00" u="1"/>
        <d v="2024-11-28T00:00:00" u="1"/>
        <d v="2024-11-27T00:00:00" u="1"/>
        <d v="2024-11-26T00:00:00" u="1"/>
        <d v="2024-11-23T00:00:00" u="1"/>
        <d v="2024-11-22T00:00:00" u="1"/>
        <d v="2024-11-21T00:00:00" u="1"/>
        <d v="2024-11-20T00:00:00" u="1"/>
        <d v="2024-11-19T00:00:00" u="1"/>
        <d v="2024-11-16T00:00:00" u="1"/>
        <d v="2024-11-15T00:00:00" u="1"/>
        <d v="2024-11-14T00:00:00" u="1"/>
        <d v="2024-11-13T00:00:00" u="1"/>
        <d v="2024-11-12T00:00:00" u="1"/>
        <d v="2024-11-09T00:00:00" u="1"/>
        <d v="2024-11-08T00:00:00" u="1"/>
        <d v="2024-11-07T00:00:00" u="1"/>
        <d v="2024-11-06T00:00:00" u="1"/>
        <d v="2024-11-05T00:00:00" u="1"/>
        <d v="2024-10-31T00:00:00" u="1"/>
        <d v="2024-10-30T00:00:00" u="1"/>
        <d v="2024-10-29T00:00:00" u="1"/>
        <d v="2024-10-26T00:00:00" u="1"/>
        <d v="2024-10-25T00:00:00" u="1"/>
        <d v="2024-10-24T00:00:00" u="1"/>
        <d v="2024-10-23T00:00:00" u="1"/>
        <d v="2024-10-22T00:00:00" u="1"/>
        <d v="2024-10-19T00:00:00" u="1"/>
        <d v="2024-10-18T00:00:00" u="1"/>
        <d v="2024-10-17T00:00:00" u="1"/>
        <d v="2024-10-16T00:00:00" u="1"/>
        <d v="2024-10-15T00:00:00" u="1"/>
        <d v="2024-10-12T00:00:00" u="1"/>
        <d v="2024-10-11T00:00:00" u="1"/>
        <d v="2024-10-10T00:00:00" u="1"/>
        <d v="2024-10-09T00:00:00" u="1"/>
        <d v="2024-10-08T00:00:00" u="1"/>
        <d v="2024-10-05T00:00:00" u="1"/>
        <d v="2024-10-04T00:00:00" u="1"/>
        <d v="2022-09-29T00:00:00" u="1"/>
        <d v="2023-09-29T00:00:00" u="1"/>
        <d v="2022-10-25T00:00:00" u="1"/>
        <d v="2023-10-25T00:00:00" u="1"/>
        <d v="2023-11-21T00:00:00" u="1"/>
        <d v="2022-12-17T00:00:00" u="1"/>
        <d v="2022-10-27T00:00:00" u="1"/>
        <d v="2023-10-27T00:00:00" u="1"/>
        <d v="2022-11-23T00:00:00" u="1"/>
        <d v="2023-11-23T00:00:00" u="1"/>
        <d v="2023-12-19T00:00:00" u="1"/>
        <d v="2022-10-29T00:00:00" u="1"/>
        <d v="2022-11-25T00:00:00" u="1"/>
        <d v="2023-11-25T00:00:00" u="1"/>
        <d v="2022-12-21T00:00:00" u="1"/>
        <d v="2023-12-21T00:00:00" u="1"/>
        <d v="2022-10-31T00:00:00" u="1"/>
        <d v="2023-10-31T00:00:00" u="1"/>
        <d v="2022-12-23T00:00:00" u="1"/>
        <d v="2023-12-23T00:00:00" u="1"/>
        <d v="2023-01-04T00:00:00" u="1"/>
        <d v="2024-01-04T00:00:00" u="1"/>
        <d v="2022-11-29T00:00:00" u="1"/>
        <d v="2023-11-29T00:00:00" u="1"/>
        <d v="2023-01-06T00:00:00" u="1"/>
        <d v="2024-01-06T00:00:00" u="1"/>
        <d v="2023-02-02T00:00:00" u="1"/>
        <d v="2024-02-02T00:00:00" u="1"/>
        <d v="2022-12-27T00:00:00" u="1"/>
        <d v="2023-12-27T00:00:00" u="1"/>
        <d v="2023-02-04T00:00:00" u="1"/>
        <d v="2022-12-29T00:00:00" u="1"/>
        <d v="2023-12-29T00:00:00" u="1"/>
        <d v="2023-01-10T00:00:00" u="1"/>
        <d v="2024-01-10T00:00:00" u="1"/>
        <d v="2024-02-06T00:00:00" u="1"/>
        <d v="2023-03-02T00:00:00" u="1"/>
        <d v="2024-03-02T00:00:00" u="1"/>
        <d v="2022-12-31T00:00:00" u="1"/>
        <d v="2023-12-31T00:00:00" u="1"/>
        <d v="2023-01-12T00:00:00" u="1"/>
        <d v="2024-01-12T00:00:00" u="1"/>
        <d v="2023-02-08T00:00:00" u="1"/>
        <d v="2024-02-08T00:00:00" u="1"/>
        <d v="2023-03-04T00:00:00" u="1"/>
        <d v="2023-01-14T00:00:00" u="1"/>
        <d v="2023-02-10T00:00:00" u="1"/>
        <d v="2024-02-10T00:00:00" u="1"/>
        <d v="2022-04-02T00:00:00" u="1"/>
        <d v="2024-03-06T00:00:00" u="1"/>
        <d v="2024-04-02T00:00:00" u="1"/>
        <d v="2024-01-16T00:00:00" u="1"/>
        <d v="2023-03-08T00:00:00" u="1"/>
        <d v="2024-03-08T00:00:00" u="1"/>
        <d v="2023-04-04T00:00:00" u="1"/>
        <d v="2024-04-04T00:00:00" u="1"/>
        <d v="2023-01-18T00:00:00" u="1"/>
        <d v="2024-01-18T00:00:00" u="1"/>
        <d v="2023-02-14T00:00:00" u="1"/>
        <d v="2024-02-14T00:00:00" u="1"/>
        <d v="2023-03-10T00:00:00" u="1"/>
        <d v="2022-04-06T00:00:00" u="1"/>
        <d v="2023-04-06T00:00:00" u="1"/>
        <d v="2024-04-06T00:00:00" u="1"/>
        <d v="2023-01-20T00:00:00" u="1"/>
        <d v="2024-01-20T00:00:00" u="1"/>
        <d v="2023-02-16T00:00:00" u="1"/>
        <d v="2022-03-12T00:00:00" u="1"/>
        <d v="2024-02-16T00:00:00" u="1"/>
        <d v="2022-04-08T00:00:00" u="1"/>
        <d v="2024-03-12T00:00:00" u="1"/>
        <d v="2022-05-04T00:00:00" u="1"/>
        <d v="2023-05-04T00:00:00" u="1"/>
        <d v="2024-05-04T00:00:00" u="1"/>
        <d v="2023-02-18T00:00:00" u="1"/>
        <d v="2023-03-14T00:00:00" u="1"/>
        <d v="2024-03-14T00:00:00" u="1"/>
        <d v="2022-05-06T00:00:00" u="1"/>
        <d v="2024-04-10T00:00:00" u="1"/>
        <d v="2023-05-06T00:00:00" u="1"/>
        <d v="2022-06-02T00:00:00" u="1"/>
        <d v="2023-06-02T00:00:00" u="1"/>
        <d v="2023-01-24T00:00:00" u="1"/>
        <d v="2024-01-24T00:00:00" u="1"/>
        <d v="2022-03-16T00:00:00" u="1"/>
        <d v="2024-02-20T00:00:00" u="1"/>
        <d v="2023-03-16T00:00:00" u="1"/>
        <d v="2022-04-12T00:00:00" u="1"/>
        <d v="2024-03-16T00:00:00" u="1"/>
        <d v="2023-04-12T00:00:00" u="1"/>
        <d v="2024-04-12T00:00:00" u="1"/>
        <d v="2022-06-04T00:00:00" u="1"/>
        <d v="2024-05-08T00:00:00" u="1"/>
        <d v="2024-06-04T00:00:00" u="1"/>
        <d v="2023-01-26T00:00:00" u="1"/>
        <d v="2024-01-26T00:00:00" u="1"/>
        <d v="2023-02-22T00:00:00" u="1"/>
        <d v="2022-03-18T00:00:00" u="1"/>
        <d v="2024-02-22T00:00:00" u="1"/>
        <d v="2023-03-18T00:00:00" u="1"/>
        <d v="2022-04-14T00:00:00" u="1"/>
        <d v="2023-04-14T00:00:00" u="1"/>
        <d v="2022-05-10T00:00:00" u="1"/>
        <d v="2023-05-10T00:00:00" u="1"/>
        <d v="2024-05-10T00:00:00" u="1"/>
        <d v="2023-06-06T00:00:00" u="1"/>
        <d v="2022-07-02T00:00:00" u="1"/>
        <d v="2024-06-06T00:00:00" u="1"/>
        <d v="2024-07-02T00:00:00" u="1"/>
        <d v="2023-01-28T00:00:00" u="1"/>
        <d v="2023-02-24T00:00:00" u="1"/>
        <d v="2024-02-24T00:00:00" u="1"/>
        <d v="2024-03-20T00:00:00" u="1"/>
        <d v="2022-05-12T00:00:00" u="1"/>
        <d v="2024-04-16T00:00:00" u="1"/>
        <d v="2023-05-12T00:00:00" u="1"/>
        <d v="2022-06-08T00:00:00" u="1"/>
        <d v="2023-06-08T00:00:00" u="1"/>
        <d v="2024-06-08T00:00:00" u="1"/>
        <d v="2023-07-04T00:00:00" u="1"/>
        <d v="2024-07-04T00:00:00" u="1"/>
        <d v="2024-01-30T00:00:00" u="1"/>
        <d v="2022-03-22T00:00:00" u="1"/>
        <d v="2023-03-22T00:00:00" u="1"/>
        <d v="2024-03-22T00:00:00" u="1"/>
        <d v="2023-04-18T00:00:00" u="1"/>
        <d v="2022-05-14T00:00:00" u="1"/>
        <d v="2024-04-18T00:00:00" u="1"/>
        <d v="2022-06-10T00:00:00" u="1"/>
        <d v="2024-05-14T00:00:00" u="1"/>
        <d v="2023-06-10T00:00:00" u="1"/>
        <d v="2022-07-06T00:00:00" u="1"/>
        <d v="2023-07-06T00:00:00" u="1"/>
        <d v="2022-08-02T00:00:00" u="1"/>
        <d v="2024-07-06T00:00:00" u="1"/>
        <d v="2023-08-02T00:00:00" u="1"/>
        <d v="2024-08-02T00:00:00" u="1"/>
        <d v="2022-02-28T00:00:00" u="1"/>
        <d v="2023-02-28T00:00:00" u="1"/>
        <d v="2022-03-24T00:00:00" u="1"/>
        <d v="2024-02-28T00:00:00" u="1"/>
        <d v="2023-03-24T00:00:00" u="1"/>
        <d v="2022-04-20T00:00:00" u="1"/>
        <d v="2023-04-20T00:00:00" u="1"/>
        <d v="2024-04-20T00:00:00" u="1"/>
        <d v="2023-05-16T00:00:00" u="1"/>
        <d v="2024-05-16T00:00:00" u="1"/>
        <d v="2022-07-08T00:00:00" u="1"/>
        <d v="2024-06-12T00:00:00" u="1"/>
        <d v="2023-07-08T00:00:00" u="1"/>
        <d v="2022-08-04T00:00:00" u="1"/>
        <d v="2023-08-04T00:00:00" u="1"/>
        <d v="2022-03-26T00:00:00" u="1"/>
        <d v="2022-04-22T00:00:00" u="1"/>
        <d v="2024-03-26T00:00:00" u="1"/>
        <d v="2023-04-22T00:00:00" u="1"/>
        <d v="2022-05-18T00:00:00" u="1"/>
        <d v="2023-05-18T00:00:00" u="1"/>
        <d v="2022-06-14T00:00:00" u="1"/>
        <d v="2024-05-18T00:00:00" u="1"/>
        <d v="2023-06-14T00:00:00" u="1"/>
        <d v="2024-06-14T00:00:00" u="1"/>
        <d v="2022-08-06T00:00:00" u="1"/>
        <d v="2024-07-10T00:00:00" u="1"/>
        <d v="2022-09-02T00:00:00" u="1"/>
        <d v="2024-08-06T00:00:00" u="1"/>
        <d v="2023-09-02T00:00:00" u="1"/>
        <d v="2023-03-28T00:00:00" u="1"/>
        <d v="2024-03-28T00:00:00" u="1"/>
        <d v="2022-05-20T00:00:00" u="1"/>
        <d v="2024-04-24T00:00:00" u="1"/>
        <d v="2023-05-20T00:00:00" u="1"/>
        <d v="2022-06-16T00:00:00" u="1"/>
        <d v="2023-06-16T00:00:00" u="1"/>
        <d v="2022-07-12T00:00:00" u="1"/>
        <d v="2023-07-12T00:00:00" u="1"/>
        <d v="2024-07-12T00:00:00" u="1"/>
        <d v="2023-08-08T00:00:00" u="1"/>
        <d v="2024-08-08T00:00:00" u="1"/>
        <d v="2024-09-04T00:00:00" u="1"/>
        <d v="2022-03-30T00:00:00" u="1"/>
        <d v="2023-03-30T00:00:00" u="1"/>
        <d v="2022-04-26T00:00:00" u="1"/>
        <d v="2023-04-26T00:00:00" u="1"/>
        <d v="2024-04-26T00:00:00" u="1"/>
        <d v="2022-06-18T00:00:00" u="1"/>
        <d v="2022-07-14T00:00:00" u="1"/>
        <d v="2024-06-18T00:00:00" u="1"/>
        <d v="2023-07-14T00:00:00" u="1"/>
        <d v="2022-08-10T00:00:00" u="1"/>
        <d v="2023-08-10T00:00:00" u="1"/>
        <d v="2022-09-06T00:00:00" u="1"/>
        <d v="2024-08-10T00:00:00" u="1"/>
        <d v="2023-09-06T00:00:00" u="1"/>
        <d v="2024-09-06T00:00:00" u="1"/>
        <d v="2024-10-02T00:00:00" u="1"/>
        <d v="2022-04-28T00:00:00" u="1"/>
        <d v="2023-04-28T00:00:00" u="1"/>
        <d v="2022-05-24T00:00:00" u="1"/>
        <d v="2023-05-24T00:00:00" u="1"/>
        <d v="2024-05-24T00:00:00" u="1"/>
        <d v="2023-06-20T00:00:00" u="1"/>
        <d v="2022-07-16T00:00:00" u="1"/>
        <d v="2024-06-20T00:00:00" u="1"/>
        <d v="2022-08-12T00:00:00" u="1"/>
        <d v="2024-07-16T00:00:00" u="1"/>
        <d v="2023-08-12T00:00:00" u="1"/>
        <d v="2022-09-08T00:00:00" u="1"/>
        <d v="2023-09-08T00:00:00" u="1"/>
        <d v="2022-10-04T00:00:00" u="1"/>
        <d v="2023-10-04T00:00:00" u="1"/>
        <d v="2022-04-30T00:00:00" u="1"/>
        <d v="2023-04-30T00:00:00" u="1"/>
        <d v="2022-05-26T00:00:00" u="1"/>
        <d v="2024-04-30T00:00:00" u="1"/>
        <d v="2023-05-26T00:00:00" u="1"/>
        <d v="2024-06-22T00:00:00" u="1"/>
        <d v="2023-07-18T00:00:00" u="1"/>
        <d v="2024-07-18T00:00:00" u="1"/>
        <d v="2022-09-10T00:00:00" u="1"/>
        <d v="2024-08-14T00:00:00" u="1"/>
        <d v="2022-10-06T00:00:00" u="1"/>
        <d v="2024-09-10T00:00:00" u="1"/>
        <d v="2023-10-06T00:00:00" u="1"/>
        <d v="2022-05-28T00:00:00" u="1"/>
        <d v="2022-06-24T00:00:00" u="1"/>
        <d v="2024-05-28T00:00:00" u="1"/>
        <d v="2023-06-24T00:00:00" u="1"/>
        <d v="2022-07-20T00:00:00" u="1"/>
        <d v="2023-07-20T00:00:00" u="1"/>
        <d v="2024-07-20T00:00:00" u="1"/>
        <d v="2023-09-12T00:00:00" u="1"/>
        <d v="2022-10-08T00:00:00" u="1"/>
        <d v="2024-09-12T00:00:00" u="1"/>
        <d v="2023-11-04T00:00:00" u="1"/>
        <d v="2022-05-30T00:00:00" u="1"/>
        <d v="2023-05-30T00:00:00" u="1"/>
        <d v="2024-05-30T00:00:00" u="1"/>
        <d v="2022-07-22T00:00:00" u="1"/>
        <d v="2024-06-26T00:00:00" u="1"/>
        <d v="2023-07-22T00:00:00" u="1"/>
        <d v="2022-08-18T00:00:00" u="1"/>
        <d v="2023-08-18T00:00:00" u="1"/>
        <d v="2022-09-14T00:00:00" u="1"/>
        <d v="2023-09-14T00:00:00" u="1"/>
        <d v="2024-09-14T00:00:00" u="1"/>
        <d v="2023-12-02T00:00:00" u="1"/>
        <d v="2023-06-28T00:00:00" u="1"/>
        <d v="2024-06-28T00:00:00" u="1"/>
        <d v="2022-08-20T00:00:00" u="1"/>
        <d v="2024-07-24T00:00:00" u="1"/>
        <d v="2022-09-16T00:00:00" u="1"/>
        <d v="2024-08-20T00:00:00" u="1"/>
        <d v="2023-09-16T00:00:00" u="1"/>
        <d v="2022-10-12T00:00:00" u="1"/>
        <d v="2023-10-12T00:00:00" u="1"/>
        <d v="2022-11-08T00:00:00" u="1"/>
        <d v="2023-11-08T00:00:00" u="1"/>
        <d v="2022-06-30T00:00:00" u="1"/>
        <d v="2023-06-30T00:00:00" u="1"/>
        <d v="2022-07-26T00:00:00" u="1"/>
        <d v="2024-06-30T00:00:00" u="1"/>
        <d v="2023-07-26T00:00:00" u="1"/>
        <d v="2024-07-26T00:00:00" u="1"/>
        <d v="2023-08-22T00:00:00" u="1"/>
        <d v="2024-08-22T00:00:00" u="1"/>
        <d v="2022-10-14T00:00:00" u="1"/>
        <d v="2024-09-18T00:00:00" u="1"/>
        <d v="2023-10-14T00:00:00" u="1"/>
        <d v="2022-11-10T00:00:00" u="1"/>
        <d v="2023-11-10T00:00:00" u="1"/>
        <d v="2022-07-28T00:00:00" u="1"/>
        <d v="2023-07-28T00:00:00" u="1"/>
        <d v="2022-08-24T00:00:00" u="1"/>
        <d v="2023-08-24T00:00:00" u="1"/>
        <d v="2024-08-24T00:00:00" u="1"/>
        <d v="2022-11-12T00:00:00" u="1"/>
        <d v="2022-07-30T00:00:00" u="1"/>
        <d v="2022-08-26T00:00:00" u="1"/>
        <d v="2024-07-30T00:00:00" u="1"/>
        <d v="2023-08-26T00:00:00" u="1"/>
        <d v="2022-09-22T00:00:00" u="1"/>
        <d v="2023-09-22T00:00:00" u="1"/>
        <d v="2022-10-18T00:00:00" u="1"/>
        <d v="2023-10-18T00:00:00" u="1"/>
        <d v="2023-11-14T00:00:00" u="1"/>
        <d v="2022-09-24T00:00:00" u="1"/>
        <d v="2024-08-28T00:00:00" u="1"/>
        <d v="2022-10-20T00:00:00" u="1"/>
        <d v="2024-09-24T00:00:00" u="1"/>
        <d v="2023-10-20T00:00:00" u="1"/>
        <d v="2022-11-16T00:00:00" u="1"/>
        <d v="2023-11-16T00:00:00" u="1"/>
        <d v="2022-08-30T00:00:00" u="1"/>
        <d v="2023-08-30T00:00:00" u="1"/>
        <d v="2024-08-30T00:00:00" u="1"/>
        <d v="2023-09-26T00:00:00" u="1"/>
        <d v="2022-10-22T00:00:00" u="1"/>
        <d v="2024-09-26T00:00:00" u="1"/>
        <d v="2022-11-18T00:00:00" u="1"/>
        <d v="2023-11-18T00:00:00" u="1"/>
        <d v="2022-09-28T00:00:00" u="1"/>
        <d v="2023-09-28T00:00:00" u="1"/>
        <d v="2024-09-28T00:00:00" u="1"/>
        <d v="2023-10-24T00:00:00" u="1"/>
        <d v="2023-12-16T00:00:00" u="1"/>
        <d v="2022-09-30T00:00:00" u="1"/>
        <d v="2023-09-30T00:00:00" u="1"/>
        <d v="2022-10-26T00:00:00" u="1"/>
        <d v="2024-09-30T00:00:00" u="1"/>
        <d v="2023-10-26T00:00:00" u="1"/>
        <d v="2022-11-22T00:00:00" u="1"/>
        <d v="2023-11-22T00:00:00" u="1"/>
        <d v="2022-10-28T00:00:00" u="1"/>
        <d v="2022-11-24T00:00:00" u="1"/>
        <d v="2023-11-24T00:00:00" u="1"/>
        <d v="2023-12-20T00:00:00" u="1"/>
        <d v="2022-11-26T00:00:00" u="1"/>
        <d v="2022-12-22T00:00:00" u="1"/>
        <d v="2023-12-22T00:00:00" u="1"/>
        <d v="2024-01-03T00:00:00" u="1"/>
        <d v="2023-11-28T00:00:00" u="1"/>
        <d v="2022-12-24T00:00:00" u="1"/>
        <d v="2023-01-05T00:00:00" u="1"/>
        <d v="2024-01-05T00:00:00" u="1"/>
        <d v="2023-02-01T00:00:00" u="1"/>
        <d v="2024-02-01T00:00:00" u="1"/>
        <d v="2022-11-30T00:00:00" u="1"/>
        <d v="2023-11-30T00:00:00" u="1"/>
        <d v="2023-01-07T00:00:00" u="1"/>
        <d v="2023-02-03T00:00:00" u="1"/>
        <d v="2024-02-03T00:00:00" u="1"/>
        <d v="2022-12-28T00:00:00" u="1"/>
        <d v="2023-12-28T00:00:00" u="1"/>
        <d v="2024-01-09T00:00:00" u="1"/>
        <d v="2023-03-01T00:00:00" u="1"/>
        <d v="2024-03-01T00:00:00" u="1"/>
        <d v="2022-12-30T00:00:00" u="1"/>
        <d v="2023-12-30T00:00:00" u="1"/>
        <d v="2023-01-11T00:00:00" u="1"/>
        <d v="2024-01-11T00:00:00" u="1"/>
        <d v="2023-02-07T00:00:00" u="1"/>
        <d v="2024-02-07T00:00:00" u="1"/>
        <d v="2023-03-03T00:00:00" u="1"/>
        <d v="2023-01-13T00:00:00" u="1"/>
        <d v="2024-01-13T00:00:00" u="1"/>
        <d v="2023-02-09T00:00:00" u="1"/>
        <d v="2024-02-09T00:00:00" u="1"/>
        <d v="2022-04-01T00:00:00" u="1"/>
        <d v="2024-03-05T00:00:00" u="1"/>
        <d v="2023-04-01T00:00:00" u="1"/>
        <d v="2023-02-11T00:00:00" u="1"/>
        <d v="2023-03-07T00:00:00" u="1"/>
        <d v="2024-03-07T00:00:00" u="1"/>
        <d v="2024-04-03T00:00:00" u="1"/>
        <d v="2023-01-17T00:00:00" u="1"/>
        <d v="2024-01-17T00:00:00" u="1"/>
        <d v="2024-02-13T00:00:00" u="1"/>
        <d v="2023-03-09T00:00:00" u="1"/>
        <d v="2022-04-05T00:00:00" u="1"/>
        <d v="2024-03-09T00:00:00" u="1"/>
        <d v="2023-04-05T00:00:00" u="1"/>
        <d v="2024-04-05T00:00:00" u="1"/>
        <d v="2024-05-01T00:00:00" u="1"/>
        <d v="2023-01-19T00:00:00" u="1"/>
        <d v="2024-01-19T00:00:00" u="1"/>
        <d v="2023-02-15T00:00:00" u="1"/>
        <d v="2022-03-11T00:00:00" u="1"/>
        <d v="2024-02-15T00:00:00" u="1"/>
        <d v="2023-03-11T00:00:00" u="1"/>
        <d v="2022-04-07T00:00:00" u="1"/>
        <d v="2023-04-07T00:00:00" u="1"/>
        <d v="2022-05-03T00:00:00" u="1"/>
        <d v="2023-05-03T00:00:00" u="1"/>
        <d v="2024-05-03T00:00:00" u="1"/>
        <d v="2023-01-21T00:00:00" u="1"/>
        <d v="2023-02-17T00:00:00" u="1"/>
        <d v="2024-02-17T00:00:00" u="1"/>
        <d v="2022-04-09T00:00:00" u="1"/>
        <d v="2024-03-13T00:00:00" u="1"/>
        <d v="2022-05-05T00:00:00" u="1"/>
        <d v="2024-04-09T00:00:00" u="1"/>
        <d v="2023-05-05T00:00:00" u="1"/>
        <d v="2022-06-01T00:00:00" u="1"/>
        <d v="2023-06-01T00:00:00" u="1"/>
        <d v="2024-06-01T00:00:00" u="1"/>
        <d v="2024-01-23T00:00:00" u="1"/>
        <d v="2022-03-15T00:00:00" u="1"/>
        <d v="2023-03-15T00:00:00" u="1"/>
        <d v="2024-03-15T00:00:00" u="1"/>
        <d v="2023-04-11T00:00:00" u="1"/>
        <d v="2022-05-07T00:00:00" u="1"/>
        <d v="2024-04-11T00:00:00" u="1"/>
        <d v="2022-06-03T00:00:00" u="1"/>
        <d v="2024-05-07T00:00:00" u="1"/>
        <d v="2023-06-03T00:00:00" u="1"/>
        <d v="2023-01-25T00:00:00" u="1"/>
        <d v="2024-01-25T00:00:00" u="1"/>
        <d v="2023-02-21T00:00:00" u="1"/>
        <d v="2022-03-17T00:00:00" u="1"/>
        <d v="2024-02-21T00:00:00" u="1"/>
        <d v="2023-03-17T00:00:00" u="1"/>
        <d v="2022-04-13T00:00:00" u="1"/>
        <d v="2023-04-13T00:00:00" u="1"/>
        <d v="2024-04-13T00:00:00" u="1"/>
        <d v="2023-05-09T00:00:00" u="1"/>
        <d v="2024-05-09T00:00:00" u="1"/>
        <d v="2022-07-01T00:00:00" u="1"/>
        <d v="2024-06-05T00:00:00" u="1"/>
        <d v="2023-07-01T00:00:00" u="1"/>
        <d v="2023-01-27T00:00:00" u="1"/>
        <d v="2024-01-27T00:00:00" u="1"/>
        <d v="2023-02-23T00:00:00" u="1"/>
        <d v="2022-03-19T00:00:00" u="1"/>
        <d v="2024-02-23T00:00:00" u="1"/>
        <d v="2022-04-15T00:00:00" u="1"/>
        <d v="2024-03-19T00:00:00" u="1"/>
        <d v="2023-04-15T00:00:00" u="1"/>
        <d v="2022-05-11T00:00:00" u="1"/>
        <d v="2023-05-11T00:00:00" u="1"/>
        <d v="2022-06-07T00:00:00" u="1"/>
        <d v="2024-05-11T00:00:00" u="1"/>
        <d v="2023-06-07T00:00:00" u="1"/>
        <d v="2024-06-07T00:00:00" u="1"/>
        <d v="2024-07-03T00:00:00" u="1"/>
        <d v="2023-02-25T00:00:00" u="1"/>
        <d v="2023-03-21T00:00:00" u="1"/>
        <d v="2024-03-21T00:00:00" u="1"/>
        <d v="2022-05-13T00:00:00" u="1"/>
        <d v="2024-04-17T00:00:00" u="1"/>
        <d v="2023-05-13T00:00:00" u="1"/>
        <d v="2022-06-09T00:00:00" u="1"/>
        <d v="2023-06-09T00:00:00" u="1"/>
        <d v="2022-07-05T00:00:00" u="1"/>
        <d v="2023-07-05T00:00:00" u="1"/>
        <d v="2024-07-05T00:00:00" u="1"/>
        <d v="2023-08-01T00:00:00" u="1"/>
        <d v="2024-08-01T00:00:00" u="1"/>
        <d v="2022-01-31T00:00:00" u="1"/>
        <d v="2023-01-31T00:00:00" u="1"/>
        <d v="2024-01-31T00:00:00" u="1"/>
        <d v="2022-03-23T00:00:00" u="1"/>
        <d v="2024-02-27T00:00:00" u="1"/>
        <d v="2023-03-23T00:00:00" u="1"/>
        <d v="2022-04-19T00:00:00" u="1"/>
        <d v="2024-03-23T00:00:00" u="1"/>
        <d v="2023-04-19T00:00:00" u="1"/>
        <d v="2024-04-19T00:00:00" u="1"/>
        <d v="2022-06-11T00:00:00" u="1"/>
        <d v="2024-05-15T00:00:00" u="1"/>
        <d v="2022-07-07T00:00:00" u="1"/>
        <d v="2024-06-11T00:00:00" u="1"/>
        <d v="2023-07-07T00:00:00" u="1"/>
        <d v="2022-08-03T00:00:00" u="1"/>
        <d v="2023-08-03T00:00:00" u="1"/>
        <d v="2024-08-03T00:00:00" u="1"/>
        <d v="2022-03-25T00:00:00" u="1"/>
        <d v="2024-02-29T00:00:00" u="1"/>
        <d v="2023-03-25T00:00:00" u="1"/>
        <d v="2022-04-21T00:00:00" u="1"/>
        <d v="2023-04-21T00:00:00" u="1"/>
        <d v="2022-05-17T00:00:00" u="1"/>
        <d v="2023-05-17T00:00:00" u="1"/>
        <d v="2024-05-17T00:00:00" u="1"/>
        <d v="2023-06-13T00:00:00" u="1"/>
        <d v="2022-07-09T00:00:00" u="1"/>
        <d v="2024-06-13T00:00:00" u="1"/>
        <d v="2022-08-05T00:00:00" u="1"/>
        <d v="2024-07-09T00:00:00" u="1"/>
        <d v="2023-08-05T00:00:00" u="1"/>
        <d v="2022-09-01T00:00:00" u="1"/>
        <d v="2023-09-01T00:00:00" u="1"/>
        <d v="2022-04-23T00:00:00" u="1"/>
        <d v="2024-03-27T00:00:00" u="1"/>
        <d v="2022-05-19T00:00:00" u="1"/>
        <d v="2024-04-23T00:00:00" u="1"/>
        <d v="2023-05-19T00:00:00" u="1"/>
        <d v="2022-06-15T00:00:00" u="1"/>
        <d v="2023-06-15T00:00:00" u="1"/>
        <d v="2024-06-15T00:00:00" u="1"/>
        <d v="2023-07-11T00:00:00" u="1"/>
        <d v="2024-07-11T00:00:00" u="1"/>
        <d v="2022-09-03T00:00:00" u="1"/>
        <d v="2024-08-07T00:00:00" u="1"/>
        <d v="2024-09-03T00:00:00" u="1"/>
        <d v="2022-03-29T00:00:00" u="1"/>
        <d v="2023-03-29T00:00:00" u="1"/>
        <d v="2024-03-29T00:00:00" u="1"/>
        <d v="2023-04-25T00:00:00" u="1"/>
        <d v="2022-05-21T00:00:00" u="1"/>
        <d v="2024-04-25T00:00:00" u="1"/>
        <d v="2022-06-17T00:00:00" u="1"/>
        <d v="2024-05-21T00:00:00" u="1"/>
        <d v="2023-06-17T00:00:00" u="1"/>
        <d v="2022-07-13T00:00:00" u="1"/>
        <d v="2023-07-13T00:00:00" u="1"/>
        <d v="2022-08-09T00:00:00" u="1"/>
        <d v="2024-07-13T00:00:00" u="1"/>
        <d v="2023-08-09T00:00:00" u="1"/>
        <d v="2024-08-09T00:00:00" u="1"/>
        <d v="2023-09-05T00:00:00" u="1"/>
        <d v="2022-10-01T00:00:00" u="1"/>
        <d v="2024-09-05T00:00:00" u="1"/>
        <d v="2024-10-01T00:00:00" u="1"/>
        <d v="2022-03-31T00:00:00" u="1"/>
        <d v="2023-03-31T00:00:00" u="1"/>
        <d v="2022-04-27T00:00:00" u="1"/>
        <d v="2024-03-31T00:00:00" u="1"/>
        <d v="2023-04-27T00:00:00" u="1"/>
        <d v="2024-04-27T00:00:00" u="1"/>
        <d v="2023-05-23T00:00:00" u="1"/>
        <d v="2024-05-23T00:00:00" u="1"/>
        <d v="2022-07-15T00:00:00" u="1"/>
        <d v="2024-06-19T00:00:00" u="1"/>
        <d v="2023-07-15T00:00:00" u="1"/>
        <d v="2022-08-11T00:00:00" u="1"/>
        <d v="2023-08-11T00:00:00" u="1"/>
        <d v="2022-09-07T00:00:00" u="1"/>
        <d v="2023-09-07T00:00:00" u="1"/>
        <d v="2024-09-07T00:00:00" u="1"/>
        <d v="2023-10-03T00:00:00" u="1"/>
        <d v="2024-10-03T00:00:00" u="1"/>
        <d v="2022-04-29T00:00:00" u="1"/>
        <d v="2023-04-29T00:00:00" u="1"/>
        <d v="2022-05-25T00:00:00" u="1"/>
        <d v="2023-05-25T00:00:00" u="1"/>
        <d v="2022-06-21T00:00:00" u="1"/>
        <d v="2024-05-25T00:00:00" u="1"/>
        <d v="2023-06-21T00:00:00" u="1"/>
        <d v="2022-08-13T00:00:00" u="1"/>
        <d v="2022-09-09T00:00:00" u="1"/>
        <d v="2024-08-13T00:00:00" u="1"/>
        <d v="2023-09-09T00:00:00" u="1"/>
        <d v="2022-10-05T00:00:00" u="1"/>
        <d v="2023-10-05T00:00:00" u="1"/>
        <d v="2023-11-01T00:00:00" u="1"/>
        <d v="2022-05-27T00:00:00" u="1"/>
        <d v="2023-05-27T00:00:00" u="1"/>
        <d v="2022-06-23T00:00:00" u="1"/>
        <d v="2023-06-23T00:00:00" u="1"/>
        <d v="2022-07-19T00:00:00" u="1"/>
        <d v="2023-07-19T00:00:00" u="1"/>
        <d v="2024-07-19T00:00:00" u="1"/>
        <d v="2023-08-15T00:00:00" u="1"/>
        <d v="2024-08-15T00:00:00" u="1"/>
        <d v="2022-10-07T00:00:00" u="1"/>
        <d v="2024-09-11T00:00:00" u="1"/>
        <d v="2023-10-07T00:00:00" u="1"/>
        <d v="2022-11-03T00:00:00" u="1"/>
        <d v="2023-11-03T00:00:00" u="1"/>
        <d v="2022-06-25T00:00:00" u="1"/>
        <d v="2024-05-29T00:00:00" u="1"/>
        <d v="2022-07-21T00:00:00" u="1"/>
        <d v="2024-06-25T00:00:00" u="1"/>
        <d v="2023-07-21T00:00:00" u="1"/>
        <d v="2022-08-17T00:00:00" u="1"/>
        <d v="2023-08-17T00:00:00" u="1"/>
        <d v="2022-09-13T00:00:00" u="1"/>
        <d v="2024-08-17T00:00:00" u="1"/>
        <d v="2023-09-13T00:00:00" u="1"/>
        <d v="2024-09-13T00:00:00" u="1"/>
        <d v="2022-11-05T00:00:00" u="1"/>
        <d v="2023-12-01T00:00:00" u="1"/>
        <d v="2022-05-31T00:00:00" u="1"/>
        <d v="2023-05-31T00:00:00" u="1"/>
        <d v="2024-05-31T00:00:00" u="1"/>
        <d v="2022-07-23T00:00:00" u="1"/>
        <d v="2024-06-27T00:00:00" u="1"/>
        <d v="2022-08-19T00:00:00" u="1"/>
        <d v="2024-07-23T00:00:00" u="1"/>
        <d v="2023-08-19T00:00:00" u="1"/>
        <d v="2022-09-15T00:00:00" u="1"/>
        <d v="2023-09-15T00:00:00" u="1"/>
        <d v="2023-10-11T00:00:00" u="1"/>
        <d v="2023-11-07T00:00:00" u="1"/>
        <d v="2022-06-29T00:00:00" u="1"/>
        <d v="2023-06-29T00:00:00" u="1"/>
        <d v="2024-06-29T00:00:00" u="1"/>
        <d v="2023-07-25T00:00:00" u="1"/>
        <d v="2024-07-25T00:00:00" u="1"/>
        <d v="2024-08-21T00:00:00" u="1"/>
        <d v="2022-10-13T00:00:00" u="1"/>
        <d v="2024-09-17T00:00:00" u="1"/>
        <d v="2023-10-13T00:00:00" u="1"/>
        <d v="2022-11-09T00:00:00" u="1"/>
        <d v="2023-11-09T00:00:00" u="1"/>
        <d v="2023-12-05T00:00:00" u="1"/>
        <d v="2022-07-27T00:00:00" u="1"/>
        <d v="2023-07-27T00:00:00" u="1"/>
        <d v="2022-08-23T00:00:00" u="1"/>
        <d v="2024-07-27T00:00:00" u="1"/>
        <d v="2023-08-23T00:00:00" u="1"/>
        <d v="2024-08-23T00:00:00" u="1"/>
        <d v="2022-10-15T00:00:00" u="1"/>
        <d v="2022-11-11T00:00:00" u="1"/>
        <d v="2023-11-11T00:00:00" u="1"/>
        <d v="2023-12-07T00:00:00" u="1"/>
        <d v="2022-07-29T00:00:00" u="1"/>
        <d v="2023-07-29T00:00:00" u="1"/>
        <d v="2022-08-25T00:00:00" u="1"/>
        <d v="2023-08-25T00:00:00" u="1"/>
        <d v="2022-09-21T00:00:00" u="1"/>
        <d v="2023-09-21T00:00:00" u="1"/>
        <d v="2023-10-17T00:00:00" u="1"/>
        <d v="2022-07-31T00:00:00" u="1"/>
        <d v="2023-07-31T00:00:00" u="1"/>
        <d v="2022-08-27T00:00:00" u="1"/>
        <d v="2024-07-31T00:00:00" u="1"/>
        <d v="2022-09-23T00:00:00" u="1"/>
        <d v="2024-08-27T00:00:00" u="1"/>
        <d v="2023-09-23T00:00:00" u="1"/>
        <d v="2022-10-19T00:00:00" u="1"/>
        <d v="2023-10-19T00:00:00" u="1"/>
        <d v="2022-11-15T00:00:00" u="1"/>
        <d v="2023-11-15T00:00:00" u="1"/>
        <d v="2023-08-29T00:00:00" u="1"/>
        <d v="2024-08-29T00:00:00" u="1"/>
        <d v="2022-10-21T00:00:00" u="1"/>
        <d v="2024-09-25T00:00:00" u="1"/>
        <d v="2023-10-21T00:00:00" u="1"/>
        <d v="2022-11-17T00:00:00" u="1"/>
        <d v="2023-11-17T00:00:00" u="1"/>
        <d v="2022-08-31T00:00:00" u="1"/>
        <d v="2023-08-31T00:00:00" u="1"/>
        <d v="2022-09-27T00:00:00" u="1"/>
        <d v="2024-08-31T00:00:00" u="1"/>
        <d v="2023-09-27T00:00:00" u="1"/>
        <d v="2024-09-27T00:00:00" u="1"/>
        <d v="2022-11-19T00:00:00" u="1"/>
        <d v="2023-12-15T00:00:00" u="1"/>
      </sharedItems>
    </cacheField>
    <cacheField name="FECHA PAGO" numFmtId="14">
      <sharedItems containsNonDate="0" containsDate="1" containsString="0" containsBlank="1" minDate="2025-10-01T00:00:00" maxDate="2050-04-01T00:00:00"/>
    </cacheField>
    <cacheField name="FECHA_REPRICING" numFmtId="14">
      <sharedItems containsNonDate="0" containsDate="1" containsString="0" containsBlank="1" minDate="2025-10-01T00:00:00" maxDate="2050-04-01T00:00:00"/>
    </cacheField>
    <cacheField name="AMORTIZACION" numFmtId="165">
      <sharedItems containsString="0" containsBlank="1" containsNumber="1" minValue="0" maxValue="1079797455044.9985"/>
    </cacheField>
    <cacheField name="INTERES" numFmtId="0">
      <sharedItems containsNonDate="0" containsString="0" containsBlank="1"/>
    </cacheField>
    <cacheField name="INTERES_DEVENGADO" numFmtId="0">
      <sharedItems containsNonDate="0" containsString="0" containsBlank="1"/>
    </cacheField>
    <cacheField name="VP_AMORTIZACION" numFmtId="0">
      <sharedItems containsNonDate="0" containsString="0" containsBlank="1"/>
    </cacheField>
    <cacheField name="VP_INTERES" numFmtId="0">
      <sharedItems containsNonDate="0" containsString="0" containsBlank="1"/>
    </cacheField>
    <cacheField name="FACTOR DE RIESGO" numFmtId="0">
      <sharedItems containsNonDate="0" containsString="0" containsBlank="1"/>
    </cacheField>
    <cacheField name="TIPO_CUOTA" numFmtId="0">
      <sharedItems containsString="0" containsBlank="1" containsNumber="1" containsInteger="1" minValue="1" maxValue="1"/>
    </cacheField>
    <cacheField name="AREA NEGOCIO" numFmtId="0">
      <sharedItems containsBlank="1"/>
    </cacheField>
    <cacheField name="CODIGO_ EJECUTIVO" numFmtId="0">
      <sharedItems containsNonDate="0" containsString="0" containsBlank="1"/>
    </cacheField>
    <cacheField name="CODIGO_ESTRATEGIA" numFmtId="0">
      <sharedItems containsBlank="1"/>
    </cacheField>
    <cacheField name="CLASIFICACION_CONTABLE" numFmtId="0">
      <sharedItems containsBlank="1"/>
    </cacheField>
    <cacheField name="TIPO TASA" numFmtId="0">
      <sharedItems containsString="0" containsBlank="1" containsNumber="1" containsInteger="1" minValue="1" maxValue="1"/>
    </cacheField>
    <cacheField name="INDEXADOR" numFmtId="0">
      <sharedItems containsNonDate="0" containsString="0" containsBlank="1"/>
    </cacheField>
    <cacheField name="TASA" numFmtId="0">
      <sharedItems containsNonDate="0" containsString="0" containsBlank="1"/>
    </cacheField>
    <cacheField name="TASA CF" numFmtId="0">
      <sharedItems containsNonDate="0" containsString="0" containsBlank="1"/>
    </cacheField>
    <cacheField name="SPREAD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55">
  <r>
    <d v="2025-09-30T00:00:00"/>
    <n v="1"/>
    <m/>
    <s v="PAS"/>
    <s v="CLP"/>
    <s v="CLP"/>
    <m/>
    <x v="0"/>
    <s v="CTA. CORRIENTE-MAYORISTAS"/>
    <m/>
    <m/>
    <m/>
    <d v="2025-10-01T00:00:00"/>
    <d v="2025-10-01T00:00:00"/>
    <d v="2025-10-01T00:00:00"/>
    <n v="0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P"/>
    <s v="CLP"/>
    <m/>
    <x v="0"/>
    <s v="CTA. CORRIENTE PERSONAS"/>
    <m/>
    <m/>
    <m/>
    <d v="2025-10-01T00:00:00"/>
    <d v="2025-10-01T00:00:00"/>
    <d v="2025-10-01T00:00:00"/>
    <n v="357810792922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P"/>
    <s v="CLP"/>
    <m/>
    <x v="0"/>
    <s v="CTA. CORRIENTE PERSONAS_CORE_CORE"/>
    <m/>
    <n v="1"/>
    <m/>
    <d v="2025-10-31T00:00:00"/>
    <d v="2025-10-31T00:00:00"/>
    <d v="2025-10-31T00:00:00"/>
    <n v="36011519040.949715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P"/>
    <s v="CLP"/>
    <m/>
    <x v="0"/>
    <s v="CTA. CORRIENTE PERSONAS_CORE_CORE"/>
    <m/>
    <n v="2"/>
    <m/>
    <d v="2025-11-30T00:00:00"/>
    <d v="2025-11-30T00:00:00"/>
    <d v="2025-11-30T00:00:00"/>
    <n v="36011519040.949715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P"/>
    <s v="CLP"/>
    <m/>
    <x v="0"/>
    <s v="CTA. CORRIENTE PERSONAS_CORE_CORE"/>
    <m/>
    <n v="3"/>
    <m/>
    <d v="2025-12-31T00:00:00"/>
    <d v="2025-12-31T00:00:00"/>
    <d v="2025-12-31T00:00:00"/>
    <n v="36011519040.949715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P"/>
    <s v="CLP"/>
    <m/>
    <x v="0"/>
    <s v="CTA. CORRIENTE PERSONAS_CORE_CORE"/>
    <m/>
    <n v="4"/>
    <m/>
    <d v="2026-01-31T00:00:00"/>
    <d v="2026-01-31T00:00:00"/>
    <d v="2026-01-31T00:00:00"/>
    <n v="36011519040.949715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P"/>
    <s v="CLP"/>
    <m/>
    <x v="0"/>
    <s v="CTA. CORRIENTE PERSONAS_CORE_CORE"/>
    <m/>
    <n v="5"/>
    <m/>
    <d v="2026-02-28T00:00:00"/>
    <d v="2026-02-28T00:00:00"/>
    <d v="2026-02-28T00:00:00"/>
    <n v="36011519040.949715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P"/>
    <s v="CLP"/>
    <m/>
    <x v="0"/>
    <s v="CTA. CORRIENTE PERSONAS_CORE_CORE"/>
    <m/>
    <n v="6"/>
    <m/>
    <d v="2026-03-31T00:00:00"/>
    <d v="2026-03-31T00:00:00"/>
    <d v="2026-03-31T00:00:00"/>
    <n v="36011519040.949715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P"/>
    <s v="CLP"/>
    <m/>
    <x v="0"/>
    <s v="CTA. CORRIENTE PERSONAS_CORE_CORE"/>
    <m/>
    <n v="7"/>
    <m/>
    <d v="2026-04-30T00:00:00"/>
    <d v="2026-04-30T00:00:00"/>
    <d v="2026-04-30T00:00:00"/>
    <n v="36011519040.949715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P"/>
    <s v="CLP"/>
    <m/>
    <x v="0"/>
    <s v="CTA. CORRIENTE PERSONAS_CORE_CORE"/>
    <m/>
    <n v="8"/>
    <m/>
    <d v="2026-05-31T00:00:00"/>
    <d v="2026-05-31T00:00:00"/>
    <d v="2026-05-31T00:00:00"/>
    <n v="36011519040.949715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P"/>
    <s v="CLP"/>
    <m/>
    <x v="0"/>
    <s v="CTA. CORRIENTE PERSONAS_CORE_CORE"/>
    <m/>
    <n v="9"/>
    <m/>
    <d v="2026-06-30T00:00:00"/>
    <d v="2026-06-30T00:00:00"/>
    <d v="2026-06-30T00:00:00"/>
    <n v="36011519040.949715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P"/>
    <s v="CLP"/>
    <m/>
    <x v="0"/>
    <s v="CTA. CORRIENTE PERSONAS_CORE_CORE"/>
    <m/>
    <n v="10"/>
    <m/>
    <d v="2026-07-31T00:00:00"/>
    <d v="2026-07-31T00:00:00"/>
    <d v="2026-07-31T00:00:00"/>
    <n v="36011519040.949715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P"/>
    <s v="CLP"/>
    <m/>
    <x v="0"/>
    <s v="CTA. CORRIENTE PERSONAS_CORE_CORE"/>
    <m/>
    <n v="11"/>
    <m/>
    <d v="2026-08-31T00:00:00"/>
    <d v="2026-08-31T00:00:00"/>
    <d v="2026-08-31T00:00:00"/>
    <n v="36011519040.949715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P"/>
    <s v="CLP"/>
    <m/>
    <x v="0"/>
    <s v="CTA. CORRIENTE PERSONAS_CORE_CORE"/>
    <m/>
    <n v="12"/>
    <m/>
    <d v="2026-09-30T00:00:00"/>
    <d v="2026-09-30T00:00:00"/>
    <d v="2026-09-30T00:00:00"/>
    <n v="36011519040.949715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P"/>
    <s v="CLP"/>
    <m/>
    <x v="0"/>
    <s v="CTA. CORRIENTE PERSONAS_CORE_CORE"/>
    <m/>
    <n v="13"/>
    <m/>
    <d v="2026-10-31T00:00:00"/>
    <d v="2026-10-31T00:00:00"/>
    <d v="2026-10-31T00:00:00"/>
    <n v="36011519040.949715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P"/>
    <s v="CLP"/>
    <m/>
    <x v="0"/>
    <s v="CTA. CORRIENTE PERSONAS_CORE_CORE"/>
    <m/>
    <n v="14"/>
    <m/>
    <d v="2026-11-30T00:00:00"/>
    <d v="2026-11-30T00:00:00"/>
    <d v="2026-11-30T00:00:00"/>
    <n v="36011519040.949715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P"/>
    <s v="CLP"/>
    <m/>
    <x v="0"/>
    <s v="CTA. CORRIENTE PERSONAS_CORE_CORE"/>
    <m/>
    <n v="15"/>
    <m/>
    <d v="2026-12-31T00:00:00"/>
    <d v="2026-12-31T00:00:00"/>
    <d v="2026-12-31T00:00:00"/>
    <n v="36011519040.949715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P"/>
    <s v="CLP"/>
    <m/>
    <x v="0"/>
    <s v="CTA. CORRIENTE PERSONAS_CORE_CORE"/>
    <m/>
    <n v="16"/>
    <m/>
    <d v="2027-01-31T00:00:00"/>
    <d v="2027-01-31T00:00:00"/>
    <d v="2027-01-31T00:00:00"/>
    <n v="36011519040.949715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P"/>
    <s v="CLP"/>
    <m/>
    <x v="0"/>
    <s v="CTA. CORRIENTE PERSONAS_CORE_CORE"/>
    <m/>
    <n v="17"/>
    <m/>
    <d v="2027-02-28T00:00:00"/>
    <d v="2027-02-28T00:00:00"/>
    <d v="2027-02-28T00:00:00"/>
    <n v="36011519040.949715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P"/>
    <s v="CLP"/>
    <m/>
    <x v="0"/>
    <s v="CTA. CORRIENTE PERSONAS_CORE_CORE"/>
    <m/>
    <n v="18"/>
    <m/>
    <d v="2027-03-31T00:00:00"/>
    <d v="2027-03-31T00:00:00"/>
    <d v="2027-03-31T00:00:00"/>
    <n v="36011519040.949715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P"/>
    <s v="CLP"/>
    <m/>
    <x v="0"/>
    <s v="CTA. CORRIENTE PERSONAS_CORE_CORE"/>
    <m/>
    <n v="19"/>
    <m/>
    <d v="2027-04-30T00:00:00"/>
    <d v="2027-04-30T00:00:00"/>
    <d v="2027-04-30T00:00:00"/>
    <n v="36011519040.949715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P"/>
    <s v="CLP"/>
    <m/>
    <x v="0"/>
    <s v="CTA. CORRIENTE PERSONAS_CORE_CORE"/>
    <m/>
    <n v="20"/>
    <m/>
    <d v="2027-05-31T00:00:00"/>
    <d v="2027-05-31T00:00:00"/>
    <d v="2027-05-31T00:00:00"/>
    <n v="36011519040.949715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P"/>
    <s v="CLP"/>
    <m/>
    <x v="0"/>
    <s v="CTA. CORRIENTE PERSONAS_CORE_CORE"/>
    <m/>
    <n v="21"/>
    <m/>
    <d v="2027-06-30T00:00:00"/>
    <d v="2027-06-30T00:00:00"/>
    <d v="2027-06-30T00:00:00"/>
    <n v="36011519040.949715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P"/>
    <s v="CLP"/>
    <m/>
    <x v="0"/>
    <s v="CTA. CORRIENTE PERSONAS_CORE_CORE"/>
    <m/>
    <n v="22"/>
    <m/>
    <d v="2027-07-31T00:00:00"/>
    <d v="2027-07-31T00:00:00"/>
    <d v="2027-07-31T00:00:00"/>
    <n v="36011519040.949715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P"/>
    <s v="CLP"/>
    <m/>
    <x v="0"/>
    <s v="CTA. CORRIENTE PERSONAS_CORE_CORE"/>
    <m/>
    <n v="23"/>
    <m/>
    <d v="2027-08-31T00:00:00"/>
    <d v="2027-08-31T00:00:00"/>
    <d v="2027-08-31T00:00:00"/>
    <n v="36011519040.949715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P"/>
    <s v="CLP"/>
    <m/>
    <x v="0"/>
    <s v="CTA. CORRIENTE PERSONAS_CORE_CORE"/>
    <m/>
    <n v="24"/>
    <m/>
    <d v="2027-09-30T00:00:00"/>
    <d v="2027-09-30T00:00:00"/>
    <d v="2027-09-30T00:00:00"/>
    <n v="36011519040.949715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P"/>
    <s v="CLP"/>
    <m/>
    <x v="0"/>
    <s v="CTA. CORRIENTE PERSONAS_CORE_CORE"/>
    <m/>
    <n v="25"/>
    <m/>
    <d v="2027-10-31T00:00:00"/>
    <d v="2027-10-31T00:00:00"/>
    <d v="2027-10-31T00:00:00"/>
    <n v="36011519040.949715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P"/>
    <s v="CLP"/>
    <m/>
    <x v="0"/>
    <s v="CTA. CORRIENTE PERSONAS_CORE_CORE"/>
    <m/>
    <n v="26"/>
    <m/>
    <d v="2027-11-30T00:00:00"/>
    <d v="2027-11-30T00:00:00"/>
    <d v="2027-11-30T00:00:00"/>
    <n v="36011519040.949715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P"/>
    <s v="CLP"/>
    <m/>
    <x v="0"/>
    <s v="CTA. CORRIENTE PERSONAS_CORE_CORE"/>
    <m/>
    <n v="27"/>
    <m/>
    <d v="2027-12-31T00:00:00"/>
    <d v="2027-12-31T00:00:00"/>
    <d v="2027-12-31T00:00:00"/>
    <n v="36011519040.949715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P"/>
    <s v="CLP"/>
    <m/>
    <x v="0"/>
    <s v="CTA. CORRIENTE PERSONAS_CORE_CORE"/>
    <m/>
    <n v="28"/>
    <m/>
    <d v="2028-01-31T00:00:00"/>
    <d v="2028-01-31T00:00:00"/>
    <d v="2028-01-31T00:00:00"/>
    <n v="36011519040.949715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P"/>
    <s v="CLP"/>
    <m/>
    <x v="0"/>
    <s v="CTA. CORRIENTE PERSONAS_CORE_CORE"/>
    <m/>
    <n v="29"/>
    <m/>
    <d v="2028-02-29T00:00:00"/>
    <d v="2028-02-29T00:00:00"/>
    <d v="2028-02-29T00:00:00"/>
    <n v="36011519040.949715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P"/>
    <s v="CLP"/>
    <m/>
    <x v="0"/>
    <s v="CTA. CORRIENTE PERSONAS_CORE_CORE"/>
    <m/>
    <n v="30"/>
    <m/>
    <d v="2028-03-31T00:00:00"/>
    <d v="2028-03-31T00:00:00"/>
    <d v="2028-03-31T00:00:00"/>
    <n v="36011519040.949715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P"/>
    <s v="CLP"/>
    <m/>
    <x v="0"/>
    <s v="CTA. CORRIENTE PERSONAS_CORE_CORE"/>
    <m/>
    <n v="31"/>
    <m/>
    <d v="2028-04-30T00:00:00"/>
    <d v="2028-04-30T00:00:00"/>
    <d v="2028-04-30T00:00:00"/>
    <n v="36011519040.949715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P"/>
    <s v="CLP"/>
    <m/>
    <x v="0"/>
    <s v="CTA. CORRIENTE PERSONAS_CORE_CORE"/>
    <m/>
    <n v="32"/>
    <m/>
    <d v="2028-05-31T00:00:00"/>
    <d v="2028-05-31T00:00:00"/>
    <d v="2028-05-31T00:00:00"/>
    <n v="36011519040.949715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P"/>
    <s v="CLP"/>
    <m/>
    <x v="0"/>
    <s v="CTA. CORRIENTE PERSONAS_CORE_CORE"/>
    <m/>
    <n v="33"/>
    <m/>
    <d v="2028-06-30T00:00:00"/>
    <d v="2028-06-30T00:00:00"/>
    <d v="2028-06-30T00:00:00"/>
    <n v="3459166099.7732425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P"/>
    <s v="CLP"/>
    <m/>
    <x v="0"/>
    <s v="CTA. CORRIENTE PERSONAS_CORE_CORE"/>
    <m/>
    <n v="34"/>
    <m/>
    <d v="2028-07-31T00:00:00"/>
    <d v="2028-07-31T00:00:00"/>
    <d v="2028-07-31T00:00:00"/>
    <n v="3459166099.7732425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P"/>
    <s v="CLP"/>
    <m/>
    <x v="0"/>
    <s v="CTA. CORRIENTE PERSONAS_CORE_CORE"/>
    <m/>
    <n v="35"/>
    <m/>
    <d v="2025-10-31T00:00:00"/>
    <d v="2025-10-31T00:00:00"/>
    <d v="2025-10-31T00:00:00"/>
    <n v="3459166099.7732425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P"/>
    <s v="CLP"/>
    <m/>
    <x v="0"/>
    <s v="CTA. CORRIENTE PERSONAS_CORE_CORE"/>
    <m/>
    <n v="36"/>
    <m/>
    <d v="2025-11-30T00:00:00"/>
    <d v="2025-11-30T00:00:00"/>
    <d v="2025-11-30T00:00:00"/>
    <n v="3459166099.7732425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P"/>
    <s v="CLP"/>
    <m/>
    <x v="0"/>
    <s v="CTA. CORRIENTE PERSONAS_CORE_CORE"/>
    <m/>
    <n v="37"/>
    <m/>
    <d v="2025-12-31T00:00:00"/>
    <d v="2025-12-31T00:00:00"/>
    <d v="2025-12-31T00:00:00"/>
    <n v="3459166099.7732425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P"/>
    <s v="CLP"/>
    <m/>
    <x v="0"/>
    <s v="CTA. CORRIENTE PERSONAS_CORE_CORE"/>
    <m/>
    <n v="38"/>
    <m/>
    <d v="2026-01-31T00:00:00"/>
    <d v="2026-01-31T00:00:00"/>
    <d v="2026-01-31T00:00:00"/>
    <n v="3459166099.7732425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P"/>
    <s v="CLP"/>
    <m/>
    <x v="0"/>
    <s v="CTA. CORRIENTE PERSONAS_CORE_CORE"/>
    <m/>
    <n v="39"/>
    <m/>
    <d v="2026-02-28T00:00:00"/>
    <d v="2026-02-28T00:00:00"/>
    <d v="2026-02-28T00:00:00"/>
    <n v="3459166099.7732425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P"/>
    <s v="CLP"/>
    <m/>
    <x v="0"/>
    <s v="CTA. CORRIENTE PERSONAS_CORE_CORE"/>
    <m/>
    <n v="40"/>
    <m/>
    <d v="2026-03-31T00:00:00"/>
    <d v="2026-03-31T00:00:00"/>
    <d v="2026-03-31T00:00:00"/>
    <n v="3459166099.7732425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P"/>
    <s v="CLP"/>
    <m/>
    <x v="0"/>
    <s v="CTA. CORRIENTE PERSONAS_CORE_CORE"/>
    <m/>
    <n v="41"/>
    <m/>
    <d v="2026-04-30T00:00:00"/>
    <d v="2026-04-30T00:00:00"/>
    <d v="2026-04-30T00:00:00"/>
    <n v="3459166099.7732425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P"/>
    <s v="CLP"/>
    <m/>
    <x v="0"/>
    <s v="CTA. CORRIENTE PERSONAS_CORE_CORE"/>
    <m/>
    <n v="42"/>
    <m/>
    <d v="2026-05-31T00:00:00"/>
    <d v="2026-05-31T00:00:00"/>
    <d v="2026-05-31T00:00:00"/>
    <n v="1255895791.6499934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P"/>
    <s v="CLP"/>
    <m/>
    <x v="0"/>
    <s v="CTA. CORRIENTE PERSONAS_CORE_CORE"/>
    <m/>
    <n v="43"/>
    <m/>
    <d v="2026-06-30T00:00:00"/>
    <d v="2026-06-30T00:00:00"/>
    <d v="2026-06-30T00:00:00"/>
    <n v="0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P"/>
    <s v="CLP"/>
    <m/>
    <x v="0"/>
    <s v="CTA. CORRIENTE PERSONAS_CORE_CORE"/>
    <m/>
    <n v="44"/>
    <m/>
    <d v="2026-07-31T00:00:00"/>
    <d v="2026-07-31T00:00:00"/>
    <d v="2026-07-31T00:00:00"/>
    <n v="0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P"/>
    <s v="CLP"/>
    <m/>
    <x v="0"/>
    <s v="CTA. CORRIENTE PERSONAS_CORE_CORE"/>
    <m/>
    <n v="45"/>
    <m/>
    <d v="2026-08-31T00:00:00"/>
    <d v="2026-08-31T00:00:00"/>
    <d v="2026-08-31T00:00:00"/>
    <n v="0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P"/>
    <s v="CLP"/>
    <m/>
    <x v="0"/>
    <s v="CTA. CORRIENTE PERSONAS_CORE_CORE"/>
    <m/>
    <n v="46"/>
    <m/>
    <d v="2026-09-30T00:00:00"/>
    <d v="2026-09-30T00:00:00"/>
    <d v="2026-09-30T00:00:00"/>
    <n v="0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P"/>
    <s v="CLP"/>
    <m/>
    <x v="0"/>
    <s v="CTA. CORRIENTE PERSONAS_CORE_CORE"/>
    <m/>
    <n v="47"/>
    <m/>
    <d v="2026-10-31T00:00:00"/>
    <d v="2026-10-31T00:00:00"/>
    <d v="2026-10-31T00:00:00"/>
    <n v="0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P"/>
    <s v="CLP"/>
    <m/>
    <x v="0"/>
    <s v="CTA. CORRIENTE PERSONAS_CORE_CORE"/>
    <m/>
    <n v="48"/>
    <m/>
    <d v="2026-11-30T00:00:00"/>
    <d v="2026-11-30T00:00:00"/>
    <d v="2026-11-30T00:00:00"/>
    <n v="0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P"/>
    <s v="CLP"/>
    <m/>
    <x v="0"/>
    <s v="CTA. CORRIENTE PERSONAS_CORE_CORE"/>
    <m/>
    <n v="49"/>
    <m/>
    <d v="2026-12-31T00:00:00"/>
    <d v="2026-12-31T00:00:00"/>
    <d v="2026-12-31T00:00:00"/>
    <n v="0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P"/>
    <s v="CLP"/>
    <m/>
    <x v="0"/>
    <s v="CTA. CORRIENTE PERSONAS_CORE_CORE"/>
    <m/>
    <n v="50"/>
    <m/>
    <d v="2027-01-31T00:00:00"/>
    <d v="2027-01-31T00:00:00"/>
    <d v="2027-01-31T00:00:00"/>
    <n v="0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P"/>
    <s v="CLP"/>
    <m/>
    <x v="0"/>
    <s v="CTA. CORRIENTE PERSONAS_CORE_CORE"/>
    <m/>
    <n v="51"/>
    <m/>
    <d v="2027-02-28T00:00:00"/>
    <d v="2027-02-28T00:00:00"/>
    <d v="2027-02-28T00:00:00"/>
    <n v="0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P"/>
    <s v="CLP"/>
    <m/>
    <x v="0"/>
    <s v="CTA. CORRIENTE PERSONAS_CORE_SOFT"/>
    <m/>
    <n v="52"/>
    <m/>
    <d v="2027-03-31T00:00:00"/>
    <d v="2027-03-31T00:00:00"/>
    <d v="2027-03-31T00:00:00"/>
    <n v="0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P"/>
    <s v="CLP"/>
    <m/>
    <x v="0"/>
    <s v="CTA. CORRIENTE PERSONAS_CORE_SOFT"/>
    <m/>
    <n v="53"/>
    <m/>
    <d v="2027-04-30T00:00:00"/>
    <d v="2027-04-30T00:00:00"/>
    <d v="2027-04-30T00:00:00"/>
    <n v="0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P"/>
    <s v="CLP"/>
    <m/>
    <x v="0"/>
    <s v="CTA. CORRIENTE PERSONAS_CORE_SOFT"/>
    <m/>
    <n v="54"/>
    <m/>
    <d v="2027-05-31T00:00:00"/>
    <d v="2027-05-31T00:00:00"/>
    <d v="2027-05-31T00:00:00"/>
    <n v="0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P"/>
    <s v="CLP"/>
    <m/>
    <x v="0"/>
    <s v="CTA. CORRIENTE PERSONAS_CORE_SOFT"/>
    <m/>
    <n v="55"/>
    <m/>
    <d v="2027-06-30T00:00:00"/>
    <d v="2027-06-30T00:00:00"/>
    <d v="2027-06-30T00:00:00"/>
    <n v="0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P"/>
    <s v="CLP"/>
    <m/>
    <x v="0"/>
    <s v="CTA. CORRIENTE PERSONAS_CORE_SOFT"/>
    <m/>
    <n v="56"/>
    <m/>
    <d v="2027-07-31T00:00:00"/>
    <d v="2027-07-31T00:00:00"/>
    <d v="2027-07-31T00:00:00"/>
    <n v="0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P"/>
    <s v="CLP"/>
    <m/>
    <x v="0"/>
    <s v="CTA. CORRIENTE PERSONAS_CORE_SOFT"/>
    <m/>
    <n v="57"/>
    <m/>
    <d v="2027-08-31T00:00:00"/>
    <d v="2027-08-31T00:00:00"/>
    <d v="2027-08-31T00:00:00"/>
    <n v="0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P"/>
    <s v="CLP"/>
    <m/>
    <x v="0"/>
    <s v="CTA. CORRIENTE PERSONAS_CORE_SOFT"/>
    <m/>
    <n v="58"/>
    <m/>
    <d v="2027-09-30T00:00:00"/>
    <d v="2027-09-30T00:00:00"/>
    <d v="2027-09-30T00:00:00"/>
    <n v="0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P"/>
    <s v="CLP"/>
    <m/>
    <x v="0"/>
    <s v="CTA. CORRIENTE PERSONAS_CORE_SOFT"/>
    <m/>
    <n v="59"/>
    <m/>
    <d v="2027-10-31T00:00:00"/>
    <d v="2027-10-31T00:00:00"/>
    <d v="2027-10-31T00:00:00"/>
    <n v="0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P"/>
    <s v="CLP"/>
    <m/>
    <x v="0"/>
    <s v="CTA. CORRIENTE PERSONAS_CORE_SOFT"/>
    <m/>
    <n v="60"/>
    <m/>
    <d v="2027-11-30T00:00:00"/>
    <d v="2027-11-30T00:00:00"/>
    <d v="2027-11-30T00:00:00"/>
    <n v="0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P"/>
    <s v="CLP"/>
    <m/>
    <x v="1"/>
    <s v="CTA. VISTA"/>
    <m/>
    <m/>
    <m/>
    <d v="2025-10-01T00:00:00"/>
    <d v="2025-10-01T00:00:00"/>
    <d v="2025-10-01T00:00:00"/>
    <n v="44791986461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P"/>
    <s v="CLP"/>
    <m/>
    <x v="1"/>
    <s v="CTA. VISTA_CORE_CORE"/>
    <m/>
    <n v="1"/>
    <m/>
    <d v="2025-10-31T00:00:00"/>
    <d v="2025-10-31T00:00:00"/>
    <d v="2025-10-31T00:00:00"/>
    <n v="3833994024.2763772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P"/>
    <s v="CLP"/>
    <m/>
    <x v="1"/>
    <s v="CTA. VISTA_CORE_CORE"/>
    <m/>
    <n v="2"/>
    <m/>
    <d v="2025-11-30T00:00:00"/>
    <d v="2025-11-30T00:00:00"/>
    <d v="2025-11-30T00:00:00"/>
    <n v="3833994024.2763772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P"/>
    <s v="CLP"/>
    <m/>
    <x v="1"/>
    <s v="CTA. VISTA_CORE_CORE"/>
    <m/>
    <n v="3"/>
    <m/>
    <d v="2025-12-31T00:00:00"/>
    <d v="2025-12-31T00:00:00"/>
    <d v="2025-12-31T00:00:00"/>
    <n v="3833994024.2763772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P"/>
    <s v="CLP"/>
    <m/>
    <x v="1"/>
    <s v="CTA. VISTA_CORE_CORE"/>
    <m/>
    <n v="4"/>
    <m/>
    <d v="2026-01-31T00:00:00"/>
    <d v="2026-01-31T00:00:00"/>
    <d v="2026-01-31T00:00:00"/>
    <n v="3833994024.2763772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P"/>
    <s v="CLP"/>
    <m/>
    <x v="1"/>
    <s v="CTA. VISTA_CORE_CORE"/>
    <m/>
    <n v="5"/>
    <m/>
    <d v="2026-02-28T00:00:00"/>
    <d v="2026-02-28T00:00:00"/>
    <d v="2026-02-28T00:00:00"/>
    <n v="3833994024.2763772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P"/>
    <s v="CLP"/>
    <m/>
    <x v="1"/>
    <s v="CTA. VISTA_CORE_CORE"/>
    <m/>
    <n v="6"/>
    <m/>
    <d v="2026-03-31T00:00:00"/>
    <d v="2026-03-31T00:00:00"/>
    <d v="2026-03-31T00:00:00"/>
    <n v="3833994024.2763772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P"/>
    <s v="CLP"/>
    <m/>
    <x v="1"/>
    <s v="CTA. VISTA_CORE_CORE"/>
    <m/>
    <n v="7"/>
    <m/>
    <d v="2026-04-30T00:00:00"/>
    <d v="2026-04-30T00:00:00"/>
    <d v="2026-04-30T00:00:00"/>
    <n v="3833994024.2763772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P"/>
    <s v="CLP"/>
    <m/>
    <x v="1"/>
    <s v="CTA. VISTA_CORE_CORE"/>
    <m/>
    <n v="8"/>
    <m/>
    <d v="2026-05-31T00:00:00"/>
    <d v="2026-05-31T00:00:00"/>
    <d v="2026-05-31T00:00:00"/>
    <n v="3833994024.2763772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P"/>
    <s v="CLP"/>
    <m/>
    <x v="1"/>
    <s v="CTA. VISTA_CORE_CORE"/>
    <m/>
    <n v="9"/>
    <m/>
    <d v="2026-06-30T00:00:00"/>
    <d v="2026-06-30T00:00:00"/>
    <d v="2026-06-30T00:00:00"/>
    <n v="3833994024.2763772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P"/>
    <s v="CLP"/>
    <m/>
    <x v="1"/>
    <s v="CTA. VISTA_CORE_CORE"/>
    <m/>
    <n v="10"/>
    <m/>
    <d v="2026-07-31T00:00:00"/>
    <d v="2026-07-31T00:00:00"/>
    <d v="2026-07-31T00:00:00"/>
    <n v="3833994024.2763772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P"/>
    <s v="CLP"/>
    <m/>
    <x v="1"/>
    <s v="CTA. VISTA_CORE_CORE"/>
    <m/>
    <n v="11"/>
    <m/>
    <d v="2026-08-31T00:00:00"/>
    <d v="2026-08-31T00:00:00"/>
    <d v="2026-08-31T00:00:00"/>
    <n v="3833994024.2763772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P"/>
    <s v="CLP"/>
    <m/>
    <x v="1"/>
    <s v="CTA. VISTA_CORE_CORE"/>
    <m/>
    <n v="12"/>
    <m/>
    <d v="2026-09-30T00:00:00"/>
    <d v="2026-09-30T00:00:00"/>
    <d v="2026-09-30T00:00:00"/>
    <n v="3833994024.2763772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P"/>
    <s v="CLP"/>
    <m/>
    <x v="1"/>
    <s v="CTA. VISTA_CORE_CORE"/>
    <m/>
    <n v="13"/>
    <m/>
    <d v="2026-10-31T00:00:00"/>
    <d v="2026-10-31T00:00:00"/>
    <d v="2026-10-31T00:00:00"/>
    <n v="3833994024.2763772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P"/>
    <s v="CLP"/>
    <m/>
    <x v="1"/>
    <s v="CTA. VISTA_CORE_CORE"/>
    <m/>
    <n v="14"/>
    <m/>
    <d v="2026-11-30T00:00:00"/>
    <d v="2026-11-30T00:00:00"/>
    <d v="2026-11-30T00:00:00"/>
    <n v="3833994024.2763772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P"/>
    <s v="CLP"/>
    <m/>
    <x v="1"/>
    <s v="CTA. VISTA_CORE_CORE"/>
    <m/>
    <n v="15"/>
    <m/>
    <d v="2026-12-31T00:00:00"/>
    <d v="2026-12-31T00:00:00"/>
    <d v="2026-12-31T00:00:00"/>
    <n v="3833994024.2763772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P"/>
    <s v="CLP"/>
    <m/>
    <x v="1"/>
    <s v="CTA. VISTA_CORE_CORE"/>
    <m/>
    <n v="16"/>
    <m/>
    <d v="2027-01-31T00:00:00"/>
    <d v="2027-01-31T00:00:00"/>
    <d v="2027-01-31T00:00:00"/>
    <n v="3833994024.2763772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P"/>
    <s v="CLP"/>
    <m/>
    <x v="1"/>
    <s v="CTA. VISTA_CORE_CORE"/>
    <m/>
    <n v="17"/>
    <m/>
    <d v="2027-02-28T00:00:00"/>
    <d v="2027-02-28T00:00:00"/>
    <d v="2027-02-28T00:00:00"/>
    <n v="3833994024.2763772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P"/>
    <s v="CLP"/>
    <m/>
    <x v="1"/>
    <s v="CTA. VISTA_CORE_CORE"/>
    <m/>
    <n v="18"/>
    <m/>
    <d v="2027-03-31T00:00:00"/>
    <d v="2027-03-31T00:00:00"/>
    <d v="2027-03-31T00:00:00"/>
    <n v="3833994024.2763772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P"/>
    <s v="CLP"/>
    <m/>
    <x v="1"/>
    <s v="CTA. VISTA_CORE_CORE"/>
    <m/>
    <n v="19"/>
    <m/>
    <d v="2027-04-30T00:00:00"/>
    <d v="2027-04-30T00:00:00"/>
    <d v="2027-04-30T00:00:00"/>
    <n v="3833994024.2763772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P"/>
    <s v="CLP"/>
    <m/>
    <x v="1"/>
    <s v="CTA. VISTA_CORE_CORE"/>
    <m/>
    <n v="20"/>
    <m/>
    <d v="2027-05-31T00:00:00"/>
    <d v="2027-05-31T00:00:00"/>
    <d v="2027-05-31T00:00:00"/>
    <n v="3833994024.2763772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P"/>
    <s v="CLP"/>
    <m/>
    <x v="1"/>
    <s v="CTA. VISTA_CORE_CORE"/>
    <m/>
    <n v="21"/>
    <m/>
    <d v="2027-06-30T00:00:00"/>
    <d v="2027-06-30T00:00:00"/>
    <d v="2027-06-30T00:00:00"/>
    <n v="3833994024.2763772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P"/>
    <s v="CLP"/>
    <m/>
    <x v="1"/>
    <s v="CTA. VISTA_CORE_CORE"/>
    <m/>
    <n v="22"/>
    <m/>
    <d v="2027-07-31T00:00:00"/>
    <d v="2027-07-31T00:00:00"/>
    <d v="2027-07-31T00:00:00"/>
    <n v="3833994024.2763772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P"/>
    <s v="CLP"/>
    <m/>
    <x v="1"/>
    <s v="CTA. VISTA_CORE_CORE"/>
    <m/>
    <n v="23"/>
    <m/>
    <d v="2027-08-31T00:00:00"/>
    <d v="2027-08-31T00:00:00"/>
    <d v="2027-08-31T00:00:00"/>
    <n v="3833994024.2763772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P"/>
    <s v="CLP"/>
    <m/>
    <x v="1"/>
    <s v="CTA. VISTA_CORE_CORE"/>
    <m/>
    <n v="24"/>
    <m/>
    <d v="2027-09-30T00:00:00"/>
    <d v="2027-09-30T00:00:00"/>
    <d v="2027-09-30T00:00:00"/>
    <n v="3833994024.2763772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P"/>
    <s v="CLP"/>
    <m/>
    <x v="1"/>
    <s v="CTA. VISTA_CORE_CORE"/>
    <m/>
    <n v="25"/>
    <m/>
    <d v="2027-10-31T00:00:00"/>
    <d v="2027-10-31T00:00:00"/>
    <d v="2027-10-31T00:00:00"/>
    <n v="3833994024.2763772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P"/>
    <s v="CLP"/>
    <m/>
    <x v="1"/>
    <s v="CTA. VISTA_CORE_CORE"/>
    <m/>
    <n v="26"/>
    <m/>
    <d v="2027-11-30T00:00:00"/>
    <d v="2027-11-30T00:00:00"/>
    <d v="2027-11-30T00:00:00"/>
    <n v="3833994024.2763772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P"/>
    <s v="CLP"/>
    <m/>
    <x v="1"/>
    <s v="CTA. VISTA_CORE_CORE"/>
    <m/>
    <n v="27"/>
    <m/>
    <d v="2027-12-31T00:00:00"/>
    <d v="2027-12-31T00:00:00"/>
    <d v="2027-12-31T00:00:00"/>
    <n v="3833994024.2763772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P"/>
    <s v="CLP"/>
    <m/>
    <x v="1"/>
    <s v="CTA. VISTA_CORE_CORE"/>
    <m/>
    <n v="28"/>
    <m/>
    <d v="2028-01-31T00:00:00"/>
    <d v="2028-01-31T00:00:00"/>
    <d v="2028-01-31T00:00:00"/>
    <n v="3833994024.2763772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P"/>
    <s v="CLP"/>
    <m/>
    <x v="1"/>
    <s v="CTA. VISTA_CORE_CORE"/>
    <m/>
    <n v="29"/>
    <m/>
    <d v="2028-02-29T00:00:00"/>
    <d v="2028-02-29T00:00:00"/>
    <d v="2028-02-29T00:00:00"/>
    <n v="3833994024.2763772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P"/>
    <s v="CLP"/>
    <m/>
    <x v="1"/>
    <s v="CTA. VISTA_CORE_CORE"/>
    <m/>
    <n v="30"/>
    <m/>
    <d v="2028-03-31T00:00:00"/>
    <d v="2028-03-31T00:00:00"/>
    <d v="2028-03-31T00:00:00"/>
    <n v="3833994024.2763772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P"/>
    <s v="CLP"/>
    <m/>
    <x v="1"/>
    <s v="CTA. VISTA_CORE_CORE"/>
    <m/>
    <n v="31"/>
    <m/>
    <d v="2028-04-30T00:00:00"/>
    <d v="2028-04-30T00:00:00"/>
    <d v="2028-04-30T00:00:00"/>
    <n v="3833994024.2763772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P"/>
    <s v="CLP"/>
    <m/>
    <x v="1"/>
    <s v="CTA. VISTA_CORE_CORE"/>
    <m/>
    <n v="32"/>
    <m/>
    <d v="2028-05-31T00:00:00"/>
    <d v="2028-05-31T00:00:00"/>
    <d v="2028-05-31T00:00:00"/>
    <n v="3833994024.2763772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P"/>
    <s v="CLP"/>
    <m/>
    <x v="1"/>
    <s v="CTA. VISTA_CORE_CORE"/>
    <m/>
    <n v="33"/>
    <m/>
    <d v="2028-06-30T00:00:00"/>
    <d v="2028-06-30T00:00:00"/>
    <d v="2028-06-30T00:00:00"/>
    <n v="260558730.15873015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P"/>
    <s v="CLP"/>
    <m/>
    <x v="1"/>
    <s v="CTA. VISTA_CORE_CORE"/>
    <m/>
    <n v="34"/>
    <m/>
    <d v="2028-07-31T00:00:00"/>
    <d v="2028-07-31T00:00:00"/>
    <d v="2028-07-31T00:00:00"/>
    <n v="260558730.15873015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P"/>
    <s v="CLP"/>
    <m/>
    <x v="1"/>
    <s v="CTA. VISTA_CORE_CORE"/>
    <m/>
    <n v="35"/>
    <m/>
    <d v="2025-10-31T00:00:00"/>
    <d v="2025-10-31T00:00:00"/>
    <d v="2025-10-31T00:00:00"/>
    <n v="260558730.15873015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P"/>
    <s v="CLP"/>
    <m/>
    <x v="1"/>
    <s v="CTA. VISTA_CORE_CORE"/>
    <m/>
    <n v="36"/>
    <m/>
    <d v="2025-11-30T00:00:00"/>
    <d v="2025-11-30T00:00:00"/>
    <d v="2025-11-30T00:00:00"/>
    <n v="260558730.15873015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P"/>
    <s v="CLP"/>
    <m/>
    <x v="1"/>
    <s v="CTA. VISTA_CORE_CORE"/>
    <m/>
    <n v="37"/>
    <m/>
    <d v="2025-12-31T00:00:00"/>
    <d v="2025-12-31T00:00:00"/>
    <d v="2025-12-31T00:00:00"/>
    <n v="260558730.15873015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P"/>
    <s v="CLP"/>
    <m/>
    <x v="1"/>
    <s v="CTA. VISTA_CORE_CORE"/>
    <m/>
    <n v="38"/>
    <m/>
    <d v="2026-01-31T00:00:00"/>
    <d v="2026-01-31T00:00:00"/>
    <d v="2026-01-31T00:00:00"/>
    <n v="260558730.15873015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P"/>
    <s v="CLP"/>
    <m/>
    <x v="1"/>
    <s v="CTA. VISTA_CORE_CORE"/>
    <m/>
    <n v="39"/>
    <m/>
    <d v="2026-02-28T00:00:00"/>
    <d v="2026-02-28T00:00:00"/>
    <d v="2026-02-28T00:00:00"/>
    <n v="260558730.15873015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P"/>
    <s v="CLP"/>
    <m/>
    <x v="1"/>
    <s v="CTA. VISTA_CORE_CORE"/>
    <m/>
    <n v="40"/>
    <m/>
    <d v="2026-03-31T00:00:00"/>
    <d v="2026-03-31T00:00:00"/>
    <d v="2026-03-31T00:00:00"/>
    <n v="260558730.15873015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P"/>
    <s v="CLP"/>
    <m/>
    <x v="1"/>
    <s v="CTA. VISTA_CORE_CORE"/>
    <m/>
    <n v="41"/>
    <m/>
    <d v="2026-04-30T00:00:00"/>
    <d v="2026-04-30T00:00:00"/>
    <d v="2026-04-30T00:00:00"/>
    <n v="260558730.15873015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P"/>
    <s v="CLP"/>
    <m/>
    <x v="1"/>
    <s v="CTA. VISTA_CORE_CORE"/>
    <m/>
    <n v="42"/>
    <m/>
    <d v="2026-05-31T00:00:00"/>
    <d v="2026-05-31T00:00:00"/>
    <d v="2026-05-31T00:00:00"/>
    <n v="89162651.727357611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P"/>
    <s v="CLP"/>
    <m/>
    <x v="1"/>
    <s v="CTA. VISTA_CORE_CORE"/>
    <m/>
    <n v="43"/>
    <m/>
    <d v="2026-06-30T00:00:00"/>
    <d v="2026-06-30T00:00:00"/>
    <d v="2026-06-30T00:00:00"/>
    <n v="0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P"/>
    <s v="CLP"/>
    <m/>
    <x v="1"/>
    <s v="CTA. VISTA_CORE_CORE"/>
    <m/>
    <n v="44"/>
    <m/>
    <d v="2026-07-31T00:00:00"/>
    <d v="2026-07-31T00:00:00"/>
    <d v="2026-07-31T00:00:00"/>
    <n v="0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P"/>
    <s v="CLP"/>
    <m/>
    <x v="1"/>
    <s v="CTA. VISTA_CORE_CORE"/>
    <m/>
    <n v="45"/>
    <m/>
    <d v="2026-08-31T00:00:00"/>
    <d v="2026-08-31T00:00:00"/>
    <d v="2026-08-31T00:00:00"/>
    <n v="0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P"/>
    <s v="CLP"/>
    <m/>
    <x v="1"/>
    <s v="CTA. VISTA_CORE_CORE"/>
    <m/>
    <n v="46"/>
    <m/>
    <d v="2026-09-30T00:00:00"/>
    <d v="2026-09-30T00:00:00"/>
    <d v="2026-09-30T00:00:00"/>
    <n v="0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P"/>
    <s v="CLP"/>
    <m/>
    <x v="1"/>
    <s v="CTA. VISTA_CORE_CORE"/>
    <m/>
    <n v="47"/>
    <m/>
    <d v="2026-10-31T00:00:00"/>
    <d v="2026-10-31T00:00:00"/>
    <d v="2026-10-31T00:00:00"/>
    <n v="0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P"/>
    <s v="CLP"/>
    <m/>
    <x v="1"/>
    <s v="CTA. VISTA_CORE_SOFT"/>
    <m/>
    <n v="48"/>
    <m/>
    <d v="2026-11-30T00:00:00"/>
    <d v="2026-11-30T00:00:00"/>
    <d v="2026-11-30T00:00:00"/>
    <n v="0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P"/>
    <s v="CLP"/>
    <m/>
    <x v="1"/>
    <s v="CTA. VISTA_CORE_SOFT"/>
    <m/>
    <n v="49"/>
    <m/>
    <d v="2026-12-31T00:00:00"/>
    <d v="2026-12-31T00:00:00"/>
    <d v="2026-12-31T00:00:00"/>
    <n v="0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"/>
    <m/>
    <m/>
    <m/>
    <d v="2025-10-01T00:00:00"/>
    <d v="2025-10-01T00:00:00"/>
    <d v="2025-10-01T00:00:00"/>
    <n v="974142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CORE"/>
    <m/>
    <n v="1"/>
    <m/>
    <d v="2025-10-31T00:00:00"/>
    <d v="2025-10-31T00:00:00"/>
    <d v="2025-10-31T00:00:00"/>
    <n v="26803.587027067224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CORE"/>
    <m/>
    <n v="2"/>
    <m/>
    <d v="2025-11-30T00:00:00"/>
    <d v="2025-11-30T00:00:00"/>
    <d v="2025-11-30T00:00:00"/>
    <n v="26803.587027067224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CORE"/>
    <m/>
    <n v="3"/>
    <m/>
    <d v="2025-12-31T00:00:00"/>
    <d v="2025-12-31T00:00:00"/>
    <d v="2025-12-31T00:00:00"/>
    <n v="26803.587027067224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CORE"/>
    <m/>
    <n v="4"/>
    <m/>
    <d v="2026-01-31T00:00:00"/>
    <d v="2026-01-31T00:00:00"/>
    <d v="2026-01-31T00:00:00"/>
    <n v="26803.587027067224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CORE"/>
    <m/>
    <n v="5"/>
    <m/>
    <d v="2026-02-28T00:00:00"/>
    <d v="2026-02-28T00:00:00"/>
    <d v="2026-02-28T00:00:00"/>
    <n v="26803.587027067224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CORE"/>
    <m/>
    <n v="6"/>
    <m/>
    <d v="2026-03-31T00:00:00"/>
    <d v="2026-03-31T00:00:00"/>
    <d v="2026-03-31T00:00:00"/>
    <n v="26803.587027067224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CORE"/>
    <m/>
    <n v="7"/>
    <m/>
    <d v="2026-04-30T00:00:00"/>
    <d v="2026-04-30T00:00:00"/>
    <d v="2026-04-30T00:00:00"/>
    <n v="26803.587027067224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CORE"/>
    <m/>
    <n v="8"/>
    <m/>
    <d v="2026-05-31T00:00:00"/>
    <d v="2026-05-31T00:00:00"/>
    <d v="2026-05-31T00:00:00"/>
    <n v="26803.587027067224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CORE"/>
    <m/>
    <n v="9"/>
    <m/>
    <d v="2026-06-30T00:00:00"/>
    <d v="2026-06-30T00:00:00"/>
    <d v="2026-06-30T00:00:00"/>
    <n v="26803.587027067224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CORE"/>
    <m/>
    <n v="10"/>
    <m/>
    <d v="2026-07-31T00:00:00"/>
    <d v="2026-07-31T00:00:00"/>
    <d v="2026-07-31T00:00:00"/>
    <n v="26803.587027067224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CORE"/>
    <m/>
    <n v="11"/>
    <m/>
    <d v="2026-08-31T00:00:00"/>
    <d v="2026-08-31T00:00:00"/>
    <d v="2026-08-31T00:00:00"/>
    <n v="26803.587027067224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CORE"/>
    <m/>
    <n v="12"/>
    <m/>
    <d v="2026-09-30T00:00:00"/>
    <d v="2026-09-30T00:00:00"/>
    <d v="2026-09-30T00:00:00"/>
    <n v="26803.587027067224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CORE"/>
    <m/>
    <n v="13"/>
    <m/>
    <d v="2026-10-31T00:00:00"/>
    <d v="2026-10-31T00:00:00"/>
    <d v="2026-10-31T00:00:00"/>
    <n v="26803.587027067224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CORE"/>
    <m/>
    <n v="14"/>
    <m/>
    <d v="2026-11-30T00:00:00"/>
    <d v="2026-11-30T00:00:00"/>
    <d v="2026-11-30T00:00:00"/>
    <n v="26803.587027067224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CORE"/>
    <m/>
    <n v="15"/>
    <m/>
    <d v="2026-12-31T00:00:00"/>
    <d v="2026-12-31T00:00:00"/>
    <d v="2026-12-31T00:00:00"/>
    <n v="26803.587027067224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CORE"/>
    <m/>
    <n v="16"/>
    <m/>
    <d v="2027-01-31T00:00:00"/>
    <d v="2027-01-31T00:00:00"/>
    <d v="2027-01-31T00:00:00"/>
    <n v="26803.587027067224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CORE"/>
    <m/>
    <n v="17"/>
    <m/>
    <d v="2027-02-28T00:00:00"/>
    <d v="2027-02-28T00:00:00"/>
    <d v="2027-02-28T00:00:00"/>
    <n v="26803.587027067224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CORE"/>
    <m/>
    <n v="18"/>
    <m/>
    <d v="2027-03-31T00:00:00"/>
    <d v="2027-03-31T00:00:00"/>
    <d v="2027-03-31T00:00:00"/>
    <n v="26803.587027067224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CORE"/>
    <m/>
    <n v="19"/>
    <m/>
    <d v="2027-04-30T00:00:00"/>
    <d v="2027-04-30T00:00:00"/>
    <d v="2027-04-30T00:00:00"/>
    <n v="26803.587027067224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CORE"/>
    <m/>
    <n v="20"/>
    <m/>
    <d v="2027-05-31T00:00:00"/>
    <d v="2027-05-31T00:00:00"/>
    <d v="2027-05-31T00:00:00"/>
    <n v="26803.587027067224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CORE"/>
    <m/>
    <n v="21"/>
    <m/>
    <d v="2027-06-30T00:00:00"/>
    <d v="2027-06-30T00:00:00"/>
    <d v="2027-06-30T00:00:00"/>
    <n v="26803.587027067224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CORE"/>
    <m/>
    <n v="22"/>
    <m/>
    <d v="2027-07-31T00:00:00"/>
    <d v="2027-07-31T00:00:00"/>
    <d v="2027-07-31T00:00:00"/>
    <n v="26803.587027067224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CORE"/>
    <m/>
    <n v="23"/>
    <m/>
    <d v="2027-08-31T00:00:00"/>
    <d v="2027-08-31T00:00:00"/>
    <d v="2027-08-31T00:00:00"/>
    <n v="26803.587027067224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CORE"/>
    <m/>
    <n v="24"/>
    <m/>
    <d v="2027-09-30T00:00:00"/>
    <d v="2027-09-30T00:00:00"/>
    <d v="2027-09-30T00:00:00"/>
    <n v="26803.587027067224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CORE"/>
    <m/>
    <n v="25"/>
    <m/>
    <d v="2027-10-31T00:00:00"/>
    <d v="2027-10-31T00:00:00"/>
    <d v="2027-10-31T00:00:00"/>
    <n v="26803.587027067224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CORE"/>
    <m/>
    <n v="26"/>
    <m/>
    <d v="2027-11-30T00:00:00"/>
    <d v="2027-11-30T00:00:00"/>
    <d v="2027-11-30T00:00:00"/>
    <n v="26803.587027067224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CORE"/>
    <m/>
    <n v="27"/>
    <m/>
    <d v="2027-12-31T00:00:00"/>
    <d v="2027-12-31T00:00:00"/>
    <d v="2027-12-31T00:00:00"/>
    <n v="26803.587027067224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CORE"/>
    <m/>
    <n v="28"/>
    <m/>
    <d v="2028-01-31T00:00:00"/>
    <d v="2028-01-31T00:00:00"/>
    <d v="2028-01-31T00:00:00"/>
    <n v="26803.587027067224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CORE"/>
    <m/>
    <n v="29"/>
    <m/>
    <d v="2028-02-29T00:00:00"/>
    <d v="2028-02-29T00:00:00"/>
    <d v="2028-02-29T00:00:00"/>
    <n v="26803.587027067224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CORE"/>
    <m/>
    <n v="30"/>
    <m/>
    <d v="2028-03-31T00:00:00"/>
    <d v="2028-03-31T00:00:00"/>
    <d v="2028-03-31T00:00:00"/>
    <n v="26803.587027067224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CORE"/>
    <m/>
    <n v="31"/>
    <m/>
    <d v="2028-04-30T00:00:00"/>
    <d v="2028-04-30T00:00:00"/>
    <d v="2028-04-30T00:00:00"/>
    <n v="26803.587027067224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CORE"/>
    <m/>
    <n v="32"/>
    <m/>
    <d v="2028-05-31T00:00:00"/>
    <d v="2028-05-31T00:00:00"/>
    <d v="2028-05-31T00:00:00"/>
    <n v="26803.587027067224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CORE"/>
    <m/>
    <n v="33"/>
    <m/>
    <d v="2028-06-30T00:00:00"/>
    <d v="2028-06-30T00:00:00"/>
    <d v="2028-06-30T00:00:00"/>
    <n v="26803.587027067224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CORE"/>
    <m/>
    <n v="34"/>
    <m/>
    <d v="2028-07-31T00:00:00"/>
    <d v="2028-07-31T00:00:00"/>
    <d v="2028-07-31T00:00:00"/>
    <n v="26803.587027067224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CORE"/>
    <m/>
    <n v="35"/>
    <m/>
    <d v="2028-08-31T00:00:00"/>
    <d v="2028-08-31T00:00:00"/>
    <d v="2028-08-31T00:00:00"/>
    <n v="26803.587027067224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CORE"/>
    <m/>
    <n v="36"/>
    <m/>
    <d v="2028-09-30T00:00:00"/>
    <d v="2028-09-30T00:00:00"/>
    <d v="2028-09-30T00:00:00"/>
    <n v="26803.587027067224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CORE"/>
    <m/>
    <n v="37"/>
    <m/>
    <d v="2028-10-31T00:00:00"/>
    <d v="2028-10-31T00:00:00"/>
    <d v="2028-10-31T00:00:00"/>
    <n v="26803.587027067224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CORE"/>
    <m/>
    <n v="38"/>
    <m/>
    <d v="2028-11-30T00:00:00"/>
    <d v="2028-11-30T00:00:00"/>
    <d v="2028-11-30T00:00:00"/>
    <n v="26803.587027067224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CORE"/>
    <m/>
    <n v="39"/>
    <m/>
    <d v="2028-12-31T00:00:00"/>
    <d v="2028-12-31T00:00:00"/>
    <d v="2028-12-31T00:00:00"/>
    <n v="26803.587027067224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CORE"/>
    <m/>
    <n v="40"/>
    <m/>
    <d v="2029-01-31T00:00:00"/>
    <d v="2029-01-31T00:00:00"/>
    <d v="2029-01-31T00:00:00"/>
    <n v="26803.587027067224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CORE"/>
    <m/>
    <n v="41"/>
    <m/>
    <d v="2029-02-28T00:00:00"/>
    <d v="2029-02-28T00:00:00"/>
    <d v="2029-02-28T00:00:00"/>
    <n v="26803.587027067224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CORE"/>
    <m/>
    <n v="42"/>
    <m/>
    <d v="2029-03-31T00:00:00"/>
    <d v="2029-03-31T00:00:00"/>
    <d v="2029-03-31T00:00:00"/>
    <n v="26803.587027067224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CORE"/>
    <m/>
    <n v="43"/>
    <m/>
    <d v="2029-04-30T00:00:00"/>
    <d v="2029-04-30T00:00:00"/>
    <d v="2029-04-30T00:00:00"/>
    <n v="26803.587027067224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CORE"/>
    <m/>
    <n v="44"/>
    <m/>
    <d v="2029-05-31T00:00:00"/>
    <d v="2029-05-31T00:00:00"/>
    <d v="2029-05-31T00:00:00"/>
    <n v="26803.587027067224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CORE"/>
    <m/>
    <n v="45"/>
    <m/>
    <d v="2029-06-30T00:00:00"/>
    <d v="2029-06-30T00:00:00"/>
    <d v="2029-06-30T00:00:00"/>
    <n v="26803.587027067224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CORE"/>
    <m/>
    <n v="46"/>
    <m/>
    <d v="2029-07-31T00:00:00"/>
    <d v="2029-07-31T00:00:00"/>
    <d v="2029-07-31T00:00:00"/>
    <n v="26803.587027067224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CORE"/>
    <m/>
    <n v="47"/>
    <m/>
    <d v="2029-08-31T00:00:00"/>
    <d v="2029-08-31T00:00:00"/>
    <d v="2029-08-31T00:00:00"/>
    <n v="26803.587027067224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CORE"/>
    <m/>
    <n v="48"/>
    <m/>
    <d v="2029-09-30T00:00:00"/>
    <d v="2029-09-30T00:00:00"/>
    <d v="2029-09-30T00:00:00"/>
    <n v="26803.587027067224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CORE"/>
    <m/>
    <n v="49"/>
    <m/>
    <d v="2029-10-31T00:00:00"/>
    <d v="2029-10-31T00:00:00"/>
    <d v="2029-10-31T00:00:00"/>
    <n v="26803.587027067224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CORE"/>
    <m/>
    <n v="50"/>
    <m/>
    <d v="2029-11-30T00:00:00"/>
    <d v="2029-11-30T00:00:00"/>
    <d v="2029-11-30T00:00:00"/>
    <n v="26803.587027067224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CORE"/>
    <m/>
    <n v="51"/>
    <m/>
    <d v="2029-12-31T00:00:00"/>
    <d v="2029-12-31T00:00:00"/>
    <d v="2029-12-31T00:00:00"/>
    <n v="26803.587027067224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CORE"/>
    <m/>
    <n v="52"/>
    <m/>
    <d v="2030-01-31T00:00:00"/>
    <d v="2030-01-31T00:00:00"/>
    <d v="2030-01-31T00:00:00"/>
    <n v="26803.587027067224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CORE"/>
    <m/>
    <n v="53"/>
    <m/>
    <d v="2030-02-28T00:00:00"/>
    <d v="2030-02-28T00:00:00"/>
    <d v="2030-02-28T00:00:00"/>
    <n v="26803.587027067224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CORE"/>
    <m/>
    <n v="54"/>
    <m/>
    <d v="2030-03-31T00:00:00"/>
    <d v="2030-03-31T00:00:00"/>
    <d v="2030-03-31T00:00:00"/>
    <n v="26803.587027067224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CORE"/>
    <m/>
    <n v="55"/>
    <m/>
    <d v="2030-04-30T00:00:00"/>
    <d v="2030-04-30T00:00:00"/>
    <d v="2030-04-30T00:00:00"/>
    <n v="26803.587027067224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CORE"/>
    <m/>
    <n v="56"/>
    <m/>
    <d v="2030-05-31T00:00:00"/>
    <d v="2030-05-31T00:00:00"/>
    <d v="2030-05-31T00:00:00"/>
    <n v="26803.587027067224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CORE"/>
    <m/>
    <n v="57"/>
    <m/>
    <d v="2030-06-30T00:00:00"/>
    <d v="2030-06-30T00:00:00"/>
    <d v="2030-06-30T00:00:00"/>
    <n v="26803.587027067224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CORE"/>
    <m/>
    <n v="58"/>
    <m/>
    <d v="2030-07-31T00:00:00"/>
    <d v="2030-07-31T00:00:00"/>
    <d v="2030-07-31T00:00:00"/>
    <n v="26803.587027067224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CORE"/>
    <m/>
    <n v="59"/>
    <m/>
    <d v="2030-08-31T00:00:00"/>
    <d v="2030-08-31T00:00:00"/>
    <d v="2030-08-31T00:00:00"/>
    <n v="26803.587027067224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CORE"/>
    <m/>
    <n v="60"/>
    <m/>
    <d v="2030-09-30T00:00:00"/>
    <d v="2030-09-30T00:00:00"/>
    <d v="2030-09-30T00:00:00"/>
    <n v="26803.587027067224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CORE"/>
    <m/>
    <n v="61"/>
    <m/>
    <d v="2030-10-31T00:00:00"/>
    <d v="2030-10-31T00:00:00"/>
    <d v="2030-10-31T00:00:00"/>
    <n v="26803.587027067224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CORE"/>
    <m/>
    <n v="62"/>
    <m/>
    <d v="2030-11-30T00:00:00"/>
    <d v="2030-11-30T00:00:00"/>
    <d v="2030-11-30T00:00:00"/>
    <n v="26803.587027067224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CORE"/>
    <m/>
    <n v="63"/>
    <m/>
    <d v="2030-12-31T00:00:00"/>
    <d v="2030-12-31T00:00:00"/>
    <d v="2030-12-31T00:00:00"/>
    <n v="26803.587027067224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CORE"/>
    <m/>
    <n v="64"/>
    <m/>
    <d v="2031-01-31T00:00:00"/>
    <d v="2031-01-31T00:00:00"/>
    <d v="2031-01-31T00:00:00"/>
    <n v="26803.587027067224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CORE"/>
    <m/>
    <n v="65"/>
    <m/>
    <d v="2031-02-28T00:00:00"/>
    <d v="2031-02-28T00:00:00"/>
    <d v="2031-02-28T00:00:00"/>
    <n v="26803.587027067224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CORE"/>
    <m/>
    <n v="66"/>
    <m/>
    <d v="2031-03-31T00:00:00"/>
    <d v="2031-03-31T00:00:00"/>
    <d v="2031-03-31T00:00:00"/>
    <n v="26803.587027067224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CORE"/>
    <m/>
    <n v="67"/>
    <m/>
    <d v="2031-04-30T00:00:00"/>
    <d v="2031-04-30T00:00:00"/>
    <d v="2031-04-30T00:00:00"/>
    <n v="26803.587027067224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CORE"/>
    <m/>
    <n v="68"/>
    <m/>
    <d v="2031-05-31T00:00:00"/>
    <d v="2031-05-31T00:00:00"/>
    <d v="2031-05-31T00:00:00"/>
    <n v="26803.587027067224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CORE"/>
    <m/>
    <n v="69"/>
    <m/>
    <d v="2031-06-30T00:00:00"/>
    <d v="2031-06-30T00:00:00"/>
    <d v="2031-06-30T00:00:00"/>
    <n v="26803.587027067224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CORE"/>
    <m/>
    <n v="70"/>
    <m/>
    <d v="2031-07-31T00:00:00"/>
    <d v="2031-07-31T00:00:00"/>
    <d v="2031-07-31T00:00:00"/>
    <n v="26803.587027067224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CORE"/>
    <m/>
    <n v="71"/>
    <m/>
    <d v="2031-08-31T00:00:00"/>
    <d v="2031-08-31T00:00:00"/>
    <d v="2031-08-31T00:00:00"/>
    <n v="26803.587027067224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CORE"/>
    <m/>
    <n v="72"/>
    <m/>
    <d v="2031-09-30T00:00:00"/>
    <d v="2031-09-30T00:00:00"/>
    <d v="2031-09-30T00:00:00"/>
    <n v="26803.587027067224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CORE"/>
    <m/>
    <n v="73"/>
    <m/>
    <d v="2031-10-31T00:00:00"/>
    <d v="2031-10-31T00:00:00"/>
    <d v="2031-10-31T00:00:00"/>
    <n v="26803.587027067224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CORE"/>
    <m/>
    <n v="74"/>
    <m/>
    <d v="2031-11-30T00:00:00"/>
    <d v="2031-11-30T00:00:00"/>
    <d v="2031-11-30T00:00:00"/>
    <n v="26803.587027067224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CORE"/>
    <m/>
    <n v="75"/>
    <m/>
    <d v="2031-12-31T00:00:00"/>
    <d v="2031-12-31T00:00:00"/>
    <d v="2031-12-31T00:00:00"/>
    <n v="26803.587027067224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CORE"/>
    <m/>
    <n v="76"/>
    <m/>
    <d v="2032-01-31T00:00:00"/>
    <d v="2032-01-31T00:00:00"/>
    <d v="2032-01-31T00:00:00"/>
    <n v="26803.587027067224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CORE"/>
    <m/>
    <n v="77"/>
    <m/>
    <d v="2032-02-29T00:00:00"/>
    <d v="2032-02-29T00:00:00"/>
    <d v="2032-02-29T00:00:00"/>
    <n v="26803.587027067224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CORE"/>
    <m/>
    <n v="78"/>
    <m/>
    <d v="2032-03-31T00:00:00"/>
    <d v="2032-03-31T00:00:00"/>
    <d v="2032-03-31T00:00:00"/>
    <n v="26803.587027067224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CORE"/>
    <m/>
    <n v="79"/>
    <m/>
    <d v="2032-04-30T00:00:00"/>
    <d v="2032-04-30T00:00:00"/>
    <d v="2032-04-30T00:00:00"/>
    <n v="26803.587027067224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CORE"/>
    <m/>
    <n v="80"/>
    <m/>
    <d v="2032-05-31T00:00:00"/>
    <d v="2032-05-31T00:00:00"/>
    <d v="2032-05-31T00:00:00"/>
    <n v="26803.587027067224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CORE"/>
    <m/>
    <n v="81"/>
    <m/>
    <d v="2032-06-30T00:00:00"/>
    <d v="2032-06-30T00:00:00"/>
    <d v="2032-06-30T00:00:00"/>
    <n v="26803.587027067224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CORE"/>
    <m/>
    <n v="82"/>
    <m/>
    <d v="2032-07-31T00:00:00"/>
    <d v="2032-07-31T00:00:00"/>
    <d v="2032-07-31T00:00:00"/>
    <n v="26803.587027067224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CORE"/>
    <m/>
    <n v="83"/>
    <m/>
    <d v="2032-08-31T00:00:00"/>
    <d v="2032-08-31T00:00:00"/>
    <d v="2032-08-31T00:00:00"/>
    <n v="26803.587027067224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CORE"/>
    <m/>
    <n v="84"/>
    <m/>
    <d v="2032-09-30T00:00:00"/>
    <d v="2032-09-30T00:00:00"/>
    <d v="2032-09-30T00:00:00"/>
    <n v="26803.587027067224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CORE"/>
    <m/>
    <n v="85"/>
    <m/>
    <d v="2032-10-31T00:00:00"/>
    <d v="2032-10-31T00:00:00"/>
    <d v="2032-10-31T00:00:00"/>
    <n v="26803.587027067224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CORE"/>
    <m/>
    <n v="86"/>
    <m/>
    <d v="2032-11-30T00:00:00"/>
    <d v="2032-11-30T00:00:00"/>
    <d v="2032-11-30T00:00:00"/>
    <n v="26803.587027067224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CORE"/>
    <m/>
    <n v="87"/>
    <m/>
    <d v="2032-12-31T00:00:00"/>
    <d v="2032-12-31T00:00:00"/>
    <d v="2032-12-31T00:00:00"/>
    <n v="26803.587027067224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CORE"/>
    <m/>
    <n v="88"/>
    <m/>
    <d v="2033-01-31T00:00:00"/>
    <d v="2033-01-31T00:00:00"/>
    <d v="2033-01-31T00:00:00"/>
    <n v="26803.587027067224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CORE"/>
    <m/>
    <n v="89"/>
    <m/>
    <d v="2033-02-28T00:00:00"/>
    <d v="2033-02-28T00:00:00"/>
    <d v="2033-02-28T00:00:00"/>
    <n v="26803.587027067224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CORE"/>
    <m/>
    <n v="90"/>
    <m/>
    <d v="2033-03-31T00:00:00"/>
    <d v="2033-03-31T00:00:00"/>
    <d v="2033-03-31T00:00:00"/>
    <n v="26803.587027067224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CORE"/>
    <m/>
    <n v="91"/>
    <m/>
    <d v="2033-04-30T00:00:00"/>
    <d v="2033-04-30T00:00:00"/>
    <d v="2033-04-30T00:00:00"/>
    <n v="26803.587027067224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CORE"/>
    <m/>
    <n v="92"/>
    <m/>
    <d v="2033-05-31T00:00:00"/>
    <d v="2033-05-31T00:00:00"/>
    <d v="2033-05-31T00:00:00"/>
    <n v="26803.587027067224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CORE"/>
    <m/>
    <n v="93"/>
    <m/>
    <d v="2033-06-30T00:00:00"/>
    <d v="2033-06-30T00:00:00"/>
    <d v="2033-06-30T00:00:00"/>
    <n v="26803.587027067224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CORE"/>
    <m/>
    <n v="94"/>
    <m/>
    <d v="2033-07-31T00:00:00"/>
    <d v="2033-07-31T00:00:00"/>
    <d v="2033-07-31T00:00:00"/>
    <n v="26803.587027067224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CORE"/>
    <m/>
    <n v="95"/>
    <m/>
    <d v="2033-08-31T00:00:00"/>
    <d v="2033-08-31T00:00:00"/>
    <d v="2033-08-31T00:00:00"/>
    <n v="26803.587027067224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CORE"/>
    <m/>
    <n v="96"/>
    <m/>
    <d v="2033-09-30T00:00:00"/>
    <d v="2033-09-30T00:00:00"/>
    <d v="2033-09-30T00:00:00"/>
    <n v="26803.587027067224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CORE"/>
    <m/>
    <n v="97"/>
    <m/>
    <d v="2033-10-31T00:00:00"/>
    <d v="2033-10-31T00:00:00"/>
    <d v="2033-10-31T00:00:00"/>
    <n v="26803.587027067224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CORE"/>
    <m/>
    <n v="98"/>
    <m/>
    <d v="2033-11-30T00:00:00"/>
    <d v="2033-11-30T00:00:00"/>
    <d v="2033-11-30T00:00:00"/>
    <n v="26803.587027067224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CORE"/>
    <m/>
    <n v="99"/>
    <m/>
    <d v="2033-12-31T00:00:00"/>
    <d v="2033-12-31T00:00:00"/>
    <d v="2033-12-31T00:00:00"/>
    <n v="26803.587027067224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CORE"/>
    <m/>
    <n v="100"/>
    <m/>
    <d v="2034-01-31T00:00:00"/>
    <d v="2034-01-31T00:00:00"/>
    <d v="2034-01-31T00:00:00"/>
    <n v="26803.587027067224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CORE"/>
    <m/>
    <n v="101"/>
    <m/>
    <d v="2034-02-28T00:00:00"/>
    <d v="2034-02-28T00:00:00"/>
    <d v="2034-02-28T00:00:00"/>
    <n v="26803.587027067224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CORE"/>
    <m/>
    <n v="102"/>
    <m/>
    <d v="2034-03-31T00:00:00"/>
    <d v="2034-03-31T00:00:00"/>
    <d v="2034-03-31T00:00:00"/>
    <n v="26803.587027067224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CORE"/>
    <m/>
    <n v="103"/>
    <m/>
    <d v="2034-04-30T00:00:00"/>
    <d v="2034-04-30T00:00:00"/>
    <d v="2034-04-30T00:00:00"/>
    <n v="26803.587027067224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CORE"/>
    <m/>
    <n v="104"/>
    <m/>
    <d v="2034-05-31T00:00:00"/>
    <d v="2034-05-31T00:00:00"/>
    <d v="2034-05-31T00:00:00"/>
    <n v="26803.587027067224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CORE"/>
    <m/>
    <n v="105"/>
    <m/>
    <d v="2034-06-30T00:00:00"/>
    <d v="2034-06-30T00:00:00"/>
    <d v="2034-06-30T00:00:00"/>
    <n v="26803.587027067224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CORE"/>
    <m/>
    <n v="106"/>
    <m/>
    <d v="2034-07-31T00:00:00"/>
    <d v="2034-07-31T00:00:00"/>
    <d v="2034-07-31T00:00:00"/>
    <n v="26803.587027067224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CORE"/>
    <m/>
    <n v="107"/>
    <m/>
    <d v="2034-08-31T00:00:00"/>
    <d v="2034-08-31T00:00:00"/>
    <d v="2034-08-31T00:00:00"/>
    <n v="26803.587027067224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CORE"/>
    <m/>
    <n v="108"/>
    <m/>
    <d v="2034-09-30T00:00:00"/>
    <d v="2034-09-30T00:00:00"/>
    <d v="2034-09-30T00:00:00"/>
    <n v="26803.587027067224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CORE"/>
    <m/>
    <n v="109"/>
    <m/>
    <d v="2034-10-31T00:00:00"/>
    <d v="2034-10-31T00:00:00"/>
    <d v="2034-10-31T00:00:00"/>
    <n v="26803.587027067224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CORE"/>
    <m/>
    <n v="110"/>
    <m/>
    <d v="2034-11-30T00:00:00"/>
    <d v="2034-11-30T00:00:00"/>
    <d v="2034-11-30T00:00:00"/>
    <n v="26803.587027067224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CORE"/>
    <m/>
    <n v="111"/>
    <m/>
    <d v="2034-12-31T00:00:00"/>
    <d v="2034-12-31T00:00:00"/>
    <d v="2034-12-31T00:00:00"/>
    <n v="26803.587027067224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CORE"/>
    <m/>
    <n v="112"/>
    <m/>
    <d v="2035-01-31T00:00:00"/>
    <d v="2035-01-31T00:00:00"/>
    <d v="2035-01-31T00:00:00"/>
    <n v="26803.587027067224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CORE"/>
    <m/>
    <n v="113"/>
    <m/>
    <d v="2035-02-28T00:00:00"/>
    <d v="2035-02-28T00:00:00"/>
    <d v="2035-02-28T00:00:00"/>
    <n v="26803.587027067224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CORE"/>
    <m/>
    <n v="114"/>
    <m/>
    <d v="2035-03-31T00:00:00"/>
    <d v="2035-03-31T00:00:00"/>
    <d v="2035-03-31T00:00:00"/>
    <n v="26803.587027067224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CORE"/>
    <m/>
    <n v="115"/>
    <m/>
    <d v="2035-04-30T00:00:00"/>
    <d v="2035-04-30T00:00:00"/>
    <d v="2035-04-30T00:00:00"/>
    <n v="26803.587027067224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CORE"/>
    <m/>
    <n v="116"/>
    <m/>
    <d v="2035-05-31T00:00:00"/>
    <d v="2035-05-31T00:00:00"/>
    <d v="2035-05-31T00:00:00"/>
    <n v="26803.587027067224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CORE"/>
    <m/>
    <n v="117"/>
    <m/>
    <d v="2035-06-30T00:00:00"/>
    <d v="2035-06-30T00:00:00"/>
    <d v="2035-06-30T00:00:00"/>
    <n v="26803.587027067224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CORE"/>
    <m/>
    <n v="118"/>
    <m/>
    <d v="2035-07-31T00:00:00"/>
    <d v="2035-07-31T00:00:00"/>
    <d v="2035-07-31T00:00:00"/>
    <n v="26803.587027067224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CORE"/>
    <m/>
    <n v="119"/>
    <m/>
    <d v="2035-08-31T00:00:00"/>
    <d v="2035-08-31T00:00:00"/>
    <d v="2035-08-31T00:00:00"/>
    <n v="26803.587027067224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CORE"/>
    <m/>
    <n v="120"/>
    <m/>
    <d v="2035-09-30T00:00:00"/>
    <d v="2035-09-30T00:00:00"/>
    <d v="2035-09-30T00:00:00"/>
    <n v="26803.587027067224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CORE"/>
    <m/>
    <n v="121"/>
    <m/>
    <d v="2035-10-31T00:00:00"/>
    <d v="2035-10-31T00:00:00"/>
    <d v="2035-10-31T00:00:00"/>
    <n v="26803.587027067224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CORE"/>
    <m/>
    <n v="122"/>
    <m/>
    <d v="2035-11-30T00:00:00"/>
    <d v="2035-11-30T00:00:00"/>
    <d v="2035-11-30T00:00:00"/>
    <n v="26803.587027067224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CORE"/>
    <m/>
    <n v="123"/>
    <m/>
    <d v="2035-12-31T00:00:00"/>
    <d v="2035-12-31T00:00:00"/>
    <d v="2035-12-31T00:00:00"/>
    <n v="26803.587027067224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CORE"/>
    <m/>
    <n v="124"/>
    <m/>
    <d v="2036-01-31T00:00:00"/>
    <d v="2036-01-31T00:00:00"/>
    <d v="2036-01-31T00:00:00"/>
    <n v="26803.587027067224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CORE"/>
    <m/>
    <n v="125"/>
    <m/>
    <d v="2036-02-29T00:00:00"/>
    <d v="2036-02-29T00:00:00"/>
    <d v="2036-02-29T00:00:00"/>
    <n v="26803.587027067224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CORE"/>
    <m/>
    <n v="126"/>
    <m/>
    <d v="2036-03-31T00:00:00"/>
    <d v="2036-03-31T00:00:00"/>
    <d v="2036-03-31T00:00:00"/>
    <n v="26803.587027067224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CORE"/>
    <m/>
    <n v="127"/>
    <m/>
    <d v="2036-04-30T00:00:00"/>
    <d v="2036-04-30T00:00:00"/>
    <d v="2036-04-30T00:00:00"/>
    <n v="2193.1339020672222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CORE"/>
    <m/>
    <n v="128"/>
    <m/>
    <d v="2036-05-31T00:00:00"/>
    <d v="2036-05-31T00:00:00"/>
    <d v="2036-05-31T00:00:00"/>
    <n v="2193.1339020672222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CORE"/>
    <m/>
    <n v="129"/>
    <m/>
    <d v="2036-06-30T00:00:00"/>
    <d v="2036-06-30T00:00:00"/>
    <d v="2036-06-30T00:00:00"/>
    <n v="2193.1339020672222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CORE"/>
    <m/>
    <n v="130"/>
    <m/>
    <d v="2036-07-31T00:00:00"/>
    <d v="2036-07-31T00:00:00"/>
    <d v="2036-07-31T00:00:00"/>
    <n v="2193.1339020672222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CORE"/>
    <m/>
    <n v="131"/>
    <m/>
    <d v="2036-08-31T00:00:00"/>
    <d v="2036-08-31T00:00:00"/>
    <d v="2036-08-31T00:00:00"/>
    <n v="2193.1339020672222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CORE"/>
    <m/>
    <n v="132"/>
    <m/>
    <d v="2036-09-30T00:00:00"/>
    <d v="2036-09-30T00:00:00"/>
    <d v="2036-09-30T00:00:00"/>
    <n v="2193.1339020672222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CORE"/>
    <m/>
    <n v="133"/>
    <m/>
    <d v="2036-10-31T00:00:00"/>
    <d v="2036-10-31T00:00:00"/>
    <d v="2036-10-31T00:00:00"/>
    <n v="2193.1339020672222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CORE"/>
    <m/>
    <n v="134"/>
    <m/>
    <d v="2036-11-30T00:00:00"/>
    <d v="2036-11-30T00:00:00"/>
    <d v="2036-11-30T00:00:00"/>
    <n v="2193.1339020672222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CORE"/>
    <m/>
    <n v="135"/>
    <m/>
    <d v="2036-12-31T00:00:00"/>
    <d v="2036-12-31T00:00:00"/>
    <d v="2036-12-31T00:00:00"/>
    <n v="2193.1339020672222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CORE"/>
    <m/>
    <n v="136"/>
    <m/>
    <d v="2037-01-31T00:00:00"/>
    <d v="2037-01-31T00:00:00"/>
    <d v="2037-01-31T00:00:00"/>
    <n v="2193.1339020672222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CORE"/>
    <m/>
    <n v="137"/>
    <m/>
    <d v="2037-02-28T00:00:00"/>
    <d v="2037-02-28T00:00:00"/>
    <d v="2037-02-28T00:00:00"/>
    <n v="2193.1339020672222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CORE"/>
    <m/>
    <n v="138"/>
    <m/>
    <d v="2037-03-31T00:00:00"/>
    <d v="2037-03-31T00:00:00"/>
    <d v="2037-03-31T00:00:00"/>
    <n v="2193.1339020672222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CORE"/>
    <m/>
    <n v="139"/>
    <m/>
    <d v="2037-04-30T00:00:00"/>
    <d v="2037-04-30T00:00:00"/>
    <d v="2037-04-30T00:00:00"/>
    <n v="2193.1339020672222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CORE"/>
    <m/>
    <n v="140"/>
    <m/>
    <d v="2037-05-31T00:00:00"/>
    <d v="2037-05-31T00:00:00"/>
    <d v="2037-05-31T00:00:00"/>
    <n v="2193.1339020672222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CORE"/>
    <m/>
    <n v="141"/>
    <m/>
    <d v="2037-06-30T00:00:00"/>
    <d v="2037-06-30T00:00:00"/>
    <d v="2037-06-30T00:00:00"/>
    <n v="2193.1339020672222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CORE"/>
    <m/>
    <n v="142"/>
    <m/>
    <d v="2037-07-31T00:00:00"/>
    <d v="2037-07-31T00:00:00"/>
    <d v="2037-07-31T00:00:00"/>
    <n v="2193.1339020672222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CORE"/>
    <m/>
    <n v="143"/>
    <m/>
    <d v="2037-08-31T00:00:00"/>
    <d v="2037-08-31T00:00:00"/>
    <d v="2037-08-31T00:00:00"/>
    <n v="2193.1339020672222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CORE"/>
    <m/>
    <n v="144"/>
    <m/>
    <d v="2037-09-30T00:00:00"/>
    <d v="2037-09-30T00:00:00"/>
    <d v="2037-09-30T00:00:00"/>
    <n v="2193.1339020672222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CORE"/>
    <m/>
    <n v="145"/>
    <m/>
    <d v="2037-10-31T00:00:00"/>
    <d v="2037-10-31T00:00:00"/>
    <d v="2037-10-31T00:00:00"/>
    <n v="2193.1339020672222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CORE"/>
    <m/>
    <n v="146"/>
    <m/>
    <d v="2037-11-30T00:00:00"/>
    <d v="2037-11-30T00:00:00"/>
    <d v="2037-11-30T00:00:00"/>
    <n v="2193.1339020672222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CORE"/>
    <m/>
    <n v="147"/>
    <m/>
    <d v="2037-12-31T00:00:00"/>
    <d v="2037-12-31T00:00:00"/>
    <d v="2037-12-31T00:00:00"/>
    <n v="2193.1339020672222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CORE"/>
    <m/>
    <n v="148"/>
    <m/>
    <d v="2038-01-31T00:00:00"/>
    <d v="2038-01-31T00:00:00"/>
    <d v="2038-01-31T00:00:00"/>
    <n v="2193.1339020672222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CORE"/>
    <m/>
    <n v="149"/>
    <m/>
    <d v="2038-02-28T00:00:00"/>
    <d v="2038-02-28T00:00:00"/>
    <d v="2038-02-28T00:00:00"/>
    <n v="2193.1339020672222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CORE"/>
    <m/>
    <n v="150"/>
    <m/>
    <d v="2038-03-31T00:00:00"/>
    <d v="2038-03-31T00:00:00"/>
    <d v="2038-03-31T00:00:00"/>
    <n v="2193.1339020672222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CORE"/>
    <m/>
    <n v="151"/>
    <m/>
    <d v="2038-04-30T00:00:00"/>
    <d v="2038-04-30T00:00:00"/>
    <d v="2038-04-30T00:00:00"/>
    <n v="2193.1339020672222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CORE"/>
    <m/>
    <n v="152"/>
    <m/>
    <d v="2038-05-31T00:00:00"/>
    <d v="2038-05-31T00:00:00"/>
    <d v="2038-05-31T00:00:00"/>
    <n v="2193.1339020672222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CORE"/>
    <m/>
    <n v="153"/>
    <m/>
    <d v="2038-06-30T00:00:00"/>
    <d v="2038-06-30T00:00:00"/>
    <d v="2038-06-30T00:00:00"/>
    <n v="2193.1339020672222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CORE"/>
    <m/>
    <n v="154"/>
    <m/>
    <d v="2038-07-31T00:00:00"/>
    <d v="2038-07-31T00:00:00"/>
    <d v="2038-07-31T00:00:00"/>
    <n v="2193.1339020672222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CORE"/>
    <m/>
    <n v="155"/>
    <m/>
    <d v="2038-08-31T00:00:00"/>
    <d v="2038-08-31T00:00:00"/>
    <d v="2038-08-31T00:00:00"/>
    <n v="2193.1339020672222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CORE"/>
    <m/>
    <n v="156"/>
    <m/>
    <d v="2038-09-30T00:00:00"/>
    <d v="2038-09-30T00:00:00"/>
    <d v="2038-09-30T00:00:00"/>
    <n v="2193.1339020672222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CORE"/>
    <m/>
    <n v="157"/>
    <m/>
    <d v="2038-10-31T00:00:00"/>
    <d v="2038-10-31T00:00:00"/>
    <d v="2038-10-31T00:00:00"/>
    <n v="2193.1339020672222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CORE"/>
    <m/>
    <n v="158"/>
    <m/>
    <d v="2038-11-30T00:00:00"/>
    <d v="2038-11-30T00:00:00"/>
    <d v="2038-11-30T00:00:00"/>
    <n v="2193.1339020672222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CORE"/>
    <m/>
    <n v="159"/>
    <m/>
    <d v="2038-12-31T00:00:00"/>
    <d v="2038-12-31T00:00:00"/>
    <d v="2038-12-31T00:00:00"/>
    <n v="2193.1339020672222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CORE"/>
    <m/>
    <n v="160"/>
    <m/>
    <d v="2039-01-31T00:00:00"/>
    <d v="2039-01-31T00:00:00"/>
    <d v="2039-01-31T00:00:00"/>
    <n v="2193.1339020672222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CORE"/>
    <m/>
    <n v="161"/>
    <m/>
    <d v="2039-02-28T00:00:00"/>
    <d v="2039-02-28T00:00:00"/>
    <d v="2039-02-28T00:00:00"/>
    <n v="2193.1339020672222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CORE"/>
    <m/>
    <n v="162"/>
    <m/>
    <d v="2039-03-31T00:00:00"/>
    <d v="2039-03-31T00:00:00"/>
    <d v="2039-03-31T00:00:00"/>
    <n v="2193.1339020672222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CORE"/>
    <m/>
    <n v="163"/>
    <m/>
    <d v="2039-04-30T00:00:00"/>
    <d v="2039-04-30T00:00:00"/>
    <d v="2039-04-30T00:00:00"/>
    <n v="2193.1339020672222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CORE"/>
    <m/>
    <n v="164"/>
    <m/>
    <d v="2039-05-31T00:00:00"/>
    <d v="2039-05-31T00:00:00"/>
    <d v="2039-05-31T00:00:00"/>
    <n v="2193.1339020672222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CORE"/>
    <m/>
    <n v="165"/>
    <m/>
    <d v="2039-06-30T00:00:00"/>
    <d v="2039-06-30T00:00:00"/>
    <d v="2039-06-30T00:00:00"/>
    <n v="2193.1339020672222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CORE"/>
    <m/>
    <n v="166"/>
    <m/>
    <d v="2039-07-31T00:00:00"/>
    <d v="2039-07-31T00:00:00"/>
    <d v="2039-07-31T00:00:00"/>
    <n v="2193.1339020672222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CORE"/>
    <m/>
    <n v="167"/>
    <m/>
    <d v="2039-08-31T00:00:00"/>
    <d v="2039-08-31T00:00:00"/>
    <d v="2039-08-31T00:00:00"/>
    <n v="2193.1339020672222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CORE"/>
    <m/>
    <n v="168"/>
    <m/>
    <d v="2039-09-30T00:00:00"/>
    <d v="2039-09-30T00:00:00"/>
    <d v="2039-09-30T00:00:00"/>
    <n v="2193.1339020672222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CORE"/>
    <m/>
    <n v="169"/>
    <m/>
    <d v="2039-10-31T00:00:00"/>
    <d v="2039-10-31T00:00:00"/>
    <d v="2039-10-31T00:00:00"/>
    <n v="2193.1339020672222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CORE"/>
    <m/>
    <n v="170"/>
    <m/>
    <d v="2039-11-30T00:00:00"/>
    <d v="2039-11-30T00:00:00"/>
    <d v="2039-11-30T00:00:00"/>
    <n v="2193.1339020672222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CORE"/>
    <m/>
    <n v="171"/>
    <m/>
    <d v="2039-12-31T00:00:00"/>
    <d v="2039-12-31T00:00:00"/>
    <d v="2039-12-31T00:00:00"/>
    <n v="2193.1339020672222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CORE"/>
    <m/>
    <n v="172"/>
    <m/>
    <d v="2040-01-31T00:00:00"/>
    <d v="2040-01-31T00:00:00"/>
    <d v="2040-01-31T00:00:00"/>
    <n v="2193.1339020672222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CORE"/>
    <m/>
    <n v="173"/>
    <m/>
    <d v="2040-02-29T00:00:00"/>
    <d v="2040-02-29T00:00:00"/>
    <d v="2040-02-29T00:00:00"/>
    <n v="2193.1339020672222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CORE"/>
    <m/>
    <n v="174"/>
    <m/>
    <d v="2040-03-31T00:00:00"/>
    <d v="2040-03-31T00:00:00"/>
    <d v="2040-03-31T00:00:00"/>
    <n v="2193.1339020672222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CORE"/>
    <m/>
    <n v="175"/>
    <m/>
    <d v="2040-04-30T00:00:00"/>
    <d v="2040-04-30T00:00:00"/>
    <d v="2040-04-30T00:00:00"/>
    <n v="2193.1339020672222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CORE"/>
    <m/>
    <n v="176"/>
    <m/>
    <d v="2040-05-31T00:00:00"/>
    <d v="2040-05-31T00:00:00"/>
    <d v="2040-05-31T00:00:00"/>
    <n v="2193.1339020672222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CORE"/>
    <m/>
    <n v="177"/>
    <m/>
    <d v="2040-06-30T00:00:00"/>
    <d v="2040-06-30T00:00:00"/>
    <d v="2040-06-30T00:00:00"/>
    <n v="2193.1339020672222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CORE"/>
    <m/>
    <n v="178"/>
    <m/>
    <d v="2040-07-31T00:00:00"/>
    <d v="2040-07-31T00:00:00"/>
    <d v="2040-07-31T00:00:00"/>
    <n v="2193.1339020672222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CORE"/>
    <m/>
    <n v="179"/>
    <m/>
    <d v="2040-08-31T00:00:00"/>
    <d v="2040-08-31T00:00:00"/>
    <d v="2040-08-31T00:00:00"/>
    <n v="2193.1339020672222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CORE"/>
    <m/>
    <n v="180"/>
    <m/>
    <d v="2040-09-30T00:00:00"/>
    <d v="2040-09-30T00:00:00"/>
    <d v="2040-09-30T00:00:00"/>
    <n v="2193.1339020672222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CORE"/>
    <m/>
    <n v="181"/>
    <m/>
    <d v="2040-10-31T00:00:00"/>
    <d v="2040-10-31T00:00:00"/>
    <d v="2040-10-31T00:00:00"/>
    <n v="2193.1339020672222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CORE"/>
    <m/>
    <n v="182"/>
    <m/>
    <d v="2040-11-30T00:00:00"/>
    <d v="2040-11-30T00:00:00"/>
    <d v="2040-11-30T00:00:00"/>
    <n v="2193.1339020672222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CORE"/>
    <m/>
    <n v="183"/>
    <m/>
    <d v="2040-12-31T00:00:00"/>
    <d v="2040-12-31T00:00:00"/>
    <d v="2040-12-31T00:00:00"/>
    <n v="2193.1339020672222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CORE"/>
    <m/>
    <n v="184"/>
    <m/>
    <d v="2041-01-31T00:00:00"/>
    <d v="2041-01-31T00:00:00"/>
    <d v="2041-01-31T00:00:00"/>
    <n v="2193.1339020672222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CORE"/>
    <m/>
    <n v="185"/>
    <m/>
    <d v="2041-02-28T00:00:00"/>
    <d v="2041-02-28T00:00:00"/>
    <d v="2041-02-28T00:00:00"/>
    <n v="2193.1339020672222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CORE"/>
    <m/>
    <n v="186"/>
    <m/>
    <d v="2041-03-31T00:00:00"/>
    <d v="2041-03-31T00:00:00"/>
    <d v="2041-03-31T00:00:00"/>
    <n v="2193.1339020672222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CORE"/>
    <m/>
    <n v="187"/>
    <m/>
    <d v="2041-04-30T00:00:00"/>
    <d v="2041-04-30T00:00:00"/>
    <d v="2041-04-30T00:00:00"/>
    <n v="2193.1339020672222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CORE"/>
    <m/>
    <n v="188"/>
    <m/>
    <d v="2041-05-31T00:00:00"/>
    <d v="2041-05-31T00:00:00"/>
    <d v="2041-05-31T00:00:00"/>
    <n v="2193.1339020672222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CORE"/>
    <m/>
    <n v="189"/>
    <m/>
    <d v="2041-06-30T00:00:00"/>
    <d v="2041-06-30T00:00:00"/>
    <d v="2041-06-30T00:00:00"/>
    <n v="2193.1339020672222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CORE"/>
    <m/>
    <n v="190"/>
    <m/>
    <d v="2041-07-31T00:00:00"/>
    <d v="2041-07-31T00:00:00"/>
    <d v="2041-07-31T00:00:00"/>
    <n v="2193.1339020672222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CORE"/>
    <m/>
    <n v="191"/>
    <m/>
    <d v="2041-08-31T00:00:00"/>
    <d v="2041-08-31T00:00:00"/>
    <d v="2041-08-31T00:00:00"/>
    <n v="2193.1339020672222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CORE"/>
    <m/>
    <n v="192"/>
    <m/>
    <d v="2041-09-30T00:00:00"/>
    <d v="2041-09-30T00:00:00"/>
    <d v="2041-09-30T00:00:00"/>
    <n v="2193.1339020672222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CORE"/>
    <m/>
    <n v="193"/>
    <m/>
    <d v="2041-10-31T00:00:00"/>
    <d v="2041-10-31T00:00:00"/>
    <d v="2041-10-31T00:00:00"/>
    <n v="2193.1339020672222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CORE"/>
    <m/>
    <n v="194"/>
    <m/>
    <d v="2041-11-30T00:00:00"/>
    <d v="2041-11-30T00:00:00"/>
    <d v="2041-11-30T00:00:00"/>
    <n v="2193.1339020672222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CORE"/>
    <m/>
    <n v="195"/>
    <m/>
    <d v="2041-12-31T00:00:00"/>
    <d v="2041-12-31T00:00:00"/>
    <d v="2041-12-31T00:00:00"/>
    <n v="2193.1339020672222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CORE"/>
    <m/>
    <n v="196"/>
    <m/>
    <d v="2042-01-31T00:00:00"/>
    <d v="2042-01-31T00:00:00"/>
    <d v="2042-01-31T00:00:00"/>
    <n v="2193.1339020672222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CORE"/>
    <m/>
    <n v="197"/>
    <m/>
    <d v="2042-02-28T00:00:00"/>
    <d v="2042-02-28T00:00:00"/>
    <d v="2042-02-28T00:00:00"/>
    <n v="2193.1339020672222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CORE"/>
    <m/>
    <n v="198"/>
    <m/>
    <d v="2042-03-31T00:00:00"/>
    <d v="2042-03-31T00:00:00"/>
    <d v="2042-03-31T00:00:00"/>
    <n v="2193.1339020672222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CORE"/>
    <m/>
    <n v="199"/>
    <m/>
    <d v="2042-04-30T00:00:00"/>
    <d v="2042-04-30T00:00:00"/>
    <d v="2042-04-30T00:00:00"/>
    <n v="2193.1339020672222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CORE"/>
    <m/>
    <n v="200"/>
    <m/>
    <d v="2042-05-31T00:00:00"/>
    <d v="2042-05-31T00:00:00"/>
    <d v="2042-05-31T00:00:00"/>
    <n v="2193.1339020672222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CORE"/>
    <m/>
    <n v="201"/>
    <m/>
    <d v="2042-06-30T00:00:00"/>
    <d v="2042-06-30T00:00:00"/>
    <d v="2042-06-30T00:00:00"/>
    <n v="2193.1339020672222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CORE"/>
    <m/>
    <n v="202"/>
    <m/>
    <d v="2042-07-31T00:00:00"/>
    <d v="2042-07-31T00:00:00"/>
    <d v="2042-07-31T00:00:00"/>
    <n v="2193.1339020672222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CORE"/>
    <m/>
    <n v="203"/>
    <m/>
    <d v="2042-08-31T00:00:00"/>
    <d v="2042-08-31T00:00:00"/>
    <d v="2042-08-31T00:00:00"/>
    <n v="2193.1339020672222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CORE"/>
    <m/>
    <n v="204"/>
    <m/>
    <d v="2042-09-30T00:00:00"/>
    <d v="2042-09-30T00:00:00"/>
    <d v="2042-09-30T00:00:00"/>
    <n v="2193.1339020672222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CORE"/>
    <m/>
    <n v="205"/>
    <m/>
    <d v="2042-10-31T00:00:00"/>
    <d v="2042-10-31T00:00:00"/>
    <d v="2042-10-31T00:00:00"/>
    <n v="1123.5902282867341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CORE"/>
    <m/>
    <n v="206"/>
    <m/>
    <d v="2042-11-30T00:00:00"/>
    <d v="2042-11-30T00:00:00"/>
    <d v="2042-11-30T00:00:00"/>
    <n v="0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CORE"/>
    <m/>
    <n v="207"/>
    <m/>
    <d v="2042-12-31T00:00:00"/>
    <d v="2042-12-31T00:00:00"/>
    <d v="2042-12-31T00:00:00"/>
    <n v="0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CORE"/>
    <m/>
    <n v="208"/>
    <m/>
    <d v="2043-01-31T00:00:00"/>
    <d v="2043-01-31T00:00:00"/>
    <d v="2043-01-31T00:00:00"/>
    <n v="0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CORE"/>
    <m/>
    <n v="209"/>
    <m/>
    <d v="2043-02-28T00:00:00"/>
    <d v="2043-02-28T00:00:00"/>
    <d v="2043-02-28T00:00:00"/>
    <n v="0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CORE"/>
    <m/>
    <n v="210"/>
    <m/>
    <d v="2043-03-31T00:00:00"/>
    <d v="2043-03-31T00:00:00"/>
    <d v="2043-03-31T00:00:00"/>
    <n v="0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CORE"/>
    <m/>
    <n v="211"/>
    <m/>
    <d v="2043-04-30T00:00:00"/>
    <d v="2043-04-30T00:00:00"/>
    <d v="2043-04-30T00:00:00"/>
    <n v="0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CORE"/>
    <m/>
    <n v="212"/>
    <m/>
    <d v="2043-05-31T00:00:00"/>
    <d v="2043-05-31T00:00:00"/>
    <d v="2043-05-31T00:00:00"/>
    <n v="0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SOFT"/>
    <m/>
    <n v="213"/>
    <m/>
    <d v="2043-06-30T00:00:00"/>
    <d v="2043-06-30T00:00:00"/>
    <d v="2043-06-30T00:00:00"/>
    <n v="0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SOFT"/>
    <m/>
    <n v="214"/>
    <m/>
    <d v="2043-07-31T00:00:00"/>
    <d v="2043-07-31T00:00:00"/>
    <d v="2043-07-31T00:00:00"/>
    <n v="0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SOFT"/>
    <m/>
    <n v="215"/>
    <m/>
    <d v="2043-08-31T00:00:00"/>
    <d v="2043-08-31T00:00:00"/>
    <d v="2043-08-31T00:00:00"/>
    <n v="0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SOFT"/>
    <m/>
    <n v="216"/>
    <m/>
    <d v="2043-09-30T00:00:00"/>
    <d v="2043-09-30T00:00:00"/>
    <d v="2043-09-30T00:00:00"/>
    <n v="0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SOFT"/>
    <m/>
    <n v="217"/>
    <m/>
    <d v="2043-10-31T00:00:00"/>
    <d v="2043-10-31T00:00:00"/>
    <d v="2043-10-31T00:00:00"/>
    <n v="0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SOFT"/>
    <m/>
    <n v="218"/>
    <m/>
    <d v="2043-11-30T00:00:00"/>
    <d v="2043-11-30T00:00:00"/>
    <d v="2043-11-30T00:00:00"/>
    <n v="0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SOFT"/>
    <m/>
    <n v="219"/>
    <m/>
    <d v="2043-12-31T00:00:00"/>
    <d v="2043-12-31T00:00:00"/>
    <d v="2043-12-31T00:00:00"/>
    <n v="0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SOFT"/>
    <m/>
    <n v="220"/>
    <m/>
    <d v="2044-01-31T00:00:00"/>
    <d v="2044-01-31T00:00:00"/>
    <d v="2044-01-31T00:00:00"/>
    <n v="0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SOFT"/>
    <m/>
    <n v="221"/>
    <m/>
    <d v="2044-02-29T00:00:00"/>
    <d v="2044-02-29T00:00:00"/>
    <d v="2044-02-29T00:00:00"/>
    <n v="0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SOFT"/>
    <m/>
    <n v="222"/>
    <m/>
    <d v="2044-03-31T00:00:00"/>
    <d v="2044-03-31T00:00:00"/>
    <d v="2044-03-31T00:00:00"/>
    <n v="0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SOFT"/>
    <m/>
    <n v="223"/>
    <m/>
    <d v="2044-04-30T00:00:00"/>
    <d v="2044-04-30T00:00:00"/>
    <d v="2044-04-30T00:00:00"/>
    <n v="0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SOFT"/>
    <m/>
    <n v="224"/>
    <m/>
    <d v="2044-05-31T00:00:00"/>
    <d v="2044-05-31T00:00:00"/>
    <d v="2044-05-31T00:00:00"/>
    <n v="0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SOFT"/>
    <m/>
    <n v="225"/>
    <m/>
    <d v="2044-06-30T00:00:00"/>
    <d v="2044-06-30T00:00:00"/>
    <d v="2044-06-30T00:00:00"/>
    <n v="0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SOFT"/>
    <m/>
    <n v="226"/>
    <m/>
    <d v="2044-07-31T00:00:00"/>
    <d v="2044-07-31T00:00:00"/>
    <d v="2044-07-31T00:00:00"/>
    <n v="0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SOFT"/>
    <m/>
    <n v="227"/>
    <m/>
    <d v="2044-08-31T00:00:00"/>
    <d v="2044-08-31T00:00:00"/>
    <d v="2044-08-31T00:00:00"/>
    <n v="0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SOFT"/>
    <m/>
    <n v="228"/>
    <m/>
    <d v="2044-09-30T00:00:00"/>
    <d v="2044-09-30T00:00:00"/>
    <d v="2044-09-30T00:00:00"/>
    <n v="0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SOFT"/>
    <m/>
    <n v="229"/>
    <m/>
    <d v="2044-10-31T00:00:00"/>
    <d v="2044-10-31T00:00:00"/>
    <d v="2044-10-31T00:00:00"/>
    <n v="0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SOFT"/>
    <m/>
    <n v="230"/>
    <m/>
    <d v="2044-11-30T00:00:00"/>
    <d v="2044-11-30T00:00:00"/>
    <d v="2044-11-30T00:00:00"/>
    <n v="0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SOFT"/>
    <m/>
    <n v="231"/>
    <m/>
    <d v="2044-12-31T00:00:00"/>
    <d v="2044-12-31T00:00:00"/>
    <d v="2044-12-31T00:00:00"/>
    <n v="0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SOFT"/>
    <m/>
    <n v="232"/>
    <m/>
    <d v="2045-01-31T00:00:00"/>
    <d v="2045-01-31T00:00:00"/>
    <d v="2045-01-31T00:00:00"/>
    <n v="0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SOFT"/>
    <m/>
    <n v="233"/>
    <m/>
    <d v="2045-02-28T00:00:00"/>
    <d v="2045-02-28T00:00:00"/>
    <d v="2045-02-28T00:00:00"/>
    <n v="0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SOFT"/>
    <m/>
    <n v="234"/>
    <m/>
    <d v="2045-03-31T00:00:00"/>
    <d v="2045-03-31T00:00:00"/>
    <d v="2045-03-31T00:00:00"/>
    <n v="0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SOFT"/>
    <m/>
    <n v="235"/>
    <m/>
    <d v="2045-04-30T00:00:00"/>
    <d v="2045-04-30T00:00:00"/>
    <d v="2045-04-30T00:00:00"/>
    <n v="0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SOFT"/>
    <m/>
    <n v="236"/>
    <m/>
    <d v="2045-05-31T00:00:00"/>
    <d v="2045-05-31T00:00:00"/>
    <d v="2045-05-31T00:00:00"/>
    <n v="0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SOFT"/>
    <m/>
    <n v="237"/>
    <m/>
    <d v="2045-06-30T00:00:00"/>
    <d v="2045-06-30T00:00:00"/>
    <d v="2045-06-30T00:00:00"/>
    <n v="0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SOFT"/>
    <m/>
    <n v="238"/>
    <m/>
    <d v="2045-07-31T00:00:00"/>
    <d v="2045-07-31T00:00:00"/>
    <d v="2045-07-31T00:00:00"/>
    <n v="0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SOFT"/>
    <m/>
    <n v="239"/>
    <m/>
    <d v="2045-08-31T00:00:00"/>
    <d v="2045-08-31T00:00:00"/>
    <d v="2045-08-31T00:00:00"/>
    <n v="0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SOFT"/>
    <m/>
    <n v="240"/>
    <m/>
    <d v="2045-09-30T00:00:00"/>
    <d v="2045-09-30T00:00:00"/>
    <d v="2045-09-30T00:00:00"/>
    <n v="0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SOFT"/>
    <m/>
    <n v="241"/>
    <m/>
    <d v="2045-10-31T00:00:00"/>
    <d v="2045-10-31T00:00:00"/>
    <d v="2045-10-31T00:00:00"/>
    <n v="0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SOFT"/>
    <m/>
    <n v="242"/>
    <m/>
    <d v="2045-11-30T00:00:00"/>
    <d v="2045-11-30T00:00:00"/>
    <d v="2045-11-30T00:00:00"/>
    <n v="0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SOFT"/>
    <m/>
    <n v="243"/>
    <m/>
    <d v="2045-12-31T00:00:00"/>
    <d v="2045-12-31T00:00:00"/>
    <d v="2045-12-31T00:00:00"/>
    <n v="0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SOFT"/>
    <m/>
    <n v="244"/>
    <m/>
    <d v="2046-01-31T00:00:00"/>
    <d v="2046-01-31T00:00:00"/>
    <d v="2046-01-31T00:00:00"/>
    <n v="0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SOFT"/>
    <m/>
    <n v="245"/>
    <m/>
    <d v="2046-02-28T00:00:00"/>
    <d v="2046-02-28T00:00:00"/>
    <d v="2046-02-28T00:00:00"/>
    <n v="0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SOFT"/>
    <m/>
    <n v="246"/>
    <m/>
    <d v="2046-03-31T00:00:00"/>
    <d v="2046-03-31T00:00:00"/>
    <d v="2046-03-31T00:00:00"/>
    <n v="0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SOFT"/>
    <m/>
    <n v="247"/>
    <m/>
    <d v="2046-04-30T00:00:00"/>
    <d v="2046-04-30T00:00:00"/>
    <d v="2046-04-30T00:00:00"/>
    <n v="0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SOFT"/>
    <m/>
    <n v="248"/>
    <m/>
    <d v="2046-05-31T00:00:00"/>
    <d v="2046-05-31T00:00:00"/>
    <d v="2046-05-31T00:00:00"/>
    <n v="0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SOFT"/>
    <m/>
    <n v="249"/>
    <m/>
    <d v="2046-06-30T00:00:00"/>
    <d v="2046-06-30T00:00:00"/>
    <d v="2046-06-30T00:00:00"/>
    <n v="0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SOFT"/>
    <m/>
    <n v="250"/>
    <m/>
    <d v="2046-07-31T00:00:00"/>
    <d v="2046-07-31T00:00:00"/>
    <d v="2046-07-31T00:00:00"/>
    <n v="0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SOFT"/>
    <m/>
    <n v="251"/>
    <m/>
    <d v="2046-08-31T00:00:00"/>
    <d v="2046-08-31T00:00:00"/>
    <d v="2046-08-31T00:00:00"/>
    <n v="0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SOFT"/>
    <m/>
    <n v="252"/>
    <m/>
    <d v="2046-09-30T00:00:00"/>
    <d v="2046-09-30T00:00:00"/>
    <d v="2046-09-30T00:00:00"/>
    <n v="0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SOFT"/>
    <m/>
    <n v="253"/>
    <m/>
    <d v="2046-10-31T00:00:00"/>
    <d v="2046-10-31T00:00:00"/>
    <d v="2046-10-31T00:00:00"/>
    <n v="0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SOFT"/>
    <m/>
    <n v="254"/>
    <m/>
    <d v="2046-11-30T00:00:00"/>
    <d v="2046-11-30T00:00:00"/>
    <d v="2046-11-30T00:00:00"/>
    <n v="0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SOFT"/>
    <m/>
    <n v="255"/>
    <m/>
    <d v="2046-12-31T00:00:00"/>
    <d v="2046-12-31T00:00:00"/>
    <d v="2046-12-31T00:00:00"/>
    <n v="0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SOFT"/>
    <m/>
    <n v="256"/>
    <m/>
    <d v="2047-01-31T00:00:00"/>
    <d v="2047-01-31T00:00:00"/>
    <d v="2047-01-31T00:00:00"/>
    <n v="0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SOFT"/>
    <m/>
    <n v="257"/>
    <m/>
    <d v="2047-02-28T00:00:00"/>
    <d v="2047-02-28T00:00:00"/>
    <d v="2047-02-28T00:00:00"/>
    <n v="0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SOFT"/>
    <m/>
    <n v="258"/>
    <m/>
    <d v="2047-03-31T00:00:00"/>
    <d v="2047-03-31T00:00:00"/>
    <d v="2047-03-31T00:00:00"/>
    <n v="0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SOFT"/>
    <m/>
    <n v="259"/>
    <m/>
    <d v="2047-04-30T00:00:00"/>
    <d v="2047-04-30T00:00:00"/>
    <d v="2047-04-30T00:00:00"/>
    <n v="0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SOFT"/>
    <m/>
    <n v="260"/>
    <m/>
    <d v="2047-05-31T00:00:00"/>
    <d v="2047-05-31T00:00:00"/>
    <d v="2047-05-31T00:00:00"/>
    <n v="0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SOFT"/>
    <m/>
    <n v="261"/>
    <m/>
    <d v="2047-06-30T00:00:00"/>
    <d v="2047-06-30T00:00:00"/>
    <d v="2047-06-30T00:00:00"/>
    <n v="0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SOFT"/>
    <m/>
    <n v="262"/>
    <m/>
    <d v="2047-07-31T00:00:00"/>
    <d v="2047-07-31T00:00:00"/>
    <d v="2047-07-31T00:00:00"/>
    <n v="0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SOFT"/>
    <m/>
    <n v="263"/>
    <m/>
    <d v="2047-08-31T00:00:00"/>
    <d v="2047-08-31T00:00:00"/>
    <d v="2047-08-31T00:00:00"/>
    <n v="0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SOFT"/>
    <m/>
    <n v="264"/>
    <m/>
    <d v="2047-09-30T00:00:00"/>
    <d v="2047-09-30T00:00:00"/>
    <d v="2047-09-30T00:00:00"/>
    <n v="0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SOFT"/>
    <m/>
    <n v="265"/>
    <m/>
    <d v="2047-10-31T00:00:00"/>
    <d v="2047-10-31T00:00:00"/>
    <d v="2047-10-31T00:00:00"/>
    <n v="0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SOFT"/>
    <m/>
    <n v="266"/>
    <m/>
    <d v="2047-11-30T00:00:00"/>
    <d v="2047-11-30T00:00:00"/>
    <d v="2047-11-30T00:00:00"/>
    <n v="0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SOFT"/>
    <m/>
    <n v="267"/>
    <m/>
    <d v="2047-12-31T00:00:00"/>
    <d v="2047-12-31T00:00:00"/>
    <d v="2047-12-31T00:00:00"/>
    <n v="0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SOFT"/>
    <m/>
    <n v="268"/>
    <m/>
    <d v="2048-01-31T00:00:00"/>
    <d v="2048-01-31T00:00:00"/>
    <d v="2048-01-31T00:00:00"/>
    <n v="0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SOFT"/>
    <m/>
    <n v="269"/>
    <m/>
    <d v="2048-02-29T00:00:00"/>
    <d v="2048-02-29T00:00:00"/>
    <d v="2048-02-29T00:00:00"/>
    <n v="0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SOFT"/>
    <m/>
    <n v="270"/>
    <m/>
    <d v="2048-03-31T00:00:00"/>
    <d v="2048-03-31T00:00:00"/>
    <d v="2048-03-31T00:00:00"/>
    <n v="0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SOFT"/>
    <m/>
    <n v="271"/>
    <m/>
    <d v="2048-04-30T00:00:00"/>
    <d v="2048-04-30T00:00:00"/>
    <d v="2048-04-30T00:00:00"/>
    <n v="0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SOFT"/>
    <m/>
    <n v="272"/>
    <m/>
    <d v="2048-05-31T00:00:00"/>
    <d v="2048-05-31T00:00:00"/>
    <d v="2048-05-31T00:00:00"/>
    <n v="0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SOFT"/>
    <m/>
    <n v="273"/>
    <m/>
    <d v="2048-06-30T00:00:00"/>
    <d v="2048-06-30T00:00:00"/>
    <d v="2048-06-30T00:00:00"/>
    <n v="0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SOFT"/>
    <m/>
    <n v="274"/>
    <m/>
    <d v="2048-07-31T00:00:00"/>
    <d v="2048-07-31T00:00:00"/>
    <d v="2048-07-31T00:00:00"/>
    <n v="0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SOFT"/>
    <m/>
    <n v="275"/>
    <m/>
    <d v="2048-08-31T00:00:00"/>
    <d v="2048-08-31T00:00:00"/>
    <d v="2048-08-31T00:00:00"/>
    <n v="0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SOFT"/>
    <m/>
    <n v="276"/>
    <m/>
    <d v="2048-09-30T00:00:00"/>
    <d v="2048-09-30T00:00:00"/>
    <d v="2048-09-30T00:00:00"/>
    <n v="0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SOFT"/>
    <m/>
    <n v="277"/>
    <m/>
    <d v="2048-10-31T00:00:00"/>
    <d v="2048-10-31T00:00:00"/>
    <d v="2048-10-31T00:00:00"/>
    <n v="0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SOFT"/>
    <m/>
    <n v="278"/>
    <m/>
    <d v="2048-11-30T00:00:00"/>
    <d v="2048-11-30T00:00:00"/>
    <d v="2048-11-30T00:00:00"/>
    <n v="0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SOFT"/>
    <m/>
    <n v="279"/>
    <m/>
    <d v="2048-12-31T00:00:00"/>
    <d v="2048-12-31T00:00:00"/>
    <d v="2048-12-31T00:00:00"/>
    <n v="0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SOFT"/>
    <m/>
    <n v="280"/>
    <m/>
    <d v="2049-01-31T00:00:00"/>
    <d v="2049-01-31T00:00:00"/>
    <d v="2049-01-31T00:00:00"/>
    <n v="0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SOFT"/>
    <m/>
    <n v="281"/>
    <m/>
    <d v="2049-02-28T00:00:00"/>
    <d v="2049-02-28T00:00:00"/>
    <d v="2049-02-28T00:00:00"/>
    <n v="0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SOFT"/>
    <m/>
    <n v="282"/>
    <m/>
    <d v="2049-03-31T00:00:00"/>
    <d v="2049-03-31T00:00:00"/>
    <d v="2049-03-31T00:00:00"/>
    <n v="0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SOFT"/>
    <m/>
    <n v="283"/>
    <m/>
    <d v="2049-04-30T00:00:00"/>
    <d v="2049-04-30T00:00:00"/>
    <d v="2049-04-30T00:00:00"/>
    <n v="0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SOFT"/>
    <m/>
    <n v="284"/>
    <m/>
    <d v="2049-05-31T00:00:00"/>
    <d v="2049-05-31T00:00:00"/>
    <d v="2049-05-31T00:00:00"/>
    <n v="0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SOFT"/>
    <m/>
    <n v="285"/>
    <m/>
    <d v="2049-06-30T00:00:00"/>
    <d v="2049-06-30T00:00:00"/>
    <d v="2049-06-30T00:00:00"/>
    <n v="0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SOFT"/>
    <m/>
    <n v="286"/>
    <m/>
    <d v="2049-07-31T00:00:00"/>
    <d v="2049-07-31T00:00:00"/>
    <d v="2049-07-31T00:00:00"/>
    <n v="0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SOFT"/>
    <m/>
    <n v="287"/>
    <m/>
    <d v="2049-08-31T00:00:00"/>
    <d v="2049-08-31T00:00:00"/>
    <d v="2049-08-31T00:00:00"/>
    <n v="0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SOFT"/>
    <m/>
    <n v="288"/>
    <m/>
    <d v="2049-09-30T00:00:00"/>
    <d v="2049-09-30T00:00:00"/>
    <d v="2049-09-30T00:00:00"/>
    <n v="0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SOFT"/>
    <m/>
    <n v="289"/>
    <m/>
    <d v="2049-10-31T00:00:00"/>
    <d v="2049-10-31T00:00:00"/>
    <d v="2049-10-31T00:00:00"/>
    <n v="0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SOFT"/>
    <m/>
    <n v="290"/>
    <m/>
    <d v="2049-11-30T00:00:00"/>
    <d v="2049-11-30T00:00:00"/>
    <d v="2049-11-30T00:00:00"/>
    <n v="0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SOFT"/>
    <m/>
    <n v="291"/>
    <m/>
    <d v="2049-12-31T00:00:00"/>
    <d v="2049-12-31T00:00:00"/>
    <d v="2049-12-31T00:00:00"/>
    <n v="0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SOFT"/>
    <m/>
    <n v="292"/>
    <m/>
    <d v="2050-01-31T00:00:00"/>
    <d v="2050-01-31T00:00:00"/>
    <d v="2050-01-31T00:00:00"/>
    <n v="0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SOFT"/>
    <m/>
    <n v="293"/>
    <m/>
    <d v="2050-02-28T00:00:00"/>
    <d v="2050-02-28T00:00:00"/>
    <d v="2050-02-28T00:00:00"/>
    <n v="0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DIF_CORE_SOFT"/>
    <m/>
    <n v="294"/>
    <m/>
    <d v="2050-03-31T00:00:00"/>
    <d v="2050-03-31T00:00:00"/>
    <d v="2050-03-31T00:00:00"/>
    <n v="0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INC"/>
    <m/>
    <m/>
    <m/>
    <d v="2025-10-01T00:00:00"/>
    <d v="2025-10-01T00:00:00"/>
    <d v="2025-10-01T00:00:00"/>
    <n v="36724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INC_CORE_CORE"/>
    <m/>
    <n v="1"/>
    <m/>
    <d v="2025-10-31T00:00:00"/>
    <d v="2025-10-31T00:00:00"/>
    <d v="2025-10-31T00:00:00"/>
    <n v="8390.977733491969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INC_CORE_CORE"/>
    <m/>
    <n v="2"/>
    <m/>
    <d v="2025-11-30T00:00:00"/>
    <d v="2025-11-30T00:00:00"/>
    <d v="2025-11-30T00:00:00"/>
    <n v="8390.977733491969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INC_CORE_CORE"/>
    <m/>
    <n v="3"/>
    <m/>
    <d v="2025-12-31T00:00:00"/>
    <d v="2025-12-31T00:00:00"/>
    <d v="2025-12-31T00:00:00"/>
    <n v="8390.977733491969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INC_CORE_CORE"/>
    <m/>
    <n v="4"/>
    <m/>
    <d v="2026-01-31T00:00:00"/>
    <d v="2026-01-31T00:00:00"/>
    <d v="2026-01-31T00:00:00"/>
    <n v="8390.977733491969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INC_CORE_CORE"/>
    <m/>
    <n v="5"/>
    <m/>
    <d v="2026-02-28T00:00:00"/>
    <d v="2026-02-28T00:00:00"/>
    <d v="2026-02-28T00:00:00"/>
    <n v="8390.977733491969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INC_CORE_CORE"/>
    <m/>
    <n v="6"/>
    <m/>
    <d v="2026-03-31T00:00:00"/>
    <d v="2026-03-31T00:00:00"/>
    <d v="2026-03-31T00:00:00"/>
    <n v="8390.977733491969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INC_CORE_CORE"/>
    <m/>
    <n v="7"/>
    <m/>
    <d v="2026-04-30T00:00:00"/>
    <d v="2026-04-30T00:00:00"/>
    <d v="2026-04-30T00:00:00"/>
    <n v="8390.977733491969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INC_CORE_CORE"/>
    <m/>
    <n v="8"/>
    <m/>
    <d v="2026-05-31T00:00:00"/>
    <d v="2026-05-31T00:00:00"/>
    <d v="2026-05-31T00:00:00"/>
    <n v="8390.977733491969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INC_CORE_CORE"/>
    <m/>
    <n v="9"/>
    <m/>
    <d v="2026-06-30T00:00:00"/>
    <d v="2026-06-30T00:00:00"/>
    <d v="2026-06-30T00:00:00"/>
    <n v="8390.977733491969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INC_CORE_CORE"/>
    <m/>
    <n v="10"/>
    <m/>
    <d v="2026-07-31T00:00:00"/>
    <d v="2026-07-31T00:00:00"/>
    <d v="2026-07-31T00:00:00"/>
    <n v="8390.977733491969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INC_CORE_CORE"/>
    <m/>
    <n v="11"/>
    <m/>
    <d v="2026-08-31T00:00:00"/>
    <d v="2026-08-31T00:00:00"/>
    <d v="2026-08-31T00:00:00"/>
    <n v="8390.977733491969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INC_CORE_CORE"/>
    <m/>
    <n v="12"/>
    <m/>
    <d v="2026-09-30T00:00:00"/>
    <d v="2026-09-30T00:00:00"/>
    <d v="2026-09-30T00:00:00"/>
    <n v="8390.977733491969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INC_CORE_CORE"/>
    <m/>
    <n v="13"/>
    <m/>
    <d v="2026-10-31T00:00:00"/>
    <d v="2026-10-31T00:00:00"/>
    <d v="2026-10-31T00:00:00"/>
    <n v="8390.977733491969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INC_CORE_CORE"/>
    <m/>
    <n v="14"/>
    <m/>
    <d v="2026-11-30T00:00:00"/>
    <d v="2026-11-30T00:00:00"/>
    <d v="2026-11-30T00:00:00"/>
    <n v="8390.977733491969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INC_CORE_CORE"/>
    <m/>
    <n v="15"/>
    <m/>
    <d v="2026-12-31T00:00:00"/>
    <d v="2026-12-31T00:00:00"/>
    <d v="2026-12-31T00:00:00"/>
    <n v="8390.977733491969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INC_CORE_CORE"/>
    <m/>
    <n v="16"/>
    <m/>
    <d v="2027-01-31T00:00:00"/>
    <d v="2027-01-31T00:00:00"/>
    <d v="2027-01-31T00:00:00"/>
    <n v="8390.977733491969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INC_CORE_CORE"/>
    <m/>
    <n v="17"/>
    <m/>
    <d v="2027-02-28T00:00:00"/>
    <d v="2027-02-28T00:00:00"/>
    <d v="2027-02-28T00:00:00"/>
    <n v="8390.977733491969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INC_CORE_CORE"/>
    <m/>
    <n v="18"/>
    <m/>
    <d v="2027-03-31T00:00:00"/>
    <d v="2027-03-31T00:00:00"/>
    <d v="2027-03-31T00:00:00"/>
    <n v="8390.977733491969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INC_CORE_CORE"/>
    <m/>
    <n v="19"/>
    <m/>
    <d v="2027-04-30T00:00:00"/>
    <d v="2027-04-30T00:00:00"/>
    <d v="2027-04-30T00:00:00"/>
    <n v="8390.977733491969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INC_CORE_CORE"/>
    <m/>
    <n v="20"/>
    <m/>
    <d v="2027-05-31T00:00:00"/>
    <d v="2027-05-31T00:00:00"/>
    <d v="2027-05-31T00:00:00"/>
    <n v="8390.977733491969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INC_CORE_CORE"/>
    <m/>
    <n v="21"/>
    <m/>
    <d v="2027-06-30T00:00:00"/>
    <d v="2027-06-30T00:00:00"/>
    <d v="2027-06-30T00:00:00"/>
    <n v="8390.977733491969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INC_CORE_CORE"/>
    <m/>
    <n v="22"/>
    <m/>
    <d v="2027-07-31T00:00:00"/>
    <d v="2027-07-31T00:00:00"/>
    <d v="2027-07-31T00:00:00"/>
    <n v="8390.977733491969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INC_CORE_CORE"/>
    <m/>
    <n v="23"/>
    <m/>
    <d v="2027-08-31T00:00:00"/>
    <d v="2027-08-31T00:00:00"/>
    <d v="2027-08-31T00:00:00"/>
    <n v="8390.977733491969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INC_CORE_CORE"/>
    <m/>
    <n v="24"/>
    <m/>
    <d v="2027-09-30T00:00:00"/>
    <d v="2027-09-30T00:00:00"/>
    <d v="2027-09-30T00:00:00"/>
    <n v="8390.977733491969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INC_CORE_CORE"/>
    <m/>
    <n v="25"/>
    <m/>
    <d v="2027-10-31T00:00:00"/>
    <d v="2027-10-31T00:00:00"/>
    <d v="2027-10-31T00:00:00"/>
    <n v="8390.977733491969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INC_CORE_CORE"/>
    <m/>
    <n v="26"/>
    <m/>
    <d v="2027-11-30T00:00:00"/>
    <d v="2027-11-30T00:00:00"/>
    <d v="2027-11-30T00:00:00"/>
    <n v="8390.977733491969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INC_CORE_CORE"/>
    <m/>
    <n v="27"/>
    <m/>
    <d v="2027-12-31T00:00:00"/>
    <d v="2027-12-31T00:00:00"/>
    <d v="2027-12-31T00:00:00"/>
    <n v="8390.977733491969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INC_CORE_CORE"/>
    <m/>
    <n v="28"/>
    <m/>
    <d v="2028-01-31T00:00:00"/>
    <d v="2028-01-31T00:00:00"/>
    <d v="2028-01-31T00:00:00"/>
    <n v="8390.977733491969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INC_CORE_CORE"/>
    <m/>
    <n v="29"/>
    <m/>
    <d v="2028-02-29T00:00:00"/>
    <d v="2028-02-29T00:00:00"/>
    <d v="2028-02-29T00:00:00"/>
    <n v="8390.977733491969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INC_CORE_CORE"/>
    <m/>
    <n v="30"/>
    <m/>
    <d v="2028-03-31T00:00:00"/>
    <d v="2028-03-31T00:00:00"/>
    <d v="2028-03-31T00:00:00"/>
    <n v="8390.977733491969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INC_CORE_CORE"/>
    <m/>
    <n v="31"/>
    <m/>
    <d v="2028-04-30T00:00:00"/>
    <d v="2028-04-30T00:00:00"/>
    <d v="2028-04-30T00:00:00"/>
    <n v="8390.977733491969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INC_CORE_CORE"/>
    <m/>
    <n v="32"/>
    <m/>
    <d v="2028-05-31T00:00:00"/>
    <d v="2028-05-31T00:00:00"/>
    <d v="2028-05-31T00:00:00"/>
    <n v="8390.977733491969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INC_CORE_CORE"/>
    <m/>
    <n v="33"/>
    <m/>
    <d v="2028-06-30T00:00:00"/>
    <d v="2028-06-30T00:00:00"/>
    <d v="2028-06-30T00:00:00"/>
    <n v="8390.977733491969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INC_CORE_CORE"/>
    <m/>
    <n v="34"/>
    <m/>
    <d v="2028-07-31T00:00:00"/>
    <d v="2028-07-31T00:00:00"/>
    <d v="2028-07-31T00:00:00"/>
    <n v="8390.977733491969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INC_CORE_CORE"/>
    <m/>
    <n v="35"/>
    <m/>
    <d v="2028-08-31T00:00:00"/>
    <d v="2028-08-31T00:00:00"/>
    <d v="2028-08-31T00:00:00"/>
    <n v="8390.977733491969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INC_CORE_CORE"/>
    <m/>
    <n v="36"/>
    <m/>
    <d v="2028-09-30T00:00:00"/>
    <d v="2028-09-30T00:00:00"/>
    <d v="2028-09-30T00:00:00"/>
    <n v="8390.977733491969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INC_CORE_CORE"/>
    <m/>
    <n v="37"/>
    <m/>
    <d v="2028-10-31T00:00:00"/>
    <d v="2028-10-31T00:00:00"/>
    <d v="2028-10-31T00:00:00"/>
    <n v="8390.977733491969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INC_CORE_CORE"/>
    <m/>
    <n v="38"/>
    <m/>
    <d v="2028-11-30T00:00:00"/>
    <d v="2028-11-30T00:00:00"/>
    <d v="2028-11-30T00:00:00"/>
    <n v="8390.977733491969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INC_CORE_CORE"/>
    <m/>
    <n v="39"/>
    <m/>
    <d v="2028-12-31T00:00:00"/>
    <d v="2028-12-31T00:00:00"/>
    <d v="2028-12-31T00:00:00"/>
    <n v="8390.977733491969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INC_CORE_CORE"/>
    <m/>
    <n v="40"/>
    <m/>
    <d v="2029-01-31T00:00:00"/>
    <d v="2029-01-31T00:00:00"/>
    <d v="2029-01-31T00:00:00"/>
    <n v="8390.977733491969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INC_CORE_CORE"/>
    <m/>
    <n v="41"/>
    <m/>
    <d v="2029-02-28T00:00:00"/>
    <d v="2029-02-28T00:00:00"/>
    <d v="2029-02-28T00:00:00"/>
    <n v="8390.977733491969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INC_CORE_CORE"/>
    <m/>
    <n v="42"/>
    <m/>
    <d v="2029-03-31T00:00:00"/>
    <d v="2029-03-31T00:00:00"/>
    <d v="2029-03-31T00:00:00"/>
    <n v="8390.977733491969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INC_CORE_CORE"/>
    <m/>
    <n v="43"/>
    <m/>
    <d v="2029-04-30T00:00:00"/>
    <d v="2029-04-30T00:00:00"/>
    <d v="2029-04-30T00:00:00"/>
    <n v="8390.977733491969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INC_CORE_CORE"/>
    <m/>
    <n v="44"/>
    <m/>
    <d v="2029-05-31T00:00:00"/>
    <d v="2029-05-31T00:00:00"/>
    <d v="2029-05-31T00:00:00"/>
    <n v="8390.977733491969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INC_CORE_CORE"/>
    <m/>
    <n v="45"/>
    <m/>
    <d v="2029-06-30T00:00:00"/>
    <d v="2029-06-30T00:00:00"/>
    <d v="2029-06-30T00:00:00"/>
    <n v="8390.977733491969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INC_CORE_CORE"/>
    <m/>
    <n v="46"/>
    <m/>
    <d v="2029-07-31T00:00:00"/>
    <d v="2029-07-31T00:00:00"/>
    <d v="2029-07-31T00:00:00"/>
    <n v="8390.977733491969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INC_CORE_CORE"/>
    <m/>
    <n v="47"/>
    <m/>
    <d v="2029-08-31T00:00:00"/>
    <d v="2029-08-31T00:00:00"/>
    <d v="2029-08-31T00:00:00"/>
    <n v="8390.977733491969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INC_CORE_CORE"/>
    <m/>
    <n v="48"/>
    <m/>
    <d v="2029-09-30T00:00:00"/>
    <d v="2029-09-30T00:00:00"/>
    <d v="2029-09-30T00:00:00"/>
    <n v="8390.977733491969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INC_CORE_CORE"/>
    <m/>
    <n v="49"/>
    <m/>
    <d v="2029-10-31T00:00:00"/>
    <d v="2029-10-31T00:00:00"/>
    <d v="2029-10-31T00:00:00"/>
    <n v="8390.977733491969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INC_CORE_CORE"/>
    <m/>
    <n v="50"/>
    <m/>
    <d v="2029-11-30T00:00:00"/>
    <d v="2029-11-30T00:00:00"/>
    <d v="2029-11-30T00:00:00"/>
    <n v="8390.977733491969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INC_CORE_CORE"/>
    <m/>
    <n v="51"/>
    <m/>
    <d v="2029-12-31T00:00:00"/>
    <d v="2029-12-31T00:00:00"/>
    <d v="2029-12-31T00:00:00"/>
    <n v="8390.977733491969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INC_CORE_CORE"/>
    <m/>
    <n v="52"/>
    <m/>
    <d v="2030-01-31T00:00:00"/>
    <d v="2030-01-31T00:00:00"/>
    <d v="2030-01-31T00:00:00"/>
    <n v="8390.977733491969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INC_CORE_CORE"/>
    <m/>
    <n v="53"/>
    <m/>
    <d v="2030-02-28T00:00:00"/>
    <d v="2030-02-28T00:00:00"/>
    <d v="2030-02-28T00:00:00"/>
    <n v="8390.977733491969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INC_CORE_CORE"/>
    <m/>
    <n v="54"/>
    <m/>
    <d v="2030-03-31T00:00:00"/>
    <d v="2030-03-31T00:00:00"/>
    <d v="2030-03-31T00:00:00"/>
    <n v="8390.977733491969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INC_CORE_CORE"/>
    <m/>
    <n v="55"/>
    <m/>
    <d v="2030-04-30T00:00:00"/>
    <d v="2030-04-30T00:00:00"/>
    <d v="2030-04-30T00:00:00"/>
    <n v="8390.977733491969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INC_CORE_CORE"/>
    <m/>
    <n v="56"/>
    <m/>
    <d v="2030-05-31T00:00:00"/>
    <d v="2030-05-31T00:00:00"/>
    <d v="2030-05-31T00:00:00"/>
    <n v="8390.977733491969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INC_CORE_CORE"/>
    <m/>
    <n v="57"/>
    <m/>
    <d v="2030-06-30T00:00:00"/>
    <d v="2030-06-30T00:00:00"/>
    <d v="2030-06-30T00:00:00"/>
    <n v="8390.977733491969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INC_CORE_CORE"/>
    <m/>
    <n v="58"/>
    <m/>
    <d v="2030-07-31T00:00:00"/>
    <d v="2030-07-31T00:00:00"/>
    <d v="2030-07-31T00:00:00"/>
    <n v="8390.977733491969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INC_CORE_CORE"/>
    <m/>
    <n v="59"/>
    <m/>
    <d v="2030-08-31T00:00:00"/>
    <d v="2030-08-31T00:00:00"/>
    <d v="2030-08-31T00:00:00"/>
    <n v="8390.977733491969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INC_CORE_CORE"/>
    <m/>
    <n v="60"/>
    <m/>
    <d v="2030-09-30T00:00:00"/>
    <d v="2030-09-30T00:00:00"/>
    <d v="2030-09-30T00:00:00"/>
    <n v="8390.977733491969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INC_CORE_CORE"/>
    <m/>
    <n v="61"/>
    <m/>
    <d v="2030-10-31T00:00:00"/>
    <d v="2030-10-31T00:00:00"/>
    <d v="2030-10-31T00:00:00"/>
    <n v="8390.977733491969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INC_CORE_CORE"/>
    <m/>
    <n v="62"/>
    <m/>
    <d v="2030-11-30T00:00:00"/>
    <d v="2030-11-30T00:00:00"/>
    <d v="2030-11-30T00:00:00"/>
    <n v="8390.977733491969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INC_CORE_CORE"/>
    <m/>
    <n v="63"/>
    <m/>
    <d v="2030-12-31T00:00:00"/>
    <d v="2030-12-31T00:00:00"/>
    <d v="2030-12-31T00:00:00"/>
    <n v="8390.977733491969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INC_CORE_CORE"/>
    <m/>
    <n v="64"/>
    <m/>
    <d v="2031-01-31T00:00:00"/>
    <d v="2031-01-31T00:00:00"/>
    <d v="2031-01-31T00:00:00"/>
    <n v="8390.977733491969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INC_CORE_CORE"/>
    <m/>
    <n v="65"/>
    <m/>
    <d v="2031-02-28T00:00:00"/>
    <d v="2031-02-28T00:00:00"/>
    <d v="2031-02-28T00:00:00"/>
    <n v="8390.977733491969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INC_CORE_CORE"/>
    <m/>
    <n v="66"/>
    <m/>
    <d v="2031-03-31T00:00:00"/>
    <d v="2031-03-31T00:00:00"/>
    <d v="2031-03-31T00:00:00"/>
    <n v="8390.977733491969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INC_CORE_CORE"/>
    <m/>
    <n v="67"/>
    <m/>
    <d v="2031-04-30T00:00:00"/>
    <d v="2031-04-30T00:00:00"/>
    <d v="2031-04-30T00:00:00"/>
    <n v="8390.977733491969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INC_CORE_CORE"/>
    <m/>
    <n v="68"/>
    <m/>
    <d v="2031-05-31T00:00:00"/>
    <d v="2031-05-31T00:00:00"/>
    <d v="2031-05-31T00:00:00"/>
    <n v="8390.977733491969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INC_CORE_CORE"/>
    <m/>
    <n v="69"/>
    <m/>
    <d v="2031-06-30T00:00:00"/>
    <d v="2031-06-30T00:00:00"/>
    <d v="2031-06-30T00:00:00"/>
    <n v="8390.977733491969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INC_CORE_CORE"/>
    <m/>
    <n v="70"/>
    <m/>
    <d v="2031-07-31T00:00:00"/>
    <d v="2031-07-31T00:00:00"/>
    <d v="2031-07-31T00:00:00"/>
    <n v="8390.977733491969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INC_CORE_CORE"/>
    <m/>
    <n v="71"/>
    <m/>
    <d v="2031-08-31T00:00:00"/>
    <d v="2031-08-31T00:00:00"/>
    <d v="2031-08-31T00:00:00"/>
    <n v="8390.977733491969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INC_CORE_CORE"/>
    <m/>
    <n v="72"/>
    <m/>
    <d v="2031-09-30T00:00:00"/>
    <d v="2031-09-30T00:00:00"/>
    <d v="2031-09-30T00:00:00"/>
    <n v="8390.977733491969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INC_CORE_CORE"/>
    <m/>
    <n v="73"/>
    <m/>
    <d v="2031-10-31T00:00:00"/>
    <d v="2031-10-31T00:00:00"/>
    <d v="2031-10-31T00:00:00"/>
    <n v="8390.977733491969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INC_CORE_CORE"/>
    <m/>
    <n v="74"/>
    <m/>
    <d v="2031-11-30T00:00:00"/>
    <d v="2031-11-30T00:00:00"/>
    <d v="2031-11-30T00:00:00"/>
    <n v="8390.977733491969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INC_CORE_CORE"/>
    <m/>
    <n v="75"/>
    <m/>
    <d v="2031-12-31T00:00:00"/>
    <d v="2031-12-31T00:00:00"/>
    <d v="2031-12-31T00:00:00"/>
    <n v="8390.977733491969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INC_CORE_CORE"/>
    <m/>
    <n v="76"/>
    <m/>
    <d v="2032-01-31T00:00:00"/>
    <d v="2032-01-31T00:00:00"/>
    <d v="2032-01-31T00:00:00"/>
    <n v="8390.977733491969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INC_CORE_CORE"/>
    <m/>
    <n v="77"/>
    <m/>
    <d v="2032-02-29T00:00:00"/>
    <d v="2032-02-29T00:00:00"/>
    <d v="2032-02-29T00:00:00"/>
    <n v="8390.977733491969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INC_CORE_CORE"/>
    <m/>
    <n v="78"/>
    <m/>
    <d v="2032-03-31T00:00:00"/>
    <d v="2032-03-31T00:00:00"/>
    <d v="2032-03-31T00:00:00"/>
    <n v="8390.977733491969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INC_CORE_CORE"/>
    <m/>
    <n v="79"/>
    <m/>
    <d v="2032-04-30T00:00:00"/>
    <d v="2032-04-30T00:00:00"/>
    <d v="2032-04-30T00:00:00"/>
    <n v="8390.977733491969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INC_CORE_CORE"/>
    <m/>
    <n v="80"/>
    <m/>
    <d v="2032-05-31T00:00:00"/>
    <d v="2032-05-31T00:00:00"/>
    <d v="2032-05-31T00:00:00"/>
    <n v="8390.977733491969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INC_CORE_CORE"/>
    <m/>
    <n v="81"/>
    <m/>
    <d v="2032-06-30T00:00:00"/>
    <d v="2032-06-30T00:00:00"/>
    <d v="2032-06-30T00:00:00"/>
    <n v="8390.977733491969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INC_CORE_CORE"/>
    <m/>
    <n v="82"/>
    <m/>
    <d v="2032-07-31T00:00:00"/>
    <d v="2032-07-31T00:00:00"/>
    <d v="2032-07-31T00:00:00"/>
    <n v="8390.977733491969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INC_CORE_CORE"/>
    <m/>
    <n v="83"/>
    <m/>
    <d v="2032-08-31T00:00:00"/>
    <d v="2032-08-31T00:00:00"/>
    <d v="2032-08-31T00:00:00"/>
    <n v="8390.977733491969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INC_CORE_CORE"/>
    <m/>
    <n v="84"/>
    <m/>
    <d v="2032-09-30T00:00:00"/>
    <d v="2032-09-30T00:00:00"/>
    <d v="2032-09-30T00:00:00"/>
    <n v="8390.977733491969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INC_CORE_CORE"/>
    <m/>
    <n v="85"/>
    <m/>
    <d v="2032-10-31T00:00:00"/>
    <d v="2032-10-31T00:00:00"/>
    <d v="2032-10-31T00:00:00"/>
    <n v="8390.977733491969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INC_CORE_CORE"/>
    <m/>
    <n v="86"/>
    <m/>
    <d v="2032-11-30T00:00:00"/>
    <d v="2032-11-30T00:00:00"/>
    <d v="2032-11-30T00:00:00"/>
    <n v="8390.977733491969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INC_CORE_CORE"/>
    <m/>
    <n v="87"/>
    <m/>
    <d v="2032-12-31T00:00:00"/>
    <d v="2032-12-31T00:00:00"/>
    <d v="2032-12-31T00:00:00"/>
    <n v="8390.977733491969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INC_CORE_CORE"/>
    <m/>
    <n v="88"/>
    <m/>
    <d v="2033-01-31T00:00:00"/>
    <d v="2033-01-31T00:00:00"/>
    <d v="2033-01-31T00:00:00"/>
    <n v="8390.977733491969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INC_CORE_CORE"/>
    <m/>
    <n v="89"/>
    <m/>
    <d v="2033-02-28T00:00:00"/>
    <d v="2033-02-28T00:00:00"/>
    <d v="2033-02-28T00:00:00"/>
    <n v="8390.977733491969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INC_CORE_CORE"/>
    <m/>
    <n v="90"/>
    <m/>
    <d v="2033-03-31T00:00:00"/>
    <d v="2033-03-31T00:00:00"/>
    <d v="2033-03-31T00:00:00"/>
    <n v="8390.977733491969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INC_CORE_CORE"/>
    <m/>
    <n v="91"/>
    <m/>
    <d v="2033-04-30T00:00:00"/>
    <d v="2033-04-30T00:00:00"/>
    <d v="2033-04-30T00:00:00"/>
    <n v="8390.977733491969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INC_CORE_CORE"/>
    <m/>
    <n v="92"/>
    <m/>
    <d v="2033-05-31T00:00:00"/>
    <d v="2033-05-31T00:00:00"/>
    <d v="2033-05-31T00:00:00"/>
    <n v="8390.977733491969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INC_CORE_CORE"/>
    <m/>
    <n v="93"/>
    <m/>
    <d v="2033-06-30T00:00:00"/>
    <d v="2033-06-30T00:00:00"/>
    <d v="2033-06-30T00:00:00"/>
    <n v="8390.977733491969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INC_CORE_CORE"/>
    <m/>
    <n v="94"/>
    <m/>
    <d v="2033-07-31T00:00:00"/>
    <d v="2033-07-31T00:00:00"/>
    <d v="2033-07-31T00:00:00"/>
    <n v="8390.977733491969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INC_CORE_CORE"/>
    <m/>
    <n v="95"/>
    <m/>
    <d v="2033-08-31T00:00:00"/>
    <d v="2033-08-31T00:00:00"/>
    <d v="2033-08-31T00:00:00"/>
    <n v="8390.977733491969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INC_CORE_CORE"/>
    <m/>
    <n v="96"/>
    <m/>
    <d v="2033-09-30T00:00:00"/>
    <d v="2033-09-30T00:00:00"/>
    <d v="2033-09-30T00:00:00"/>
    <n v="8390.977733491969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INC_CORE_CORE"/>
    <m/>
    <n v="97"/>
    <m/>
    <d v="2033-10-31T00:00:00"/>
    <d v="2033-10-31T00:00:00"/>
    <d v="2033-10-31T00:00:00"/>
    <n v="8390.977733491969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INC_CORE_CORE"/>
    <m/>
    <n v="98"/>
    <m/>
    <d v="2033-11-30T00:00:00"/>
    <d v="2033-11-30T00:00:00"/>
    <d v="2033-11-30T00:00:00"/>
    <n v="8390.977733491969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INC_CORE_CORE"/>
    <m/>
    <n v="99"/>
    <m/>
    <d v="2033-12-31T00:00:00"/>
    <d v="2033-12-31T00:00:00"/>
    <d v="2033-12-31T00:00:00"/>
    <n v="8390.977733491969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INC_CORE_CORE"/>
    <m/>
    <n v="100"/>
    <m/>
    <d v="2034-01-31T00:00:00"/>
    <d v="2034-01-31T00:00:00"/>
    <d v="2034-01-31T00:00:00"/>
    <n v="8390.977733491969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INC_CORE_CORE"/>
    <m/>
    <n v="101"/>
    <m/>
    <d v="2034-02-28T00:00:00"/>
    <d v="2034-02-28T00:00:00"/>
    <d v="2034-02-28T00:00:00"/>
    <n v="8390.977733491969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INC_CORE_CORE"/>
    <m/>
    <n v="102"/>
    <m/>
    <d v="2034-03-31T00:00:00"/>
    <d v="2034-03-31T00:00:00"/>
    <d v="2034-03-31T00:00:00"/>
    <n v="8390.977733491969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INC_CORE_CORE"/>
    <m/>
    <n v="103"/>
    <m/>
    <d v="2034-04-30T00:00:00"/>
    <d v="2034-04-30T00:00:00"/>
    <d v="2034-04-30T00:00:00"/>
    <n v="8390.977733491969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INC_CORE_CORE"/>
    <m/>
    <n v="104"/>
    <m/>
    <d v="2034-05-31T00:00:00"/>
    <d v="2034-05-31T00:00:00"/>
    <d v="2034-05-31T00:00:00"/>
    <n v="8390.977733491969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INC_CORE_CORE"/>
    <m/>
    <n v="105"/>
    <m/>
    <d v="2034-06-30T00:00:00"/>
    <d v="2034-06-30T00:00:00"/>
    <d v="2034-06-30T00:00:00"/>
    <n v="8390.977733491969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INC_CORE_CORE"/>
    <m/>
    <n v="106"/>
    <m/>
    <d v="2034-07-31T00:00:00"/>
    <d v="2034-07-31T00:00:00"/>
    <d v="2034-07-31T00:00:00"/>
    <n v="8390.977733491969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INC_CORE_CORE"/>
    <m/>
    <n v="107"/>
    <m/>
    <d v="2034-08-31T00:00:00"/>
    <d v="2034-08-31T00:00:00"/>
    <d v="2034-08-31T00:00:00"/>
    <n v="8390.977733491969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INC_CORE_CORE"/>
    <m/>
    <n v="108"/>
    <m/>
    <d v="2034-09-30T00:00:00"/>
    <d v="2034-09-30T00:00:00"/>
    <d v="2034-09-30T00:00:00"/>
    <n v="8390.977733491969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INC_CORE_CORE"/>
    <m/>
    <n v="109"/>
    <m/>
    <d v="2034-10-31T00:00:00"/>
    <d v="2034-10-31T00:00:00"/>
    <d v="2034-10-31T00:00:00"/>
    <n v="8390.977733491969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INC_CORE_CORE"/>
    <m/>
    <n v="110"/>
    <m/>
    <d v="2034-11-30T00:00:00"/>
    <d v="2034-11-30T00:00:00"/>
    <d v="2034-11-30T00:00:00"/>
    <n v="8390.977733491969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INC_CORE_CORE"/>
    <m/>
    <n v="111"/>
    <m/>
    <d v="2034-12-31T00:00:00"/>
    <d v="2034-12-31T00:00:00"/>
    <d v="2034-12-31T00:00:00"/>
    <n v="8390.977733491969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INC_CORE_CORE"/>
    <m/>
    <n v="112"/>
    <m/>
    <d v="2035-01-31T00:00:00"/>
    <d v="2035-01-31T00:00:00"/>
    <d v="2035-01-31T00:00:00"/>
    <n v="8390.977733491969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INC_CORE_CORE"/>
    <m/>
    <n v="113"/>
    <m/>
    <d v="2035-02-28T00:00:00"/>
    <d v="2035-02-28T00:00:00"/>
    <d v="2035-02-28T00:00:00"/>
    <n v="8390.977733491969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INC_CORE_CORE"/>
    <m/>
    <n v="114"/>
    <m/>
    <d v="2035-03-31T00:00:00"/>
    <d v="2035-03-31T00:00:00"/>
    <d v="2035-03-31T00:00:00"/>
    <n v="8390.977733491969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INC_CORE_CORE"/>
    <m/>
    <n v="115"/>
    <m/>
    <d v="2035-04-30T00:00:00"/>
    <d v="2035-04-30T00:00:00"/>
    <d v="2035-04-30T00:00:00"/>
    <n v="8390.977733491969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INC_CORE_CORE"/>
    <m/>
    <n v="116"/>
    <m/>
    <d v="2035-05-31T00:00:00"/>
    <d v="2035-05-31T00:00:00"/>
    <d v="2035-05-31T00:00:00"/>
    <n v="8390.977733491969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INC_CORE_CORE"/>
    <m/>
    <n v="117"/>
    <m/>
    <d v="2035-06-30T00:00:00"/>
    <d v="2035-06-30T00:00:00"/>
    <d v="2035-06-30T00:00:00"/>
    <n v="8390.977733491969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INC_CORE_CORE"/>
    <m/>
    <n v="118"/>
    <m/>
    <d v="2035-07-31T00:00:00"/>
    <d v="2035-07-31T00:00:00"/>
    <d v="2035-07-31T00:00:00"/>
    <n v="8390.977733491969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INC_CORE_CORE"/>
    <m/>
    <n v="119"/>
    <m/>
    <d v="2035-08-31T00:00:00"/>
    <d v="2035-08-31T00:00:00"/>
    <d v="2035-08-31T00:00:00"/>
    <n v="8390.977733491969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INC_CORE_CORE"/>
    <m/>
    <n v="120"/>
    <m/>
    <d v="2035-09-30T00:00:00"/>
    <d v="2035-09-30T00:00:00"/>
    <d v="2035-09-30T00:00:00"/>
    <n v="8390.977733491969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INC_CORE_CORE"/>
    <m/>
    <n v="121"/>
    <m/>
    <d v="2035-10-31T00:00:00"/>
    <d v="2035-10-31T00:00:00"/>
    <d v="2035-10-31T00:00:00"/>
    <n v="8390.977733491969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INC_CORE_CORE"/>
    <m/>
    <n v="122"/>
    <m/>
    <d v="2035-11-30T00:00:00"/>
    <d v="2035-11-30T00:00:00"/>
    <d v="2035-11-30T00:00:00"/>
    <n v="8390.977733491969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INC_CORE_CORE"/>
    <m/>
    <n v="123"/>
    <m/>
    <d v="2035-12-31T00:00:00"/>
    <d v="2035-12-31T00:00:00"/>
    <d v="2035-12-31T00:00:00"/>
    <n v="8390.977733491969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INC_CORE_CORE"/>
    <m/>
    <n v="124"/>
    <m/>
    <d v="2036-01-31T00:00:00"/>
    <d v="2036-01-31T00:00:00"/>
    <d v="2036-01-31T00:00:00"/>
    <n v="8390.977733491969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INC_CORE_CORE"/>
    <m/>
    <n v="125"/>
    <m/>
    <d v="2036-02-29T00:00:00"/>
    <d v="2036-02-29T00:00:00"/>
    <d v="2036-02-29T00:00:00"/>
    <n v="8390.977733491969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INC_CORE_CORE"/>
    <m/>
    <n v="126"/>
    <m/>
    <d v="2036-03-31T00:00:00"/>
    <d v="2036-03-31T00:00:00"/>
    <d v="2036-03-31T00:00:00"/>
    <n v="8390.977733491969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INC_CORE_CORE"/>
    <m/>
    <n v="127"/>
    <m/>
    <d v="2036-04-30T00:00:00"/>
    <d v="2036-04-30T00:00:00"/>
    <d v="2036-04-30T00:00:00"/>
    <n v="104.66523349196908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INC_CORE_CORE"/>
    <m/>
    <n v="128"/>
    <m/>
    <d v="2036-05-31T00:00:00"/>
    <d v="2036-05-31T00:00:00"/>
    <d v="2036-05-31T00:00:00"/>
    <n v="104.66523349196908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INC_CORE_CORE"/>
    <m/>
    <n v="129"/>
    <m/>
    <d v="2036-06-30T00:00:00"/>
    <d v="2036-06-30T00:00:00"/>
    <d v="2036-06-30T00:00:00"/>
    <n v="104.66523349196908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INC_CORE_CORE"/>
    <m/>
    <n v="130"/>
    <m/>
    <d v="2036-07-31T00:00:00"/>
    <d v="2036-07-31T00:00:00"/>
    <d v="2036-07-31T00:00:00"/>
    <n v="104.66523349196908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INC_CORE_CORE"/>
    <m/>
    <n v="131"/>
    <m/>
    <d v="2036-08-31T00:00:00"/>
    <d v="2036-08-31T00:00:00"/>
    <d v="2036-08-31T00:00:00"/>
    <n v="104.66523349196908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INC_CORE_CORE"/>
    <m/>
    <n v="132"/>
    <m/>
    <d v="2036-09-30T00:00:00"/>
    <d v="2036-09-30T00:00:00"/>
    <d v="2036-09-30T00:00:00"/>
    <n v="104.66523349196908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INC_CORE_CORE"/>
    <m/>
    <n v="133"/>
    <m/>
    <d v="2036-10-31T00:00:00"/>
    <d v="2036-10-31T00:00:00"/>
    <d v="2036-10-31T00:00:00"/>
    <n v="104.66523349196908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INC_CORE_CORE"/>
    <m/>
    <n v="134"/>
    <m/>
    <d v="2036-11-30T00:00:00"/>
    <d v="2036-11-30T00:00:00"/>
    <d v="2036-11-30T00:00:00"/>
    <n v="104.66523349196908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INC_CORE_CORE"/>
    <m/>
    <n v="135"/>
    <m/>
    <d v="2036-12-31T00:00:00"/>
    <d v="2036-12-31T00:00:00"/>
    <d v="2036-12-31T00:00:00"/>
    <n v="104.66523349196908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INC_CORE_CORE"/>
    <m/>
    <n v="136"/>
    <m/>
    <d v="2037-01-31T00:00:00"/>
    <d v="2037-01-31T00:00:00"/>
    <d v="2037-01-31T00:00:00"/>
    <n v="104.66523349196908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INC_CORE_CORE"/>
    <m/>
    <n v="137"/>
    <m/>
    <d v="2037-02-28T00:00:00"/>
    <d v="2037-02-28T00:00:00"/>
    <d v="2037-02-28T00:00:00"/>
    <n v="104.66523349196908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INC_CORE_CORE"/>
    <m/>
    <n v="138"/>
    <m/>
    <d v="2037-03-31T00:00:00"/>
    <d v="2037-03-31T00:00:00"/>
    <d v="2037-03-31T00:00:00"/>
    <n v="104.66523349196908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INC_CORE_CORE"/>
    <m/>
    <n v="139"/>
    <m/>
    <d v="2037-04-30T00:00:00"/>
    <d v="2037-04-30T00:00:00"/>
    <d v="2037-04-30T00:00:00"/>
    <n v="104.66523349196908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INC_CORE_CORE"/>
    <m/>
    <n v="140"/>
    <m/>
    <d v="2037-05-31T00:00:00"/>
    <d v="2037-05-31T00:00:00"/>
    <d v="2037-05-31T00:00:00"/>
    <n v="104.66523349196908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INC_CORE_CORE"/>
    <m/>
    <n v="141"/>
    <m/>
    <d v="2037-06-30T00:00:00"/>
    <d v="2037-06-30T00:00:00"/>
    <d v="2037-06-30T00:00:00"/>
    <n v="104.66523349196908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INC_CORE_CORE"/>
    <m/>
    <n v="142"/>
    <m/>
    <d v="2037-07-31T00:00:00"/>
    <d v="2037-07-31T00:00:00"/>
    <d v="2037-07-31T00:00:00"/>
    <n v="104.66523349196908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INC_CORE_CORE"/>
    <m/>
    <n v="143"/>
    <m/>
    <d v="2037-08-31T00:00:00"/>
    <d v="2037-08-31T00:00:00"/>
    <d v="2037-08-31T00:00:00"/>
    <n v="104.66523349196908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INC_CORE_CORE"/>
    <m/>
    <n v="144"/>
    <m/>
    <d v="2037-09-30T00:00:00"/>
    <d v="2037-09-30T00:00:00"/>
    <d v="2037-09-30T00:00:00"/>
    <n v="104.66523349196908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INC_CORE_CORE"/>
    <m/>
    <n v="145"/>
    <m/>
    <d v="2037-10-31T00:00:00"/>
    <d v="2037-10-31T00:00:00"/>
    <d v="2037-10-31T00:00:00"/>
    <n v="104.66523349196908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INC_CORE_CORE"/>
    <m/>
    <n v="146"/>
    <m/>
    <d v="2037-11-30T00:00:00"/>
    <d v="2037-11-30T00:00:00"/>
    <d v="2037-11-30T00:00:00"/>
    <n v="104.66523349196908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INC_CORE_CORE"/>
    <m/>
    <n v="147"/>
    <m/>
    <d v="2037-12-31T00:00:00"/>
    <d v="2037-12-31T00:00:00"/>
    <d v="2037-12-31T00:00:00"/>
    <n v="104.66523349196908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INC_CORE_CORE"/>
    <m/>
    <n v="148"/>
    <m/>
    <d v="2038-01-31T00:00:00"/>
    <d v="2038-01-31T00:00:00"/>
    <d v="2038-01-31T00:00:00"/>
    <n v="104.66523349196908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INC_CORE_CORE"/>
    <m/>
    <n v="149"/>
    <m/>
    <d v="2038-02-28T00:00:00"/>
    <d v="2038-02-28T00:00:00"/>
    <d v="2038-02-28T00:00:00"/>
    <n v="104.66523349196908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INC_CORE_CORE"/>
    <m/>
    <n v="150"/>
    <m/>
    <d v="2038-03-31T00:00:00"/>
    <d v="2038-03-31T00:00:00"/>
    <d v="2038-03-31T00:00:00"/>
    <n v="104.66523349196908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INC_CORE_CORE"/>
    <m/>
    <n v="151"/>
    <m/>
    <d v="2038-04-30T00:00:00"/>
    <d v="2038-04-30T00:00:00"/>
    <d v="2038-04-30T00:00:00"/>
    <n v="104.66523349196908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INC_CORE_CORE"/>
    <m/>
    <n v="152"/>
    <m/>
    <d v="2038-05-31T00:00:00"/>
    <d v="2038-05-31T00:00:00"/>
    <d v="2038-05-31T00:00:00"/>
    <n v="104.66523349196908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INC_CORE_CORE"/>
    <m/>
    <n v="153"/>
    <m/>
    <d v="2038-06-30T00:00:00"/>
    <d v="2038-06-30T00:00:00"/>
    <d v="2038-06-30T00:00:00"/>
    <n v="104.66523349196908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INC_CORE_CORE"/>
    <m/>
    <n v="154"/>
    <m/>
    <d v="2038-07-31T00:00:00"/>
    <d v="2038-07-31T00:00:00"/>
    <d v="2038-07-31T00:00:00"/>
    <n v="104.66523349196908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INC_CORE_CORE"/>
    <m/>
    <n v="155"/>
    <m/>
    <d v="2038-08-31T00:00:00"/>
    <d v="2038-08-31T00:00:00"/>
    <d v="2038-08-31T00:00:00"/>
    <n v="104.66523349196908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INC_CORE_CORE"/>
    <m/>
    <n v="156"/>
    <m/>
    <d v="2038-09-30T00:00:00"/>
    <d v="2038-09-30T00:00:00"/>
    <d v="2038-09-30T00:00:00"/>
    <n v="104.66523349196908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INC_CORE_CORE"/>
    <m/>
    <n v="157"/>
    <m/>
    <d v="2038-10-31T00:00:00"/>
    <d v="2038-10-31T00:00:00"/>
    <d v="2038-10-31T00:00:00"/>
    <n v="104.66523349196908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INC_CORE_CORE"/>
    <m/>
    <n v="158"/>
    <m/>
    <d v="2038-11-30T00:00:00"/>
    <d v="2038-11-30T00:00:00"/>
    <d v="2038-11-30T00:00:00"/>
    <n v="104.66523349196908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INC_CORE_CORE"/>
    <m/>
    <n v="159"/>
    <m/>
    <d v="2038-12-31T00:00:00"/>
    <d v="2038-12-31T00:00:00"/>
    <d v="2038-12-31T00:00:00"/>
    <n v="104.66523349196908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INC_CORE_CORE"/>
    <m/>
    <n v="160"/>
    <m/>
    <d v="2039-01-31T00:00:00"/>
    <d v="2039-01-31T00:00:00"/>
    <d v="2039-01-31T00:00:00"/>
    <n v="104.66523349196908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INC_CORE_CORE"/>
    <m/>
    <n v="161"/>
    <m/>
    <d v="2039-02-28T00:00:00"/>
    <d v="2039-02-28T00:00:00"/>
    <d v="2039-02-28T00:00:00"/>
    <n v="104.66523349196908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INC_CORE_CORE"/>
    <m/>
    <n v="162"/>
    <m/>
    <d v="2039-03-31T00:00:00"/>
    <d v="2039-03-31T00:00:00"/>
    <d v="2039-03-31T00:00:00"/>
    <n v="104.66523349196908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INC_CORE_CORE"/>
    <m/>
    <n v="163"/>
    <m/>
    <d v="2039-04-30T00:00:00"/>
    <d v="2039-04-30T00:00:00"/>
    <d v="2039-04-30T00:00:00"/>
    <n v="104.66523349196908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INC_CORE_CORE"/>
    <m/>
    <n v="164"/>
    <m/>
    <d v="2039-05-31T00:00:00"/>
    <d v="2039-05-31T00:00:00"/>
    <d v="2039-05-31T00:00:00"/>
    <n v="104.66523349196908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INC_CORE_CORE"/>
    <m/>
    <n v="165"/>
    <m/>
    <d v="2039-06-30T00:00:00"/>
    <d v="2039-06-30T00:00:00"/>
    <d v="2039-06-30T00:00:00"/>
    <n v="104.66523349196908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INC_CORE_CORE"/>
    <m/>
    <n v="166"/>
    <m/>
    <d v="2039-07-31T00:00:00"/>
    <d v="2039-07-31T00:00:00"/>
    <d v="2039-07-31T00:00:00"/>
    <n v="104.66523349196908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INC_CORE_CORE"/>
    <m/>
    <n v="167"/>
    <m/>
    <d v="2039-08-31T00:00:00"/>
    <d v="2039-08-31T00:00:00"/>
    <d v="2039-08-31T00:00:00"/>
    <n v="104.66523349196908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INC_CORE_CORE"/>
    <m/>
    <n v="168"/>
    <m/>
    <d v="2039-09-30T00:00:00"/>
    <d v="2039-09-30T00:00:00"/>
    <d v="2039-09-30T00:00:00"/>
    <n v="104.66523349196908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INC_CORE_CORE"/>
    <m/>
    <n v="169"/>
    <m/>
    <d v="2039-10-31T00:00:00"/>
    <d v="2039-10-31T00:00:00"/>
    <d v="2039-10-31T00:00:00"/>
    <n v="104.66523349196908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INC_CORE_CORE"/>
    <m/>
    <n v="170"/>
    <m/>
    <d v="2039-11-30T00:00:00"/>
    <d v="2039-11-30T00:00:00"/>
    <d v="2039-11-30T00:00:00"/>
    <n v="104.66523349196908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INC_CORE_CORE"/>
    <m/>
    <n v="171"/>
    <m/>
    <d v="2039-12-31T00:00:00"/>
    <d v="2039-12-31T00:00:00"/>
    <d v="2039-12-31T00:00:00"/>
    <n v="104.66523349196908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INC_CORE_CORE"/>
    <m/>
    <n v="172"/>
    <m/>
    <d v="2040-01-31T00:00:00"/>
    <d v="2040-01-31T00:00:00"/>
    <d v="2040-01-31T00:00:00"/>
    <n v="104.66523349196908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INC_CORE_CORE"/>
    <m/>
    <n v="173"/>
    <m/>
    <d v="2040-02-29T00:00:00"/>
    <d v="2040-02-29T00:00:00"/>
    <d v="2040-02-29T00:00:00"/>
    <n v="104.66523349196908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INC_CORE_CORE"/>
    <m/>
    <n v="174"/>
    <m/>
    <d v="2040-03-31T00:00:00"/>
    <d v="2040-03-31T00:00:00"/>
    <d v="2040-03-31T00:00:00"/>
    <n v="104.66523349196908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INC_CORE_CORE"/>
    <m/>
    <n v="175"/>
    <m/>
    <d v="2040-04-30T00:00:00"/>
    <d v="2040-04-30T00:00:00"/>
    <d v="2040-04-30T00:00:00"/>
    <n v="104.66523349196908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INC_CORE_CORE"/>
    <m/>
    <n v="176"/>
    <m/>
    <d v="2040-05-31T00:00:00"/>
    <d v="2040-05-31T00:00:00"/>
    <d v="2040-05-31T00:00:00"/>
    <n v="104.66523349196908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INC_CORE_CORE"/>
    <m/>
    <n v="177"/>
    <m/>
    <d v="2040-06-30T00:00:00"/>
    <d v="2040-06-30T00:00:00"/>
    <d v="2040-06-30T00:00:00"/>
    <n v="104.66523349196908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INC_CORE_CORE"/>
    <m/>
    <n v="178"/>
    <m/>
    <d v="2040-07-31T00:00:00"/>
    <d v="2040-07-31T00:00:00"/>
    <d v="2040-07-31T00:00:00"/>
    <n v="104.66523349196908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INC_CORE_CORE"/>
    <m/>
    <n v="179"/>
    <m/>
    <d v="2040-08-31T00:00:00"/>
    <d v="2040-08-31T00:00:00"/>
    <d v="2040-08-31T00:00:00"/>
    <n v="104.66523349196908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INC_CORE_CORE"/>
    <m/>
    <n v="180"/>
    <m/>
    <d v="2040-09-30T00:00:00"/>
    <d v="2040-09-30T00:00:00"/>
    <d v="2040-09-30T00:00:00"/>
    <n v="104.66523349196908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INC_CORE_CORE"/>
    <m/>
    <n v="181"/>
    <m/>
    <d v="2040-10-31T00:00:00"/>
    <d v="2040-10-31T00:00:00"/>
    <d v="2040-10-31T00:00:00"/>
    <n v="104.66523349196908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INC_CORE_CORE"/>
    <m/>
    <n v="182"/>
    <m/>
    <d v="2040-11-30T00:00:00"/>
    <d v="2040-11-30T00:00:00"/>
    <d v="2040-11-30T00:00:00"/>
    <n v="104.66523349196908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INC_CORE_CORE"/>
    <m/>
    <n v="183"/>
    <m/>
    <d v="2040-12-31T00:00:00"/>
    <d v="2040-12-31T00:00:00"/>
    <d v="2040-12-31T00:00:00"/>
    <n v="104.66523349196908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INC_CORE_CORE"/>
    <m/>
    <n v="184"/>
    <m/>
    <d v="2041-01-31T00:00:00"/>
    <d v="2041-01-31T00:00:00"/>
    <d v="2041-01-31T00:00:00"/>
    <n v="104.66523349196908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INC_CORE_CORE"/>
    <m/>
    <n v="185"/>
    <m/>
    <d v="2041-02-28T00:00:00"/>
    <d v="2041-02-28T00:00:00"/>
    <d v="2041-02-28T00:00:00"/>
    <n v="104.66523349196908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INC_CORE_CORE"/>
    <m/>
    <n v="186"/>
    <m/>
    <d v="2041-03-31T00:00:00"/>
    <d v="2041-03-31T00:00:00"/>
    <d v="2041-03-31T00:00:00"/>
    <n v="104.66523349196908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INC_CORE_CORE"/>
    <m/>
    <n v="187"/>
    <m/>
    <d v="2041-04-30T00:00:00"/>
    <d v="2041-04-30T00:00:00"/>
    <d v="2041-04-30T00:00:00"/>
    <n v="104.66523349196908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INC_CORE_CORE"/>
    <m/>
    <n v="188"/>
    <m/>
    <d v="2041-05-31T00:00:00"/>
    <d v="2041-05-31T00:00:00"/>
    <d v="2041-05-31T00:00:00"/>
    <n v="104.66523349196908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INC_CORE_CORE"/>
    <m/>
    <n v="189"/>
    <m/>
    <d v="2041-06-30T00:00:00"/>
    <d v="2041-06-30T00:00:00"/>
    <d v="2041-06-30T00:00:00"/>
    <n v="104.66523349196908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INC_CORE_CORE"/>
    <m/>
    <n v="190"/>
    <m/>
    <d v="2041-07-31T00:00:00"/>
    <d v="2041-07-31T00:00:00"/>
    <d v="2041-07-31T00:00:00"/>
    <n v="104.66523349196908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INC_CORE_CORE"/>
    <m/>
    <n v="191"/>
    <m/>
    <d v="2041-08-31T00:00:00"/>
    <d v="2041-08-31T00:00:00"/>
    <d v="2041-08-31T00:00:00"/>
    <n v="104.66523349196908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INC_CORE_CORE"/>
    <m/>
    <n v="192"/>
    <m/>
    <d v="2041-09-30T00:00:00"/>
    <d v="2041-09-30T00:00:00"/>
    <d v="2041-09-30T00:00:00"/>
    <n v="104.66523349196908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INC_CORE_CORE"/>
    <m/>
    <n v="193"/>
    <m/>
    <d v="2041-10-31T00:00:00"/>
    <d v="2041-10-31T00:00:00"/>
    <d v="2041-10-31T00:00:00"/>
    <n v="104.66523349196908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INC_CORE_CORE"/>
    <m/>
    <n v="194"/>
    <m/>
    <d v="2041-11-30T00:00:00"/>
    <d v="2041-11-30T00:00:00"/>
    <d v="2041-11-30T00:00:00"/>
    <n v="104.66523349196908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INC_CORE_CORE"/>
    <m/>
    <n v="195"/>
    <m/>
    <d v="2041-12-31T00:00:00"/>
    <d v="2041-12-31T00:00:00"/>
    <d v="2041-12-31T00:00:00"/>
    <n v="104.66523349196908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INC_CORE_CORE"/>
    <m/>
    <n v="196"/>
    <m/>
    <d v="2042-01-31T00:00:00"/>
    <d v="2042-01-31T00:00:00"/>
    <d v="2042-01-31T00:00:00"/>
    <n v="104.66523349196908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INC_CORE_CORE"/>
    <m/>
    <n v="197"/>
    <m/>
    <d v="2042-02-28T00:00:00"/>
    <d v="2042-02-28T00:00:00"/>
    <d v="2042-02-28T00:00:00"/>
    <n v="104.66523349196908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INC_CORE_CORE"/>
    <m/>
    <n v="198"/>
    <m/>
    <d v="2042-03-31T00:00:00"/>
    <d v="2042-03-31T00:00:00"/>
    <d v="2042-03-31T00:00:00"/>
    <n v="104.66523349196908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INC_CORE_CORE"/>
    <m/>
    <n v="199"/>
    <m/>
    <d v="2042-04-30T00:00:00"/>
    <d v="2042-04-30T00:00:00"/>
    <d v="2042-04-30T00:00:00"/>
    <n v="104.66523349196908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INC_CORE_CORE"/>
    <m/>
    <n v="200"/>
    <m/>
    <d v="2042-05-31T00:00:00"/>
    <d v="2042-05-31T00:00:00"/>
    <d v="2042-05-31T00:00:00"/>
    <n v="104.66523349196908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INC_CORE_CORE"/>
    <m/>
    <n v="201"/>
    <m/>
    <d v="2042-06-30T00:00:00"/>
    <d v="2042-06-30T00:00:00"/>
    <d v="2042-06-30T00:00:00"/>
    <n v="104.66523349196908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INC_CORE_CORE"/>
    <m/>
    <n v="202"/>
    <m/>
    <d v="2042-07-31T00:00:00"/>
    <d v="2042-07-31T00:00:00"/>
    <d v="2042-07-31T00:00:00"/>
    <n v="104.66523349196908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INC_CORE_CORE"/>
    <m/>
    <n v="203"/>
    <m/>
    <d v="2042-08-31T00:00:00"/>
    <d v="2042-08-31T00:00:00"/>
    <d v="2042-08-31T00:00:00"/>
    <n v="104.66523349196908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INC_CORE_CORE"/>
    <m/>
    <n v="204"/>
    <m/>
    <d v="2042-09-30T00:00:00"/>
    <d v="2042-09-30T00:00:00"/>
    <d v="2042-09-30T00:00:00"/>
    <n v="104.66523349196908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INC_CORE_CORE"/>
    <m/>
    <n v="205"/>
    <m/>
    <d v="2042-10-31T00:00:00"/>
    <d v="2042-10-31T00:00:00"/>
    <d v="2042-10-31T00:00:00"/>
    <n v="90.917367638310537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INC_CORE_CORE"/>
    <m/>
    <n v="206"/>
    <m/>
    <d v="2042-11-30T00:00:00"/>
    <d v="2042-11-30T00:00:00"/>
    <d v="2042-11-30T00:00:00"/>
    <n v="0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INC_CORE_CORE"/>
    <m/>
    <n v="207"/>
    <m/>
    <d v="2042-12-31T00:00:00"/>
    <d v="2042-12-31T00:00:00"/>
    <d v="2042-12-31T00:00:00"/>
    <n v="0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INC_CORE_CORE"/>
    <m/>
    <n v="208"/>
    <m/>
    <d v="2043-01-31T00:00:00"/>
    <d v="2043-01-31T00:00:00"/>
    <d v="2043-01-31T00:00:00"/>
    <n v="0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INC_CORE_CORE"/>
    <m/>
    <n v="209"/>
    <m/>
    <d v="2043-02-28T00:00:00"/>
    <d v="2043-02-28T00:00:00"/>
    <d v="2043-02-28T00:00:00"/>
    <n v="0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INC_CORE_CORE"/>
    <m/>
    <n v="210"/>
    <m/>
    <d v="2043-03-31T00:00:00"/>
    <d v="2043-03-31T00:00:00"/>
    <d v="2043-03-31T00:00:00"/>
    <n v="0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INC_CORE_CORE"/>
    <m/>
    <n v="211"/>
    <m/>
    <d v="2043-04-30T00:00:00"/>
    <d v="2043-04-30T00:00:00"/>
    <d v="2043-04-30T00:00:00"/>
    <n v="0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INC_CORE_CORE"/>
    <m/>
    <n v="212"/>
    <m/>
    <d v="2043-05-31T00:00:00"/>
    <d v="2043-05-31T00:00:00"/>
    <d v="2043-05-31T00:00:00"/>
    <n v="0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INC_CORE_CORE"/>
    <m/>
    <n v="213"/>
    <m/>
    <d v="2043-06-30T00:00:00"/>
    <d v="2043-06-30T00:00:00"/>
    <d v="2043-06-30T00:00:00"/>
    <n v="0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INC_CORE_CORE"/>
    <m/>
    <n v="214"/>
    <m/>
    <d v="2043-07-31T00:00:00"/>
    <d v="2043-07-31T00:00:00"/>
    <d v="2043-07-31T00:00:00"/>
    <n v="0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INC_CORE_CORE"/>
    <m/>
    <n v="215"/>
    <m/>
    <d v="2043-08-31T00:00:00"/>
    <d v="2043-08-31T00:00:00"/>
    <d v="2043-08-31T00:00:00"/>
    <n v="0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INC_CORE_CORE"/>
    <m/>
    <n v="216"/>
    <m/>
    <d v="2043-09-30T00:00:00"/>
    <d v="2043-09-30T00:00:00"/>
    <d v="2043-09-30T00:00:00"/>
    <n v="0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INC_CORE_SOFT"/>
    <m/>
    <n v="217"/>
    <m/>
    <d v="2043-10-31T00:00:00"/>
    <d v="2043-10-31T00:00:00"/>
    <d v="2043-10-31T00:00:00"/>
    <n v="0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INC_CORE_SOFT"/>
    <m/>
    <n v="218"/>
    <m/>
    <d v="2043-11-30T00:00:00"/>
    <d v="2043-11-30T00:00:00"/>
    <d v="2043-11-30T00:00:00"/>
    <n v="0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INC_CORE_SOFT"/>
    <m/>
    <n v="219"/>
    <m/>
    <d v="2043-12-31T00:00:00"/>
    <d v="2043-12-31T00:00:00"/>
    <d v="2043-12-31T00:00:00"/>
    <n v="0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INC_CORE_SOFT"/>
    <m/>
    <n v="220"/>
    <m/>
    <d v="2044-01-31T00:00:00"/>
    <d v="2044-01-31T00:00:00"/>
    <d v="2044-01-31T00:00:00"/>
    <n v="0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INC_CORE_SOFT"/>
    <m/>
    <n v="221"/>
    <m/>
    <d v="2044-02-29T00:00:00"/>
    <d v="2044-02-29T00:00:00"/>
    <d v="2044-02-29T00:00:00"/>
    <n v="0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INC_CORE_SOFT"/>
    <m/>
    <n v="222"/>
    <m/>
    <d v="2044-03-31T00:00:00"/>
    <d v="2044-03-31T00:00:00"/>
    <d v="2044-03-31T00:00:00"/>
    <n v="0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INC_CORE_SOFT"/>
    <m/>
    <n v="223"/>
    <m/>
    <d v="2044-04-30T00:00:00"/>
    <d v="2044-04-30T00:00:00"/>
    <d v="2044-04-30T00:00:00"/>
    <n v="0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INC_CORE_SOFT"/>
    <m/>
    <n v="224"/>
    <m/>
    <d v="2044-05-31T00:00:00"/>
    <d v="2044-05-31T00:00:00"/>
    <d v="2044-05-31T00:00:00"/>
    <n v="0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INC_CORE_SOFT"/>
    <m/>
    <n v="225"/>
    <m/>
    <d v="2044-06-30T00:00:00"/>
    <d v="2044-06-30T00:00:00"/>
    <d v="2044-06-30T00:00:00"/>
    <n v="0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INC_CORE_SOFT"/>
    <m/>
    <n v="226"/>
    <m/>
    <d v="2044-07-31T00:00:00"/>
    <d v="2044-07-31T00:00:00"/>
    <d v="2044-07-31T00:00:00"/>
    <n v="0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INC_CORE_SOFT"/>
    <m/>
    <n v="227"/>
    <m/>
    <d v="2044-08-31T00:00:00"/>
    <d v="2044-08-31T00:00:00"/>
    <d v="2044-08-31T00:00:00"/>
    <n v="0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INC_CORE_SOFT"/>
    <m/>
    <n v="228"/>
    <m/>
    <d v="2044-09-30T00:00:00"/>
    <d v="2044-09-30T00:00:00"/>
    <d v="2044-09-30T00:00:00"/>
    <n v="0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INC_CORE_SOFT"/>
    <m/>
    <n v="229"/>
    <m/>
    <d v="2044-10-31T00:00:00"/>
    <d v="2044-10-31T00:00:00"/>
    <d v="2044-10-31T00:00:00"/>
    <n v="0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INC_CORE_SOFT"/>
    <m/>
    <n v="230"/>
    <m/>
    <d v="2044-11-30T00:00:00"/>
    <d v="2044-11-30T00:00:00"/>
    <d v="2044-11-30T00:00:00"/>
    <n v="0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INC_CORE_SOFT"/>
    <m/>
    <n v="231"/>
    <m/>
    <d v="2044-12-31T00:00:00"/>
    <d v="2044-12-31T00:00:00"/>
    <d v="2044-12-31T00:00:00"/>
    <n v="0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INC_CORE_SOFT"/>
    <m/>
    <n v="232"/>
    <m/>
    <d v="2045-01-31T00:00:00"/>
    <d v="2045-01-31T00:00:00"/>
    <d v="2045-01-31T00:00:00"/>
    <n v="0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INC_CORE_SOFT"/>
    <m/>
    <n v="233"/>
    <m/>
    <d v="2045-02-28T00:00:00"/>
    <d v="2045-02-28T00:00:00"/>
    <d v="2045-02-28T00:00:00"/>
    <n v="0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INC_CORE_SOFT"/>
    <m/>
    <n v="234"/>
    <m/>
    <d v="2045-03-31T00:00:00"/>
    <d v="2045-03-31T00:00:00"/>
    <d v="2045-03-31T00:00:00"/>
    <n v="0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INC_CORE_SOFT"/>
    <m/>
    <n v="235"/>
    <m/>
    <d v="2045-04-30T00:00:00"/>
    <d v="2045-04-30T00:00:00"/>
    <d v="2045-04-30T00:00:00"/>
    <n v="0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INC_CORE_SOFT"/>
    <m/>
    <n v="236"/>
    <m/>
    <d v="2045-05-31T00:00:00"/>
    <d v="2045-05-31T00:00:00"/>
    <d v="2045-05-31T00:00:00"/>
    <n v="0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INC_CORE_SOFT"/>
    <m/>
    <n v="237"/>
    <m/>
    <d v="2045-06-30T00:00:00"/>
    <d v="2045-06-30T00:00:00"/>
    <d v="2045-06-30T00:00:00"/>
    <n v="0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INC_CORE_SOFT"/>
    <m/>
    <n v="238"/>
    <m/>
    <d v="2045-07-31T00:00:00"/>
    <d v="2045-07-31T00:00:00"/>
    <d v="2045-07-31T00:00:00"/>
    <n v="0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INC_CORE_SOFT"/>
    <m/>
    <n v="239"/>
    <m/>
    <d v="2045-08-31T00:00:00"/>
    <d v="2045-08-31T00:00:00"/>
    <d v="2045-08-31T00:00:00"/>
    <n v="0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INC_CORE_SOFT"/>
    <m/>
    <n v="240"/>
    <m/>
    <d v="2045-09-30T00:00:00"/>
    <d v="2045-09-30T00:00:00"/>
    <d v="2045-09-30T00:00:00"/>
    <n v="0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INC_CORE_SOFT"/>
    <m/>
    <n v="241"/>
    <m/>
    <d v="2045-10-31T00:00:00"/>
    <d v="2045-10-31T00:00:00"/>
    <d v="2045-10-31T00:00:00"/>
    <n v="0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INC_CORE_SOFT"/>
    <m/>
    <n v="242"/>
    <m/>
    <d v="2045-11-30T00:00:00"/>
    <d v="2045-11-30T00:00:00"/>
    <d v="2045-11-30T00:00:00"/>
    <n v="0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INC_CORE_SOFT"/>
    <m/>
    <n v="243"/>
    <m/>
    <d v="2045-12-31T00:00:00"/>
    <d v="2045-12-31T00:00:00"/>
    <d v="2045-12-31T00:00:00"/>
    <n v="0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INC_CORE_SOFT"/>
    <m/>
    <n v="244"/>
    <m/>
    <d v="2046-01-31T00:00:00"/>
    <d v="2046-01-31T00:00:00"/>
    <d v="2046-01-31T00:00:00"/>
    <n v="0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INC_CORE_SOFT"/>
    <m/>
    <n v="245"/>
    <m/>
    <d v="2046-02-28T00:00:00"/>
    <d v="2046-02-28T00:00:00"/>
    <d v="2046-02-28T00:00:00"/>
    <n v="0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INC_CORE_SOFT"/>
    <m/>
    <n v="246"/>
    <m/>
    <d v="2046-03-31T00:00:00"/>
    <d v="2046-03-31T00:00:00"/>
    <d v="2046-03-31T00:00:00"/>
    <n v="0"/>
    <m/>
    <m/>
    <m/>
    <m/>
    <m/>
    <n v="1"/>
    <s v="BALANCE TASAS"/>
    <m/>
    <s v="BALANCE TASAS"/>
    <s v="HTM"/>
    <n v="1"/>
    <m/>
    <m/>
    <m/>
    <m/>
  </r>
  <r>
    <d v="2025-09-30T00:00:00"/>
    <n v="1"/>
    <m/>
    <s v="PAS"/>
    <s v="CLF"/>
    <s v="CLF"/>
    <m/>
    <x v="2"/>
    <s v="CTA. AHORRO G.INC_CORE_SOFT"/>
    <m/>
    <n v="247"/>
    <m/>
    <d v="2046-04-30T00:00:00"/>
    <d v="2046-04-30T00:00:00"/>
    <d v="2046-04-30T00:00:00"/>
    <n v="0"/>
    <m/>
    <m/>
    <m/>
    <m/>
    <m/>
    <n v="1"/>
    <s v="BALANCE TASAS"/>
    <m/>
    <s v="BALANCE TASAS"/>
    <s v="HTM"/>
    <n v="1"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74">
  <r>
    <x v="0"/>
    <n v="1"/>
    <m/>
    <s v="PAS"/>
    <s v="CLP"/>
    <s v="CLP"/>
    <m/>
    <x v="0"/>
    <x v="0"/>
    <m/>
    <m/>
    <m/>
    <x v="0"/>
    <d v="2025-10-01T00:00:00"/>
    <d v="2025-10-01T00:00:00"/>
    <n v="0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0"/>
    <x v="1"/>
    <m/>
    <m/>
    <m/>
    <x v="0"/>
    <d v="2025-10-01T00:00:00"/>
    <d v="2025-10-01T00:00:00"/>
    <n v="357810792922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0"/>
    <x v="2"/>
    <m/>
    <n v="1"/>
    <m/>
    <x v="1"/>
    <d v="2025-10-31T00:00:00"/>
    <d v="2025-10-31T00:00:00"/>
    <n v="36011519040.949715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0"/>
    <x v="2"/>
    <m/>
    <n v="2"/>
    <m/>
    <x v="2"/>
    <d v="2025-11-30T00:00:00"/>
    <d v="2025-11-30T00:00:00"/>
    <n v="36011519040.949715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0"/>
    <x v="2"/>
    <m/>
    <n v="3"/>
    <m/>
    <x v="3"/>
    <d v="2025-12-31T00:00:00"/>
    <d v="2025-12-31T00:00:00"/>
    <n v="36011519040.949715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0"/>
    <x v="2"/>
    <m/>
    <n v="4"/>
    <m/>
    <x v="4"/>
    <d v="2026-01-31T00:00:00"/>
    <d v="2026-01-31T00:00:00"/>
    <n v="36011519040.949715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0"/>
    <x v="2"/>
    <m/>
    <n v="5"/>
    <m/>
    <x v="5"/>
    <d v="2026-02-28T00:00:00"/>
    <d v="2026-02-28T00:00:00"/>
    <n v="36011519040.949715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0"/>
    <x v="2"/>
    <m/>
    <n v="6"/>
    <m/>
    <x v="6"/>
    <d v="2026-03-31T00:00:00"/>
    <d v="2026-03-31T00:00:00"/>
    <n v="36011519040.949715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0"/>
    <x v="2"/>
    <m/>
    <n v="7"/>
    <m/>
    <x v="7"/>
    <d v="2026-04-30T00:00:00"/>
    <d v="2026-04-30T00:00:00"/>
    <n v="36011519040.949715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0"/>
    <x v="2"/>
    <m/>
    <n v="8"/>
    <m/>
    <x v="8"/>
    <d v="2026-05-31T00:00:00"/>
    <d v="2026-05-31T00:00:00"/>
    <n v="36011519040.949715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0"/>
    <x v="2"/>
    <m/>
    <n v="9"/>
    <m/>
    <x v="9"/>
    <d v="2026-06-30T00:00:00"/>
    <d v="2026-06-30T00:00:00"/>
    <n v="36011519040.949715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0"/>
    <x v="2"/>
    <m/>
    <n v="10"/>
    <m/>
    <x v="10"/>
    <d v="2026-07-31T00:00:00"/>
    <d v="2026-07-31T00:00:00"/>
    <n v="36011519040.949715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0"/>
    <x v="2"/>
    <m/>
    <n v="11"/>
    <m/>
    <x v="11"/>
    <d v="2026-08-31T00:00:00"/>
    <d v="2026-08-31T00:00:00"/>
    <n v="36011519040.949715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0"/>
    <x v="2"/>
    <m/>
    <n v="12"/>
    <m/>
    <x v="12"/>
    <d v="2026-09-30T00:00:00"/>
    <d v="2026-09-30T00:00:00"/>
    <n v="36011519040.949715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0"/>
    <x v="2"/>
    <m/>
    <n v="13"/>
    <m/>
    <x v="13"/>
    <d v="2026-10-31T00:00:00"/>
    <d v="2026-10-31T00:00:00"/>
    <n v="36011519040.949715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0"/>
    <x v="2"/>
    <m/>
    <n v="14"/>
    <m/>
    <x v="14"/>
    <d v="2026-11-30T00:00:00"/>
    <d v="2026-11-30T00:00:00"/>
    <n v="36011519040.949715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0"/>
    <x v="2"/>
    <m/>
    <n v="15"/>
    <m/>
    <x v="15"/>
    <d v="2026-12-31T00:00:00"/>
    <d v="2026-12-31T00:00:00"/>
    <n v="36011519040.949715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0"/>
    <x v="2"/>
    <m/>
    <n v="16"/>
    <m/>
    <x v="16"/>
    <d v="2027-01-31T00:00:00"/>
    <d v="2027-01-31T00:00:00"/>
    <n v="36011519040.949715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0"/>
    <x v="2"/>
    <m/>
    <n v="17"/>
    <m/>
    <x v="17"/>
    <d v="2027-02-28T00:00:00"/>
    <d v="2027-02-28T00:00:00"/>
    <n v="36011519040.949715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0"/>
    <x v="2"/>
    <m/>
    <n v="18"/>
    <m/>
    <x v="18"/>
    <d v="2027-03-31T00:00:00"/>
    <d v="2027-03-31T00:00:00"/>
    <n v="36011519040.949715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0"/>
    <x v="2"/>
    <m/>
    <n v="19"/>
    <m/>
    <x v="19"/>
    <d v="2027-04-30T00:00:00"/>
    <d v="2027-04-30T00:00:00"/>
    <n v="36011519040.949715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0"/>
    <x v="2"/>
    <m/>
    <n v="20"/>
    <m/>
    <x v="20"/>
    <d v="2027-05-31T00:00:00"/>
    <d v="2027-05-31T00:00:00"/>
    <n v="36011519040.949715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0"/>
    <x v="2"/>
    <m/>
    <n v="21"/>
    <m/>
    <x v="21"/>
    <d v="2027-06-30T00:00:00"/>
    <d v="2027-06-30T00:00:00"/>
    <n v="36011519040.949715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0"/>
    <x v="2"/>
    <m/>
    <n v="22"/>
    <m/>
    <x v="22"/>
    <d v="2027-07-31T00:00:00"/>
    <d v="2027-07-31T00:00:00"/>
    <n v="36011519040.949715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0"/>
    <x v="2"/>
    <m/>
    <n v="23"/>
    <m/>
    <x v="23"/>
    <d v="2027-08-31T00:00:00"/>
    <d v="2027-08-31T00:00:00"/>
    <n v="36011519040.949715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0"/>
    <x v="2"/>
    <m/>
    <n v="24"/>
    <m/>
    <x v="24"/>
    <d v="2027-09-30T00:00:00"/>
    <d v="2027-09-30T00:00:00"/>
    <n v="36011519040.949715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0"/>
    <x v="2"/>
    <m/>
    <n v="25"/>
    <m/>
    <x v="25"/>
    <d v="2027-10-31T00:00:00"/>
    <d v="2027-10-31T00:00:00"/>
    <n v="36011519040.949715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0"/>
    <x v="2"/>
    <m/>
    <n v="26"/>
    <m/>
    <x v="26"/>
    <d v="2027-11-30T00:00:00"/>
    <d v="2027-11-30T00:00:00"/>
    <n v="36011519040.949715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0"/>
    <x v="2"/>
    <m/>
    <n v="27"/>
    <m/>
    <x v="27"/>
    <d v="2027-12-31T00:00:00"/>
    <d v="2027-12-31T00:00:00"/>
    <n v="36011519040.949715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0"/>
    <x v="2"/>
    <m/>
    <n v="28"/>
    <m/>
    <x v="28"/>
    <d v="2028-01-31T00:00:00"/>
    <d v="2028-01-31T00:00:00"/>
    <n v="36011519040.949715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0"/>
    <x v="2"/>
    <m/>
    <n v="29"/>
    <m/>
    <x v="29"/>
    <d v="2028-02-29T00:00:00"/>
    <d v="2028-02-29T00:00:00"/>
    <n v="36011519040.949715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0"/>
    <x v="2"/>
    <m/>
    <n v="30"/>
    <m/>
    <x v="30"/>
    <d v="2028-03-31T00:00:00"/>
    <d v="2028-03-31T00:00:00"/>
    <n v="36011519040.949715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0"/>
    <x v="2"/>
    <m/>
    <n v="31"/>
    <m/>
    <x v="31"/>
    <d v="2028-04-30T00:00:00"/>
    <d v="2028-04-30T00:00:00"/>
    <n v="36011519040.949715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0"/>
    <x v="2"/>
    <m/>
    <n v="32"/>
    <m/>
    <x v="32"/>
    <d v="2028-05-31T00:00:00"/>
    <d v="2028-05-31T00:00:00"/>
    <n v="36011519040.949715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0"/>
    <x v="2"/>
    <m/>
    <n v="33"/>
    <m/>
    <x v="33"/>
    <d v="2028-06-30T00:00:00"/>
    <d v="2028-06-30T00:00:00"/>
    <n v="3459166099.7732425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0"/>
    <x v="2"/>
    <m/>
    <n v="34"/>
    <m/>
    <x v="34"/>
    <d v="2028-07-31T00:00:00"/>
    <d v="2028-07-31T00:00:00"/>
    <n v="3459166099.7732425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0"/>
    <x v="2"/>
    <m/>
    <n v="35"/>
    <m/>
    <x v="1"/>
    <d v="2025-10-31T00:00:00"/>
    <d v="2025-10-31T00:00:00"/>
    <n v="3459166099.7732425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0"/>
    <x v="2"/>
    <m/>
    <n v="36"/>
    <m/>
    <x v="2"/>
    <d v="2025-11-30T00:00:00"/>
    <d v="2025-11-30T00:00:00"/>
    <n v="3459166099.7732425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0"/>
    <x v="2"/>
    <m/>
    <n v="37"/>
    <m/>
    <x v="3"/>
    <d v="2025-12-31T00:00:00"/>
    <d v="2025-12-31T00:00:00"/>
    <n v="3459166099.7732425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0"/>
    <x v="2"/>
    <m/>
    <n v="38"/>
    <m/>
    <x v="4"/>
    <d v="2026-01-31T00:00:00"/>
    <d v="2026-01-31T00:00:00"/>
    <n v="3459166099.7732425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0"/>
    <x v="2"/>
    <m/>
    <n v="39"/>
    <m/>
    <x v="5"/>
    <d v="2026-02-28T00:00:00"/>
    <d v="2026-02-28T00:00:00"/>
    <n v="3459166099.7732425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0"/>
    <x v="2"/>
    <m/>
    <n v="40"/>
    <m/>
    <x v="6"/>
    <d v="2026-03-31T00:00:00"/>
    <d v="2026-03-31T00:00:00"/>
    <n v="3459166099.7732425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0"/>
    <x v="2"/>
    <m/>
    <n v="41"/>
    <m/>
    <x v="7"/>
    <d v="2026-04-30T00:00:00"/>
    <d v="2026-04-30T00:00:00"/>
    <n v="3459166099.7732425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0"/>
    <x v="2"/>
    <m/>
    <n v="42"/>
    <m/>
    <x v="8"/>
    <d v="2026-05-31T00:00:00"/>
    <d v="2026-05-31T00:00:00"/>
    <n v="1255895791.6499934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0"/>
    <x v="2"/>
    <m/>
    <n v="43"/>
    <m/>
    <x v="9"/>
    <d v="2026-06-30T00:00:00"/>
    <d v="2026-06-30T00:00:00"/>
    <n v="0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0"/>
    <x v="2"/>
    <m/>
    <n v="44"/>
    <m/>
    <x v="10"/>
    <d v="2026-07-31T00:00:00"/>
    <d v="2026-07-31T00:00:00"/>
    <n v="0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0"/>
    <x v="2"/>
    <m/>
    <n v="45"/>
    <m/>
    <x v="11"/>
    <d v="2026-08-31T00:00:00"/>
    <d v="2026-08-31T00:00:00"/>
    <n v="0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0"/>
    <x v="2"/>
    <m/>
    <n v="46"/>
    <m/>
    <x v="12"/>
    <d v="2026-09-30T00:00:00"/>
    <d v="2026-09-30T00:00:00"/>
    <n v="0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0"/>
    <x v="2"/>
    <m/>
    <n v="47"/>
    <m/>
    <x v="13"/>
    <d v="2026-10-31T00:00:00"/>
    <d v="2026-10-31T00:00:00"/>
    <n v="0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0"/>
    <x v="2"/>
    <m/>
    <n v="48"/>
    <m/>
    <x v="14"/>
    <d v="2026-11-30T00:00:00"/>
    <d v="2026-11-30T00:00:00"/>
    <n v="0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0"/>
    <x v="2"/>
    <m/>
    <n v="49"/>
    <m/>
    <x v="15"/>
    <d v="2026-12-31T00:00:00"/>
    <d v="2026-12-31T00:00:00"/>
    <n v="0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0"/>
    <x v="2"/>
    <m/>
    <n v="50"/>
    <m/>
    <x v="16"/>
    <d v="2027-01-31T00:00:00"/>
    <d v="2027-01-31T00:00:00"/>
    <n v="0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0"/>
    <x v="2"/>
    <m/>
    <n v="51"/>
    <m/>
    <x v="17"/>
    <d v="2027-02-28T00:00:00"/>
    <d v="2027-02-28T00:00:00"/>
    <n v="0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0"/>
    <x v="3"/>
    <m/>
    <n v="52"/>
    <m/>
    <x v="18"/>
    <d v="2027-03-31T00:00:00"/>
    <d v="2027-03-31T00:00:00"/>
    <n v="0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0"/>
    <x v="3"/>
    <m/>
    <n v="53"/>
    <m/>
    <x v="19"/>
    <d v="2027-04-30T00:00:00"/>
    <d v="2027-04-30T00:00:00"/>
    <n v="0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0"/>
    <x v="3"/>
    <m/>
    <n v="54"/>
    <m/>
    <x v="20"/>
    <d v="2027-05-31T00:00:00"/>
    <d v="2027-05-31T00:00:00"/>
    <n v="0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0"/>
    <x v="3"/>
    <m/>
    <n v="55"/>
    <m/>
    <x v="21"/>
    <d v="2027-06-30T00:00:00"/>
    <d v="2027-06-30T00:00:00"/>
    <n v="0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0"/>
    <x v="3"/>
    <m/>
    <n v="56"/>
    <m/>
    <x v="22"/>
    <d v="2027-07-31T00:00:00"/>
    <d v="2027-07-31T00:00:00"/>
    <n v="0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0"/>
    <x v="3"/>
    <m/>
    <n v="57"/>
    <m/>
    <x v="23"/>
    <d v="2027-08-31T00:00:00"/>
    <d v="2027-08-31T00:00:00"/>
    <n v="0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0"/>
    <x v="3"/>
    <m/>
    <n v="58"/>
    <m/>
    <x v="24"/>
    <d v="2027-09-30T00:00:00"/>
    <d v="2027-09-30T00:00:00"/>
    <n v="0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0"/>
    <x v="3"/>
    <m/>
    <n v="59"/>
    <m/>
    <x v="25"/>
    <d v="2027-10-31T00:00:00"/>
    <d v="2027-10-31T00:00:00"/>
    <n v="0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0"/>
    <x v="3"/>
    <m/>
    <n v="60"/>
    <m/>
    <x v="26"/>
    <d v="2027-11-30T00:00:00"/>
    <d v="2027-11-30T00:00:00"/>
    <n v="0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1"/>
    <x v="4"/>
    <m/>
    <m/>
    <m/>
    <x v="0"/>
    <d v="2025-10-01T00:00:00"/>
    <d v="2025-10-01T00:00:00"/>
    <n v="44791986461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1"/>
    <x v="5"/>
    <m/>
    <n v="1"/>
    <m/>
    <x v="1"/>
    <d v="2025-10-31T00:00:00"/>
    <d v="2025-10-31T00:00:00"/>
    <n v="3833994024.2763772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1"/>
    <x v="5"/>
    <m/>
    <n v="2"/>
    <m/>
    <x v="2"/>
    <d v="2025-11-30T00:00:00"/>
    <d v="2025-11-30T00:00:00"/>
    <n v="3833994024.2763772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1"/>
    <x v="5"/>
    <m/>
    <n v="3"/>
    <m/>
    <x v="3"/>
    <d v="2025-12-31T00:00:00"/>
    <d v="2025-12-31T00:00:00"/>
    <n v="3833994024.2763772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1"/>
    <x v="5"/>
    <m/>
    <n v="4"/>
    <m/>
    <x v="4"/>
    <d v="2026-01-31T00:00:00"/>
    <d v="2026-01-31T00:00:00"/>
    <n v="3833994024.2763772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1"/>
    <x v="5"/>
    <m/>
    <n v="5"/>
    <m/>
    <x v="5"/>
    <d v="2026-02-28T00:00:00"/>
    <d v="2026-02-28T00:00:00"/>
    <n v="3833994024.2763772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1"/>
    <x v="5"/>
    <m/>
    <n v="6"/>
    <m/>
    <x v="6"/>
    <d v="2026-03-31T00:00:00"/>
    <d v="2026-03-31T00:00:00"/>
    <n v="3833994024.2763772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1"/>
    <x v="5"/>
    <m/>
    <n v="7"/>
    <m/>
    <x v="7"/>
    <d v="2026-04-30T00:00:00"/>
    <d v="2026-04-30T00:00:00"/>
    <n v="3833994024.2763772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1"/>
    <x v="5"/>
    <m/>
    <n v="8"/>
    <m/>
    <x v="8"/>
    <d v="2026-05-31T00:00:00"/>
    <d v="2026-05-31T00:00:00"/>
    <n v="3833994024.2763772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1"/>
    <x v="5"/>
    <m/>
    <n v="9"/>
    <m/>
    <x v="9"/>
    <d v="2026-06-30T00:00:00"/>
    <d v="2026-06-30T00:00:00"/>
    <n v="3833994024.2763772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1"/>
    <x v="5"/>
    <m/>
    <n v="10"/>
    <m/>
    <x v="10"/>
    <d v="2026-07-31T00:00:00"/>
    <d v="2026-07-31T00:00:00"/>
    <n v="3833994024.2763772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1"/>
    <x v="5"/>
    <m/>
    <n v="11"/>
    <m/>
    <x v="11"/>
    <d v="2026-08-31T00:00:00"/>
    <d v="2026-08-31T00:00:00"/>
    <n v="3833994024.2763772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1"/>
    <x v="5"/>
    <m/>
    <n v="12"/>
    <m/>
    <x v="12"/>
    <d v="2026-09-30T00:00:00"/>
    <d v="2026-09-30T00:00:00"/>
    <n v="3833994024.2763772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1"/>
    <x v="5"/>
    <m/>
    <n v="13"/>
    <m/>
    <x v="13"/>
    <d v="2026-10-31T00:00:00"/>
    <d v="2026-10-31T00:00:00"/>
    <n v="3833994024.2763772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1"/>
    <x v="5"/>
    <m/>
    <n v="14"/>
    <m/>
    <x v="14"/>
    <d v="2026-11-30T00:00:00"/>
    <d v="2026-11-30T00:00:00"/>
    <n v="3833994024.2763772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1"/>
    <x v="5"/>
    <m/>
    <n v="15"/>
    <m/>
    <x v="15"/>
    <d v="2026-12-31T00:00:00"/>
    <d v="2026-12-31T00:00:00"/>
    <n v="3833994024.2763772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1"/>
    <x v="5"/>
    <m/>
    <n v="16"/>
    <m/>
    <x v="16"/>
    <d v="2027-01-31T00:00:00"/>
    <d v="2027-01-31T00:00:00"/>
    <n v="3833994024.2763772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1"/>
    <x v="5"/>
    <m/>
    <n v="17"/>
    <m/>
    <x v="17"/>
    <d v="2027-02-28T00:00:00"/>
    <d v="2027-02-28T00:00:00"/>
    <n v="3833994024.2763772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1"/>
    <x v="5"/>
    <m/>
    <n v="18"/>
    <m/>
    <x v="18"/>
    <d v="2027-03-31T00:00:00"/>
    <d v="2027-03-31T00:00:00"/>
    <n v="3833994024.2763772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1"/>
    <x v="5"/>
    <m/>
    <n v="19"/>
    <m/>
    <x v="19"/>
    <d v="2027-04-30T00:00:00"/>
    <d v="2027-04-30T00:00:00"/>
    <n v="3833994024.2763772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1"/>
    <x v="5"/>
    <m/>
    <n v="20"/>
    <m/>
    <x v="20"/>
    <d v="2027-05-31T00:00:00"/>
    <d v="2027-05-31T00:00:00"/>
    <n v="3833994024.2763772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1"/>
    <x v="5"/>
    <m/>
    <n v="21"/>
    <m/>
    <x v="21"/>
    <d v="2027-06-30T00:00:00"/>
    <d v="2027-06-30T00:00:00"/>
    <n v="3833994024.2763772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1"/>
    <x v="5"/>
    <m/>
    <n v="22"/>
    <m/>
    <x v="22"/>
    <d v="2027-07-31T00:00:00"/>
    <d v="2027-07-31T00:00:00"/>
    <n v="3833994024.2763772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1"/>
    <x v="5"/>
    <m/>
    <n v="23"/>
    <m/>
    <x v="23"/>
    <d v="2027-08-31T00:00:00"/>
    <d v="2027-08-31T00:00:00"/>
    <n v="3833994024.2763772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1"/>
    <x v="5"/>
    <m/>
    <n v="24"/>
    <m/>
    <x v="24"/>
    <d v="2027-09-30T00:00:00"/>
    <d v="2027-09-30T00:00:00"/>
    <n v="3833994024.2763772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1"/>
    <x v="5"/>
    <m/>
    <n v="25"/>
    <m/>
    <x v="25"/>
    <d v="2027-10-31T00:00:00"/>
    <d v="2027-10-31T00:00:00"/>
    <n v="3833994024.2763772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1"/>
    <x v="5"/>
    <m/>
    <n v="26"/>
    <m/>
    <x v="26"/>
    <d v="2027-11-30T00:00:00"/>
    <d v="2027-11-30T00:00:00"/>
    <n v="3833994024.2763772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1"/>
    <x v="5"/>
    <m/>
    <n v="27"/>
    <m/>
    <x v="27"/>
    <d v="2027-12-31T00:00:00"/>
    <d v="2027-12-31T00:00:00"/>
    <n v="3833994024.2763772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1"/>
    <x v="5"/>
    <m/>
    <n v="28"/>
    <m/>
    <x v="28"/>
    <d v="2028-01-31T00:00:00"/>
    <d v="2028-01-31T00:00:00"/>
    <n v="3833994024.2763772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1"/>
    <x v="5"/>
    <m/>
    <n v="29"/>
    <m/>
    <x v="29"/>
    <d v="2028-02-29T00:00:00"/>
    <d v="2028-02-29T00:00:00"/>
    <n v="3833994024.2763772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1"/>
    <x v="5"/>
    <m/>
    <n v="30"/>
    <m/>
    <x v="30"/>
    <d v="2028-03-31T00:00:00"/>
    <d v="2028-03-31T00:00:00"/>
    <n v="3833994024.2763772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1"/>
    <x v="5"/>
    <m/>
    <n v="31"/>
    <m/>
    <x v="31"/>
    <d v="2028-04-30T00:00:00"/>
    <d v="2028-04-30T00:00:00"/>
    <n v="3833994024.2763772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1"/>
    <x v="5"/>
    <m/>
    <n v="32"/>
    <m/>
    <x v="32"/>
    <d v="2028-05-31T00:00:00"/>
    <d v="2028-05-31T00:00:00"/>
    <n v="3833994024.2763772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1"/>
    <x v="5"/>
    <m/>
    <n v="33"/>
    <m/>
    <x v="33"/>
    <d v="2028-06-30T00:00:00"/>
    <d v="2028-06-30T00:00:00"/>
    <n v="260558730.15873015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1"/>
    <x v="5"/>
    <m/>
    <n v="34"/>
    <m/>
    <x v="34"/>
    <d v="2028-07-31T00:00:00"/>
    <d v="2028-07-31T00:00:00"/>
    <n v="260558730.15873015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1"/>
    <x v="5"/>
    <m/>
    <n v="35"/>
    <m/>
    <x v="1"/>
    <d v="2025-10-31T00:00:00"/>
    <d v="2025-10-31T00:00:00"/>
    <n v="260558730.15873015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1"/>
    <x v="5"/>
    <m/>
    <n v="36"/>
    <m/>
    <x v="2"/>
    <d v="2025-11-30T00:00:00"/>
    <d v="2025-11-30T00:00:00"/>
    <n v="260558730.15873015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1"/>
    <x v="5"/>
    <m/>
    <n v="37"/>
    <m/>
    <x v="3"/>
    <d v="2025-12-31T00:00:00"/>
    <d v="2025-12-31T00:00:00"/>
    <n v="260558730.15873015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1"/>
    <x v="5"/>
    <m/>
    <n v="38"/>
    <m/>
    <x v="4"/>
    <d v="2026-01-31T00:00:00"/>
    <d v="2026-01-31T00:00:00"/>
    <n v="260558730.15873015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1"/>
    <x v="5"/>
    <m/>
    <n v="39"/>
    <m/>
    <x v="5"/>
    <d v="2026-02-28T00:00:00"/>
    <d v="2026-02-28T00:00:00"/>
    <n v="260558730.15873015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1"/>
    <x v="5"/>
    <m/>
    <n v="40"/>
    <m/>
    <x v="6"/>
    <d v="2026-03-31T00:00:00"/>
    <d v="2026-03-31T00:00:00"/>
    <n v="260558730.15873015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1"/>
    <x v="5"/>
    <m/>
    <n v="41"/>
    <m/>
    <x v="7"/>
    <d v="2026-04-30T00:00:00"/>
    <d v="2026-04-30T00:00:00"/>
    <n v="260558730.15873015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1"/>
    <x v="5"/>
    <m/>
    <n v="42"/>
    <m/>
    <x v="8"/>
    <d v="2026-05-31T00:00:00"/>
    <d v="2026-05-31T00:00:00"/>
    <n v="89162651.727357611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1"/>
    <x v="5"/>
    <m/>
    <n v="43"/>
    <m/>
    <x v="9"/>
    <d v="2026-06-30T00:00:00"/>
    <d v="2026-06-30T00:00:00"/>
    <n v="0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1"/>
    <x v="5"/>
    <m/>
    <n v="44"/>
    <m/>
    <x v="10"/>
    <d v="2026-07-31T00:00:00"/>
    <d v="2026-07-31T00:00:00"/>
    <n v="0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1"/>
    <x v="5"/>
    <m/>
    <n v="45"/>
    <m/>
    <x v="11"/>
    <d v="2026-08-31T00:00:00"/>
    <d v="2026-08-31T00:00:00"/>
    <n v="0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1"/>
    <x v="5"/>
    <m/>
    <n v="46"/>
    <m/>
    <x v="12"/>
    <d v="2026-09-30T00:00:00"/>
    <d v="2026-09-30T00:00:00"/>
    <n v="0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1"/>
    <x v="5"/>
    <m/>
    <n v="47"/>
    <m/>
    <x v="13"/>
    <d v="2026-10-31T00:00:00"/>
    <d v="2026-10-31T00:00:00"/>
    <n v="0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1"/>
    <x v="6"/>
    <m/>
    <n v="48"/>
    <m/>
    <x v="14"/>
    <d v="2026-11-30T00:00:00"/>
    <d v="2026-11-30T00:00:00"/>
    <n v="0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1"/>
    <x v="6"/>
    <m/>
    <n v="49"/>
    <m/>
    <x v="15"/>
    <d v="2026-12-31T00:00:00"/>
    <d v="2026-12-31T00:00:00"/>
    <n v="0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7"/>
    <m/>
    <m/>
    <m/>
    <x v="0"/>
    <d v="2025-10-01T00:00:00"/>
    <d v="2025-10-01T00:00:00"/>
    <n v="974142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8"/>
    <m/>
    <n v="1"/>
    <m/>
    <x v="1"/>
    <d v="2025-10-31T00:00:00"/>
    <d v="2025-10-31T00:00:00"/>
    <n v="26803.587027067224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8"/>
    <m/>
    <n v="2"/>
    <m/>
    <x v="2"/>
    <d v="2025-11-30T00:00:00"/>
    <d v="2025-11-30T00:00:00"/>
    <n v="26803.587027067224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8"/>
    <m/>
    <n v="3"/>
    <m/>
    <x v="3"/>
    <d v="2025-12-31T00:00:00"/>
    <d v="2025-12-31T00:00:00"/>
    <n v="26803.587027067224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8"/>
    <m/>
    <n v="4"/>
    <m/>
    <x v="4"/>
    <d v="2026-01-31T00:00:00"/>
    <d v="2026-01-31T00:00:00"/>
    <n v="26803.587027067224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8"/>
    <m/>
    <n v="5"/>
    <m/>
    <x v="5"/>
    <d v="2026-02-28T00:00:00"/>
    <d v="2026-02-28T00:00:00"/>
    <n v="26803.587027067224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8"/>
    <m/>
    <n v="6"/>
    <m/>
    <x v="6"/>
    <d v="2026-03-31T00:00:00"/>
    <d v="2026-03-31T00:00:00"/>
    <n v="26803.587027067224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8"/>
    <m/>
    <n v="7"/>
    <m/>
    <x v="7"/>
    <d v="2026-04-30T00:00:00"/>
    <d v="2026-04-30T00:00:00"/>
    <n v="26803.587027067224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8"/>
    <m/>
    <n v="8"/>
    <m/>
    <x v="8"/>
    <d v="2026-05-31T00:00:00"/>
    <d v="2026-05-31T00:00:00"/>
    <n v="26803.587027067224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8"/>
    <m/>
    <n v="9"/>
    <m/>
    <x v="9"/>
    <d v="2026-06-30T00:00:00"/>
    <d v="2026-06-30T00:00:00"/>
    <n v="26803.587027067224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8"/>
    <m/>
    <n v="10"/>
    <m/>
    <x v="10"/>
    <d v="2026-07-31T00:00:00"/>
    <d v="2026-07-31T00:00:00"/>
    <n v="26803.587027067224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8"/>
    <m/>
    <n v="11"/>
    <m/>
    <x v="11"/>
    <d v="2026-08-31T00:00:00"/>
    <d v="2026-08-31T00:00:00"/>
    <n v="26803.587027067224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8"/>
    <m/>
    <n v="12"/>
    <m/>
    <x v="12"/>
    <d v="2026-09-30T00:00:00"/>
    <d v="2026-09-30T00:00:00"/>
    <n v="26803.587027067224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8"/>
    <m/>
    <n v="13"/>
    <m/>
    <x v="13"/>
    <d v="2026-10-31T00:00:00"/>
    <d v="2026-10-31T00:00:00"/>
    <n v="26803.587027067224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8"/>
    <m/>
    <n v="14"/>
    <m/>
    <x v="14"/>
    <d v="2026-11-30T00:00:00"/>
    <d v="2026-11-30T00:00:00"/>
    <n v="26803.587027067224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8"/>
    <m/>
    <n v="15"/>
    <m/>
    <x v="15"/>
    <d v="2026-12-31T00:00:00"/>
    <d v="2026-12-31T00:00:00"/>
    <n v="26803.587027067224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8"/>
    <m/>
    <n v="16"/>
    <m/>
    <x v="16"/>
    <d v="2027-01-31T00:00:00"/>
    <d v="2027-01-31T00:00:00"/>
    <n v="26803.587027067224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8"/>
    <m/>
    <n v="17"/>
    <m/>
    <x v="17"/>
    <d v="2027-02-28T00:00:00"/>
    <d v="2027-02-28T00:00:00"/>
    <n v="26803.587027067224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8"/>
    <m/>
    <n v="18"/>
    <m/>
    <x v="18"/>
    <d v="2027-03-31T00:00:00"/>
    <d v="2027-03-31T00:00:00"/>
    <n v="26803.587027067224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8"/>
    <m/>
    <n v="19"/>
    <m/>
    <x v="19"/>
    <d v="2027-04-30T00:00:00"/>
    <d v="2027-04-30T00:00:00"/>
    <n v="26803.587027067224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8"/>
    <m/>
    <n v="20"/>
    <m/>
    <x v="20"/>
    <d v="2027-05-31T00:00:00"/>
    <d v="2027-05-31T00:00:00"/>
    <n v="26803.587027067224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8"/>
    <m/>
    <n v="21"/>
    <m/>
    <x v="21"/>
    <d v="2027-06-30T00:00:00"/>
    <d v="2027-06-30T00:00:00"/>
    <n v="26803.587027067224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8"/>
    <m/>
    <n v="22"/>
    <m/>
    <x v="22"/>
    <d v="2027-07-31T00:00:00"/>
    <d v="2027-07-31T00:00:00"/>
    <n v="26803.587027067224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8"/>
    <m/>
    <n v="23"/>
    <m/>
    <x v="23"/>
    <d v="2027-08-31T00:00:00"/>
    <d v="2027-08-31T00:00:00"/>
    <n v="26803.587027067224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8"/>
    <m/>
    <n v="24"/>
    <m/>
    <x v="24"/>
    <d v="2027-09-30T00:00:00"/>
    <d v="2027-09-30T00:00:00"/>
    <n v="26803.587027067224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8"/>
    <m/>
    <n v="25"/>
    <m/>
    <x v="25"/>
    <d v="2027-10-31T00:00:00"/>
    <d v="2027-10-31T00:00:00"/>
    <n v="26803.587027067224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8"/>
    <m/>
    <n v="26"/>
    <m/>
    <x v="26"/>
    <d v="2027-11-30T00:00:00"/>
    <d v="2027-11-30T00:00:00"/>
    <n v="26803.587027067224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8"/>
    <m/>
    <n v="27"/>
    <m/>
    <x v="27"/>
    <d v="2027-12-31T00:00:00"/>
    <d v="2027-12-31T00:00:00"/>
    <n v="26803.587027067224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8"/>
    <m/>
    <n v="28"/>
    <m/>
    <x v="28"/>
    <d v="2028-01-31T00:00:00"/>
    <d v="2028-01-31T00:00:00"/>
    <n v="26803.587027067224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8"/>
    <m/>
    <n v="29"/>
    <m/>
    <x v="29"/>
    <d v="2028-02-29T00:00:00"/>
    <d v="2028-02-29T00:00:00"/>
    <n v="26803.587027067224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8"/>
    <m/>
    <n v="30"/>
    <m/>
    <x v="30"/>
    <d v="2028-03-31T00:00:00"/>
    <d v="2028-03-31T00:00:00"/>
    <n v="26803.587027067224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8"/>
    <m/>
    <n v="31"/>
    <m/>
    <x v="31"/>
    <d v="2028-04-30T00:00:00"/>
    <d v="2028-04-30T00:00:00"/>
    <n v="26803.587027067224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8"/>
    <m/>
    <n v="32"/>
    <m/>
    <x v="32"/>
    <d v="2028-05-31T00:00:00"/>
    <d v="2028-05-31T00:00:00"/>
    <n v="26803.587027067224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8"/>
    <m/>
    <n v="33"/>
    <m/>
    <x v="33"/>
    <d v="2028-06-30T00:00:00"/>
    <d v="2028-06-30T00:00:00"/>
    <n v="26803.587027067224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8"/>
    <m/>
    <n v="34"/>
    <m/>
    <x v="34"/>
    <d v="2028-07-31T00:00:00"/>
    <d v="2028-07-31T00:00:00"/>
    <n v="26803.587027067224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8"/>
    <m/>
    <n v="35"/>
    <m/>
    <x v="35"/>
    <d v="2028-08-31T00:00:00"/>
    <d v="2028-08-31T00:00:00"/>
    <n v="26803.587027067224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8"/>
    <m/>
    <n v="36"/>
    <m/>
    <x v="36"/>
    <d v="2028-09-30T00:00:00"/>
    <d v="2028-09-30T00:00:00"/>
    <n v="26803.587027067224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8"/>
    <m/>
    <n v="37"/>
    <m/>
    <x v="37"/>
    <d v="2028-10-31T00:00:00"/>
    <d v="2028-10-31T00:00:00"/>
    <n v="26803.587027067224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8"/>
    <m/>
    <n v="38"/>
    <m/>
    <x v="38"/>
    <d v="2028-11-30T00:00:00"/>
    <d v="2028-11-30T00:00:00"/>
    <n v="26803.587027067224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8"/>
    <m/>
    <n v="39"/>
    <m/>
    <x v="39"/>
    <d v="2028-12-31T00:00:00"/>
    <d v="2028-12-31T00:00:00"/>
    <n v="26803.587027067224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8"/>
    <m/>
    <n v="40"/>
    <m/>
    <x v="40"/>
    <d v="2029-01-31T00:00:00"/>
    <d v="2029-01-31T00:00:00"/>
    <n v="26803.587027067224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8"/>
    <m/>
    <n v="41"/>
    <m/>
    <x v="41"/>
    <d v="2029-02-28T00:00:00"/>
    <d v="2029-02-28T00:00:00"/>
    <n v="26803.587027067224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8"/>
    <m/>
    <n v="42"/>
    <m/>
    <x v="42"/>
    <d v="2029-03-31T00:00:00"/>
    <d v="2029-03-31T00:00:00"/>
    <n v="26803.587027067224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8"/>
    <m/>
    <n v="43"/>
    <m/>
    <x v="43"/>
    <d v="2029-04-30T00:00:00"/>
    <d v="2029-04-30T00:00:00"/>
    <n v="26803.587027067224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8"/>
    <m/>
    <n v="44"/>
    <m/>
    <x v="44"/>
    <d v="2029-05-31T00:00:00"/>
    <d v="2029-05-31T00:00:00"/>
    <n v="26803.587027067224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8"/>
    <m/>
    <n v="45"/>
    <m/>
    <x v="45"/>
    <d v="2029-06-30T00:00:00"/>
    <d v="2029-06-30T00:00:00"/>
    <n v="26803.587027067224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8"/>
    <m/>
    <n v="46"/>
    <m/>
    <x v="46"/>
    <d v="2029-07-31T00:00:00"/>
    <d v="2029-07-31T00:00:00"/>
    <n v="26803.587027067224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8"/>
    <m/>
    <n v="47"/>
    <m/>
    <x v="47"/>
    <d v="2029-08-31T00:00:00"/>
    <d v="2029-08-31T00:00:00"/>
    <n v="26803.587027067224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8"/>
    <m/>
    <n v="48"/>
    <m/>
    <x v="48"/>
    <d v="2029-09-30T00:00:00"/>
    <d v="2029-09-30T00:00:00"/>
    <n v="26803.587027067224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8"/>
    <m/>
    <n v="49"/>
    <m/>
    <x v="49"/>
    <d v="2029-10-31T00:00:00"/>
    <d v="2029-10-31T00:00:00"/>
    <n v="26803.587027067224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8"/>
    <m/>
    <n v="50"/>
    <m/>
    <x v="50"/>
    <d v="2029-11-30T00:00:00"/>
    <d v="2029-11-30T00:00:00"/>
    <n v="26803.587027067224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8"/>
    <m/>
    <n v="51"/>
    <m/>
    <x v="51"/>
    <d v="2029-12-31T00:00:00"/>
    <d v="2029-12-31T00:00:00"/>
    <n v="26803.587027067224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8"/>
    <m/>
    <n v="52"/>
    <m/>
    <x v="52"/>
    <d v="2030-01-31T00:00:00"/>
    <d v="2030-01-31T00:00:00"/>
    <n v="26803.587027067224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8"/>
    <m/>
    <n v="53"/>
    <m/>
    <x v="53"/>
    <d v="2030-02-28T00:00:00"/>
    <d v="2030-02-28T00:00:00"/>
    <n v="26803.587027067224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8"/>
    <m/>
    <n v="54"/>
    <m/>
    <x v="54"/>
    <d v="2030-03-31T00:00:00"/>
    <d v="2030-03-31T00:00:00"/>
    <n v="26803.587027067224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8"/>
    <m/>
    <n v="55"/>
    <m/>
    <x v="55"/>
    <d v="2030-04-30T00:00:00"/>
    <d v="2030-04-30T00:00:00"/>
    <n v="26803.587027067224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8"/>
    <m/>
    <n v="56"/>
    <m/>
    <x v="56"/>
    <d v="2030-05-31T00:00:00"/>
    <d v="2030-05-31T00:00:00"/>
    <n v="26803.587027067224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8"/>
    <m/>
    <n v="57"/>
    <m/>
    <x v="57"/>
    <d v="2030-06-30T00:00:00"/>
    <d v="2030-06-30T00:00:00"/>
    <n v="26803.587027067224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8"/>
    <m/>
    <n v="58"/>
    <m/>
    <x v="58"/>
    <d v="2030-07-31T00:00:00"/>
    <d v="2030-07-31T00:00:00"/>
    <n v="26803.587027067224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8"/>
    <m/>
    <n v="59"/>
    <m/>
    <x v="59"/>
    <d v="2030-08-31T00:00:00"/>
    <d v="2030-08-31T00:00:00"/>
    <n v="26803.587027067224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8"/>
    <m/>
    <n v="60"/>
    <m/>
    <x v="60"/>
    <d v="2030-09-30T00:00:00"/>
    <d v="2030-09-30T00:00:00"/>
    <n v="26803.587027067224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8"/>
    <m/>
    <n v="61"/>
    <m/>
    <x v="61"/>
    <d v="2030-10-31T00:00:00"/>
    <d v="2030-10-31T00:00:00"/>
    <n v="26803.587027067224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8"/>
    <m/>
    <n v="62"/>
    <m/>
    <x v="62"/>
    <d v="2030-11-30T00:00:00"/>
    <d v="2030-11-30T00:00:00"/>
    <n v="26803.587027067224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8"/>
    <m/>
    <n v="63"/>
    <m/>
    <x v="63"/>
    <d v="2030-12-31T00:00:00"/>
    <d v="2030-12-31T00:00:00"/>
    <n v="26803.587027067224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8"/>
    <m/>
    <n v="64"/>
    <m/>
    <x v="64"/>
    <d v="2031-01-31T00:00:00"/>
    <d v="2031-01-31T00:00:00"/>
    <n v="26803.587027067224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8"/>
    <m/>
    <n v="65"/>
    <m/>
    <x v="65"/>
    <d v="2031-02-28T00:00:00"/>
    <d v="2031-02-28T00:00:00"/>
    <n v="26803.587027067224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8"/>
    <m/>
    <n v="66"/>
    <m/>
    <x v="66"/>
    <d v="2031-03-31T00:00:00"/>
    <d v="2031-03-31T00:00:00"/>
    <n v="26803.587027067224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8"/>
    <m/>
    <n v="67"/>
    <m/>
    <x v="67"/>
    <d v="2031-04-30T00:00:00"/>
    <d v="2031-04-30T00:00:00"/>
    <n v="26803.587027067224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8"/>
    <m/>
    <n v="68"/>
    <m/>
    <x v="68"/>
    <d v="2031-05-31T00:00:00"/>
    <d v="2031-05-31T00:00:00"/>
    <n v="26803.587027067224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8"/>
    <m/>
    <n v="69"/>
    <m/>
    <x v="69"/>
    <d v="2031-06-30T00:00:00"/>
    <d v="2031-06-30T00:00:00"/>
    <n v="26803.587027067224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8"/>
    <m/>
    <n v="70"/>
    <m/>
    <x v="70"/>
    <d v="2031-07-31T00:00:00"/>
    <d v="2031-07-31T00:00:00"/>
    <n v="26803.587027067224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8"/>
    <m/>
    <n v="71"/>
    <m/>
    <x v="71"/>
    <d v="2031-08-31T00:00:00"/>
    <d v="2031-08-31T00:00:00"/>
    <n v="26803.587027067224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8"/>
    <m/>
    <n v="72"/>
    <m/>
    <x v="72"/>
    <d v="2031-09-30T00:00:00"/>
    <d v="2031-09-30T00:00:00"/>
    <n v="26803.587027067224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8"/>
    <m/>
    <n v="73"/>
    <m/>
    <x v="73"/>
    <d v="2031-10-31T00:00:00"/>
    <d v="2031-10-31T00:00:00"/>
    <n v="26803.587027067224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8"/>
    <m/>
    <n v="74"/>
    <m/>
    <x v="74"/>
    <d v="2031-11-30T00:00:00"/>
    <d v="2031-11-30T00:00:00"/>
    <n v="26803.587027067224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8"/>
    <m/>
    <n v="75"/>
    <m/>
    <x v="75"/>
    <d v="2031-12-31T00:00:00"/>
    <d v="2031-12-31T00:00:00"/>
    <n v="26803.587027067224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8"/>
    <m/>
    <n v="76"/>
    <m/>
    <x v="76"/>
    <d v="2032-01-31T00:00:00"/>
    <d v="2032-01-31T00:00:00"/>
    <n v="26803.587027067224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8"/>
    <m/>
    <n v="77"/>
    <m/>
    <x v="77"/>
    <d v="2032-02-29T00:00:00"/>
    <d v="2032-02-29T00:00:00"/>
    <n v="26803.587027067224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8"/>
    <m/>
    <n v="78"/>
    <m/>
    <x v="78"/>
    <d v="2032-03-31T00:00:00"/>
    <d v="2032-03-31T00:00:00"/>
    <n v="26803.587027067224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8"/>
    <m/>
    <n v="79"/>
    <m/>
    <x v="79"/>
    <d v="2032-04-30T00:00:00"/>
    <d v="2032-04-30T00:00:00"/>
    <n v="26803.587027067224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8"/>
    <m/>
    <n v="80"/>
    <m/>
    <x v="80"/>
    <d v="2032-05-31T00:00:00"/>
    <d v="2032-05-31T00:00:00"/>
    <n v="26803.587027067224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8"/>
    <m/>
    <n v="81"/>
    <m/>
    <x v="81"/>
    <d v="2032-06-30T00:00:00"/>
    <d v="2032-06-30T00:00:00"/>
    <n v="26803.587027067224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8"/>
    <m/>
    <n v="82"/>
    <m/>
    <x v="82"/>
    <d v="2032-07-31T00:00:00"/>
    <d v="2032-07-31T00:00:00"/>
    <n v="26803.587027067224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8"/>
    <m/>
    <n v="83"/>
    <m/>
    <x v="83"/>
    <d v="2032-08-31T00:00:00"/>
    <d v="2032-08-31T00:00:00"/>
    <n v="26803.587027067224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8"/>
    <m/>
    <n v="84"/>
    <m/>
    <x v="84"/>
    <d v="2032-09-30T00:00:00"/>
    <d v="2032-09-30T00:00:00"/>
    <n v="26803.587027067224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8"/>
    <m/>
    <n v="85"/>
    <m/>
    <x v="85"/>
    <d v="2032-10-31T00:00:00"/>
    <d v="2032-10-31T00:00:00"/>
    <n v="26803.587027067224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8"/>
    <m/>
    <n v="86"/>
    <m/>
    <x v="86"/>
    <d v="2032-11-30T00:00:00"/>
    <d v="2032-11-30T00:00:00"/>
    <n v="26803.587027067224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8"/>
    <m/>
    <n v="87"/>
    <m/>
    <x v="87"/>
    <d v="2032-12-31T00:00:00"/>
    <d v="2032-12-31T00:00:00"/>
    <n v="26803.587027067224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8"/>
    <m/>
    <n v="88"/>
    <m/>
    <x v="88"/>
    <d v="2033-01-31T00:00:00"/>
    <d v="2033-01-31T00:00:00"/>
    <n v="26803.587027067224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8"/>
    <m/>
    <n v="89"/>
    <m/>
    <x v="89"/>
    <d v="2033-02-28T00:00:00"/>
    <d v="2033-02-28T00:00:00"/>
    <n v="26803.587027067224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8"/>
    <m/>
    <n v="90"/>
    <m/>
    <x v="90"/>
    <d v="2033-03-31T00:00:00"/>
    <d v="2033-03-31T00:00:00"/>
    <n v="26803.587027067224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8"/>
    <m/>
    <n v="91"/>
    <m/>
    <x v="91"/>
    <d v="2033-04-30T00:00:00"/>
    <d v="2033-04-30T00:00:00"/>
    <n v="26803.587027067224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8"/>
    <m/>
    <n v="92"/>
    <m/>
    <x v="92"/>
    <d v="2033-05-31T00:00:00"/>
    <d v="2033-05-31T00:00:00"/>
    <n v="26803.587027067224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8"/>
    <m/>
    <n v="93"/>
    <m/>
    <x v="93"/>
    <d v="2033-06-30T00:00:00"/>
    <d v="2033-06-30T00:00:00"/>
    <n v="26803.587027067224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8"/>
    <m/>
    <n v="94"/>
    <m/>
    <x v="94"/>
    <d v="2033-07-31T00:00:00"/>
    <d v="2033-07-31T00:00:00"/>
    <n v="26803.587027067224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8"/>
    <m/>
    <n v="95"/>
    <m/>
    <x v="95"/>
    <d v="2033-08-31T00:00:00"/>
    <d v="2033-08-31T00:00:00"/>
    <n v="26803.587027067224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8"/>
    <m/>
    <n v="96"/>
    <m/>
    <x v="96"/>
    <d v="2033-09-30T00:00:00"/>
    <d v="2033-09-30T00:00:00"/>
    <n v="26803.587027067224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8"/>
    <m/>
    <n v="97"/>
    <m/>
    <x v="97"/>
    <d v="2033-10-31T00:00:00"/>
    <d v="2033-10-31T00:00:00"/>
    <n v="26803.587027067224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8"/>
    <m/>
    <n v="98"/>
    <m/>
    <x v="98"/>
    <d v="2033-11-30T00:00:00"/>
    <d v="2033-11-30T00:00:00"/>
    <n v="26803.587027067224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8"/>
    <m/>
    <n v="99"/>
    <m/>
    <x v="99"/>
    <d v="2033-12-31T00:00:00"/>
    <d v="2033-12-31T00:00:00"/>
    <n v="26803.587027067224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8"/>
    <m/>
    <n v="100"/>
    <m/>
    <x v="100"/>
    <d v="2034-01-31T00:00:00"/>
    <d v="2034-01-31T00:00:00"/>
    <n v="26803.587027067224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8"/>
    <m/>
    <n v="101"/>
    <m/>
    <x v="101"/>
    <d v="2034-02-28T00:00:00"/>
    <d v="2034-02-28T00:00:00"/>
    <n v="26803.587027067224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8"/>
    <m/>
    <n v="102"/>
    <m/>
    <x v="102"/>
    <d v="2034-03-31T00:00:00"/>
    <d v="2034-03-31T00:00:00"/>
    <n v="26803.587027067224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8"/>
    <m/>
    <n v="103"/>
    <m/>
    <x v="103"/>
    <d v="2034-04-30T00:00:00"/>
    <d v="2034-04-30T00:00:00"/>
    <n v="26803.587027067224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8"/>
    <m/>
    <n v="104"/>
    <m/>
    <x v="104"/>
    <d v="2034-05-31T00:00:00"/>
    <d v="2034-05-31T00:00:00"/>
    <n v="26803.587027067224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8"/>
    <m/>
    <n v="105"/>
    <m/>
    <x v="105"/>
    <d v="2034-06-30T00:00:00"/>
    <d v="2034-06-30T00:00:00"/>
    <n v="26803.587027067224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8"/>
    <m/>
    <n v="106"/>
    <m/>
    <x v="106"/>
    <d v="2034-07-31T00:00:00"/>
    <d v="2034-07-31T00:00:00"/>
    <n v="26803.587027067224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8"/>
    <m/>
    <n v="107"/>
    <m/>
    <x v="107"/>
    <d v="2034-08-31T00:00:00"/>
    <d v="2034-08-31T00:00:00"/>
    <n v="26803.587027067224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8"/>
    <m/>
    <n v="108"/>
    <m/>
    <x v="108"/>
    <d v="2034-09-30T00:00:00"/>
    <d v="2034-09-30T00:00:00"/>
    <n v="26803.587027067224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8"/>
    <m/>
    <n v="109"/>
    <m/>
    <x v="109"/>
    <d v="2034-10-31T00:00:00"/>
    <d v="2034-10-31T00:00:00"/>
    <n v="26803.587027067224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8"/>
    <m/>
    <n v="110"/>
    <m/>
    <x v="110"/>
    <d v="2034-11-30T00:00:00"/>
    <d v="2034-11-30T00:00:00"/>
    <n v="26803.587027067224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8"/>
    <m/>
    <n v="111"/>
    <m/>
    <x v="111"/>
    <d v="2034-12-31T00:00:00"/>
    <d v="2034-12-31T00:00:00"/>
    <n v="26803.587027067224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8"/>
    <m/>
    <n v="112"/>
    <m/>
    <x v="112"/>
    <d v="2035-01-31T00:00:00"/>
    <d v="2035-01-31T00:00:00"/>
    <n v="26803.587027067224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8"/>
    <m/>
    <n v="113"/>
    <m/>
    <x v="113"/>
    <d v="2035-02-28T00:00:00"/>
    <d v="2035-02-28T00:00:00"/>
    <n v="26803.587027067224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8"/>
    <m/>
    <n v="114"/>
    <m/>
    <x v="114"/>
    <d v="2035-03-31T00:00:00"/>
    <d v="2035-03-31T00:00:00"/>
    <n v="26803.587027067224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8"/>
    <m/>
    <n v="115"/>
    <m/>
    <x v="115"/>
    <d v="2035-04-30T00:00:00"/>
    <d v="2035-04-30T00:00:00"/>
    <n v="26803.587027067224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8"/>
    <m/>
    <n v="116"/>
    <m/>
    <x v="116"/>
    <d v="2035-05-31T00:00:00"/>
    <d v="2035-05-31T00:00:00"/>
    <n v="26803.587027067224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8"/>
    <m/>
    <n v="117"/>
    <m/>
    <x v="117"/>
    <d v="2035-06-30T00:00:00"/>
    <d v="2035-06-30T00:00:00"/>
    <n v="26803.587027067224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8"/>
    <m/>
    <n v="118"/>
    <m/>
    <x v="118"/>
    <d v="2035-07-31T00:00:00"/>
    <d v="2035-07-31T00:00:00"/>
    <n v="26803.587027067224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8"/>
    <m/>
    <n v="119"/>
    <m/>
    <x v="119"/>
    <d v="2035-08-31T00:00:00"/>
    <d v="2035-08-31T00:00:00"/>
    <n v="26803.587027067224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8"/>
    <m/>
    <n v="120"/>
    <m/>
    <x v="120"/>
    <d v="2035-09-30T00:00:00"/>
    <d v="2035-09-30T00:00:00"/>
    <n v="26803.587027067224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8"/>
    <m/>
    <n v="121"/>
    <m/>
    <x v="121"/>
    <d v="2035-10-31T00:00:00"/>
    <d v="2035-10-31T00:00:00"/>
    <n v="26803.587027067224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8"/>
    <m/>
    <n v="122"/>
    <m/>
    <x v="122"/>
    <d v="2035-11-30T00:00:00"/>
    <d v="2035-11-30T00:00:00"/>
    <n v="26803.587027067224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8"/>
    <m/>
    <n v="123"/>
    <m/>
    <x v="123"/>
    <d v="2035-12-31T00:00:00"/>
    <d v="2035-12-31T00:00:00"/>
    <n v="26803.587027067224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8"/>
    <m/>
    <n v="124"/>
    <m/>
    <x v="124"/>
    <d v="2036-01-31T00:00:00"/>
    <d v="2036-01-31T00:00:00"/>
    <n v="26803.587027067224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8"/>
    <m/>
    <n v="125"/>
    <m/>
    <x v="125"/>
    <d v="2036-02-29T00:00:00"/>
    <d v="2036-02-29T00:00:00"/>
    <n v="26803.587027067224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8"/>
    <m/>
    <n v="126"/>
    <m/>
    <x v="126"/>
    <d v="2036-03-31T00:00:00"/>
    <d v="2036-03-31T00:00:00"/>
    <n v="26803.587027067224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8"/>
    <m/>
    <n v="127"/>
    <m/>
    <x v="127"/>
    <d v="2036-04-30T00:00:00"/>
    <d v="2036-04-30T00:00:00"/>
    <n v="2193.1339020672222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8"/>
    <m/>
    <n v="128"/>
    <m/>
    <x v="128"/>
    <d v="2036-05-31T00:00:00"/>
    <d v="2036-05-31T00:00:00"/>
    <n v="2193.1339020672222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8"/>
    <m/>
    <n v="129"/>
    <m/>
    <x v="129"/>
    <d v="2036-06-30T00:00:00"/>
    <d v="2036-06-30T00:00:00"/>
    <n v="2193.1339020672222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8"/>
    <m/>
    <n v="130"/>
    <m/>
    <x v="130"/>
    <d v="2036-07-31T00:00:00"/>
    <d v="2036-07-31T00:00:00"/>
    <n v="2193.1339020672222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8"/>
    <m/>
    <n v="131"/>
    <m/>
    <x v="131"/>
    <d v="2036-08-31T00:00:00"/>
    <d v="2036-08-31T00:00:00"/>
    <n v="2193.1339020672222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8"/>
    <m/>
    <n v="132"/>
    <m/>
    <x v="132"/>
    <d v="2036-09-30T00:00:00"/>
    <d v="2036-09-30T00:00:00"/>
    <n v="2193.1339020672222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8"/>
    <m/>
    <n v="133"/>
    <m/>
    <x v="133"/>
    <d v="2036-10-31T00:00:00"/>
    <d v="2036-10-31T00:00:00"/>
    <n v="2193.1339020672222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8"/>
    <m/>
    <n v="134"/>
    <m/>
    <x v="134"/>
    <d v="2036-11-30T00:00:00"/>
    <d v="2036-11-30T00:00:00"/>
    <n v="2193.1339020672222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8"/>
    <m/>
    <n v="135"/>
    <m/>
    <x v="135"/>
    <d v="2036-12-31T00:00:00"/>
    <d v="2036-12-31T00:00:00"/>
    <n v="2193.1339020672222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8"/>
    <m/>
    <n v="136"/>
    <m/>
    <x v="136"/>
    <d v="2037-01-31T00:00:00"/>
    <d v="2037-01-31T00:00:00"/>
    <n v="2193.1339020672222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8"/>
    <m/>
    <n v="137"/>
    <m/>
    <x v="137"/>
    <d v="2037-02-28T00:00:00"/>
    <d v="2037-02-28T00:00:00"/>
    <n v="2193.1339020672222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8"/>
    <m/>
    <n v="138"/>
    <m/>
    <x v="138"/>
    <d v="2037-03-31T00:00:00"/>
    <d v="2037-03-31T00:00:00"/>
    <n v="2193.1339020672222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8"/>
    <m/>
    <n v="139"/>
    <m/>
    <x v="139"/>
    <d v="2037-04-30T00:00:00"/>
    <d v="2037-04-30T00:00:00"/>
    <n v="2193.1339020672222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8"/>
    <m/>
    <n v="140"/>
    <m/>
    <x v="140"/>
    <d v="2037-05-31T00:00:00"/>
    <d v="2037-05-31T00:00:00"/>
    <n v="2193.1339020672222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8"/>
    <m/>
    <n v="141"/>
    <m/>
    <x v="141"/>
    <d v="2037-06-30T00:00:00"/>
    <d v="2037-06-30T00:00:00"/>
    <n v="2193.1339020672222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8"/>
    <m/>
    <n v="142"/>
    <m/>
    <x v="142"/>
    <d v="2037-07-31T00:00:00"/>
    <d v="2037-07-31T00:00:00"/>
    <n v="2193.1339020672222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8"/>
    <m/>
    <n v="143"/>
    <m/>
    <x v="143"/>
    <d v="2037-08-31T00:00:00"/>
    <d v="2037-08-31T00:00:00"/>
    <n v="2193.1339020672222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8"/>
    <m/>
    <n v="144"/>
    <m/>
    <x v="144"/>
    <d v="2037-09-30T00:00:00"/>
    <d v="2037-09-30T00:00:00"/>
    <n v="2193.1339020672222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8"/>
    <m/>
    <n v="145"/>
    <m/>
    <x v="145"/>
    <d v="2037-10-31T00:00:00"/>
    <d v="2037-10-31T00:00:00"/>
    <n v="2193.1339020672222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8"/>
    <m/>
    <n v="146"/>
    <m/>
    <x v="146"/>
    <d v="2037-11-30T00:00:00"/>
    <d v="2037-11-30T00:00:00"/>
    <n v="2193.1339020672222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8"/>
    <m/>
    <n v="147"/>
    <m/>
    <x v="147"/>
    <d v="2037-12-31T00:00:00"/>
    <d v="2037-12-31T00:00:00"/>
    <n v="2193.1339020672222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8"/>
    <m/>
    <n v="148"/>
    <m/>
    <x v="148"/>
    <d v="2038-01-31T00:00:00"/>
    <d v="2038-01-31T00:00:00"/>
    <n v="2193.1339020672222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8"/>
    <m/>
    <n v="149"/>
    <m/>
    <x v="149"/>
    <d v="2038-02-28T00:00:00"/>
    <d v="2038-02-28T00:00:00"/>
    <n v="2193.1339020672222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8"/>
    <m/>
    <n v="150"/>
    <m/>
    <x v="150"/>
    <d v="2038-03-31T00:00:00"/>
    <d v="2038-03-31T00:00:00"/>
    <n v="2193.1339020672222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8"/>
    <m/>
    <n v="151"/>
    <m/>
    <x v="151"/>
    <d v="2038-04-30T00:00:00"/>
    <d v="2038-04-30T00:00:00"/>
    <n v="2193.1339020672222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8"/>
    <m/>
    <n v="152"/>
    <m/>
    <x v="152"/>
    <d v="2038-05-31T00:00:00"/>
    <d v="2038-05-31T00:00:00"/>
    <n v="2193.1339020672222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8"/>
    <m/>
    <n v="153"/>
    <m/>
    <x v="153"/>
    <d v="2038-06-30T00:00:00"/>
    <d v="2038-06-30T00:00:00"/>
    <n v="2193.1339020672222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8"/>
    <m/>
    <n v="154"/>
    <m/>
    <x v="154"/>
    <d v="2038-07-31T00:00:00"/>
    <d v="2038-07-31T00:00:00"/>
    <n v="2193.1339020672222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8"/>
    <m/>
    <n v="155"/>
    <m/>
    <x v="155"/>
    <d v="2038-08-31T00:00:00"/>
    <d v="2038-08-31T00:00:00"/>
    <n v="2193.1339020672222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8"/>
    <m/>
    <n v="156"/>
    <m/>
    <x v="156"/>
    <d v="2038-09-30T00:00:00"/>
    <d v="2038-09-30T00:00:00"/>
    <n v="2193.1339020672222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8"/>
    <m/>
    <n v="157"/>
    <m/>
    <x v="157"/>
    <d v="2038-10-31T00:00:00"/>
    <d v="2038-10-31T00:00:00"/>
    <n v="2193.1339020672222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8"/>
    <m/>
    <n v="158"/>
    <m/>
    <x v="158"/>
    <d v="2038-11-30T00:00:00"/>
    <d v="2038-11-30T00:00:00"/>
    <n v="2193.1339020672222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8"/>
    <m/>
    <n v="159"/>
    <m/>
    <x v="159"/>
    <d v="2038-12-31T00:00:00"/>
    <d v="2038-12-31T00:00:00"/>
    <n v="2193.1339020672222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8"/>
    <m/>
    <n v="160"/>
    <m/>
    <x v="160"/>
    <d v="2039-01-31T00:00:00"/>
    <d v="2039-01-31T00:00:00"/>
    <n v="2193.1339020672222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8"/>
    <m/>
    <n v="161"/>
    <m/>
    <x v="161"/>
    <d v="2039-02-28T00:00:00"/>
    <d v="2039-02-28T00:00:00"/>
    <n v="2193.1339020672222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8"/>
    <m/>
    <n v="162"/>
    <m/>
    <x v="162"/>
    <d v="2039-03-31T00:00:00"/>
    <d v="2039-03-31T00:00:00"/>
    <n v="2193.1339020672222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8"/>
    <m/>
    <n v="163"/>
    <m/>
    <x v="163"/>
    <d v="2039-04-30T00:00:00"/>
    <d v="2039-04-30T00:00:00"/>
    <n v="2193.1339020672222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8"/>
    <m/>
    <n v="164"/>
    <m/>
    <x v="164"/>
    <d v="2039-05-31T00:00:00"/>
    <d v="2039-05-31T00:00:00"/>
    <n v="2193.1339020672222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8"/>
    <m/>
    <n v="165"/>
    <m/>
    <x v="165"/>
    <d v="2039-06-30T00:00:00"/>
    <d v="2039-06-30T00:00:00"/>
    <n v="2193.1339020672222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8"/>
    <m/>
    <n v="166"/>
    <m/>
    <x v="166"/>
    <d v="2039-07-31T00:00:00"/>
    <d v="2039-07-31T00:00:00"/>
    <n v="2193.1339020672222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8"/>
    <m/>
    <n v="167"/>
    <m/>
    <x v="167"/>
    <d v="2039-08-31T00:00:00"/>
    <d v="2039-08-31T00:00:00"/>
    <n v="2193.1339020672222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8"/>
    <m/>
    <n v="168"/>
    <m/>
    <x v="168"/>
    <d v="2039-09-30T00:00:00"/>
    <d v="2039-09-30T00:00:00"/>
    <n v="2193.1339020672222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8"/>
    <m/>
    <n v="169"/>
    <m/>
    <x v="169"/>
    <d v="2039-10-31T00:00:00"/>
    <d v="2039-10-31T00:00:00"/>
    <n v="2193.1339020672222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8"/>
    <m/>
    <n v="170"/>
    <m/>
    <x v="170"/>
    <d v="2039-11-30T00:00:00"/>
    <d v="2039-11-30T00:00:00"/>
    <n v="2193.1339020672222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8"/>
    <m/>
    <n v="171"/>
    <m/>
    <x v="171"/>
    <d v="2039-12-31T00:00:00"/>
    <d v="2039-12-31T00:00:00"/>
    <n v="2193.1339020672222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8"/>
    <m/>
    <n v="172"/>
    <m/>
    <x v="172"/>
    <d v="2040-01-31T00:00:00"/>
    <d v="2040-01-31T00:00:00"/>
    <n v="2193.1339020672222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8"/>
    <m/>
    <n v="173"/>
    <m/>
    <x v="173"/>
    <d v="2040-02-29T00:00:00"/>
    <d v="2040-02-29T00:00:00"/>
    <n v="2193.1339020672222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8"/>
    <m/>
    <n v="174"/>
    <m/>
    <x v="174"/>
    <d v="2040-03-31T00:00:00"/>
    <d v="2040-03-31T00:00:00"/>
    <n v="2193.1339020672222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8"/>
    <m/>
    <n v="175"/>
    <m/>
    <x v="175"/>
    <d v="2040-04-30T00:00:00"/>
    <d v="2040-04-30T00:00:00"/>
    <n v="2193.1339020672222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8"/>
    <m/>
    <n v="176"/>
    <m/>
    <x v="176"/>
    <d v="2040-05-31T00:00:00"/>
    <d v="2040-05-31T00:00:00"/>
    <n v="2193.1339020672222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8"/>
    <m/>
    <n v="177"/>
    <m/>
    <x v="177"/>
    <d v="2040-06-30T00:00:00"/>
    <d v="2040-06-30T00:00:00"/>
    <n v="2193.1339020672222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8"/>
    <m/>
    <n v="178"/>
    <m/>
    <x v="178"/>
    <d v="2040-07-31T00:00:00"/>
    <d v="2040-07-31T00:00:00"/>
    <n v="2193.1339020672222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8"/>
    <m/>
    <n v="179"/>
    <m/>
    <x v="179"/>
    <d v="2040-08-31T00:00:00"/>
    <d v="2040-08-31T00:00:00"/>
    <n v="2193.1339020672222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8"/>
    <m/>
    <n v="180"/>
    <m/>
    <x v="180"/>
    <d v="2040-09-30T00:00:00"/>
    <d v="2040-09-30T00:00:00"/>
    <n v="2193.1339020672222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8"/>
    <m/>
    <n v="181"/>
    <m/>
    <x v="181"/>
    <d v="2040-10-31T00:00:00"/>
    <d v="2040-10-31T00:00:00"/>
    <n v="2193.1339020672222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8"/>
    <m/>
    <n v="182"/>
    <m/>
    <x v="182"/>
    <d v="2040-11-30T00:00:00"/>
    <d v="2040-11-30T00:00:00"/>
    <n v="2193.1339020672222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8"/>
    <m/>
    <n v="183"/>
    <m/>
    <x v="183"/>
    <d v="2040-12-31T00:00:00"/>
    <d v="2040-12-31T00:00:00"/>
    <n v="2193.1339020672222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8"/>
    <m/>
    <n v="184"/>
    <m/>
    <x v="184"/>
    <d v="2041-01-31T00:00:00"/>
    <d v="2041-01-31T00:00:00"/>
    <n v="2193.1339020672222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8"/>
    <m/>
    <n v="185"/>
    <m/>
    <x v="185"/>
    <d v="2041-02-28T00:00:00"/>
    <d v="2041-02-28T00:00:00"/>
    <n v="2193.1339020672222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8"/>
    <m/>
    <n v="186"/>
    <m/>
    <x v="186"/>
    <d v="2041-03-31T00:00:00"/>
    <d v="2041-03-31T00:00:00"/>
    <n v="2193.1339020672222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8"/>
    <m/>
    <n v="187"/>
    <m/>
    <x v="187"/>
    <d v="2041-04-30T00:00:00"/>
    <d v="2041-04-30T00:00:00"/>
    <n v="2193.1339020672222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8"/>
    <m/>
    <n v="188"/>
    <m/>
    <x v="188"/>
    <d v="2041-05-31T00:00:00"/>
    <d v="2041-05-31T00:00:00"/>
    <n v="2193.1339020672222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8"/>
    <m/>
    <n v="189"/>
    <m/>
    <x v="189"/>
    <d v="2041-06-30T00:00:00"/>
    <d v="2041-06-30T00:00:00"/>
    <n v="2193.1339020672222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8"/>
    <m/>
    <n v="190"/>
    <m/>
    <x v="190"/>
    <d v="2041-07-31T00:00:00"/>
    <d v="2041-07-31T00:00:00"/>
    <n v="2193.1339020672222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8"/>
    <m/>
    <n v="191"/>
    <m/>
    <x v="191"/>
    <d v="2041-08-31T00:00:00"/>
    <d v="2041-08-31T00:00:00"/>
    <n v="2193.1339020672222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8"/>
    <m/>
    <n v="192"/>
    <m/>
    <x v="192"/>
    <d v="2041-09-30T00:00:00"/>
    <d v="2041-09-30T00:00:00"/>
    <n v="2193.1339020672222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8"/>
    <m/>
    <n v="193"/>
    <m/>
    <x v="193"/>
    <d v="2041-10-31T00:00:00"/>
    <d v="2041-10-31T00:00:00"/>
    <n v="2193.1339020672222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8"/>
    <m/>
    <n v="194"/>
    <m/>
    <x v="194"/>
    <d v="2041-11-30T00:00:00"/>
    <d v="2041-11-30T00:00:00"/>
    <n v="2193.1339020672222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8"/>
    <m/>
    <n v="195"/>
    <m/>
    <x v="195"/>
    <d v="2041-12-31T00:00:00"/>
    <d v="2041-12-31T00:00:00"/>
    <n v="2193.1339020672222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8"/>
    <m/>
    <n v="196"/>
    <m/>
    <x v="196"/>
    <d v="2042-01-31T00:00:00"/>
    <d v="2042-01-31T00:00:00"/>
    <n v="2193.1339020672222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8"/>
    <m/>
    <n v="197"/>
    <m/>
    <x v="197"/>
    <d v="2042-02-28T00:00:00"/>
    <d v="2042-02-28T00:00:00"/>
    <n v="2193.1339020672222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8"/>
    <m/>
    <n v="198"/>
    <m/>
    <x v="198"/>
    <d v="2042-03-31T00:00:00"/>
    <d v="2042-03-31T00:00:00"/>
    <n v="2193.1339020672222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8"/>
    <m/>
    <n v="199"/>
    <m/>
    <x v="199"/>
    <d v="2042-04-30T00:00:00"/>
    <d v="2042-04-30T00:00:00"/>
    <n v="2193.1339020672222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8"/>
    <m/>
    <n v="200"/>
    <m/>
    <x v="200"/>
    <d v="2042-05-31T00:00:00"/>
    <d v="2042-05-31T00:00:00"/>
    <n v="2193.1339020672222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8"/>
    <m/>
    <n v="201"/>
    <m/>
    <x v="201"/>
    <d v="2042-06-30T00:00:00"/>
    <d v="2042-06-30T00:00:00"/>
    <n v="2193.1339020672222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8"/>
    <m/>
    <n v="202"/>
    <m/>
    <x v="202"/>
    <d v="2042-07-31T00:00:00"/>
    <d v="2042-07-31T00:00:00"/>
    <n v="2193.1339020672222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8"/>
    <m/>
    <n v="203"/>
    <m/>
    <x v="203"/>
    <d v="2042-08-31T00:00:00"/>
    <d v="2042-08-31T00:00:00"/>
    <n v="2193.1339020672222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8"/>
    <m/>
    <n v="204"/>
    <m/>
    <x v="204"/>
    <d v="2042-09-30T00:00:00"/>
    <d v="2042-09-30T00:00:00"/>
    <n v="2193.1339020672222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8"/>
    <m/>
    <n v="205"/>
    <m/>
    <x v="205"/>
    <d v="2042-10-31T00:00:00"/>
    <d v="2042-10-31T00:00:00"/>
    <n v="1123.5902282867341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8"/>
    <m/>
    <n v="206"/>
    <m/>
    <x v="206"/>
    <d v="2042-11-30T00:00:00"/>
    <d v="2042-11-30T00:00:00"/>
    <n v="0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8"/>
    <m/>
    <n v="207"/>
    <m/>
    <x v="207"/>
    <d v="2042-12-31T00:00:00"/>
    <d v="2042-12-31T00:00:00"/>
    <n v="0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8"/>
    <m/>
    <n v="208"/>
    <m/>
    <x v="208"/>
    <d v="2043-01-31T00:00:00"/>
    <d v="2043-01-31T00:00:00"/>
    <n v="0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8"/>
    <m/>
    <n v="209"/>
    <m/>
    <x v="209"/>
    <d v="2043-02-28T00:00:00"/>
    <d v="2043-02-28T00:00:00"/>
    <n v="0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8"/>
    <m/>
    <n v="210"/>
    <m/>
    <x v="210"/>
    <d v="2043-03-31T00:00:00"/>
    <d v="2043-03-31T00:00:00"/>
    <n v="0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8"/>
    <m/>
    <n v="211"/>
    <m/>
    <x v="211"/>
    <d v="2043-04-30T00:00:00"/>
    <d v="2043-04-30T00:00:00"/>
    <n v="0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8"/>
    <m/>
    <n v="212"/>
    <m/>
    <x v="212"/>
    <d v="2043-05-31T00:00:00"/>
    <d v="2043-05-31T00:00:00"/>
    <n v="0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9"/>
    <m/>
    <n v="213"/>
    <m/>
    <x v="213"/>
    <d v="2043-06-30T00:00:00"/>
    <d v="2043-06-30T00:00:00"/>
    <n v="0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9"/>
    <m/>
    <n v="214"/>
    <m/>
    <x v="214"/>
    <d v="2043-07-31T00:00:00"/>
    <d v="2043-07-31T00:00:00"/>
    <n v="0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9"/>
    <m/>
    <n v="215"/>
    <m/>
    <x v="215"/>
    <d v="2043-08-31T00:00:00"/>
    <d v="2043-08-31T00:00:00"/>
    <n v="0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9"/>
    <m/>
    <n v="216"/>
    <m/>
    <x v="216"/>
    <d v="2043-09-30T00:00:00"/>
    <d v="2043-09-30T00:00:00"/>
    <n v="0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9"/>
    <m/>
    <n v="217"/>
    <m/>
    <x v="217"/>
    <d v="2043-10-31T00:00:00"/>
    <d v="2043-10-31T00:00:00"/>
    <n v="0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9"/>
    <m/>
    <n v="218"/>
    <m/>
    <x v="218"/>
    <d v="2043-11-30T00:00:00"/>
    <d v="2043-11-30T00:00:00"/>
    <n v="0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9"/>
    <m/>
    <n v="219"/>
    <m/>
    <x v="219"/>
    <d v="2043-12-31T00:00:00"/>
    <d v="2043-12-31T00:00:00"/>
    <n v="0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9"/>
    <m/>
    <n v="220"/>
    <m/>
    <x v="220"/>
    <d v="2044-01-31T00:00:00"/>
    <d v="2044-01-31T00:00:00"/>
    <n v="0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9"/>
    <m/>
    <n v="221"/>
    <m/>
    <x v="221"/>
    <d v="2044-02-29T00:00:00"/>
    <d v="2044-02-29T00:00:00"/>
    <n v="0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9"/>
    <m/>
    <n v="222"/>
    <m/>
    <x v="222"/>
    <d v="2044-03-31T00:00:00"/>
    <d v="2044-03-31T00:00:00"/>
    <n v="0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9"/>
    <m/>
    <n v="223"/>
    <m/>
    <x v="223"/>
    <d v="2044-04-30T00:00:00"/>
    <d v="2044-04-30T00:00:00"/>
    <n v="0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9"/>
    <m/>
    <n v="224"/>
    <m/>
    <x v="224"/>
    <d v="2044-05-31T00:00:00"/>
    <d v="2044-05-31T00:00:00"/>
    <n v="0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9"/>
    <m/>
    <n v="225"/>
    <m/>
    <x v="225"/>
    <d v="2044-06-30T00:00:00"/>
    <d v="2044-06-30T00:00:00"/>
    <n v="0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9"/>
    <m/>
    <n v="226"/>
    <m/>
    <x v="226"/>
    <d v="2044-07-31T00:00:00"/>
    <d v="2044-07-31T00:00:00"/>
    <n v="0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9"/>
    <m/>
    <n v="227"/>
    <m/>
    <x v="227"/>
    <d v="2044-08-31T00:00:00"/>
    <d v="2044-08-31T00:00:00"/>
    <n v="0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9"/>
    <m/>
    <n v="228"/>
    <m/>
    <x v="228"/>
    <d v="2044-09-30T00:00:00"/>
    <d v="2044-09-30T00:00:00"/>
    <n v="0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9"/>
    <m/>
    <n v="229"/>
    <m/>
    <x v="229"/>
    <d v="2044-10-31T00:00:00"/>
    <d v="2044-10-31T00:00:00"/>
    <n v="0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9"/>
    <m/>
    <n v="230"/>
    <m/>
    <x v="230"/>
    <d v="2044-11-30T00:00:00"/>
    <d v="2044-11-30T00:00:00"/>
    <n v="0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9"/>
    <m/>
    <n v="231"/>
    <m/>
    <x v="231"/>
    <d v="2044-12-31T00:00:00"/>
    <d v="2044-12-31T00:00:00"/>
    <n v="0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9"/>
    <m/>
    <n v="232"/>
    <m/>
    <x v="232"/>
    <d v="2045-01-31T00:00:00"/>
    <d v="2045-01-31T00:00:00"/>
    <n v="0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9"/>
    <m/>
    <n v="233"/>
    <m/>
    <x v="233"/>
    <d v="2045-02-28T00:00:00"/>
    <d v="2045-02-28T00:00:00"/>
    <n v="0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9"/>
    <m/>
    <n v="234"/>
    <m/>
    <x v="234"/>
    <d v="2045-03-31T00:00:00"/>
    <d v="2045-03-31T00:00:00"/>
    <n v="0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9"/>
    <m/>
    <n v="235"/>
    <m/>
    <x v="235"/>
    <d v="2045-04-30T00:00:00"/>
    <d v="2045-04-30T00:00:00"/>
    <n v="0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9"/>
    <m/>
    <n v="236"/>
    <m/>
    <x v="236"/>
    <d v="2045-05-31T00:00:00"/>
    <d v="2045-05-31T00:00:00"/>
    <n v="0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9"/>
    <m/>
    <n v="237"/>
    <m/>
    <x v="237"/>
    <d v="2045-06-30T00:00:00"/>
    <d v="2045-06-30T00:00:00"/>
    <n v="0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9"/>
    <m/>
    <n v="238"/>
    <m/>
    <x v="238"/>
    <d v="2045-07-31T00:00:00"/>
    <d v="2045-07-31T00:00:00"/>
    <n v="0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9"/>
    <m/>
    <n v="239"/>
    <m/>
    <x v="239"/>
    <d v="2045-08-31T00:00:00"/>
    <d v="2045-08-31T00:00:00"/>
    <n v="0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9"/>
    <m/>
    <n v="240"/>
    <m/>
    <x v="240"/>
    <d v="2045-09-30T00:00:00"/>
    <d v="2045-09-30T00:00:00"/>
    <n v="0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9"/>
    <m/>
    <n v="241"/>
    <m/>
    <x v="241"/>
    <d v="2045-10-31T00:00:00"/>
    <d v="2045-10-31T00:00:00"/>
    <n v="0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9"/>
    <m/>
    <n v="242"/>
    <m/>
    <x v="242"/>
    <d v="2045-11-30T00:00:00"/>
    <d v="2045-11-30T00:00:00"/>
    <n v="0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9"/>
    <m/>
    <n v="243"/>
    <m/>
    <x v="243"/>
    <d v="2045-12-31T00:00:00"/>
    <d v="2045-12-31T00:00:00"/>
    <n v="0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9"/>
    <m/>
    <n v="244"/>
    <m/>
    <x v="244"/>
    <d v="2046-01-31T00:00:00"/>
    <d v="2046-01-31T00:00:00"/>
    <n v="0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9"/>
    <m/>
    <n v="245"/>
    <m/>
    <x v="245"/>
    <d v="2046-02-28T00:00:00"/>
    <d v="2046-02-28T00:00:00"/>
    <n v="0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9"/>
    <m/>
    <n v="246"/>
    <m/>
    <x v="246"/>
    <d v="2046-03-31T00:00:00"/>
    <d v="2046-03-31T00:00:00"/>
    <n v="0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9"/>
    <m/>
    <n v="247"/>
    <m/>
    <x v="247"/>
    <d v="2046-04-30T00:00:00"/>
    <d v="2046-04-30T00:00:00"/>
    <n v="0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9"/>
    <m/>
    <n v="248"/>
    <m/>
    <x v="248"/>
    <d v="2046-05-31T00:00:00"/>
    <d v="2046-05-31T00:00:00"/>
    <n v="0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9"/>
    <m/>
    <n v="249"/>
    <m/>
    <x v="249"/>
    <d v="2046-06-30T00:00:00"/>
    <d v="2046-06-30T00:00:00"/>
    <n v="0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9"/>
    <m/>
    <n v="250"/>
    <m/>
    <x v="250"/>
    <d v="2046-07-31T00:00:00"/>
    <d v="2046-07-31T00:00:00"/>
    <n v="0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9"/>
    <m/>
    <n v="251"/>
    <m/>
    <x v="251"/>
    <d v="2046-08-31T00:00:00"/>
    <d v="2046-08-31T00:00:00"/>
    <n v="0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9"/>
    <m/>
    <n v="252"/>
    <m/>
    <x v="252"/>
    <d v="2046-09-30T00:00:00"/>
    <d v="2046-09-30T00:00:00"/>
    <n v="0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9"/>
    <m/>
    <n v="253"/>
    <m/>
    <x v="253"/>
    <d v="2046-10-31T00:00:00"/>
    <d v="2046-10-31T00:00:00"/>
    <n v="0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9"/>
    <m/>
    <n v="254"/>
    <m/>
    <x v="254"/>
    <d v="2046-11-30T00:00:00"/>
    <d v="2046-11-30T00:00:00"/>
    <n v="0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9"/>
    <m/>
    <n v="255"/>
    <m/>
    <x v="255"/>
    <d v="2046-12-31T00:00:00"/>
    <d v="2046-12-31T00:00:00"/>
    <n v="0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9"/>
    <m/>
    <n v="256"/>
    <m/>
    <x v="256"/>
    <d v="2047-01-31T00:00:00"/>
    <d v="2047-01-31T00:00:00"/>
    <n v="0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9"/>
    <m/>
    <n v="257"/>
    <m/>
    <x v="257"/>
    <d v="2047-02-28T00:00:00"/>
    <d v="2047-02-28T00:00:00"/>
    <n v="0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9"/>
    <m/>
    <n v="258"/>
    <m/>
    <x v="258"/>
    <d v="2047-03-31T00:00:00"/>
    <d v="2047-03-31T00:00:00"/>
    <n v="0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9"/>
    <m/>
    <n v="259"/>
    <m/>
    <x v="259"/>
    <d v="2047-04-30T00:00:00"/>
    <d v="2047-04-30T00:00:00"/>
    <n v="0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9"/>
    <m/>
    <n v="260"/>
    <m/>
    <x v="260"/>
    <d v="2047-05-31T00:00:00"/>
    <d v="2047-05-31T00:00:00"/>
    <n v="0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9"/>
    <m/>
    <n v="261"/>
    <m/>
    <x v="261"/>
    <d v="2047-06-30T00:00:00"/>
    <d v="2047-06-30T00:00:00"/>
    <n v="0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9"/>
    <m/>
    <n v="262"/>
    <m/>
    <x v="262"/>
    <d v="2047-07-31T00:00:00"/>
    <d v="2047-07-31T00:00:00"/>
    <n v="0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9"/>
    <m/>
    <n v="263"/>
    <m/>
    <x v="263"/>
    <d v="2047-08-31T00:00:00"/>
    <d v="2047-08-31T00:00:00"/>
    <n v="0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9"/>
    <m/>
    <n v="264"/>
    <m/>
    <x v="264"/>
    <d v="2047-09-30T00:00:00"/>
    <d v="2047-09-30T00:00:00"/>
    <n v="0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9"/>
    <m/>
    <n v="265"/>
    <m/>
    <x v="265"/>
    <d v="2047-10-31T00:00:00"/>
    <d v="2047-10-31T00:00:00"/>
    <n v="0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9"/>
    <m/>
    <n v="266"/>
    <m/>
    <x v="266"/>
    <d v="2047-11-30T00:00:00"/>
    <d v="2047-11-30T00:00:00"/>
    <n v="0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9"/>
    <m/>
    <n v="267"/>
    <m/>
    <x v="267"/>
    <d v="2047-12-31T00:00:00"/>
    <d v="2047-12-31T00:00:00"/>
    <n v="0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9"/>
    <m/>
    <n v="268"/>
    <m/>
    <x v="268"/>
    <d v="2048-01-31T00:00:00"/>
    <d v="2048-01-31T00:00:00"/>
    <n v="0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9"/>
    <m/>
    <n v="269"/>
    <m/>
    <x v="269"/>
    <d v="2048-02-29T00:00:00"/>
    <d v="2048-02-29T00:00:00"/>
    <n v="0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9"/>
    <m/>
    <n v="270"/>
    <m/>
    <x v="270"/>
    <d v="2048-03-31T00:00:00"/>
    <d v="2048-03-31T00:00:00"/>
    <n v="0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9"/>
    <m/>
    <n v="271"/>
    <m/>
    <x v="271"/>
    <d v="2048-04-30T00:00:00"/>
    <d v="2048-04-30T00:00:00"/>
    <n v="0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9"/>
    <m/>
    <n v="272"/>
    <m/>
    <x v="272"/>
    <d v="2048-05-31T00:00:00"/>
    <d v="2048-05-31T00:00:00"/>
    <n v="0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9"/>
    <m/>
    <n v="273"/>
    <m/>
    <x v="273"/>
    <d v="2048-06-30T00:00:00"/>
    <d v="2048-06-30T00:00:00"/>
    <n v="0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9"/>
    <m/>
    <n v="274"/>
    <m/>
    <x v="274"/>
    <d v="2048-07-31T00:00:00"/>
    <d v="2048-07-31T00:00:00"/>
    <n v="0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9"/>
    <m/>
    <n v="275"/>
    <m/>
    <x v="275"/>
    <d v="2048-08-31T00:00:00"/>
    <d v="2048-08-31T00:00:00"/>
    <n v="0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9"/>
    <m/>
    <n v="276"/>
    <m/>
    <x v="276"/>
    <d v="2048-09-30T00:00:00"/>
    <d v="2048-09-30T00:00:00"/>
    <n v="0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9"/>
    <m/>
    <n v="277"/>
    <m/>
    <x v="277"/>
    <d v="2048-10-31T00:00:00"/>
    <d v="2048-10-31T00:00:00"/>
    <n v="0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9"/>
    <m/>
    <n v="278"/>
    <m/>
    <x v="278"/>
    <d v="2048-11-30T00:00:00"/>
    <d v="2048-11-30T00:00:00"/>
    <n v="0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9"/>
    <m/>
    <n v="279"/>
    <m/>
    <x v="279"/>
    <d v="2048-12-31T00:00:00"/>
    <d v="2048-12-31T00:00:00"/>
    <n v="0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9"/>
    <m/>
    <n v="280"/>
    <m/>
    <x v="280"/>
    <d v="2049-01-31T00:00:00"/>
    <d v="2049-01-31T00:00:00"/>
    <n v="0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9"/>
    <m/>
    <n v="281"/>
    <m/>
    <x v="281"/>
    <d v="2049-02-28T00:00:00"/>
    <d v="2049-02-28T00:00:00"/>
    <n v="0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9"/>
    <m/>
    <n v="282"/>
    <m/>
    <x v="282"/>
    <d v="2049-03-31T00:00:00"/>
    <d v="2049-03-31T00:00:00"/>
    <n v="0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9"/>
    <m/>
    <n v="283"/>
    <m/>
    <x v="283"/>
    <d v="2049-04-30T00:00:00"/>
    <d v="2049-04-30T00:00:00"/>
    <n v="0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9"/>
    <m/>
    <n v="284"/>
    <m/>
    <x v="284"/>
    <d v="2049-05-31T00:00:00"/>
    <d v="2049-05-31T00:00:00"/>
    <n v="0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9"/>
    <m/>
    <n v="285"/>
    <m/>
    <x v="285"/>
    <d v="2049-06-30T00:00:00"/>
    <d v="2049-06-30T00:00:00"/>
    <n v="0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9"/>
    <m/>
    <n v="286"/>
    <m/>
    <x v="286"/>
    <d v="2049-07-31T00:00:00"/>
    <d v="2049-07-31T00:00:00"/>
    <n v="0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9"/>
    <m/>
    <n v="287"/>
    <m/>
    <x v="287"/>
    <d v="2049-08-31T00:00:00"/>
    <d v="2049-08-31T00:00:00"/>
    <n v="0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9"/>
    <m/>
    <n v="288"/>
    <m/>
    <x v="288"/>
    <d v="2049-09-30T00:00:00"/>
    <d v="2049-09-30T00:00:00"/>
    <n v="0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9"/>
    <m/>
    <n v="289"/>
    <m/>
    <x v="289"/>
    <d v="2049-10-31T00:00:00"/>
    <d v="2049-10-31T00:00:00"/>
    <n v="0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9"/>
    <m/>
    <n v="290"/>
    <m/>
    <x v="290"/>
    <d v="2049-11-30T00:00:00"/>
    <d v="2049-11-30T00:00:00"/>
    <n v="0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9"/>
    <m/>
    <n v="291"/>
    <m/>
    <x v="291"/>
    <d v="2049-12-31T00:00:00"/>
    <d v="2049-12-31T00:00:00"/>
    <n v="0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9"/>
    <m/>
    <n v="292"/>
    <m/>
    <x v="292"/>
    <d v="2050-01-31T00:00:00"/>
    <d v="2050-01-31T00:00:00"/>
    <n v="0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9"/>
    <m/>
    <n v="293"/>
    <m/>
    <x v="293"/>
    <d v="2050-02-28T00:00:00"/>
    <d v="2050-02-28T00:00:00"/>
    <n v="0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9"/>
    <m/>
    <n v="294"/>
    <m/>
    <x v="294"/>
    <d v="2050-03-31T00:00:00"/>
    <d v="2050-03-31T00:00:00"/>
    <n v="0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0"/>
    <m/>
    <m/>
    <m/>
    <x v="0"/>
    <d v="2025-10-01T00:00:00"/>
    <d v="2025-10-01T00:00:00"/>
    <n v="36724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1"/>
    <m/>
    <n v="1"/>
    <m/>
    <x v="1"/>
    <d v="2025-10-31T00:00:00"/>
    <d v="2025-10-31T00:00:00"/>
    <n v="8390.977733491969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1"/>
    <m/>
    <n v="2"/>
    <m/>
    <x v="2"/>
    <d v="2025-11-30T00:00:00"/>
    <d v="2025-11-30T00:00:00"/>
    <n v="8390.977733491969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1"/>
    <m/>
    <n v="3"/>
    <m/>
    <x v="3"/>
    <d v="2025-12-31T00:00:00"/>
    <d v="2025-12-31T00:00:00"/>
    <n v="8390.977733491969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1"/>
    <m/>
    <n v="4"/>
    <m/>
    <x v="4"/>
    <d v="2026-01-31T00:00:00"/>
    <d v="2026-01-31T00:00:00"/>
    <n v="8390.977733491969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1"/>
    <m/>
    <n v="5"/>
    <m/>
    <x v="5"/>
    <d v="2026-02-28T00:00:00"/>
    <d v="2026-02-28T00:00:00"/>
    <n v="8390.977733491969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1"/>
    <m/>
    <n v="6"/>
    <m/>
    <x v="6"/>
    <d v="2026-03-31T00:00:00"/>
    <d v="2026-03-31T00:00:00"/>
    <n v="8390.977733491969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1"/>
    <m/>
    <n v="7"/>
    <m/>
    <x v="7"/>
    <d v="2026-04-30T00:00:00"/>
    <d v="2026-04-30T00:00:00"/>
    <n v="8390.977733491969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1"/>
    <m/>
    <n v="8"/>
    <m/>
    <x v="8"/>
    <d v="2026-05-31T00:00:00"/>
    <d v="2026-05-31T00:00:00"/>
    <n v="8390.977733491969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1"/>
    <m/>
    <n v="9"/>
    <m/>
    <x v="9"/>
    <d v="2026-06-30T00:00:00"/>
    <d v="2026-06-30T00:00:00"/>
    <n v="8390.977733491969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1"/>
    <m/>
    <n v="10"/>
    <m/>
    <x v="10"/>
    <d v="2026-07-31T00:00:00"/>
    <d v="2026-07-31T00:00:00"/>
    <n v="8390.977733491969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1"/>
    <m/>
    <n v="11"/>
    <m/>
    <x v="11"/>
    <d v="2026-08-31T00:00:00"/>
    <d v="2026-08-31T00:00:00"/>
    <n v="8390.977733491969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1"/>
    <m/>
    <n v="12"/>
    <m/>
    <x v="12"/>
    <d v="2026-09-30T00:00:00"/>
    <d v="2026-09-30T00:00:00"/>
    <n v="8390.977733491969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1"/>
    <m/>
    <n v="13"/>
    <m/>
    <x v="13"/>
    <d v="2026-10-31T00:00:00"/>
    <d v="2026-10-31T00:00:00"/>
    <n v="8390.977733491969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1"/>
    <m/>
    <n v="14"/>
    <m/>
    <x v="14"/>
    <d v="2026-11-30T00:00:00"/>
    <d v="2026-11-30T00:00:00"/>
    <n v="8390.977733491969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1"/>
    <m/>
    <n v="15"/>
    <m/>
    <x v="15"/>
    <d v="2026-12-31T00:00:00"/>
    <d v="2026-12-31T00:00:00"/>
    <n v="8390.977733491969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1"/>
    <m/>
    <n v="16"/>
    <m/>
    <x v="16"/>
    <d v="2027-01-31T00:00:00"/>
    <d v="2027-01-31T00:00:00"/>
    <n v="8390.977733491969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1"/>
    <m/>
    <n v="17"/>
    <m/>
    <x v="17"/>
    <d v="2027-02-28T00:00:00"/>
    <d v="2027-02-28T00:00:00"/>
    <n v="8390.977733491969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1"/>
    <m/>
    <n v="18"/>
    <m/>
    <x v="18"/>
    <d v="2027-03-31T00:00:00"/>
    <d v="2027-03-31T00:00:00"/>
    <n v="8390.977733491969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1"/>
    <m/>
    <n v="19"/>
    <m/>
    <x v="19"/>
    <d v="2027-04-30T00:00:00"/>
    <d v="2027-04-30T00:00:00"/>
    <n v="8390.977733491969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1"/>
    <m/>
    <n v="20"/>
    <m/>
    <x v="20"/>
    <d v="2027-05-31T00:00:00"/>
    <d v="2027-05-31T00:00:00"/>
    <n v="8390.977733491969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1"/>
    <m/>
    <n v="21"/>
    <m/>
    <x v="21"/>
    <d v="2027-06-30T00:00:00"/>
    <d v="2027-06-30T00:00:00"/>
    <n v="8390.977733491969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1"/>
    <m/>
    <n v="22"/>
    <m/>
    <x v="22"/>
    <d v="2027-07-31T00:00:00"/>
    <d v="2027-07-31T00:00:00"/>
    <n v="8390.977733491969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1"/>
    <m/>
    <n v="23"/>
    <m/>
    <x v="23"/>
    <d v="2027-08-31T00:00:00"/>
    <d v="2027-08-31T00:00:00"/>
    <n v="8390.977733491969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1"/>
    <m/>
    <n v="24"/>
    <m/>
    <x v="24"/>
    <d v="2027-09-30T00:00:00"/>
    <d v="2027-09-30T00:00:00"/>
    <n v="8390.977733491969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1"/>
    <m/>
    <n v="25"/>
    <m/>
    <x v="25"/>
    <d v="2027-10-31T00:00:00"/>
    <d v="2027-10-31T00:00:00"/>
    <n v="8390.977733491969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1"/>
    <m/>
    <n v="26"/>
    <m/>
    <x v="26"/>
    <d v="2027-11-30T00:00:00"/>
    <d v="2027-11-30T00:00:00"/>
    <n v="8390.977733491969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1"/>
    <m/>
    <n v="27"/>
    <m/>
    <x v="27"/>
    <d v="2027-12-31T00:00:00"/>
    <d v="2027-12-31T00:00:00"/>
    <n v="8390.977733491969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1"/>
    <m/>
    <n v="28"/>
    <m/>
    <x v="28"/>
    <d v="2028-01-31T00:00:00"/>
    <d v="2028-01-31T00:00:00"/>
    <n v="8390.977733491969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1"/>
    <m/>
    <n v="29"/>
    <m/>
    <x v="29"/>
    <d v="2028-02-29T00:00:00"/>
    <d v="2028-02-29T00:00:00"/>
    <n v="8390.977733491969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1"/>
    <m/>
    <n v="30"/>
    <m/>
    <x v="30"/>
    <d v="2028-03-31T00:00:00"/>
    <d v="2028-03-31T00:00:00"/>
    <n v="8390.977733491969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1"/>
    <m/>
    <n v="31"/>
    <m/>
    <x v="31"/>
    <d v="2028-04-30T00:00:00"/>
    <d v="2028-04-30T00:00:00"/>
    <n v="8390.977733491969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1"/>
    <m/>
    <n v="32"/>
    <m/>
    <x v="32"/>
    <d v="2028-05-31T00:00:00"/>
    <d v="2028-05-31T00:00:00"/>
    <n v="8390.977733491969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1"/>
    <m/>
    <n v="33"/>
    <m/>
    <x v="33"/>
    <d v="2028-06-30T00:00:00"/>
    <d v="2028-06-30T00:00:00"/>
    <n v="8390.977733491969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1"/>
    <m/>
    <n v="34"/>
    <m/>
    <x v="34"/>
    <d v="2028-07-31T00:00:00"/>
    <d v="2028-07-31T00:00:00"/>
    <n v="8390.977733491969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1"/>
    <m/>
    <n v="35"/>
    <m/>
    <x v="35"/>
    <d v="2028-08-31T00:00:00"/>
    <d v="2028-08-31T00:00:00"/>
    <n v="8390.977733491969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1"/>
    <m/>
    <n v="36"/>
    <m/>
    <x v="36"/>
    <d v="2028-09-30T00:00:00"/>
    <d v="2028-09-30T00:00:00"/>
    <n v="8390.977733491969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1"/>
    <m/>
    <n v="37"/>
    <m/>
    <x v="37"/>
    <d v="2028-10-31T00:00:00"/>
    <d v="2028-10-31T00:00:00"/>
    <n v="8390.977733491969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1"/>
    <m/>
    <n v="38"/>
    <m/>
    <x v="38"/>
    <d v="2028-11-30T00:00:00"/>
    <d v="2028-11-30T00:00:00"/>
    <n v="8390.977733491969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1"/>
    <m/>
    <n v="39"/>
    <m/>
    <x v="39"/>
    <d v="2028-12-31T00:00:00"/>
    <d v="2028-12-31T00:00:00"/>
    <n v="8390.977733491969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1"/>
    <m/>
    <n v="40"/>
    <m/>
    <x v="40"/>
    <d v="2029-01-31T00:00:00"/>
    <d v="2029-01-31T00:00:00"/>
    <n v="8390.977733491969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1"/>
    <m/>
    <n v="41"/>
    <m/>
    <x v="41"/>
    <d v="2029-02-28T00:00:00"/>
    <d v="2029-02-28T00:00:00"/>
    <n v="8390.977733491969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1"/>
    <m/>
    <n v="42"/>
    <m/>
    <x v="42"/>
    <d v="2029-03-31T00:00:00"/>
    <d v="2029-03-31T00:00:00"/>
    <n v="8390.977733491969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1"/>
    <m/>
    <n v="43"/>
    <m/>
    <x v="43"/>
    <d v="2029-04-30T00:00:00"/>
    <d v="2029-04-30T00:00:00"/>
    <n v="8390.977733491969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1"/>
    <m/>
    <n v="44"/>
    <m/>
    <x v="44"/>
    <d v="2029-05-31T00:00:00"/>
    <d v="2029-05-31T00:00:00"/>
    <n v="8390.977733491969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1"/>
    <m/>
    <n v="45"/>
    <m/>
    <x v="45"/>
    <d v="2029-06-30T00:00:00"/>
    <d v="2029-06-30T00:00:00"/>
    <n v="8390.977733491969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1"/>
    <m/>
    <n v="46"/>
    <m/>
    <x v="46"/>
    <d v="2029-07-31T00:00:00"/>
    <d v="2029-07-31T00:00:00"/>
    <n v="8390.977733491969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1"/>
    <m/>
    <n v="47"/>
    <m/>
    <x v="47"/>
    <d v="2029-08-31T00:00:00"/>
    <d v="2029-08-31T00:00:00"/>
    <n v="8390.977733491969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1"/>
    <m/>
    <n v="48"/>
    <m/>
    <x v="48"/>
    <d v="2029-09-30T00:00:00"/>
    <d v="2029-09-30T00:00:00"/>
    <n v="8390.977733491969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1"/>
    <m/>
    <n v="49"/>
    <m/>
    <x v="49"/>
    <d v="2029-10-31T00:00:00"/>
    <d v="2029-10-31T00:00:00"/>
    <n v="8390.977733491969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1"/>
    <m/>
    <n v="50"/>
    <m/>
    <x v="50"/>
    <d v="2029-11-30T00:00:00"/>
    <d v="2029-11-30T00:00:00"/>
    <n v="8390.977733491969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1"/>
    <m/>
    <n v="51"/>
    <m/>
    <x v="51"/>
    <d v="2029-12-31T00:00:00"/>
    <d v="2029-12-31T00:00:00"/>
    <n v="8390.977733491969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1"/>
    <m/>
    <n v="52"/>
    <m/>
    <x v="52"/>
    <d v="2030-01-31T00:00:00"/>
    <d v="2030-01-31T00:00:00"/>
    <n v="8390.977733491969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1"/>
    <m/>
    <n v="53"/>
    <m/>
    <x v="53"/>
    <d v="2030-02-28T00:00:00"/>
    <d v="2030-02-28T00:00:00"/>
    <n v="8390.977733491969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1"/>
    <m/>
    <n v="54"/>
    <m/>
    <x v="54"/>
    <d v="2030-03-31T00:00:00"/>
    <d v="2030-03-31T00:00:00"/>
    <n v="8390.977733491969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1"/>
    <m/>
    <n v="55"/>
    <m/>
    <x v="55"/>
    <d v="2030-04-30T00:00:00"/>
    <d v="2030-04-30T00:00:00"/>
    <n v="8390.977733491969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1"/>
    <m/>
    <n v="56"/>
    <m/>
    <x v="56"/>
    <d v="2030-05-31T00:00:00"/>
    <d v="2030-05-31T00:00:00"/>
    <n v="8390.977733491969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1"/>
    <m/>
    <n v="57"/>
    <m/>
    <x v="57"/>
    <d v="2030-06-30T00:00:00"/>
    <d v="2030-06-30T00:00:00"/>
    <n v="8390.977733491969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1"/>
    <m/>
    <n v="58"/>
    <m/>
    <x v="58"/>
    <d v="2030-07-31T00:00:00"/>
    <d v="2030-07-31T00:00:00"/>
    <n v="8390.977733491969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1"/>
    <m/>
    <n v="59"/>
    <m/>
    <x v="59"/>
    <d v="2030-08-31T00:00:00"/>
    <d v="2030-08-31T00:00:00"/>
    <n v="8390.977733491969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1"/>
    <m/>
    <n v="60"/>
    <m/>
    <x v="60"/>
    <d v="2030-09-30T00:00:00"/>
    <d v="2030-09-30T00:00:00"/>
    <n v="8390.977733491969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1"/>
    <m/>
    <n v="61"/>
    <m/>
    <x v="61"/>
    <d v="2030-10-31T00:00:00"/>
    <d v="2030-10-31T00:00:00"/>
    <n v="8390.977733491969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1"/>
    <m/>
    <n v="62"/>
    <m/>
    <x v="62"/>
    <d v="2030-11-30T00:00:00"/>
    <d v="2030-11-30T00:00:00"/>
    <n v="8390.977733491969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1"/>
    <m/>
    <n v="63"/>
    <m/>
    <x v="63"/>
    <d v="2030-12-31T00:00:00"/>
    <d v="2030-12-31T00:00:00"/>
    <n v="8390.977733491969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1"/>
    <m/>
    <n v="64"/>
    <m/>
    <x v="64"/>
    <d v="2031-01-31T00:00:00"/>
    <d v="2031-01-31T00:00:00"/>
    <n v="8390.977733491969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1"/>
    <m/>
    <n v="65"/>
    <m/>
    <x v="65"/>
    <d v="2031-02-28T00:00:00"/>
    <d v="2031-02-28T00:00:00"/>
    <n v="8390.977733491969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1"/>
    <m/>
    <n v="66"/>
    <m/>
    <x v="66"/>
    <d v="2031-03-31T00:00:00"/>
    <d v="2031-03-31T00:00:00"/>
    <n v="8390.977733491969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1"/>
    <m/>
    <n v="67"/>
    <m/>
    <x v="67"/>
    <d v="2031-04-30T00:00:00"/>
    <d v="2031-04-30T00:00:00"/>
    <n v="8390.977733491969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1"/>
    <m/>
    <n v="68"/>
    <m/>
    <x v="68"/>
    <d v="2031-05-31T00:00:00"/>
    <d v="2031-05-31T00:00:00"/>
    <n v="8390.977733491969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1"/>
    <m/>
    <n v="69"/>
    <m/>
    <x v="69"/>
    <d v="2031-06-30T00:00:00"/>
    <d v="2031-06-30T00:00:00"/>
    <n v="8390.977733491969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1"/>
    <m/>
    <n v="70"/>
    <m/>
    <x v="70"/>
    <d v="2031-07-31T00:00:00"/>
    <d v="2031-07-31T00:00:00"/>
    <n v="8390.977733491969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1"/>
    <m/>
    <n v="71"/>
    <m/>
    <x v="71"/>
    <d v="2031-08-31T00:00:00"/>
    <d v="2031-08-31T00:00:00"/>
    <n v="8390.977733491969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1"/>
    <m/>
    <n v="72"/>
    <m/>
    <x v="72"/>
    <d v="2031-09-30T00:00:00"/>
    <d v="2031-09-30T00:00:00"/>
    <n v="8390.977733491969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1"/>
    <m/>
    <n v="73"/>
    <m/>
    <x v="73"/>
    <d v="2031-10-31T00:00:00"/>
    <d v="2031-10-31T00:00:00"/>
    <n v="8390.977733491969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1"/>
    <m/>
    <n v="74"/>
    <m/>
    <x v="74"/>
    <d v="2031-11-30T00:00:00"/>
    <d v="2031-11-30T00:00:00"/>
    <n v="8390.977733491969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1"/>
    <m/>
    <n v="75"/>
    <m/>
    <x v="75"/>
    <d v="2031-12-31T00:00:00"/>
    <d v="2031-12-31T00:00:00"/>
    <n v="8390.977733491969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1"/>
    <m/>
    <n v="76"/>
    <m/>
    <x v="76"/>
    <d v="2032-01-31T00:00:00"/>
    <d v="2032-01-31T00:00:00"/>
    <n v="8390.977733491969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1"/>
    <m/>
    <n v="77"/>
    <m/>
    <x v="77"/>
    <d v="2032-02-29T00:00:00"/>
    <d v="2032-02-29T00:00:00"/>
    <n v="8390.977733491969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1"/>
    <m/>
    <n v="78"/>
    <m/>
    <x v="78"/>
    <d v="2032-03-31T00:00:00"/>
    <d v="2032-03-31T00:00:00"/>
    <n v="8390.977733491969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1"/>
    <m/>
    <n v="79"/>
    <m/>
    <x v="79"/>
    <d v="2032-04-30T00:00:00"/>
    <d v="2032-04-30T00:00:00"/>
    <n v="8390.977733491969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1"/>
    <m/>
    <n v="80"/>
    <m/>
    <x v="80"/>
    <d v="2032-05-31T00:00:00"/>
    <d v="2032-05-31T00:00:00"/>
    <n v="8390.977733491969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1"/>
    <m/>
    <n v="81"/>
    <m/>
    <x v="81"/>
    <d v="2032-06-30T00:00:00"/>
    <d v="2032-06-30T00:00:00"/>
    <n v="8390.977733491969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1"/>
    <m/>
    <n v="82"/>
    <m/>
    <x v="82"/>
    <d v="2032-07-31T00:00:00"/>
    <d v="2032-07-31T00:00:00"/>
    <n v="8390.977733491969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1"/>
    <m/>
    <n v="83"/>
    <m/>
    <x v="83"/>
    <d v="2032-08-31T00:00:00"/>
    <d v="2032-08-31T00:00:00"/>
    <n v="8390.977733491969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1"/>
    <m/>
    <n v="84"/>
    <m/>
    <x v="84"/>
    <d v="2032-09-30T00:00:00"/>
    <d v="2032-09-30T00:00:00"/>
    <n v="8390.977733491969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1"/>
    <m/>
    <n v="85"/>
    <m/>
    <x v="85"/>
    <d v="2032-10-31T00:00:00"/>
    <d v="2032-10-31T00:00:00"/>
    <n v="8390.977733491969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1"/>
    <m/>
    <n v="86"/>
    <m/>
    <x v="86"/>
    <d v="2032-11-30T00:00:00"/>
    <d v="2032-11-30T00:00:00"/>
    <n v="8390.977733491969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1"/>
    <m/>
    <n v="87"/>
    <m/>
    <x v="87"/>
    <d v="2032-12-31T00:00:00"/>
    <d v="2032-12-31T00:00:00"/>
    <n v="8390.977733491969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1"/>
    <m/>
    <n v="88"/>
    <m/>
    <x v="88"/>
    <d v="2033-01-31T00:00:00"/>
    <d v="2033-01-31T00:00:00"/>
    <n v="8390.977733491969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1"/>
    <m/>
    <n v="89"/>
    <m/>
    <x v="89"/>
    <d v="2033-02-28T00:00:00"/>
    <d v="2033-02-28T00:00:00"/>
    <n v="8390.977733491969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1"/>
    <m/>
    <n v="90"/>
    <m/>
    <x v="90"/>
    <d v="2033-03-31T00:00:00"/>
    <d v="2033-03-31T00:00:00"/>
    <n v="8390.977733491969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1"/>
    <m/>
    <n v="91"/>
    <m/>
    <x v="91"/>
    <d v="2033-04-30T00:00:00"/>
    <d v="2033-04-30T00:00:00"/>
    <n v="8390.977733491969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1"/>
    <m/>
    <n v="92"/>
    <m/>
    <x v="92"/>
    <d v="2033-05-31T00:00:00"/>
    <d v="2033-05-31T00:00:00"/>
    <n v="8390.977733491969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1"/>
    <m/>
    <n v="93"/>
    <m/>
    <x v="93"/>
    <d v="2033-06-30T00:00:00"/>
    <d v="2033-06-30T00:00:00"/>
    <n v="8390.977733491969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1"/>
    <m/>
    <n v="94"/>
    <m/>
    <x v="94"/>
    <d v="2033-07-31T00:00:00"/>
    <d v="2033-07-31T00:00:00"/>
    <n v="8390.977733491969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1"/>
    <m/>
    <n v="95"/>
    <m/>
    <x v="95"/>
    <d v="2033-08-31T00:00:00"/>
    <d v="2033-08-31T00:00:00"/>
    <n v="8390.977733491969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1"/>
    <m/>
    <n v="96"/>
    <m/>
    <x v="96"/>
    <d v="2033-09-30T00:00:00"/>
    <d v="2033-09-30T00:00:00"/>
    <n v="8390.977733491969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1"/>
    <m/>
    <n v="97"/>
    <m/>
    <x v="97"/>
    <d v="2033-10-31T00:00:00"/>
    <d v="2033-10-31T00:00:00"/>
    <n v="8390.977733491969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1"/>
    <m/>
    <n v="98"/>
    <m/>
    <x v="98"/>
    <d v="2033-11-30T00:00:00"/>
    <d v="2033-11-30T00:00:00"/>
    <n v="8390.977733491969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1"/>
    <m/>
    <n v="99"/>
    <m/>
    <x v="99"/>
    <d v="2033-12-31T00:00:00"/>
    <d v="2033-12-31T00:00:00"/>
    <n v="8390.977733491969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1"/>
    <m/>
    <n v="100"/>
    <m/>
    <x v="100"/>
    <d v="2034-01-31T00:00:00"/>
    <d v="2034-01-31T00:00:00"/>
    <n v="8390.977733491969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1"/>
    <m/>
    <n v="101"/>
    <m/>
    <x v="101"/>
    <d v="2034-02-28T00:00:00"/>
    <d v="2034-02-28T00:00:00"/>
    <n v="8390.977733491969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1"/>
    <m/>
    <n v="102"/>
    <m/>
    <x v="102"/>
    <d v="2034-03-31T00:00:00"/>
    <d v="2034-03-31T00:00:00"/>
    <n v="8390.977733491969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1"/>
    <m/>
    <n v="103"/>
    <m/>
    <x v="103"/>
    <d v="2034-04-30T00:00:00"/>
    <d v="2034-04-30T00:00:00"/>
    <n v="8390.977733491969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1"/>
    <m/>
    <n v="104"/>
    <m/>
    <x v="104"/>
    <d v="2034-05-31T00:00:00"/>
    <d v="2034-05-31T00:00:00"/>
    <n v="8390.977733491969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1"/>
    <m/>
    <n v="105"/>
    <m/>
    <x v="105"/>
    <d v="2034-06-30T00:00:00"/>
    <d v="2034-06-30T00:00:00"/>
    <n v="8390.977733491969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1"/>
    <m/>
    <n v="106"/>
    <m/>
    <x v="106"/>
    <d v="2034-07-31T00:00:00"/>
    <d v="2034-07-31T00:00:00"/>
    <n v="8390.977733491969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1"/>
    <m/>
    <n v="107"/>
    <m/>
    <x v="107"/>
    <d v="2034-08-31T00:00:00"/>
    <d v="2034-08-31T00:00:00"/>
    <n v="8390.977733491969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1"/>
    <m/>
    <n v="108"/>
    <m/>
    <x v="108"/>
    <d v="2034-09-30T00:00:00"/>
    <d v="2034-09-30T00:00:00"/>
    <n v="8390.977733491969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1"/>
    <m/>
    <n v="109"/>
    <m/>
    <x v="109"/>
    <d v="2034-10-31T00:00:00"/>
    <d v="2034-10-31T00:00:00"/>
    <n v="8390.977733491969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1"/>
    <m/>
    <n v="110"/>
    <m/>
    <x v="110"/>
    <d v="2034-11-30T00:00:00"/>
    <d v="2034-11-30T00:00:00"/>
    <n v="8390.977733491969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1"/>
    <m/>
    <n v="111"/>
    <m/>
    <x v="111"/>
    <d v="2034-12-31T00:00:00"/>
    <d v="2034-12-31T00:00:00"/>
    <n v="8390.977733491969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1"/>
    <m/>
    <n v="112"/>
    <m/>
    <x v="112"/>
    <d v="2035-01-31T00:00:00"/>
    <d v="2035-01-31T00:00:00"/>
    <n v="8390.977733491969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1"/>
    <m/>
    <n v="113"/>
    <m/>
    <x v="113"/>
    <d v="2035-02-28T00:00:00"/>
    <d v="2035-02-28T00:00:00"/>
    <n v="8390.977733491969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1"/>
    <m/>
    <n v="114"/>
    <m/>
    <x v="114"/>
    <d v="2035-03-31T00:00:00"/>
    <d v="2035-03-31T00:00:00"/>
    <n v="8390.977733491969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1"/>
    <m/>
    <n v="115"/>
    <m/>
    <x v="115"/>
    <d v="2035-04-30T00:00:00"/>
    <d v="2035-04-30T00:00:00"/>
    <n v="8390.977733491969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1"/>
    <m/>
    <n v="116"/>
    <m/>
    <x v="116"/>
    <d v="2035-05-31T00:00:00"/>
    <d v="2035-05-31T00:00:00"/>
    <n v="8390.977733491969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1"/>
    <m/>
    <n v="117"/>
    <m/>
    <x v="117"/>
    <d v="2035-06-30T00:00:00"/>
    <d v="2035-06-30T00:00:00"/>
    <n v="8390.977733491969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1"/>
    <m/>
    <n v="118"/>
    <m/>
    <x v="118"/>
    <d v="2035-07-31T00:00:00"/>
    <d v="2035-07-31T00:00:00"/>
    <n v="8390.977733491969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1"/>
    <m/>
    <n v="119"/>
    <m/>
    <x v="119"/>
    <d v="2035-08-31T00:00:00"/>
    <d v="2035-08-31T00:00:00"/>
    <n v="8390.977733491969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1"/>
    <m/>
    <n v="120"/>
    <m/>
    <x v="120"/>
    <d v="2035-09-30T00:00:00"/>
    <d v="2035-09-30T00:00:00"/>
    <n v="8390.977733491969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1"/>
    <m/>
    <n v="121"/>
    <m/>
    <x v="121"/>
    <d v="2035-10-31T00:00:00"/>
    <d v="2035-10-31T00:00:00"/>
    <n v="8390.977733491969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1"/>
    <m/>
    <n v="122"/>
    <m/>
    <x v="122"/>
    <d v="2035-11-30T00:00:00"/>
    <d v="2035-11-30T00:00:00"/>
    <n v="8390.977733491969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1"/>
    <m/>
    <n v="123"/>
    <m/>
    <x v="123"/>
    <d v="2035-12-31T00:00:00"/>
    <d v="2035-12-31T00:00:00"/>
    <n v="8390.977733491969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1"/>
    <m/>
    <n v="124"/>
    <m/>
    <x v="124"/>
    <d v="2036-01-31T00:00:00"/>
    <d v="2036-01-31T00:00:00"/>
    <n v="8390.977733491969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1"/>
    <m/>
    <n v="125"/>
    <m/>
    <x v="125"/>
    <d v="2036-02-29T00:00:00"/>
    <d v="2036-02-29T00:00:00"/>
    <n v="8390.977733491969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1"/>
    <m/>
    <n v="126"/>
    <m/>
    <x v="126"/>
    <d v="2036-03-31T00:00:00"/>
    <d v="2036-03-31T00:00:00"/>
    <n v="8390.977733491969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1"/>
    <m/>
    <n v="127"/>
    <m/>
    <x v="127"/>
    <d v="2036-04-30T00:00:00"/>
    <d v="2036-04-30T00:00:00"/>
    <n v="104.66523349196908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1"/>
    <m/>
    <n v="128"/>
    <m/>
    <x v="128"/>
    <d v="2036-05-31T00:00:00"/>
    <d v="2036-05-31T00:00:00"/>
    <n v="104.66523349196908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1"/>
    <m/>
    <n v="129"/>
    <m/>
    <x v="129"/>
    <d v="2036-06-30T00:00:00"/>
    <d v="2036-06-30T00:00:00"/>
    <n v="104.66523349196908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1"/>
    <m/>
    <n v="130"/>
    <m/>
    <x v="130"/>
    <d v="2036-07-31T00:00:00"/>
    <d v="2036-07-31T00:00:00"/>
    <n v="104.66523349196908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1"/>
    <m/>
    <n v="131"/>
    <m/>
    <x v="131"/>
    <d v="2036-08-31T00:00:00"/>
    <d v="2036-08-31T00:00:00"/>
    <n v="104.66523349196908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1"/>
    <m/>
    <n v="132"/>
    <m/>
    <x v="132"/>
    <d v="2036-09-30T00:00:00"/>
    <d v="2036-09-30T00:00:00"/>
    <n v="104.66523349196908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1"/>
    <m/>
    <n v="133"/>
    <m/>
    <x v="133"/>
    <d v="2036-10-31T00:00:00"/>
    <d v="2036-10-31T00:00:00"/>
    <n v="104.66523349196908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1"/>
    <m/>
    <n v="134"/>
    <m/>
    <x v="134"/>
    <d v="2036-11-30T00:00:00"/>
    <d v="2036-11-30T00:00:00"/>
    <n v="104.66523349196908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1"/>
    <m/>
    <n v="135"/>
    <m/>
    <x v="135"/>
    <d v="2036-12-31T00:00:00"/>
    <d v="2036-12-31T00:00:00"/>
    <n v="104.66523349196908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1"/>
    <m/>
    <n v="136"/>
    <m/>
    <x v="136"/>
    <d v="2037-01-31T00:00:00"/>
    <d v="2037-01-31T00:00:00"/>
    <n v="104.66523349196908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1"/>
    <m/>
    <n v="137"/>
    <m/>
    <x v="137"/>
    <d v="2037-02-28T00:00:00"/>
    <d v="2037-02-28T00:00:00"/>
    <n v="104.66523349196908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1"/>
    <m/>
    <n v="138"/>
    <m/>
    <x v="138"/>
    <d v="2037-03-31T00:00:00"/>
    <d v="2037-03-31T00:00:00"/>
    <n v="104.66523349196908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1"/>
    <m/>
    <n v="139"/>
    <m/>
    <x v="139"/>
    <d v="2037-04-30T00:00:00"/>
    <d v="2037-04-30T00:00:00"/>
    <n v="104.66523349196908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1"/>
    <m/>
    <n v="140"/>
    <m/>
    <x v="140"/>
    <d v="2037-05-31T00:00:00"/>
    <d v="2037-05-31T00:00:00"/>
    <n v="104.66523349196908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1"/>
    <m/>
    <n v="141"/>
    <m/>
    <x v="141"/>
    <d v="2037-06-30T00:00:00"/>
    <d v="2037-06-30T00:00:00"/>
    <n v="104.66523349196908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1"/>
    <m/>
    <n v="142"/>
    <m/>
    <x v="142"/>
    <d v="2037-07-31T00:00:00"/>
    <d v="2037-07-31T00:00:00"/>
    <n v="104.66523349196908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1"/>
    <m/>
    <n v="143"/>
    <m/>
    <x v="143"/>
    <d v="2037-08-31T00:00:00"/>
    <d v="2037-08-31T00:00:00"/>
    <n v="104.66523349196908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1"/>
    <m/>
    <n v="144"/>
    <m/>
    <x v="144"/>
    <d v="2037-09-30T00:00:00"/>
    <d v="2037-09-30T00:00:00"/>
    <n v="104.66523349196908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1"/>
    <m/>
    <n v="145"/>
    <m/>
    <x v="145"/>
    <d v="2037-10-31T00:00:00"/>
    <d v="2037-10-31T00:00:00"/>
    <n v="104.66523349196908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1"/>
    <m/>
    <n v="146"/>
    <m/>
    <x v="146"/>
    <d v="2037-11-30T00:00:00"/>
    <d v="2037-11-30T00:00:00"/>
    <n v="104.66523349196908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1"/>
    <m/>
    <n v="147"/>
    <m/>
    <x v="147"/>
    <d v="2037-12-31T00:00:00"/>
    <d v="2037-12-31T00:00:00"/>
    <n v="104.66523349196908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1"/>
    <m/>
    <n v="148"/>
    <m/>
    <x v="148"/>
    <d v="2038-01-31T00:00:00"/>
    <d v="2038-01-31T00:00:00"/>
    <n v="104.66523349196908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1"/>
    <m/>
    <n v="149"/>
    <m/>
    <x v="149"/>
    <d v="2038-02-28T00:00:00"/>
    <d v="2038-02-28T00:00:00"/>
    <n v="104.66523349196908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1"/>
    <m/>
    <n v="150"/>
    <m/>
    <x v="150"/>
    <d v="2038-03-31T00:00:00"/>
    <d v="2038-03-31T00:00:00"/>
    <n v="104.66523349196908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1"/>
    <m/>
    <n v="151"/>
    <m/>
    <x v="151"/>
    <d v="2038-04-30T00:00:00"/>
    <d v="2038-04-30T00:00:00"/>
    <n v="104.66523349196908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1"/>
    <m/>
    <n v="152"/>
    <m/>
    <x v="152"/>
    <d v="2038-05-31T00:00:00"/>
    <d v="2038-05-31T00:00:00"/>
    <n v="104.66523349196908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1"/>
    <m/>
    <n v="153"/>
    <m/>
    <x v="153"/>
    <d v="2038-06-30T00:00:00"/>
    <d v="2038-06-30T00:00:00"/>
    <n v="104.66523349196908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1"/>
    <m/>
    <n v="154"/>
    <m/>
    <x v="154"/>
    <d v="2038-07-31T00:00:00"/>
    <d v="2038-07-31T00:00:00"/>
    <n v="104.66523349196908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1"/>
    <m/>
    <n v="155"/>
    <m/>
    <x v="155"/>
    <d v="2038-08-31T00:00:00"/>
    <d v="2038-08-31T00:00:00"/>
    <n v="104.66523349196908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1"/>
    <m/>
    <n v="156"/>
    <m/>
    <x v="156"/>
    <d v="2038-09-30T00:00:00"/>
    <d v="2038-09-30T00:00:00"/>
    <n v="104.66523349196908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1"/>
    <m/>
    <n v="157"/>
    <m/>
    <x v="157"/>
    <d v="2038-10-31T00:00:00"/>
    <d v="2038-10-31T00:00:00"/>
    <n v="104.66523349196908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1"/>
    <m/>
    <n v="158"/>
    <m/>
    <x v="158"/>
    <d v="2038-11-30T00:00:00"/>
    <d v="2038-11-30T00:00:00"/>
    <n v="104.66523349196908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1"/>
    <m/>
    <n v="159"/>
    <m/>
    <x v="159"/>
    <d v="2038-12-31T00:00:00"/>
    <d v="2038-12-31T00:00:00"/>
    <n v="104.66523349196908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1"/>
    <m/>
    <n v="160"/>
    <m/>
    <x v="160"/>
    <d v="2039-01-31T00:00:00"/>
    <d v="2039-01-31T00:00:00"/>
    <n v="104.66523349196908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1"/>
    <m/>
    <n v="161"/>
    <m/>
    <x v="161"/>
    <d v="2039-02-28T00:00:00"/>
    <d v="2039-02-28T00:00:00"/>
    <n v="104.66523349196908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1"/>
    <m/>
    <n v="162"/>
    <m/>
    <x v="162"/>
    <d v="2039-03-31T00:00:00"/>
    <d v="2039-03-31T00:00:00"/>
    <n v="104.66523349196908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1"/>
    <m/>
    <n v="163"/>
    <m/>
    <x v="163"/>
    <d v="2039-04-30T00:00:00"/>
    <d v="2039-04-30T00:00:00"/>
    <n v="104.66523349196908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1"/>
    <m/>
    <n v="164"/>
    <m/>
    <x v="164"/>
    <d v="2039-05-31T00:00:00"/>
    <d v="2039-05-31T00:00:00"/>
    <n v="104.66523349196908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1"/>
    <m/>
    <n v="165"/>
    <m/>
    <x v="165"/>
    <d v="2039-06-30T00:00:00"/>
    <d v="2039-06-30T00:00:00"/>
    <n v="104.66523349196908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1"/>
    <m/>
    <n v="166"/>
    <m/>
    <x v="166"/>
    <d v="2039-07-31T00:00:00"/>
    <d v="2039-07-31T00:00:00"/>
    <n v="104.66523349196908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1"/>
    <m/>
    <n v="167"/>
    <m/>
    <x v="167"/>
    <d v="2039-08-31T00:00:00"/>
    <d v="2039-08-31T00:00:00"/>
    <n v="104.66523349196908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1"/>
    <m/>
    <n v="168"/>
    <m/>
    <x v="168"/>
    <d v="2039-09-30T00:00:00"/>
    <d v="2039-09-30T00:00:00"/>
    <n v="104.66523349196908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1"/>
    <m/>
    <n v="169"/>
    <m/>
    <x v="169"/>
    <d v="2039-10-31T00:00:00"/>
    <d v="2039-10-31T00:00:00"/>
    <n v="104.66523349196908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1"/>
    <m/>
    <n v="170"/>
    <m/>
    <x v="170"/>
    <d v="2039-11-30T00:00:00"/>
    <d v="2039-11-30T00:00:00"/>
    <n v="104.66523349196908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1"/>
    <m/>
    <n v="171"/>
    <m/>
    <x v="171"/>
    <d v="2039-12-31T00:00:00"/>
    <d v="2039-12-31T00:00:00"/>
    <n v="104.66523349196908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1"/>
    <m/>
    <n v="172"/>
    <m/>
    <x v="172"/>
    <d v="2040-01-31T00:00:00"/>
    <d v="2040-01-31T00:00:00"/>
    <n v="104.66523349196908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1"/>
    <m/>
    <n v="173"/>
    <m/>
    <x v="173"/>
    <d v="2040-02-29T00:00:00"/>
    <d v="2040-02-29T00:00:00"/>
    <n v="104.66523349196908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1"/>
    <m/>
    <n v="174"/>
    <m/>
    <x v="174"/>
    <d v="2040-03-31T00:00:00"/>
    <d v="2040-03-31T00:00:00"/>
    <n v="104.66523349196908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1"/>
    <m/>
    <n v="175"/>
    <m/>
    <x v="175"/>
    <d v="2040-04-30T00:00:00"/>
    <d v="2040-04-30T00:00:00"/>
    <n v="104.66523349196908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1"/>
    <m/>
    <n v="176"/>
    <m/>
    <x v="176"/>
    <d v="2040-05-31T00:00:00"/>
    <d v="2040-05-31T00:00:00"/>
    <n v="104.66523349196908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1"/>
    <m/>
    <n v="177"/>
    <m/>
    <x v="177"/>
    <d v="2040-06-30T00:00:00"/>
    <d v="2040-06-30T00:00:00"/>
    <n v="104.66523349196908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1"/>
    <m/>
    <n v="178"/>
    <m/>
    <x v="178"/>
    <d v="2040-07-31T00:00:00"/>
    <d v="2040-07-31T00:00:00"/>
    <n v="104.66523349196908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1"/>
    <m/>
    <n v="179"/>
    <m/>
    <x v="179"/>
    <d v="2040-08-31T00:00:00"/>
    <d v="2040-08-31T00:00:00"/>
    <n v="104.66523349196908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1"/>
    <m/>
    <n v="180"/>
    <m/>
    <x v="180"/>
    <d v="2040-09-30T00:00:00"/>
    <d v="2040-09-30T00:00:00"/>
    <n v="104.66523349196908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1"/>
    <m/>
    <n v="181"/>
    <m/>
    <x v="181"/>
    <d v="2040-10-31T00:00:00"/>
    <d v="2040-10-31T00:00:00"/>
    <n v="104.66523349196908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1"/>
    <m/>
    <n v="182"/>
    <m/>
    <x v="182"/>
    <d v="2040-11-30T00:00:00"/>
    <d v="2040-11-30T00:00:00"/>
    <n v="104.66523349196908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1"/>
    <m/>
    <n v="183"/>
    <m/>
    <x v="183"/>
    <d v="2040-12-31T00:00:00"/>
    <d v="2040-12-31T00:00:00"/>
    <n v="104.66523349196908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1"/>
    <m/>
    <n v="184"/>
    <m/>
    <x v="184"/>
    <d v="2041-01-31T00:00:00"/>
    <d v="2041-01-31T00:00:00"/>
    <n v="104.66523349196908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1"/>
    <m/>
    <n v="185"/>
    <m/>
    <x v="185"/>
    <d v="2041-02-28T00:00:00"/>
    <d v="2041-02-28T00:00:00"/>
    <n v="104.66523349196908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1"/>
    <m/>
    <n v="186"/>
    <m/>
    <x v="186"/>
    <d v="2041-03-31T00:00:00"/>
    <d v="2041-03-31T00:00:00"/>
    <n v="104.66523349196908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1"/>
    <m/>
    <n v="187"/>
    <m/>
    <x v="187"/>
    <d v="2041-04-30T00:00:00"/>
    <d v="2041-04-30T00:00:00"/>
    <n v="104.66523349196908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1"/>
    <m/>
    <n v="188"/>
    <m/>
    <x v="188"/>
    <d v="2041-05-31T00:00:00"/>
    <d v="2041-05-31T00:00:00"/>
    <n v="104.66523349196908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1"/>
    <m/>
    <n v="189"/>
    <m/>
    <x v="189"/>
    <d v="2041-06-30T00:00:00"/>
    <d v="2041-06-30T00:00:00"/>
    <n v="104.66523349196908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1"/>
    <m/>
    <n v="190"/>
    <m/>
    <x v="190"/>
    <d v="2041-07-31T00:00:00"/>
    <d v="2041-07-31T00:00:00"/>
    <n v="104.66523349196908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1"/>
    <m/>
    <n v="191"/>
    <m/>
    <x v="191"/>
    <d v="2041-08-31T00:00:00"/>
    <d v="2041-08-31T00:00:00"/>
    <n v="104.66523349196908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1"/>
    <m/>
    <n v="192"/>
    <m/>
    <x v="192"/>
    <d v="2041-09-30T00:00:00"/>
    <d v="2041-09-30T00:00:00"/>
    <n v="104.66523349196908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1"/>
    <m/>
    <n v="193"/>
    <m/>
    <x v="193"/>
    <d v="2041-10-31T00:00:00"/>
    <d v="2041-10-31T00:00:00"/>
    <n v="104.66523349196908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1"/>
    <m/>
    <n v="194"/>
    <m/>
    <x v="194"/>
    <d v="2041-11-30T00:00:00"/>
    <d v="2041-11-30T00:00:00"/>
    <n v="104.66523349196908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1"/>
    <m/>
    <n v="195"/>
    <m/>
    <x v="195"/>
    <d v="2041-12-31T00:00:00"/>
    <d v="2041-12-31T00:00:00"/>
    <n v="104.66523349196908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1"/>
    <m/>
    <n v="196"/>
    <m/>
    <x v="196"/>
    <d v="2042-01-31T00:00:00"/>
    <d v="2042-01-31T00:00:00"/>
    <n v="104.66523349196908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1"/>
    <m/>
    <n v="197"/>
    <m/>
    <x v="197"/>
    <d v="2042-02-28T00:00:00"/>
    <d v="2042-02-28T00:00:00"/>
    <n v="104.66523349196908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1"/>
    <m/>
    <n v="198"/>
    <m/>
    <x v="198"/>
    <d v="2042-03-31T00:00:00"/>
    <d v="2042-03-31T00:00:00"/>
    <n v="104.66523349196908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1"/>
    <m/>
    <n v="199"/>
    <m/>
    <x v="199"/>
    <d v="2042-04-30T00:00:00"/>
    <d v="2042-04-30T00:00:00"/>
    <n v="104.66523349196908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1"/>
    <m/>
    <n v="200"/>
    <m/>
    <x v="200"/>
    <d v="2042-05-31T00:00:00"/>
    <d v="2042-05-31T00:00:00"/>
    <n v="104.66523349196908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1"/>
    <m/>
    <n v="201"/>
    <m/>
    <x v="201"/>
    <d v="2042-06-30T00:00:00"/>
    <d v="2042-06-30T00:00:00"/>
    <n v="104.66523349196908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1"/>
    <m/>
    <n v="202"/>
    <m/>
    <x v="202"/>
    <d v="2042-07-31T00:00:00"/>
    <d v="2042-07-31T00:00:00"/>
    <n v="104.66523349196908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1"/>
    <m/>
    <n v="203"/>
    <m/>
    <x v="203"/>
    <d v="2042-08-31T00:00:00"/>
    <d v="2042-08-31T00:00:00"/>
    <n v="104.66523349196908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1"/>
    <m/>
    <n v="204"/>
    <m/>
    <x v="204"/>
    <d v="2042-09-30T00:00:00"/>
    <d v="2042-09-30T00:00:00"/>
    <n v="104.66523349196908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1"/>
    <m/>
    <n v="205"/>
    <m/>
    <x v="205"/>
    <d v="2042-10-31T00:00:00"/>
    <d v="2042-10-31T00:00:00"/>
    <n v="90.917367638310537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1"/>
    <m/>
    <n v="206"/>
    <m/>
    <x v="206"/>
    <d v="2042-11-30T00:00:00"/>
    <d v="2042-11-30T00:00:00"/>
    <n v="0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1"/>
    <m/>
    <n v="207"/>
    <m/>
    <x v="207"/>
    <d v="2042-12-31T00:00:00"/>
    <d v="2042-12-31T00:00:00"/>
    <n v="0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1"/>
    <m/>
    <n v="208"/>
    <m/>
    <x v="208"/>
    <d v="2043-01-31T00:00:00"/>
    <d v="2043-01-31T00:00:00"/>
    <n v="0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1"/>
    <m/>
    <n v="209"/>
    <m/>
    <x v="209"/>
    <d v="2043-02-28T00:00:00"/>
    <d v="2043-02-28T00:00:00"/>
    <n v="0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1"/>
    <m/>
    <n v="210"/>
    <m/>
    <x v="210"/>
    <d v="2043-03-31T00:00:00"/>
    <d v="2043-03-31T00:00:00"/>
    <n v="0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1"/>
    <m/>
    <n v="211"/>
    <m/>
    <x v="211"/>
    <d v="2043-04-30T00:00:00"/>
    <d v="2043-04-30T00:00:00"/>
    <n v="0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1"/>
    <m/>
    <n v="212"/>
    <m/>
    <x v="212"/>
    <d v="2043-05-31T00:00:00"/>
    <d v="2043-05-31T00:00:00"/>
    <n v="0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1"/>
    <m/>
    <n v="213"/>
    <m/>
    <x v="213"/>
    <d v="2043-06-30T00:00:00"/>
    <d v="2043-06-30T00:00:00"/>
    <n v="0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1"/>
    <m/>
    <n v="214"/>
    <m/>
    <x v="214"/>
    <d v="2043-07-31T00:00:00"/>
    <d v="2043-07-31T00:00:00"/>
    <n v="0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1"/>
    <m/>
    <n v="215"/>
    <m/>
    <x v="215"/>
    <d v="2043-08-31T00:00:00"/>
    <d v="2043-08-31T00:00:00"/>
    <n v="0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1"/>
    <m/>
    <n v="216"/>
    <m/>
    <x v="216"/>
    <d v="2043-09-30T00:00:00"/>
    <d v="2043-09-30T00:00:00"/>
    <n v="0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2"/>
    <m/>
    <n v="217"/>
    <m/>
    <x v="217"/>
    <d v="2043-10-31T00:00:00"/>
    <d v="2043-10-31T00:00:00"/>
    <n v="0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2"/>
    <m/>
    <n v="218"/>
    <m/>
    <x v="218"/>
    <d v="2043-11-30T00:00:00"/>
    <d v="2043-11-30T00:00:00"/>
    <n v="0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2"/>
    <m/>
    <n v="219"/>
    <m/>
    <x v="219"/>
    <d v="2043-12-31T00:00:00"/>
    <d v="2043-12-31T00:00:00"/>
    <n v="0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2"/>
    <m/>
    <n v="220"/>
    <m/>
    <x v="220"/>
    <d v="2044-01-31T00:00:00"/>
    <d v="2044-01-31T00:00:00"/>
    <n v="0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2"/>
    <m/>
    <n v="221"/>
    <m/>
    <x v="221"/>
    <d v="2044-02-29T00:00:00"/>
    <d v="2044-02-29T00:00:00"/>
    <n v="0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2"/>
    <m/>
    <n v="222"/>
    <m/>
    <x v="222"/>
    <d v="2044-03-31T00:00:00"/>
    <d v="2044-03-31T00:00:00"/>
    <n v="0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2"/>
    <m/>
    <n v="223"/>
    <m/>
    <x v="223"/>
    <d v="2044-04-30T00:00:00"/>
    <d v="2044-04-30T00:00:00"/>
    <n v="0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2"/>
    <m/>
    <n v="224"/>
    <m/>
    <x v="224"/>
    <d v="2044-05-31T00:00:00"/>
    <d v="2044-05-31T00:00:00"/>
    <n v="0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2"/>
    <m/>
    <n v="225"/>
    <m/>
    <x v="225"/>
    <d v="2044-06-30T00:00:00"/>
    <d v="2044-06-30T00:00:00"/>
    <n v="0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2"/>
    <m/>
    <n v="226"/>
    <m/>
    <x v="226"/>
    <d v="2044-07-31T00:00:00"/>
    <d v="2044-07-31T00:00:00"/>
    <n v="0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2"/>
    <m/>
    <n v="227"/>
    <m/>
    <x v="227"/>
    <d v="2044-08-31T00:00:00"/>
    <d v="2044-08-31T00:00:00"/>
    <n v="0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2"/>
    <m/>
    <n v="228"/>
    <m/>
    <x v="228"/>
    <d v="2044-09-30T00:00:00"/>
    <d v="2044-09-30T00:00:00"/>
    <n v="0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2"/>
    <m/>
    <n v="229"/>
    <m/>
    <x v="229"/>
    <d v="2044-10-31T00:00:00"/>
    <d v="2044-10-31T00:00:00"/>
    <n v="0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2"/>
    <m/>
    <n v="230"/>
    <m/>
    <x v="230"/>
    <d v="2044-11-30T00:00:00"/>
    <d v="2044-11-30T00:00:00"/>
    <n v="0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2"/>
    <m/>
    <n v="231"/>
    <m/>
    <x v="231"/>
    <d v="2044-12-31T00:00:00"/>
    <d v="2044-12-31T00:00:00"/>
    <n v="0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2"/>
    <m/>
    <n v="232"/>
    <m/>
    <x v="232"/>
    <d v="2045-01-31T00:00:00"/>
    <d v="2045-01-31T00:00:00"/>
    <n v="0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2"/>
    <m/>
    <n v="233"/>
    <m/>
    <x v="233"/>
    <d v="2045-02-28T00:00:00"/>
    <d v="2045-02-28T00:00:00"/>
    <n v="0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2"/>
    <m/>
    <n v="234"/>
    <m/>
    <x v="234"/>
    <d v="2045-03-31T00:00:00"/>
    <d v="2045-03-31T00:00:00"/>
    <n v="0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2"/>
    <m/>
    <n v="235"/>
    <m/>
    <x v="235"/>
    <d v="2045-04-30T00:00:00"/>
    <d v="2045-04-30T00:00:00"/>
    <n v="0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2"/>
    <m/>
    <n v="236"/>
    <m/>
    <x v="236"/>
    <d v="2045-05-31T00:00:00"/>
    <d v="2045-05-31T00:00:00"/>
    <n v="0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2"/>
    <m/>
    <n v="237"/>
    <m/>
    <x v="237"/>
    <d v="2045-06-30T00:00:00"/>
    <d v="2045-06-30T00:00:00"/>
    <n v="0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2"/>
    <m/>
    <n v="238"/>
    <m/>
    <x v="238"/>
    <d v="2045-07-31T00:00:00"/>
    <d v="2045-07-31T00:00:00"/>
    <n v="0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2"/>
    <m/>
    <n v="239"/>
    <m/>
    <x v="239"/>
    <d v="2045-08-31T00:00:00"/>
    <d v="2045-08-31T00:00:00"/>
    <n v="0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2"/>
    <m/>
    <n v="240"/>
    <m/>
    <x v="240"/>
    <d v="2045-09-30T00:00:00"/>
    <d v="2045-09-30T00:00:00"/>
    <n v="0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2"/>
    <m/>
    <n v="241"/>
    <m/>
    <x v="241"/>
    <d v="2045-10-31T00:00:00"/>
    <d v="2045-10-31T00:00:00"/>
    <n v="0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2"/>
    <m/>
    <n v="242"/>
    <m/>
    <x v="242"/>
    <d v="2045-11-30T00:00:00"/>
    <d v="2045-11-30T00:00:00"/>
    <n v="0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2"/>
    <m/>
    <n v="243"/>
    <m/>
    <x v="243"/>
    <d v="2045-12-31T00:00:00"/>
    <d v="2045-12-31T00:00:00"/>
    <n v="0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2"/>
    <m/>
    <n v="244"/>
    <m/>
    <x v="244"/>
    <d v="2046-01-31T00:00:00"/>
    <d v="2046-01-31T00:00:00"/>
    <n v="0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2"/>
    <m/>
    <n v="245"/>
    <m/>
    <x v="245"/>
    <d v="2046-02-28T00:00:00"/>
    <d v="2046-02-28T00:00:00"/>
    <n v="0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2"/>
    <m/>
    <n v="246"/>
    <m/>
    <x v="246"/>
    <d v="2046-03-31T00:00:00"/>
    <d v="2046-03-31T00:00:00"/>
    <n v="0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2"/>
    <m/>
    <n v="247"/>
    <m/>
    <x v="247"/>
    <d v="2046-04-30T00:00:00"/>
    <d v="2046-04-30T00:00:00"/>
    <n v="0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2"/>
    <m/>
    <n v="248"/>
    <m/>
    <x v="248"/>
    <d v="2046-05-31T00:00:00"/>
    <d v="2046-05-31T00:00:00"/>
    <n v="0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2"/>
    <m/>
    <n v="249"/>
    <m/>
    <x v="249"/>
    <d v="2046-06-30T00:00:00"/>
    <d v="2046-06-30T00:00:00"/>
    <n v="0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2"/>
    <m/>
    <n v="250"/>
    <m/>
    <x v="250"/>
    <d v="2046-07-31T00:00:00"/>
    <d v="2046-07-31T00:00:00"/>
    <n v="0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2"/>
    <m/>
    <n v="251"/>
    <m/>
    <x v="251"/>
    <d v="2046-08-31T00:00:00"/>
    <d v="2046-08-31T00:00:00"/>
    <n v="0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2"/>
    <m/>
    <n v="252"/>
    <m/>
    <x v="252"/>
    <d v="2046-09-30T00:00:00"/>
    <d v="2046-09-30T00:00:00"/>
    <n v="0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2"/>
    <m/>
    <n v="253"/>
    <m/>
    <x v="253"/>
    <d v="2046-10-31T00:00:00"/>
    <d v="2046-10-31T00:00:00"/>
    <n v="0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2"/>
    <m/>
    <n v="254"/>
    <m/>
    <x v="254"/>
    <d v="2046-11-30T00:00:00"/>
    <d v="2046-11-30T00:00:00"/>
    <n v="0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2"/>
    <m/>
    <n v="255"/>
    <m/>
    <x v="255"/>
    <d v="2046-12-31T00:00:00"/>
    <d v="2046-12-31T00:00:00"/>
    <n v="0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2"/>
    <m/>
    <n v="256"/>
    <m/>
    <x v="256"/>
    <d v="2047-01-31T00:00:00"/>
    <d v="2047-01-31T00:00:00"/>
    <n v="0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2"/>
    <m/>
    <n v="257"/>
    <m/>
    <x v="257"/>
    <d v="2047-02-28T00:00:00"/>
    <d v="2047-02-28T00:00:00"/>
    <n v="0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2"/>
    <m/>
    <n v="258"/>
    <m/>
    <x v="258"/>
    <d v="2047-03-31T00:00:00"/>
    <d v="2047-03-31T00:00:00"/>
    <n v="0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2"/>
    <m/>
    <n v="259"/>
    <m/>
    <x v="259"/>
    <d v="2047-04-30T00:00:00"/>
    <d v="2047-04-30T00:00:00"/>
    <n v="0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2"/>
    <m/>
    <n v="260"/>
    <m/>
    <x v="260"/>
    <d v="2047-05-31T00:00:00"/>
    <d v="2047-05-31T00:00:00"/>
    <n v="0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2"/>
    <m/>
    <n v="261"/>
    <m/>
    <x v="261"/>
    <d v="2047-06-30T00:00:00"/>
    <d v="2047-06-30T00:00:00"/>
    <n v="0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2"/>
    <m/>
    <n v="262"/>
    <m/>
    <x v="262"/>
    <d v="2047-07-31T00:00:00"/>
    <d v="2047-07-31T00:00:00"/>
    <n v="0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2"/>
    <m/>
    <n v="263"/>
    <m/>
    <x v="263"/>
    <d v="2047-08-31T00:00:00"/>
    <d v="2047-08-31T00:00:00"/>
    <n v="0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2"/>
    <m/>
    <n v="264"/>
    <m/>
    <x v="264"/>
    <d v="2047-09-30T00:00:00"/>
    <d v="2047-09-30T00:00:00"/>
    <n v="0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2"/>
    <m/>
    <n v="265"/>
    <m/>
    <x v="265"/>
    <d v="2047-10-31T00:00:00"/>
    <d v="2047-10-31T00:00:00"/>
    <n v="0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2"/>
    <m/>
    <n v="266"/>
    <m/>
    <x v="266"/>
    <d v="2047-11-30T00:00:00"/>
    <d v="2047-11-30T00:00:00"/>
    <n v="0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2"/>
    <m/>
    <n v="267"/>
    <m/>
    <x v="267"/>
    <d v="2047-12-31T00:00:00"/>
    <d v="2047-12-31T00:00:00"/>
    <n v="0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2"/>
    <m/>
    <n v="268"/>
    <m/>
    <x v="268"/>
    <d v="2048-01-31T00:00:00"/>
    <d v="2048-01-31T00:00:00"/>
    <n v="0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2"/>
    <m/>
    <n v="269"/>
    <m/>
    <x v="269"/>
    <d v="2048-02-29T00:00:00"/>
    <d v="2048-02-29T00:00:00"/>
    <n v="0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2"/>
    <m/>
    <n v="270"/>
    <m/>
    <x v="270"/>
    <d v="2048-03-31T00:00:00"/>
    <d v="2048-03-31T00:00:00"/>
    <n v="0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2"/>
    <m/>
    <n v="271"/>
    <m/>
    <x v="271"/>
    <d v="2048-04-30T00:00:00"/>
    <d v="2048-04-30T00:00:00"/>
    <n v="0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2"/>
    <m/>
    <n v="272"/>
    <m/>
    <x v="272"/>
    <d v="2048-05-31T00:00:00"/>
    <d v="2048-05-31T00:00:00"/>
    <n v="0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2"/>
    <m/>
    <n v="273"/>
    <m/>
    <x v="273"/>
    <d v="2048-06-30T00:00:00"/>
    <d v="2048-06-30T00:00:00"/>
    <n v="0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2"/>
    <m/>
    <n v="274"/>
    <m/>
    <x v="274"/>
    <d v="2048-07-31T00:00:00"/>
    <d v="2048-07-31T00:00:00"/>
    <n v="0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2"/>
    <m/>
    <n v="275"/>
    <m/>
    <x v="275"/>
    <d v="2048-08-31T00:00:00"/>
    <d v="2048-08-31T00:00:00"/>
    <n v="0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2"/>
    <m/>
    <n v="276"/>
    <m/>
    <x v="276"/>
    <d v="2048-09-30T00:00:00"/>
    <d v="2048-09-30T00:00:00"/>
    <n v="0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2"/>
    <m/>
    <n v="277"/>
    <m/>
    <x v="277"/>
    <d v="2048-10-31T00:00:00"/>
    <d v="2048-10-31T00:00:00"/>
    <n v="0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2"/>
    <m/>
    <n v="278"/>
    <m/>
    <x v="278"/>
    <d v="2048-11-30T00:00:00"/>
    <d v="2048-11-30T00:00:00"/>
    <n v="0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2"/>
    <m/>
    <n v="279"/>
    <m/>
    <x v="279"/>
    <d v="2048-12-31T00:00:00"/>
    <d v="2048-12-31T00:00:00"/>
    <n v="0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2"/>
    <m/>
    <n v="280"/>
    <m/>
    <x v="280"/>
    <d v="2049-01-31T00:00:00"/>
    <d v="2049-01-31T00:00:00"/>
    <n v="0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2"/>
    <m/>
    <n v="281"/>
    <m/>
    <x v="281"/>
    <d v="2049-02-28T00:00:00"/>
    <d v="2049-02-28T00:00:00"/>
    <n v="0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2"/>
    <m/>
    <n v="282"/>
    <m/>
    <x v="282"/>
    <d v="2049-03-31T00:00:00"/>
    <d v="2049-03-31T00:00:00"/>
    <n v="0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2"/>
    <m/>
    <n v="283"/>
    <m/>
    <x v="283"/>
    <d v="2049-04-30T00:00:00"/>
    <d v="2049-04-30T00:00:00"/>
    <n v="0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2"/>
    <m/>
    <n v="284"/>
    <m/>
    <x v="284"/>
    <d v="2049-05-31T00:00:00"/>
    <d v="2049-05-31T00:00:00"/>
    <n v="0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2"/>
    <m/>
    <n v="285"/>
    <m/>
    <x v="285"/>
    <d v="2049-06-30T00:00:00"/>
    <d v="2049-06-30T00:00:00"/>
    <n v="0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2"/>
    <m/>
    <n v="286"/>
    <m/>
    <x v="286"/>
    <d v="2049-07-31T00:00:00"/>
    <d v="2049-07-31T00:00:00"/>
    <n v="0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2"/>
    <m/>
    <n v="287"/>
    <m/>
    <x v="287"/>
    <d v="2049-08-31T00:00:00"/>
    <d v="2049-08-31T00:00:00"/>
    <n v="0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2"/>
    <m/>
    <n v="288"/>
    <m/>
    <x v="288"/>
    <d v="2049-09-30T00:00:00"/>
    <d v="2049-09-30T00:00:00"/>
    <n v="0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2"/>
    <m/>
    <n v="289"/>
    <m/>
    <x v="289"/>
    <d v="2049-10-31T00:00:00"/>
    <d v="2049-10-31T00:00:00"/>
    <n v="0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2"/>
    <m/>
    <n v="290"/>
    <m/>
    <x v="290"/>
    <d v="2049-11-30T00:00:00"/>
    <d v="2049-11-30T00:00:00"/>
    <n v="0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2"/>
    <m/>
    <n v="291"/>
    <m/>
    <x v="291"/>
    <d v="2049-12-31T00:00:00"/>
    <d v="2049-12-31T00:00:00"/>
    <n v="0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2"/>
    <m/>
    <n v="292"/>
    <m/>
    <x v="292"/>
    <d v="2050-01-31T00:00:00"/>
    <d v="2050-01-31T00:00:00"/>
    <n v="0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2"/>
    <m/>
    <n v="293"/>
    <m/>
    <x v="293"/>
    <d v="2050-02-28T00:00:00"/>
    <d v="2050-02-28T00:00:00"/>
    <n v="0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2"/>
    <x v="12"/>
    <m/>
    <n v="294"/>
    <m/>
    <x v="294"/>
    <d v="2050-03-31T00:00:00"/>
    <d v="2050-03-31T00:00:00"/>
    <n v="0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3"/>
    <x v="13"/>
    <m/>
    <m/>
    <m/>
    <x v="0"/>
    <d v="2025-10-01T00:00:00"/>
    <d v="2025-10-01T00:00:00"/>
    <n v="0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3"/>
    <x v="14"/>
    <m/>
    <m/>
    <m/>
    <x v="0"/>
    <d v="2025-10-01T00:00:00"/>
    <d v="2025-10-01T00:00:00"/>
    <n v="462770337877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3"/>
    <x v="15"/>
    <m/>
    <n v="1"/>
    <m/>
    <x v="1"/>
    <d v="2025-10-31T00:00:00"/>
    <d v="2025-10-31T00:00:00"/>
    <n v="10423400095.45874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3"/>
    <x v="15"/>
    <m/>
    <n v="2"/>
    <m/>
    <x v="2"/>
    <d v="2025-11-30T00:00:00"/>
    <d v="2025-11-30T00:00:00"/>
    <n v="10322781901.701904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3"/>
    <x v="15"/>
    <m/>
    <n v="3"/>
    <m/>
    <x v="3"/>
    <d v="2025-12-31T00:00:00"/>
    <d v="2025-12-31T00:00:00"/>
    <n v="10223134986.109375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3"/>
    <x v="15"/>
    <m/>
    <n v="4"/>
    <m/>
    <x v="4"/>
    <d v="2026-01-31T00:00:00"/>
    <d v="2026-01-31T00:00:00"/>
    <n v="10124449972.830322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3"/>
    <x v="15"/>
    <m/>
    <n v="5"/>
    <m/>
    <x v="5"/>
    <d v="2026-02-28T00:00:00"/>
    <d v="2026-02-28T00:00:00"/>
    <n v="10026717576.518188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3"/>
    <x v="15"/>
    <m/>
    <n v="6"/>
    <m/>
    <x v="6"/>
    <d v="2026-03-31T00:00:00"/>
    <d v="2026-03-31T00:00:00"/>
    <n v="9929928601.4598389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3"/>
    <x v="15"/>
    <m/>
    <n v="7"/>
    <m/>
    <x v="7"/>
    <d v="2026-04-30T00:00:00"/>
    <d v="2026-04-30T00:00:00"/>
    <n v="9834073940.7095947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3"/>
    <x v="15"/>
    <m/>
    <n v="8"/>
    <m/>
    <x v="8"/>
    <d v="2026-05-31T00:00:00"/>
    <d v="2026-05-31T00:00:00"/>
    <n v="9739144575.2315674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3"/>
    <x v="15"/>
    <m/>
    <n v="9"/>
    <m/>
    <x v="9"/>
    <d v="2026-06-30T00:00:00"/>
    <d v="2026-06-30T00:00:00"/>
    <n v="9645131573.0513916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3"/>
    <x v="15"/>
    <m/>
    <n v="10"/>
    <m/>
    <x v="10"/>
    <d v="2026-07-31T00:00:00"/>
    <d v="2026-07-31T00:00:00"/>
    <n v="9552026088.416748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3"/>
    <x v="15"/>
    <m/>
    <n v="11"/>
    <m/>
    <x v="11"/>
    <d v="2026-08-31T00:00:00"/>
    <d v="2026-08-31T00:00:00"/>
    <n v="9459819360.9638672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3"/>
    <x v="15"/>
    <m/>
    <n v="12"/>
    <m/>
    <x v="12"/>
    <d v="2026-09-30T00:00:00"/>
    <d v="2026-09-30T00:00:00"/>
    <n v="9368502714.8933105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3"/>
    <x v="15"/>
    <m/>
    <n v="13"/>
    <m/>
    <x v="13"/>
    <d v="2026-10-31T00:00:00"/>
    <d v="2026-10-31T00:00:00"/>
    <n v="9278067558.1549072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3"/>
    <x v="15"/>
    <m/>
    <n v="14"/>
    <m/>
    <x v="14"/>
    <d v="2026-11-30T00:00:00"/>
    <d v="2026-11-30T00:00:00"/>
    <n v="9188505381.6379395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3"/>
    <x v="15"/>
    <m/>
    <n v="15"/>
    <m/>
    <x v="15"/>
    <d v="2026-12-31T00:00:00"/>
    <d v="2026-12-31T00:00:00"/>
    <n v="9099807758.3709717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3"/>
    <x v="15"/>
    <m/>
    <n v="16"/>
    <m/>
    <x v="16"/>
    <d v="2027-01-31T00:00:00"/>
    <d v="2027-01-31T00:00:00"/>
    <n v="9011966342.7294922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3"/>
    <x v="15"/>
    <m/>
    <n v="17"/>
    <m/>
    <x v="17"/>
    <d v="2027-02-28T00:00:00"/>
    <d v="2027-02-28T00:00:00"/>
    <n v="8924972869.6499023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3"/>
    <x v="15"/>
    <m/>
    <n v="18"/>
    <m/>
    <x v="18"/>
    <d v="2027-03-31T00:00:00"/>
    <d v="2027-03-31T00:00:00"/>
    <n v="8838819153.8515625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3"/>
    <x v="15"/>
    <m/>
    <n v="19"/>
    <m/>
    <x v="19"/>
    <d v="2027-04-30T00:00:00"/>
    <d v="2027-04-30T00:00:00"/>
    <n v="8753497089.0684814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3"/>
    <x v="15"/>
    <m/>
    <n v="20"/>
    <m/>
    <x v="20"/>
    <d v="2027-05-31T00:00:00"/>
    <d v="2027-05-31T00:00:00"/>
    <n v="8668998647.2843018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3"/>
    <x v="15"/>
    <m/>
    <n v="21"/>
    <m/>
    <x v="21"/>
    <d v="2027-06-30T00:00:00"/>
    <d v="2027-06-30T00:00:00"/>
    <n v="8585315877.9785156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3"/>
    <x v="15"/>
    <m/>
    <n v="22"/>
    <m/>
    <x v="22"/>
    <d v="2027-07-31T00:00:00"/>
    <d v="2027-07-31T00:00:00"/>
    <n v="8502440907.3773193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3"/>
    <x v="15"/>
    <m/>
    <n v="23"/>
    <m/>
    <x v="23"/>
    <d v="2027-08-31T00:00:00"/>
    <d v="2027-08-31T00:00:00"/>
    <n v="8420365937.7137451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3"/>
    <x v="15"/>
    <m/>
    <n v="24"/>
    <m/>
    <x v="24"/>
    <d v="2027-09-30T00:00:00"/>
    <d v="2027-09-30T00:00:00"/>
    <n v="8339083246.4934082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3"/>
    <x v="15"/>
    <m/>
    <n v="25"/>
    <m/>
    <x v="25"/>
    <d v="2027-10-31T00:00:00"/>
    <d v="2027-10-31T00:00:00"/>
    <n v="8258585185.7678223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3"/>
    <x v="15"/>
    <m/>
    <n v="26"/>
    <m/>
    <x v="26"/>
    <d v="2027-11-30T00:00:00"/>
    <d v="2027-11-30T00:00:00"/>
    <n v="8178864181.4150391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3"/>
    <x v="15"/>
    <m/>
    <n v="27"/>
    <m/>
    <x v="27"/>
    <d v="2027-12-31T00:00:00"/>
    <d v="2027-12-31T00:00:00"/>
    <n v="8099912732.427124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3"/>
    <x v="15"/>
    <m/>
    <n v="28"/>
    <m/>
    <x v="28"/>
    <d v="2028-01-31T00:00:00"/>
    <d v="2028-01-31T00:00:00"/>
    <n v="8021723410.2039795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3"/>
    <x v="15"/>
    <m/>
    <n v="29"/>
    <m/>
    <x v="29"/>
    <d v="2028-02-29T00:00:00"/>
    <d v="2028-02-29T00:00:00"/>
    <n v="7944288857.854248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3"/>
    <x v="15"/>
    <m/>
    <n v="30"/>
    <m/>
    <x v="30"/>
    <d v="2028-03-31T00:00:00"/>
    <d v="2028-03-31T00:00:00"/>
    <n v="7867601789.5041504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3"/>
    <x v="15"/>
    <m/>
    <n v="31"/>
    <m/>
    <x v="31"/>
    <d v="2028-04-30T00:00:00"/>
    <d v="2028-04-30T00:00:00"/>
    <n v="7791654989.6107178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3"/>
    <x v="15"/>
    <m/>
    <n v="32"/>
    <m/>
    <x v="32"/>
    <d v="2028-05-31T00:00:00"/>
    <d v="2028-05-31T00:00:00"/>
    <n v="7716441312.2834473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3"/>
    <x v="15"/>
    <m/>
    <n v="33"/>
    <m/>
    <x v="33"/>
    <d v="2028-06-30T00:00:00"/>
    <d v="2028-06-30T00:00:00"/>
    <n v="7641953680.6120605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3"/>
    <x v="15"/>
    <m/>
    <n v="34"/>
    <m/>
    <x v="34"/>
    <d v="2028-07-31T00:00:00"/>
    <d v="2028-07-31T00:00:00"/>
    <n v="7568185086.0003662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3"/>
    <x v="15"/>
    <m/>
    <n v="35"/>
    <m/>
    <x v="35"/>
    <d v="2028-08-31T00:00:00"/>
    <d v="2028-08-31T00:00:00"/>
    <n v="7495128587.506958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3"/>
    <x v="15"/>
    <m/>
    <n v="36"/>
    <m/>
    <x v="36"/>
    <d v="2028-09-30T00:00:00"/>
    <d v="2028-09-30T00:00:00"/>
    <n v="7422777311.1915283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3"/>
    <x v="15"/>
    <m/>
    <n v="37"/>
    <m/>
    <x v="37"/>
    <d v="2028-10-31T00:00:00"/>
    <d v="2028-10-31T00:00:00"/>
    <n v="7351124449.4696045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3"/>
    <x v="15"/>
    <m/>
    <n v="38"/>
    <m/>
    <x v="38"/>
    <d v="2028-11-30T00:00:00"/>
    <d v="2028-11-30T00:00:00"/>
    <n v="7280163260.470459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3"/>
    <x v="15"/>
    <m/>
    <n v="39"/>
    <m/>
    <x v="39"/>
    <d v="2028-12-31T00:00:00"/>
    <d v="2028-12-31T00:00:00"/>
    <n v="7209887067.4031982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3"/>
    <x v="15"/>
    <m/>
    <n v="40"/>
    <m/>
    <x v="40"/>
    <d v="2029-01-31T00:00:00"/>
    <d v="2029-01-31T00:00:00"/>
    <n v="7140289257.9294434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3"/>
    <x v="15"/>
    <m/>
    <n v="41"/>
    <m/>
    <x v="41"/>
    <d v="2029-02-28T00:00:00"/>
    <d v="2029-02-28T00:00:00"/>
    <n v="7071363283.5394287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3"/>
    <x v="15"/>
    <m/>
    <n v="42"/>
    <m/>
    <x v="42"/>
    <d v="2029-03-31T00:00:00"/>
    <d v="2029-03-31T00:00:00"/>
    <n v="7003102658.9377441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3"/>
    <x v="15"/>
    <m/>
    <n v="43"/>
    <m/>
    <x v="43"/>
    <d v="2029-04-30T00:00:00"/>
    <d v="2029-04-30T00:00:00"/>
    <n v="6935500961.4318848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3"/>
    <x v="15"/>
    <m/>
    <n v="44"/>
    <m/>
    <x v="44"/>
    <d v="2029-05-31T00:00:00"/>
    <d v="2029-05-31T00:00:00"/>
    <n v="6868551830.3280029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3"/>
    <x v="15"/>
    <m/>
    <n v="45"/>
    <m/>
    <x v="45"/>
    <d v="2029-06-30T00:00:00"/>
    <d v="2029-06-30T00:00:00"/>
    <n v="6802248966.3328857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3"/>
    <x v="15"/>
    <m/>
    <n v="46"/>
    <m/>
    <x v="46"/>
    <d v="2029-07-31T00:00:00"/>
    <d v="2029-07-31T00:00:00"/>
    <n v="6736586130.9616699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3"/>
    <x v="15"/>
    <m/>
    <n v="47"/>
    <m/>
    <x v="47"/>
    <d v="2029-08-31T00:00:00"/>
    <d v="2029-08-31T00:00:00"/>
    <n v="6671557145.9493408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3"/>
    <x v="15"/>
    <m/>
    <n v="48"/>
    <m/>
    <x v="48"/>
    <d v="2029-09-30T00:00:00"/>
    <d v="2029-09-30T00:00:00"/>
    <n v="6607155892.6707764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3"/>
    <x v="15"/>
    <m/>
    <n v="49"/>
    <m/>
    <x v="49"/>
    <d v="2029-10-31T00:00:00"/>
    <d v="2029-10-31T00:00:00"/>
    <n v="6543376311.5643311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3"/>
    <x v="15"/>
    <m/>
    <n v="50"/>
    <m/>
    <x v="50"/>
    <d v="2029-11-30T00:00:00"/>
    <d v="2029-11-30T00:00:00"/>
    <n v="6480212401.5627441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3"/>
    <x v="15"/>
    <m/>
    <n v="51"/>
    <m/>
    <x v="51"/>
    <d v="2029-12-31T00:00:00"/>
    <d v="2029-12-31T00:00:00"/>
    <n v="6417658219.5264893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3"/>
    <x v="15"/>
    <m/>
    <n v="52"/>
    <m/>
    <x v="52"/>
    <d v="2030-01-31T00:00:00"/>
    <d v="2030-01-31T00:00:00"/>
    <n v="6355707879.6870117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3"/>
    <x v="15"/>
    <m/>
    <n v="53"/>
    <m/>
    <x v="53"/>
    <d v="2030-02-28T00:00:00"/>
    <d v="2030-02-28T00:00:00"/>
    <n v="6294355553.0904541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3"/>
    <x v="15"/>
    <m/>
    <n v="54"/>
    <m/>
    <x v="54"/>
    <d v="2030-03-31T00:00:00"/>
    <d v="2030-03-31T00:00:00"/>
    <n v="6233595467.0518799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3"/>
    <x v="15"/>
    <m/>
    <n v="55"/>
    <m/>
    <x v="55"/>
    <d v="2030-04-30T00:00:00"/>
    <d v="2030-04-30T00:00:00"/>
    <n v="6173421904.6092529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3"/>
    <x v="15"/>
    <m/>
    <n v="56"/>
    <m/>
    <x v="56"/>
    <d v="2030-05-31T00:00:00"/>
    <d v="2030-05-31T00:00:00"/>
    <n v="6113829203.9884033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3"/>
    <x v="15"/>
    <m/>
    <n v="57"/>
    <m/>
    <x v="57"/>
    <d v="2030-06-30T00:00:00"/>
    <d v="2030-06-30T00:00:00"/>
    <n v="6054811758.067749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3"/>
    <x v="15"/>
    <m/>
    <n v="58"/>
    <m/>
    <x v="58"/>
    <d v="2030-07-31T00:00:00"/>
    <d v="2030-07-31T00:00:00"/>
    <n v="5996364013.8520508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3"/>
    <x v="15"/>
    <m/>
    <n v="59"/>
    <m/>
    <x v="59"/>
    <d v="2030-08-31T00:00:00"/>
    <d v="2030-08-31T00:00:00"/>
    <n v="5938480471.9504395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3"/>
    <x v="15"/>
    <m/>
    <n v="60"/>
    <m/>
    <x v="60"/>
    <d v="2030-09-30T00:00:00"/>
    <d v="2030-09-30T00:00:00"/>
    <n v="5881155686.0576172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3"/>
    <x v="15"/>
    <m/>
    <n v="61"/>
    <m/>
    <x v="61"/>
    <d v="2030-10-31T00:00:00"/>
    <d v="2030-10-31T00:00:00"/>
    <n v="5824384262.4418945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3"/>
    <x v="15"/>
    <m/>
    <n v="62"/>
    <m/>
    <x v="62"/>
    <d v="2030-11-30T00:00:00"/>
    <d v="2030-11-30T00:00:00"/>
    <n v="5768160859.4383545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3"/>
    <x v="15"/>
    <m/>
    <n v="63"/>
    <m/>
    <x v="63"/>
    <d v="2030-12-31T00:00:00"/>
    <d v="2030-12-31T00:00:00"/>
    <n v="5712480186.9456787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3"/>
    <x v="15"/>
    <m/>
    <n v="64"/>
    <m/>
    <x v="64"/>
    <d v="2031-01-31T00:00:00"/>
    <d v="2031-01-31T00:00:00"/>
    <n v="5657337005.9279785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3"/>
    <x v="15"/>
    <m/>
    <n v="65"/>
    <m/>
    <x v="65"/>
    <d v="2031-02-28T00:00:00"/>
    <d v="2031-02-28T00:00:00"/>
    <n v="5602726127.9229736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3"/>
    <x v="15"/>
    <m/>
    <n v="66"/>
    <m/>
    <x v="66"/>
    <d v="2031-03-31T00:00:00"/>
    <d v="2031-03-31T00:00:00"/>
    <n v="5548642414.5526123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3"/>
    <x v="15"/>
    <m/>
    <n v="67"/>
    <m/>
    <x v="67"/>
    <d v="2031-04-30T00:00:00"/>
    <d v="2031-04-30T00:00:00"/>
    <n v="5495080777.0407715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3"/>
    <x v="15"/>
    <m/>
    <n v="68"/>
    <m/>
    <x v="68"/>
    <d v="2031-05-31T00:00:00"/>
    <d v="2031-05-31T00:00:00"/>
    <n v="5442036175.7327881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3"/>
    <x v="15"/>
    <m/>
    <n v="69"/>
    <m/>
    <x v="69"/>
    <d v="2031-06-30T00:00:00"/>
    <d v="2031-06-30T00:00:00"/>
    <n v="5389503619.6239014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3"/>
    <x v="15"/>
    <m/>
    <n v="70"/>
    <m/>
    <x v="70"/>
    <d v="2031-07-31T00:00:00"/>
    <d v="2031-07-31T00:00:00"/>
    <n v="5337478165.8863525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3"/>
    <x v="15"/>
    <m/>
    <n v="71"/>
    <m/>
    <x v="71"/>
    <d v="2031-08-31T00:00:00"/>
    <d v="2031-08-31T00:00:00"/>
    <n v="5285954919.4071655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3"/>
    <x v="15"/>
    <m/>
    <n v="72"/>
    <m/>
    <x v="72"/>
    <d v="2031-09-30T00:00:00"/>
    <d v="2031-09-30T00:00:00"/>
    <n v="5234929032.3262329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3"/>
    <x v="15"/>
    <m/>
    <n v="73"/>
    <m/>
    <x v="73"/>
    <d v="2031-10-31T00:00:00"/>
    <d v="2031-10-31T00:00:00"/>
    <n v="5184395703.579834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3"/>
    <x v="15"/>
    <m/>
    <n v="74"/>
    <m/>
    <x v="74"/>
    <d v="2031-11-30T00:00:00"/>
    <d v="2031-11-30T00:00:00"/>
    <n v="531885776735.70636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4"/>
    <x v="16"/>
    <m/>
    <m/>
    <m/>
    <x v="0"/>
    <d v="2025-10-01T00:00:00"/>
    <d v="2025-10-01T00:00:00"/>
    <n v="50974195938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4"/>
    <x v="17"/>
    <m/>
    <n v="1"/>
    <m/>
    <x v="1"/>
    <d v="2025-10-31T00:00:00"/>
    <d v="2025-10-31T00:00:00"/>
    <n v="1829352645.0892944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4"/>
    <x v="17"/>
    <m/>
    <n v="2"/>
    <m/>
    <x v="2"/>
    <d v="2025-11-30T00:00:00"/>
    <d v="2025-11-30T00:00:00"/>
    <n v="1801216299.0827942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4"/>
    <x v="17"/>
    <m/>
    <n v="3"/>
    <m/>
    <x v="3"/>
    <d v="2025-12-31T00:00:00"/>
    <d v="2025-12-31T00:00:00"/>
    <n v="1773512703.9561005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4"/>
    <x v="17"/>
    <m/>
    <n v="4"/>
    <m/>
    <x v="4"/>
    <d v="2026-01-31T00:00:00"/>
    <d v="2026-01-31T00:00:00"/>
    <n v="1746235203.7871704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4"/>
    <x v="17"/>
    <m/>
    <n v="5"/>
    <m/>
    <x v="5"/>
    <d v="2026-02-28T00:00:00"/>
    <d v="2026-02-28T00:00:00"/>
    <n v="1719377245.0254517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4"/>
    <x v="17"/>
    <m/>
    <n v="6"/>
    <m/>
    <x v="6"/>
    <d v="2026-03-31T00:00:00"/>
    <d v="2026-03-31T00:00:00"/>
    <n v="1692932374.917099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4"/>
    <x v="17"/>
    <m/>
    <n v="7"/>
    <m/>
    <x v="7"/>
    <d v="2026-04-30T00:00:00"/>
    <d v="2026-04-30T00:00:00"/>
    <n v="1666894239.9549103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4"/>
    <x v="17"/>
    <m/>
    <n v="8"/>
    <m/>
    <x v="8"/>
    <d v="2026-05-31T00:00:00"/>
    <d v="2026-05-31T00:00:00"/>
    <n v="1641256584.3517151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4"/>
    <x v="17"/>
    <m/>
    <n v="9"/>
    <m/>
    <x v="9"/>
    <d v="2026-06-30T00:00:00"/>
    <d v="2026-06-30T00:00:00"/>
    <n v="1616013248.5374298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4"/>
    <x v="17"/>
    <m/>
    <n v="10"/>
    <m/>
    <x v="10"/>
    <d v="2026-07-31T00:00:00"/>
    <d v="2026-07-31T00:00:00"/>
    <n v="1591158167.679184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4"/>
    <x v="17"/>
    <m/>
    <n v="11"/>
    <m/>
    <x v="11"/>
    <d v="2026-08-31T00:00:00"/>
    <d v="2026-08-31T00:00:00"/>
    <n v="1566685370.2242584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4"/>
    <x v="17"/>
    <m/>
    <n v="12"/>
    <m/>
    <x v="12"/>
    <d v="2026-09-30T00:00:00"/>
    <d v="2026-09-30T00:00:00"/>
    <n v="1542588976.4653778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4"/>
    <x v="17"/>
    <m/>
    <n v="13"/>
    <m/>
    <x v="13"/>
    <d v="2026-10-31T00:00:00"/>
    <d v="2026-10-31T00:00:00"/>
    <n v="1518863197.1279907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4"/>
    <x v="17"/>
    <m/>
    <n v="14"/>
    <m/>
    <x v="14"/>
    <d v="2026-11-30T00:00:00"/>
    <d v="2026-11-30T00:00:00"/>
    <n v="1495502331.9795227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4"/>
    <x v="17"/>
    <m/>
    <n v="15"/>
    <m/>
    <x v="15"/>
    <d v="2026-12-31T00:00:00"/>
    <d v="2026-12-31T00:00:00"/>
    <n v="1472500768.4597473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4"/>
    <x v="17"/>
    <m/>
    <n v="16"/>
    <m/>
    <x v="16"/>
    <d v="2027-01-31T00:00:00"/>
    <d v="2027-01-31T00:00:00"/>
    <n v="1449852980.3323975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4"/>
    <x v="17"/>
    <m/>
    <n v="17"/>
    <m/>
    <x v="17"/>
    <d v="2027-02-28T00:00:00"/>
    <d v="2027-02-28T00:00:00"/>
    <n v="1427553526.3574066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4"/>
    <x v="17"/>
    <m/>
    <n v="18"/>
    <m/>
    <x v="18"/>
    <d v="2027-03-31T00:00:00"/>
    <d v="2027-03-31T00:00:00"/>
    <n v="1405597048.9837189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4"/>
    <x v="17"/>
    <m/>
    <n v="19"/>
    <m/>
    <x v="19"/>
    <d v="2027-04-30T00:00:00"/>
    <d v="2027-04-30T00:00:00"/>
    <n v="1383978273.0620575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4"/>
    <x v="17"/>
    <m/>
    <n v="20"/>
    <m/>
    <x v="20"/>
    <d v="2027-05-31T00:00:00"/>
    <d v="2027-05-31T00:00:00"/>
    <n v="1362692004.5774536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4"/>
    <x v="17"/>
    <m/>
    <n v="21"/>
    <m/>
    <x v="21"/>
    <d v="2027-06-30T00:00:00"/>
    <d v="2027-06-30T00:00:00"/>
    <n v="1341733129.4015961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4"/>
    <x v="17"/>
    <m/>
    <n v="22"/>
    <m/>
    <x v="22"/>
    <d v="2027-07-31T00:00:00"/>
    <d v="2027-07-31T00:00:00"/>
    <n v="1321096612.063858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4"/>
    <x v="17"/>
    <m/>
    <n v="23"/>
    <m/>
    <x v="23"/>
    <d v="2027-08-31T00:00:00"/>
    <d v="2027-08-31T00:00:00"/>
    <n v="1300777494.5417023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4"/>
    <x v="17"/>
    <m/>
    <n v="24"/>
    <m/>
    <x v="24"/>
    <d v="2027-09-30T00:00:00"/>
    <d v="2027-09-30T00:00:00"/>
    <n v="1280770895.0694122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4"/>
    <x v="17"/>
    <m/>
    <n v="25"/>
    <m/>
    <x v="25"/>
    <d v="2027-10-31T00:00:00"/>
    <d v="2027-10-31T00:00:00"/>
    <n v="1261072006.96521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4"/>
    <x v="17"/>
    <m/>
    <n v="26"/>
    <m/>
    <x v="26"/>
    <d v="2027-11-30T00:00:00"/>
    <d v="2027-11-30T00:00:00"/>
    <n v="1241676097.4765167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4"/>
    <x v="17"/>
    <m/>
    <n v="27"/>
    <m/>
    <x v="27"/>
    <d v="2027-12-31T00:00:00"/>
    <d v="2027-12-31T00:00:00"/>
    <n v="1222578506.6427155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4"/>
    <x v="17"/>
    <m/>
    <n v="28"/>
    <m/>
    <x v="28"/>
    <d v="2028-01-31T00:00:00"/>
    <d v="2028-01-31T00:00:00"/>
    <n v="1203774646.1758575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4"/>
    <x v="17"/>
    <m/>
    <n v="29"/>
    <m/>
    <x v="29"/>
    <d v="2028-02-29T00:00:00"/>
    <d v="2028-02-29T00:00:00"/>
    <n v="1185259998.3578949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4"/>
    <x v="17"/>
    <m/>
    <n v="30"/>
    <m/>
    <x v="30"/>
    <d v="2028-03-31T00:00:00"/>
    <d v="2028-03-31T00:00:00"/>
    <n v="1167030114.9557037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4"/>
    <x v="17"/>
    <m/>
    <n v="31"/>
    <m/>
    <x v="31"/>
    <d v="2028-04-30T00:00:00"/>
    <d v="2028-04-30T00:00:00"/>
    <n v="1149080616.1521149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4"/>
    <x v="17"/>
    <m/>
    <n v="32"/>
    <m/>
    <x v="32"/>
    <d v="2028-05-31T00:00:00"/>
    <d v="2028-05-31T00:00:00"/>
    <n v="1131407189.4936676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4"/>
    <x v="17"/>
    <m/>
    <n v="33"/>
    <m/>
    <x v="33"/>
    <d v="2028-06-30T00:00:00"/>
    <d v="2028-06-30T00:00:00"/>
    <n v="1114005588.8546295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4"/>
    <x v="17"/>
    <m/>
    <n v="34"/>
    <m/>
    <x v="34"/>
    <d v="2028-07-31T00:00:00"/>
    <d v="2028-07-31T00:00:00"/>
    <n v="1096871633.4167175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4"/>
    <x v="17"/>
    <m/>
    <n v="35"/>
    <m/>
    <x v="35"/>
    <d v="2028-08-31T00:00:00"/>
    <d v="2028-08-31T00:00:00"/>
    <n v="1080001206.6647186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4"/>
    <x v="17"/>
    <m/>
    <n v="36"/>
    <m/>
    <x v="36"/>
    <d v="2028-09-30T00:00:00"/>
    <d v="2028-09-30T00:00:00"/>
    <n v="1063390255.3975143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4"/>
    <x v="17"/>
    <m/>
    <n v="37"/>
    <m/>
    <x v="37"/>
    <d v="2028-10-31T00:00:00"/>
    <d v="2028-10-31T00:00:00"/>
    <n v="1047034788.7540741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4"/>
    <x v="17"/>
    <m/>
    <n v="38"/>
    <m/>
    <x v="38"/>
    <d v="2028-11-30T00:00:00"/>
    <d v="2028-11-30T00:00:00"/>
    <n v="1030930877.2549591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4"/>
    <x v="17"/>
    <m/>
    <n v="39"/>
    <m/>
    <x v="39"/>
    <d v="2028-12-31T00:00:00"/>
    <d v="2028-12-31T00:00:00"/>
    <n v="1015074651.8579102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4"/>
    <x v="17"/>
    <m/>
    <n v="40"/>
    <m/>
    <x v="40"/>
    <d v="2029-01-31T00:00:00"/>
    <d v="2029-01-31T00:00:00"/>
    <n v="999462303.02851868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4"/>
    <x v="17"/>
    <m/>
    <n v="41"/>
    <m/>
    <x v="41"/>
    <d v="2029-02-28T00:00:00"/>
    <d v="2029-02-28T00:00:00"/>
    <n v="984090079.82489014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4"/>
    <x v="17"/>
    <m/>
    <n v="42"/>
    <m/>
    <x v="42"/>
    <d v="2029-03-31T00:00:00"/>
    <d v="2029-03-31T00:00:00"/>
    <n v="968954288.99645996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4"/>
    <x v="17"/>
    <m/>
    <n v="43"/>
    <m/>
    <x v="43"/>
    <d v="2029-04-30T00:00:00"/>
    <d v="2029-04-30T00:00:00"/>
    <n v="954051294.09666443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4"/>
    <x v="17"/>
    <m/>
    <n v="44"/>
    <m/>
    <x v="44"/>
    <d v="2029-05-31T00:00:00"/>
    <d v="2029-05-31T00:00:00"/>
    <n v="939377514.60931396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4"/>
    <x v="17"/>
    <m/>
    <n v="45"/>
    <m/>
    <x v="45"/>
    <d v="2029-06-30T00:00:00"/>
    <d v="2029-06-30T00:00:00"/>
    <n v="924929425.08828735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4"/>
    <x v="17"/>
    <m/>
    <n v="46"/>
    <m/>
    <x v="46"/>
    <d v="2029-07-31T00:00:00"/>
    <d v="2029-07-31T00:00:00"/>
    <n v="910703554.31060028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4"/>
    <x v="17"/>
    <m/>
    <n v="47"/>
    <m/>
    <x v="47"/>
    <d v="2029-08-31T00:00:00"/>
    <d v="2029-08-31T00:00:00"/>
    <n v="896696484.44235992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4"/>
    <x v="17"/>
    <m/>
    <n v="48"/>
    <m/>
    <x v="48"/>
    <d v="2029-09-30T00:00:00"/>
    <d v="2029-09-30T00:00:00"/>
    <n v="882904850.21763611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4"/>
    <x v="17"/>
    <m/>
    <n v="49"/>
    <m/>
    <x v="49"/>
    <d v="2029-10-31T00:00:00"/>
    <d v="2029-10-31T00:00:00"/>
    <n v="869325338.12999725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4"/>
    <x v="17"/>
    <m/>
    <n v="50"/>
    <m/>
    <x v="50"/>
    <d v="2029-11-30T00:00:00"/>
    <d v="2029-11-30T00:00:00"/>
    <n v="855954685.63636017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4"/>
    <x v="17"/>
    <m/>
    <n v="51"/>
    <m/>
    <x v="51"/>
    <d v="2029-12-31T00:00:00"/>
    <d v="2029-12-31T00:00:00"/>
    <n v="842789680.37309265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4"/>
    <x v="17"/>
    <m/>
    <n v="52"/>
    <m/>
    <x v="52"/>
    <d v="2030-01-31T00:00:00"/>
    <d v="2030-01-31T00:00:00"/>
    <n v="829827159.38441467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4"/>
    <x v="17"/>
    <m/>
    <n v="53"/>
    <m/>
    <x v="53"/>
    <d v="2030-02-28T00:00:00"/>
    <d v="2030-02-28T00:00:00"/>
    <n v="817064008.36226654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4"/>
    <x v="17"/>
    <m/>
    <n v="54"/>
    <m/>
    <x v="54"/>
    <d v="2030-03-31T00:00:00"/>
    <d v="2030-03-31T00:00:00"/>
    <n v="804497160.89824677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4"/>
    <x v="17"/>
    <m/>
    <n v="55"/>
    <m/>
    <x v="55"/>
    <d v="2030-04-30T00:00:00"/>
    <d v="2030-04-30T00:00:00"/>
    <n v="792123597.74681091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4"/>
    <x v="17"/>
    <m/>
    <n v="56"/>
    <m/>
    <x v="56"/>
    <d v="2030-05-31T00:00:00"/>
    <d v="2030-05-31T00:00:00"/>
    <n v="779940346.09986877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4"/>
    <x v="17"/>
    <m/>
    <n v="57"/>
    <m/>
    <x v="57"/>
    <d v="2030-06-30T00:00:00"/>
    <d v="2030-06-30T00:00:00"/>
    <n v="767944478.87262726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4"/>
    <x v="17"/>
    <m/>
    <n v="58"/>
    <m/>
    <x v="58"/>
    <d v="2030-07-31T00:00:00"/>
    <d v="2030-07-31T00:00:00"/>
    <n v="756133114.00028229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4"/>
    <x v="17"/>
    <m/>
    <n v="59"/>
    <m/>
    <x v="59"/>
    <d v="2030-08-31T00:00:00"/>
    <d v="2030-08-31T00:00:00"/>
    <n v="744503413.7456131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4"/>
    <x v="17"/>
    <m/>
    <n v="60"/>
    <m/>
    <x v="60"/>
    <d v="2030-09-30T00:00:00"/>
    <d v="2030-09-30T00:00:00"/>
    <n v="733052584.0171814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4"/>
    <x v="17"/>
    <m/>
    <n v="61"/>
    <m/>
    <x v="61"/>
    <d v="2030-10-31T00:00:00"/>
    <d v="2030-10-31T00:00:00"/>
    <n v="721777873.6980896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4"/>
    <x v="17"/>
    <m/>
    <n v="62"/>
    <m/>
    <x v="62"/>
    <d v="2030-11-30T00:00:00"/>
    <d v="2030-11-30T00:00:00"/>
    <n v="710676573.98491669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4"/>
    <x v="17"/>
    <m/>
    <n v="63"/>
    <m/>
    <x v="63"/>
    <d v="2030-12-31T00:00:00"/>
    <d v="2030-12-31T00:00:00"/>
    <n v="699746017.73704529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4"/>
    <x v="17"/>
    <m/>
    <n v="64"/>
    <m/>
    <x v="64"/>
    <d v="2031-01-31T00:00:00"/>
    <d v="2031-01-31T00:00:00"/>
    <n v="688983578.83574677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4"/>
    <x v="17"/>
    <m/>
    <n v="65"/>
    <m/>
    <x v="65"/>
    <d v="2031-02-28T00:00:00"/>
    <d v="2031-02-28T00:00:00"/>
    <n v="678386671.55328369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4"/>
    <x v="17"/>
    <m/>
    <n v="66"/>
    <m/>
    <x v="66"/>
    <d v="2031-03-31T00:00:00"/>
    <d v="2031-03-31T00:00:00"/>
    <n v="667952749.93174744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4"/>
    <x v="17"/>
    <m/>
    <n v="67"/>
    <m/>
    <x v="67"/>
    <d v="2031-04-30T00:00:00"/>
    <d v="2031-04-30T00:00:00"/>
    <n v="657679307.17126465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4"/>
    <x v="17"/>
    <m/>
    <n v="68"/>
    <m/>
    <x v="68"/>
    <d v="2031-05-31T00:00:00"/>
    <d v="2031-05-31T00:00:00"/>
    <n v="647563875.02779388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4"/>
    <x v="17"/>
    <m/>
    <n v="69"/>
    <m/>
    <x v="69"/>
    <d v="2031-06-30T00:00:00"/>
    <d v="2031-06-30T00:00:00"/>
    <n v="637604023.22009277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4"/>
    <x v="17"/>
    <m/>
    <n v="70"/>
    <m/>
    <x v="70"/>
    <d v="2031-07-31T00:00:00"/>
    <d v="2031-07-31T00:00:00"/>
    <n v="627797358.84590912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4"/>
    <x v="17"/>
    <m/>
    <n v="71"/>
    <m/>
    <x v="71"/>
    <d v="2031-08-31T00:00:00"/>
    <d v="2031-08-31T00:00:00"/>
    <n v="618141525.8068924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4"/>
    <x v="17"/>
    <m/>
    <n v="72"/>
    <m/>
    <x v="72"/>
    <d v="2031-09-30T00:00:00"/>
    <d v="2031-09-30T00:00:00"/>
    <n v="608634204.24274445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4"/>
    <x v="17"/>
    <m/>
    <n v="73"/>
    <m/>
    <x v="73"/>
    <d v="2031-10-31T00:00:00"/>
    <d v="2031-10-31T00:00:00"/>
    <n v="599273109.97371674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4"/>
    <x v="17"/>
    <m/>
    <n v="74"/>
    <m/>
    <x v="74"/>
    <d v="2031-11-30T00:00:00"/>
    <d v="2031-11-30T00:00:00"/>
    <n v="590055993.95191193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4"/>
    <x v="17"/>
    <m/>
    <n v="75"/>
    <m/>
    <x v="75"/>
    <d v="2031-12-31T00:00:00"/>
    <d v="2031-12-31T00:00:00"/>
    <n v="580980641.72083282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4"/>
    <x v="17"/>
    <m/>
    <n v="76"/>
    <m/>
    <x v="76"/>
    <d v="2032-01-31T00:00:00"/>
    <d v="2032-01-31T00:00:00"/>
    <n v="572044872.883461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4"/>
    <x v="17"/>
    <m/>
    <n v="77"/>
    <m/>
    <x v="77"/>
    <d v="2032-02-29T00:00:00"/>
    <d v="2032-02-29T00:00:00"/>
    <n v="563246540.57837677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4"/>
    <x v="17"/>
    <m/>
    <n v="78"/>
    <m/>
    <x v="78"/>
    <d v="2032-03-31T00:00:00"/>
    <d v="2032-03-31T00:00:00"/>
    <n v="554583530.96390533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4"/>
    <x v="17"/>
    <m/>
    <n v="79"/>
    <m/>
    <x v="79"/>
    <d v="2032-04-30T00:00:00"/>
    <d v="2032-04-30T00:00:00"/>
    <n v="546053762.71030426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4"/>
    <x v="17"/>
    <m/>
    <n v="80"/>
    <m/>
    <x v="80"/>
    <d v="2032-05-31T00:00:00"/>
    <d v="2032-05-31T00:00:00"/>
    <n v="537655186.49976349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4"/>
    <x v="17"/>
    <m/>
    <n v="81"/>
    <m/>
    <x v="81"/>
    <d v="2032-06-30T00:00:00"/>
    <d v="2032-06-30T00:00:00"/>
    <n v="529385784.53389359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4"/>
    <x v="17"/>
    <m/>
    <n v="82"/>
    <m/>
    <x v="82"/>
    <d v="2032-07-31T00:00:00"/>
    <d v="2032-07-31T00:00:00"/>
    <n v="521243570.04914093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4"/>
    <x v="17"/>
    <m/>
    <n v="83"/>
    <m/>
    <x v="83"/>
    <d v="2032-08-31T00:00:00"/>
    <d v="2032-08-31T00:00:00"/>
    <n v="513226586.83930969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4"/>
    <x v="17"/>
    <m/>
    <n v="84"/>
    <m/>
    <x v="84"/>
    <d v="2032-09-30T00:00:00"/>
    <d v="2032-09-30T00:00:00"/>
    <n v="505332908.78559494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4"/>
    <x v="17"/>
    <m/>
    <n v="85"/>
    <m/>
    <x v="85"/>
    <d v="2032-10-31T00:00:00"/>
    <d v="2032-10-31T00:00:00"/>
    <n v="497560639.39387894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4"/>
    <x v="17"/>
    <m/>
    <n v="86"/>
    <m/>
    <x v="86"/>
    <d v="2032-11-30T00:00:00"/>
    <d v="2032-11-30T00:00:00"/>
    <n v="489907911.33908463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4"/>
    <x v="17"/>
    <m/>
    <n v="87"/>
    <m/>
    <x v="87"/>
    <d v="2032-12-31T00:00:00"/>
    <d v="2032-12-31T00:00:00"/>
    <n v="482372886.01646423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4"/>
    <x v="17"/>
    <m/>
    <n v="88"/>
    <m/>
    <x v="88"/>
    <d v="2033-01-31T00:00:00"/>
    <d v="2033-01-31T00:00:00"/>
    <n v="474953753.09993744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4"/>
    <x v="17"/>
    <m/>
    <n v="89"/>
    <m/>
    <x v="89"/>
    <d v="2033-02-28T00:00:00"/>
    <d v="2033-02-28T00:00:00"/>
    <n v="467648730.10714722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4"/>
    <x v="17"/>
    <m/>
    <n v="90"/>
    <m/>
    <x v="90"/>
    <d v="2033-03-31T00:00:00"/>
    <d v="2033-03-31T00:00:00"/>
    <n v="460456061.97117615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4"/>
    <x v="17"/>
    <m/>
    <n v="91"/>
    <m/>
    <x v="91"/>
    <d v="2033-04-30T00:00:00"/>
    <d v="2033-04-30T00:00:00"/>
    <n v="453374020.6189003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4"/>
    <x v="17"/>
    <m/>
    <n v="92"/>
    <m/>
    <x v="92"/>
    <d v="2033-05-31T00:00:00"/>
    <d v="2033-05-31T00:00:00"/>
    <n v="446400904.55582809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4"/>
    <x v="17"/>
    <m/>
    <n v="93"/>
    <m/>
    <x v="93"/>
    <d v="2033-06-30T00:00:00"/>
    <d v="2033-06-30T00:00:00"/>
    <n v="439535038.45729446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4"/>
    <x v="17"/>
    <m/>
    <n v="94"/>
    <m/>
    <x v="94"/>
    <d v="2033-07-31T00:00:00"/>
    <d v="2033-07-31T00:00:00"/>
    <n v="432774772.76592636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4"/>
    <x v="17"/>
    <m/>
    <n v="95"/>
    <m/>
    <x v="95"/>
    <d v="2033-08-31T00:00:00"/>
    <d v="2033-08-31T00:00:00"/>
    <n v="426118483.29537201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4"/>
    <x v="17"/>
    <m/>
    <n v="96"/>
    <m/>
    <x v="96"/>
    <d v="2033-09-30T00:00:00"/>
    <d v="2033-09-30T00:00:00"/>
    <n v="419564570.84009171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4"/>
    <x v="17"/>
    <m/>
    <n v="97"/>
    <m/>
    <x v="97"/>
    <d v="2033-10-31T00:00:00"/>
    <d v="2033-10-31T00:00:00"/>
    <n v="413111460.79107285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4"/>
    <x v="17"/>
    <m/>
    <n v="98"/>
    <m/>
    <x v="98"/>
    <d v="2033-11-30T00:00:00"/>
    <d v="2033-11-30T00:00:00"/>
    <n v="406757602.75758743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4"/>
    <x v="17"/>
    <m/>
    <n v="99"/>
    <m/>
    <x v="99"/>
    <d v="2033-12-31T00:00:00"/>
    <d v="2033-12-31T00:00:00"/>
    <n v="400501470.19470215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4"/>
    <x v="17"/>
    <m/>
    <n v="100"/>
    <m/>
    <x v="100"/>
    <d v="2034-01-31T00:00:00"/>
    <d v="2034-01-31T00:00:00"/>
    <n v="394341560.03644943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4"/>
    <x v="17"/>
    <m/>
    <n v="101"/>
    <m/>
    <x v="101"/>
    <d v="2034-02-28T00:00:00"/>
    <d v="2034-02-28T00:00:00"/>
    <n v="388276392.33478928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4"/>
    <x v="17"/>
    <m/>
    <n v="102"/>
    <m/>
    <x v="102"/>
    <d v="2034-03-31T00:00:00"/>
    <d v="2034-03-31T00:00:00"/>
    <n v="382304509.90403366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4"/>
    <x v="17"/>
    <m/>
    <n v="103"/>
    <m/>
    <x v="103"/>
    <d v="2034-04-30T00:00:00"/>
    <d v="2034-04-30T00:00:00"/>
    <n v="376424477.97066498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4"/>
    <x v="17"/>
    <m/>
    <n v="104"/>
    <m/>
    <x v="104"/>
    <d v="2034-05-31T00:00:00"/>
    <d v="2034-05-31T00:00:00"/>
    <n v="370634883.82876205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4"/>
    <x v="17"/>
    <m/>
    <n v="105"/>
    <m/>
    <x v="105"/>
    <d v="2034-06-30T00:00:00"/>
    <d v="2034-06-30T00:00:00"/>
    <n v="364934336.50045395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4"/>
    <x v="17"/>
    <m/>
    <n v="106"/>
    <m/>
    <x v="106"/>
    <d v="2034-07-31T00:00:00"/>
    <d v="2034-07-31T00:00:00"/>
    <n v="359321466.40185547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4"/>
    <x v="17"/>
    <m/>
    <n v="107"/>
    <m/>
    <x v="107"/>
    <d v="2034-08-31T00:00:00"/>
    <d v="2034-08-31T00:00:00"/>
    <n v="353794925.01390076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4"/>
    <x v="17"/>
    <m/>
    <n v="108"/>
    <m/>
    <x v="108"/>
    <d v="2034-09-30T00:00:00"/>
    <d v="2034-09-30T00:00:00"/>
    <n v="22649038553.929489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5"/>
    <x v="18"/>
    <m/>
    <m/>
    <m/>
    <x v="0"/>
    <d v="2025-10-01T00:00:00"/>
    <d v="2025-10-01T00:00:00"/>
    <n v="1357075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5"/>
    <x v="19"/>
    <m/>
    <n v="1"/>
    <m/>
    <x v="1"/>
    <d v="2025-10-31T00:00:00"/>
    <d v="2025-10-31T00:00:00"/>
    <n v="27743.013306768611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5"/>
    <x v="19"/>
    <m/>
    <n v="2"/>
    <m/>
    <x v="2"/>
    <d v="2025-11-30T00:00:00"/>
    <d v="2025-11-30T00:00:00"/>
    <n v="27499.945855049882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5"/>
    <x v="19"/>
    <m/>
    <n v="3"/>
    <m/>
    <x v="3"/>
    <d v="2025-12-31T00:00:00"/>
    <d v="2025-12-31T00:00:00"/>
    <n v="27259.008012881503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5"/>
    <x v="19"/>
    <m/>
    <n v="4"/>
    <m/>
    <x v="4"/>
    <d v="2026-01-31T00:00:00"/>
    <d v="2026-01-31T00:00:00"/>
    <n v="27020.181121916045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5"/>
    <x v="19"/>
    <m/>
    <n v="5"/>
    <m/>
    <x v="5"/>
    <d v="2026-02-28T00:00:00"/>
    <d v="2026-02-28T00:00:00"/>
    <n v="26783.446687279269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5"/>
    <x v="19"/>
    <m/>
    <n v="6"/>
    <m/>
    <x v="6"/>
    <d v="2026-03-31T00:00:00"/>
    <d v="2026-03-31T00:00:00"/>
    <n v="26548.78637614008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5"/>
    <x v="19"/>
    <m/>
    <n v="7"/>
    <m/>
    <x v="7"/>
    <d v="2026-04-30T00:00:00"/>
    <d v="2026-04-30T00:00:00"/>
    <n v="26316.182016284205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5"/>
    <x v="19"/>
    <m/>
    <n v="8"/>
    <m/>
    <x v="8"/>
    <d v="2026-05-31T00:00:00"/>
    <d v="2026-05-31T00:00:00"/>
    <n v="26085.615594716277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5"/>
    <x v="19"/>
    <m/>
    <n v="9"/>
    <m/>
    <x v="9"/>
    <d v="2026-06-30T00:00:00"/>
    <d v="2026-06-30T00:00:00"/>
    <n v="25857.069256256334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5"/>
    <x v="19"/>
    <m/>
    <n v="10"/>
    <m/>
    <x v="10"/>
    <d v="2026-07-31T00:00:00"/>
    <d v="2026-07-31T00:00:00"/>
    <n v="25630.525302160066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5"/>
    <x v="19"/>
    <m/>
    <n v="11"/>
    <m/>
    <x v="11"/>
    <d v="2026-08-31T00:00:00"/>
    <d v="2026-08-31T00:00:00"/>
    <n v="25405.966188753489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5"/>
    <x v="19"/>
    <m/>
    <n v="12"/>
    <m/>
    <x v="12"/>
    <d v="2026-09-30T00:00:00"/>
    <d v="2026-09-30T00:00:00"/>
    <n v="25183.374526064843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5"/>
    <x v="19"/>
    <m/>
    <n v="13"/>
    <m/>
    <x v="13"/>
    <d v="2026-10-31T00:00:00"/>
    <d v="2026-10-31T00:00:00"/>
    <n v="24962.733076483943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5"/>
    <x v="19"/>
    <m/>
    <n v="14"/>
    <m/>
    <x v="14"/>
    <d v="2026-11-30T00:00:00"/>
    <d v="2026-11-30T00:00:00"/>
    <n v="24744.024753428996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5"/>
    <x v="19"/>
    <m/>
    <n v="15"/>
    <m/>
    <x v="15"/>
    <d v="2026-12-31T00:00:00"/>
    <d v="2026-12-31T00:00:00"/>
    <n v="24527.23262001574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5"/>
    <x v="19"/>
    <m/>
    <n v="16"/>
    <m/>
    <x v="16"/>
    <d v="2027-01-31T00:00:00"/>
    <d v="2027-01-31T00:00:00"/>
    <n v="24312.339887753595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5"/>
    <x v="19"/>
    <m/>
    <n v="17"/>
    <m/>
    <x v="17"/>
    <d v="2027-02-28T00:00:00"/>
    <d v="2027-02-28T00:00:00"/>
    <n v="24099.329915243667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5"/>
    <x v="19"/>
    <m/>
    <n v="18"/>
    <m/>
    <x v="18"/>
    <d v="2027-03-31T00:00:00"/>
    <d v="2027-03-31T00:00:00"/>
    <n v="23888.186206884682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5"/>
    <x v="19"/>
    <m/>
    <n v="19"/>
    <m/>
    <x v="19"/>
    <d v="2027-04-30T00:00:00"/>
    <d v="2027-04-30T00:00:00"/>
    <n v="23678.892411604524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5"/>
    <x v="19"/>
    <m/>
    <n v="20"/>
    <m/>
    <x v="20"/>
    <d v="2027-05-31T00:00:00"/>
    <d v="2027-05-31T00:00:00"/>
    <n v="23471.43232158618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5"/>
    <x v="19"/>
    <m/>
    <n v="21"/>
    <m/>
    <x v="21"/>
    <d v="2027-06-30T00:00:00"/>
    <d v="2027-06-30T00:00:00"/>
    <n v="23265.789871016052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5"/>
    <x v="19"/>
    <m/>
    <n v="22"/>
    <m/>
    <x v="22"/>
    <d v="2027-07-31T00:00:00"/>
    <d v="2027-07-31T00:00:00"/>
    <n v="23061.94913484063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5"/>
    <x v="19"/>
    <m/>
    <n v="23"/>
    <m/>
    <x v="23"/>
    <d v="2027-08-31T00:00:00"/>
    <d v="2027-08-31T00:00:00"/>
    <n v="22859.894327531569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5"/>
    <x v="19"/>
    <m/>
    <n v="24"/>
    <m/>
    <x v="24"/>
    <d v="2027-09-30T00:00:00"/>
    <d v="2027-09-30T00:00:00"/>
    <n v="22659.60980186332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5"/>
    <x v="19"/>
    <m/>
    <n v="25"/>
    <m/>
    <x v="25"/>
    <d v="2027-10-31T00:00:00"/>
    <d v="2027-10-31T00:00:00"/>
    <n v="22461.080047702417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5"/>
    <x v="19"/>
    <m/>
    <n v="26"/>
    <m/>
    <x v="26"/>
    <d v="2027-11-30T00:00:00"/>
    <d v="2027-11-30T00:00:00"/>
    <n v="22264.289690805599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5"/>
    <x v="19"/>
    <m/>
    <n v="27"/>
    <m/>
    <x v="27"/>
    <d v="2027-12-31T00:00:00"/>
    <d v="2027-12-31T00:00:00"/>
    <n v="22069.223491627723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5"/>
    <x v="19"/>
    <m/>
    <n v="28"/>
    <m/>
    <x v="28"/>
    <d v="2028-01-31T00:00:00"/>
    <d v="2028-01-31T00:00:00"/>
    <n v="21875.866344146896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5"/>
    <x v="19"/>
    <m/>
    <n v="29"/>
    <m/>
    <x v="29"/>
    <d v="2028-02-29T00:00:00"/>
    <d v="2028-02-29T00:00:00"/>
    <n v="21684.203274688683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5"/>
    <x v="19"/>
    <m/>
    <n v="30"/>
    <m/>
    <x v="30"/>
    <d v="2028-03-31T00:00:00"/>
    <d v="2028-03-31T00:00:00"/>
    <n v="21494.219440767542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5"/>
    <x v="19"/>
    <m/>
    <n v="31"/>
    <m/>
    <x v="31"/>
    <d v="2028-04-30T00:00:00"/>
    <d v="2028-04-30T00:00:00"/>
    <n v="21305.900129942689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5"/>
    <x v="19"/>
    <m/>
    <n v="32"/>
    <m/>
    <x v="32"/>
    <d v="2028-05-31T00:00:00"/>
    <d v="2028-05-31T00:00:00"/>
    <n v="21119.230758670252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5"/>
    <x v="19"/>
    <m/>
    <n v="33"/>
    <m/>
    <x v="33"/>
    <d v="2028-06-30T00:00:00"/>
    <d v="2028-06-30T00:00:00"/>
    <n v="20934.196871182881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5"/>
    <x v="19"/>
    <m/>
    <n v="34"/>
    <m/>
    <x v="34"/>
    <d v="2028-07-31T00:00:00"/>
    <d v="2028-07-31T00:00:00"/>
    <n v="20750.784138362855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5"/>
    <x v="19"/>
    <m/>
    <n v="35"/>
    <m/>
    <x v="35"/>
    <d v="2028-08-31T00:00:00"/>
    <d v="2028-08-31T00:00:00"/>
    <n v="20568.978356636595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5"/>
    <x v="19"/>
    <m/>
    <n v="36"/>
    <m/>
    <x v="36"/>
    <d v="2028-09-30T00:00:00"/>
    <d v="2028-09-30T00:00:00"/>
    <n v="20388.765446873847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5"/>
    <x v="19"/>
    <m/>
    <n v="37"/>
    <m/>
    <x v="37"/>
    <d v="2028-10-31T00:00:00"/>
    <d v="2028-10-31T00:00:00"/>
    <n v="20210.131453296635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5"/>
    <x v="19"/>
    <m/>
    <n v="38"/>
    <m/>
    <x v="38"/>
    <d v="2028-11-30T00:00:00"/>
    <d v="2028-11-30T00:00:00"/>
    <n v="20033.06254239846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5"/>
    <x v="19"/>
    <m/>
    <n v="39"/>
    <m/>
    <x v="39"/>
    <d v="2028-12-31T00:00:00"/>
    <d v="2028-12-31T00:00:00"/>
    <n v="19857.545001875143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5"/>
    <x v="19"/>
    <m/>
    <n v="40"/>
    <m/>
    <x v="40"/>
    <d v="2029-01-31T00:00:00"/>
    <d v="2029-01-31T00:00:00"/>
    <n v="19683.56523956079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5"/>
    <x v="19"/>
    <m/>
    <n v="41"/>
    <m/>
    <x v="41"/>
    <d v="2029-02-28T00:00:00"/>
    <d v="2029-02-28T00:00:00"/>
    <n v="19511.109782375861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5"/>
    <x v="19"/>
    <m/>
    <n v="42"/>
    <m/>
    <x v="42"/>
    <d v="2029-03-31T00:00:00"/>
    <d v="2029-03-31T00:00:00"/>
    <n v="19340.165275282227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5"/>
    <x v="19"/>
    <m/>
    <n v="43"/>
    <m/>
    <x v="43"/>
    <d v="2029-04-30T00:00:00"/>
    <d v="2029-04-30T00:00:00"/>
    <n v="19170.718480253126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5"/>
    <x v="19"/>
    <m/>
    <n v="44"/>
    <m/>
    <x v="44"/>
    <d v="2029-05-31T00:00:00"/>
    <d v="2029-05-31T00:00:00"/>
    <n v="19002.756275244057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5"/>
    <x v="19"/>
    <m/>
    <n v="45"/>
    <m/>
    <x v="45"/>
    <d v="2029-06-30T00:00:00"/>
    <d v="2029-06-30T00:00:00"/>
    <n v="18836.265653176699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5"/>
    <x v="19"/>
    <m/>
    <n v="46"/>
    <m/>
    <x v="46"/>
    <d v="2029-07-31T00:00:00"/>
    <d v="2029-07-31T00:00:00"/>
    <n v="18671.233720935415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5"/>
    <x v="19"/>
    <m/>
    <n v="47"/>
    <m/>
    <x v="47"/>
    <d v="2029-08-31T00:00:00"/>
    <d v="2029-08-31T00:00:00"/>
    <n v="18507.647698363988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5"/>
    <x v="19"/>
    <m/>
    <n v="48"/>
    <m/>
    <x v="48"/>
    <d v="2029-09-30T00:00:00"/>
    <d v="2029-09-30T00:00:00"/>
    <n v="18345.494917280041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5"/>
    <x v="19"/>
    <m/>
    <n v="49"/>
    <m/>
    <x v="49"/>
    <d v="2029-10-31T00:00:00"/>
    <d v="2029-10-31T00:00:00"/>
    <n v="18184.76282049017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5"/>
    <x v="19"/>
    <m/>
    <n v="50"/>
    <m/>
    <x v="50"/>
    <d v="2029-11-30T00:00:00"/>
    <d v="2029-11-30T00:00:00"/>
    <n v="18025.438960821135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5"/>
    <x v="19"/>
    <m/>
    <n v="51"/>
    <m/>
    <x v="51"/>
    <d v="2029-12-31T00:00:00"/>
    <d v="2029-12-31T00:00:00"/>
    <n v="17867.511000153609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5"/>
    <x v="19"/>
    <m/>
    <n v="52"/>
    <m/>
    <x v="52"/>
    <d v="2030-01-31T00:00:00"/>
    <d v="2030-01-31T00:00:00"/>
    <n v="17710.966708466411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5"/>
    <x v="19"/>
    <m/>
    <n v="53"/>
    <m/>
    <x v="53"/>
    <d v="2030-02-28T00:00:00"/>
    <d v="2030-02-28T00:00:00"/>
    <n v="17555.793962892611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5"/>
    <x v="19"/>
    <m/>
    <n v="54"/>
    <m/>
    <x v="54"/>
    <d v="2030-03-31T00:00:00"/>
    <d v="2030-03-31T00:00:00"/>
    <n v="17401.98074677703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5"/>
    <x v="19"/>
    <m/>
    <n v="55"/>
    <m/>
    <x v="55"/>
    <d v="2030-04-30T00:00:00"/>
    <d v="2030-04-30T00:00:00"/>
    <n v="17249.515148746548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5"/>
    <x v="19"/>
    <m/>
    <n v="56"/>
    <m/>
    <x v="56"/>
    <d v="2030-05-31T00:00:00"/>
    <d v="2030-05-31T00:00:00"/>
    <n v="17098.385361789959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5"/>
    <x v="19"/>
    <m/>
    <n v="57"/>
    <m/>
    <x v="57"/>
    <d v="2030-06-30T00:00:00"/>
    <d v="2030-06-30T00:00:00"/>
    <n v="16948.57968234038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5"/>
    <x v="19"/>
    <m/>
    <n v="58"/>
    <m/>
    <x v="58"/>
    <d v="2030-07-31T00:00:00"/>
    <d v="2030-07-31T00:00:00"/>
    <n v="16800.086509371875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5"/>
    <x v="19"/>
    <m/>
    <n v="59"/>
    <m/>
    <x v="59"/>
    <d v="2030-08-31T00:00:00"/>
    <d v="2030-08-31T00:00:00"/>
    <n v="16652.894343497697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5"/>
    <x v="19"/>
    <m/>
    <n v="60"/>
    <m/>
    <x v="60"/>
    <d v="2030-09-30T00:00:00"/>
    <d v="2030-09-30T00:00:00"/>
    <n v="16506.991786084604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5"/>
    <x v="19"/>
    <m/>
    <n v="61"/>
    <m/>
    <x v="61"/>
    <d v="2030-10-31T00:00:00"/>
    <d v="2030-10-31T00:00:00"/>
    <n v="16362.367538363906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5"/>
    <x v="19"/>
    <m/>
    <n v="62"/>
    <m/>
    <x v="62"/>
    <d v="2030-11-30T00:00:00"/>
    <d v="2030-11-30T00:00:00"/>
    <n v="16219.010400563246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5"/>
    <x v="19"/>
    <m/>
    <n v="63"/>
    <m/>
    <x v="63"/>
    <d v="2030-12-31T00:00:00"/>
    <d v="2030-12-31T00:00:00"/>
    <n v="16076.909271032549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5"/>
    <x v="19"/>
    <m/>
    <n v="64"/>
    <m/>
    <x v="64"/>
    <d v="2031-01-31T00:00:00"/>
    <d v="2031-01-31T00:00:00"/>
    <n v="15936.053145390935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5"/>
    <x v="19"/>
    <m/>
    <n v="65"/>
    <m/>
    <x v="65"/>
    <d v="2031-02-28T00:00:00"/>
    <d v="2031-02-28T00:00:00"/>
    <n v="15796.4311156685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5"/>
    <x v="19"/>
    <m/>
    <n v="66"/>
    <m/>
    <x v="66"/>
    <d v="2031-03-31T00:00:00"/>
    <d v="2031-03-31T00:00:00"/>
    <n v="15658.0323694658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5"/>
    <x v="19"/>
    <m/>
    <n v="67"/>
    <m/>
    <x v="67"/>
    <d v="2031-04-30T00:00:00"/>
    <d v="2031-04-30T00:00:00"/>
    <n v="15520.846189115429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5"/>
    <x v="19"/>
    <m/>
    <n v="68"/>
    <m/>
    <x v="68"/>
    <d v="2031-05-31T00:00:00"/>
    <d v="2031-05-31T00:00:00"/>
    <n v="15384.861950849649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5"/>
    <x v="19"/>
    <m/>
    <n v="69"/>
    <m/>
    <x v="69"/>
    <d v="2031-06-30T00:00:00"/>
    <d v="2031-06-30T00:00:00"/>
    <n v="15250.069123982685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5"/>
    <x v="19"/>
    <m/>
    <n v="70"/>
    <m/>
    <x v="70"/>
    <d v="2031-07-31T00:00:00"/>
    <d v="2031-07-31T00:00:00"/>
    <n v="1725348.5492601523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5"/>
    <x v="20"/>
    <m/>
    <m/>
    <m/>
    <x v="0"/>
    <d v="2025-10-01T00:00:00"/>
    <d v="2025-10-01T00:00:00"/>
    <n v="330673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5"/>
    <x v="21"/>
    <m/>
    <n v="1"/>
    <m/>
    <x v="1"/>
    <d v="2025-10-31T00:00:00"/>
    <d v="2025-10-31T00:00:00"/>
    <n v="6836.4965637763962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5"/>
    <x v="21"/>
    <m/>
    <n v="2"/>
    <m/>
    <x v="2"/>
    <d v="2025-11-30T00:00:00"/>
    <d v="2025-11-30T00:00:00"/>
    <n v="6775.9217023361707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5"/>
    <x v="21"/>
    <m/>
    <n v="3"/>
    <m/>
    <x v="3"/>
    <d v="2025-12-31T00:00:00"/>
    <d v="2025-12-31T00:00:00"/>
    <n v="6715.8835651968839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5"/>
    <x v="21"/>
    <m/>
    <n v="4"/>
    <m/>
    <x v="4"/>
    <d v="2026-01-31T00:00:00"/>
    <d v="2026-01-31T00:00:00"/>
    <n v="6656.3773967061425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5"/>
    <x v="21"/>
    <m/>
    <n v="5"/>
    <m/>
    <x v="5"/>
    <d v="2026-02-28T00:00:00"/>
    <d v="2026-02-28T00:00:00"/>
    <n v="6597.398483349476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5"/>
    <x v="21"/>
    <m/>
    <n v="6"/>
    <m/>
    <x v="6"/>
    <d v="2026-03-31T00:00:00"/>
    <d v="2026-03-31T00:00:00"/>
    <n v="6538.9421533760615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5"/>
    <x v="21"/>
    <m/>
    <n v="7"/>
    <m/>
    <x v="7"/>
    <d v="2026-04-30T00:00:00"/>
    <d v="2026-04-30T00:00:00"/>
    <n v="6481.0037764293374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5"/>
    <x v="21"/>
    <m/>
    <n v="8"/>
    <m/>
    <x v="8"/>
    <d v="2026-05-31T00:00:00"/>
    <d v="2026-05-31T00:00:00"/>
    <n v="6423.5787631806452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5"/>
    <x v="21"/>
    <m/>
    <n v="9"/>
    <m/>
    <x v="9"/>
    <d v="2026-06-30T00:00:00"/>
    <d v="2026-06-30T00:00:00"/>
    <n v="6366.6625649641501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5"/>
    <x v="21"/>
    <m/>
    <n v="10"/>
    <m/>
    <x v="10"/>
    <d v="2026-07-31T00:00:00"/>
    <d v="2026-07-31T00:00:00"/>
    <n v="6310.2506734183989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5"/>
    <x v="21"/>
    <m/>
    <n v="11"/>
    <m/>
    <x v="11"/>
    <d v="2026-08-31T00:00:00"/>
    <d v="2026-08-31T00:00:00"/>
    <n v="6254.3386201277608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5"/>
    <x v="21"/>
    <m/>
    <n v="12"/>
    <m/>
    <x v="12"/>
    <d v="2026-09-30T00:00:00"/>
    <d v="2026-09-30T00:00:00"/>
    <n v="6198.9219762693392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5"/>
    <x v="21"/>
    <m/>
    <n v="13"/>
    <m/>
    <x v="13"/>
    <d v="2026-10-31T00:00:00"/>
    <d v="2026-10-31T00:00:00"/>
    <n v="6143.9963522617472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5"/>
    <x v="21"/>
    <m/>
    <n v="14"/>
    <m/>
    <x v="14"/>
    <d v="2026-11-30T00:00:00"/>
    <d v="2026-11-30T00:00:00"/>
    <n v="6089.5573974177241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5"/>
    <x v="21"/>
    <m/>
    <n v="15"/>
    <m/>
    <x v="15"/>
    <d v="2026-12-31T00:00:00"/>
    <d v="2026-12-31T00:00:00"/>
    <n v="6035.6007995990803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5"/>
    <x v="21"/>
    <m/>
    <n v="16"/>
    <m/>
    <x v="16"/>
    <d v="2027-01-31T00:00:00"/>
    <d v="2027-01-31T00:00:00"/>
    <n v="5982.1222848753678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5"/>
    <x v="21"/>
    <m/>
    <n v="17"/>
    <m/>
    <x v="17"/>
    <d v="2027-02-28T00:00:00"/>
    <d v="2027-02-28T00:00:00"/>
    <n v="5929.1176171858096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5"/>
    <x v="21"/>
    <m/>
    <n v="18"/>
    <m/>
    <x v="18"/>
    <d v="2027-03-31T00:00:00"/>
    <d v="2027-03-31T00:00:00"/>
    <n v="5876.5825980025111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5"/>
    <x v="21"/>
    <m/>
    <n v="19"/>
    <m/>
    <x v="19"/>
    <d v="2027-04-30T00:00:00"/>
    <d v="2027-04-30T00:00:00"/>
    <n v="5824.513065999723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5"/>
    <x v="21"/>
    <m/>
    <n v="20"/>
    <m/>
    <x v="20"/>
    <d v="2027-05-31T00:00:00"/>
    <d v="2027-05-31T00:00:00"/>
    <n v="5772.9048967219424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5"/>
    <x v="21"/>
    <m/>
    <n v="21"/>
    <m/>
    <x v="21"/>
    <d v="2027-06-30T00:00:00"/>
    <d v="2027-06-30T00:00:00"/>
    <n v="5721.754002259695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5"/>
    <x v="21"/>
    <m/>
    <n v="22"/>
    <m/>
    <x v="22"/>
    <d v="2027-07-31T00:00:00"/>
    <d v="2027-07-31T00:00:00"/>
    <n v="5671.0563309233403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5"/>
    <x v="21"/>
    <m/>
    <n v="23"/>
    <m/>
    <x v="23"/>
    <d v="2027-08-31T00:00:00"/>
    <d v="2027-08-31T00:00:00"/>
    <n v="5620.8078669243259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5"/>
    <x v="21"/>
    <m/>
    <n v="24"/>
    <m/>
    <x v="24"/>
    <d v="2027-09-30T00:00:00"/>
    <d v="2027-09-30T00:00:00"/>
    <n v="5571.0046300551621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5"/>
    <x v="21"/>
    <m/>
    <n v="25"/>
    <m/>
    <x v="25"/>
    <d v="2027-10-31T00:00:00"/>
    <d v="2027-10-31T00:00:00"/>
    <n v="5521.6426753755659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5"/>
    <x v="21"/>
    <m/>
    <n v="26"/>
    <m/>
    <x v="26"/>
    <d v="2027-11-30T00:00:00"/>
    <d v="2027-11-30T00:00:00"/>
    <n v="5472.7180928993039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5"/>
    <x v="21"/>
    <m/>
    <n v="27"/>
    <m/>
    <x v="27"/>
    <d v="2027-12-31T00:00:00"/>
    <d v="2027-12-31T00:00:00"/>
    <n v="5424.2270072846441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5"/>
    <x v="21"/>
    <m/>
    <n v="28"/>
    <m/>
    <x v="28"/>
    <d v="2028-01-31T00:00:00"/>
    <d v="2028-01-31T00:00:00"/>
    <n v="5376.1655775273684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5"/>
    <x v="21"/>
    <m/>
    <n v="29"/>
    <m/>
    <x v="29"/>
    <d v="2028-02-29T00:00:00"/>
    <d v="2028-02-29T00:00:00"/>
    <n v="5328.5299966564635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5"/>
    <x v="21"/>
    <m/>
    <n v="30"/>
    <m/>
    <x v="30"/>
    <d v="2028-03-31T00:00:00"/>
    <d v="2028-03-31T00:00:00"/>
    <n v="5281.3164914323715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5"/>
    <x v="21"/>
    <m/>
    <n v="31"/>
    <m/>
    <x v="31"/>
    <d v="2028-04-30T00:00:00"/>
    <d v="2028-04-30T00:00:00"/>
    <n v="5234.5213220490841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5"/>
    <x v="21"/>
    <m/>
    <n v="32"/>
    <m/>
    <x v="32"/>
    <d v="2028-05-31T00:00:00"/>
    <d v="2028-05-31T00:00:00"/>
    <n v="5188.1407818365842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5"/>
    <x v="21"/>
    <m/>
    <n v="33"/>
    <m/>
    <x v="33"/>
    <d v="2028-06-30T00:00:00"/>
    <d v="2028-06-30T00:00:00"/>
    <n v="5142.1711969682947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5"/>
    <x v="21"/>
    <m/>
    <n v="34"/>
    <m/>
    <x v="34"/>
    <d v="2028-07-31T00:00:00"/>
    <d v="2028-07-31T00:00:00"/>
    <n v="5096.6089261686429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5"/>
    <x v="21"/>
    <m/>
    <n v="35"/>
    <m/>
    <x v="35"/>
    <d v="2028-08-31T00:00:00"/>
    <d v="2028-08-31T00:00:00"/>
    <n v="5051.4503604271449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5"/>
    <x v="21"/>
    <m/>
    <n v="36"/>
    <m/>
    <x v="36"/>
    <d v="2028-09-30T00:00:00"/>
    <d v="2028-09-30T00:00:00"/>
    <n v="5006.6919227099279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5"/>
    <x v="21"/>
    <m/>
    <n v="37"/>
    <m/>
    <x v="37"/>
    <d v="2028-10-31T00:00:00"/>
    <d v="2028-10-31T00:00:00"/>
    <n v="4962.3300676773069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5"/>
    <x v="21"/>
    <m/>
    <n v="38"/>
    <m/>
    <x v="38"/>
    <d v="2028-11-30T00:00:00"/>
    <d v="2028-11-30T00:00:00"/>
    <n v="4918.3612814042717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5"/>
    <x v="21"/>
    <m/>
    <n v="39"/>
    <m/>
    <x v="39"/>
    <d v="2028-12-31T00:00:00"/>
    <d v="2028-12-31T00:00:00"/>
    <n v="4874.7820810996927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5"/>
    <x v="21"/>
    <m/>
    <n v="40"/>
    <m/>
    <x v="40"/>
    <d v="2029-01-31T00:00:00"/>
    <d v="2029-01-31T00:00:00"/>
    <n v="4831.5890148327453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5"/>
    <x v="21"/>
    <m/>
    <n v="41"/>
    <m/>
    <x v="41"/>
    <d v="2029-02-28T00:00:00"/>
    <d v="2029-02-28T00:00:00"/>
    <n v="4788.7786612575874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5"/>
    <x v="21"/>
    <m/>
    <n v="42"/>
    <m/>
    <x v="42"/>
    <d v="2029-03-31T00:00:00"/>
    <d v="2029-03-31T00:00:00"/>
    <n v="4746.3476293444401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5"/>
    <x v="21"/>
    <m/>
    <n v="43"/>
    <m/>
    <x v="43"/>
    <d v="2029-04-30T00:00:00"/>
    <d v="2029-04-30T00:00:00"/>
    <n v="4704.29255810834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5"/>
    <x v="21"/>
    <m/>
    <n v="44"/>
    <m/>
    <x v="44"/>
    <d v="2029-05-31T00:00:00"/>
    <d v="2029-05-31T00:00:00"/>
    <n v="4662.6101163455169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5"/>
    <x v="21"/>
    <m/>
    <n v="45"/>
    <m/>
    <x v="45"/>
    <d v="2029-06-30T00:00:00"/>
    <d v="2029-06-30T00:00:00"/>
    <n v="4621.2970023678499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5"/>
    <x v="21"/>
    <m/>
    <n v="46"/>
    <m/>
    <x v="46"/>
    <d v="2029-07-31T00:00:00"/>
    <d v="2029-07-31T00:00:00"/>
    <n v="4580.3499437419814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5"/>
    <x v="21"/>
    <m/>
    <n v="47"/>
    <m/>
    <x v="47"/>
    <d v="2029-08-31T00:00:00"/>
    <d v="2029-08-31T00:00:00"/>
    <n v="4539.7656970301177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5"/>
    <x v="21"/>
    <m/>
    <n v="48"/>
    <m/>
    <x v="48"/>
    <d v="2029-09-30T00:00:00"/>
    <d v="2029-09-30T00:00:00"/>
    <n v="4499.5410475325771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5"/>
    <x v="21"/>
    <m/>
    <n v="49"/>
    <m/>
    <x v="49"/>
    <d v="2029-10-31T00:00:00"/>
    <d v="2029-10-31T00:00:00"/>
    <n v="4459.6728090341785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5"/>
    <x v="21"/>
    <m/>
    <n v="50"/>
    <m/>
    <x v="50"/>
    <d v="2029-11-30T00:00:00"/>
    <d v="2029-11-30T00:00:00"/>
    <n v="4420.1578235506895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5"/>
    <x v="21"/>
    <m/>
    <n v="51"/>
    <m/>
    <x v="51"/>
    <d v="2029-12-31T00:00:00"/>
    <d v="2029-12-31T00:00:00"/>
    <n v="4380.9929610793479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5"/>
    <x v="21"/>
    <m/>
    <n v="52"/>
    <m/>
    <x v="52"/>
    <d v="2030-01-31T00:00:00"/>
    <d v="2030-01-31T00:00:00"/>
    <n v="4342.1751193513046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5"/>
    <x v="21"/>
    <m/>
    <n v="53"/>
    <m/>
    <x v="53"/>
    <d v="2030-02-28T00:00:00"/>
    <d v="2030-02-28T00:00:00"/>
    <n v="4303.7012235846487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5"/>
    <x v="21"/>
    <m/>
    <n v="54"/>
    <m/>
    <x v="54"/>
    <d v="2030-03-31T00:00:00"/>
    <d v="2030-03-31T00:00:00"/>
    <n v="4265.5682262420887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5"/>
    <x v="21"/>
    <m/>
    <n v="55"/>
    <m/>
    <x v="55"/>
    <d v="2030-04-30T00:00:00"/>
    <d v="2030-04-30T00:00:00"/>
    <n v="4227.7731067891582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5"/>
    <x v="21"/>
    <m/>
    <n v="56"/>
    <m/>
    <x v="56"/>
    <d v="2030-05-31T00:00:00"/>
    <d v="2030-05-31T00:00:00"/>
    <n v="4190.3128714544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5"/>
    <x v="21"/>
    <m/>
    <n v="57"/>
    <m/>
    <x v="57"/>
    <d v="2030-06-30T00:00:00"/>
    <d v="2030-06-30T00:00:00"/>
    <n v="4153.1845529930433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5"/>
    <x v="21"/>
    <m/>
    <n v="58"/>
    <m/>
    <x v="58"/>
    <d v="2030-07-31T00:00:00"/>
    <d v="2030-07-31T00:00:00"/>
    <n v="4116.3852104518446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5"/>
    <x v="21"/>
    <m/>
    <n v="59"/>
    <m/>
    <x v="59"/>
    <d v="2030-08-31T00:00:00"/>
    <d v="2030-08-31T00:00:00"/>
    <n v="4079.9119289352093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5"/>
    <x v="21"/>
    <m/>
    <n v="60"/>
    <m/>
    <x v="60"/>
    <d v="2030-09-30T00:00:00"/>
    <d v="2030-09-30T00:00:00"/>
    <n v="4043.7618193757953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5"/>
    <x v="21"/>
    <m/>
    <n v="61"/>
    <m/>
    <x v="61"/>
    <d v="2030-10-31T00:00:00"/>
    <d v="2030-10-31T00:00:00"/>
    <n v="4007.9320183043601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5"/>
    <x v="21"/>
    <m/>
    <n v="62"/>
    <m/>
    <x v="62"/>
    <d v="2030-11-30T00:00:00"/>
    <d v="2030-11-30T00:00:00"/>
    <n v="3972.4196876236238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5"/>
    <x v="21"/>
    <m/>
    <n v="63"/>
    <m/>
    <x v="63"/>
    <d v="2030-12-31T00:00:00"/>
    <d v="2030-12-31T00:00:00"/>
    <n v="3937.2220143832965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5"/>
    <x v="21"/>
    <m/>
    <n v="64"/>
    <m/>
    <x v="64"/>
    <d v="2031-01-31T00:00:00"/>
    <d v="2031-01-31T00:00:00"/>
    <n v="3902.3362105574924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5"/>
    <x v="21"/>
    <m/>
    <n v="65"/>
    <m/>
    <x v="65"/>
    <d v="2031-02-28T00:00:00"/>
    <d v="2031-02-28T00:00:00"/>
    <n v="3867.7595128231333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5"/>
    <x v="21"/>
    <m/>
    <n v="66"/>
    <m/>
    <x v="66"/>
    <d v="2031-03-31T00:00:00"/>
    <d v="2031-03-31T00:00:00"/>
    <n v="3833.4891823421349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5"/>
    <x v="21"/>
    <m/>
    <n v="67"/>
    <m/>
    <x v="67"/>
    <d v="2031-04-30T00:00:00"/>
    <d v="2031-04-30T00:00:00"/>
    <n v="3799.5225045434781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5"/>
    <x v="21"/>
    <m/>
    <n v="68"/>
    <m/>
    <x v="68"/>
    <d v="2031-05-31T00:00:00"/>
    <d v="2031-05-31T00:00:00"/>
    <n v="3765.8567889091792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5"/>
    <x v="21"/>
    <m/>
    <n v="69"/>
    <m/>
    <x v="69"/>
    <d v="2031-06-30T00:00:00"/>
    <d v="2031-06-30T00:00:00"/>
    <n v="3732.489368760027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5"/>
    <x v="21"/>
    <m/>
    <n v="70"/>
    <m/>
    <x v="70"/>
    <d v="2031-07-31T00:00:00"/>
    <d v="2031-07-31T00:00:00"/>
    <n v="417517.35152176116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6"/>
    <x v="14"/>
    <m/>
    <m/>
    <m/>
    <x v="0"/>
    <d v="2025-10-01T00:00:00"/>
    <d v="2025-10-01T00:00:00"/>
    <n v="462770337877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7"/>
    <x v="15"/>
    <m/>
    <m/>
    <m/>
    <x v="0"/>
    <d v="2025-10-01T00:00:00"/>
    <d v="2025-10-01T00:00:00"/>
    <n v="1079797455044.9985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8"/>
    <x v="16"/>
    <m/>
    <m/>
    <m/>
    <x v="0"/>
    <d v="2025-10-01T00:00:00"/>
    <d v="2025-10-01T00:00:00"/>
    <n v="50974195938"/>
    <m/>
    <m/>
    <m/>
    <m/>
    <m/>
    <n v="1"/>
    <s v="BALANCE TASAS"/>
    <m/>
    <s v="BALANCE TASAS"/>
    <s v="HTM"/>
    <n v="1"/>
    <m/>
    <m/>
    <m/>
    <m/>
  </r>
  <r>
    <x v="0"/>
    <n v="1"/>
    <m/>
    <s v="PAS"/>
    <s v="CLP"/>
    <s v="CLP"/>
    <m/>
    <x v="9"/>
    <x v="17"/>
    <m/>
    <m/>
    <m/>
    <x v="0"/>
    <d v="2025-10-01T00:00:00"/>
    <d v="2025-10-01T00:00:00"/>
    <n v="118939790522.99988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10"/>
    <x v="18"/>
    <m/>
    <m/>
    <m/>
    <x v="0"/>
    <d v="2025-10-01T00:00:00"/>
    <d v="2025-10-01T00:00:00"/>
    <n v="1357075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11"/>
    <x v="19"/>
    <m/>
    <m/>
    <m/>
    <x v="0"/>
    <d v="2025-10-01T00:00:00"/>
    <d v="2025-10-01T00:00:00"/>
    <n v="3166506.9999999907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12"/>
    <x v="20"/>
    <m/>
    <m/>
    <m/>
    <x v="0"/>
    <d v="2025-10-01T00:00:00"/>
    <d v="2025-10-01T00:00:00"/>
    <n v="330673"/>
    <m/>
    <m/>
    <m/>
    <m/>
    <m/>
    <n v="1"/>
    <s v="BALANCE TASAS"/>
    <m/>
    <s v="BALANCE TASAS"/>
    <s v="HTM"/>
    <n v="1"/>
    <m/>
    <m/>
    <m/>
    <m/>
  </r>
  <r>
    <x v="0"/>
    <n v="1"/>
    <m/>
    <s v="PAS"/>
    <s v="CLF"/>
    <s v="CLF"/>
    <m/>
    <x v="13"/>
    <x v="21"/>
    <m/>
    <m/>
    <m/>
    <x v="0"/>
    <d v="2025-10-01T00:00:00"/>
    <d v="2025-10-01T00:00:00"/>
    <n v="771568.99999628461"/>
    <m/>
    <m/>
    <m/>
    <m/>
    <m/>
    <n v="1"/>
    <s v="BALANCE TASAS"/>
    <m/>
    <s v="BALANCE TASAS"/>
    <s v="HTM"/>
    <n v="1"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  <r>
    <x v="1"/>
    <m/>
    <m/>
    <m/>
    <m/>
    <m/>
    <m/>
    <x v="14"/>
    <x v="22"/>
    <m/>
    <m/>
    <m/>
    <x v="295"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1000000}" name="TablaDinámica1" cacheId="34" applyNumberFormats="0" applyBorderFormats="0" applyFontFormats="0" applyPatternFormats="0" applyAlignmentFormats="0" applyWidthHeightFormats="1" dataCaption="Valores" updatedVersion="8" minRefreshableVersion="3" useAutoFormatting="1" itemPrintTitles="1" createdVersion="6" indent="0" outline="1" outlineData="1" multipleFieldFilters="0">
  <location ref="A3:E114" firstHeaderRow="1" firstDataRow="2" firstDataCol="1" rowPageCount="1" colPageCount="1"/>
  <pivotFields count="31">
    <pivotField axis="axisPage" multipleItemSelectionAllowed="1" showAll="0">
      <items count="867">
        <item h="1" m="1" x="301"/>
        <item h="1" x="1"/>
        <item h="1" m="1" x="619"/>
        <item h="1" m="1" x="318"/>
        <item h="1" m="1" x="636"/>
        <item h="1" m="1" x="330"/>
        <item h="1" m="1" x="649"/>
        <item h="1" m="1" x="342"/>
        <item h="1" m="1" x="674"/>
        <item h="1" m="1" x="367"/>
        <item h="1" m="1" x="692"/>
        <item h="1" m="1" x="383"/>
        <item h="1" m="1" x="705"/>
        <item h="1" m="1" x="410"/>
        <item h="1" m="1" x="734"/>
        <item h="1" m="1" x="427"/>
        <item h="1" m="1" x="750"/>
        <item h="1" m="1" x="600"/>
        <item h="1" m="1" x="294"/>
        <item h="1" m="1" x="613"/>
        <item h="1" m="1" x="304"/>
        <item h="1" m="1" x="621"/>
        <item h="1" m="1" x="312"/>
        <item h="1" m="1" x="639"/>
        <item h="1" m="1" x="333"/>
        <item h="1" m="1" x="652"/>
        <item h="1" m="1" x="344"/>
        <item h="1" m="1" x="370"/>
        <item h="1" m="1" x="695"/>
        <item h="1" m="1" x="386"/>
        <item h="1" m="1" x="707"/>
        <item h="1" m="1" x="397"/>
        <item h="1" m="1" x="736"/>
        <item h="1" m="1" x="429"/>
        <item h="1" m="1" x="752"/>
        <item h="1" m="1" x="444"/>
        <item h="1" m="1" x="767"/>
        <item h="1" m="1" x="306"/>
        <item h="1" m="1" x="623"/>
        <item h="1" m="1" x="314"/>
        <item h="1" m="1" x="629"/>
        <item h="1" m="1" x="322"/>
        <item h="1" m="1" x="654"/>
        <item h="1" m="1" x="347"/>
        <item h="1" m="1" x="665"/>
        <item h="1" m="1" x="357"/>
        <item h="1" m="1" x="678"/>
        <item h="1" m="1" x="388"/>
        <item h="1" m="1" x="710"/>
        <item h="1" m="1" x="399"/>
        <item h="1" m="1" x="723"/>
        <item h="1" m="1" x="414"/>
        <item h="1" m="1" x="754"/>
        <item h="1" m="1" x="446"/>
        <item h="1" m="1" x="768"/>
        <item h="1" m="1" x="457"/>
        <item h="1" m="1" x="779"/>
        <item h="1" m="1" x="484"/>
        <item h="1" m="1" x="801"/>
        <item h="1" m="1" x="632"/>
        <item h="1" m="1" x="324"/>
        <item h="1" m="1" x="643"/>
        <item h="1" m="1" x="349"/>
        <item h="1" m="1" x="668"/>
        <item h="1" m="1" x="360"/>
        <item h="1" m="1" x="680"/>
        <item h="1" m="1" x="374"/>
        <item h="1" m="1" x="712"/>
        <item h="1" m="1" x="402"/>
        <item h="1" m="1" x="726"/>
        <item h="1" m="1" x="416"/>
        <item h="1" m="1" x="739"/>
        <item h="1" m="1" x="448"/>
        <item h="1" m="1" x="460"/>
        <item h="1" m="1" x="780"/>
        <item h="1" m="1" x="472"/>
        <item h="1" m="1" x="496"/>
        <item h="1" m="1" x="815"/>
        <item h="1" m="1" x="508"/>
        <item h="1" m="1" x="658"/>
        <item h="1" m="1" x="362"/>
        <item h="1" m="1" x="683"/>
        <item h="1" m="1" x="376"/>
        <item h="1" m="1" x="700"/>
        <item h="1" m="1" x="392"/>
        <item h="1" m="1" x="728"/>
        <item h="1" m="1" x="419"/>
        <item h="1" m="1" x="740"/>
        <item h="1" m="1" x="434"/>
        <item h="1" m="1" x="758"/>
        <item h="1" m="1" x="462"/>
        <item h="1" m="1" x="783"/>
        <item h="1" m="1" x="474"/>
        <item h="1" m="1" x="792"/>
        <item h="1" m="1" x="487"/>
        <item h="1" m="1" x="817"/>
        <item h="1" m="1" x="510"/>
        <item h="1" m="1" x="827"/>
        <item h="1" m="1" x="520"/>
        <item h="1" m="1" x="833"/>
        <item h="1" m="1" x="685"/>
        <item h="1" m="1" x="379"/>
        <item h="1" m="1" x="703"/>
        <item h="1" m="1" x="394"/>
        <item h="1" m="1" x="716"/>
        <item h="1" m="1" x="421"/>
        <item h="1" m="1" x="743"/>
        <item h="1" m="1" x="437"/>
        <item h="1" m="1" x="760"/>
        <item h="1" m="1" x="451"/>
        <item h="1" m="1" x="477"/>
        <item h="1" m="1" x="795"/>
        <item h="1" m="1" x="489"/>
        <item h="1" m="1" x="806"/>
        <item h="1" m="1" x="512"/>
        <item h="1" m="1" x="829"/>
        <item h="1" m="1" x="522"/>
        <item h="1" m="1" x="834"/>
        <item h="1" m="1" x="527"/>
        <item h="1" m="1" x="851"/>
        <item h="1" m="1" x="543"/>
        <item h="1" m="1" x="859"/>
        <item h="1" m="1" x="718"/>
        <item h="1" m="1" x="407"/>
        <item h="1" m="1" x="745"/>
        <item h="1" m="1" x="439"/>
        <item h="1" m="1" x="763"/>
        <item h="1" m="1" x="452"/>
        <item h="1" m="1" x="774"/>
        <item h="1" m="1" x="479"/>
        <item h="1" m="1" x="797"/>
        <item h="1" m="1" x="492"/>
        <item h="1" m="1" x="808"/>
        <item h="1" m="1" x="524"/>
        <item h="1" m="1" x="837"/>
        <item h="1" m="1" x="529"/>
        <item h="1" m="1" x="844"/>
        <item h="1" m="1" x="545"/>
        <item h="1" m="1" x="861"/>
        <item h="1" m="1" x="551"/>
        <item h="1" m="1" x="247"/>
        <item h="1" m="1" x="557"/>
        <item h="1" m="1" x="765"/>
        <item h="1" m="1" x="455"/>
        <item h="1" m="1" x="776"/>
        <item h="1" m="1" x="467"/>
        <item h="1" m="1" x="787"/>
        <item h="1" m="1" x="811"/>
        <item h="1" m="1" x="502"/>
        <item h="1" m="1" x="822"/>
        <item h="1" m="1" x="516"/>
        <item h="1" m="1" x="839"/>
        <item h="1" m="1" x="532"/>
        <item h="1" m="1" x="846"/>
        <item h="1" m="1" x="538"/>
        <item h="1" m="1" x="855"/>
        <item h="1" m="1" x="553"/>
        <item h="1" m="1" x="249"/>
        <item h="1" m="1" x="558"/>
        <item h="1" m="1" x="253"/>
        <item h="1" m="1" x="564"/>
        <item h="1" m="1" x="470"/>
        <item h="1" m="1" x="483"/>
        <item h="1" m="1" x="813"/>
        <item h="1" m="1" x="505"/>
        <item h="1" m="1" x="825"/>
        <item h="1" m="1" x="517"/>
        <item h="1" m="1" x="832"/>
        <item h="1" m="1" x="534"/>
        <item h="1" m="1" x="849"/>
        <item h="1" m="1" x="541"/>
        <item h="1" m="1" x="857"/>
        <item h="1" m="1" x="549"/>
        <item h="1" m="1" x="251"/>
        <item h="1" m="1" x="561"/>
        <item h="1" m="1" x="254"/>
        <item h="1" m="1" x="565"/>
        <item h="1" m="1" x="257"/>
        <item h="1" m="1" x="574"/>
        <item h="1" m="1" x="266"/>
        <item h="1" m="1" x="556"/>
        <item h="1" m="1" x="567"/>
        <item h="1" m="1" x="258"/>
        <item h="1" m="1" x="570"/>
        <item h="1" m="1" x="263"/>
        <item h="1" m="1" x="581"/>
        <item h="1" m="1" x="271"/>
        <item h="1" m="1" x="584"/>
        <item h="1" m="1" x="274"/>
        <item h="1" m="1" x="591"/>
        <item h="1" m="1" x="572"/>
        <item h="1" m="1" x="264"/>
        <item h="1" m="1" x="576"/>
        <item h="1" m="1" x="268"/>
        <item h="1" m="1" x="586"/>
        <item h="1" m="1" x="276"/>
        <item h="1" m="1" x="592"/>
        <item h="1" m="1" x="281"/>
        <item h="1" m="1" x="597"/>
        <item h="1" m="1" x="290"/>
        <item h="1" m="1" x="608"/>
        <item h="1" m="1" x="298"/>
        <item h="1" m="1" x="616"/>
        <item h="1" m="1" x="309"/>
        <item h="1" m="1" x="634"/>
        <item h="1" m="1" x="327"/>
        <item h="1" m="1" x="646"/>
        <item h="1" m="1" x="339"/>
        <item h="1" m="1" x="661"/>
        <item h="1" m="1" x="365"/>
        <item h="1" m="1" x="689"/>
        <item h="1" m="1" x="578"/>
        <item h="1" m="1" x="269"/>
        <item h="1" m="1" x="583"/>
        <item h="1" m="1" x="278"/>
        <item h="1" m="1" x="594"/>
        <item h="1" m="1" x="283"/>
        <item h="1" m="1" x="598"/>
        <item h="1" m="1" x="286"/>
        <item h="1" m="1" x="610"/>
        <item h="1" m="1" x="300"/>
        <item h="1" m="1" x="618"/>
        <item h="1" m="1" x="310"/>
        <item h="1" m="1" x="626"/>
        <item h="1" m="1" x="329"/>
        <item h="1" m="1" x="648"/>
        <item h="1" m="1" x="341"/>
        <item h="1" m="1" x="662"/>
        <item h="1" m="1" x="354"/>
        <item h="1" m="1" x="691"/>
        <item h="1" m="1" x="382"/>
        <item h="1" m="1" x="589"/>
        <item h="1" m="1" x="280"/>
        <item h="1" m="1" x="596"/>
        <item h="1" m="1" x="287"/>
        <item h="1" m="1" x="604"/>
        <item h="1" m="1" x="293"/>
        <item h="1" m="1" x="612"/>
        <item h="1" m="1" x="303"/>
        <item h="1" m="1" x="627"/>
        <item h="1" m="1" x="319"/>
        <item h="1" m="1" x="638"/>
        <item h="1" m="1" x="332"/>
        <item h="1" m="1" x="651"/>
        <item h="1" m="1" x="355"/>
        <item h="1" m="1" x="675"/>
        <item h="1" m="1" x="369"/>
        <item h="1" m="1" x="694"/>
        <item h="1" m="1" x="385"/>
        <item h="1" m="1" x="721"/>
        <item h="1" m="1" x="411"/>
        <item h="1" m="1" x="735"/>
        <item h="1" m="1" x="428"/>
        <item h="1" m="1" x="751"/>
        <item h="1" m="1" x="606"/>
        <item h="1" m="1" x="296"/>
        <item h="1" m="1" x="614"/>
        <item h="1" m="1" x="305"/>
        <item h="1" m="1" x="321"/>
        <item h="1" m="1" x="641"/>
        <item h="1" m="1" x="334"/>
        <item h="1" m="1" x="653"/>
        <item h="1" m="1" x="346"/>
        <item h="1" m="1" x="677"/>
        <item h="1" m="1" x="372"/>
        <item h="1" m="1" x="696"/>
        <item h="1" m="1" x="387"/>
        <item h="1" m="1" x="709"/>
        <item h="1" m="1" x="413"/>
        <item h="1" m="1" x="737"/>
        <item h="1" m="1" x="430"/>
        <item h="1" m="1" x="753"/>
        <item h="1" m="1" x="445"/>
        <item h="1" m="1" x="307"/>
        <item h="1" m="1" x="624"/>
        <item h="1" m="1" x="316"/>
        <item h="1" m="1" x="631"/>
        <item h="1" m="1" x="336"/>
        <item h="1" m="1" x="655"/>
        <item h="1" m="1" x="348"/>
        <item h="1" m="1" x="667"/>
        <item h="1" m="1" x="359"/>
        <item h="1" m="1" x="698"/>
        <item h="1" m="1" x="389"/>
        <item h="1" m="1" x="711"/>
        <item h="1" m="1" x="401"/>
        <item h="1" m="1" x="725"/>
        <item h="1" m="1" x="432"/>
        <item h="1" m="1" x="755"/>
        <item h="1" m="1" x="447"/>
        <item h="1" m="1" x="770"/>
        <item h="1" m="1" x="459"/>
        <item h="1" m="1" x="790"/>
        <item h="1" m="1" x="485"/>
        <item h="1" m="1" x="802"/>
        <item h="1" m="1" x="633"/>
        <item h="1" m="1" x="326"/>
        <item h="1" m="1" x="657"/>
        <item h="1" m="1" x="351"/>
        <item h="1" m="1" x="669"/>
        <item h="1" m="1" x="361"/>
        <item h="1" m="1" x="682"/>
        <item h="1" m="1" x="391"/>
        <item h="1" m="1" x="714"/>
        <item h="1" m="1" x="403"/>
        <item h="1" m="1" x="727"/>
        <item h="1" m="1" x="418"/>
        <item h="1" m="1" x="757"/>
        <item h="1" m="1" x="450"/>
        <item h="1" m="1" x="461"/>
        <item h="1" m="1" x="782"/>
        <item h="1" m="1" x="804"/>
        <item h="1" m="1" x="497"/>
        <item h="1" m="1" x="816"/>
        <item h="1" m="1" x="509"/>
        <item h="1" m="1" x="671"/>
        <item h="1" m="1" x="363"/>
        <item h="1" m="1" x="684"/>
        <item h="1" m="1" x="378"/>
        <item h="1" m="1" x="702"/>
        <item h="1" m="1" x="405"/>
        <item h="1" m="1" x="729"/>
        <item h="1" m="1" x="420"/>
        <item h="1" m="1" x="742"/>
        <item h="1" m="1" x="436"/>
        <item h="1" m="1" x="772"/>
        <item h="1" m="1" x="463"/>
        <item h="1" m="1" x="784"/>
        <item h="1" m="1" x="476"/>
        <item h="1" m="1" x="794"/>
        <item h="1" m="1" x="499"/>
        <item h="1" m="1" x="818"/>
        <item h="1" m="1" x="511"/>
        <item h="1" m="1" x="828"/>
        <item h="1" m="1" x="521"/>
        <item h="1" m="1" x="842"/>
        <item h="1" m="1" x="687"/>
        <item h="1" m="1" x="380"/>
        <item h="1" m="1" x="704"/>
        <item h="1" m="1" x="396"/>
        <item h="1" m="1" x="731"/>
        <item h="1" m="1" x="423"/>
        <item h="1" m="1" x="744"/>
        <item h="1" m="1" x="438"/>
        <item h="1" m="1" x="762"/>
        <item h="1" m="1" x="465"/>
        <item h="1" m="1" x="478"/>
        <item h="1" m="1" x="796"/>
        <item h="1" m="1" x="491"/>
        <item h="1" m="1" x="820"/>
        <item h="1" m="1" x="514"/>
        <item h="1" m="1" x="830"/>
        <item h="1" m="1" x="523"/>
        <item h="1" m="1" x="836"/>
        <item h="1" m="1" x="536"/>
        <item h="1" m="1" x="852"/>
        <item h="1" m="1" x="544"/>
        <item h="1" m="1" x="860"/>
        <item h="1" m="1" x="720"/>
        <item h="1" m="1" x="425"/>
        <item h="1" m="1" x="747"/>
        <item h="1" m="1" x="440"/>
        <item h="1" m="1" x="764"/>
        <item h="1" m="1" x="454"/>
        <item h="1" m="1" x="786"/>
        <item h="1" m="1" x="481"/>
        <item h="1" m="1" x="798"/>
        <item h="1" m="1" x="493"/>
        <item h="1" m="1" x="810"/>
        <item h="1" m="1" x="525"/>
        <item h="1" m="1" x="838"/>
        <item h="1" m="1" x="531"/>
        <item h="1" m="1" x="854"/>
        <item h="1" m="1" x="547"/>
        <item h="1" m="1" x="862"/>
        <item h="1" m="1" x="552"/>
        <item h="1" m="1" x="248"/>
        <item h="1" m="1" x="442"/>
        <item h="1" m="1" x="766"/>
        <item h="1" m="1" x="456"/>
        <item h="1" m="1" x="778"/>
        <item h="1" m="1" x="469"/>
        <item h="1" m="1" x="494"/>
        <item h="1" m="1" x="812"/>
        <item h="1" m="1" x="504"/>
        <item h="1" m="1" x="824"/>
        <item h="1" m="1" x="526"/>
        <item h="1" m="1" x="840"/>
        <item h="1" m="1" x="533"/>
        <item h="1" m="1" x="848"/>
        <item h="1" m="1" x="540"/>
        <item h="1" m="1" x="864"/>
        <item h="1" m="1" x="554"/>
        <item h="1" m="1" x="250"/>
        <item h="1" m="1" x="560"/>
        <item h="1" m="1" x="569"/>
        <item h="1" m="1" x="261"/>
        <item h="1" m="1" x="471"/>
        <item h="1" m="1" x="789"/>
        <item h="1" m="1" x="495"/>
        <item h="1" m="1" x="814"/>
        <item h="1" m="1" x="506"/>
        <item h="1" m="1" x="826"/>
        <item h="1" m="1" x="518"/>
        <item h="1" m="1" x="841"/>
        <item h="1" m="1" x="535"/>
        <item h="1" m="1" x="850"/>
        <item h="1" m="1" x="542"/>
        <item h="1" m="1" x="858"/>
        <item h="1" m="1" x="555"/>
        <item h="1" m="1" x="252"/>
        <item h="1" m="1" x="562"/>
        <item h="1" m="1" x="255"/>
        <item h="1" m="1" x="566"/>
        <item h="1" m="1" x="262"/>
        <item h="1" m="1" x="575"/>
        <item h="1" m="1" x="267"/>
        <item h="1" m="1" x="580"/>
        <item h="1" m="1" x="800"/>
        <item h="1" m="1" x="507"/>
        <item h="1" m="1" x="519"/>
        <item h="1" m="1" x="550"/>
        <item h="1" m="1" x="865"/>
        <item h="1" m="1" x="563"/>
        <item h="1" m="1" x="256"/>
        <item h="1" m="1" x="568"/>
        <item h="1" m="1" x="259"/>
        <item h="1" m="1" x="571"/>
        <item h="1" m="1" x="582"/>
        <item h="1" m="1" x="272"/>
        <item h="1" m="1" x="585"/>
        <item h="1" m="1" x="275"/>
        <item h="1" m="1" x="260"/>
        <item h="1" m="1" x="573"/>
        <item h="1" m="1" x="265"/>
        <item h="1" m="1" x="577"/>
        <item h="1" m="1" x="273"/>
        <item h="1" m="1" x="587"/>
        <item h="1" m="1" x="277"/>
        <item h="1" m="1" x="593"/>
        <item h="1" m="1" x="282"/>
        <item h="1" m="1" x="603"/>
        <item h="1" m="1" x="291"/>
        <item h="1" m="1" x="609"/>
        <item h="1" m="1" x="299"/>
        <item h="1" m="1" x="617"/>
        <item h="1" m="1" x="317"/>
        <item h="1" m="1" x="635"/>
        <item h="1" m="1" x="328"/>
        <item h="1" m="1" x="647"/>
        <item h="1" m="1" x="340"/>
        <item h="1" m="1" x="673"/>
        <item h="1" m="1" x="366"/>
        <item h="1" m="1" x="690"/>
        <item h="1" m="1" x="579"/>
        <item h="1" m="1" x="270"/>
        <item h="1" m="1" x="588"/>
        <item h="1" m="1" x="279"/>
        <item h="1" m="1" x="595"/>
        <item h="1" m="1" x="284"/>
        <item h="1" m="1" x="599"/>
        <item h="1" m="1" x="292"/>
        <item h="1" m="1" x="611"/>
        <item h="1" m="1" x="302"/>
        <item h="1" m="1" x="620"/>
        <item h="1" m="1" x="311"/>
        <item h="1" m="1" x="637"/>
        <item h="1" m="1" x="331"/>
        <item h="1" m="1" x="650"/>
        <item h="1" m="1" x="343"/>
        <item h="1" m="1" x="663"/>
        <item h="1" m="1" x="368"/>
        <item h="1" m="1" x="693"/>
        <item h="1" m="1" x="384"/>
        <item h="1" m="1" x="706"/>
        <item h="1" m="1" x="590"/>
        <item h="1" m="1" x="285"/>
        <item h="1" m="1" x="601"/>
        <item h="1" m="1" x="288"/>
        <item h="1" m="1" x="605"/>
        <item h="1" m="1" x="295"/>
        <item h="1" m="1" x="622"/>
        <item h="1" m="1" x="313"/>
        <item h="1" m="1" x="628"/>
        <item h="1" m="1" x="320"/>
        <item h="1" m="1" x="640"/>
        <item h="1" m="1" x="345"/>
        <item h="1" m="1" x="664"/>
        <item h="1" m="1" x="356"/>
        <item h="1" m="1" x="676"/>
        <item h="1" m="1" x="371"/>
        <item h="1" m="1" x="708"/>
        <item h="1" m="1" x="398"/>
        <item h="1" m="1" x="722"/>
        <item h="1" m="1" x="412"/>
        <item h="1" m="1" x="602"/>
        <item h="1" m="1" x="289"/>
        <item h="1" m="1" x="607"/>
        <item h="1" m="1" x="297"/>
        <item h="1" m="1" x="615"/>
        <item h="1" m="1" x="315"/>
        <item h="1" m="1" x="630"/>
        <item h="1" m="1" x="323"/>
        <item h="1" m="1" x="642"/>
        <item h="1" m="1" x="335"/>
        <item h="1" m="1" x="666"/>
        <item h="1" m="1" x="358"/>
        <item h="1" m="1" x="679"/>
        <item h="1" m="1" x="373"/>
        <item h="1" m="1" x="697"/>
        <item h="1" m="1" x="400"/>
        <item h="1" m="1" x="724"/>
        <item h="1" m="1" x="415"/>
        <item h="1" m="1" x="738"/>
        <item h="1" m="1" x="431"/>
        <item h="1" m="1" x="769"/>
        <item h="1" m="1" x="458"/>
        <item h="1" m="1" x="308"/>
        <item h="1" m="1" x="625"/>
        <item h="1" m="1" x="325"/>
        <item h="1" m="1" x="644"/>
        <item h="1" m="1" x="337"/>
        <item h="1" m="1" x="656"/>
        <item h="1" m="1" x="350"/>
        <item h="1" m="1" x="681"/>
        <item h="1" m="1" x="375"/>
        <item h="1" m="1" x="699"/>
        <item h="1" m="1" x="390"/>
        <item h="1" m="1" x="713"/>
        <item h="1" m="1" x="417"/>
        <item h="1" m="1" x="433"/>
        <item h="1" m="1" x="756"/>
        <item h="1" m="1" x="449"/>
        <item h="1" m="1" x="781"/>
        <item h="1" m="1" x="473"/>
        <item h="1" m="1" x="791"/>
        <item h="1" m="1" x="486"/>
        <item h="1" m="1" x="803"/>
        <item h="1" m="1" x="645"/>
        <item h="1" m="1" x="338"/>
        <item h="1" m="1" x="659"/>
        <item h="1" m="1" x="352"/>
        <item h="1" m="1" x="670"/>
        <item h="1" m="1" x="377"/>
        <item h="1" m="1" x="701"/>
        <item h="1" m="1" x="393"/>
        <item h="1" m="1" x="715"/>
        <item h="1" m="1" x="404"/>
        <item h="1" m="1" x="741"/>
        <item h="1" m="1" x="435"/>
        <item h="1" m="1" x="759"/>
        <item h="1" m="1" x="771"/>
        <item h="1" m="1" x="475"/>
        <item h="1" m="1" x="793"/>
        <item h="1" m="1" x="488"/>
        <item h="1" m="1" x="805"/>
        <item h="1" m="1" x="498"/>
        <item h="1" m="1" x="660"/>
        <item h="1" m="1" x="353"/>
        <item h="1" m="1" x="672"/>
        <item h="1" m="1" x="364"/>
        <item h="1" m="1" x="686"/>
        <item h="1" m="1" x="395"/>
        <item h="1" m="1" x="717"/>
        <item h="1" m="1" x="406"/>
        <item h="1" m="1" x="730"/>
        <item h="1" m="1" x="422"/>
        <item h="1" m="1" x="761"/>
        <item h="1" m="1" x="773"/>
        <item h="1" m="1" x="464"/>
        <item h="1" m="1" x="785"/>
        <item h="1" m="1" x="490"/>
        <item h="1" m="1" x="807"/>
        <item h="1" m="1" x="500"/>
        <item h="1" m="1" x="819"/>
        <item h="1" m="1" x="513"/>
        <item h="1" m="1" x="835"/>
        <item h="1" m="1" x="528"/>
        <item h="1" m="1" x="843"/>
        <item h="1" m="1" x="688"/>
        <item h="1" m="1" x="381"/>
        <item h="1" m="1" x="719"/>
        <item h="1" m="1" x="408"/>
        <item h="1" m="1" x="732"/>
        <item h="1" m="1" x="424"/>
        <item h="1" m="1" x="746"/>
        <item h="1" m="1" x="453"/>
        <item h="1" m="1" x="775"/>
        <item h="1" m="1" x="466"/>
        <item h="1" m="1" x="480"/>
        <item h="1" m="1" x="809"/>
        <item h="1" m="1" x="501"/>
        <item h="1" m="1" x="821"/>
        <item h="1" m="1" x="515"/>
        <item h="1" m="1" x="831"/>
        <item h="1" m="1" x="530"/>
        <item h="1" m="1" x="845"/>
        <item h="1" m="1" x="537"/>
        <item h="1" m="1" x="853"/>
        <item h="1" m="1" x="546"/>
        <item h="1" m="1" x="409"/>
        <item h="1" m="1" x="733"/>
        <item h="1" m="1" x="426"/>
        <item h="1" m="1" x="748"/>
        <item h="1" m="1" x="441"/>
        <item h="1" m="1" x="777"/>
        <item h="1" m="1" x="468"/>
        <item h="1" m="1" x="788"/>
        <item h="1" m="1" x="482"/>
        <item h="1" m="1" x="799"/>
        <item h="1" m="1" x="503"/>
        <item h="1" m="1" x="823"/>
        <item h="1" m="1" x="847"/>
        <item h="1" m="1" x="539"/>
        <item h="1" m="1" x="856"/>
        <item h="1" m="1" x="548"/>
        <item h="1" m="1" x="863"/>
        <item h="1" m="1" x="559"/>
        <item h="1" m="1" x="749"/>
        <item h="1" m="1" x="443"/>
        <item h="1" m="1" x="246"/>
        <item h="1" m="1" x="245"/>
        <item h="1" m="1" x="244"/>
        <item h="1" m="1" x="243"/>
        <item h="1" m="1" x="242"/>
        <item h="1" m="1" x="241"/>
        <item h="1" m="1" x="240"/>
        <item h="1" m="1" x="239"/>
        <item h="1" m="1" x="238"/>
        <item h="1" m="1" x="237"/>
        <item h="1" m="1" x="236"/>
        <item h="1" m="1" x="235"/>
        <item h="1" m="1" x="234"/>
        <item h="1" m="1" x="233"/>
        <item h="1" m="1" x="232"/>
        <item h="1" m="1" x="231"/>
        <item h="1" m="1" x="230"/>
        <item h="1" m="1" x="229"/>
        <item h="1" m="1" x="228"/>
        <item h="1" m="1" x="227"/>
        <item h="1" m="1" x="226"/>
        <item h="1" m="1" x="225"/>
        <item h="1" m="1" x="224"/>
        <item h="1" m="1" x="223"/>
        <item h="1" m="1" x="222"/>
        <item h="1" m="1" x="221"/>
        <item h="1" m="1" x="220"/>
        <item h="1" m="1" x="219"/>
        <item h="1" m="1" x="218"/>
        <item h="1" m="1" x="217"/>
        <item h="1" m="1" x="216"/>
        <item h="1" m="1" x="215"/>
        <item h="1" m="1" x="214"/>
        <item h="1" m="1" x="213"/>
        <item h="1" m="1" x="212"/>
        <item h="1" m="1" x="211"/>
        <item h="1" m="1" x="210"/>
        <item h="1" m="1" x="209"/>
        <item h="1" m="1" x="208"/>
        <item h="1" m="1" x="207"/>
        <item h="1" m="1" x="206"/>
        <item h="1" m="1" x="205"/>
        <item h="1" m="1" x="204"/>
        <item h="1" m="1" x="203"/>
        <item h="1" m="1" x="202"/>
        <item h="1" m="1" x="201"/>
        <item h="1" m="1" x="200"/>
        <item h="1" m="1" x="199"/>
        <item h="1" m="1" x="198"/>
        <item h="1" m="1" x="197"/>
        <item h="1" m="1" x="196"/>
        <item h="1" m="1" x="195"/>
        <item h="1" m="1" x="194"/>
        <item h="1" m="1" x="193"/>
        <item h="1" m="1" x="192"/>
        <item h="1" m="1" x="191"/>
        <item h="1" m="1" x="190"/>
        <item h="1" m="1" x="189"/>
        <item h="1" m="1" x="188"/>
        <item h="1" m="1" x="187"/>
        <item h="1" m="1" x="186"/>
        <item h="1" m="1" x="185"/>
        <item h="1" m="1" x="184"/>
        <item h="1" m="1" x="183"/>
        <item h="1" m="1" x="182"/>
        <item h="1" m="1" x="181"/>
        <item h="1" m="1" x="180"/>
        <item h="1" m="1" x="179"/>
        <item h="1" m="1" x="178"/>
        <item h="1" m="1" x="177"/>
        <item h="1" m="1" x="176"/>
        <item h="1" m="1" x="175"/>
        <item h="1" m="1" x="174"/>
        <item h="1" m="1" x="173"/>
        <item h="1" m="1" x="172"/>
        <item h="1" m="1" x="171"/>
        <item h="1" m="1" x="170"/>
        <item h="1" m="1" x="169"/>
        <item h="1" m="1" x="168"/>
        <item h="1" m="1" x="167"/>
        <item h="1" m="1" x="166"/>
        <item h="1" m="1" x="165"/>
        <item h="1" m="1" x="164"/>
        <item h="1" m="1" x="163"/>
        <item h="1" m="1" x="162"/>
        <item h="1" m="1" x="161"/>
        <item h="1" m="1" x="160"/>
        <item h="1" m="1" x="159"/>
        <item h="1" m="1" x="158"/>
        <item h="1" m="1" x="157"/>
        <item h="1" m="1" x="156"/>
        <item h="1" m="1" x="155"/>
        <item h="1" m="1" x="154"/>
        <item h="1" m="1" x="153"/>
        <item h="1" m="1" x="152"/>
        <item h="1" m="1" x="151"/>
        <item h="1" m="1" x="150"/>
        <item h="1" m="1" x="149"/>
        <item h="1" m="1" x="148"/>
        <item h="1" m="1" x="147"/>
        <item h="1" m="1" x="146"/>
        <item h="1" m="1" x="145"/>
        <item h="1" m="1" x="144"/>
        <item h="1" m="1" x="143"/>
        <item h="1" m="1" x="142"/>
        <item h="1" m="1" x="141"/>
        <item h="1" m="1" x="140"/>
        <item h="1" m="1" x="139"/>
        <item h="1" m="1" x="138"/>
        <item h="1" m="1" x="137"/>
        <item h="1" m="1" x="136"/>
        <item h="1" m="1" x="135"/>
        <item h="1" m="1" x="134"/>
        <item h="1" m="1" x="133"/>
        <item h="1" m="1" x="132"/>
        <item h="1" m="1" x="131"/>
        <item h="1" m="1" x="130"/>
        <item h="1" m="1" x="129"/>
        <item h="1" m="1" x="128"/>
        <item h="1" m="1" x="127"/>
        <item h="1" m="1" x="126"/>
        <item h="1" m="1" x="125"/>
        <item h="1" m="1" x="124"/>
        <item h="1" m="1" x="123"/>
        <item h="1" m="1" x="122"/>
        <item h="1" m="1" x="121"/>
        <item h="1" m="1" x="120"/>
        <item h="1" m="1" x="119"/>
        <item h="1" m="1" x="118"/>
        <item h="1" m="1" x="117"/>
        <item h="1" m="1" x="116"/>
        <item h="1" m="1" x="115"/>
        <item h="1" m="1" x="114"/>
        <item h="1" m="1" x="113"/>
        <item h="1" m="1" x="112"/>
        <item h="1" m="1" x="111"/>
        <item h="1" m="1" x="110"/>
        <item h="1" m="1" x="109"/>
        <item h="1" m="1" x="108"/>
        <item h="1" m="1" x="107"/>
        <item h="1" m="1" x="106"/>
        <item h="1" m="1" x="105"/>
        <item h="1" m="1" x="104"/>
        <item h="1" m="1" x="103"/>
        <item h="1" m="1" x="102"/>
        <item h="1" m="1" x="101"/>
        <item h="1" m="1" x="100"/>
        <item h="1" m="1" x="99"/>
        <item h="1" m="1" x="98"/>
        <item h="1" m="1" x="97"/>
        <item h="1" m="1" x="96"/>
        <item h="1" m="1" x="95"/>
        <item h="1" m="1" x="94"/>
        <item h="1" m="1" x="93"/>
        <item h="1" m="1" x="92"/>
        <item h="1" m="1" x="91"/>
        <item h="1" m="1" x="90"/>
        <item h="1" m="1" x="89"/>
        <item h="1" m="1" x="88"/>
        <item h="1" m="1" x="87"/>
        <item h="1" m="1" x="86"/>
        <item h="1" m="1" x="85"/>
        <item h="1" m="1" x="84"/>
        <item h="1" m="1" x="83"/>
        <item h="1" m="1" x="82"/>
        <item h="1" m="1" x="81"/>
        <item h="1" m="1" x="80"/>
        <item h="1" m="1" x="79"/>
        <item h="1" m="1" x="78"/>
        <item h="1" m="1" x="77"/>
        <item h="1" m="1" x="76"/>
        <item h="1" m="1" x="75"/>
        <item h="1" m="1" x="74"/>
        <item h="1" m="1" x="73"/>
        <item h="1" m="1" x="72"/>
        <item h="1" m="1" x="71"/>
        <item h="1" m="1" x="70"/>
        <item h="1" m="1" x="69"/>
        <item h="1" m="1" x="68"/>
        <item h="1" m="1" x="67"/>
        <item h="1" m="1" x="66"/>
        <item h="1" m="1" x="65"/>
        <item h="1" m="1" x="64"/>
        <item h="1" m="1" x="63"/>
        <item h="1" m="1" x="62"/>
        <item h="1" m="1" x="61"/>
        <item h="1" m="1" x="60"/>
        <item h="1" m="1" x="59"/>
        <item h="1" m="1" x="58"/>
        <item h="1" m="1" x="57"/>
        <item h="1" m="1" x="56"/>
        <item h="1" m="1" x="55"/>
        <item h="1" m="1" x="54"/>
        <item h="1" m="1" x="53"/>
        <item h="1" m="1" x="52"/>
        <item h="1" m="1" x="51"/>
        <item h="1" m="1" x="50"/>
        <item h="1" m="1" x="49"/>
        <item h="1" m="1" x="48"/>
        <item h="1" m="1" x="47"/>
        <item h="1" m="1" x="46"/>
        <item h="1" m="1" x="45"/>
        <item h="1" m="1" x="44"/>
        <item h="1" m="1" x="43"/>
        <item h="1" m="1" x="42"/>
        <item h="1" m="1" x="41"/>
        <item h="1" m="1" x="40"/>
        <item h="1" m="1" x="39"/>
        <item h="1" m="1" x="38"/>
        <item h="1" m="1" x="37"/>
        <item h="1" m="1" x="36"/>
        <item h="1" m="1" x="35"/>
        <item h="1" m="1" x="34"/>
        <item h="1" m="1" x="33"/>
        <item h="1" m="1" x="32"/>
        <item h="1" m="1" x="31"/>
        <item h="1" m="1" x="30"/>
        <item h="1" m="1" x="29"/>
        <item h="1" m="1" x="28"/>
        <item h="1" m="1" x="27"/>
        <item h="1" m="1" x="26"/>
        <item h="1" m="1" x="25"/>
        <item h="1" m="1" x="24"/>
        <item h="1" m="1" x="23"/>
        <item h="1" m="1" x="22"/>
        <item h="1" m="1" x="21"/>
        <item h="1" m="1" x="20"/>
        <item h="1" m="1" x="19"/>
        <item h="1" m="1" x="18"/>
        <item h="1" m="1" x="17"/>
        <item h="1" m="1" x="16"/>
        <item h="1" m="1" x="15"/>
        <item h="1" m="1" x="14"/>
        <item h="1" m="1" x="13"/>
        <item h="1" m="1" x="12"/>
        <item h="1" m="1" x="11"/>
        <item h="1" m="1" x="10"/>
        <item h="1" m="1" x="9"/>
        <item h="1" m="1" x="8"/>
        <item h="1" m="1" x="7"/>
        <item h="1" m="1" x="6"/>
        <item h="1" m="1" x="5"/>
        <item h="1" m="1" x="4"/>
        <item m="1" x="3"/>
        <item m="1" x="2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axis="axisCol" showAll="0">
      <items count="19">
        <item h="1" x="1"/>
        <item h="1" m="1" x="16"/>
        <item h="1" m="1" x="17"/>
        <item h="1" m="1" x="15"/>
        <item h="1" x="2"/>
        <item h="1" x="0"/>
        <item h="1" x="14"/>
        <item x="3"/>
        <item x="4"/>
        <item x="5"/>
        <item h="1" x="6"/>
        <item h="1" x="7"/>
        <item h="1" x="8"/>
        <item h="1" x="9"/>
        <item h="1" x="10"/>
        <item h="1" x="11"/>
        <item h="1" x="12"/>
        <item h="1" x="13"/>
        <item t="default"/>
      </items>
    </pivotField>
    <pivotField showAll="0"/>
    <pivotField showAll="0"/>
    <pivotField showAll="0"/>
    <pivotField showAll="0"/>
    <pivotField axis="axisRow" showAll="0" sortType="ascending">
      <items count="1175">
        <item m="1" x="982"/>
        <item m="1" x="681"/>
        <item m="1" x="911"/>
        <item m="1" x="611"/>
        <item m="1" x="931"/>
        <item m="1" x="628"/>
        <item m="1" x="943"/>
        <item m="1" x="641"/>
        <item m="1" x="957"/>
        <item m="1" x="666"/>
        <item m="1" x="985"/>
        <item m="1" x="683"/>
        <item m="1" x="1000"/>
        <item m="1" x="696"/>
        <item m="1" x="1029"/>
        <item m="1" x="724"/>
        <item m="1" x="1048"/>
        <item m="1" x="892"/>
        <item m="1" x="592"/>
        <item m="1" x="903"/>
        <item m="1" x="605"/>
        <item m="1" x="914"/>
        <item m="1" x="613"/>
        <item m="1" x="922"/>
        <item m="1" x="631"/>
        <item m="1" x="946"/>
        <item m="1" x="644"/>
        <item m="1" x="959"/>
        <item m="1" x="988"/>
        <item m="1" x="686"/>
        <item m="1" x="1003"/>
        <item m="1" x="697"/>
        <item m="1" x="1016"/>
        <item m="1" x="726"/>
        <item m="1" x="1050"/>
        <item m="1" x="740"/>
        <item m="1" x="1066"/>
        <item m="1" x="755"/>
        <item m="1" x="916"/>
        <item m="1" x="615"/>
        <item m="1" x="924"/>
        <item m="1" x="621"/>
        <item m="1" x="935"/>
        <item m="1" x="646"/>
        <item m="1" x="962"/>
        <item m="1" x="657"/>
        <item m="1" x="972"/>
        <item m="1" x="670"/>
        <item m="1" x="1005"/>
        <item m="1" x="700"/>
        <item m="1" x="1018"/>
        <item m="1" x="713"/>
        <item m="1" x="1033"/>
        <item m="1" x="742"/>
        <item m="1" x="1068"/>
        <item m="1" x="757"/>
        <item m="1" x="1080"/>
        <item m="1" x="768"/>
        <item m="1" x="779"/>
        <item m="1" x="1107"/>
        <item m="1" x="927"/>
        <item m="1" x="624"/>
        <item m="1" x="937"/>
        <item m="1" x="635"/>
        <item m="1" x="964"/>
        <item m="1" x="660"/>
        <item m="1" x="975"/>
        <item m="1" x="672"/>
        <item m="1" x="992"/>
        <item m="1" x="702"/>
        <item m="1" x="1021"/>
        <item m="1" x="716"/>
        <item m="1" x="1035"/>
        <item m="1" x="729"/>
        <item m="1" x="1070"/>
        <item m="1" x="1082"/>
        <item m="1" x="769"/>
        <item m="1" x="1094"/>
        <item m="1" x="1119"/>
        <item m="1" x="802"/>
        <item m="1" x="951"/>
        <item m="1" x="650"/>
        <item m="1" x="977"/>
        <item m="1" x="675"/>
        <item m="1" x="994"/>
        <item m="1" x="691"/>
        <item m="1" x="1009"/>
        <item m="1" x="718"/>
        <item m="1" x="1038"/>
        <item m="1" x="730"/>
        <item m="1" x="1056"/>
        <item m="1" x="746"/>
        <item m="1" x="1084"/>
        <item m="1" x="772"/>
        <item m="1" x="1096"/>
        <item m="1" x="782"/>
        <item m="1" x="1110"/>
        <item m="1" x="804"/>
        <item m="1" x="1131"/>
        <item m="1" x="815"/>
        <item m="1" x="1141"/>
        <item m="1" x="821"/>
        <item m="1" x="1148"/>
        <item m="1" x="677"/>
        <item m="1" x="997"/>
        <item m="1" x="694"/>
        <item m="1" x="1011"/>
        <item m="1" x="706"/>
        <item m="1" x="1040"/>
        <item m="1" x="733"/>
        <item m="1" x="1059"/>
        <item m="1" x="748"/>
        <item m="1" x="1073"/>
        <item m="1" x="1099"/>
        <item m="1" x="785"/>
        <item m="1" x="1112"/>
        <item m="1" x="793"/>
        <item m="1" x="1133"/>
        <item m="1" x="817"/>
        <item m="1" x="1143"/>
        <item m="1" x="822"/>
        <item m="1" x="1150"/>
        <item m="1" x="837"/>
        <item m="1" x="1166"/>
        <item m="1" x="1014"/>
        <item m="1" x="708"/>
        <item m="1" x="1026"/>
        <item m="1" x="735"/>
        <item m="1" x="1061"/>
        <item m="1" x="751"/>
        <item m="1" x="1074"/>
        <item m="1" x="763"/>
        <item m="1" x="1101"/>
        <item m="1" x="787"/>
        <item m="1" x="1115"/>
        <item m="1" x="795"/>
        <item m="1" x="1145"/>
        <item m="1" x="825"/>
        <item m="1" x="1152"/>
        <item m="1" x="830"/>
        <item m="1" x="1168"/>
        <item m="1" x="845"/>
        <item m="1" x="544"/>
        <item m="1" x="850"/>
        <item m="1" x="1045"/>
        <item m="1" x="753"/>
        <item m="1" x="1077"/>
        <item m="1" x="765"/>
        <item m="1" x="1089"/>
        <item m="1" x="776"/>
        <item m="1" x="798"/>
        <item m="1" x="1125"/>
        <item m="1" x="810"/>
        <item m="1" x="1137"/>
        <item m="1" x="827"/>
        <item m="1" x="1155"/>
        <item m="1" x="832"/>
        <item m="1" x="1161"/>
        <item m="1" x="841"/>
        <item m="1" x="546"/>
        <item m="1" x="852"/>
        <item m="1" x="550"/>
        <item m="1" x="857"/>
        <item m="1" x="555"/>
        <item m="1" x="560"/>
        <item m="1" x="1092"/>
        <item m="1" x="1105"/>
        <item m="1" x="800"/>
        <item m="1" x="1128"/>
        <item m="1" x="813"/>
        <item m="1" x="1138"/>
        <item m="1" x="820"/>
        <item m="1" x="1157"/>
        <item m="1" x="835"/>
        <item m="1" x="1164"/>
        <item m="1" x="843"/>
        <item m="1" x="1172"/>
        <item m="1" x="855"/>
        <item m="1" x="552"/>
        <item m="1" x="858"/>
        <item m="1" x="556"/>
        <item m="1" x="861"/>
        <item m="1" x="566"/>
        <item m="1" x="871"/>
        <item m="1" x="549"/>
        <item m="1" x="558"/>
        <item m="1" x="862"/>
        <item m="1" x="562"/>
        <item m="1" x="866"/>
        <item m="1" x="572"/>
        <item m="1" x="876"/>
        <item m="1" x="575"/>
        <item m="1" x="881"/>
        <item m="1" x="582"/>
        <item m="1" x="564"/>
        <item m="1" x="867"/>
        <item m="1" x="568"/>
        <item m="1" x="873"/>
        <item m="1" x="577"/>
        <item m="1" x="883"/>
        <item m="1" x="584"/>
        <item m="1" x="888"/>
        <item m="1" x="589"/>
        <item m="1" x="899"/>
        <item m="1" x="600"/>
        <item m="1" x="908"/>
        <item m="1" x="608"/>
        <item m="1" x="919"/>
        <item m="1" x="626"/>
        <item m="1" x="940"/>
        <item m="1" x="638"/>
        <item m="1" x="954"/>
        <item m="1" x="653"/>
        <item m="1" x="983"/>
        <item m="1" x="869"/>
        <item m="1" x="570"/>
        <item m="1" x="874"/>
        <item m="1" x="574"/>
        <item m="1" x="885"/>
        <item m="1" x="586"/>
        <item m="1" x="890"/>
        <item m="1" x="590"/>
        <item m="1" x="895"/>
        <item m="1" x="602"/>
        <item m="1" x="910"/>
        <item m="1" x="610"/>
        <item m="1" x="920"/>
        <item m="1" x="618"/>
        <item m="1" x="942"/>
        <item m="1" x="640"/>
        <item m="1" x="956"/>
        <item m="1" x="654"/>
        <item m="1" x="969"/>
        <item m="1" x="682"/>
        <item m="1" x="879"/>
        <item m="1" x="580"/>
        <item m="1" x="887"/>
        <item m="1" x="588"/>
        <item m="1" x="896"/>
        <item m="1" x="596"/>
        <item m="1" x="902"/>
        <item m="1" x="604"/>
        <item m="1" x="913"/>
        <item m="1" x="619"/>
        <item m="1" x="932"/>
        <item m="1" x="630"/>
        <item m="1" x="945"/>
        <item m="1" x="643"/>
        <item m="1" x="970"/>
        <item m="1" x="667"/>
        <item m="1" x="987"/>
        <item m="1" x="685"/>
        <item m="1" x="1002"/>
        <item m="1" x="711"/>
        <item m="1" x="1030"/>
        <item m="1" x="725"/>
        <item m="1" x="1049"/>
        <item m="1" x="894"/>
        <item m="1" x="598"/>
        <item m="1" x="905"/>
        <item m="1" x="606"/>
        <item m="1" x="915"/>
        <item m="1" x="934"/>
        <item m="1" x="633"/>
        <item m="1" x="947"/>
        <item m="1" x="645"/>
        <item m="1" x="961"/>
        <item m="1" x="669"/>
        <item m="1" x="990"/>
        <item m="1" x="687"/>
        <item m="1" x="1004"/>
        <item m="1" x="699"/>
        <item m="1" x="1032"/>
        <item m="1" x="727"/>
        <item m="1" x="1052"/>
        <item m="1" x="741"/>
        <item m="1" x="1067"/>
        <item m="1" x="756"/>
        <item m="1" x="917"/>
        <item m="1" x="616"/>
        <item m="1" x="926"/>
        <item m="1" x="623"/>
        <item m="1" x="949"/>
        <item m="1" x="647"/>
        <item m="1" x="963"/>
        <item m="1" x="659"/>
        <item m="1" x="974"/>
        <item m="1" x="689"/>
        <item m="1" x="1006"/>
        <item m="1" x="701"/>
        <item m="1" x="1020"/>
        <item m="1" x="715"/>
        <item m="1" x="1054"/>
        <item m="1" x="743"/>
        <item m="1" x="1069"/>
        <item m="1" x="759"/>
        <item m="1" x="1081"/>
        <item m="1" x="780"/>
        <item m="1" x="1108"/>
        <item m="1" x="928"/>
        <item m="1" x="625"/>
        <item m="1" x="939"/>
        <item m="1" x="649"/>
        <item m="1" x="966"/>
        <item m="1" x="661"/>
        <item m="1" x="976"/>
        <item m="1" x="674"/>
        <item m="1" x="1008"/>
        <item m="1" x="704"/>
        <item m="1" x="1022"/>
        <item m="1" x="717"/>
        <item m="1" x="1037"/>
        <item m="1" x="745"/>
        <item m="1" x="1072"/>
        <item m="1" x="1083"/>
        <item m="1" x="771"/>
        <item m="1" x="791"/>
        <item m="1" x="1120"/>
        <item m="1" x="803"/>
        <item m="1" x="953"/>
        <item m="1" x="663"/>
        <item m="1" x="978"/>
        <item m="1" x="676"/>
        <item m="1" x="996"/>
        <item m="1" x="693"/>
        <item m="1" x="1024"/>
        <item m="1" x="719"/>
        <item m="1" x="1039"/>
        <item m="1" x="732"/>
        <item m="1" x="1058"/>
        <item m="1" x="761"/>
        <item m="1" x="1085"/>
        <item m="1" x="773"/>
        <item m="1" x="1098"/>
        <item m="1" x="784"/>
        <item m="1" x="1122"/>
        <item m="1" x="806"/>
        <item m="1" x="1132"/>
        <item m="1" x="816"/>
        <item m="1" x="1142"/>
        <item m="1" x="1149"/>
        <item m="1" x="980"/>
        <item m="1" x="679"/>
        <item m="1" x="998"/>
        <item m="1" x="695"/>
        <item m="1" x="1013"/>
        <item m="1" x="721"/>
        <item m="1" x="1042"/>
        <item m="1" x="734"/>
        <item m="1" x="1060"/>
        <item m="1" x="750"/>
        <item m="1" x="1087"/>
        <item m="1" x="1100"/>
        <item m="1" x="786"/>
        <item m="1" x="1114"/>
        <item m="1" x="808"/>
        <item m="1" x="1135"/>
        <item m="1" x="818"/>
        <item m="1" x="1144"/>
        <item m="1" x="824"/>
        <item m="1" x="1159"/>
        <item m="1" x="838"/>
        <item m="1" x="1167"/>
        <item m="1" x="1015"/>
        <item m="1" x="710"/>
        <item m="1" x="1044"/>
        <item m="1" x="737"/>
        <item m="1" x="1062"/>
        <item m="1" x="752"/>
        <item m="1" x="1076"/>
        <item m="1" x="775"/>
        <item m="1" x="1103"/>
        <item m="1" x="788"/>
        <item m="1" x="1116"/>
        <item m="1" x="797"/>
        <item m="1" x="1146"/>
        <item m="1" x="826"/>
        <item m="1" x="1154"/>
        <item m="1" x="840"/>
        <item m="1" x="1170"/>
        <item m="1" x="846"/>
        <item m="1" x="545"/>
        <item m="1" x="851"/>
        <item m="1" x="1064"/>
        <item m="1" x="754"/>
        <item m="1" x="1078"/>
        <item m="1" x="767"/>
        <item m="1" x="1091"/>
        <item m="1" x="1117"/>
        <item m="1" x="799"/>
        <item m="1" x="1127"/>
        <item m="1" x="812"/>
        <item m="1" x="1147"/>
        <item m="1" x="828"/>
        <item m="1" x="1156"/>
        <item m="1" x="834"/>
        <item m="1" x="1163"/>
        <item m="1" x="848"/>
        <item m="1" x="547"/>
        <item m="1" x="854"/>
        <item m="1" x="551"/>
        <item m="1" x="561"/>
        <item m="1" x="1079"/>
        <item m="1" x="1093"/>
        <item m="1" x="778"/>
        <item m="1" x="1118"/>
        <item m="1" x="801"/>
        <item m="1" x="1129"/>
        <item m="1" x="814"/>
        <item m="1" x="1139"/>
        <item m="1" x="829"/>
        <item m="1" x="1158"/>
        <item m="1" x="836"/>
        <item m="1" x="1165"/>
        <item m="1" x="844"/>
        <item m="1" x="548"/>
        <item m="1" x="856"/>
        <item m="1" x="553"/>
        <item m="1" x="859"/>
        <item m="1" x="557"/>
        <item m="1" x="865"/>
        <item m="1" x="567"/>
        <item m="1" x="872"/>
        <item m="1" x="1106"/>
        <item m="1" x="790"/>
        <item m="1" x="1130"/>
        <item m="1" x="1140"/>
        <item m="1" x="1173"/>
        <item m="1" x="849"/>
        <item m="1" x="554"/>
        <item m="1" x="860"/>
        <item m="1" x="559"/>
        <item m="1" x="863"/>
        <item m="1" x="563"/>
        <item m="1" x="573"/>
        <item m="1" x="877"/>
        <item m="1" x="576"/>
        <item m="1" x="882"/>
        <item m="1" x="583"/>
        <item m="1" x="864"/>
        <item m="1" x="565"/>
        <item m="1" x="868"/>
        <item m="1" x="569"/>
        <item m="1" x="878"/>
        <item m="1" x="578"/>
        <item m="1" x="884"/>
        <item m="1" x="585"/>
        <item m="1" x="889"/>
        <item m="1" x="595"/>
        <item m="1" x="900"/>
        <item m="1" x="601"/>
        <item m="1" x="909"/>
        <item m="1" x="609"/>
        <item m="1" x="930"/>
        <item m="1" x="627"/>
        <item m="1" x="941"/>
        <item m="1" x="639"/>
        <item m="1" x="955"/>
        <item m="1" x="665"/>
        <item m="1" x="984"/>
        <item m="1" x="870"/>
        <item m="1" x="571"/>
        <item m="1" x="875"/>
        <item m="1" x="579"/>
        <item m="1" x="886"/>
        <item m="1" x="587"/>
        <item m="1" x="891"/>
        <item m="1" x="591"/>
        <item m="1" x="901"/>
        <item m="1" x="603"/>
        <item m="1" x="912"/>
        <item m="1" x="612"/>
        <item m="1" x="921"/>
        <item m="1" x="629"/>
        <item m="1" x="944"/>
        <item m="1" x="642"/>
        <item m="1" x="958"/>
        <item m="1" x="655"/>
        <item m="1" x="986"/>
        <item m="1" x="684"/>
        <item m="1" x="1001"/>
        <item m="1" x="880"/>
        <item m="1" x="581"/>
        <item m="1" x="893"/>
        <item m="1" x="593"/>
        <item m="1" x="897"/>
        <item m="1" x="597"/>
        <item m="1" x="904"/>
        <item m="1" x="614"/>
        <item m="1" x="923"/>
        <item m="1" x="620"/>
        <item m="1" x="933"/>
        <item m="1" x="632"/>
        <item m="1" x="960"/>
        <item m="1" x="656"/>
        <item m="1" x="971"/>
        <item m="1" x="668"/>
        <item m="1" x="989"/>
        <item m="1" x="698"/>
        <item m="1" x="1017"/>
        <item m="1" x="712"/>
        <item m="1" x="1031"/>
        <item m="1" x="1051"/>
        <item m="1" x="594"/>
        <item m="1" x="898"/>
        <item m="1" x="599"/>
        <item m="1" x="906"/>
        <item m="1" x="607"/>
        <item m="1" x="925"/>
        <item m="1" x="622"/>
        <item m="1" x="936"/>
        <item m="1" x="634"/>
        <item m="1" x="948"/>
        <item m="1" x="658"/>
        <item m="1" x="973"/>
        <item m="1" x="671"/>
        <item m="1" x="991"/>
        <item m="1" x="688"/>
        <item m="1" x="1019"/>
        <item m="1" x="714"/>
        <item m="1" x="1034"/>
        <item m="1" x="728"/>
        <item m="1" x="1053"/>
        <item m="1" x="758"/>
        <item m="1" x="907"/>
        <item m="1" x="918"/>
        <item m="1" x="617"/>
        <item m="1" x="938"/>
        <item m="1" x="636"/>
        <item m="1" x="950"/>
        <item m="1" x="648"/>
        <item m="1" x="965"/>
        <item m="1" x="673"/>
        <item m="1" x="993"/>
        <item m="1" x="690"/>
        <item m="1" x="1007"/>
        <item m="1" x="703"/>
        <item m="1" x="1036"/>
        <item m="1" x="1055"/>
        <item m="1" x="744"/>
        <item m="1" x="1071"/>
        <item m="1" x="770"/>
        <item m="1" x="1095"/>
        <item m="1" x="781"/>
        <item m="1" x="1109"/>
        <item m="1" x="929"/>
        <item m="1" x="637"/>
        <item m="1" x="952"/>
        <item m="1" x="651"/>
        <item m="1" x="967"/>
        <item m="1" x="662"/>
        <item m="1" x="995"/>
        <item m="1" x="692"/>
        <item m="1" x="1010"/>
        <item m="1" x="705"/>
        <item m="1" x="1023"/>
        <item m="1" x="731"/>
        <item m="1" x="1057"/>
        <item m="1" x="747"/>
        <item m="1" x="760"/>
        <item m="1" x="1097"/>
        <item m="1" x="783"/>
        <item m="1" x="1111"/>
        <item m="1" x="792"/>
        <item m="1" x="1121"/>
        <item m="1" x="805"/>
        <item m="1" x="652"/>
        <item m="1" x="968"/>
        <item m="1" x="664"/>
        <item m="1" x="979"/>
        <item m="1" x="678"/>
        <item m="1" x="1012"/>
        <item m="1" x="707"/>
        <item m="1" x="1025"/>
        <item m="1" x="720"/>
        <item m="1" x="1041"/>
        <item m="1" x="749"/>
        <item m="1" x="762"/>
        <item m="1" x="1086"/>
        <item m="1" x="774"/>
        <item m="1" x="1113"/>
        <item m="1" x="794"/>
        <item m="1" x="1123"/>
        <item m="1" x="807"/>
        <item m="1" x="1134"/>
        <item m="1" x="823"/>
        <item m="1" x="1151"/>
        <item m="1" x="981"/>
        <item m="1" x="680"/>
        <item m="1" x="999"/>
        <item m="1" x="709"/>
        <item m="1" x="1027"/>
        <item m="1" x="722"/>
        <item m="1" x="1043"/>
        <item m="1" x="736"/>
        <item m="1" x="1075"/>
        <item m="1" x="764"/>
        <item m="1" x="1088"/>
        <item m="1" x="1102"/>
        <item m="1" x="796"/>
        <item m="1" x="1124"/>
        <item m="1" x="809"/>
        <item m="1" x="1136"/>
        <item m="1" x="819"/>
        <item m="1" x="1153"/>
        <item m="1" x="831"/>
        <item m="1" x="1160"/>
        <item m="1" x="839"/>
        <item m="1" x="1169"/>
        <item m="1" x="1028"/>
        <item m="1" x="723"/>
        <item m="1" x="1046"/>
        <item m="1" x="738"/>
        <item m="1" x="1063"/>
        <item m="1" x="766"/>
        <item m="1" x="1090"/>
        <item m="1" x="777"/>
        <item m="1" x="1104"/>
        <item m="1" x="789"/>
        <item m="1" x="1126"/>
        <item m="1" x="811"/>
        <item m="1" x="833"/>
        <item m="1" x="1162"/>
        <item m="1" x="842"/>
        <item m="1" x="1171"/>
        <item m="1" x="847"/>
        <item m="1" x="853"/>
        <item m="1" x="1047"/>
        <item m="1" x="739"/>
        <item m="1" x="1065"/>
        <item m="1" x="543"/>
        <item m="1" x="542"/>
        <item m="1" x="541"/>
        <item m="1" x="540"/>
        <item m="1" x="539"/>
        <item m="1" x="538"/>
        <item m="1" x="537"/>
        <item m="1" x="536"/>
        <item m="1" x="535"/>
        <item m="1" x="534"/>
        <item m="1" x="533"/>
        <item m="1" x="532"/>
        <item m="1" x="531"/>
        <item m="1" x="530"/>
        <item m="1" x="529"/>
        <item m="1" x="528"/>
        <item m="1" x="527"/>
        <item m="1" x="526"/>
        <item m="1" x="525"/>
        <item m="1" x="524"/>
        <item m="1" x="523"/>
        <item m="1" x="522"/>
        <item m="1" x="521"/>
        <item m="1" x="520"/>
        <item m="1" x="519"/>
        <item m="1" x="518"/>
        <item m="1" x="517"/>
        <item m="1" x="516"/>
        <item m="1" x="515"/>
        <item m="1" x="514"/>
        <item m="1" x="513"/>
        <item m="1" x="512"/>
        <item m="1" x="511"/>
        <item m="1" x="510"/>
        <item m="1" x="509"/>
        <item m="1" x="508"/>
        <item m="1" x="507"/>
        <item m="1" x="506"/>
        <item m="1" x="505"/>
        <item m="1" x="504"/>
        <item m="1" x="503"/>
        <item m="1" x="502"/>
        <item m="1" x="501"/>
        <item m="1" x="500"/>
        <item m="1" x="499"/>
        <item m="1" x="498"/>
        <item m="1" x="497"/>
        <item m="1" x="496"/>
        <item m="1" x="495"/>
        <item m="1" x="494"/>
        <item m="1" x="493"/>
        <item m="1" x="492"/>
        <item m="1" x="491"/>
        <item m="1" x="490"/>
        <item m="1" x="489"/>
        <item m="1" x="488"/>
        <item m="1" x="487"/>
        <item m="1" x="486"/>
        <item m="1" x="485"/>
        <item m="1" x="484"/>
        <item m="1" x="483"/>
        <item m="1" x="482"/>
        <item m="1" x="481"/>
        <item m="1" x="480"/>
        <item m="1" x="479"/>
        <item m="1" x="478"/>
        <item m="1" x="477"/>
        <item m="1" x="476"/>
        <item m="1" x="475"/>
        <item m="1" x="474"/>
        <item m="1" x="473"/>
        <item m="1" x="472"/>
        <item m="1" x="471"/>
        <item m="1" x="470"/>
        <item m="1" x="469"/>
        <item m="1" x="468"/>
        <item m="1" x="467"/>
        <item m="1" x="466"/>
        <item m="1" x="465"/>
        <item m="1" x="464"/>
        <item m="1" x="463"/>
        <item m="1" x="462"/>
        <item m="1" x="461"/>
        <item m="1" x="460"/>
        <item m="1" x="459"/>
        <item m="1" x="458"/>
        <item m="1" x="457"/>
        <item m="1" x="456"/>
        <item m="1" x="455"/>
        <item m="1" x="454"/>
        <item m="1" x="453"/>
        <item m="1" x="452"/>
        <item m="1" x="451"/>
        <item m="1" x="450"/>
        <item m="1" x="449"/>
        <item m="1" x="448"/>
        <item m="1" x="447"/>
        <item m="1" x="446"/>
        <item m="1" x="445"/>
        <item m="1" x="444"/>
        <item m="1" x="443"/>
        <item m="1" x="442"/>
        <item m="1" x="441"/>
        <item m="1" x="440"/>
        <item m="1" x="439"/>
        <item m="1" x="438"/>
        <item m="1" x="437"/>
        <item m="1" x="436"/>
        <item m="1" x="435"/>
        <item m="1" x="434"/>
        <item m="1" x="433"/>
        <item m="1" x="432"/>
        <item m="1" x="431"/>
        <item m="1" x="430"/>
        <item m="1" x="429"/>
        <item m="1" x="428"/>
        <item m="1" x="427"/>
        <item m="1" x="426"/>
        <item m="1" x="425"/>
        <item m="1" x="424"/>
        <item m="1" x="423"/>
        <item m="1" x="421"/>
        <item m="1" x="422"/>
        <item m="1" x="420"/>
        <item m="1" x="419"/>
        <item m="1" x="418"/>
        <item m="1" x="417"/>
        <item m="1" x="416"/>
        <item m="1" x="415"/>
        <item m="1" x="414"/>
        <item m="1" x="413"/>
        <item m="1" x="412"/>
        <item m="1" x="411"/>
        <item m="1" x="410"/>
        <item m="1" x="409"/>
        <item m="1" x="408"/>
        <item m="1" x="407"/>
        <item m="1" x="406"/>
        <item m="1" x="405"/>
        <item m="1" x="404"/>
        <item m="1" x="403"/>
        <item m="1" x="402"/>
        <item m="1" x="401"/>
        <item m="1" x="400"/>
        <item m="1" x="399"/>
        <item m="1" x="398"/>
        <item m="1" x="397"/>
        <item m="1" x="396"/>
        <item m="1" x="395"/>
        <item m="1" x="394"/>
        <item m="1" x="393"/>
        <item m="1" x="392"/>
        <item m="1" x="391"/>
        <item m="1" x="390"/>
        <item m="1" x="389"/>
        <item m="1" x="388"/>
        <item m="1" x="387"/>
        <item m="1" x="386"/>
        <item m="1" x="385"/>
        <item m="1" x="384"/>
        <item m="1" x="383"/>
        <item m="1" x="382"/>
        <item m="1" x="381"/>
        <item m="1" x="380"/>
        <item m="1" x="379"/>
        <item m="1" x="378"/>
        <item m="1" x="377"/>
        <item m="1" x="376"/>
        <item m="1" x="375"/>
        <item m="1" x="374"/>
        <item m="1" x="373"/>
        <item m="1" x="372"/>
        <item m="1" x="371"/>
        <item m="1" x="370"/>
        <item m="1" x="369"/>
        <item m="1" x="368"/>
        <item m="1" x="367"/>
        <item m="1" x="366"/>
        <item m="1" x="365"/>
        <item m="1" x="364"/>
        <item m="1" x="363"/>
        <item m="1" x="362"/>
        <item m="1" x="361"/>
        <item m="1" x="359"/>
        <item m="1" x="360"/>
        <item m="1" x="358"/>
        <item m="1" x="357"/>
        <item m="1" x="356"/>
        <item m="1" x="355"/>
        <item m="1" x="354"/>
        <item m="1" x="353"/>
        <item m="1" x="352"/>
        <item m="1" x="351"/>
        <item m="1" x="350"/>
        <item m="1" x="349"/>
        <item m="1" x="348"/>
        <item m="1" x="347"/>
        <item m="1" x="346"/>
        <item m="1" x="345"/>
        <item m="1" x="344"/>
        <item m="1" x="343"/>
        <item m="1" x="342"/>
        <item m="1" x="341"/>
        <item m="1" x="340"/>
        <item m="1" x="339"/>
        <item m="1" x="338"/>
        <item m="1" x="337"/>
        <item m="1" x="336"/>
        <item m="1" x="335"/>
        <item m="1" x="334"/>
        <item m="1" x="333"/>
        <item m="1" x="332"/>
        <item m="1" x="331"/>
        <item m="1" x="330"/>
        <item m="1" x="329"/>
        <item m="1" x="328"/>
        <item m="1" x="327"/>
        <item m="1" x="326"/>
        <item m="1" x="325"/>
        <item m="1" x="324"/>
        <item m="1" x="323"/>
        <item m="1" x="322"/>
        <item m="1" x="321"/>
        <item m="1" x="320"/>
        <item m="1" x="319"/>
        <item m="1" x="318"/>
        <item m="1" x="316"/>
        <item m="1" x="315"/>
        <item m="1" x="317"/>
        <item m="1" x="314"/>
        <item m="1" x="313"/>
        <item m="1" x="312"/>
        <item m="1" x="311"/>
        <item m="1" x="310"/>
        <item m="1" x="309"/>
        <item m="1" x="308"/>
        <item m="1" x="307"/>
        <item m="1" x="306"/>
        <item m="1" x="305"/>
        <item m="1" x="304"/>
        <item m="1" x="303"/>
        <item m="1" x="302"/>
        <item m="1" x="301"/>
        <item m="1" x="300"/>
        <item m="1" x="299"/>
        <item m="1" x="298"/>
        <item m="1" x="297"/>
        <item m="1" x="296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2"/>
  </rowFields>
  <rowItems count="110">
    <i>
      <x v="878"/>
    </i>
    <i>
      <x v="879"/>
    </i>
    <i>
      <x v="880"/>
    </i>
    <i>
      <x v="881"/>
    </i>
    <i>
      <x v="882"/>
    </i>
    <i>
      <x v="883"/>
    </i>
    <i>
      <x v="884"/>
    </i>
    <i>
      <x v="885"/>
    </i>
    <i>
      <x v="886"/>
    </i>
    <i>
      <x v="887"/>
    </i>
    <i>
      <x v="888"/>
    </i>
    <i>
      <x v="889"/>
    </i>
    <i>
      <x v="890"/>
    </i>
    <i>
      <x v="891"/>
    </i>
    <i>
      <x v="892"/>
    </i>
    <i>
      <x v="893"/>
    </i>
    <i>
      <x v="894"/>
    </i>
    <i>
      <x v="895"/>
    </i>
    <i>
      <x v="896"/>
    </i>
    <i>
      <x v="897"/>
    </i>
    <i>
      <x v="898"/>
    </i>
    <i>
      <x v="899"/>
    </i>
    <i>
      <x v="900"/>
    </i>
    <i>
      <x v="901"/>
    </i>
    <i>
      <x v="902"/>
    </i>
    <i>
      <x v="903"/>
    </i>
    <i>
      <x v="904"/>
    </i>
    <i>
      <x v="905"/>
    </i>
    <i>
      <x v="906"/>
    </i>
    <i>
      <x v="907"/>
    </i>
    <i>
      <x v="908"/>
    </i>
    <i>
      <x v="909"/>
    </i>
    <i>
      <x v="910"/>
    </i>
    <i>
      <x v="911"/>
    </i>
    <i>
      <x v="912"/>
    </i>
    <i>
      <x v="913"/>
    </i>
    <i>
      <x v="914"/>
    </i>
    <i>
      <x v="915"/>
    </i>
    <i>
      <x v="916"/>
    </i>
    <i>
      <x v="917"/>
    </i>
    <i>
      <x v="918"/>
    </i>
    <i>
      <x v="919"/>
    </i>
    <i>
      <x v="920"/>
    </i>
    <i>
      <x v="921"/>
    </i>
    <i>
      <x v="922"/>
    </i>
    <i>
      <x v="923"/>
    </i>
    <i>
      <x v="924"/>
    </i>
    <i>
      <x v="925"/>
    </i>
    <i>
      <x v="926"/>
    </i>
    <i>
      <x v="927"/>
    </i>
    <i>
      <x v="928"/>
    </i>
    <i>
      <x v="929"/>
    </i>
    <i>
      <x v="930"/>
    </i>
    <i>
      <x v="931"/>
    </i>
    <i>
      <x v="932"/>
    </i>
    <i>
      <x v="933"/>
    </i>
    <i>
      <x v="934"/>
    </i>
    <i>
      <x v="935"/>
    </i>
    <i>
      <x v="936"/>
    </i>
    <i>
      <x v="937"/>
    </i>
    <i>
      <x v="938"/>
    </i>
    <i>
      <x v="939"/>
    </i>
    <i>
      <x v="940"/>
    </i>
    <i>
      <x v="941"/>
    </i>
    <i>
      <x v="942"/>
    </i>
    <i>
      <x v="943"/>
    </i>
    <i>
      <x v="944"/>
    </i>
    <i>
      <x v="945"/>
    </i>
    <i>
      <x v="946"/>
    </i>
    <i>
      <x v="947"/>
    </i>
    <i>
      <x v="948"/>
    </i>
    <i>
      <x v="949"/>
    </i>
    <i>
      <x v="950"/>
    </i>
    <i>
      <x v="951"/>
    </i>
    <i>
      <x v="952"/>
    </i>
    <i>
      <x v="953"/>
    </i>
    <i>
      <x v="954"/>
    </i>
    <i>
      <x v="955"/>
    </i>
    <i>
      <x v="956"/>
    </i>
    <i>
      <x v="957"/>
    </i>
    <i>
      <x v="958"/>
    </i>
    <i>
      <x v="959"/>
    </i>
    <i>
      <x v="960"/>
    </i>
    <i>
      <x v="961"/>
    </i>
    <i>
      <x v="962"/>
    </i>
    <i>
      <x v="963"/>
    </i>
    <i>
      <x v="964"/>
    </i>
    <i>
      <x v="965"/>
    </i>
    <i>
      <x v="966"/>
    </i>
    <i>
      <x v="967"/>
    </i>
    <i>
      <x v="968"/>
    </i>
    <i>
      <x v="969"/>
    </i>
    <i>
      <x v="970"/>
    </i>
    <i>
      <x v="971"/>
    </i>
    <i>
      <x v="972"/>
    </i>
    <i>
      <x v="973"/>
    </i>
    <i>
      <x v="974"/>
    </i>
    <i>
      <x v="975"/>
    </i>
    <i>
      <x v="976"/>
    </i>
    <i>
      <x v="977"/>
    </i>
    <i>
      <x v="978"/>
    </i>
    <i>
      <x v="979"/>
    </i>
    <i>
      <x v="980"/>
    </i>
    <i>
      <x v="981"/>
    </i>
    <i>
      <x v="982"/>
    </i>
    <i>
      <x v="983"/>
    </i>
    <i>
      <x v="984"/>
    </i>
    <i>
      <x v="985"/>
    </i>
    <i>
      <x v="986"/>
    </i>
    <i t="grand">
      <x/>
    </i>
  </rowItems>
  <colFields count="1">
    <field x="7"/>
  </colFields>
  <colItems count="4">
    <i>
      <x v="7"/>
    </i>
    <i>
      <x v="8"/>
    </i>
    <i>
      <x v="9"/>
    </i>
    <i t="grand">
      <x/>
    </i>
  </colItems>
  <pageFields count="1">
    <pageField fld="0" hier="-1"/>
  </pageFields>
  <dataFields count="1">
    <dataField name="Suma de AMORTIZACION" fld="15" baseField="0" baseItem="0" numFmtId="165"/>
  </dataFields>
  <formats count="1">
    <format dxfId="27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2000000}" name="TablaDinámica1" cacheId="34" applyNumberFormats="0" applyBorderFormats="0" applyFontFormats="0" applyPatternFormats="0" applyAlignmentFormats="0" applyWidthHeightFormats="1" dataCaption="Valores" updatedVersion="8" minRefreshableVersion="3" useAutoFormatting="1" itemPrintTitles="1" createdVersion="6" indent="0" outline="1" outlineData="1" multipleFieldFilters="0">
  <location ref="A10:B24" firstHeaderRow="1" firstDataRow="1" firstDataCol="1"/>
  <pivotFields count="31"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28">
        <item x="7"/>
        <item x="10"/>
        <item x="1"/>
        <item x="4"/>
        <item m="1" x="25"/>
        <item m="1" x="26"/>
        <item m="1" x="24"/>
        <item h="1" x="22"/>
        <item x="0"/>
        <item m="1" x="23"/>
        <item x="2"/>
        <item x="3"/>
        <item x="5"/>
        <item x="6"/>
        <item x="8"/>
        <item x="9"/>
        <item x="11"/>
        <item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8"/>
  </rowFields>
  <rowItems count="14">
    <i>
      <x/>
    </i>
    <i>
      <x v="1"/>
    </i>
    <i>
      <x v="2"/>
    </i>
    <i>
      <x v="3"/>
    </i>
    <i>
      <x v="8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 t="grand">
      <x/>
    </i>
  </rowItems>
  <colItems count="1">
    <i/>
  </colItems>
  <dataFields count="1">
    <dataField name="Suma de AMORTIZACION" fld="15" baseField="8" baseItem="0" numFmtId="165"/>
  </dataFields>
  <formats count="8">
    <format dxfId="25">
      <pivotArea outline="0" collapsedLevelsAreSubtotals="1" fieldPosition="0"/>
    </format>
    <format dxfId="24">
      <pivotArea collapsedLevelsAreSubtotals="1" fieldPosition="0">
        <references count="1">
          <reference field="8" count="2">
            <x v="14"/>
            <x v="15"/>
          </reference>
        </references>
      </pivotArea>
    </format>
    <format dxfId="23">
      <pivotArea collapsedLevelsAreSubtotals="1" fieldPosition="0">
        <references count="1">
          <reference field="8" count="1">
            <x v="0"/>
          </reference>
        </references>
      </pivotArea>
    </format>
    <format dxfId="22">
      <pivotArea collapsedLevelsAreSubtotals="1" fieldPosition="0">
        <references count="1">
          <reference field="8" count="1">
            <x v="4"/>
          </reference>
        </references>
      </pivotArea>
    </format>
    <format dxfId="21">
      <pivotArea collapsedLevelsAreSubtotals="1" fieldPosition="0">
        <references count="1">
          <reference field="8" count="2">
            <x v="16"/>
            <x v="17"/>
          </reference>
        </references>
      </pivotArea>
    </format>
    <format dxfId="20">
      <pivotArea collapsedLevelsAreSubtotals="1" fieldPosition="0">
        <references count="1">
          <reference field="8" count="1">
            <x v="1"/>
          </reference>
        </references>
      </pivotArea>
    </format>
    <format dxfId="19">
      <pivotArea collapsedLevelsAreSubtotals="1" fieldPosition="0">
        <references count="1">
          <reference field="8" count="1">
            <x v="5"/>
          </reference>
        </references>
      </pivotArea>
    </format>
    <format dxfId="18">
      <pivotArea collapsedLevelsAreSubtotals="1" fieldPosition="0">
        <references count="1">
          <reference field="8" count="4">
            <x v="10"/>
            <x v="11"/>
            <x v="12"/>
            <x v="13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3000000}" name="TablaDinámica7" cacheId="27" applyNumberFormats="0" applyBorderFormats="0" applyFontFormats="0" applyPatternFormats="0" applyAlignmentFormats="0" applyWidthHeightFormats="1" dataCaption="Valores" updatedVersion="8" minRefreshableVersion="3" useAutoFormatting="1" itemPrintTitles="1" createdVersion="6" indent="0" outline="1" outlineData="1" multipleFieldFilters="0">
  <location ref="H8:I9" firstHeaderRow="1" firstDataRow="1" firstDataCol="1"/>
  <pivotFields count="31">
    <pivotField showAll="0"/>
    <pivotField showAll="0"/>
    <pivotField showAll="0"/>
    <pivotField showAll="0"/>
    <pivotField showAll="0"/>
    <pivotField showAll="0"/>
    <pivotField showAll="0"/>
    <pivotField axis="axisRow" showAll="0">
      <items count="11">
        <item h="1" x="1"/>
        <item h="1" m="1" x="4"/>
        <item h="1" m="1" x="5"/>
        <item h="1" m="1" x="3"/>
        <item h="1" x="2"/>
        <item h="1" x="0"/>
        <item m="1" x="8"/>
        <item m="1" x="6"/>
        <item m="1" x="7"/>
        <item h="1" m="1" x="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7"/>
  </rowFields>
  <rowItems count="1">
    <i t="grand">
      <x/>
    </i>
  </rowItems>
  <colItems count="1">
    <i/>
  </colItems>
  <dataFields count="1">
    <dataField name="Suma de AMORTIZACION" fld="15" baseField="0" baseItem="0" numFmtId="165"/>
  </dataFields>
  <formats count="1">
    <format dxfId="26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onsulta desde MS Access Database_1" connectionId="2" xr16:uid="{00000000-0016-0000-0600-000000000000}" autoFormatId="16" applyNumberFormats="0" applyBorderFormats="0" applyFontFormats="0" applyPatternFormats="0" applyAlignmentFormats="0" applyWidthHeightFormats="0">
  <queryTableRefresh nextId="7">
    <queryTableFields count="6">
      <queryTableField id="1" name="Fecha_Proceso" tableColumnId="1"/>
      <queryTableField id="2" name="Tipo_Cuenta" tableColumnId="2"/>
      <queryTableField id="3" name="Cod_Pro" tableColumnId="3"/>
      <queryTableField id="4" name="Moneda" tableColumnId="4"/>
      <queryTableField id="5" name="Saldo_Final_Pesos" tableColumnId="5"/>
      <queryTableField id="6" name="Cod_Sub_Pro" tableColumnId="6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onsulta desde MS Access Database_2" connectionId="1" xr16:uid="{00000000-0016-0000-0600-000001000000}" autoFormatId="16" applyNumberFormats="0" applyBorderFormats="0" applyFontFormats="0" applyPatternFormats="0" applyAlignmentFormats="0" applyWidthHeightFormats="0">
  <queryTableRefresh nextId="6">
    <queryTableFields count="5">
      <queryTableField id="1" name="Fecha" tableColumnId="1"/>
      <queryTableField id="2" name="NEMOTECNICO" tableColumnId="2"/>
      <queryTableField id="3" name="Instrumento" tableColumnId="3"/>
      <queryTableField id="4" name="Moneda" tableColumnId="4"/>
      <queryTableField id="5" name="Precio_Mid" tableColumnId="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onsulta desde MS Access Database" connectionId="3" xr16:uid="{00000000-0016-0000-0600-000002000000}" autoFormatId="16" applyNumberFormats="0" applyBorderFormats="0" applyFontFormats="0" applyPatternFormats="0" applyAlignmentFormats="0" applyWidthHeightFormats="0">
  <queryTableRefresh nextId="9" unboundColumnsRight="1">
    <queryTableFields count="8">
      <queryTableField id="1" name="Fec_Pro" tableColumnId="1"/>
      <queryTableField id="2" name="Cod_A_P" tableColumnId="2"/>
      <queryTableField id="3" name="Moneda" tableColumnId="3"/>
      <queryTableField id="4" name="Cod_Pro" tableColumnId="4"/>
      <queryTableField id="5" name="Cod_Sub_Pro" tableColumnId="5"/>
      <queryTableField id="6" name="Cap_Amort" tableColumnId="6"/>
      <queryTableField id="7" name="Int_Total_Cont" tableColumnId="7"/>
      <queryTableField id="8" dataBound="0" tableColumnId="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Tabla_Consulta_desde_MS_Access_Database_1" displayName="Tabla_Consulta_desde_MS_Access_Database_1" ref="I1:N14" tableType="queryTable" totalsRowShown="0" headerRowCellStyle="Normal 2 2 2" dataCellStyle="Normal 2 2 2">
  <autoFilter ref="I1:N14" xr:uid="{00000000-0009-0000-0100-000003000000}"/>
  <tableColumns count="6">
    <tableColumn id="1" xr3:uid="{00000000-0010-0000-0000-000001000000}" uniqueName="1" name="Fecha_Proceso" queryTableFieldId="1" dataDxfId="17" dataCellStyle="Normal 2 2 2"/>
    <tableColumn id="2" xr3:uid="{00000000-0010-0000-0000-000002000000}" uniqueName="2" name="Tipo_Cuenta" queryTableFieldId="2" dataCellStyle="Normal 2 2 2"/>
    <tableColumn id="3" xr3:uid="{00000000-0010-0000-0000-000003000000}" uniqueName="3" name="Cod_Pro" queryTableFieldId="3" dataCellStyle="Normal 2 2 2"/>
    <tableColumn id="4" xr3:uid="{00000000-0010-0000-0000-000004000000}" uniqueName="4" name="Moneda" queryTableFieldId="4" dataCellStyle="Normal 2 2 2"/>
    <tableColumn id="5" xr3:uid="{00000000-0010-0000-0000-000005000000}" uniqueName="5" name="Saldo_Final_Pesos" queryTableFieldId="5" dataDxfId="16" dataCellStyle="Millares"/>
    <tableColumn id="6" xr3:uid="{00000000-0010-0000-0000-000006000000}" uniqueName="6" name="Cod_Sub_Pro" queryTableFieldId="6" dataDxfId="15" dataCellStyle="Normal 2 2 2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Tabla_Consulta_desde_MS_Access_Database_2" displayName="Tabla_Consulta_desde_MS_Access_Database_2" ref="A1:E2" tableType="queryTable" totalsRowShown="0" headerRowDxfId="14" headerRowCellStyle="Normal 2 2 2" dataCellStyle="Normal 2 2 2">
  <autoFilter ref="A1:E2" xr:uid="{00000000-0009-0000-0100-000004000000}"/>
  <tableColumns count="5">
    <tableColumn id="1" xr3:uid="{00000000-0010-0000-0100-000001000000}" uniqueName="1" name="Fecha" queryTableFieldId="1" dataDxfId="13" dataCellStyle="Normal 2 2 2"/>
    <tableColumn id="2" xr3:uid="{00000000-0010-0000-0100-000002000000}" uniqueName="2" name="NEMOTECNICO" queryTableFieldId="2" dataCellStyle="Normal 2 2 2"/>
    <tableColumn id="3" xr3:uid="{00000000-0010-0000-0100-000003000000}" uniqueName="3" name="Instrumento" queryTableFieldId="3" dataCellStyle="Normal 2 2 2"/>
    <tableColumn id="4" xr3:uid="{00000000-0010-0000-0100-000004000000}" uniqueName="4" name="Moneda" queryTableFieldId="4" dataCellStyle="Normal 2 2 2"/>
    <tableColumn id="5" xr3:uid="{00000000-0010-0000-0100-000005000000}" uniqueName="5" name="Precio_Mid" queryTableFieldId="5" dataCellStyle="Normal 2 2 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Tabla_Consulta_desde_MS_Access_Database" displayName="Tabla_Consulta_desde_MS_Access_Database" ref="P1:W8" tableType="queryTable" totalsRowShown="0">
  <autoFilter ref="P1:W8" xr:uid="{00000000-0009-0000-0100-000001000000}"/>
  <tableColumns count="8">
    <tableColumn id="1" xr3:uid="{00000000-0010-0000-0200-000001000000}" uniqueName="1" name="Fec_Pro" queryTableFieldId="1" dataDxfId="12" dataCellStyle="Normal 2 2 2"/>
    <tableColumn id="2" xr3:uid="{00000000-0010-0000-0200-000002000000}" uniqueName="2" name="Cod_A_P" queryTableFieldId="2"/>
    <tableColumn id="3" xr3:uid="{00000000-0010-0000-0200-000003000000}" uniqueName="3" name="Moneda" queryTableFieldId="3"/>
    <tableColumn id="4" xr3:uid="{00000000-0010-0000-0200-000004000000}" uniqueName="4" name="Cod_Pro" queryTableFieldId="4"/>
    <tableColumn id="5" xr3:uid="{00000000-0010-0000-0200-000005000000}" uniqueName="5" name="Cod_Sub_Pro" queryTableFieldId="5"/>
    <tableColumn id="6" xr3:uid="{00000000-0010-0000-0200-000006000000}" uniqueName="6" name="Cap_Amort" queryTableFieldId="6" dataDxfId="11" dataCellStyle="Millares [0]"/>
    <tableColumn id="7" xr3:uid="{00000000-0010-0000-0200-000007000000}" uniqueName="7" name="Int_Total_Cont" queryTableFieldId="7" dataDxfId="10" dataCellStyle="Millares [0]"/>
    <tableColumn id="8" xr3:uid="{00000000-0010-0000-0200-000008000000}" uniqueName="8" name="Total" queryTableFieldId="8" dataDxfId="9">
      <calculatedColumnFormula>Tabla_Consulta_desde_MS_Access_Database[[#This Row],[Cap_Amort]]+Tabla_Consulta_desde_MS_Access_Database[[#This Row],[Int_Total_Cont]]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0B39146E-4483-4C6A-B296-579BEE278388}">
  <we:reference id="wa200003696" version="1.2.0.0" store="es-ES" storeType="OMEX"/>
  <we:alternateReferences>
    <we:reference id="wa200003696" version="1.2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file:///\\CDLV-ESTOCOLMO\Riesgo%20Financiero2\RF_PROCESOS\RF_Riesgo_Liq\RF_KRI\Input%20Indicador%20Resumen%20Liquidez" TargetMode="External"/><Relationship Id="rId7" Type="http://schemas.openxmlformats.org/officeDocument/2006/relationships/comments" Target="../comments1.xml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/>
  <dimension ref="A1:AE1038"/>
  <sheetViews>
    <sheetView tabSelected="1" topLeftCell="A1007" zoomScale="85" zoomScaleNormal="85" workbookViewId="0">
      <selection activeCell="A1031" sqref="A1031:AE1038"/>
    </sheetView>
  </sheetViews>
  <sheetFormatPr baseColWidth="10" defaultRowHeight="14.5" x14ac:dyDescent="0.35"/>
  <cols>
    <col min="1" max="1" width="11.453125" style="13"/>
    <col min="8" max="8" width="41.54296875" customWidth="1"/>
    <col min="9" max="9" width="43.81640625" bestFit="1" customWidth="1"/>
    <col min="13" max="13" width="11.453125" style="13"/>
    <col min="14" max="14" width="19.81640625" style="13" customWidth="1"/>
    <col min="15" max="15" width="20.1796875" style="13" customWidth="1"/>
    <col min="16" max="16" width="18.453125" style="24" bestFit="1" customWidth="1"/>
  </cols>
  <sheetData>
    <row r="1" spans="1:31" x14ac:dyDescent="0.35">
      <c r="A1" s="1" t="s">
        <v>0</v>
      </c>
      <c r="B1" s="2" t="s">
        <v>1</v>
      </c>
      <c r="C1" s="2" t="s">
        <v>2</v>
      </c>
      <c r="D1" s="3" t="s">
        <v>3</v>
      </c>
      <c r="E1" s="4" t="s">
        <v>4</v>
      </c>
      <c r="F1" s="5" t="s">
        <v>5</v>
      </c>
      <c r="G1" s="6" t="s">
        <v>6</v>
      </c>
      <c r="H1" s="1" t="s">
        <v>7</v>
      </c>
      <c r="I1" s="7" t="s">
        <v>8</v>
      </c>
      <c r="J1" s="8" t="s">
        <v>9</v>
      </c>
      <c r="K1" s="9" t="s">
        <v>10</v>
      </c>
      <c r="L1" s="10" t="s">
        <v>11</v>
      </c>
      <c r="M1" s="1" t="s">
        <v>12</v>
      </c>
      <c r="N1" s="11" t="s">
        <v>13</v>
      </c>
      <c r="O1" s="11" t="s">
        <v>14</v>
      </c>
      <c r="P1" s="7" t="s">
        <v>15</v>
      </c>
      <c r="Q1" s="7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12" t="s">
        <v>21</v>
      </c>
      <c r="W1" s="12" t="s">
        <v>22</v>
      </c>
      <c r="X1" s="2" t="s">
        <v>23</v>
      </c>
      <c r="Y1" s="12" t="s">
        <v>24</v>
      </c>
      <c r="Z1" s="2" t="s">
        <v>25</v>
      </c>
      <c r="AA1" s="2" t="s">
        <v>26</v>
      </c>
      <c r="AB1" s="2" t="s">
        <v>27</v>
      </c>
      <c r="AC1" s="4" t="s">
        <v>28</v>
      </c>
      <c r="AD1" s="2" t="s">
        <v>29</v>
      </c>
      <c r="AE1" s="2" t="s">
        <v>30</v>
      </c>
    </row>
    <row r="2" spans="1:31" x14ac:dyDescent="0.35">
      <c r="A2" s="13">
        <v>45930</v>
      </c>
      <c r="B2">
        <v>1</v>
      </c>
      <c r="D2" t="s">
        <v>31</v>
      </c>
      <c r="E2" t="s">
        <v>41</v>
      </c>
      <c r="F2" t="s">
        <v>41</v>
      </c>
      <c r="H2" t="s">
        <v>56</v>
      </c>
      <c r="I2" t="s">
        <v>70</v>
      </c>
      <c r="L2" s="13"/>
      <c r="M2" s="13">
        <v>45931</v>
      </c>
      <c r="N2" s="13">
        <v>45931</v>
      </c>
      <c r="O2" s="13">
        <v>45931</v>
      </c>
      <c r="P2" s="24">
        <v>0</v>
      </c>
      <c r="V2">
        <v>1</v>
      </c>
      <c r="W2" t="s">
        <v>33</v>
      </c>
      <c r="Y2" t="s">
        <v>33</v>
      </c>
      <c r="Z2" t="s">
        <v>34</v>
      </c>
      <c r="AA2">
        <v>1</v>
      </c>
    </row>
    <row r="3" spans="1:31" x14ac:dyDescent="0.35">
      <c r="A3" s="13">
        <v>45930</v>
      </c>
      <c r="B3">
        <v>1</v>
      </c>
      <c r="D3" t="s">
        <v>31</v>
      </c>
      <c r="E3" t="s">
        <v>41</v>
      </c>
      <c r="F3" t="s">
        <v>41</v>
      </c>
      <c r="H3" t="s">
        <v>56</v>
      </c>
      <c r="I3" t="s">
        <v>57</v>
      </c>
      <c r="L3" s="13"/>
      <c r="M3" s="13">
        <v>45931</v>
      </c>
      <c r="N3" s="13">
        <v>45931</v>
      </c>
      <c r="O3" s="13">
        <v>45931</v>
      </c>
      <c r="P3" s="24">
        <v>357810792922</v>
      </c>
      <c r="V3">
        <v>1</v>
      </c>
      <c r="W3" t="s">
        <v>33</v>
      </c>
      <c r="Y3" t="s">
        <v>33</v>
      </c>
      <c r="Z3" t="s">
        <v>34</v>
      </c>
      <c r="AA3">
        <v>1</v>
      </c>
    </row>
    <row r="4" spans="1:31" x14ac:dyDescent="0.35">
      <c r="A4" s="13">
        <v>45930</v>
      </c>
      <c r="B4">
        <v>1</v>
      </c>
      <c r="D4" t="s">
        <v>31</v>
      </c>
      <c r="E4" t="s">
        <v>41</v>
      </c>
      <c r="F4" t="s">
        <v>41</v>
      </c>
      <c r="H4" t="s">
        <v>56</v>
      </c>
      <c r="I4" t="s">
        <v>149</v>
      </c>
      <c r="K4">
        <v>1</v>
      </c>
      <c r="L4" s="13"/>
      <c r="M4" s="13">
        <v>45961</v>
      </c>
      <c r="N4" s="13">
        <v>45961</v>
      </c>
      <c r="O4" s="13">
        <v>45961</v>
      </c>
      <c r="P4" s="24">
        <v>36011519040.949715</v>
      </c>
      <c r="V4">
        <v>1</v>
      </c>
      <c r="W4" t="s">
        <v>33</v>
      </c>
      <c r="Y4" t="s">
        <v>33</v>
      </c>
      <c r="Z4" t="s">
        <v>34</v>
      </c>
      <c r="AA4">
        <v>1</v>
      </c>
    </row>
    <row r="5" spans="1:31" x14ac:dyDescent="0.35">
      <c r="A5" s="13">
        <v>45930</v>
      </c>
      <c r="B5">
        <v>1</v>
      </c>
      <c r="D5" t="s">
        <v>31</v>
      </c>
      <c r="E5" t="s">
        <v>41</v>
      </c>
      <c r="F5" t="s">
        <v>41</v>
      </c>
      <c r="H5" t="s">
        <v>56</v>
      </c>
      <c r="I5" t="s">
        <v>149</v>
      </c>
      <c r="K5">
        <v>2</v>
      </c>
      <c r="L5" s="13"/>
      <c r="M5" s="13">
        <v>45991</v>
      </c>
      <c r="N5" s="13">
        <v>45991</v>
      </c>
      <c r="O5" s="13">
        <v>45991</v>
      </c>
      <c r="P5" s="24">
        <v>36011519040.949715</v>
      </c>
      <c r="V5">
        <v>1</v>
      </c>
      <c r="W5" t="s">
        <v>33</v>
      </c>
      <c r="Y5" t="s">
        <v>33</v>
      </c>
      <c r="Z5" t="s">
        <v>34</v>
      </c>
      <c r="AA5">
        <v>1</v>
      </c>
    </row>
    <row r="6" spans="1:31" x14ac:dyDescent="0.35">
      <c r="A6" s="13">
        <v>45930</v>
      </c>
      <c r="B6">
        <v>1</v>
      </c>
      <c r="D6" t="s">
        <v>31</v>
      </c>
      <c r="E6" t="s">
        <v>41</v>
      </c>
      <c r="F6" t="s">
        <v>41</v>
      </c>
      <c r="H6" t="s">
        <v>56</v>
      </c>
      <c r="I6" t="s">
        <v>149</v>
      </c>
      <c r="K6">
        <v>3</v>
      </c>
      <c r="L6" s="13"/>
      <c r="M6" s="13">
        <v>46022</v>
      </c>
      <c r="N6" s="13">
        <v>46022</v>
      </c>
      <c r="O6" s="13">
        <v>46022</v>
      </c>
      <c r="P6" s="24">
        <v>36011519040.949715</v>
      </c>
      <c r="V6">
        <v>1</v>
      </c>
      <c r="W6" t="s">
        <v>33</v>
      </c>
      <c r="Y6" t="s">
        <v>33</v>
      </c>
      <c r="Z6" t="s">
        <v>34</v>
      </c>
      <c r="AA6">
        <v>1</v>
      </c>
    </row>
    <row r="7" spans="1:31" x14ac:dyDescent="0.35">
      <c r="A7" s="13">
        <v>45930</v>
      </c>
      <c r="B7">
        <v>1</v>
      </c>
      <c r="D7" t="s">
        <v>31</v>
      </c>
      <c r="E7" t="s">
        <v>41</v>
      </c>
      <c r="F7" t="s">
        <v>41</v>
      </c>
      <c r="H7" t="s">
        <v>56</v>
      </c>
      <c r="I7" t="s">
        <v>149</v>
      </c>
      <c r="K7">
        <v>4</v>
      </c>
      <c r="L7" s="13"/>
      <c r="M7" s="13">
        <v>46053</v>
      </c>
      <c r="N7" s="13">
        <v>46053</v>
      </c>
      <c r="O7" s="13">
        <v>46053</v>
      </c>
      <c r="P7" s="24">
        <v>36011519040.949715</v>
      </c>
      <c r="V7">
        <v>1</v>
      </c>
      <c r="W7" t="s">
        <v>33</v>
      </c>
      <c r="Y7" t="s">
        <v>33</v>
      </c>
      <c r="Z7" t="s">
        <v>34</v>
      </c>
      <c r="AA7">
        <v>1</v>
      </c>
    </row>
    <row r="8" spans="1:31" x14ac:dyDescent="0.35">
      <c r="A8" s="13">
        <v>45930</v>
      </c>
      <c r="B8">
        <v>1</v>
      </c>
      <c r="D8" t="s">
        <v>31</v>
      </c>
      <c r="E8" t="s">
        <v>41</v>
      </c>
      <c r="F8" t="s">
        <v>41</v>
      </c>
      <c r="H8" t="s">
        <v>56</v>
      </c>
      <c r="I8" t="s">
        <v>149</v>
      </c>
      <c r="K8">
        <v>5</v>
      </c>
      <c r="L8" s="13"/>
      <c r="M8" s="13">
        <v>46081</v>
      </c>
      <c r="N8" s="13">
        <v>46081</v>
      </c>
      <c r="O8" s="13">
        <v>46081</v>
      </c>
      <c r="P8" s="24">
        <v>36011519040.949715</v>
      </c>
      <c r="V8">
        <v>1</v>
      </c>
      <c r="W8" t="s">
        <v>33</v>
      </c>
      <c r="Y8" t="s">
        <v>33</v>
      </c>
      <c r="Z8" t="s">
        <v>34</v>
      </c>
      <c r="AA8">
        <v>1</v>
      </c>
    </row>
    <row r="9" spans="1:31" x14ac:dyDescent="0.35">
      <c r="A9" s="13">
        <v>45930</v>
      </c>
      <c r="B9">
        <v>1</v>
      </c>
      <c r="D9" t="s">
        <v>31</v>
      </c>
      <c r="E9" t="s">
        <v>41</v>
      </c>
      <c r="F9" t="s">
        <v>41</v>
      </c>
      <c r="H9" t="s">
        <v>56</v>
      </c>
      <c r="I9" t="s">
        <v>149</v>
      </c>
      <c r="K9">
        <v>6</v>
      </c>
      <c r="L9" s="13"/>
      <c r="M9" s="13">
        <v>46112</v>
      </c>
      <c r="N9" s="13">
        <v>46112</v>
      </c>
      <c r="O9" s="13">
        <v>46112</v>
      </c>
      <c r="P9" s="24">
        <v>36011519040.949715</v>
      </c>
      <c r="V9">
        <v>1</v>
      </c>
      <c r="W9" t="s">
        <v>33</v>
      </c>
      <c r="Y9" t="s">
        <v>33</v>
      </c>
      <c r="Z9" t="s">
        <v>34</v>
      </c>
      <c r="AA9">
        <v>1</v>
      </c>
    </row>
    <row r="10" spans="1:31" x14ac:dyDescent="0.35">
      <c r="A10" s="13">
        <v>45930</v>
      </c>
      <c r="B10">
        <v>1</v>
      </c>
      <c r="D10" t="s">
        <v>31</v>
      </c>
      <c r="E10" t="s">
        <v>41</v>
      </c>
      <c r="F10" t="s">
        <v>41</v>
      </c>
      <c r="H10" t="s">
        <v>56</v>
      </c>
      <c r="I10" t="s">
        <v>149</v>
      </c>
      <c r="K10">
        <v>7</v>
      </c>
      <c r="L10" s="13"/>
      <c r="M10" s="13">
        <v>46142</v>
      </c>
      <c r="N10" s="13">
        <v>46142</v>
      </c>
      <c r="O10" s="13">
        <v>46142</v>
      </c>
      <c r="P10" s="24">
        <v>36011519040.949715</v>
      </c>
      <c r="V10">
        <v>1</v>
      </c>
      <c r="W10" t="s">
        <v>33</v>
      </c>
      <c r="Y10" t="s">
        <v>33</v>
      </c>
      <c r="Z10" t="s">
        <v>34</v>
      </c>
      <c r="AA10">
        <v>1</v>
      </c>
    </row>
    <row r="11" spans="1:31" x14ac:dyDescent="0.35">
      <c r="A11" s="13">
        <v>45930</v>
      </c>
      <c r="B11">
        <v>1</v>
      </c>
      <c r="D11" t="s">
        <v>31</v>
      </c>
      <c r="E11" t="s">
        <v>41</v>
      </c>
      <c r="F11" t="s">
        <v>41</v>
      </c>
      <c r="H11" t="s">
        <v>56</v>
      </c>
      <c r="I11" t="s">
        <v>149</v>
      </c>
      <c r="K11">
        <v>8</v>
      </c>
      <c r="L11" s="13"/>
      <c r="M11" s="13">
        <v>46173</v>
      </c>
      <c r="N11" s="13">
        <v>46173</v>
      </c>
      <c r="O11" s="13">
        <v>46173</v>
      </c>
      <c r="P11" s="24">
        <v>36011519040.949715</v>
      </c>
      <c r="V11">
        <v>1</v>
      </c>
      <c r="W11" t="s">
        <v>33</v>
      </c>
      <c r="Y11" t="s">
        <v>33</v>
      </c>
      <c r="Z11" t="s">
        <v>34</v>
      </c>
      <c r="AA11">
        <v>1</v>
      </c>
    </row>
    <row r="12" spans="1:31" x14ac:dyDescent="0.35">
      <c r="A12" s="13">
        <v>45930</v>
      </c>
      <c r="B12">
        <v>1</v>
      </c>
      <c r="D12" t="s">
        <v>31</v>
      </c>
      <c r="E12" t="s">
        <v>41</v>
      </c>
      <c r="F12" t="s">
        <v>41</v>
      </c>
      <c r="H12" t="s">
        <v>56</v>
      </c>
      <c r="I12" t="s">
        <v>149</v>
      </c>
      <c r="K12">
        <v>9</v>
      </c>
      <c r="L12" s="13"/>
      <c r="M12" s="13">
        <v>46203</v>
      </c>
      <c r="N12" s="13">
        <v>46203</v>
      </c>
      <c r="O12" s="13">
        <v>46203</v>
      </c>
      <c r="P12" s="24">
        <v>36011519040.949715</v>
      </c>
      <c r="V12">
        <v>1</v>
      </c>
      <c r="W12" t="s">
        <v>33</v>
      </c>
      <c r="Y12" t="s">
        <v>33</v>
      </c>
      <c r="Z12" t="s">
        <v>34</v>
      </c>
      <c r="AA12">
        <v>1</v>
      </c>
    </row>
    <row r="13" spans="1:31" x14ac:dyDescent="0.35">
      <c r="A13" s="13">
        <v>45930</v>
      </c>
      <c r="B13">
        <v>1</v>
      </c>
      <c r="D13" t="s">
        <v>31</v>
      </c>
      <c r="E13" t="s">
        <v>41</v>
      </c>
      <c r="F13" t="s">
        <v>41</v>
      </c>
      <c r="H13" t="s">
        <v>56</v>
      </c>
      <c r="I13" t="s">
        <v>149</v>
      </c>
      <c r="K13">
        <v>10</v>
      </c>
      <c r="L13" s="13"/>
      <c r="M13" s="13">
        <v>46234</v>
      </c>
      <c r="N13" s="13">
        <v>46234</v>
      </c>
      <c r="O13" s="13">
        <v>46234</v>
      </c>
      <c r="P13" s="24">
        <v>36011519040.949715</v>
      </c>
      <c r="V13">
        <v>1</v>
      </c>
      <c r="W13" t="s">
        <v>33</v>
      </c>
      <c r="Y13" t="s">
        <v>33</v>
      </c>
      <c r="Z13" t="s">
        <v>34</v>
      </c>
      <c r="AA13">
        <v>1</v>
      </c>
    </row>
    <row r="14" spans="1:31" x14ac:dyDescent="0.35">
      <c r="A14" s="13">
        <v>45930</v>
      </c>
      <c r="B14">
        <v>1</v>
      </c>
      <c r="D14" t="s">
        <v>31</v>
      </c>
      <c r="E14" t="s">
        <v>41</v>
      </c>
      <c r="F14" t="s">
        <v>41</v>
      </c>
      <c r="H14" t="s">
        <v>56</v>
      </c>
      <c r="I14" t="s">
        <v>149</v>
      </c>
      <c r="K14">
        <v>11</v>
      </c>
      <c r="L14" s="13"/>
      <c r="M14" s="13">
        <v>46265</v>
      </c>
      <c r="N14" s="13">
        <v>46265</v>
      </c>
      <c r="O14" s="13">
        <v>46265</v>
      </c>
      <c r="P14" s="24">
        <v>36011519040.949715</v>
      </c>
      <c r="V14">
        <v>1</v>
      </c>
      <c r="W14" t="s">
        <v>33</v>
      </c>
      <c r="Y14" t="s">
        <v>33</v>
      </c>
      <c r="Z14" t="s">
        <v>34</v>
      </c>
      <c r="AA14">
        <v>1</v>
      </c>
    </row>
    <row r="15" spans="1:31" x14ac:dyDescent="0.35">
      <c r="A15" s="13">
        <v>45930</v>
      </c>
      <c r="B15">
        <v>1</v>
      </c>
      <c r="D15" t="s">
        <v>31</v>
      </c>
      <c r="E15" t="s">
        <v>41</v>
      </c>
      <c r="F15" t="s">
        <v>41</v>
      </c>
      <c r="H15" t="s">
        <v>56</v>
      </c>
      <c r="I15" t="s">
        <v>149</v>
      </c>
      <c r="K15">
        <v>12</v>
      </c>
      <c r="L15" s="13"/>
      <c r="M15" s="13">
        <v>46295</v>
      </c>
      <c r="N15" s="13">
        <v>46295</v>
      </c>
      <c r="O15" s="13">
        <v>46295</v>
      </c>
      <c r="P15" s="24">
        <v>36011519040.949715</v>
      </c>
      <c r="V15">
        <v>1</v>
      </c>
      <c r="W15" t="s">
        <v>33</v>
      </c>
      <c r="Y15" t="s">
        <v>33</v>
      </c>
      <c r="Z15" t="s">
        <v>34</v>
      </c>
      <c r="AA15">
        <v>1</v>
      </c>
    </row>
    <row r="16" spans="1:31" x14ac:dyDescent="0.35">
      <c r="A16" s="13">
        <v>45930</v>
      </c>
      <c r="B16">
        <v>1</v>
      </c>
      <c r="D16" t="s">
        <v>31</v>
      </c>
      <c r="E16" t="s">
        <v>41</v>
      </c>
      <c r="F16" t="s">
        <v>41</v>
      </c>
      <c r="H16" t="s">
        <v>56</v>
      </c>
      <c r="I16" t="s">
        <v>149</v>
      </c>
      <c r="K16">
        <v>13</v>
      </c>
      <c r="L16" s="13"/>
      <c r="M16" s="13">
        <v>46326</v>
      </c>
      <c r="N16" s="13">
        <v>46326</v>
      </c>
      <c r="O16" s="13">
        <v>46326</v>
      </c>
      <c r="P16" s="24">
        <v>36011519040.949715</v>
      </c>
      <c r="V16">
        <v>1</v>
      </c>
      <c r="W16" t="s">
        <v>33</v>
      </c>
      <c r="Y16" t="s">
        <v>33</v>
      </c>
      <c r="Z16" t="s">
        <v>34</v>
      </c>
      <c r="AA16">
        <v>1</v>
      </c>
    </row>
    <row r="17" spans="1:27" x14ac:dyDescent="0.35">
      <c r="A17" s="13">
        <v>45930</v>
      </c>
      <c r="B17">
        <v>1</v>
      </c>
      <c r="D17" t="s">
        <v>31</v>
      </c>
      <c r="E17" t="s">
        <v>41</v>
      </c>
      <c r="F17" t="s">
        <v>41</v>
      </c>
      <c r="H17" t="s">
        <v>56</v>
      </c>
      <c r="I17" t="s">
        <v>149</v>
      </c>
      <c r="K17">
        <v>14</v>
      </c>
      <c r="L17" s="13"/>
      <c r="M17" s="13">
        <v>46356</v>
      </c>
      <c r="N17" s="13">
        <v>46356</v>
      </c>
      <c r="O17" s="13">
        <v>46356</v>
      </c>
      <c r="P17" s="24">
        <v>36011519040.949715</v>
      </c>
      <c r="V17">
        <v>1</v>
      </c>
      <c r="W17" t="s">
        <v>33</v>
      </c>
      <c r="Y17" t="s">
        <v>33</v>
      </c>
      <c r="Z17" t="s">
        <v>34</v>
      </c>
      <c r="AA17">
        <v>1</v>
      </c>
    </row>
    <row r="18" spans="1:27" x14ac:dyDescent="0.35">
      <c r="A18" s="13">
        <v>45930</v>
      </c>
      <c r="B18">
        <v>1</v>
      </c>
      <c r="D18" t="s">
        <v>31</v>
      </c>
      <c r="E18" t="s">
        <v>41</v>
      </c>
      <c r="F18" t="s">
        <v>41</v>
      </c>
      <c r="H18" t="s">
        <v>56</v>
      </c>
      <c r="I18" t="s">
        <v>149</v>
      </c>
      <c r="K18">
        <v>15</v>
      </c>
      <c r="L18" s="13"/>
      <c r="M18" s="13">
        <v>46387</v>
      </c>
      <c r="N18" s="13">
        <v>46387</v>
      </c>
      <c r="O18" s="13">
        <v>46387</v>
      </c>
      <c r="P18" s="24">
        <v>36011519040.949715</v>
      </c>
      <c r="V18">
        <v>1</v>
      </c>
      <c r="W18" t="s">
        <v>33</v>
      </c>
      <c r="Y18" t="s">
        <v>33</v>
      </c>
      <c r="Z18" t="s">
        <v>34</v>
      </c>
      <c r="AA18">
        <v>1</v>
      </c>
    </row>
    <row r="19" spans="1:27" x14ac:dyDescent="0.35">
      <c r="A19" s="13">
        <v>45930</v>
      </c>
      <c r="B19">
        <v>1</v>
      </c>
      <c r="D19" t="s">
        <v>31</v>
      </c>
      <c r="E19" t="s">
        <v>41</v>
      </c>
      <c r="F19" t="s">
        <v>41</v>
      </c>
      <c r="H19" t="s">
        <v>56</v>
      </c>
      <c r="I19" t="s">
        <v>149</v>
      </c>
      <c r="K19">
        <v>16</v>
      </c>
      <c r="L19" s="13"/>
      <c r="M19" s="13">
        <v>46418</v>
      </c>
      <c r="N19" s="13">
        <v>46418</v>
      </c>
      <c r="O19" s="13">
        <v>46418</v>
      </c>
      <c r="P19" s="24">
        <v>36011519040.949715</v>
      </c>
      <c r="V19">
        <v>1</v>
      </c>
      <c r="W19" t="s">
        <v>33</v>
      </c>
      <c r="Y19" t="s">
        <v>33</v>
      </c>
      <c r="Z19" t="s">
        <v>34</v>
      </c>
      <c r="AA19">
        <v>1</v>
      </c>
    </row>
    <row r="20" spans="1:27" x14ac:dyDescent="0.35">
      <c r="A20" s="13">
        <v>45930</v>
      </c>
      <c r="B20">
        <v>1</v>
      </c>
      <c r="D20" t="s">
        <v>31</v>
      </c>
      <c r="E20" t="s">
        <v>41</v>
      </c>
      <c r="F20" t="s">
        <v>41</v>
      </c>
      <c r="H20" t="s">
        <v>56</v>
      </c>
      <c r="I20" t="s">
        <v>149</v>
      </c>
      <c r="K20">
        <v>17</v>
      </c>
      <c r="L20" s="13"/>
      <c r="M20" s="13">
        <v>46446</v>
      </c>
      <c r="N20" s="13">
        <v>46446</v>
      </c>
      <c r="O20" s="13">
        <v>46446</v>
      </c>
      <c r="P20" s="24">
        <v>36011519040.949715</v>
      </c>
      <c r="V20">
        <v>1</v>
      </c>
      <c r="W20" t="s">
        <v>33</v>
      </c>
      <c r="Y20" t="s">
        <v>33</v>
      </c>
      <c r="Z20" t="s">
        <v>34</v>
      </c>
      <c r="AA20">
        <v>1</v>
      </c>
    </row>
    <row r="21" spans="1:27" x14ac:dyDescent="0.35">
      <c r="A21" s="13">
        <v>45930</v>
      </c>
      <c r="B21">
        <v>1</v>
      </c>
      <c r="D21" t="s">
        <v>31</v>
      </c>
      <c r="E21" t="s">
        <v>41</v>
      </c>
      <c r="F21" t="s">
        <v>41</v>
      </c>
      <c r="H21" t="s">
        <v>56</v>
      </c>
      <c r="I21" t="s">
        <v>149</v>
      </c>
      <c r="K21">
        <v>18</v>
      </c>
      <c r="L21" s="13"/>
      <c r="M21" s="13">
        <v>46477</v>
      </c>
      <c r="N21" s="13">
        <v>46477</v>
      </c>
      <c r="O21" s="13">
        <v>46477</v>
      </c>
      <c r="P21" s="24">
        <v>36011519040.949715</v>
      </c>
      <c r="V21">
        <v>1</v>
      </c>
      <c r="W21" t="s">
        <v>33</v>
      </c>
      <c r="Y21" t="s">
        <v>33</v>
      </c>
      <c r="Z21" t="s">
        <v>34</v>
      </c>
      <c r="AA21">
        <v>1</v>
      </c>
    </row>
    <row r="22" spans="1:27" x14ac:dyDescent="0.35">
      <c r="A22" s="13">
        <v>45930</v>
      </c>
      <c r="B22">
        <v>1</v>
      </c>
      <c r="D22" t="s">
        <v>31</v>
      </c>
      <c r="E22" t="s">
        <v>41</v>
      </c>
      <c r="F22" t="s">
        <v>41</v>
      </c>
      <c r="H22" t="s">
        <v>56</v>
      </c>
      <c r="I22" t="s">
        <v>149</v>
      </c>
      <c r="K22">
        <v>19</v>
      </c>
      <c r="L22" s="13"/>
      <c r="M22" s="13">
        <v>46507</v>
      </c>
      <c r="N22" s="13">
        <v>46507</v>
      </c>
      <c r="O22" s="13">
        <v>46507</v>
      </c>
      <c r="P22" s="24">
        <v>36011519040.949715</v>
      </c>
      <c r="V22">
        <v>1</v>
      </c>
      <c r="W22" t="s">
        <v>33</v>
      </c>
      <c r="Y22" t="s">
        <v>33</v>
      </c>
      <c r="Z22" t="s">
        <v>34</v>
      </c>
      <c r="AA22">
        <v>1</v>
      </c>
    </row>
    <row r="23" spans="1:27" x14ac:dyDescent="0.35">
      <c r="A23" s="13">
        <v>45930</v>
      </c>
      <c r="B23">
        <v>1</v>
      </c>
      <c r="D23" t="s">
        <v>31</v>
      </c>
      <c r="E23" t="s">
        <v>41</v>
      </c>
      <c r="F23" t="s">
        <v>41</v>
      </c>
      <c r="H23" t="s">
        <v>56</v>
      </c>
      <c r="I23" t="s">
        <v>149</v>
      </c>
      <c r="K23">
        <v>20</v>
      </c>
      <c r="L23" s="13"/>
      <c r="M23" s="13">
        <v>46538</v>
      </c>
      <c r="N23" s="13">
        <v>46538</v>
      </c>
      <c r="O23" s="13">
        <v>46538</v>
      </c>
      <c r="P23" s="24">
        <v>36011519040.949715</v>
      </c>
      <c r="V23">
        <v>1</v>
      </c>
      <c r="W23" t="s">
        <v>33</v>
      </c>
      <c r="Y23" t="s">
        <v>33</v>
      </c>
      <c r="Z23" t="s">
        <v>34</v>
      </c>
      <c r="AA23">
        <v>1</v>
      </c>
    </row>
    <row r="24" spans="1:27" x14ac:dyDescent="0.35">
      <c r="A24" s="13">
        <v>45930</v>
      </c>
      <c r="B24">
        <v>1</v>
      </c>
      <c r="D24" t="s">
        <v>31</v>
      </c>
      <c r="E24" t="s">
        <v>41</v>
      </c>
      <c r="F24" t="s">
        <v>41</v>
      </c>
      <c r="H24" t="s">
        <v>56</v>
      </c>
      <c r="I24" t="s">
        <v>149</v>
      </c>
      <c r="K24">
        <v>21</v>
      </c>
      <c r="L24" s="13"/>
      <c r="M24" s="13">
        <v>46568</v>
      </c>
      <c r="N24" s="13">
        <v>46568</v>
      </c>
      <c r="O24" s="13">
        <v>46568</v>
      </c>
      <c r="P24" s="24">
        <v>36011519040.949715</v>
      </c>
      <c r="V24">
        <v>1</v>
      </c>
      <c r="W24" t="s">
        <v>33</v>
      </c>
      <c r="Y24" t="s">
        <v>33</v>
      </c>
      <c r="Z24" t="s">
        <v>34</v>
      </c>
      <c r="AA24">
        <v>1</v>
      </c>
    </row>
    <row r="25" spans="1:27" x14ac:dyDescent="0.35">
      <c r="A25" s="13">
        <v>45930</v>
      </c>
      <c r="B25">
        <v>1</v>
      </c>
      <c r="D25" t="s">
        <v>31</v>
      </c>
      <c r="E25" t="s">
        <v>41</v>
      </c>
      <c r="F25" t="s">
        <v>41</v>
      </c>
      <c r="H25" t="s">
        <v>56</v>
      </c>
      <c r="I25" t="s">
        <v>149</v>
      </c>
      <c r="K25">
        <v>22</v>
      </c>
      <c r="L25" s="13"/>
      <c r="M25" s="13">
        <v>46599</v>
      </c>
      <c r="N25" s="13">
        <v>46599</v>
      </c>
      <c r="O25" s="13">
        <v>46599</v>
      </c>
      <c r="P25" s="24">
        <v>36011519040.949715</v>
      </c>
      <c r="V25">
        <v>1</v>
      </c>
      <c r="W25" t="s">
        <v>33</v>
      </c>
      <c r="Y25" t="s">
        <v>33</v>
      </c>
      <c r="Z25" t="s">
        <v>34</v>
      </c>
      <c r="AA25">
        <v>1</v>
      </c>
    </row>
    <row r="26" spans="1:27" x14ac:dyDescent="0.35">
      <c r="A26" s="13">
        <v>45930</v>
      </c>
      <c r="B26">
        <v>1</v>
      </c>
      <c r="D26" t="s">
        <v>31</v>
      </c>
      <c r="E26" t="s">
        <v>41</v>
      </c>
      <c r="F26" t="s">
        <v>41</v>
      </c>
      <c r="H26" t="s">
        <v>56</v>
      </c>
      <c r="I26" t="s">
        <v>149</v>
      </c>
      <c r="K26">
        <v>23</v>
      </c>
      <c r="L26" s="13"/>
      <c r="M26" s="13">
        <v>46630</v>
      </c>
      <c r="N26" s="13">
        <v>46630</v>
      </c>
      <c r="O26" s="13">
        <v>46630</v>
      </c>
      <c r="P26" s="24">
        <v>36011519040.949715</v>
      </c>
      <c r="V26">
        <v>1</v>
      </c>
      <c r="W26" t="s">
        <v>33</v>
      </c>
      <c r="Y26" t="s">
        <v>33</v>
      </c>
      <c r="Z26" t="s">
        <v>34</v>
      </c>
      <c r="AA26">
        <v>1</v>
      </c>
    </row>
    <row r="27" spans="1:27" x14ac:dyDescent="0.35">
      <c r="A27" s="13">
        <v>45930</v>
      </c>
      <c r="B27">
        <v>1</v>
      </c>
      <c r="D27" t="s">
        <v>31</v>
      </c>
      <c r="E27" t="s">
        <v>41</v>
      </c>
      <c r="F27" t="s">
        <v>41</v>
      </c>
      <c r="H27" t="s">
        <v>56</v>
      </c>
      <c r="I27" t="s">
        <v>149</v>
      </c>
      <c r="K27">
        <v>24</v>
      </c>
      <c r="L27" s="13"/>
      <c r="M27" s="13">
        <v>46660</v>
      </c>
      <c r="N27" s="13">
        <v>46660</v>
      </c>
      <c r="O27" s="13">
        <v>46660</v>
      </c>
      <c r="P27" s="24">
        <v>36011519040.949715</v>
      </c>
      <c r="V27">
        <v>1</v>
      </c>
      <c r="W27" t="s">
        <v>33</v>
      </c>
      <c r="Y27" t="s">
        <v>33</v>
      </c>
      <c r="Z27" t="s">
        <v>34</v>
      </c>
      <c r="AA27">
        <v>1</v>
      </c>
    </row>
    <row r="28" spans="1:27" x14ac:dyDescent="0.35">
      <c r="A28" s="13">
        <v>45930</v>
      </c>
      <c r="B28">
        <v>1</v>
      </c>
      <c r="D28" t="s">
        <v>31</v>
      </c>
      <c r="E28" t="s">
        <v>41</v>
      </c>
      <c r="F28" t="s">
        <v>41</v>
      </c>
      <c r="H28" t="s">
        <v>56</v>
      </c>
      <c r="I28" t="s">
        <v>149</v>
      </c>
      <c r="K28">
        <v>25</v>
      </c>
      <c r="L28" s="13"/>
      <c r="M28" s="13">
        <v>46691</v>
      </c>
      <c r="N28" s="13">
        <v>46691</v>
      </c>
      <c r="O28" s="13">
        <v>46691</v>
      </c>
      <c r="P28" s="24">
        <v>36011519040.949715</v>
      </c>
      <c r="V28">
        <v>1</v>
      </c>
      <c r="W28" t="s">
        <v>33</v>
      </c>
      <c r="Y28" t="s">
        <v>33</v>
      </c>
      <c r="Z28" t="s">
        <v>34</v>
      </c>
      <c r="AA28">
        <v>1</v>
      </c>
    </row>
    <row r="29" spans="1:27" x14ac:dyDescent="0.35">
      <c r="A29" s="13">
        <v>45930</v>
      </c>
      <c r="B29">
        <v>1</v>
      </c>
      <c r="D29" t="s">
        <v>31</v>
      </c>
      <c r="E29" t="s">
        <v>41</v>
      </c>
      <c r="F29" t="s">
        <v>41</v>
      </c>
      <c r="H29" t="s">
        <v>56</v>
      </c>
      <c r="I29" t="s">
        <v>149</v>
      </c>
      <c r="K29">
        <v>26</v>
      </c>
      <c r="L29" s="13"/>
      <c r="M29" s="13">
        <v>46721</v>
      </c>
      <c r="N29" s="13">
        <v>46721</v>
      </c>
      <c r="O29" s="13">
        <v>46721</v>
      </c>
      <c r="P29" s="24">
        <v>36011519040.949715</v>
      </c>
      <c r="V29">
        <v>1</v>
      </c>
      <c r="W29" t="s">
        <v>33</v>
      </c>
      <c r="Y29" t="s">
        <v>33</v>
      </c>
      <c r="Z29" t="s">
        <v>34</v>
      </c>
      <c r="AA29">
        <v>1</v>
      </c>
    </row>
    <row r="30" spans="1:27" x14ac:dyDescent="0.35">
      <c r="A30" s="13">
        <v>45930</v>
      </c>
      <c r="B30">
        <v>1</v>
      </c>
      <c r="D30" t="s">
        <v>31</v>
      </c>
      <c r="E30" t="s">
        <v>41</v>
      </c>
      <c r="F30" t="s">
        <v>41</v>
      </c>
      <c r="H30" t="s">
        <v>56</v>
      </c>
      <c r="I30" t="s">
        <v>149</v>
      </c>
      <c r="K30">
        <v>27</v>
      </c>
      <c r="L30" s="13"/>
      <c r="M30" s="13">
        <v>46752</v>
      </c>
      <c r="N30" s="13">
        <v>46752</v>
      </c>
      <c r="O30" s="13">
        <v>46752</v>
      </c>
      <c r="P30" s="24">
        <v>36011519040.949715</v>
      </c>
      <c r="V30">
        <v>1</v>
      </c>
      <c r="W30" t="s">
        <v>33</v>
      </c>
      <c r="Y30" t="s">
        <v>33</v>
      </c>
      <c r="Z30" t="s">
        <v>34</v>
      </c>
      <c r="AA30">
        <v>1</v>
      </c>
    </row>
    <row r="31" spans="1:27" x14ac:dyDescent="0.35">
      <c r="A31" s="13">
        <v>45930</v>
      </c>
      <c r="B31">
        <v>1</v>
      </c>
      <c r="D31" t="s">
        <v>31</v>
      </c>
      <c r="E31" t="s">
        <v>41</v>
      </c>
      <c r="F31" t="s">
        <v>41</v>
      </c>
      <c r="H31" t="s">
        <v>56</v>
      </c>
      <c r="I31" t="s">
        <v>149</v>
      </c>
      <c r="K31">
        <v>28</v>
      </c>
      <c r="L31" s="13"/>
      <c r="M31" s="13">
        <v>46783</v>
      </c>
      <c r="N31" s="13">
        <v>46783</v>
      </c>
      <c r="O31" s="13">
        <v>46783</v>
      </c>
      <c r="P31" s="24">
        <v>36011519040.949715</v>
      </c>
      <c r="V31">
        <v>1</v>
      </c>
      <c r="W31" t="s">
        <v>33</v>
      </c>
      <c r="Y31" t="s">
        <v>33</v>
      </c>
      <c r="Z31" t="s">
        <v>34</v>
      </c>
      <c r="AA31">
        <v>1</v>
      </c>
    </row>
    <row r="32" spans="1:27" x14ac:dyDescent="0.35">
      <c r="A32" s="13">
        <v>45930</v>
      </c>
      <c r="B32">
        <v>1</v>
      </c>
      <c r="D32" t="s">
        <v>31</v>
      </c>
      <c r="E32" t="s">
        <v>41</v>
      </c>
      <c r="F32" t="s">
        <v>41</v>
      </c>
      <c r="H32" t="s">
        <v>56</v>
      </c>
      <c r="I32" t="s">
        <v>149</v>
      </c>
      <c r="K32">
        <v>29</v>
      </c>
      <c r="L32" s="13"/>
      <c r="M32" s="13">
        <v>46812</v>
      </c>
      <c r="N32" s="13">
        <v>46812</v>
      </c>
      <c r="O32" s="13">
        <v>46812</v>
      </c>
      <c r="P32" s="24">
        <v>36011519040.949715</v>
      </c>
      <c r="V32">
        <v>1</v>
      </c>
      <c r="W32" t="s">
        <v>33</v>
      </c>
      <c r="Y32" t="s">
        <v>33</v>
      </c>
      <c r="Z32" t="s">
        <v>34</v>
      </c>
      <c r="AA32">
        <v>1</v>
      </c>
    </row>
    <row r="33" spans="1:27" x14ac:dyDescent="0.35">
      <c r="A33" s="13">
        <v>45930</v>
      </c>
      <c r="B33">
        <v>1</v>
      </c>
      <c r="D33" t="s">
        <v>31</v>
      </c>
      <c r="E33" t="s">
        <v>41</v>
      </c>
      <c r="F33" t="s">
        <v>41</v>
      </c>
      <c r="H33" t="s">
        <v>56</v>
      </c>
      <c r="I33" t="s">
        <v>149</v>
      </c>
      <c r="K33">
        <v>30</v>
      </c>
      <c r="L33" s="13"/>
      <c r="M33" s="13">
        <v>46843</v>
      </c>
      <c r="N33" s="13">
        <v>46843</v>
      </c>
      <c r="O33" s="13">
        <v>46843</v>
      </c>
      <c r="P33" s="24">
        <v>36011519040.949715</v>
      </c>
      <c r="V33">
        <v>1</v>
      </c>
      <c r="W33" t="s">
        <v>33</v>
      </c>
      <c r="Y33" t="s">
        <v>33</v>
      </c>
      <c r="Z33" t="s">
        <v>34</v>
      </c>
      <c r="AA33">
        <v>1</v>
      </c>
    </row>
    <row r="34" spans="1:27" x14ac:dyDescent="0.35">
      <c r="A34" s="13">
        <v>45930</v>
      </c>
      <c r="B34">
        <v>1</v>
      </c>
      <c r="D34" t="s">
        <v>31</v>
      </c>
      <c r="E34" t="s">
        <v>41</v>
      </c>
      <c r="F34" t="s">
        <v>41</v>
      </c>
      <c r="H34" t="s">
        <v>56</v>
      </c>
      <c r="I34" t="s">
        <v>149</v>
      </c>
      <c r="K34">
        <v>31</v>
      </c>
      <c r="L34" s="13"/>
      <c r="M34" s="13">
        <v>46873</v>
      </c>
      <c r="N34" s="13">
        <v>46873</v>
      </c>
      <c r="O34" s="13">
        <v>46873</v>
      </c>
      <c r="P34" s="24">
        <v>36011519040.949715</v>
      </c>
      <c r="V34">
        <v>1</v>
      </c>
      <c r="W34" t="s">
        <v>33</v>
      </c>
      <c r="Y34" t="s">
        <v>33</v>
      </c>
      <c r="Z34" t="s">
        <v>34</v>
      </c>
      <c r="AA34">
        <v>1</v>
      </c>
    </row>
    <row r="35" spans="1:27" x14ac:dyDescent="0.35">
      <c r="A35" s="13">
        <v>45930</v>
      </c>
      <c r="B35">
        <v>1</v>
      </c>
      <c r="D35" t="s">
        <v>31</v>
      </c>
      <c r="E35" t="s">
        <v>41</v>
      </c>
      <c r="F35" t="s">
        <v>41</v>
      </c>
      <c r="H35" t="s">
        <v>56</v>
      </c>
      <c r="I35" t="s">
        <v>149</v>
      </c>
      <c r="K35">
        <v>32</v>
      </c>
      <c r="L35" s="13"/>
      <c r="M35" s="13">
        <v>46904</v>
      </c>
      <c r="N35" s="13">
        <v>46904</v>
      </c>
      <c r="O35" s="13">
        <v>46904</v>
      </c>
      <c r="P35" s="24">
        <v>36011519040.949715</v>
      </c>
      <c r="V35">
        <v>1</v>
      </c>
      <c r="W35" t="s">
        <v>33</v>
      </c>
      <c r="Y35" t="s">
        <v>33</v>
      </c>
      <c r="Z35" t="s">
        <v>34</v>
      </c>
      <c r="AA35">
        <v>1</v>
      </c>
    </row>
    <row r="36" spans="1:27" x14ac:dyDescent="0.35">
      <c r="A36" s="13">
        <v>45930</v>
      </c>
      <c r="B36">
        <v>1</v>
      </c>
      <c r="D36" t="s">
        <v>31</v>
      </c>
      <c r="E36" t="s">
        <v>41</v>
      </c>
      <c r="F36" t="s">
        <v>41</v>
      </c>
      <c r="H36" t="s">
        <v>56</v>
      </c>
      <c r="I36" t="s">
        <v>149</v>
      </c>
      <c r="K36">
        <v>33</v>
      </c>
      <c r="L36" s="13"/>
      <c r="M36" s="13">
        <v>46934</v>
      </c>
      <c r="N36" s="13">
        <v>46934</v>
      </c>
      <c r="O36" s="13">
        <v>46934</v>
      </c>
      <c r="P36" s="24">
        <v>3459166099.7732425</v>
      </c>
      <c r="V36">
        <v>1</v>
      </c>
      <c r="W36" t="s">
        <v>33</v>
      </c>
      <c r="Y36" t="s">
        <v>33</v>
      </c>
      <c r="Z36" t="s">
        <v>34</v>
      </c>
      <c r="AA36">
        <v>1</v>
      </c>
    </row>
    <row r="37" spans="1:27" x14ac:dyDescent="0.35">
      <c r="A37" s="13">
        <v>45930</v>
      </c>
      <c r="B37">
        <v>1</v>
      </c>
      <c r="D37" t="s">
        <v>31</v>
      </c>
      <c r="E37" t="s">
        <v>41</v>
      </c>
      <c r="F37" t="s">
        <v>41</v>
      </c>
      <c r="H37" t="s">
        <v>56</v>
      </c>
      <c r="I37" t="s">
        <v>149</v>
      </c>
      <c r="K37">
        <v>34</v>
      </c>
      <c r="L37" s="13"/>
      <c r="M37" s="13">
        <v>46965</v>
      </c>
      <c r="N37" s="13">
        <v>46965</v>
      </c>
      <c r="O37" s="13">
        <v>46965</v>
      </c>
      <c r="P37" s="24">
        <v>3459166099.7732425</v>
      </c>
      <c r="V37">
        <v>1</v>
      </c>
      <c r="W37" t="s">
        <v>33</v>
      </c>
      <c r="Y37" t="s">
        <v>33</v>
      </c>
      <c r="Z37" t="s">
        <v>34</v>
      </c>
      <c r="AA37">
        <v>1</v>
      </c>
    </row>
    <row r="38" spans="1:27" x14ac:dyDescent="0.35">
      <c r="A38" s="13">
        <v>45930</v>
      </c>
      <c r="B38">
        <v>1</v>
      </c>
      <c r="D38" t="s">
        <v>31</v>
      </c>
      <c r="E38" t="s">
        <v>41</v>
      </c>
      <c r="F38" t="s">
        <v>41</v>
      </c>
      <c r="H38" t="s">
        <v>56</v>
      </c>
      <c r="I38" t="s">
        <v>149</v>
      </c>
      <c r="K38">
        <v>35</v>
      </c>
      <c r="L38" s="13"/>
      <c r="M38" s="13">
        <v>45961</v>
      </c>
      <c r="N38" s="13">
        <v>45961</v>
      </c>
      <c r="O38" s="13">
        <v>45961</v>
      </c>
      <c r="P38" s="24">
        <v>3459166099.7732425</v>
      </c>
      <c r="V38">
        <v>1</v>
      </c>
      <c r="W38" t="s">
        <v>33</v>
      </c>
      <c r="Y38" t="s">
        <v>33</v>
      </c>
      <c r="Z38" t="s">
        <v>34</v>
      </c>
      <c r="AA38">
        <v>1</v>
      </c>
    </row>
    <row r="39" spans="1:27" x14ac:dyDescent="0.35">
      <c r="A39" s="13">
        <v>45930</v>
      </c>
      <c r="B39">
        <v>1</v>
      </c>
      <c r="D39" t="s">
        <v>31</v>
      </c>
      <c r="E39" t="s">
        <v>41</v>
      </c>
      <c r="F39" t="s">
        <v>41</v>
      </c>
      <c r="H39" t="s">
        <v>56</v>
      </c>
      <c r="I39" t="s">
        <v>149</v>
      </c>
      <c r="K39">
        <v>36</v>
      </c>
      <c r="L39" s="13"/>
      <c r="M39" s="13">
        <v>45991</v>
      </c>
      <c r="N39" s="13">
        <v>45991</v>
      </c>
      <c r="O39" s="13">
        <v>45991</v>
      </c>
      <c r="P39" s="24">
        <v>3459166099.7732425</v>
      </c>
      <c r="V39">
        <v>1</v>
      </c>
      <c r="W39" t="s">
        <v>33</v>
      </c>
      <c r="Y39" t="s">
        <v>33</v>
      </c>
      <c r="Z39" t="s">
        <v>34</v>
      </c>
      <c r="AA39">
        <v>1</v>
      </c>
    </row>
    <row r="40" spans="1:27" x14ac:dyDescent="0.35">
      <c r="A40" s="13">
        <v>45930</v>
      </c>
      <c r="B40">
        <v>1</v>
      </c>
      <c r="D40" t="s">
        <v>31</v>
      </c>
      <c r="E40" t="s">
        <v>41</v>
      </c>
      <c r="F40" t="s">
        <v>41</v>
      </c>
      <c r="H40" t="s">
        <v>56</v>
      </c>
      <c r="I40" t="s">
        <v>149</v>
      </c>
      <c r="K40">
        <v>37</v>
      </c>
      <c r="L40" s="13"/>
      <c r="M40" s="13">
        <v>46022</v>
      </c>
      <c r="N40" s="13">
        <v>46022</v>
      </c>
      <c r="O40" s="13">
        <v>46022</v>
      </c>
      <c r="P40" s="24">
        <v>3459166099.7732425</v>
      </c>
      <c r="V40">
        <v>1</v>
      </c>
      <c r="W40" t="s">
        <v>33</v>
      </c>
      <c r="Y40" t="s">
        <v>33</v>
      </c>
      <c r="Z40" t="s">
        <v>34</v>
      </c>
      <c r="AA40">
        <v>1</v>
      </c>
    </row>
    <row r="41" spans="1:27" x14ac:dyDescent="0.35">
      <c r="A41" s="13">
        <v>45930</v>
      </c>
      <c r="B41">
        <v>1</v>
      </c>
      <c r="D41" t="s">
        <v>31</v>
      </c>
      <c r="E41" t="s">
        <v>41</v>
      </c>
      <c r="F41" t="s">
        <v>41</v>
      </c>
      <c r="H41" t="s">
        <v>56</v>
      </c>
      <c r="I41" t="s">
        <v>149</v>
      </c>
      <c r="K41">
        <v>38</v>
      </c>
      <c r="L41" s="13"/>
      <c r="M41" s="13">
        <v>46053</v>
      </c>
      <c r="N41" s="13">
        <v>46053</v>
      </c>
      <c r="O41" s="13">
        <v>46053</v>
      </c>
      <c r="P41" s="24">
        <v>3459166099.7732425</v>
      </c>
      <c r="V41">
        <v>1</v>
      </c>
      <c r="W41" t="s">
        <v>33</v>
      </c>
      <c r="Y41" t="s">
        <v>33</v>
      </c>
      <c r="Z41" t="s">
        <v>34</v>
      </c>
      <c r="AA41">
        <v>1</v>
      </c>
    </row>
    <row r="42" spans="1:27" x14ac:dyDescent="0.35">
      <c r="A42" s="13">
        <v>45930</v>
      </c>
      <c r="B42">
        <v>1</v>
      </c>
      <c r="D42" t="s">
        <v>31</v>
      </c>
      <c r="E42" t="s">
        <v>41</v>
      </c>
      <c r="F42" t="s">
        <v>41</v>
      </c>
      <c r="H42" t="s">
        <v>56</v>
      </c>
      <c r="I42" t="s">
        <v>149</v>
      </c>
      <c r="K42">
        <v>39</v>
      </c>
      <c r="L42" s="13"/>
      <c r="M42" s="13">
        <v>46081</v>
      </c>
      <c r="N42" s="13">
        <v>46081</v>
      </c>
      <c r="O42" s="13">
        <v>46081</v>
      </c>
      <c r="P42" s="24">
        <v>3459166099.7732425</v>
      </c>
      <c r="V42">
        <v>1</v>
      </c>
      <c r="W42" t="s">
        <v>33</v>
      </c>
      <c r="Y42" t="s">
        <v>33</v>
      </c>
      <c r="Z42" t="s">
        <v>34</v>
      </c>
      <c r="AA42">
        <v>1</v>
      </c>
    </row>
    <row r="43" spans="1:27" x14ac:dyDescent="0.35">
      <c r="A43" s="13">
        <v>45930</v>
      </c>
      <c r="B43">
        <v>1</v>
      </c>
      <c r="D43" t="s">
        <v>31</v>
      </c>
      <c r="E43" t="s">
        <v>41</v>
      </c>
      <c r="F43" t="s">
        <v>41</v>
      </c>
      <c r="H43" t="s">
        <v>56</v>
      </c>
      <c r="I43" t="s">
        <v>149</v>
      </c>
      <c r="K43">
        <v>40</v>
      </c>
      <c r="L43" s="13"/>
      <c r="M43" s="13">
        <v>46112</v>
      </c>
      <c r="N43" s="13">
        <v>46112</v>
      </c>
      <c r="O43" s="13">
        <v>46112</v>
      </c>
      <c r="P43" s="24">
        <v>3459166099.7732425</v>
      </c>
      <c r="V43">
        <v>1</v>
      </c>
      <c r="W43" t="s">
        <v>33</v>
      </c>
      <c r="Y43" t="s">
        <v>33</v>
      </c>
      <c r="Z43" t="s">
        <v>34</v>
      </c>
      <c r="AA43">
        <v>1</v>
      </c>
    </row>
    <row r="44" spans="1:27" x14ac:dyDescent="0.35">
      <c r="A44" s="13">
        <v>45930</v>
      </c>
      <c r="B44">
        <v>1</v>
      </c>
      <c r="D44" t="s">
        <v>31</v>
      </c>
      <c r="E44" t="s">
        <v>41</v>
      </c>
      <c r="F44" t="s">
        <v>41</v>
      </c>
      <c r="H44" t="s">
        <v>56</v>
      </c>
      <c r="I44" t="s">
        <v>149</v>
      </c>
      <c r="K44">
        <v>41</v>
      </c>
      <c r="L44" s="13"/>
      <c r="M44" s="13">
        <v>46142</v>
      </c>
      <c r="N44" s="13">
        <v>46142</v>
      </c>
      <c r="O44" s="13">
        <v>46142</v>
      </c>
      <c r="P44" s="24">
        <v>3459166099.7732425</v>
      </c>
      <c r="V44">
        <v>1</v>
      </c>
      <c r="W44" t="s">
        <v>33</v>
      </c>
      <c r="Y44" t="s">
        <v>33</v>
      </c>
      <c r="Z44" t="s">
        <v>34</v>
      </c>
      <c r="AA44">
        <v>1</v>
      </c>
    </row>
    <row r="45" spans="1:27" x14ac:dyDescent="0.35">
      <c r="A45" s="13">
        <v>45930</v>
      </c>
      <c r="B45">
        <v>1</v>
      </c>
      <c r="D45" t="s">
        <v>31</v>
      </c>
      <c r="E45" t="s">
        <v>41</v>
      </c>
      <c r="F45" t="s">
        <v>41</v>
      </c>
      <c r="H45" t="s">
        <v>56</v>
      </c>
      <c r="I45" t="s">
        <v>149</v>
      </c>
      <c r="K45">
        <v>42</v>
      </c>
      <c r="L45" s="13"/>
      <c r="M45" s="13">
        <v>46173</v>
      </c>
      <c r="N45" s="13">
        <v>46173</v>
      </c>
      <c r="O45" s="13">
        <v>46173</v>
      </c>
      <c r="P45" s="24">
        <v>1255895791.6499934</v>
      </c>
      <c r="V45">
        <v>1</v>
      </c>
      <c r="W45" t="s">
        <v>33</v>
      </c>
      <c r="Y45" t="s">
        <v>33</v>
      </c>
      <c r="Z45" t="s">
        <v>34</v>
      </c>
      <c r="AA45">
        <v>1</v>
      </c>
    </row>
    <row r="46" spans="1:27" x14ac:dyDescent="0.35">
      <c r="A46" s="13">
        <v>45930</v>
      </c>
      <c r="B46">
        <v>1</v>
      </c>
      <c r="D46" t="s">
        <v>31</v>
      </c>
      <c r="E46" t="s">
        <v>41</v>
      </c>
      <c r="F46" t="s">
        <v>41</v>
      </c>
      <c r="H46" t="s">
        <v>56</v>
      </c>
      <c r="I46" t="s">
        <v>149</v>
      </c>
      <c r="K46">
        <v>43</v>
      </c>
      <c r="L46" s="13"/>
      <c r="M46" s="13">
        <v>46203</v>
      </c>
      <c r="N46" s="13">
        <v>46203</v>
      </c>
      <c r="O46" s="13">
        <v>46203</v>
      </c>
      <c r="P46" s="24">
        <v>0</v>
      </c>
      <c r="V46">
        <v>1</v>
      </c>
      <c r="W46" t="s">
        <v>33</v>
      </c>
      <c r="Y46" t="s">
        <v>33</v>
      </c>
      <c r="Z46" t="s">
        <v>34</v>
      </c>
      <c r="AA46">
        <v>1</v>
      </c>
    </row>
    <row r="47" spans="1:27" x14ac:dyDescent="0.35">
      <c r="A47" s="13">
        <v>45930</v>
      </c>
      <c r="B47">
        <v>1</v>
      </c>
      <c r="D47" t="s">
        <v>31</v>
      </c>
      <c r="E47" t="s">
        <v>41</v>
      </c>
      <c r="F47" t="s">
        <v>41</v>
      </c>
      <c r="H47" t="s">
        <v>56</v>
      </c>
      <c r="I47" t="s">
        <v>149</v>
      </c>
      <c r="K47">
        <v>44</v>
      </c>
      <c r="L47" s="13"/>
      <c r="M47" s="13">
        <v>46234</v>
      </c>
      <c r="N47" s="13">
        <v>46234</v>
      </c>
      <c r="O47" s="13">
        <v>46234</v>
      </c>
      <c r="P47" s="24">
        <v>0</v>
      </c>
      <c r="V47">
        <v>1</v>
      </c>
      <c r="W47" t="s">
        <v>33</v>
      </c>
      <c r="Y47" t="s">
        <v>33</v>
      </c>
      <c r="Z47" t="s">
        <v>34</v>
      </c>
      <c r="AA47">
        <v>1</v>
      </c>
    </row>
    <row r="48" spans="1:27" x14ac:dyDescent="0.35">
      <c r="A48" s="13">
        <v>45930</v>
      </c>
      <c r="B48">
        <v>1</v>
      </c>
      <c r="D48" t="s">
        <v>31</v>
      </c>
      <c r="E48" t="s">
        <v>41</v>
      </c>
      <c r="F48" t="s">
        <v>41</v>
      </c>
      <c r="H48" t="s">
        <v>56</v>
      </c>
      <c r="I48" t="s">
        <v>149</v>
      </c>
      <c r="K48">
        <v>45</v>
      </c>
      <c r="L48" s="13"/>
      <c r="M48" s="13">
        <v>46265</v>
      </c>
      <c r="N48" s="13">
        <v>46265</v>
      </c>
      <c r="O48" s="13">
        <v>46265</v>
      </c>
      <c r="P48" s="24">
        <v>0</v>
      </c>
      <c r="V48">
        <v>1</v>
      </c>
      <c r="W48" t="s">
        <v>33</v>
      </c>
      <c r="Y48" t="s">
        <v>33</v>
      </c>
      <c r="Z48" t="s">
        <v>34</v>
      </c>
      <c r="AA48">
        <v>1</v>
      </c>
    </row>
    <row r="49" spans="1:27" x14ac:dyDescent="0.35">
      <c r="A49" s="13">
        <v>45930</v>
      </c>
      <c r="B49">
        <v>1</v>
      </c>
      <c r="D49" t="s">
        <v>31</v>
      </c>
      <c r="E49" t="s">
        <v>41</v>
      </c>
      <c r="F49" t="s">
        <v>41</v>
      </c>
      <c r="H49" t="s">
        <v>56</v>
      </c>
      <c r="I49" t="s">
        <v>149</v>
      </c>
      <c r="K49">
        <v>46</v>
      </c>
      <c r="L49" s="13"/>
      <c r="M49" s="13">
        <v>46295</v>
      </c>
      <c r="N49" s="13">
        <v>46295</v>
      </c>
      <c r="O49" s="13">
        <v>46295</v>
      </c>
      <c r="P49" s="24">
        <v>0</v>
      </c>
      <c r="V49">
        <v>1</v>
      </c>
      <c r="W49" t="s">
        <v>33</v>
      </c>
      <c r="Y49" t="s">
        <v>33</v>
      </c>
      <c r="Z49" t="s">
        <v>34</v>
      </c>
      <c r="AA49">
        <v>1</v>
      </c>
    </row>
    <row r="50" spans="1:27" x14ac:dyDescent="0.35">
      <c r="A50" s="13">
        <v>45930</v>
      </c>
      <c r="B50">
        <v>1</v>
      </c>
      <c r="D50" t="s">
        <v>31</v>
      </c>
      <c r="E50" t="s">
        <v>41</v>
      </c>
      <c r="F50" t="s">
        <v>41</v>
      </c>
      <c r="H50" t="s">
        <v>56</v>
      </c>
      <c r="I50" t="s">
        <v>149</v>
      </c>
      <c r="K50">
        <v>47</v>
      </c>
      <c r="L50" s="13"/>
      <c r="M50" s="13">
        <v>46326</v>
      </c>
      <c r="N50" s="13">
        <v>46326</v>
      </c>
      <c r="O50" s="13">
        <v>46326</v>
      </c>
      <c r="P50" s="24">
        <v>0</v>
      </c>
      <c r="V50">
        <v>1</v>
      </c>
      <c r="W50" t="s">
        <v>33</v>
      </c>
      <c r="Y50" t="s">
        <v>33</v>
      </c>
      <c r="Z50" t="s">
        <v>34</v>
      </c>
      <c r="AA50">
        <v>1</v>
      </c>
    </row>
    <row r="51" spans="1:27" x14ac:dyDescent="0.35">
      <c r="A51" s="13">
        <v>45930</v>
      </c>
      <c r="B51">
        <v>1</v>
      </c>
      <c r="D51" t="s">
        <v>31</v>
      </c>
      <c r="E51" t="s">
        <v>41</v>
      </c>
      <c r="F51" t="s">
        <v>41</v>
      </c>
      <c r="H51" t="s">
        <v>56</v>
      </c>
      <c r="I51" t="s">
        <v>149</v>
      </c>
      <c r="K51">
        <v>48</v>
      </c>
      <c r="L51" s="13"/>
      <c r="M51" s="13">
        <v>46356</v>
      </c>
      <c r="N51" s="13">
        <v>46356</v>
      </c>
      <c r="O51" s="13">
        <v>46356</v>
      </c>
      <c r="P51" s="24">
        <v>0</v>
      </c>
      <c r="V51">
        <v>1</v>
      </c>
      <c r="W51" t="s">
        <v>33</v>
      </c>
      <c r="Y51" t="s">
        <v>33</v>
      </c>
      <c r="Z51" t="s">
        <v>34</v>
      </c>
      <c r="AA51">
        <v>1</v>
      </c>
    </row>
    <row r="52" spans="1:27" x14ac:dyDescent="0.35">
      <c r="A52" s="13">
        <v>45930</v>
      </c>
      <c r="B52">
        <v>1</v>
      </c>
      <c r="D52" t="s">
        <v>31</v>
      </c>
      <c r="E52" t="s">
        <v>41</v>
      </c>
      <c r="F52" t="s">
        <v>41</v>
      </c>
      <c r="H52" t="s">
        <v>56</v>
      </c>
      <c r="I52" t="s">
        <v>149</v>
      </c>
      <c r="K52">
        <v>49</v>
      </c>
      <c r="L52" s="13"/>
      <c r="M52" s="13">
        <v>46387</v>
      </c>
      <c r="N52" s="13">
        <v>46387</v>
      </c>
      <c r="O52" s="13">
        <v>46387</v>
      </c>
      <c r="P52" s="24">
        <v>0</v>
      </c>
      <c r="V52">
        <v>1</v>
      </c>
      <c r="W52" t="s">
        <v>33</v>
      </c>
      <c r="Y52" t="s">
        <v>33</v>
      </c>
      <c r="Z52" t="s">
        <v>34</v>
      </c>
      <c r="AA52">
        <v>1</v>
      </c>
    </row>
    <row r="53" spans="1:27" x14ac:dyDescent="0.35">
      <c r="A53" s="13">
        <v>45930</v>
      </c>
      <c r="B53">
        <v>1</v>
      </c>
      <c r="D53" t="s">
        <v>31</v>
      </c>
      <c r="E53" t="s">
        <v>41</v>
      </c>
      <c r="F53" t="s">
        <v>41</v>
      </c>
      <c r="H53" t="s">
        <v>56</v>
      </c>
      <c r="I53" t="s">
        <v>149</v>
      </c>
      <c r="K53">
        <v>50</v>
      </c>
      <c r="L53" s="13"/>
      <c r="M53" s="13">
        <v>46418</v>
      </c>
      <c r="N53" s="13">
        <v>46418</v>
      </c>
      <c r="O53" s="13">
        <v>46418</v>
      </c>
      <c r="P53" s="24">
        <v>0</v>
      </c>
      <c r="V53">
        <v>1</v>
      </c>
      <c r="W53" t="s">
        <v>33</v>
      </c>
      <c r="Y53" t="s">
        <v>33</v>
      </c>
      <c r="Z53" t="s">
        <v>34</v>
      </c>
      <c r="AA53">
        <v>1</v>
      </c>
    </row>
    <row r="54" spans="1:27" x14ac:dyDescent="0.35">
      <c r="A54" s="13">
        <v>45930</v>
      </c>
      <c r="B54">
        <v>1</v>
      </c>
      <c r="D54" t="s">
        <v>31</v>
      </c>
      <c r="E54" t="s">
        <v>41</v>
      </c>
      <c r="F54" t="s">
        <v>41</v>
      </c>
      <c r="H54" t="s">
        <v>56</v>
      </c>
      <c r="I54" t="s">
        <v>149</v>
      </c>
      <c r="K54">
        <v>51</v>
      </c>
      <c r="L54" s="13"/>
      <c r="M54" s="13">
        <v>46446</v>
      </c>
      <c r="N54" s="13">
        <v>46446</v>
      </c>
      <c r="O54" s="13">
        <v>46446</v>
      </c>
      <c r="P54" s="24">
        <v>0</v>
      </c>
      <c r="V54">
        <v>1</v>
      </c>
      <c r="W54" t="s">
        <v>33</v>
      </c>
      <c r="Y54" t="s">
        <v>33</v>
      </c>
      <c r="Z54" t="s">
        <v>34</v>
      </c>
      <c r="AA54">
        <v>1</v>
      </c>
    </row>
    <row r="55" spans="1:27" x14ac:dyDescent="0.35">
      <c r="A55" s="13">
        <v>45930</v>
      </c>
      <c r="B55">
        <v>1</v>
      </c>
      <c r="D55" t="s">
        <v>31</v>
      </c>
      <c r="E55" t="s">
        <v>41</v>
      </c>
      <c r="F55" t="s">
        <v>41</v>
      </c>
      <c r="H55" t="s">
        <v>56</v>
      </c>
      <c r="I55" t="s">
        <v>150</v>
      </c>
      <c r="K55">
        <v>52</v>
      </c>
      <c r="L55" s="13"/>
      <c r="M55" s="13">
        <v>46477</v>
      </c>
      <c r="N55" s="13">
        <v>46477</v>
      </c>
      <c r="O55" s="13">
        <v>46477</v>
      </c>
      <c r="P55" s="24">
        <v>0</v>
      </c>
      <c r="V55">
        <v>1</v>
      </c>
      <c r="W55" t="s">
        <v>33</v>
      </c>
      <c r="Y55" t="s">
        <v>33</v>
      </c>
      <c r="Z55" t="s">
        <v>34</v>
      </c>
      <c r="AA55">
        <v>1</v>
      </c>
    </row>
    <row r="56" spans="1:27" x14ac:dyDescent="0.35">
      <c r="A56" s="13">
        <v>45930</v>
      </c>
      <c r="B56">
        <v>1</v>
      </c>
      <c r="D56" t="s">
        <v>31</v>
      </c>
      <c r="E56" t="s">
        <v>41</v>
      </c>
      <c r="F56" t="s">
        <v>41</v>
      </c>
      <c r="H56" t="s">
        <v>56</v>
      </c>
      <c r="I56" t="s">
        <v>150</v>
      </c>
      <c r="K56">
        <v>53</v>
      </c>
      <c r="L56" s="13"/>
      <c r="M56" s="13">
        <v>46507</v>
      </c>
      <c r="N56" s="13">
        <v>46507</v>
      </c>
      <c r="O56" s="13">
        <v>46507</v>
      </c>
      <c r="P56" s="24">
        <v>0</v>
      </c>
      <c r="V56">
        <v>1</v>
      </c>
      <c r="W56" t="s">
        <v>33</v>
      </c>
      <c r="Y56" t="s">
        <v>33</v>
      </c>
      <c r="Z56" t="s">
        <v>34</v>
      </c>
      <c r="AA56">
        <v>1</v>
      </c>
    </row>
    <row r="57" spans="1:27" x14ac:dyDescent="0.35">
      <c r="A57" s="13">
        <v>45930</v>
      </c>
      <c r="B57">
        <v>1</v>
      </c>
      <c r="D57" t="s">
        <v>31</v>
      </c>
      <c r="E57" t="s">
        <v>41</v>
      </c>
      <c r="F57" t="s">
        <v>41</v>
      </c>
      <c r="H57" t="s">
        <v>56</v>
      </c>
      <c r="I57" t="s">
        <v>150</v>
      </c>
      <c r="K57">
        <v>54</v>
      </c>
      <c r="L57" s="13"/>
      <c r="M57" s="13">
        <v>46538</v>
      </c>
      <c r="N57" s="13">
        <v>46538</v>
      </c>
      <c r="O57" s="13">
        <v>46538</v>
      </c>
      <c r="P57" s="24">
        <v>0</v>
      </c>
      <c r="V57">
        <v>1</v>
      </c>
      <c r="W57" t="s">
        <v>33</v>
      </c>
      <c r="Y57" t="s">
        <v>33</v>
      </c>
      <c r="Z57" t="s">
        <v>34</v>
      </c>
      <c r="AA57">
        <v>1</v>
      </c>
    </row>
    <row r="58" spans="1:27" x14ac:dyDescent="0.35">
      <c r="A58" s="13">
        <v>45930</v>
      </c>
      <c r="B58">
        <v>1</v>
      </c>
      <c r="D58" t="s">
        <v>31</v>
      </c>
      <c r="E58" t="s">
        <v>41</v>
      </c>
      <c r="F58" t="s">
        <v>41</v>
      </c>
      <c r="H58" t="s">
        <v>56</v>
      </c>
      <c r="I58" t="s">
        <v>150</v>
      </c>
      <c r="K58">
        <v>55</v>
      </c>
      <c r="L58" s="13"/>
      <c r="M58" s="13">
        <v>46568</v>
      </c>
      <c r="N58" s="13">
        <v>46568</v>
      </c>
      <c r="O58" s="13">
        <v>46568</v>
      </c>
      <c r="P58" s="24">
        <v>0</v>
      </c>
      <c r="V58">
        <v>1</v>
      </c>
      <c r="W58" t="s">
        <v>33</v>
      </c>
      <c r="Y58" t="s">
        <v>33</v>
      </c>
      <c r="Z58" t="s">
        <v>34</v>
      </c>
      <c r="AA58">
        <v>1</v>
      </c>
    </row>
    <row r="59" spans="1:27" x14ac:dyDescent="0.35">
      <c r="A59" s="13">
        <v>45930</v>
      </c>
      <c r="B59">
        <v>1</v>
      </c>
      <c r="D59" t="s">
        <v>31</v>
      </c>
      <c r="E59" t="s">
        <v>41</v>
      </c>
      <c r="F59" t="s">
        <v>41</v>
      </c>
      <c r="H59" t="s">
        <v>56</v>
      </c>
      <c r="I59" t="s">
        <v>150</v>
      </c>
      <c r="K59">
        <v>56</v>
      </c>
      <c r="L59" s="13"/>
      <c r="M59" s="13">
        <v>46599</v>
      </c>
      <c r="N59" s="13">
        <v>46599</v>
      </c>
      <c r="O59" s="13">
        <v>46599</v>
      </c>
      <c r="P59" s="24">
        <v>0</v>
      </c>
      <c r="V59">
        <v>1</v>
      </c>
      <c r="W59" t="s">
        <v>33</v>
      </c>
      <c r="Y59" t="s">
        <v>33</v>
      </c>
      <c r="Z59" t="s">
        <v>34</v>
      </c>
      <c r="AA59">
        <v>1</v>
      </c>
    </row>
    <row r="60" spans="1:27" x14ac:dyDescent="0.35">
      <c r="A60" s="13">
        <v>45930</v>
      </c>
      <c r="B60">
        <v>1</v>
      </c>
      <c r="D60" t="s">
        <v>31</v>
      </c>
      <c r="E60" t="s">
        <v>41</v>
      </c>
      <c r="F60" t="s">
        <v>41</v>
      </c>
      <c r="H60" t="s">
        <v>56</v>
      </c>
      <c r="I60" t="s">
        <v>150</v>
      </c>
      <c r="K60">
        <v>57</v>
      </c>
      <c r="L60" s="13"/>
      <c r="M60" s="13">
        <v>46630</v>
      </c>
      <c r="N60" s="13">
        <v>46630</v>
      </c>
      <c r="O60" s="13">
        <v>46630</v>
      </c>
      <c r="P60" s="24">
        <v>0</v>
      </c>
      <c r="V60">
        <v>1</v>
      </c>
      <c r="W60" t="s">
        <v>33</v>
      </c>
      <c r="Y60" t="s">
        <v>33</v>
      </c>
      <c r="Z60" t="s">
        <v>34</v>
      </c>
      <c r="AA60">
        <v>1</v>
      </c>
    </row>
    <row r="61" spans="1:27" x14ac:dyDescent="0.35">
      <c r="A61" s="13">
        <v>45930</v>
      </c>
      <c r="B61">
        <v>1</v>
      </c>
      <c r="D61" t="s">
        <v>31</v>
      </c>
      <c r="E61" t="s">
        <v>41</v>
      </c>
      <c r="F61" t="s">
        <v>41</v>
      </c>
      <c r="H61" t="s">
        <v>56</v>
      </c>
      <c r="I61" t="s">
        <v>150</v>
      </c>
      <c r="K61">
        <v>58</v>
      </c>
      <c r="L61" s="13"/>
      <c r="M61" s="13">
        <v>46660</v>
      </c>
      <c r="N61" s="13">
        <v>46660</v>
      </c>
      <c r="O61" s="13">
        <v>46660</v>
      </c>
      <c r="P61" s="24">
        <v>0</v>
      </c>
      <c r="V61">
        <v>1</v>
      </c>
      <c r="W61" t="s">
        <v>33</v>
      </c>
      <c r="Y61" t="s">
        <v>33</v>
      </c>
      <c r="Z61" t="s">
        <v>34</v>
      </c>
      <c r="AA61">
        <v>1</v>
      </c>
    </row>
    <row r="62" spans="1:27" x14ac:dyDescent="0.35">
      <c r="A62" s="13">
        <v>45930</v>
      </c>
      <c r="B62">
        <v>1</v>
      </c>
      <c r="D62" t="s">
        <v>31</v>
      </c>
      <c r="E62" t="s">
        <v>41</v>
      </c>
      <c r="F62" t="s">
        <v>41</v>
      </c>
      <c r="H62" t="s">
        <v>56</v>
      </c>
      <c r="I62" t="s">
        <v>150</v>
      </c>
      <c r="K62">
        <v>59</v>
      </c>
      <c r="L62" s="13"/>
      <c r="M62" s="13">
        <v>46691</v>
      </c>
      <c r="N62" s="13">
        <v>46691</v>
      </c>
      <c r="O62" s="13">
        <v>46691</v>
      </c>
      <c r="P62" s="24">
        <v>0</v>
      </c>
      <c r="V62">
        <v>1</v>
      </c>
      <c r="W62" t="s">
        <v>33</v>
      </c>
      <c r="Y62" t="s">
        <v>33</v>
      </c>
      <c r="Z62" t="s">
        <v>34</v>
      </c>
      <c r="AA62">
        <v>1</v>
      </c>
    </row>
    <row r="63" spans="1:27" x14ac:dyDescent="0.35">
      <c r="A63" s="13">
        <v>45930</v>
      </c>
      <c r="B63">
        <v>1</v>
      </c>
      <c r="D63" t="s">
        <v>31</v>
      </c>
      <c r="E63" t="s">
        <v>41</v>
      </c>
      <c r="F63" t="s">
        <v>41</v>
      </c>
      <c r="H63" t="s">
        <v>56</v>
      </c>
      <c r="I63" t="s">
        <v>150</v>
      </c>
      <c r="K63">
        <v>60</v>
      </c>
      <c r="L63" s="13"/>
      <c r="M63" s="13">
        <v>46721</v>
      </c>
      <c r="N63" s="13">
        <v>46721</v>
      </c>
      <c r="O63" s="13">
        <v>46721</v>
      </c>
      <c r="P63" s="24">
        <v>0</v>
      </c>
      <c r="V63">
        <v>1</v>
      </c>
      <c r="W63" t="s">
        <v>33</v>
      </c>
      <c r="Y63" t="s">
        <v>33</v>
      </c>
      <c r="Z63" t="s">
        <v>34</v>
      </c>
      <c r="AA63">
        <v>1</v>
      </c>
    </row>
    <row r="64" spans="1:27" x14ac:dyDescent="0.35">
      <c r="A64" s="13">
        <v>45930</v>
      </c>
      <c r="B64">
        <v>1</v>
      </c>
      <c r="D64" t="s">
        <v>31</v>
      </c>
      <c r="E64" t="s">
        <v>41</v>
      </c>
      <c r="F64" t="s">
        <v>41</v>
      </c>
      <c r="H64" t="s">
        <v>58</v>
      </c>
      <c r="I64" t="s">
        <v>44</v>
      </c>
      <c r="L64" s="13"/>
      <c r="M64" s="13">
        <v>45931</v>
      </c>
      <c r="N64" s="13">
        <v>45931</v>
      </c>
      <c r="O64" s="13">
        <v>45931</v>
      </c>
      <c r="P64" s="24">
        <v>44791986461</v>
      </c>
      <c r="V64">
        <v>1</v>
      </c>
      <c r="W64" t="s">
        <v>33</v>
      </c>
      <c r="Y64" t="s">
        <v>33</v>
      </c>
      <c r="Z64" t="s">
        <v>34</v>
      </c>
      <c r="AA64">
        <v>1</v>
      </c>
    </row>
    <row r="65" spans="1:27" x14ac:dyDescent="0.35">
      <c r="A65" s="13">
        <v>45930</v>
      </c>
      <c r="B65">
        <v>1</v>
      </c>
      <c r="D65" t="s">
        <v>31</v>
      </c>
      <c r="E65" t="s">
        <v>41</v>
      </c>
      <c r="F65" t="s">
        <v>41</v>
      </c>
      <c r="H65" t="s">
        <v>58</v>
      </c>
      <c r="I65" t="s">
        <v>157</v>
      </c>
      <c r="K65">
        <v>1</v>
      </c>
      <c r="L65" s="13"/>
      <c r="M65" s="13">
        <v>45961</v>
      </c>
      <c r="N65" s="13">
        <v>45961</v>
      </c>
      <c r="O65" s="13">
        <v>45961</v>
      </c>
      <c r="P65" s="24">
        <v>3833994024.2763772</v>
      </c>
      <c r="V65">
        <v>1</v>
      </c>
      <c r="W65" t="s">
        <v>33</v>
      </c>
      <c r="Y65" t="s">
        <v>33</v>
      </c>
      <c r="Z65" t="s">
        <v>34</v>
      </c>
      <c r="AA65">
        <v>1</v>
      </c>
    </row>
    <row r="66" spans="1:27" x14ac:dyDescent="0.35">
      <c r="A66" s="13">
        <v>45930</v>
      </c>
      <c r="B66">
        <v>1</v>
      </c>
      <c r="D66" t="s">
        <v>31</v>
      </c>
      <c r="E66" t="s">
        <v>41</v>
      </c>
      <c r="F66" t="s">
        <v>41</v>
      </c>
      <c r="H66" t="s">
        <v>58</v>
      </c>
      <c r="I66" t="s">
        <v>157</v>
      </c>
      <c r="K66">
        <v>2</v>
      </c>
      <c r="L66" s="13"/>
      <c r="M66" s="13">
        <v>45991</v>
      </c>
      <c r="N66" s="13">
        <v>45991</v>
      </c>
      <c r="O66" s="13">
        <v>45991</v>
      </c>
      <c r="P66" s="24">
        <v>3833994024.2763772</v>
      </c>
      <c r="V66">
        <v>1</v>
      </c>
      <c r="W66" t="s">
        <v>33</v>
      </c>
      <c r="Y66" t="s">
        <v>33</v>
      </c>
      <c r="Z66" t="s">
        <v>34</v>
      </c>
      <c r="AA66">
        <v>1</v>
      </c>
    </row>
    <row r="67" spans="1:27" x14ac:dyDescent="0.35">
      <c r="A67" s="13">
        <v>45930</v>
      </c>
      <c r="B67">
        <v>1</v>
      </c>
      <c r="D67" t="s">
        <v>31</v>
      </c>
      <c r="E67" t="s">
        <v>41</v>
      </c>
      <c r="F67" t="s">
        <v>41</v>
      </c>
      <c r="H67" t="s">
        <v>58</v>
      </c>
      <c r="I67" t="s">
        <v>157</v>
      </c>
      <c r="K67">
        <v>3</v>
      </c>
      <c r="L67" s="13"/>
      <c r="M67" s="13">
        <v>46022</v>
      </c>
      <c r="N67" s="13">
        <v>46022</v>
      </c>
      <c r="O67" s="13">
        <v>46022</v>
      </c>
      <c r="P67" s="24">
        <v>3833994024.2763772</v>
      </c>
      <c r="V67">
        <v>1</v>
      </c>
      <c r="W67" t="s">
        <v>33</v>
      </c>
      <c r="Y67" t="s">
        <v>33</v>
      </c>
      <c r="Z67" t="s">
        <v>34</v>
      </c>
      <c r="AA67">
        <v>1</v>
      </c>
    </row>
    <row r="68" spans="1:27" x14ac:dyDescent="0.35">
      <c r="A68" s="13">
        <v>45930</v>
      </c>
      <c r="B68">
        <v>1</v>
      </c>
      <c r="D68" t="s">
        <v>31</v>
      </c>
      <c r="E68" t="s">
        <v>41</v>
      </c>
      <c r="F68" t="s">
        <v>41</v>
      </c>
      <c r="H68" t="s">
        <v>58</v>
      </c>
      <c r="I68" t="s">
        <v>157</v>
      </c>
      <c r="K68">
        <v>4</v>
      </c>
      <c r="L68" s="13"/>
      <c r="M68" s="13">
        <v>46053</v>
      </c>
      <c r="N68" s="13">
        <v>46053</v>
      </c>
      <c r="O68" s="13">
        <v>46053</v>
      </c>
      <c r="P68" s="24">
        <v>3833994024.2763772</v>
      </c>
      <c r="V68">
        <v>1</v>
      </c>
      <c r="W68" t="s">
        <v>33</v>
      </c>
      <c r="Y68" t="s">
        <v>33</v>
      </c>
      <c r="Z68" t="s">
        <v>34</v>
      </c>
      <c r="AA68">
        <v>1</v>
      </c>
    </row>
    <row r="69" spans="1:27" x14ac:dyDescent="0.35">
      <c r="A69" s="13">
        <v>45930</v>
      </c>
      <c r="B69">
        <v>1</v>
      </c>
      <c r="D69" t="s">
        <v>31</v>
      </c>
      <c r="E69" t="s">
        <v>41</v>
      </c>
      <c r="F69" t="s">
        <v>41</v>
      </c>
      <c r="H69" t="s">
        <v>58</v>
      </c>
      <c r="I69" t="s">
        <v>157</v>
      </c>
      <c r="K69">
        <v>5</v>
      </c>
      <c r="L69" s="13"/>
      <c r="M69" s="13">
        <v>46081</v>
      </c>
      <c r="N69" s="13">
        <v>46081</v>
      </c>
      <c r="O69" s="13">
        <v>46081</v>
      </c>
      <c r="P69" s="24">
        <v>3833994024.2763772</v>
      </c>
      <c r="V69">
        <v>1</v>
      </c>
      <c r="W69" t="s">
        <v>33</v>
      </c>
      <c r="Y69" t="s">
        <v>33</v>
      </c>
      <c r="Z69" t="s">
        <v>34</v>
      </c>
      <c r="AA69">
        <v>1</v>
      </c>
    </row>
    <row r="70" spans="1:27" x14ac:dyDescent="0.35">
      <c r="A70" s="13">
        <v>45930</v>
      </c>
      <c r="B70">
        <v>1</v>
      </c>
      <c r="D70" t="s">
        <v>31</v>
      </c>
      <c r="E70" t="s">
        <v>41</v>
      </c>
      <c r="F70" t="s">
        <v>41</v>
      </c>
      <c r="H70" t="s">
        <v>58</v>
      </c>
      <c r="I70" t="s">
        <v>157</v>
      </c>
      <c r="K70">
        <v>6</v>
      </c>
      <c r="L70" s="13"/>
      <c r="M70" s="13">
        <v>46112</v>
      </c>
      <c r="N70" s="13">
        <v>46112</v>
      </c>
      <c r="O70" s="13">
        <v>46112</v>
      </c>
      <c r="P70" s="24">
        <v>3833994024.2763772</v>
      </c>
      <c r="V70">
        <v>1</v>
      </c>
      <c r="W70" t="s">
        <v>33</v>
      </c>
      <c r="Y70" t="s">
        <v>33</v>
      </c>
      <c r="Z70" t="s">
        <v>34</v>
      </c>
      <c r="AA70">
        <v>1</v>
      </c>
    </row>
    <row r="71" spans="1:27" x14ac:dyDescent="0.35">
      <c r="A71" s="13">
        <v>45930</v>
      </c>
      <c r="B71">
        <v>1</v>
      </c>
      <c r="D71" t="s">
        <v>31</v>
      </c>
      <c r="E71" t="s">
        <v>41</v>
      </c>
      <c r="F71" t="s">
        <v>41</v>
      </c>
      <c r="H71" t="s">
        <v>58</v>
      </c>
      <c r="I71" t="s">
        <v>157</v>
      </c>
      <c r="K71">
        <v>7</v>
      </c>
      <c r="L71" s="13"/>
      <c r="M71" s="13">
        <v>46142</v>
      </c>
      <c r="N71" s="13">
        <v>46142</v>
      </c>
      <c r="O71" s="13">
        <v>46142</v>
      </c>
      <c r="P71" s="24">
        <v>3833994024.2763772</v>
      </c>
      <c r="V71">
        <v>1</v>
      </c>
      <c r="W71" t="s">
        <v>33</v>
      </c>
      <c r="Y71" t="s">
        <v>33</v>
      </c>
      <c r="Z71" t="s">
        <v>34</v>
      </c>
      <c r="AA71">
        <v>1</v>
      </c>
    </row>
    <row r="72" spans="1:27" x14ac:dyDescent="0.35">
      <c r="A72" s="13">
        <v>45930</v>
      </c>
      <c r="B72">
        <v>1</v>
      </c>
      <c r="D72" t="s">
        <v>31</v>
      </c>
      <c r="E72" t="s">
        <v>41</v>
      </c>
      <c r="F72" t="s">
        <v>41</v>
      </c>
      <c r="H72" t="s">
        <v>58</v>
      </c>
      <c r="I72" t="s">
        <v>157</v>
      </c>
      <c r="K72">
        <v>8</v>
      </c>
      <c r="L72" s="13"/>
      <c r="M72" s="13">
        <v>46173</v>
      </c>
      <c r="N72" s="13">
        <v>46173</v>
      </c>
      <c r="O72" s="13">
        <v>46173</v>
      </c>
      <c r="P72" s="24">
        <v>3833994024.2763772</v>
      </c>
      <c r="V72">
        <v>1</v>
      </c>
      <c r="W72" t="s">
        <v>33</v>
      </c>
      <c r="Y72" t="s">
        <v>33</v>
      </c>
      <c r="Z72" t="s">
        <v>34</v>
      </c>
      <c r="AA72">
        <v>1</v>
      </c>
    </row>
    <row r="73" spans="1:27" x14ac:dyDescent="0.35">
      <c r="A73" s="13">
        <v>45930</v>
      </c>
      <c r="B73">
        <v>1</v>
      </c>
      <c r="D73" t="s">
        <v>31</v>
      </c>
      <c r="E73" t="s">
        <v>41</v>
      </c>
      <c r="F73" t="s">
        <v>41</v>
      </c>
      <c r="H73" t="s">
        <v>58</v>
      </c>
      <c r="I73" t="s">
        <v>157</v>
      </c>
      <c r="K73">
        <v>9</v>
      </c>
      <c r="L73" s="13"/>
      <c r="M73" s="13">
        <v>46203</v>
      </c>
      <c r="N73" s="13">
        <v>46203</v>
      </c>
      <c r="O73" s="13">
        <v>46203</v>
      </c>
      <c r="P73" s="24">
        <v>3833994024.2763772</v>
      </c>
      <c r="V73">
        <v>1</v>
      </c>
      <c r="W73" t="s">
        <v>33</v>
      </c>
      <c r="Y73" t="s">
        <v>33</v>
      </c>
      <c r="Z73" t="s">
        <v>34</v>
      </c>
      <c r="AA73">
        <v>1</v>
      </c>
    </row>
    <row r="74" spans="1:27" x14ac:dyDescent="0.35">
      <c r="A74" s="13">
        <v>45930</v>
      </c>
      <c r="B74">
        <v>1</v>
      </c>
      <c r="D74" t="s">
        <v>31</v>
      </c>
      <c r="E74" t="s">
        <v>41</v>
      </c>
      <c r="F74" t="s">
        <v>41</v>
      </c>
      <c r="H74" t="s">
        <v>58</v>
      </c>
      <c r="I74" t="s">
        <v>157</v>
      </c>
      <c r="K74">
        <v>10</v>
      </c>
      <c r="L74" s="13"/>
      <c r="M74" s="13">
        <v>46234</v>
      </c>
      <c r="N74" s="13">
        <v>46234</v>
      </c>
      <c r="O74" s="13">
        <v>46234</v>
      </c>
      <c r="P74" s="24">
        <v>3833994024.2763772</v>
      </c>
      <c r="V74">
        <v>1</v>
      </c>
      <c r="W74" t="s">
        <v>33</v>
      </c>
      <c r="Y74" t="s">
        <v>33</v>
      </c>
      <c r="Z74" t="s">
        <v>34</v>
      </c>
      <c r="AA74">
        <v>1</v>
      </c>
    </row>
    <row r="75" spans="1:27" x14ac:dyDescent="0.35">
      <c r="A75" s="13">
        <v>45930</v>
      </c>
      <c r="B75">
        <v>1</v>
      </c>
      <c r="D75" t="s">
        <v>31</v>
      </c>
      <c r="E75" t="s">
        <v>41</v>
      </c>
      <c r="F75" t="s">
        <v>41</v>
      </c>
      <c r="H75" t="s">
        <v>58</v>
      </c>
      <c r="I75" t="s">
        <v>157</v>
      </c>
      <c r="K75">
        <v>11</v>
      </c>
      <c r="L75" s="13"/>
      <c r="M75" s="13">
        <v>46265</v>
      </c>
      <c r="N75" s="13">
        <v>46265</v>
      </c>
      <c r="O75" s="13">
        <v>46265</v>
      </c>
      <c r="P75" s="24">
        <v>3833994024.2763772</v>
      </c>
      <c r="V75">
        <v>1</v>
      </c>
      <c r="W75" t="s">
        <v>33</v>
      </c>
      <c r="Y75" t="s">
        <v>33</v>
      </c>
      <c r="Z75" t="s">
        <v>34</v>
      </c>
      <c r="AA75">
        <v>1</v>
      </c>
    </row>
    <row r="76" spans="1:27" x14ac:dyDescent="0.35">
      <c r="A76" s="13">
        <v>45930</v>
      </c>
      <c r="B76">
        <v>1</v>
      </c>
      <c r="D76" t="s">
        <v>31</v>
      </c>
      <c r="E76" t="s">
        <v>41</v>
      </c>
      <c r="F76" t="s">
        <v>41</v>
      </c>
      <c r="H76" t="s">
        <v>58</v>
      </c>
      <c r="I76" t="s">
        <v>157</v>
      </c>
      <c r="K76">
        <v>12</v>
      </c>
      <c r="L76" s="13"/>
      <c r="M76" s="13">
        <v>46295</v>
      </c>
      <c r="N76" s="13">
        <v>46295</v>
      </c>
      <c r="O76" s="13">
        <v>46295</v>
      </c>
      <c r="P76" s="24">
        <v>3833994024.2763772</v>
      </c>
      <c r="V76">
        <v>1</v>
      </c>
      <c r="W76" t="s">
        <v>33</v>
      </c>
      <c r="Y76" t="s">
        <v>33</v>
      </c>
      <c r="Z76" t="s">
        <v>34</v>
      </c>
      <c r="AA76">
        <v>1</v>
      </c>
    </row>
    <row r="77" spans="1:27" x14ac:dyDescent="0.35">
      <c r="A77" s="13">
        <v>45930</v>
      </c>
      <c r="B77">
        <v>1</v>
      </c>
      <c r="D77" t="s">
        <v>31</v>
      </c>
      <c r="E77" t="s">
        <v>41</v>
      </c>
      <c r="F77" t="s">
        <v>41</v>
      </c>
      <c r="H77" t="s">
        <v>58</v>
      </c>
      <c r="I77" t="s">
        <v>157</v>
      </c>
      <c r="K77">
        <v>13</v>
      </c>
      <c r="L77" s="13"/>
      <c r="M77" s="13">
        <v>46326</v>
      </c>
      <c r="N77" s="13">
        <v>46326</v>
      </c>
      <c r="O77" s="13">
        <v>46326</v>
      </c>
      <c r="P77" s="24">
        <v>3833994024.2763772</v>
      </c>
      <c r="V77">
        <v>1</v>
      </c>
      <c r="W77" t="s">
        <v>33</v>
      </c>
      <c r="Y77" t="s">
        <v>33</v>
      </c>
      <c r="Z77" t="s">
        <v>34</v>
      </c>
      <c r="AA77">
        <v>1</v>
      </c>
    </row>
    <row r="78" spans="1:27" x14ac:dyDescent="0.35">
      <c r="A78" s="13">
        <v>45930</v>
      </c>
      <c r="B78">
        <v>1</v>
      </c>
      <c r="D78" t="s">
        <v>31</v>
      </c>
      <c r="E78" t="s">
        <v>41</v>
      </c>
      <c r="F78" t="s">
        <v>41</v>
      </c>
      <c r="H78" t="s">
        <v>58</v>
      </c>
      <c r="I78" t="s">
        <v>157</v>
      </c>
      <c r="K78">
        <v>14</v>
      </c>
      <c r="L78" s="13"/>
      <c r="M78" s="13">
        <v>46356</v>
      </c>
      <c r="N78" s="13">
        <v>46356</v>
      </c>
      <c r="O78" s="13">
        <v>46356</v>
      </c>
      <c r="P78" s="24">
        <v>3833994024.2763772</v>
      </c>
      <c r="V78">
        <v>1</v>
      </c>
      <c r="W78" t="s">
        <v>33</v>
      </c>
      <c r="Y78" t="s">
        <v>33</v>
      </c>
      <c r="Z78" t="s">
        <v>34</v>
      </c>
      <c r="AA78">
        <v>1</v>
      </c>
    </row>
    <row r="79" spans="1:27" x14ac:dyDescent="0.35">
      <c r="A79" s="13">
        <v>45930</v>
      </c>
      <c r="B79">
        <v>1</v>
      </c>
      <c r="D79" t="s">
        <v>31</v>
      </c>
      <c r="E79" t="s">
        <v>41</v>
      </c>
      <c r="F79" t="s">
        <v>41</v>
      </c>
      <c r="H79" t="s">
        <v>58</v>
      </c>
      <c r="I79" t="s">
        <v>157</v>
      </c>
      <c r="K79">
        <v>15</v>
      </c>
      <c r="L79" s="13"/>
      <c r="M79" s="13">
        <v>46387</v>
      </c>
      <c r="N79" s="13">
        <v>46387</v>
      </c>
      <c r="O79" s="13">
        <v>46387</v>
      </c>
      <c r="P79" s="24">
        <v>3833994024.2763772</v>
      </c>
      <c r="V79">
        <v>1</v>
      </c>
      <c r="W79" t="s">
        <v>33</v>
      </c>
      <c r="Y79" t="s">
        <v>33</v>
      </c>
      <c r="Z79" t="s">
        <v>34</v>
      </c>
      <c r="AA79">
        <v>1</v>
      </c>
    </row>
    <row r="80" spans="1:27" x14ac:dyDescent="0.35">
      <c r="A80" s="13">
        <v>45930</v>
      </c>
      <c r="B80">
        <v>1</v>
      </c>
      <c r="D80" t="s">
        <v>31</v>
      </c>
      <c r="E80" t="s">
        <v>41</v>
      </c>
      <c r="F80" t="s">
        <v>41</v>
      </c>
      <c r="H80" t="s">
        <v>58</v>
      </c>
      <c r="I80" t="s">
        <v>157</v>
      </c>
      <c r="K80">
        <v>16</v>
      </c>
      <c r="L80" s="13"/>
      <c r="M80" s="13">
        <v>46418</v>
      </c>
      <c r="N80" s="13">
        <v>46418</v>
      </c>
      <c r="O80" s="13">
        <v>46418</v>
      </c>
      <c r="P80" s="24">
        <v>3833994024.2763772</v>
      </c>
      <c r="V80">
        <v>1</v>
      </c>
      <c r="W80" t="s">
        <v>33</v>
      </c>
      <c r="Y80" t="s">
        <v>33</v>
      </c>
      <c r="Z80" t="s">
        <v>34</v>
      </c>
      <c r="AA80">
        <v>1</v>
      </c>
    </row>
    <row r="81" spans="1:27" x14ac:dyDescent="0.35">
      <c r="A81" s="13">
        <v>45930</v>
      </c>
      <c r="B81">
        <v>1</v>
      </c>
      <c r="D81" t="s">
        <v>31</v>
      </c>
      <c r="E81" t="s">
        <v>41</v>
      </c>
      <c r="F81" t="s">
        <v>41</v>
      </c>
      <c r="H81" t="s">
        <v>58</v>
      </c>
      <c r="I81" t="s">
        <v>157</v>
      </c>
      <c r="K81">
        <v>17</v>
      </c>
      <c r="L81" s="13"/>
      <c r="M81" s="13">
        <v>46446</v>
      </c>
      <c r="N81" s="13">
        <v>46446</v>
      </c>
      <c r="O81" s="13">
        <v>46446</v>
      </c>
      <c r="P81" s="24">
        <v>3833994024.2763772</v>
      </c>
      <c r="V81">
        <v>1</v>
      </c>
      <c r="W81" t="s">
        <v>33</v>
      </c>
      <c r="Y81" t="s">
        <v>33</v>
      </c>
      <c r="Z81" t="s">
        <v>34</v>
      </c>
      <c r="AA81">
        <v>1</v>
      </c>
    </row>
    <row r="82" spans="1:27" x14ac:dyDescent="0.35">
      <c r="A82" s="13">
        <v>45930</v>
      </c>
      <c r="B82">
        <v>1</v>
      </c>
      <c r="D82" t="s">
        <v>31</v>
      </c>
      <c r="E82" t="s">
        <v>41</v>
      </c>
      <c r="F82" t="s">
        <v>41</v>
      </c>
      <c r="H82" t="s">
        <v>58</v>
      </c>
      <c r="I82" t="s">
        <v>157</v>
      </c>
      <c r="K82">
        <v>18</v>
      </c>
      <c r="L82" s="13"/>
      <c r="M82" s="13">
        <v>46477</v>
      </c>
      <c r="N82" s="13">
        <v>46477</v>
      </c>
      <c r="O82" s="13">
        <v>46477</v>
      </c>
      <c r="P82" s="24">
        <v>3833994024.2763772</v>
      </c>
      <c r="V82">
        <v>1</v>
      </c>
      <c r="W82" t="s">
        <v>33</v>
      </c>
      <c r="Y82" t="s">
        <v>33</v>
      </c>
      <c r="Z82" t="s">
        <v>34</v>
      </c>
      <c r="AA82">
        <v>1</v>
      </c>
    </row>
    <row r="83" spans="1:27" x14ac:dyDescent="0.35">
      <c r="A83" s="13">
        <v>45930</v>
      </c>
      <c r="B83">
        <v>1</v>
      </c>
      <c r="D83" t="s">
        <v>31</v>
      </c>
      <c r="E83" t="s">
        <v>41</v>
      </c>
      <c r="F83" t="s">
        <v>41</v>
      </c>
      <c r="H83" t="s">
        <v>58</v>
      </c>
      <c r="I83" t="s">
        <v>157</v>
      </c>
      <c r="K83">
        <v>19</v>
      </c>
      <c r="L83" s="13"/>
      <c r="M83" s="13">
        <v>46507</v>
      </c>
      <c r="N83" s="13">
        <v>46507</v>
      </c>
      <c r="O83" s="13">
        <v>46507</v>
      </c>
      <c r="P83" s="24">
        <v>3833994024.2763772</v>
      </c>
      <c r="V83">
        <v>1</v>
      </c>
      <c r="W83" t="s">
        <v>33</v>
      </c>
      <c r="Y83" t="s">
        <v>33</v>
      </c>
      <c r="Z83" t="s">
        <v>34</v>
      </c>
      <c r="AA83">
        <v>1</v>
      </c>
    </row>
    <row r="84" spans="1:27" x14ac:dyDescent="0.35">
      <c r="A84" s="13">
        <v>45930</v>
      </c>
      <c r="B84">
        <v>1</v>
      </c>
      <c r="D84" t="s">
        <v>31</v>
      </c>
      <c r="E84" t="s">
        <v>41</v>
      </c>
      <c r="F84" t="s">
        <v>41</v>
      </c>
      <c r="H84" t="s">
        <v>58</v>
      </c>
      <c r="I84" t="s">
        <v>157</v>
      </c>
      <c r="K84">
        <v>20</v>
      </c>
      <c r="L84" s="13"/>
      <c r="M84" s="13">
        <v>46538</v>
      </c>
      <c r="N84" s="13">
        <v>46538</v>
      </c>
      <c r="O84" s="13">
        <v>46538</v>
      </c>
      <c r="P84" s="24">
        <v>3833994024.2763772</v>
      </c>
      <c r="V84">
        <v>1</v>
      </c>
      <c r="W84" t="s">
        <v>33</v>
      </c>
      <c r="Y84" t="s">
        <v>33</v>
      </c>
      <c r="Z84" t="s">
        <v>34</v>
      </c>
      <c r="AA84">
        <v>1</v>
      </c>
    </row>
    <row r="85" spans="1:27" x14ac:dyDescent="0.35">
      <c r="A85" s="13">
        <v>45930</v>
      </c>
      <c r="B85">
        <v>1</v>
      </c>
      <c r="D85" t="s">
        <v>31</v>
      </c>
      <c r="E85" t="s">
        <v>41</v>
      </c>
      <c r="F85" t="s">
        <v>41</v>
      </c>
      <c r="H85" t="s">
        <v>58</v>
      </c>
      <c r="I85" t="s">
        <v>157</v>
      </c>
      <c r="K85">
        <v>21</v>
      </c>
      <c r="L85" s="13"/>
      <c r="M85" s="13">
        <v>46568</v>
      </c>
      <c r="N85" s="13">
        <v>46568</v>
      </c>
      <c r="O85" s="13">
        <v>46568</v>
      </c>
      <c r="P85" s="24">
        <v>3833994024.2763772</v>
      </c>
      <c r="V85">
        <v>1</v>
      </c>
      <c r="W85" t="s">
        <v>33</v>
      </c>
      <c r="Y85" t="s">
        <v>33</v>
      </c>
      <c r="Z85" t="s">
        <v>34</v>
      </c>
      <c r="AA85">
        <v>1</v>
      </c>
    </row>
    <row r="86" spans="1:27" x14ac:dyDescent="0.35">
      <c r="A86" s="13">
        <v>45930</v>
      </c>
      <c r="B86">
        <v>1</v>
      </c>
      <c r="D86" t="s">
        <v>31</v>
      </c>
      <c r="E86" t="s">
        <v>41</v>
      </c>
      <c r="F86" t="s">
        <v>41</v>
      </c>
      <c r="H86" t="s">
        <v>58</v>
      </c>
      <c r="I86" t="s">
        <v>157</v>
      </c>
      <c r="K86">
        <v>22</v>
      </c>
      <c r="L86" s="13"/>
      <c r="M86" s="13">
        <v>46599</v>
      </c>
      <c r="N86" s="13">
        <v>46599</v>
      </c>
      <c r="O86" s="13">
        <v>46599</v>
      </c>
      <c r="P86" s="24">
        <v>3833994024.2763772</v>
      </c>
      <c r="V86">
        <v>1</v>
      </c>
      <c r="W86" t="s">
        <v>33</v>
      </c>
      <c r="Y86" t="s">
        <v>33</v>
      </c>
      <c r="Z86" t="s">
        <v>34</v>
      </c>
      <c r="AA86">
        <v>1</v>
      </c>
    </row>
    <row r="87" spans="1:27" x14ac:dyDescent="0.35">
      <c r="A87" s="13">
        <v>45930</v>
      </c>
      <c r="B87">
        <v>1</v>
      </c>
      <c r="D87" t="s">
        <v>31</v>
      </c>
      <c r="E87" t="s">
        <v>41</v>
      </c>
      <c r="F87" t="s">
        <v>41</v>
      </c>
      <c r="H87" t="s">
        <v>58</v>
      </c>
      <c r="I87" t="s">
        <v>157</v>
      </c>
      <c r="K87">
        <v>23</v>
      </c>
      <c r="L87" s="13"/>
      <c r="M87" s="13">
        <v>46630</v>
      </c>
      <c r="N87" s="13">
        <v>46630</v>
      </c>
      <c r="O87" s="13">
        <v>46630</v>
      </c>
      <c r="P87" s="24">
        <v>3833994024.2763772</v>
      </c>
      <c r="V87">
        <v>1</v>
      </c>
      <c r="W87" t="s">
        <v>33</v>
      </c>
      <c r="Y87" t="s">
        <v>33</v>
      </c>
      <c r="Z87" t="s">
        <v>34</v>
      </c>
      <c r="AA87">
        <v>1</v>
      </c>
    </row>
    <row r="88" spans="1:27" x14ac:dyDescent="0.35">
      <c r="A88" s="13">
        <v>45930</v>
      </c>
      <c r="B88">
        <v>1</v>
      </c>
      <c r="D88" t="s">
        <v>31</v>
      </c>
      <c r="E88" t="s">
        <v>41</v>
      </c>
      <c r="F88" t="s">
        <v>41</v>
      </c>
      <c r="H88" t="s">
        <v>58</v>
      </c>
      <c r="I88" t="s">
        <v>157</v>
      </c>
      <c r="K88">
        <v>24</v>
      </c>
      <c r="L88" s="13"/>
      <c r="M88" s="13">
        <v>46660</v>
      </c>
      <c r="N88" s="13">
        <v>46660</v>
      </c>
      <c r="O88" s="13">
        <v>46660</v>
      </c>
      <c r="P88" s="24">
        <v>3833994024.2763772</v>
      </c>
      <c r="V88">
        <v>1</v>
      </c>
      <c r="W88" t="s">
        <v>33</v>
      </c>
      <c r="Y88" t="s">
        <v>33</v>
      </c>
      <c r="Z88" t="s">
        <v>34</v>
      </c>
      <c r="AA88">
        <v>1</v>
      </c>
    </row>
    <row r="89" spans="1:27" x14ac:dyDescent="0.35">
      <c r="A89" s="13">
        <v>45930</v>
      </c>
      <c r="B89">
        <v>1</v>
      </c>
      <c r="D89" t="s">
        <v>31</v>
      </c>
      <c r="E89" t="s">
        <v>41</v>
      </c>
      <c r="F89" t="s">
        <v>41</v>
      </c>
      <c r="H89" t="s">
        <v>58</v>
      </c>
      <c r="I89" t="s">
        <v>157</v>
      </c>
      <c r="K89">
        <v>25</v>
      </c>
      <c r="L89" s="13"/>
      <c r="M89" s="13">
        <v>46691</v>
      </c>
      <c r="N89" s="13">
        <v>46691</v>
      </c>
      <c r="O89" s="13">
        <v>46691</v>
      </c>
      <c r="P89" s="24">
        <v>3833994024.2763772</v>
      </c>
      <c r="V89">
        <v>1</v>
      </c>
      <c r="W89" t="s">
        <v>33</v>
      </c>
      <c r="Y89" t="s">
        <v>33</v>
      </c>
      <c r="Z89" t="s">
        <v>34</v>
      </c>
      <c r="AA89">
        <v>1</v>
      </c>
    </row>
    <row r="90" spans="1:27" x14ac:dyDescent="0.35">
      <c r="A90" s="13">
        <v>45930</v>
      </c>
      <c r="B90">
        <v>1</v>
      </c>
      <c r="D90" t="s">
        <v>31</v>
      </c>
      <c r="E90" t="s">
        <v>41</v>
      </c>
      <c r="F90" t="s">
        <v>41</v>
      </c>
      <c r="H90" t="s">
        <v>58</v>
      </c>
      <c r="I90" t="s">
        <v>157</v>
      </c>
      <c r="K90">
        <v>26</v>
      </c>
      <c r="L90" s="13"/>
      <c r="M90" s="13">
        <v>46721</v>
      </c>
      <c r="N90" s="13">
        <v>46721</v>
      </c>
      <c r="O90" s="13">
        <v>46721</v>
      </c>
      <c r="P90" s="24">
        <v>3833994024.2763772</v>
      </c>
      <c r="V90">
        <v>1</v>
      </c>
      <c r="W90" t="s">
        <v>33</v>
      </c>
      <c r="Y90" t="s">
        <v>33</v>
      </c>
      <c r="Z90" t="s">
        <v>34</v>
      </c>
      <c r="AA90">
        <v>1</v>
      </c>
    </row>
    <row r="91" spans="1:27" x14ac:dyDescent="0.35">
      <c r="A91" s="13">
        <v>45930</v>
      </c>
      <c r="B91">
        <v>1</v>
      </c>
      <c r="D91" t="s">
        <v>31</v>
      </c>
      <c r="E91" t="s">
        <v>41</v>
      </c>
      <c r="F91" t="s">
        <v>41</v>
      </c>
      <c r="H91" t="s">
        <v>58</v>
      </c>
      <c r="I91" t="s">
        <v>157</v>
      </c>
      <c r="K91">
        <v>27</v>
      </c>
      <c r="L91" s="13"/>
      <c r="M91" s="13">
        <v>46752</v>
      </c>
      <c r="N91" s="13">
        <v>46752</v>
      </c>
      <c r="O91" s="13">
        <v>46752</v>
      </c>
      <c r="P91" s="24">
        <v>3833994024.2763772</v>
      </c>
      <c r="V91">
        <v>1</v>
      </c>
      <c r="W91" t="s">
        <v>33</v>
      </c>
      <c r="Y91" t="s">
        <v>33</v>
      </c>
      <c r="Z91" t="s">
        <v>34</v>
      </c>
      <c r="AA91">
        <v>1</v>
      </c>
    </row>
    <row r="92" spans="1:27" x14ac:dyDescent="0.35">
      <c r="A92" s="13">
        <v>45930</v>
      </c>
      <c r="B92">
        <v>1</v>
      </c>
      <c r="D92" t="s">
        <v>31</v>
      </c>
      <c r="E92" t="s">
        <v>41</v>
      </c>
      <c r="F92" t="s">
        <v>41</v>
      </c>
      <c r="H92" t="s">
        <v>58</v>
      </c>
      <c r="I92" t="s">
        <v>157</v>
      </c>
      <c r="K92">
        <v>28</v>
      </c>
      <c r="L92" s="13"/>
      <c r="M92" s="13">
        <v>46783</v>
      </c>
      <c r="N92" s="13">
        <v>46783</v>
      </c>
      <c r="O92" s="13">
        <v>46783</v>
      </c>
      <c r="P92" s="24">
        <v>3833994024.2763772</v>
      </c>
      <c r="V92">
        <v>1</v>
      </c>
      <c r="W92" t="s">
        <v>33</v>
      </c>
      <c r="Y92" t="s">
        <v>33</v>
      </c>
      <c r="Z92" t="s">
        <v>34</v>
      </c>
      <c r="AA92">
        <v>1</v>
      </c>
    </row>
    <row r="93" spans="1:27" x14ac:dyDescent="0.35">
      <c r="A93" s="13">
        <v>45930</v>
      </c>
      <c r="B93">
        <v>1</v>
      </c>
      <c r="D93" t="s">
        <v>31</v>
      </c>
      <c r="E93" t="s">
        <v>41</v>
      </c>
      <c r="F93" t="s">
        <v>41</v>
      </c>
      <c r="H93" t="s">
        <v>58</v>
      </c>
      <c r="I93" t="s">
        <v>157</v>
      </c>
      <c r="K93">
        <v>29</v>
      </c>
      <c r="L93" s="13"/>
      <c r="M93" s="13">
        <v>46812</v>
      </c>
      <c r="N93" s="13">
        <v>46812</v>
      </c>
      <c r="O93" s="13">
        <v>46812</v>
      </c>
      <c r="P93" s="24">
        <v>3833994024.2763772</v>
      </c>
      <c r="V93">
        <v>1</v>
      </c>
      <c r="W93" t="s">
        <v>33</v>
      </c>
      <c r="Y93" t="s">
        <v>33</v>
      </c>
      <c r="Z93" t="s">
        <v>34</v>
      </c>
      <c r="AA93">
        <v>1</v>
      </c>
    </row>
    <row r="94" spans="1:27" x14ac:dyDescent="0.35">
      <c r="A94" s="13">
        <v>45930</v>
      </c>
      <c r="B94">
        <v>1</v>
      </c>
      <c r="D94" t="s">
        <v>31</v>
      </c>
      <c r="E94" t="s">
        <v>41</v>
      </c>
      <c r="F94" t="s">
        <v>41</v>
      </c>
      <c r="H94" t="s">
        <v>58</v>
      </c>
      <c r="I94" t="s">
        <v>157</v>
      </c>
      <c r="K94">
        <v>30</v>
      </c>
      <c r="L94" s="13"/>
      <c r="M94" s="13">
        <v>46843</v>
      </c>
      <c r="N94" s="13">
        <v>46843</v>
      </c>
      <c r="O94" s="13">
        <v>46843</v>
      </c>
      <c r="P94" s="24">
        <v>3833994024.2763772</v>
      </c>
      <c r="V94">
        <v>1</v>
      </c>
      <c r="W94" t="s">
        <v>33</v>
      </c>
      <c r="Y94" t="s">
        <v>33</v>
      </c>
      <c r="Z94" t="s">
        <v>34</v>
      </c>
      <c r="AA94">
        <v>1</v>
      </c>
    </row>
    <row r="95" spans="1:27" x14ac:dyDescent="0.35">
      <c r="A95" s="13">
        <v>45930</v>
      </c>
      <c r="B95">
        <v>1</v>
      </c>
      <c r="D95" t="s">
        <v>31</v>
      </c>
      <c r="E95" t="s">
        <v>41</v>
      </c>
      <c r="F95" t="s">
        <v>41</v>
      </c>
      <c r="H95" t="s">
        <v>58</v>
      </c>
      <c r="I95" t="s">
        <v>157</v>
      </c>
      <c r="K95">
        <v>31</v>
      </c>
      <c r="L95" s="13"/>
      <c r="M95" s="13">
        <v>46873</v>
      </c>
      <c r="N95" s="13">
        <v>46873</v>
      </c>
      <c r="O95" s="13">
        <v>46873</v>
      </c>
      <c r="P95" s="24">
        <v>3833994024.2763772</v>
      </c>
      <c r="V95">
        <v>1</v>
      </c>
      <c r="W95" t="s">
        <v>33</v>
      </c>
      <c r="Y95" t="s">
        <v>33</v>
      </c>
      <c r="Z95" t="s">
        <v>34</v>
      </c>
      <c r="AA95">
        <v>1</v>
      </c>
    </row>
    <row r="96" spans="1:27" x14ac:dyDescent="0.35">
      <c r="A96" s="13">
        <v>45930</v>
      </c>
      <c r="B96">
        <v>1</v>
      </c>
      <c r="D96" t="s">
        <v>31</v>
      </c>
      <c r="E96" t="s">
        <v>41</v>
      </c>
      <c r="F96" t="s">
        <v>41</v>
      </c>
      <c r="H96" t="s">
        <v>58</v>
      </c>
      <c r="I96" t="s">
        <v>157</v>
      </c>
      <c r="K96">
        <v>32</v>
      </c>
      <c r="L96" s="13"/>
      <c r="M96" s="13">
        <v>46904</v>
      </c>
      <c r="N96" s="13">
        <v>46904</v>
      </c>
      <c r="O96" s="13">
        <v>46904</v>
      </c>
      <c r="P96" s="24">
        <v>3833994024.2763772</v>
      </c>
      <c r="V96">
        <v>1</v>
      </c>
      <c r="W96" t="s">
        <v>33</v>
      </c>
      <c r="Y96" t="s">
        <v>33</v>
      </c>
      <c r="Z96" t="s">
        <v>34</v>
      </c>
      <c r="AA96">
        <v>1</v>
      </c>
    </row>
    <row r="97" spans="1:27" x14ac:dyDescent="0.35">
      <c r="A97" s="13">
        <v>45930</v>
      </c>
      <c r="B97">
        <v>1</v>
      </c>
      <c r="D97" t="s">
        <v>31</v>
      </c>
      <c r="E97" t="s">
        <v>41</v>
      </c>
      <c r="F97" t="s">
        <v>41</v>
      </c>
      <c r="H97" t="s">
        <v>58</v>
      </c>
      <c r="I97" t="s">
        <v>157</v>
      </c>
      <c r="K97">
        <v>33</v>
      </c>
      <c r="L97" s="13"/>
      <c r="M97" s="13">
        <v>46934</v>
      </c>
      <c r="N97" s="13">
        <v>46934</v>
      </c>
      <c r="O97" s="13">
        <v>46934</v>
      </c>
      <c r="P97" s="24">
        <v>260558730.15873015</v>
      </c>
      <c r="V97">
        <v>1</v>
      </c>
      <c r="W97" t="s">
        <v>33</v>
      </c>
      <c r="Y97" t="s">
        <v>33</v>
      </c>
      <c r="Z97" t="s">
        <v>34</v>
      </c>
      <c r="AA97">
        <v>1</v>
      </c>
    </row>
    <row r="98" spans="1:27" x14ac:dyDescent="0.35">
      <c r="A98" s="13">
        <v>45930</v>
      </c>
      <c r="B98">
        <v>1</v>
      </c>
      <c r="D98" t="s">
        <v>31</v>
      </c>
      <c r="E98" t="s">
        <v>41</v>
      </c>
      <c r="F98" t="s">
        <v>41</v>
      </c>
      <c r="H98" t="s">
        <v>58</v>
      </c>
      <c r="I98" t="s">
        <v>157</v>
      </c>
      <c r="K98">
        <v>34</v>
      </c>
      <c r="L98" s="13"/>
      <c r="M98" s="13">
        <v>46965</v>
      </c>
      <c r="N98" s="13">
        <v>46965</v>
      </c>
      <c r="O98" s="13">
        <v>46965</v>
      </c>
      <c r="P98" s="24">
        <v>260558730.15873015</v>
      </c>
      <c r="V98">
        <v>1</v>
      </c>
      <c r="W98" t="s">
        <v>33</v>
      </c>
      <c r="Y98" t="s">
        <v>33</v>
      </c>
      <c r="Z98" t="s">
        <v>34</v>
      </c>
      <c r="AA98">
        <v>1</v>
      </c>
    </row>
    <row r="99" spans="1:27" x14ac:dyDescent="0.35">
      <c r="A99" s="13">
        <v>45930</v>
      </c>
      <c r="B99">
        <v>1</v>
      </c>
      <c r="D99" t="s">
        <v>31</v>
      </c>
      <c r="E99" t="s">
        <v>41</v>
      </c>
      <c r="F99" t="s">
        <v>41</v>
      </c>
      <c r="H99" t="s">
        <v>58</v>
      </c>
      <c r="I99" t="s">
        <v>157</v>
      </c>
      <c r="K99">
        <v>35</v>
      </c>
      <c r="L99" s="13"/>
      <c r="M99" s="13">
        <v>45961</v>
      </c>
      <c r="N99" s="13">
        <v>45961</v>
      </c>
      <c r="O99" s="13">
        <v>45961</v>
      </c>
      <c r="P99" s="24">
        <v>260558730.15873015</v>
      </c>
      <c r="V99">
        <v>1</v>
      </c>
      <c r="W99" t="s">
        <v>33</v>
      </c>
      <c r="Y99" t="s">
        <v>33</v>
      </c>
      <c r="Z99" t="s">
        <v>34</v>
      </c>
      <c r="AA99">
        <v>1</v>
      </c>
    </row>
    <row r="100" spans="1:27" x14ac:dyDescent="0.35">
      <c r="A100" s="13">
        <v>45930</v>
      </c>
      <c r="B100">
        <v>1</v>
      </c>
      <c r="D100" t="s">
        <v>31</v>
      </c>
      <c r="E100" t="s">
        <v>41</v>
      </c>
      <c r="F100" t="s">
        <v>41</v>
      </c>
      <c r="H100" t="s">
        <v>58</v>
      </c>
      <c r="I100" t="s">
        <v>157</v>
      </c>
      <c r="K100">
        <v>36</v>
      </c>
      <c r="L100" s="13"/>
      <c r="M100" s="13">
        <v>45991</v>
      </c>
      <c r="N100" s="13">
        <v>45991</v>
      </c>
      <c r="O100" s="13">
        <v>45991</v>
      </c>
      <c r="P100" s="24">
        <v>260558730.15873015</v>
      </c>
      <c r="V100">
        <v>1</v>
      </c>
      <c r="W100" t="s">
        <v>33</v>
      </c>
      <c r="Y100" t="s">
        <v>33</v>
      </c>
      <c r="Z100" t="s">
        <v>34</v>
      </c>
      <c r="AA100">
        <v>1</v>
      </c>
    </row>
    <row r="101" spans="1:27" x14ac:dyDescent="0.35">
      <c r="A101" s="13">
        <v>45930</v>
      </c>
      <c r="B101">
        <v>1</v>
      </c>
      <c r="D101" t="s">
        <v>31</v>
      </c>
      <c r="E101" t="s">
        <v>41</v>
      </c>
      <c r="F101" t="s">
        <v>41</v>
      </c>
      <c r="H101" t="s">
        <v>58</v>
      </c>
      <c r="I101" t="s">
        <v>157</v>
      </c>
      <c r="K101">
        <v>37</v>
      </c>
      <c r="L101" s="13"/>
      <c r="M101" s="13">
        <v>46022</v>
      </c>
      <c r="N101" s="13">
        <v>46022</v>
      </c>
      <c r="O101" s="13">
        <v>46022</v>
      </c>
      <c r="P101" s="24">
        <v>260558730.15873015</v>
      </c>
      <c r="V101">
        <v>1</v>
      </c>
      <c r="W101" t="s">
        <v>33</v>
      </c>
      <c r="Y101" t="s">
        <v>33</v>
      </c>
      <c r="Z101" t="s">
        <v>34</v>
      </c>
      <c r="AA101">
        <v>1</v>
      </c>
    </row>
    <row r="102" spans="1:27" x14ac:dyDescent="0.35">
      <c r="A102" s="13">
        <v>45930</v>
      </c>
      <c r="B102">
        <v>1</v>
      </c>
      <c r="D102" t="s">
        <v>31</v>
      </c>
      <c r="E102" t="s">
        <v>41</v>
      </c>
      <c r="F102" t="s">
        <v>41</v>
      </c>
      <c r="H102" t="s">
        <v>58</v>
      </c>
      <c r="I102" t="s">
        <v>157</v>
      </c>
      <c r="K102">
        <v>38</v>
      </c>
      <c r="L102" s="13"/>
      <c r="M102" s="13">
        <v>46053</v>
      </c>
      <c r="N102" s="13">
        <v>46053</v>
      </c>
      <c r="O102" s="13">
        <v>46053</v>
      </c>
      <c r="P102" s="24">
        <v>260558730.15873015</v>
      </c>
      <c r="V102">
        <v>1</v>
      </c>
      <c r="W102" t="s">
        <v>33</v>
      </c>
      <c r="Y102" t="s">
        <v>33</v>
      </c>
      <c r="Z102" t="s">
        <v>34</v>
      </c>
      <c r="AA102">
        <v>1</v>
      </c>
    </row>
    <row r="103" spans="1:27" x14ac:dyDescent="0.35">
      <c r="A103" s="13">
        <v>45930</v>
      </c>
      <c r="B103">
        <v>1</v>
      </c>
      <c r="D103" t="s">
        <v>31</v>
      </c>
      <c r="E103" t="s">
        <v>41</v>
      </c>
      <c r="F103" t="s">
        <v>41</v>
      </c>
      <c r="H103" t="s">
        <v>58</v>
      </c>
      <c r="I103" t="s">
        <v>157</v>
      </c>
      <c r="K103">
        <v>39</v>
      </c>
      <c r="L103" s="13"/>
      <c r="M103" s="13">
        <v>46081</v>
      </c>
      <c r="N103" s="13">
        <v>46081</v>
      </c>
      <c r="O103" s="13">
        <v>46081</v>
      </c>
      <c r="P103" s="24">
        <v>260558730.15873015</v>
      </c>
      <c r="V103">
        <v>1</v>
      </c>
      <c r="W103" t="s">
        <v>33</v>
      </c>
      <c r="Y103" t="s">
        <v>33</v>
      </c>
      <c r="Z103" t="s">
        <v>34</v>
      </c>
      <c r="AA103">
        <v>1</v>
      </c>
    </row>
    <row r="104" spans="1:27" x14ac:dyDescent="0.35">
      <c r="A104" s="13">
        <v>45930</v>
      </c>
      <c r="B104">
        <v>1</v>
      </c>
      <c r="D104" t="s">
        <v>31</v>
      </c>
      <c r="E104" t="s">
        <v>41</v>
      </c>
      <c r="F104" t="s">
        <v>41</v>
      </c>
      <c r="H104" t="s">
        <v>58</v>
      </c>
      <c r="I104" t="s">
        <v>157</v>
      </c>
      <c r="K104">
        <v>40</v>
      </c>
      <c r="L104" s="13"/>
      <c r="M104" s="13">
        <v>46112</v>
      </c>
      <c r="N104" s="13">
        <v>46112</v>
      </c>
      <c r="O104" s="13">
        <v>46112</v>
      </c>
      <c r="P104" s="24">
        <v>260558730.15873015</v>
      </c>
      <c r="V104">
        <v>1</v>
      </c>
      <c r="W104" t="s">
        <v>33</v>
      </c>
      <c r="Y104" t="s">
        <v>33</v>
      </c>
      <c r="Z104" t="s">
        <v>34</v>
      </c>
      <c r="AA104">
        <v>1</v>
      </c>
    </row>
    <row r="105" spans="1:27" x14ac:dyDescent="0.35">
      <c r="A105" s="13">
        <v>45930</v>
      </c>
      <c r="B105">
        <v>1</v>
      </c>
      <c r="D105" t="s">
        <v>31</v>
      </c>
      <c r="E105" t="s">
        <v>41</v>
      </c>
      <c r="F105" t="s">
        <v>41</v>
      </c>
      <c r="H105" t="s">
        <v>58</v>
      </c>
      <c r="I105" t="s">
        <v>157</v>
      </c>
      <c r="K105">
        <v>41</v>
      </c>
      <c r="L105" s="13"/>
      <c r="M105" s="13">
        <v>46142</v>
      </c>
      <c r="N105" s="13">
        <v>46142</v>
      </c>
      <c r="O105" s="13">
        <v>46142</v>
      </c>
      <c r="P105" s="24">
        <v>260558730.15873015</v>
      </c>
      <c r="V105">
        <v>1</v>
      </c>
      <c r="W105" t="s">
        <v>33</v>
      </c>
      <c r="Y105" t="s">
        <v>33</v>
      </c>
      <c r="Z105" t="s">
        <v>34</v>
      </c>
      <c r="AA105">
        <v>1</v>
      </c>
    </row>
    <row r="106" spans="1:27" x14ac:dyDescent="0.35">
      <c r="A106" s="13">
        <v>45930</v>
      </c>
      <c r="B106">
        <v>1</v>
      </c>
      <c r="D106" t="s">
        <v>31</v>
      </c>
      <c r="E106" t="s">
        <v>41</v>
      </c>
      <c r="F106" t="s">
        <v>41</v>
      </c>
      <c r="H106" t="s">
        <v>58</v>
      </c>
      <c r="I106" t="s">
        <v>157</v>
      </c>
      <c r="K106">
        <v>42</v>
      </c>
      <c r="L106" s="13"/>
      <c r="M106" s="13">
        <v>46173</v>
      </c>
      <c r="N106" s="13">
        <v>46173</v>
      </c>
      <c r="O106" s="13">
        <v>46173</v>
      </c>
      <c r="P106" s="24">
        <v>89162651.727357611</v>
      </c>
      <c r="V106">
        <v>1</v>
      </c>
      <c r="W106" t="s">
        <v>33</v>
      </c>
      <c r="Y106" t="s">
        <v>33</v>
      </c>
      <c r="Z106" t="s">
        <v>34</v>
      </c>
      <c r="AA106">
        <v>1</v>
      </c>
    </row>
    <row r="107" spans="1:27" x14ac:dyDescent="0.35">
      <c r="A107" s="13">
        <v>45930</v>
      </c>
      <c r="B107">
        <v>1</v>
      </c>
      <c r="D107" t="s">
        <v>31</v>
      </c>
      <c r="E107" t="s">
        <v>41</v>
      </c>
      <c r="F107" t="s">
        <v>41</v>
      </c>
      <c r="H107" t="s">
        <v>58</v>
      </c>
      <c r="I107" t="s">
        <v>157</v>
      </c>
      <c r="K107">
        <v>43</v>
      </c>
      <c r="L107" s="13"/>
      <c r="M107" s="13">
        <v>46203</v>
      </c>
      <c r="N107" s="13">
        <v>46203</v>
      </c>
      <c r="O107" s="13">
        <v>46203</v>
      </c>
      <c r="P107" s="24">
        <v>0</v>
      </c>
      <c r="V107">
        <v>1</v>
      </c>
      <c r="W107" t="s">
        <v>33</v>
      </c>
      <c r="Y107" t="s">
        <v>33</v>
      </c>
      <c r="Z107" t="s">
        <v>34</v>
      </c>
      <c r="AA107">
        <v>1</v>
      </c>
    </row>
    <row r="108" spans="1:27" x14ac:dyDescent="0.35">
      <c r="A108" s="13">
        <v>45930</v>
      </c>
      <c r="B108">
        <v>1</v>
      </c>
      <c r="D108" t="s">
        <v>31</v>
      </c>
      <c r="E108" t="s">
        <v>41</v>
      </c>
      <c r="F108" t="s">
        <v>41</v>
      </c>
      <c r="H108" t="s">
        <v>58</v>
      </c>
      <c r="I108" t="s">
        <v>157</v>
      </c>
      <c r="K108">
        <v>44</v>
      </c>
      <c r="L108" s="13"/>
      <c r="M108" s="13">
        <v>46234</v>
      </c>
      <c r="N108" s="13">
        <v>46234</v>
      </c>
      <c r="O108" s="13">
        <v>46234</v>
      </c>
      <c r="P108" s="24">
        <v>0</v>
      </c>
      <c r="V108">
        <v>1</v>
      </c>
      <c r="W108" t="s">
        <v>33</v>
      </c>
      <c r="Y108" t="s">
        <v>33</v>
      </c>
      <c r="Z108" t="s">
        <v>34</v>
      </c>
      <c r="AA108">
        <v>1</v>
      </c>
    </row>
    <row r="109" spans="1:27" x14ac:dyDescent="0.35">
      <c r="A109" s="13">
        <v>45930</v>
      </c>
      <c r="B109">
        <v>1</v>
      </c>
      <c r="D109" t="s">
        <v>31</v>
      </c>
      <c r="E109" t="s">
        <v>41</v>
      </c>
      <c r="F109" t="s">
        <v>41</v>
      </c>
      <c r="H109" t="s">
        <v>58</v>
      </c>
      <c r="I109" t="s">
        <v>157</v>
      </c>
      <c r="K109">
        <v>45</v>
      </c>
      <c r="L109" s="13"/>
      <c r="M109" s="13">
        <v>46265</v>
      </c>
      <c r="N109" s="13">
        <v>46265</v>
      </c>
      <c r="O109" s="13">
        <v>46265</v>
      </c>
      <c r="P109" s="24">
        <v>0</v>
      </c>
      <c r="V109">
        <v>1</v>
      </c>
      <c r="W109" t="s">
        <v>33</v>
      </c>
      <c r="Y109" t="s">
        <v>33</v>
      </c>
      <c r="Z109" t="s">
        <v>34</v>
      </c>
      <c r="AA109">
        <v>1</v>
      </c>
    </row>
    <row r="110" spans="1:27" x14ac:dyDescent="0.35">
      <c r="A110" s="13">
        <v>45930</v>
      </c>
      <c r="B110">
        <v>1</v>
      </c>
      <c r="D110" t="s">
        <v>31</v>
      </c>
      <c r="E110" t="s">
        <v>41</v>
      </c>
      <c r="F110" t="s">
        <v>41</v>
      </c>
      <c r="H110" t="s">
        <v>58</v>
      </c>
      <c r="I110" t="s">
        <v>157</v>
      </c>
      <c r="K110">
        <v>46</v>
      </c>
      <c r="L110" s="13"/>
      <c r="M110" s="13">
        <v>46295</v>
      </c>
      <c r="N110" s="13">
        <v>46295</v>
      </c>
      <c r="O110" s="13">
        <v>46295</v>
      </c>
      <c r="P110" s="24">
        <v>0</v>
      </c>
      <c r="V110">
        <v>1</v>
      </c>
      <c r="W110" t="s">
        <v>33</v>
      </c>
      <c r="Y110" t="s">
        <v>33</v>
      </c>
      <c r="Z110" t="s">
        <v>34</v>
      </c>
      <c r="AA110">
        <v>1</v>
      </c>
    </row>
    <row r="111" spans="1:27" x14ac:dyDescent="0.35">
      <c r="A111" s="13">
        <v>45930</v>
      </c>
      <c r="B111">
        <v>1</v>
      </c>
      <c r="D111" t="s">
        <v>31</v>
      </c>
      <c r="E111" t="s">
        <v>41</v>
      </c>
      <c r="F111" t="s">
        <v>41</v>
      </c>
      <c r="H111" t="s">
        <v>58</v>
      </c>
      <c r="I111" t="s">
        <v>157</v>
      </c>
      <c r="K111">
        <v>47</v>
      </c>
      <c r="L111" s="13"/>
      <c r="M111" s="13">
        <v>46326</v>
      </c>
      <c r="N111" s="13">
        <v>46326</v>
      </c>
      <c r="O111" s="13">
        <v>46326</v>
      </c>
      <c r="P111" s="24">
        <v>0</v>
      </c>
      <c r="V111">
        <v>1</v>
      </c>
      <c r="W111" t="s">
        <v>33</v>
      </c>
      <c r="Y111" t="s">
        <v>33</v>
      </c>
      <c r="Z111" t="s">
        <v>34</v>
      </c>
      <c r="AA111">
        <v>1</v>
      </c>
    </row>
    <row r="112" spans="1:27" x14ac:dyDescent="0.35">
      <c r="A112" s="13">
        <v>45930</v>
      </c>
      <c r="B112">
        <v>1</v>
      </c>
      <c r="D112" t="s">
        <v>31</v>
      </c>
      <c r="E112" t="s">
        <v>41</v>
      </c>
      <c r="F112" t="s">
        <v>41</v>
      </c>
      <c r="H112" t="s">
        <v>58</v>
      </c>
      <c r="I112" t="s">
        <v>156</v>
      </c>
      <c r="K112">
        <v>48</v>
      </c>
      <c r="L112" s="13"/>
      <c r="M112" s="13">
        <v>46356</v>
      </c>
      <c r="N112" s="13">
        <v>46356</v>
      </c>
      <c r="O112" s="13">
        <v>46356</v>
      </c>
      <c r="P112" s="24">
        <v>0</v>
      </c>
      <c r="V112">
        <v>1</v>
      </c>
      <c r="W112" t="s">
        <v>33</v>
      </c>
      <c r="Y112" t="s">
        <v>33</v>
      </c>
      <c r="Z112" t="s">
        <v>34</v>
      </c>
      <c r="AA112">
        <v>1</v>
      </c>
    </row>
    <row r="113" spans="1:27" x14ac:dyDescent="0.35">
      <c r="A113" s="13">
        <v>45930</v>
      </c>
      <c r="B113">
        <v>1</v>
      </c>
      <c r="D113" t="s">
        <v>31</v>
      </c>
      <c r="E113" t="s">
        <v>41</v>
      </c>
      <c r="F113" t="s">
        <v>41</v>
      </c>
      <c r="H113" t="s">
        <v>58</v>
      </c>
      <c r="I113" t="s">
        <v>156</v>
      </c>
      <c r="K113">
        <v>49</v>
      </c>
      <c r="L113" s="13"/>
      <c r="M113" s="13">
        <v>46387</v>
      </c>
      <c r="N113" s="13">
        <v>46387</v>
      </c>
      <c r="O113" s="13">
        <v>46387</v>
      </c>
      <c r="P113" s="24">
        <v>0</v>
      </c>
      <c r="V113">
        <v>1</v>
      </c>
      <c r="W113" t="s">
        <v>33</v>
      </c>
      <c r="Y113" t="s">
        <v>33</v>
      </c>
      <c r="Z113" t="s">
        <v>34</v>
      </c>
      <c r="AA113">
        <v>1</v>
      </c>
    </row>
    <row r="114" spans="1:27" x14ac:dyDescent="0.35">
      <c r="A114" s="13">
        <v>45930</v>
      </c>
      <c r="B114">
        <v>1</v>
      </c>
      <c r="D114" t="s">
        <v>31</v>
      </c>
      <c r="E114" t="s">
        <v>32</v>
      </c>
      <c r="F114" t="s">
        <v>32</v>
      </c>
      <c r="H114" t="s">
        <v>59</v>
      </c>
      <c r="I114" t="s">
        <v>60</v>
      </c>
      <c r="L114" s="13"/>
      <c r="M114" s="13">
        <v>45931</v>
      </c>
      <c r="N114" s="13">
        <v>45931</v>
      </c>
      <c r="O114" s="13">
        <v>45931</v>
      </c>
      <c r="P114" s="24">
        <v>974142</v>
      </c>
      <c r="V114">
        <v>1</v>
      </c>
      <c r="W114" t="s">
        <v>33</v>
      </c>
      <c r="Y114" t="s">
        <v>33</v>
      </c>
      <c r="Z114" t="s">
        <v>34</v>
      </c>
      <c r="AA114">
        <v>1</v>
      </c>
    </row>
    <row r="115" spans="1:27" x14ac:dyDescent="0.35">
      <c r="A115" s="13">
        <v>45930</v>
      </c>
      <c r="B115">
        <v>1</v>
      </c>
      <c r="D115" t="s">
        <v>31</v>
      </c>
      <c r="E115" t="s">
        <v>32</v>
      </c>
      <c r="F115" t="s">
        <v>32</v>
      </c>
      <c r="H115" t="s">
        <v>59</v>
      </c>
      <c r="I115" t="s">
        <v>159</v>
      </c>
      <c r="K115">
        <v>1</v>
      </c>
      <c r="L115" s="13"/>
      <c r="M115" s="13">
        <v>45961</v>
      </c>
      <c r="N115" s="13">
        <v>45961</v>
      </c>
      <c r="O115" s="13">
        <v>45961</v>
      </c>
      <c r="P115" s="24">
        <v>26803.587027067224</v>
      </c>
      <c r="V115">
        <v>1</v>
      </c>
      <c r="W115" t="s">
        <v>33</v>
      </c>
      <c r="Y115" t="s">
        <v>33</v>
      </c>
      <c r="Z115" t="s">
        <v>34</v>
      </c>
      <c r="AA115">
        <v>1</v>
      </c>
    </row>
    <row r="116" spans="1:27" x14ac:dyDescent="0.35">
      <c r="A116" s="13">
        <v>45930</v>
      </c>
      <c r="B116">
        <v>1</v>
      </c>
      <c r="D116" t="s">
        <v>31</v>
      </c>
      <c r="E116" t="s">
        <v>32</v>
      </c>
      <c r="F116" t="s">
        <v>32</v>
      </c>
      <c r="H116" t="s">
        <v>59</v>
      </c>
      <c r="I116" t="s">
        <v>159</v>
      </c>
      <c r="K116">
        <v>2</v>
      </c>
      <c r="L116" s="13"/>
      <c r="M116" s="13">
        <v>45991</v>
      </c>
      <c r="N116" s="13">
        <v>45991</v>
      </c>
      <c r="O116" s="13">
        <v>45991</v>
      </c>
      <c r="P116" s="24">
        <v>26803.587027067224</v>
      </c>
      <c r="V116">
        <v>1</v>
      </c>
      <c r="W116" t="s">
        <v>33</v>
      </c>
      <c r="Y116" t="s">
        <v>33</v>
      </c>
      <c r="Z116" t="s">
        <v>34</v>
      </c>
      <c r="AA116">
        <v>1</v>
      </c>
    </row>
    <row r="117" spans="1:27" x14ac:dyDescent="0.35">
      <c r="A117" s="13">
        <v>45930</v>
      </c>
      <c r="B117">
        <v>1</v>
      </c>
      <c r="D117" t="s">
        <v>31</v>
      </c>
      <c r="E117" t="s">
        <v>32</v>
      </c>
      <c r="F117" t="s">
        <v>32</v>
      </c>
      <c r="H117" t="s">
        <v>59</v>
      </c>
      <c r="I117" t="s">
        <v>159</v>
      </c>
      <c r="K117">
        <v>3</v>
      </c>
      <c r="L117" s="13"/>
      <c r="M117" s="13">
        <v>46022</v>
      </c>
      <c r="N117" s="13">
        <v>46022</v>
      </c>
      <c r="O117" s="13">
        <v>46022</v>
      </c>
      <c r="P117" s="24">
        <v>26803.587027067224</v>
      </c>
      <c r="V117">
        <v>1</v>
      </c>
      <c r="W117" t="s">
        <v>33</v>
      </c>
      <c r="Y117" t="s">
        <v>33</v>
      </c>
      <c r="Z117" t="s">
        <v>34</v>
      </c>
      <c r="AA117">
        <v>1</v>
      </c>
    </row>
    <row r="118" spans="1:27" x14ac:dyDescent="0.35">
      <c r="A118" s="13">
        <v>45930</v>
      </c>
      <c r="B118">
        <v>1</v>
      </c>
      <c r="D118" t="s">
        <v>31</v>
      </c>
      <c r="E118" t="s">
        <v>32</v>
      </c>
      <c r="F118" t="s">
        <v>32</v>
      </c>
      <c r="H118" t="s">
        <v>59</v>
      </c>
      <c r="I118" t="s">
        <v>159</v>
      </c>
      <c r="K118">
        <v>4</v>
      </c>
      <c r="L118" s="13"/>
      <c r="M118" s="13">
        <v>46053</v>
      </c>
      <c r="N118" s="13">
        <v>46053</v>
      </c>
      <c r="O118" s="13">
        <v>46053</v>
      </c>
      <c r="P118" s="24">
        <v>26803.587027067224</v>
      </c>
      <c r="V118">
        <v>1</v>
      </c>
      <c r="W118" t="s">
        <v>33</v>
      </c>
      <c r="Y118" t="s">
        <v>33</v>
      </c>
      <c r="Z118" t="s">
        <v>34</v>
      </c>
      <c r="AA118">
        <v>1</v>
      </c>
    </row>
    <row r="119" spans="1:27" x14ac:dyDescent="0.35">
      <c r="A119" s="13">
        <v>45930</v>
      </c>
      <c r="B119">
        <v>1</v>
      </c>
      <c r="D119" t="s">
        <v>31</v>
      </c>
      <c r="E119" t="s">
        <v>32</v>
      </c>
      <c r="F119" t="s">
        <v>32</v>
      </c>
      <c r="H119" t="s">
        <v>59</v>
      </c>
      <c r="I119" t="s">
        <v>159</v>
      </c>
      <c r="K119">
        <v>5</v>
      </c>
      <c r="L119" s="13"/>
      <c r="M119" s="13">
        <v>46081</v>
      </c>
      <c r="N119" s="13">
        <v>46081</v>
      </c>
      <c r="O119" s="13">
        <v>46081</v>
      </c>
      <c r="P119" s="24">
        <v>26803.587027067224</v>
      </c>
      <c r="V119">
        <v>1</v>
      </c>
      <c r="W119" t="s">
        <v>33</v>
      </c>
      <c r="Y119" t="s">
        <v>33</v>
      </c>
      <c r="Z119" t="s">
        <v>34</v>
      </c>
      <c r="AA119">
        <v>1</v>
      </c>
    </row>
    <row r="120" spans="1:27" x14ac:dyDescent="0.35">
      <c r="A120" s="13">
        <v>45930</v>
      </c>
      <c r="B120">
        <v>1</v>
      </c>
      <c r="D120" t="s">
        <v>31</v>
      </c>
      <c r="E120" t="s">
        <v>32</v>
      </c>
      <c r="F120" t="s">
        <v>32</v>
      </c>
      <c r="H120" t="s">
        <v>59</v>
      </c>
      <c r="I120" t="s">
        <v>159</v>
      </c>
      <c r="K120">
        <v>6</v>
      </c>
      <c r="L120" s="13"/>
      <c r="M120" s="13">
        <v>46112</v>
      </c>
      <c r="N120" s="13">
        <v>46112</v>
      </c>
      <c r="O120" s="13">
        <v>46112</v>
      </c>
      <c r="P120" s="24">
        <v>26803.587027067224</v>
      </c>
      <c r="V120">
        <v>1</v>
      </c>
      <c r="W120" t="s">
        <v>33</v>
      </c>
      <c r="Y120" t="s">
        <v>33</v>
      </c>
      <c r="Z120" t="s">
        <v>34</v>
      </c>
      <c r="AA120">
        <v>1</v>
      </c>
    </row>
    <row r="121" spans="1:27" x14ac:dyDescent="0.35">
      <c r="A121" s="13">
        <v>45930</v>
      </c>
      <c r="B121">
        <v>1</v>
      </c>
      <c r="D121" t="s">
        <v>31</v>
      </c>
      <c r="E121" t="s">
        <v>32</v>
      </c>
      <c r="F121" t="s">
        <v>32</v>
      </c>
      <c r="H121" t="s">
        <v>59</v>
      </c>
      <c r="I121" t="s">
        <v>159</v>
      </c>
      <c r="K121">
        <v>7</v>
      </c>
      <c r="L121" s="13"/>
      <c r="M121" s="13">
        <v>46142</v>
      </c>
      <c r="N121" s="13">
        <v>46142</v>
      </c>
      <c r="O121" s="13">
        <v>46142</v>
      </c>
      <c r="P121" s="24">
        <v>26803.587027067224</v>
      </c>
      <c r="V121">
        <v>1</v>
      </c>
      <c r="W121" t="s">
        <v>33</v>
      </c>
      <c r="Y121" t="s">
        <v>33</v>
      </c>
      <c r="Z121" t="s">
        <v>34</v>
      </c>
      <c r="AA121">
        <v>1</v>
      </c>
    </row>
    <row r="122" spans="1:27" x14ac:dyDescent="0.35">
      <c r="A122" s="13">
        <v>45930</v>
      </c>
      <c r="B122">
        <v>1</v>
      </c>
      <c r="D122" t="s">
        <v>31</v>
      </c>
      <c r="E122" t="s">
        <v>32</v>
      </c>
      <c r="F122" t="s">
        <v>32</v>
      </c>
      <c r="H122" t="s">
        <v>59</v>
      </c>
      <c r="I122" t="s">
        <v>159</v>
      </c>
      <c r="K122">
        <v>8</v>
      </c>
      <c r="L122" s="13"/>
      <c r="M122" s="13">
        <v>46173</v>
      </c>
      <c r="N122" s="13">
        <v>46173</v>
      </c>
      <c r="O122" s="13">
        <v>46173</v>
      </c>
      <c r="P122" s="24">
        <v>26803.587027067224</v>
      </c>
      <c r="V122">
        <v>1</v>
      </c>
      <c r="W122" t="s">
        <v>33</v>
      </c>
      <c r="Y122" t="s">
        <v>33</v>
      </c>
      <c r="Z122" t="s">
        <v>34</v>
      </c>
      <c r="AA122">
        <v>1</v>
      </c>
    </row>
    <row r="123" spans="1:27" x14ac:dyDescent="0.35">
      <c r="A123" s="13">
        <v>45930</v>
      </c>
      <c r="B123">
        <v>1</v>
      </c>
      <c r="D123" t="s">
        <v>31</v>
      </c>
      <c r="E123" t="s">
        <v>32</v>
      </c>
      <c r="F123" t="s">
        <v>32</v>
      </c>
      <c r="H123" t="s">
        <v>59</v>
      </c>
      <c r="I123" t="s">
        <v>159</v>
      </c>
      <c r="K123">
        <v>9</v>
      </c>
      <c r="L123" s="13"/>
      <c r="M123" s="13">
        <v>46203</v>
      </c>
      <c r="N123" s="13">
        <v>46203</v>
      </c>
      <c r="O123" s="13">
        <v>46203</v>
      </c>
      <c r="P123" s="24">
        <v>26803.587027067224</v>
      </c>
      <c r="V123">
        <v>1</v>
      </c>
      <c r="W123" t="s">
        <v>33</v>
      </c>
      <c r="Y123" t="s">
        <v>33</v>
      </c>
      <c r="Z123" t="s">
        <v>34</v>
      </c>
      <c r="AA123">
        <v>1</v>
      </c>
    </row>
    <row r="124" spans="1:27" x14ac:dyDescent="0.35">
      <c r="A124" s="13">
        <v>45930</v>
      </c>
      <c r="B124">
        <v>1</v>
      </c>
      <c r="D124" t="s">
        <v>31</v>
      </c>
      <c r="E124" t="s">
        <v>32</v>
      </c>
      <c r="F124" t="s">
        <v>32</v>
      </c>
      <c r="H124" t="s">
        <v>59</v>
      </c>
      <c r="I124" t="s">
        <v>159</v>
      </c>
      <c r="K124">
        <v>10</v>
      </c>
      <c r="L124" s="13"/>
      <c r="M124" s="13">
        <v>46234</v>
      </c>
      <c r="N124" s="13">
        <v>46234</v>
      </c>
      <c r="O124" s="13">
        <v>46234</v>
      </c>
      <c r="P124" s="24">
        <v>26803.587027067224</v>
      </c>
      <c r="V124">
        <v>1</v>
      </c>
      <c r="W124" t="s">
        <v>33</v>
      </c>
      <c r="Y124" t="s">
        <v>33</v>
      </c>
      <c r="Z124" t="s">
        <v>34</v>
      </c>
      <c r="AA124">
        <v>1</v>
      </c>
    </row>
    <row r="125" spans="1:27" x14ac:dyDescent="0.35">
      <c r="A125" s="13">
        <v>45930</v>
      </c>
      <c r="B125">
        <v>1</v>
      </c>
      <c r="D125" t="s">
        <v>31</v>
      </c>
      <c r="E125" t="s">
        <v>32</v>
      </c>
      <c r="F125" t="s">
        <v>32</v>
      </c>
      <c r="H125" t="s">
        <v>59</v>
      </c>
      <c r="I125" t="s">
        <v>159</v>
      </c>
      <c r="K125">
        <v>11</v>
      </c>
      <c r="L125" s="13"/>
      <c r="M125" s="13">
        <v>46265</v>
      </c>
      <c r="N125" s="13">
        <v>46265</v>
      </c>
      <c r="O125" s="13">
        <v>46265</v>
      </c>
      <c r="P125" s="24">
        <v>26803.587027067224</v>
      </c>
      <c r="V125">
        <v>1</v>
      </c>
      <c r="W125" t="s">
        <v>33</v>
      </c>
      <c r="Y125" t="s">
        <v>33</v>
      </c>
      <c r="Z125" t="s">
        <v>34</v>
      </c>
      <c r="AA125">
        <v>1</v>
      </c>
    </row>
    <row r="126" spans="1:27" x14ac:dyDescent="0.35">
      <c r="A126" s="13">
        <v>45930</v>
      </c>
      <c r="B126">
        <v>1</v>
      </c>
      <c r="D126" t="s">
        <v>31</v>
      </c>
      <c r="E126" t="s">
        <v>32</v>
      </c>
      <c r="F126" t="s">
        <v>32</v>
      </c>
      <c r="H126" t="s">
        <v>59</v>
      </c>
      <c r="I126" t="s">
        <v>159</v>
      </c>
      <c r="K126">
        <v>12</v>
      </c>
      <c r="L126" s="13"/>
      <c r="M126" s="13">
        <v>46295</v>
      </c>
      <c r="N126" s="13">
        <v>46295</v>
      </c>
      <c r="O126" s="13">
        <v>46295</v>
      </c>
      <c r="P126" s="24">
        <v>26803.587027067224</v>
      </c>
      <c r="V126">
        <v>1</v>
      </c>
      <c r="W126" t="s">
        <v>33</v>
      </c>
      <c r="Y126" t="s">
        <v>33</v>
      </c>
      <c r="Z126" t="s">
        <v>34</v>
      </c>
      <c r="AA126">
        <v>1</v>
      </c>
    </row>
    <row r="127" spans="1:27" x14ac:dyDescent="0.35">
      <c r="A127" s="13">
        <v>45930</v>
      </c>
      <c r="B127">
        <v>1</v>
      </c>
      <c r="D127" t="s">
        <v>31</v>
      </c>
      <c r="E127" t="s">
        <v>32</v>
      </c>
      <c r="F127" t="s">
        <v>32</v>
      </c>
      <c r="H127" t="s">
        <v>59</v>
      </c>
      <c r="I127" t="s">
        <v>159</v>
      </c>
      <c r="K127">
        <v>13</v>
      </c>
      <c r="L127" s="13"/>
      <c r="M127" s="13">
        <v>46326</v>
      </c>
      <c r="N127" s="13">
        <v>46326</v>
      </c>
      <c r="O127" s="13">
        <v>46326</v>
      </c>
      <c r="P127" s="24">
        <v>26803.587027067224</v>
      </c>
      <c r="V127">
        <v>1</v>
      </c>
      <c r="W127" t="s">
        <v>33</v>
      </c>
      <c r="Y127" t="s">
        <v>33</v>
      </c>
      <c r="Z127" t="s">
        <v>34</v>
      </c>
      <c r="AA127">
        <v>1</v>
      </c>
    </row>
    <row r="128" spans="1:27" x14ac:dyDescent="0.35">
      <c r="A128" s="13">
        <v>45930</v>
      </c>
      <c r="B128">
        <v>1</v>
      </c>
      <c r="D128" t="s">
        <v>31</v>
      </c>
      <c r="E128" t="s">
        <v>32</v>
      </c>
      <c r="F128" t="s">
        <v>32</v>
      </c>
      <c r="H128" t="s">
        <v>59</v>
      </c>
      <c r="I128" t="s">
        <v>159</v>
      </c>
      <c r="K128">
        <v>14</v>
      </c>
      <c r="L128" s="13"/>
      <c r="M128" s="13">
        <v>46356</v>
      </c>
      <c r="N128" s="13">
        <v>46356</v>
      </c>
      <c r="O128" s="13">
        <v>46356</v>
      </c>
      <c r="P128" s="24">
        <v>26803.587027067224</v>
      </c>
      <c r="V128">
        <v>1</v>
      </c>
      <c r="W128" t="s">
        <v>33</v>
      </c>
      <c r="Y128" t="s">
        <v>33</v>
      </c>
      <c r="Z128" t="s">
        <v>34</v>
      </c>
      <c r="AA128">
        <v>1</v>
      </c>
    </row>
    <row r="129" spans="1:27" x14ac:dyDescent="0.35">
      <c r="A129" s="13">
        <v>45930</v>
      </c>
      <c r="B129">
        <v>1</v>
      </c>
      <c r="D129" t="s">
        <v>31</v>
      </c>
      <c r="E129" t="s">
        <v>32</v>
      </c>
      <c r="F129" t="s">
        <v>32</v>
      </c>
      <c r="H129" t="s">
        <v>59</v>
      </c>
      <c r="I129" t="s">
        <v>159</v>
      </c>
      <c r="K129">
        <v>15</v>
      </c>
      <c r="L129" s="13"/>
      <c r="M129" s="13">
        <v>46387</v>
      </c>
      <c r="N129" s="13">
        <v>46387</v>
      </c>
      <c r="O129" s="13">
        <v>46387</v>
      </c>
      <c r="P129" s="24">
        <v>26803.587027067224</v>
      </c>
      <c r="V129">
        <v>1</v>
      </c>
      <c r="W129" t="s">
        <v>33</v>
      </c>
      <c r="Y129" t="s">
        <v>33</v>
      </c>
      <c r="Z129" t="s">
        <v>34</v>
      </c>
      <c r="AA129">
        <v>1</v>
      </c>
    </row>
    <row r="130" spans="1:27" x14ac:dyDescent="0.35">
      <c r="A130" s="13">
        <v>45930</v>
      </c>
      <c r="B130">
        <v>1</v>
      </c>
      <c r="D130" t="s">
        <v>31</v>
      </c>
      <c r="E130" t="s">
        <v>32</v>
      </c>
      <c r="F130" t="s">
        <v>32</v>
      </c>
      <c r="H130" t="s">
        <v>59</v>
      </c>
      <c r="I130" t="s">
        <v>159</v>
      </c>
      <c r="K130">
        <v>16</v>
      </c>
      <c r="L130" s="13"/>
      <c r="M130" s="13">
        <v>46418</v>
      </c>
      <c r="N130" s="13">
        <v>46418</v>
      </c>
      <c r="O130" s="13">
        <v>46418</v>
      </c>
      <c r="P130" s="24">
        <v>26803.587027067224</v>
      </c>
      <c r="V130">
        <v>1</v>
      </c>
      <c r="W130" t="s">
        <v>33</v>
      </c>
      <c r="Y130" t="s">
        <v>33</v>
      </c>
      <c r="Z130" t="s">
        <v>34</v>
      </c>
      <c r="AA130">
        <v>1</v>
      </c>
    </row>
    <row r="131" spans="1:27" x14ac:dyDescent="0.35">
      <c r="A131" s="13">
        <v>45930</v>
      </c>
      <c r="B131">
        <v>1</v>
      </c>
      <c r="D131" t="s">
        <v>31</v>
      </c>
      <c r="E131" t="s">
        <v>32</v>
      </c>
      <c r="F131" t="s">
        <v>32</v>
      </c>
      <c r="H131" t="s">
        <v>59</v>
      </c>
      <c r="I131" t="s">
        <v>159</v>
      </c>
      <c r="K131">
        <v>17</v>
      </c>
      <c r="L131" s="13"/>
      <c r="M131" s="13">
        <v>46446</v>
      </c>
      <c r="N131" s="13">
        <v>46446</v>
      </c>
      <c r="O131" s="13">
        <v>46446</v>
      </c>
      <c r="P131" s="24">
        <v>26803.587027067224</v>
      </c>
      <c r="V131">
        <v>1</v>
      </c>
      <c r="W131" t="s">
        <v>33</v>
      </c>
      <c r="Y131" t="s">
        <v>33</v>
      </c>
      <c r="Z131" t="s">
        <v>34</v>
      </c>
      <c r="AA131">
        <v>1</v>
      </c>
    </row>
    <row r="132" spans="1:27" x14ac:dyDescent="0.35">
      <c r="A132" s="13">
        <v>45930</v>
      </c>
      <c r="B132">
        <v>1</v>
      </c>
      <c r="D132" t="s">
        <v>31</v>
      </c>
      <c r="E132" t="s">
        <v>32</v>
      </c>
      <c r="F132" t="s">
        <v>32</v>
      </c>
      <c r="H132" t="s">
        <v>59</v>
      </c>
      <c r="I132" t="s">
        <v>159</v>
      </c>
      <c r="K132">
        <v>18</v>
      </c>
      <c r="L132" s="13"/>
      <c r="M132" s="13">
        <v>46477</v>
      </c>
      <c r="N132" s="13">
        <v>46477</v>
      </c>
      <c r="O132" s="13">
        <v>46477</v>
      </c>
      <c r="P132" s="24">
        <v>26803.587027067224</v>
      </c>
      <c r="V132">
        <v>1</v>
      </c>
      <c r="W132" t="s">
        <v>33</v>
      </c>
      <c r="Y132" t="s">
        <v>33</v>
      </c>
      <c r="Z132" t="s">
        <v>34</v>
      </c>
      <c r="AA132">
        <v>1</v>
      </c>
    </row>
    <row r="133" spans="1:27" x14ac:dyDescent="0.35">
      <c r="A133" s="13">
        <v>45930</v>
      </c>
      <c r="B133">
        <v>1</v>
      </c>
      <c r="D133" t="s">
        <v>31</v>
      </c>
      <c r="E133" t="s">
        <v>32</v>
      </c>
      <c r="F133" t="s">
        <v>32</v>
      </c>
      <c r="H133" t="s">
        <v>59</v>
      </c>
      <c r="I133" t="s">
        <v>159</v>
      </c>
      <c r="K133">
        <v>19</v>
      </c>
      <c r="L133" s="13"/>
      <c r="M133" s="13">
        <v>46507</v>
      </c>
      <c r="N133" s="13">
        <v>46507</v>
      </c>
      <c r="O133" s="13">
        <v>46507</v>
      </c>
      <c r="P133" s="24">
        <v>26803.587027067224</v>
      </c>
      <c r="V133">
        <v>1</v>
      </c>
      <c r="W133" t="s">
        <v>33</v>
      </c>
      <c r="Y133" t="s">
        <v>33</v>
      </c>
      <c r="Z133" t="s">
        <v>34</v>
      </c>
      <c r="AA133">
        <v>1</v>
      </c>
    </row>
    <row r="134" spans="1:27" x14ac:dyDescent="0.35">
      <c r="A134" s="13">
        <v>45930</v>
      </c>
      <c r="B134">
        <v>1</v>
      </c>
      <c r="D134" t="s">
        <v>31</v>
      </c>
      <c r="E134" t="s">
        <v>32</v>
      </c>
      <c r="F134" t="s">
        <v>32</v>
      </c>
      <c r="H134" t="s">
        <v>59</v>
      </c>
      <c r="I134" t="s">
        <v>159</v>
      </c>
      <c r="K134">
        <v>20</v>
      </c>
      <c r="L134" s="13"/>
      <c r="M134" s="13">
        <v>46538</v>
      </c>
      <c r="N134" s="13">
        <v>46538</v>
      </c>
      <c r="O134" s="13">
        <v>46538</v>
      </c>
      <c r="P134" s="24">
        <v>26803.587027067224</v>
      </c>
      <c r="V134">
        <v>1</v>
      </c>
      <c r="W134" t="s">
        <v>33</v>
      </c>
      <c r="Y134" t="s">
        <v>33</v>
      </c>
      <c r="Z134" t="s">
        <v>34</v>
      </c>
      <c r="AA134">
        <v>1</v>
      </c>
    </row>
    <row r="135" spans="1:27" x14ac:dyDescent="0.35">
      <c r="A135" s="13">
        <v>45930</v>
      </c>
      <c r="B135">
        <v>1</v>
      </c>
      <c r="D135" t="s">
        <v>31</v>
      </c>
      <c r="E135" t="s">
        <v>32</v>
      </c>
      <c r="F135" t="s">
        <v>32</v>
      </c>
      <c r="H135" t="s">
        <v>59</v>
      </c>
      <c r="I135" t="s">
        <v>159</v>
      </c>
      <c r="K135">
        <v>21</v>
      </c>
      <c r="L135" s="13"/>
      <c r="M135" s="13">
        <v>46568</v>
      </c>
      <c r="N135" s="13">
        <v>46568</v>
      </c>
      <c r="O135" s="13">
        <v>46568</v>
      </c>
      <c r="P135" s="24">
        <v>26803.587027067224</v>
      </c>
      <c r="V135">
        <v>1</v>
      </c>
      <c r="W135" t="s">
        <v>33</v>
      </c>
      <c r="Y135" t="s">
        <v>33</v>
      </c>
      <c r="Z135" t="s">
        <v>34</v>
      </c>
      <c r="AA135">
        <v>1</v>
      </c>
    </row>
    <row r="136" spans="1:27" x14ac:dyDescent="0.35">
      <c r="A136" s="13">
        <v>45930</v>
      </c>
      <c r="B136">
        <v>1</v>
      </c>
      <c r="D136" t="s">
        <v>31</v>
      </c>
      <c r="E136" t="s">
        <v>32</v>
      </c>
      <c r="F136" t="s">
        <v>32</v>
      </c>
      <c r="H136" t="s">
        <v>59</v>
      </c>
      <c r="I136" t="s">
        <v>159</v>
      </c>
      <c r="K136">
        <v>22</v>
      </c>
      <c r="L136" s="13"/>
      <c r="M136" s="13">
        <v>46599</v>
      </c>
      <c r="N136" s="13">
        <v>46599</v>
      </c>
      <c r="O136" s="13">
        <v>46599</v>
      </c>
      <c r="P136" s="24">
        <v>26803.587027067224</v>
      </c>
      <c r="V136">
        <v>1</v>
      </c>
      <c r="W136" t="s">
        <v>33</v>
      </c>
      <c r="Y136" t="s">
        <v>33</v>
      </c>
      <c r="Z136" t="s">
        <v>34</v>
      </c>
      <c r="AA136">
        <v>1</v>
      </c>
    </row>
    <row r="137" spans="1:27" x14ac:dyDescent="0.35">
      <c r="A137" s="13">
        <v>45930</v>
      </c>
      <c r="B137">
        <v>1</v>
      </c>
      <c r="D137" t="s">
        <v>31</v>
      </c>
      <c r="E137" t="s">
        <v>32</v>
      </c>
      <c r="F137" t="s">
        <v>32</v>
      </c>
      <c r="H137" t="s">
        <v>59</v>
      </c>
      <c r="I137" t="s">
        <v>159</v>
      </c>
      <c r="K137">
        <v>23</v>
      </c>
      <c r="L137" s="13"/>
      <c r="M137" s="13">
        <v>46630</v>
      </c>
      <c r="N137" s="13">
        <v>46630</v>
      </c>
      <c r="O137" s="13">
        <v>46630</v>
      </c>
      <c r="P137" s="24">
        <v>26803.587027067224</v>
      </c>
      <c r="V137">
        <v>1</v>
      </c>
      <c r="W137" t="s">
        <v>33</v>
      </c>
      <c r="Y137" t="s">
        <v>33</v>
      </c>
      <c r="Z137" t="s">
        <v>34</v>
      </c>
      <c r="AA137">
        <v>1</v>
      </c>
    </row>
    <row r="138" spans="1:27" x14ac:dyDescent="0.35">
      <c r="A138" s="13">
        <v>45930</v>
      </c>
      <c r="B138">
        <v>1</v>
      </c>
      <c r="D138" t="s">
        <v>31</v>
      </c>
      <c r="E138" t="s">
        <v>32</v>
      </c>
      <c r="F138" t="s">
        <v>32</v>
      </c>
      <c r="H138" t="s">
        <v>59</v>
      </c>
      <c r="I138" t="s">
        <v>159</v>
      </c>
      <c r="K138">
        <v>24</v>
      </c>
      <c r="L138" s="13"/>
      <c r="M138" s="13">
        <v>46660</v>
      </c>
      <c r="N138" s="13">
        <v>46660</v>
      </c>
      <c r="O138" s="13">
        <v>46660</v>
      </c>
      <c r="P138" s="24">
        <v>26803.587027067224</v>
      </c>
      <c r="V138">
        <v>1</v>
      </c>
      <c r="W138" t="s">
        <v>33</v>
      </c>
      <c r="Y138" t="s">
        <v>33</v>
      </c>
      <c r="Z138" t="s">
        <v>34</v>
      </c>
      <c r="AA138">
        <v>1</v>
      </c>
    </row>
    <row r="139" spans="1:27" x14ac:dyDescent="0.35">
      <c r="A139" s="13">
        <v>45930</v>
      </c>
      <c r="B139">
        <v>1</v>
      </c>
      <c r="D139" t="s">
        <v>31</v>
      </c>
      <c r="E139" t="s">
        <v>32</v>
      </c>
      <c r="F139" t="s">
        <v>32</v>
      </c>
      <c r="H139" t="s">
        <v>59</v>
      </c>
      <c r="I139" t="s">
        <v>159</v>
      </c>
      <c r="K139">
        <v>25</v>
      </c>
      <c r="L139" s="13"/>
      <c r="M139" s="13">
        <v>46691</v>
      </c>
      <c r="N139" s="13">
        <v>46691</v>
      </c>
      <c r="O139" s="13">
        <v>46691</v>
      </c>
      <c r="P139" s="24">
        <v>26803.587027067224</v>
      </c>
      <c r="V139">
        <v>1</v>
      </c>
      <c r="W139" t="s">
        <v>33</v>
      </c>
      <c r="Y139" t="s">
        <v>33</v>
      </c>
      <c r="Z139" t="s">
        <v>34</v>
      </c>
      <c r="AA139">
        <v>1</v>
      </c>
    </row>
    <row r="140" spans="1:27" x14ac:dyDescent="0.35">
      <c r="A140" s="13">
        <v>45930</v>
      </c>
      <c r="B140">
        <v>1</v>
      </c>
      <c r="D140" t="s">
        <v>31</v>
      </c>
      <c r="E140" t="s">
        <v>32</v>
      </c>
      <c r="F140" t="s">
        <v>32</v>
      </c>
      <c r="H140" t="s">
        <v>59</v>
      </c>
      <c r="I140" t="s">
        <v>159</v>
      </c>
      <c r="K140">
        <v>26</v>
      </c>
      <c r="L140" s="13"/>
      <c r="M140" s="13">
        <v>46721</v>
      </c>
      <c r="N140" s="13">
        <v>46721</v>
      </c>
      <c r="O140" s="13">
        <v>46721</v>
      </c>
      <c r="P140" s="24">
        <v>26803.587027067224</v>
      </c>
      <c r="V140">
        <v>1</v>
      </c>
      <c r="W140" t="s">
        <v>33</v>
      </c>
      <c r="Y140" t="s">
        <v>33</v>
      </c>
      <c r="Z140" t="s">
        <v>34</v>
      </c>
      <c r="AA140">
        <v>1</v>
      </c>
    </row>
    <row r="141" spans="1:27" x14ac:dyDescent="0.35">
      <c r="A141" s="13">
        <v>45930</v>
      </c>
      <c r="B141">
        <v>1</v>
      </c>
      <c r="D141" t="s">
        <v>31</v>
      </c>
      <c r="E141" t="s">
        <v>32</v>
      </c>
      <c r="F141" t="s">
        <v>32</v>
      </c>
      <c r="H141" t="s">
        <v>59</v>
      </c>
      <c r="I141" t="s">
        <v>159</v>
      </c>
      <c r="K141">
        <v>27</v>
      </c>
      <c r="L141" s="13"/>
      <c r="M141" s="13">
        <v>46752</v>
      </c>
      <c r="N141" s="13">
        <v>46752</v>
      </c>
      <c r="O141" s="13">
        <v>46752</v>
      </c>
      <c r="P141" s="24">
        <v>26803.587027067224</v>
      </c>
      <c r="V141">
        <v>1</v>
      </c>
      <c r="W141" t="s">
        <v>33</v>
      </c>
      <c r="Y141" t="s">
        <v>33</v>
      </c>
      <c r="Z141" t="s">
        <v>34</v>
      </c>
      <c r="AA141">
        <v>1</v>
      </c>
    </row>
    <row r="142" spans="1:27" x14ac:dyDescent="0.35">
      <c r="A142" s="13">
        <v>45930</v>
      </c>
      <c r="B142">
        <v>1</v>
      </c>
      <c r="D142" t="s">
        <v>31</v>
      </c>
      <c r="E142" t="s">
        <v>32</v>
      </c>
      <c r="F142" t="s">
        <v>32</v>
      </c>
      <c r="H142" t="s">
        <v>59</v>
      </c>
      <c r="I142" t="s">
        <v>159</v>
      </c>
      <c r="K142">
        <v>28</v>
      </c>
      <c r="L142" s="13"/>
      <c r="M142" s="13">
        <v>46783</v>
      </c>
      <c r="N142" s="13">
        <v>46783</v>
      </c>
      <c r="O142" s="13">
        <v>46783</v>
      </c>
      <c r="P142" s="24">
        <v>26803.587027067224</v>
      </c>
      <c r="V142">
        <v>1</v>
      </c>
      <c r="W142" t="s">
        <v>33</v>
      </c>
      <c r="Y142" t="s">
        <v>33</v>
      </c>
      <c r="Z142" t="s">
        <v>34</v>
      </c>
      <c r="AA142">
        <v>1</v>
      </c>
    </row>
    <row r="143" spans="1:27" x14ac:dyDescent="0.35">
      <c r="A143" s="13">
        <v>45930</v>
      </c>
      <c r="B143">
        <v>1</v>
      </c>
      <c r="D143" t="s">
        <v>31</v>
      </c>
      <c r="E143" t="s">
        <v>32</v>
      </c>
      <c r="F143" t="s">
        <v>32</v>
      </c>
      <c r="H143" t="s">
        <v>59</v>
      </c>
      <c r="I143" t="s">
        <v>159</v>
      </c>
      <c r="K143">
        <v>29</v>
      </c>
      <c r="L143" s="13"/>
      <c r="M143" s="13">
        <v>46812</v>
      </c>
      <c r="N143" s="13">
        <v>46812</v>
      </c>
      <c r="O143" s="13">
        <v>46812</v>
      </c>
      <c r="P143" s="24">
        <v>26803.587027067224</v>
      </c>
      <c r="V143">
        <v>1</v>
      </c>
      <c r="W143" t="s">
        <v>33</v>
      </c>
      <c r="Y143" t="s">
        <v>33</v>
      </c>
      <c r="Z143" t="s">
        <v>34</v>
      </c>
      <c r="AA143">
        <v>1</v>
      </c>
    </row>
    <row r="144" spans="1:27" x14ac:dyDescent="0.35">
      <c r="A144" s="13">
        <v>45930</v>
      </c>
      <c r="B144">
        <v>1</v>
      </c>
      <c r="D144" t="s">
        <v>31</v>
      </c>
      <c r="E144" t="s">
        <v>32</v>
      </c>
      <c r="F144" t="s">
        <v>32</v>
      </c>
      <c r="H144" t="s">
        <v>59</v>
      </c>
      <c r="I144" t="s">
        <v>159</v>
      </c>
      <c r="K144">
        <v>30</v>
      </c>
      <c r="L144" s="13"/>
      <c r="M144" s="13">
        <v>46843</v>
      </c>
      <c r="N144" s="13">
        <v>46843</v>
      </c>
      <c r="O144" s="13">
        <v>46843</v>
      </c>
      <c r="P144" s="24">
        <v>26803.587027067224</v>
      </c>
      <c r="V144">
        <v>1</v>
      </c>
      <c r="W144" t="s">
        <v>33</v>
      </c>
      <c r="Y144" t="s">
        <v>33</v>
      </c>
      <c r="Z144" t="s">
        <v>34</v>
      </c>
      <c r="AA144">
        <v>1</v>
      </c>
    </row>
    <row r="145" spans="1:27" x14ac:dyDescent="0.35">
      <c r="A145" s="13">
        <v>45930</v>
      </c>
      <c r="B145">
        <v>1</v>
      </c>
      <c r="D145" t="s">
        <v>31</v>
      </c>
      <c r="E145" t="s">
        <v>32</v>
      </c>
      <c r="F145" t="s">
        <v>32</v>
      </c>
      <c r="H145" t="s">
        <v>59</v>
      </c>
      <c r="I145" t="s">
        <v>159</v>
      </c>
      <c r="K145">
        <v>31</v>
      </c>
      <c r="L145" s="13"/>
      <c r="M145" s="13">
        <v>46873</v>
      </c>
      <c r="N145" s="13">
        <v>46873</v>
      </c>
      <c r="O145" s="13">
        <v>46873</v>
      </c>
      <c r="P145" s="24">
        <v>26803.587027067224</v>
      </c>
      <c r="V145">
        <v>1</v>
      </c>
      <c r="W145" t="s">
        <v>33</v>
      </c>
      <c r="Y145" t="s">
        <v>33</v>
      </c>
      <c r="Z145" t="s">
        <v>34</v>
      </c>
      <c r="AA145">
        <v>1</v>
      </c>
    </row>
    <row r="146" spans="1:27" x14ac:dyDescent="0.35">
      <c r="A146" s="13">
        <v>45930</v>
      </c>
      <c r="B146">
        <v>1</v>
      </c>
      <c r="D146" t="s">
        <v>31</v>
      </c>
      <c r="E146" t="s">
        <v>32</v>
      </c>
      <c r="F146" t="s">
        <v>32</v>
      </c>
      <c r="H146" t="s">
        <v>59</v>
      </c>
      <c r="I146" t="s">
        <v>159</v>
      </c>
      <c r="K146">
        <v>32</v>
      </c>
      <c r="L146" s="13"/>
      <c r="M146" s="13">
        <v>46904</v>
      </c>
      <c r="N146" s="13">
        <v>46904</v>
      </c>
      <c r="O146" s="13">
        <v>46904</v>
      </c>
      <c r="P146" s="24">
        <v>26803.587027067224</v>
      </c>
      <c r="V146">
        <v>1</v>
      </c>
      <c r="W146" t="s">
        <v>33</v>
      </c>
      <c r="Y146" t="s">
        <v>33</v>
      </c>
      <c r="Z146" t="s">
        <v>34</v>
      </c>
      <c r="AA146">
        <v>1</v>
      </c>
    </row>
    <row r="147" spans="1:27" x14ac:dyDescent="0.35">
      <c r="A147" s="13">
        <v>45930</v>
      </c>
      <c r="B147">
        <v>1</v>
      </c>
      <c r="D147" t="s">
        <v>31</v>
      </c>
      <c r="E147" t="s">
        <v>32</v>
      </c>
      <c r="F147" t="s">
        <v>32</v>
      </c>
      <c r="H147" t="s">
        <v>59</v>
      </c>
      <c r="I147" t="s">
        <v>159</v>
      </c>
      <c r="K147">
        <v>33</v>
      </c>
      <c r="L147" s="13"/>
      <c r="M147" s="13">
        <v>46934</v>
      </c>
      <c r="N147" s="13">
        <v>46934</v>
      </c>
      <c r="O147" s="13">
        <v>46934</v>
      </c>
      <c r="P147" s="24">
        <v>26803.587027067224</v>
      </c>
      <c r="V147">
        <v>1</v>
      </c>
      <c r="W147" t="s">
        <v>33</v>
      </c>
      <c r="Y147" t="s">
        <v>33</v>
      </c>
      <c r="Z147" t="s">
        <v>34</v>
      </c>
      <c r="AA147">
        <v>1</v>
      </c>
    </row>
    <row r="148" spans="1:27" x14ac:dyDescent="0.35">
      <c r="A148" s="13">
        <v>45930</v>
      </c>
      <c r="B148">
        <v>1</v>
      </c>
      <c r="D148" t="s">
        <v>31</v>
      </c>
      <c r="E148" t="s">
        <v>32</v>
      </c>
      <c r="F148" t="s">
        <v>32</v>
      </c>
      <c r="H148" t="s">
        <v>59</v>
      </c>
      <c r="I148" t="s">
        <v>159</v>
      </c>
      <c r="K148">
        <v>34</v>
      </c>
      <c r="L148" s="13"/>
      <c r="M148" s="13">
        <v>46965</v>
      </c>
      <c r="N148" s="13">
        <v>46965</v>
      </c>
      <c r="O148" s="13">
        <v>46965</v>
      </c>
      <c r="P148" s="24">
        <v>26803.587027067224</v>
      </c>
      <c r="V148">
        <v>1</v>
      </c>
      <c r="W148" t="s">
        <v>33</v>
      </c>
      <c r="Y148" t="s">
        <v>33</v>
      </c>
      <c r="Z148" t="s">
        <v>34</v>
      </c>
      <c r="AA148">
        <v>1</v>
      </c>
    </row>
    <row r="149" spans="1:27" x14ac:dyDescent="0.35">
      <c r="A149" s="13">
        <v>45930</v>
      </c>
      <c r="B149">
        <v>1</v>
      </c>
      <c r="D149" t="s">
        <v>31</v>
      </c>
      <c r="E149" t="s">
        <v>32</v>
      </c>
      <c r="F149" t="s">
        <v>32</v>
      </c>
      <c r="H149" t="s">
        <v>59</v>
      </c>
      <c r="I149" t="s">
        <v>159</v>
      </c>
      <c r="K149">
        <v>35</v>
      </c>
      <c r="L149" s="13"/>
      <c r="M149" s="13">
        <v>46996</v>
      </c>
      <c r="N149" s="13">
        <v>46996</v>
      </c>
      <c r="O149" s="13">
        <v>46996</v>
      </c>
      <c r="P149" s="24">
        <v>26803.587027067224</v>
      </c>
      <c r="V149">
        <v>1</v>
      </c>
      <c r="W149" t="s">
        <v>33</v>
      </c>
      <c r="Y149" t="s">
        <v>33</v>
      </c>
      <c r="Z149" t="s">
        <v>34</v>
      </c>
      <c r="AA149">
        <v>1</v>
      </c>
    </row>
    <row r="150" spans="1:27" x14ac:dyDescent="0.35">
      <c r="A150" s="13">
        <v>45930</v>
      </c>
      <c r="B150">
        <v>1</v>
      </c>
      <c r="D150" t="s">
        <v>31</v>
      </c>
      <c r="E150" t="s">
        <v>32</v>
      </c>
      <c r="F150" t="s">
        <v>32</v>
      </c>
      <c r="H150" t="s">
        <v>59</v>
      </c>
      <c r="I150" t="s">
        <v>159</v>
      </c>
      <c r="K150">
        <v>36</v>
      </c>
      <c r="L150" s="13"/>
      <c r="M150" s="13">
        <v>47026</v>
      </c>
      <c r="N150" s="13">
        <v>47026</v>
      </c>
      <c r="O150" s="13">
        <v>47026</v>
      </c>
      <c r="P150" s="24">
        <v>26803.587027067224</v>
      </c>
      <c r="V150">
        <v>1</v>
      </c>
      <c r="W150" t="s">
        <v>33</v>
      </c>
      <c r="Y150" t="s">
        <v>33</v>
      </c>
      <c r="Z150" t="s">
        <v>34</v>
      </c>
      <c r="AA150">
        <v>1</v>
      </c>
    </row>
    <row r="151" spans="1:27" x14ac:dyDescent="0.35">
      <c r="A151" s="13">
        <v>45930</v>
      </c>
      <c r="B151">
        <v>1</v>
      </c>
      <c r="D151" t="s">
        <v>31</v>
      </c>
      <c r="E151" t="s">
        <v>32</v>
      </c>
      <c r="F151" t="s">
        <v>32</v>
      </c>
      <c r="H151" t="s">
        <v>59</v>
      </c>
      <c r="I151" t="s">
        <v>159</v>
      </c>
      <c r="K151">
        <v>37</v>
      </c>
      <c r="L151" s="13"/>
      <c r="M151" s="13">
        <v>47057</v>
      </c>
      <c r="N151" s="13">
        <v>47057</v>
      </c>
      <c r="O151" s="13">
        <v>47057</v>
      </c>
      <c r="P151" s="24">
        <v>26803.587027067224</v>
      </c>
      <c r="V151">
        <v>1</v>
      </c>
      <c r="W151" t="s">
        <v>33</v>
      </c>
      <c r="Y151" t="s">
        <v>33</v>
      </c>
      <c r="Z151" t="s">
        <v>34</v>
      </c>
      <c r="AA151">
        <v>1</v>
      </c>
    </row>
    <row r="152" spans="1:27" x14ac:dyDescent="0.35">
      <c r="A152" s="13">
        <v>45930</v>
      </c>
      <c r="B152">
        <v>1</v>
      </c>
      <c r="D152" t="s">
        <v>31</v>
      </c>
      <c r="E152" t="s">
        <v>32</v>
      </c>
      <c r="F152" t="s">
        <v>32</v>
      </c>
      <c r="H152" t="s">
        <v>59</v>
      </c>
      <c r="I152" t="s">
        <v>159</v>
      </c>
      <c r="K152">
        <v>38</v>
      </c>
      <c r="L152" s="13"/>
      <c r="M152" s="13">
        <v>47087</v>
      </c>
      <c r="N152" s="13">
        <v>47087</v>
      </c>
      <c r="O152" s="13">
        <v>47087</v>
      </c>
      <c r="P152" s="24">
        <v>26803.587027067224</v>
      </c>
      <c r="V152">
        <v>1</v>
      </c>
      <c r="W152" t="s">
        <v>33</v>
      </c>
      <c r="Y152" t="s">
        <v>33</v>
      </c>
      <c r="Z152" t="s">
        <v>34</v>
      </c>
      <c r="AA152">
        <v>1</v>
      </c>
    </row>
    <row r="153" spans="1:27" x14ac:dyDescent="0.35">
      <c r="A153" s="13">
        <v>45930</v>
      </c>
      <c r="B153">
        <v>1</v>
      </c>
      <c r="D153" t="s">
        <v>31</v>
      </c>
      <c r="E153" t="s">
        <v>32</v>
      </c>
      <c r="F153" t="s">
        <v>32</v>
      </c>
      <c r="H153" t="s">
        <v>59</v>
      </c>
      <c r="I153" t="s">
        <v>159</v>
      </c>
      <c r="K153">
        <v>39</v>
      </c>
      <c r="L153" s="13"/>
      <c r="M153" s="13">
        <v>47118</v>
      </c>
      <c r="N153" s="13">
        <v>47118</v>
      </c>
      <c r="O153" s="13">
        <v>47118</v>
      </c>
      <c r="P153" s="24">
        <v>26803.587027067224</v>
      </c>
      <c r="V153">
        <v>1</v>
      </c>
      <c r="W153" t="s">
        <v>33</v>
      </c>
      <c r="Y153" t="s">
        <v>33</v>
      </c>
      <c r="Z153" t="s">
        <v>34</v>
      </c>
      <c r="AA153">
        <v>1</v>
      </c>
    </row>
    <row r="154" spans="1:27" x14ac:dyDescent="0.35">
      <c r="A154" s="13">
        <v>45930</v>
      </c>
      <c r="B154">
        <v>1</v>
      </c>
      <c r="D154" t="s">
        <v>31</v>
      </c>
      <c r="E154" t="s">
        <v>32</v>
      </c>
      <c r="F154" t="s">
        <v>32</v>
      </c>
      <c r="H154" t="s">
        <v>59</v>
      </c>
      <c r="I154" t="s">
        <v>159</v>
      </c>
      <c r="K154">
        <v>40</v>
      </c>
      <c r="L154" s="13"/>
      <c r="M154" s="13">
        <v>47149</v>
      </c>
      <c r="N154" s="13">
        <v>47149</v>
      </c>
      <c r="O154" s="13">
        <v>47149</v>
      </c>
      <c r="P154" s="24">
        <v>26803.587027067224</v>
      </c>
      <c r="V154">
        <v>1</v>
      </c>
      <c r="W154" t="s">
        <v>33</v>
      </c>
      <c r="Y154" t="s">
        <v>33</v>
      </c>
      <c r="Z154" t="s">
        <v>34</v>
      </c>
      <c r="AA154">
        <v>1</v>
      </c>
    </row>
    <row r="155" spans="1:27" x14ac:dyDescent="0.35">
      <c r="A155" s="13">
        <v>45930</v>
      </c>
      <c r="B155">
        <v>1</v>
      </c>
      <c r="D155" t="s">
        <v>31</v>
      </c>
      <c r="E155" t="s">
        <v>32</v>
      </c>
      <c r="F155" t="s">
        <v>32</v>
      </c>
      <c r="H155" t="s">
        <v>59</v>
      </c>
      <c r="I155" t="s">
        <v>159</v>
      </c>
      <c r="K155">
        <v>41</v>
      </c>
      <c r="L155" s="13"/>
      <c r="M155" s="13">
        <v>47177</v>
      </c>
      <c r="N155" s="13">
        <v>47177</v>
      </c>
      <c r="O155" s="13">
        <v>47177</v>
      </c>
      <c r="P155" s="24">
        <v>26803.587027067224</v>
      </c>
      <c r="V155">
        <v>1</v>
      </c>
      <c r="W155" t="s">
        <v>33</v>
      </c>
      <c r="Y155" t="s">
        <v>33</v>
      </c>
      <c r="Z155" t="s">
        <v>34</v>
      </c>
      <c r="AA155">
        <v>1</v>
      </c>
    </row>
    <row r="156" spans="1:27" x14ac:dyDescent="0.35">
      <c r="A156" s="13">
        <v>45930</v>
      </c>
      <c r="B156">
        <v>1</v>
      </c>
      <c r="D156" t="s">
        <v>31</v>
      </c>
      <c r="E156" t="s">
        <v>32</v>
      </c>
      <c r="F156" t="s">
        <v>32</v>
      </c>
      <c r="H156" t="s">
        <v>59</v>
      </c>
      <c r="I156" t="s">
        <v>159</v>
      </c>
      <c r="K156">
        <v>42</v>
      </c>
      <c r="L156" s="13"/>
      <c r="M156" s="13">
        <v>47208</v>
      </c>
      <c r="N156" s="13">
        <v>47208</v>
      </c>
      <c r="O156" s="13">
        <v>47208</v>
      </c>
      <c r="P156" s="24">
        <v>26803.587027067224</v>
      </c>
      <c r="V156">
        <v>1</v>
      </c>
      <c r="W156" t="s">
        <v>33</v>
      </c>
      <c r="Y156" t="s">
        <v>33</v>
      </c>
      <c r="Z156" t="s">
        <v>34</v>
      </c>
      <c r="AA156">
        <v>1</v>
      </c>
    </row>
    <row r="157" spans="1:27" x14ac:dyDescent="0.35">
      <c r="A157" s="13">
        <v>45930</v>
      </c>
      <c r="B157">
        <v>1</v>
      </c>
      <c r="D157" t="s">
        <v>31</v>
      </c>
      <c r="E157" t="s">
        <v>32</v>
      </c>
      <c r="F157" t="s">
        <v>32</v>
      </c>
      <c r="H157" t="s">
        <v>59</v>
      </c>
      <c r="I157" t="s">
        <v>159</v>
      </c>
      <c r="K157">
        <v>43</v>
      </c>
      <c r="L157" s="13"/>
      <c r="M157" s="13">
        <v>47238</v>
      </c>
      <c r="N157" s="13">
        <v>47238</v>
      </c>
      <c r="O157" s="13">
        <v>47238</v>
      </c>
      <c r="P157" s="24">
        <v>26803.587027067224</v>
      </c>
      <c r="V157">
        <v>1</v>
      </c>
      <c r="W157" t="s">
        <v>33</v>
      </c>
      <c r="Y157" t="s">
        <v>33</v>
      </c>
      <c r="Z157" t="s">
        <v>34</v>
      </c>
      <c r="AA157">
        <v>1</v>
      </c>
    </row>
    <row r="158" spans="1:27" x14ac:dyDescent="0.35">
      <c r="A158" s="13">
        <v>45930</v>
      </c>
      <c r="B158">
        <v>1</v>
      </c>
      <c r="D158" t="s">
        <v>31</v>
      </c>
      <c r="E158" t="s">
        <v>32</v>
      </c>
      <c r="F158" t="s">
        <v>32</v>
      </c>
      <c r="H158" t="s">
        <v>59</v>
      </c>
      <c r="I158" t="s">
        <v>159</v>
      </c>
      <c r="K158">
        <v>44</v>
      </c>
      <c r="L158" s="13"/>
      <c r="M158" s="13">
        <v>47269</v>
      </c>
      <c r="N158" s="13">
        <v>47269</v>
      </c>
      <c r="O158" s="13">
        <v>47269</v>
      </c>
      <c r="P158" s="24">
        <v>26803.587027067224</v>
      </c>
      <c r="V158">
        <v>1</v>
      </c>
      <c r="W158" t="s">
        <v>33</v>
      </c>
      <c r="Y158" t="s">
        <v>33</v>
      </c>
      <c r="Z158" t="s">
        <v>34</v>
      </c>
      <c r="AA158">
        <v>1</v>
      </c>
    </row>
    <row r="159" spans="1:27" x14ac:dyDescent="0.35">
      <c r="A159" s="13">
        <v>45930</v>
      </c>
      <c r="B159">
        <v>1</v>
      </c>
      <c r="D159" t="s">
        <v>31</v>
      </c>
      <c r="E159" t="s">
        <v>32</v>
      </c>
      <c r="F159" t="s">
        <v>32</v>
      </c>
      <c r="H159" t="s">
        <v>59</v>
      </c>
      <c r="I159" t="s">
        <v>159</v>
      </c>
      <c r="K159">
        <v>45</v>
      </c>
      <c r="L159" s="13"/>
      <c r="M159" s="13">
        <v>47299</v>
      </c>
      <c r="N159" s="13">
        <v>47299</v>
      </c>
      <c r="O159" s="13">
        <v>47299</v>
      </c>
      <c r="P159" s="24">
        <v>26803.587027067224</v>
      </c>
      <c r="V159">
        <v>1</v>
      </c>
      <c r="W159" t="s">
        <v>33</v>
      </c>
      <c r="Y159" t="s">
        <v>33</v>
      </c>
      <c r="Z159" t="s">
        <v>34</v>
      </c>
      <c r="AA159">
        <v>1</v>
      </c>
    </row>
    <row r="160" spans="1:27" x14ac:dyDescent="0.35">
      <c r="A160" s="13">
        <v>45930</v>
      </c>
      <c r="B160">
        <v>1</v>
      </c>
      <c r="D160" t="s">
        <v>31</v>
      </c>
      <c r="E160" t="s">
        <v>32</v>
      </c>
      <c r="F160" t="s">
        <v>32</v>
      </c>
      <c r="H160" t="s">
        <v>59</v>
      </c>
      <c r="I160" t="s">
        <v>159</v>
      </c>
      <c r="K160">
        <v>46</v>
      </c>
      <c r="L160" s="13"/>
      <c r="M160" s="13">
        <v>47330</v>
      </c>
      <c r="N160" s="13">
        <v>47330</v>
      </c>
      <c r="O160" s="13">
        <v>47330</v>
      </c>
      <c r="P160" s="24">
        <v>26803.587027067224</v>
      </c>
      <c r="V160">
        <v>1</v>
      </c>
      <c r="W160" t="s">
        <v>33</v>
      </c>
      <c r="Y160" t="s">
        <v>33</v>
      </c>
      <c r="Z160" t="s">
        <v>34</v>
      </c>
      <c r="AA160">
        <v>1</v>
      </c>
    </row>
    <row r="161" spans="1:27" x14ac:dyDescent="0.35">
      <c r="A161" s="13">
        <v>45930</v>
      </c>
      <c r="B161">
        <v>1</v>
      </c>
      <c r="D161" t="s">
        <v>31</v>
      </c>
      <c r="E161" t="s">
        <v>32</v>
      </c>
      <c r="F161" t="s">
        <v>32</v>
      </c>
      <c r="H161" t="s">
        <v>59</v>
      </c>
      <c r="I161" t="s">
        <v>159</v>
      </c>
      <c r="K161">
        <v>47</v>
      </c>
      <c r="L161" s="13"/>
      <c r="M161" s="13">
        <v>47361</v>
      </c>
      <c r="N161" s="13">
        <v>47361</v>
      </c>
      <c r="O161" s="13">
        <v>47361</v>
      </c>
      <c r="P161" s="24">
        <v>26803.587027067224</v>
      </c>
      <c r="V161">
        <v>1</v>
      </c>
      <c r="W161" t="s">
        <v>33</v>
      </c>
      <c r="Y161" t="s">
        <v>33</v>
      </c>
      <c r="Z161" t="s">
        <v>34</v>
      </c>
      <c r="AA161">
        <v>1</v>
      </c>
    </row>
    <row r="162" spans="1:27" x14ac:dyDescent="0.35">
      <c r="A162" s="13">
        <v>45930</v>
      </c>
      <c r="B162">
        <v>1</v>
      </c>
      <c r="D162" t="s">
        <v>31</v>
      </c>
      <c r="E162" t="s">
        <v>32</v>
      </c>
      <c r="F162" t="s">
        <v>32</v>
      </c>
      <c r="H162" t="s">
        <v>59</v>
      </c>
      <c r="I162" t="s">
        <v>159</v>
      </c>
      <c r="K162">
        <v>48</v>
      </c>
      <c r="L162" s="13"/>
      <c r="M162" s="13">
        <v>47391</v>
      </c>
      <c r="N162" s="13">
        <v>47391</v>
      </c>
      <c r="O162" s="13">
        <v>47391</v>
      </c>
      <c r="P162" s="24">
        <v>26803.587027067224</v>
      </c>
      <c r="V162">
        <v>1</v>
      </c>
      <c r="W162" t="s">
        <v>33</v>
      </c>
      <c r="Y162" t="s">
        <v>33</v>
      </c>
      <c r="Z162" t="s">
        <v>34</v>
      </c>
      <c r="AA162">
        <v>1</v>
      </c>
    </row>
    <row r="163" spans="1:27" x14ac:dyDescent="0.35">
      <c r="A163" s="13">
        <v>45930</v>
      </c>
      <c r="B163">
        <v>1</v>
      </c>
      <c r="D163" t="s">
        <v>31</v>
      </c>
      <c r="E163" t="s">
        <v>32</v>
      </c>
      <c r="F163" t="s">
        <v>32</v>
      </c>
      <c r="H163" t="s">
        <v>59</v>
      </c>
      <c r="I163" t="s">
        <v>159</v>
      </c>
      <c r="K163">
        <v>49</v>
      </c>
      <c r="L163" s="13"/>
      <c r="M163" s="13">
        <v>47422</v>
      </c>
      <c r="N163" s="13">
        <v>47422</v>
      </c>
      <c r="O163" s="13">
        <v>47422</v>
      </c>
      <c r="P163" s="24">
        <v>26803.587027067224</v>
      </c>
      <c r="V163">
        <v>1</v>
      </c>
      <c r="W163" t="s">
        <v>33</v>
      </c>
      <c r="Y163" t="s">
        <v>33</v>
      </c>
      <c r="Z163" t="s">
        <v>34</v>
      </c>
      <c r="AA163">
        <v>1</v>
      </c>
    </row>
    <row r="164" spans="1:27" x14ac:dyDescent="0.35">
      <c r="A164" s="13">
        <v>45930</v>
      </c>
      <c r="B164">
        <v>1</v>
      </c>
      <c r="D164" t="s">
        <v>31</v>
      </c>
      <c r="E164" t="s">
        <v>32</v>
      </c>
      <c r="F164" t="s">
        <v>32</v>
      </c>
      <c r="H164" t="s">
        <v>59</v>
      </c>
      <c r="I164" t="s">
        <v>159</v>
      </c>
      <c r="K164">
        <v>50</v>
      </c>
      <c r="L164" s="13"/>
      <c r="M164" s="13">
        <v>47452</v>
      </c>
      <c r="N164" s="13">
        <v>47452</v>
      </c>
      <c r="O164" s="13">
        <v>47452</v>
      </c>
      <c r="P164" s="24">
        <v>26803.587027067224</v>
      </c>
      <c r="V164">
        <v>1</v>
      </c>
      <c r="W164" t="s">
        <v>33</v>
      </c>
      <c r="Y164" t="s">
        <v>33</v>
      </c>
      <c r="Z164" t="s">
        <v>34</v>
      </c>
      <c r="AA164">
        <v>1</v>
      </c>
    </row>
    <row r="165" spans="1:27" x14ac:dyDescent="0.35">
      <c r="A165" s="13">
        <v>45930</v>
      </c>
      <c r="B165">
        <v>1</v>
      </c>
      <c r="D165" t="s">
        <v>31</v>
      </c>
      <c r="E165" t="s">
        <v>32</v>
      </c>
      <c r="F165" t="s">
        <v>32</v>
      </c>
      <c r="H165" t="s">
        <v>59</v>
      </c>
      <c r="I165" t="s">
        <v>159</v>
      </c>
      <c r="K165">
        <v>51</v>
      </c>
      <c r="L165" s="13"/>
      <c r="M165" s="13">
        <v>47483</v>
      </c>
      <c r="N165" s="13">
        <v>47483</v>
      </c>
      <c r="O165" s="13">
        <v>47483</v>
      </c>
      <c r="P165" s="24">
        <v>26803.587027067224</v>
      </c>
      <c r="V165">
        <v>1</v>
      </c>
      <c r="W165" t="s">
        <v>33</v>
      </c>
      <c r="Y165" t="s">
        <v>33</v>
      </c>
      <c r="Z165" t="s">
        <v>34</v>
      </c>
      <c r="AA165">
        <v>1</v>
      </c>
    </row>
    <row r="166" spans="1:27" x14ac:dyDescent="0.35">
      <c r="A166" s="13">
        <v>45930</v>
      </c>
      <c r="B166">
        <v>1</v>
      </c>
      <c r="D166" t="s">
        <v>31</v>
      </c>
      <c r="E166" t="s">
        <v>32</v>
      </c>
      <c r="F166" t="s">
        <v>32</v>
      </c>
      <c r="H166" t="s">
        <v>59</v>
      </c>
      <c r="I166" t="s">
        <v>159</v>
      </c>
      <c r="K166">
        <v>52</v>
      </c>
      <c r="L166" s="13"/>
      <c r="M166" s="13">
        <v>47514</v>
      </c>
      <c r="N166" s="13">
        <v>47514</v>
      </c>
      <c r="O166" s="13">
        <v>47514</v>
      </c>
      <c r="P166" s="24">
        <v>26803.587027067224</v>
      </c>
      <c r="V166">
        <v>1</v>
      </c>
      <c r="W166" t="s">
        <v>33</v>
      </c>
      <c r="Y166" t="s">
        <v>33</v>
      </c>
      <c r="Z166" t="s">
        <v>34</v>
      </c>
      <c r="AA166">
        <v>1</v>
      </c>
    </row>
    <row r="167" spans="1:27" x14ac:dyDescent="0.35">
      <c r="A167" s="13">
        <v>45930</v>
      </c>
      <c r="B167">
        <v>1</v>
      </c>
      <c r="D167" t="s">
        <v>31</v>
      </c>
      <c r="E167" t="s">
        <v>32</v>
      </c>
      <c r="F167" t="s">
        <v>32</v>
      </c>
      <c r="H167" t="s">
        <v>59</v>
      </c>
      <c r="I167" t="s">
        <v>159</v>
      </c>
      <c r="K167">
        <v>53</v>
      </c>
      <c r="L167" s="13"/>
      <c r="M167" s="13">
        <v>47542</v>
      </c>
      <c r="N167" s="13">
        <v>47542</v>
      </c>
      <c r="O167" s="13">
        <v>47542</v>
      </c>
      <c r="P167" s="24">
        <v>26803.587027067224</v>
      </c>
      <c r="V167">
        <v>1</v>
      </c>
      <c r="W167" t="s">
        <v>33</v>
      </c>
      <c r="Y167" t="s">
        <v>33</v>
      </c>
      <c r="Z167" t="s">
        <v>34</v>
      </c>
      <c r="AA167">
        <v>1</v>
      </c>
    </row>
    <row r="168" spans="1:27" x14ac:dyDescent="0.35">
      <c r="A168" s="13">
        <v>45930</v>
      </c>
      <c r="B168">
        <v>1</v>
      </c>
      <c r="D168" t="s">
        <v>31</v>
      </c>
      <c r="E168" t="s">
        <v>32</v>
      </c>
      <c r="F168" t="s">
        <v>32</v>
      </c>
      <c r="H168" t="s">
        <v>59</v>
      </c>
      <c r="I168" t="s">
        <v>159</v>
      </c>
      <c r="K168">
        <v>54</v>
      </c>
      <c r="L168" s="13"/>
      <c r="M168" s="13">
        <v>47573</v>
      </c>
      <c r="N168" s="13">
        <v>47573</v>
      </c>
      <c r="O168" s="13">
        <v>47573</v>
      </c>
      <c r="P168" s="24">
        <v>26803.587027067224</v>
      </c>
      <c r="V168">
        <v>1</v>
      </c>
      <c r="W168" t="s">
        <v>33</v>
      </c>
      <c r="Y168" t="s">
        <v>33</v>
      </c>
      <c r="Z168" t="s">
        <v>34</v>
      </c>
      <c r="AA168">
        <v>1</v>
      </c>
    </row>
    <row r="169" spans="1:27" x14ac:dyDescent="0.35">
      <c r="A169" s="13">
        <v>45930</v>
      </c>
      <c r="B169">
        <v>1</v>
      </c>
      <c r="D169" t="s">
        <v>31</v>
      </c>
      <c r="E169" t="s">
        <v>32</v>
      </c>
      <c r="F169" t="s">
        <v>32</v>
      </c>
      <c r="H169" t="s">
        <v>59</v>
      </c>
      <c r="I169" t="s">
        <v>159</v>
      </c>
      <c r="K169">
        <v>55</v>
      </c>
      <c r="L169" s="13"/>
      <c r="M169" s="13">
        <v>47603</v>
      </c>
      <c r="N169" s="13">
        <v>47603</v>
      </c>
      <c r="O169" s="13">
        <v>47603</v>
      </c>
      <c r="P169" s="24">
        <v>26803.587027067224</v>
      </c>
      <c r="V169">
        <v>1</v>
      </c>
      <c r="W169" t="s">
        <v>33</v>
      </c>
      <c r="Y169" t="s">
        <v>33</v>
      </c>
      <c r="Z169" t="s">
        <v>34</v>
      </c>
      <c r="AA169">
        <v>1</v>
      </c>
    </row>
    <row r="170" spans="1:27" x14ac:dyDescent="0.35">
      <c r="A170" s="13">
        <v>45930</v>
      </c>
      <c r="B170">
        <v>1</v>
      </c>
      <c r="D170" t="s">
        <v>31</v>
      </c>
      <c r="E170" t="s">
        <v>32</v>
      </c>
      <c r="F170" t="s">
        <v>32</v>
      </c>
      <c r="H170" t="s">
        <v>59</v>
      </c>
      <c r="I170" t="s">
        <v>159</v>
      </c>
      <c r="K170">
        <v>56</v>
      </c>
      <c r="L170" s="13"/>
      <c r="M170" s="13">
        <v>47634</v>
      </c>
      <c r="N170" s="13">
        <v>47634</v>
      </c>
      <c r="O170" s="13">
        <v>47634</v>
      </c>
      <c r="P170" s="24">
        <v>26803.587027067224</v>
      </c>
      <c r="V170">
        <v>1</v>
      </c>
      <c r="W170" t="s">
        <v>33</v>
      </c>
      <c r="Y170" t="s">
        <v>33</v>
      </c>
      <c r="Z170" t="s">
        <v>34</v>
      </c>
      <c r="AA170">
        <v>1</v>
      </c>
    </row>
    <row r="171" spans="1:27" x14ac:dyDescent="0.35">
      <c r="A171" s="13">
        <v>45930</v>
      </c>
      <c r="B171">
        <v>1</v>
      </c>
      <c r="D171" t="s">
        <v>31</v>
      </c>
      <c r="E171" t="s">
        <v>32</v>
      </c>
      <c r="F171" t="s">
        <v>32</v>
      </c>
      <c r="H171" t="s">
        <v>59</v>
      </c>
      <c r="I171" t="s">
        <v>159</v>
      </c>
      <c r="K171">
        <v>57</v>
      </c>
      <c r="L171" s="13"/>
      <c r="M171" s="13">
        <v>47664</v>
      </c>
      <c r="N171" s="13">
        <v>47664</v>
      </c>
      <c r="O171" s="13">
        <v>47664</v>
      </c>
      <c r="P171" s="24">
        <v>26803.587027067224</v>
      </c>
      <c r="V171">
        <v>1</v>
      </c>
      <c r="W171" t="s">
        <v>33</v>
      </c>
      <c r="Y171" t="s">
        <v>33</v>
      </c>
      <c r="Z171" t="s">
        <v>34</v>
      </c>
      <c r="AA171">
        <v>1</v>
      </c>
    </row>
    <row r="172" spans="1:27" x14ac:dyDescent="0.35">
      <c r="A172" s="13">
        <v>45930</v>
      </c>
      <c r="B172">
        <v>1</v>
      </c>
      <c r="D172" t="s">
        <v>31</v>
      </c>
      <c r="E172" t="s">
        <v>32</v>
      </c>
      <c r="F172" t="s">
        <v>32</v>
      </c>
      <c r="H172" t="s">
        <v>59</v>
      </c>
      <c r="I172" t="s">
        <v>159</v>
      </c>
      <c r="K172">
        <v>58</v>
      </c>
      <c r="L172" s="13"/>
      <c r="M172" s="13">
        <v>47695</v>
      </c>
      <c r="N172" s="13">
        <v>47695</v>
      </c>
      <c r="O172" s="13">
        <v>47695</v>
      </c>
      <c r="P172" s="24">
        <v>26803.587027067224</v>
      </c>
      <c r="V172">
        <v>1</v>
      </c>
      <c r="W172" t="s">
        <v>33</v>
      </c>
      <c r="Y172" t="s">
        <v>33</v>
      </c>
      <c r="Z172" t="s">
        <v>34</v>
      </c>
      <c r="AA172">
        <v>1</v>
      </c>
    </row>
    <row r="173" spans="1:27" x14ac:dyDescent="0.35">
      <c r="A173" s="13">
        <v>45930</v>
      </c>
      <c r="B173">
        <v>1</v>
      </c>
      <c r="D173" t="s">
        <v>31</v>
      </c>
      <c r="E173" t="s">
        <v>32</v>
      </c>
      <c r="F173" t="s">
        <v>32</v>
      </c>
      <c r="H173" t="s">
        <v>59</v>
      </c>
      <c r="I173" t="s">
        <v>159</v>
      </c>
      <c r="K173">
        <v>59</v>
      </c>
      <c r="L173" s="13"/>
      <c r="M173" s="13">
        <v>47726</v>
      </c>
      <c r="N173" s="13">
        <v>47726</v>
      </c>
      <c r="O173" s="13">
        <v>47726</v>
      </c>
      <c r="P173" s="24">
        <v>26803.587027067224</v>
      </c>
      <c r="V173">
        <v>1</v>
      </c>
      <c r="W173" t="s">
        <v>33</v>
      </c>
      <c r="Y173" t="s">
        <v>33</v>
      </c>
      <c r="Z173" t="s">
        <v>34</v>
      </c>
      <c r="AA173">
        <v>1</v>
      </c>
    </row>
    <row r="174" spans="1:27" x14ac:dyDescent="0.35">
      <c r="A174" s="13">
        <v>45930</v>
      </c>
      <c r="B174">
        <v>1</v>
      </c>
      <c r="D174" t="s">
        <v>31</v>
      </c>
      <c r="E174" t="s">
        <v>32</v>
      </c>
      <c r="F174" t="s">
        <v>32</v>
      </c>
      <c r="H174" t="s">
        <v>59</v>
      </c>
      <c r="I174" t="s">
        <v>159</v>
      </c>
      <c r="K174">
        <v>60</v>
      </c>
      <c r="L174" s="13"/>
      <c r="M174" s="13">
        <v>47756</v>
      </c>
      <c r="N174" s="13">
        <v>47756</v>
      </c>
      <c r="O174" s="13">
        <v>47756</v>
      </c>
      <c r="P174" s="24">
        <v>26803.587027067224</v>
      </c>
      <c r="V174">
        <v>1</v>
      </c>
      <c r="W174" t="s">
        <v>33</v>
      </c>
      <c r="Y174" t="s">
        <v>33</v>
      </c>
      <c r="Z174" t="s">
        <v>34</v>
      </c>
      <c r="AA174">
        <v>1</v>
      </c>
    </row>
    <row r="175" spans="1:27" x14ac:dyDescent="0.35">
      <c r="A175" s="13">
        <v>45930</v>
      </c>
      <c r="B175">
        <v>1</v>
      </c>
      <c r="D175" t="s">
        <v>31</v>
      </c>
      <c r="E175" t="s">
        <v>32</v>
      </c>
      <c r="F175" t="s">
        <v>32</v>
      </c>
      <c r="H175" t="s">
        <v>59</v>
      </c>
      <c r="I175" t="s">
        <v>159</v>
      </c>
      <c r="K175">
        <v>61</v>
      </c>
      <c r="L175" s="13"/>
      <c r="M175" s="13">
        <v>47787</v>
      </c>
      <c r="N175" s="13">
        <v>47787</v>
      </c>
      <c r="O175" s="13">
        <v>47787</v>
      </c>
      <c r="P175" s="24">
        <v>26803.587027067224</v>
      </c>
      <c r="V175">
        <v>1</v>
      </c>
      <c r="W175" t="s">
        <v>33</v>
      </c>
      <c r="Y175" t="s">
        <v>33</v>
      </c>
      <c r="Z175" t="s">
        <v>34</v>
      </c>
      <c r="AA175">
        <v>1</v>
      </c>
    </row>
    <row r="176" spans="1:27" x14ac:dyDescent="0.35">
      <c r="A176" s="13">
        <v>45930</v>
      </c>
      <c r="B176">
        <v>1</v>
      </c>
      <c r="D176" t="s">
        <v>31</v>
      </c>
      <c r="E176" t="s">
        <v>32</v>
      </c>
      <c r="F176" t="s">
        <v>32</v>
      </c>
      <c r="H176" t="s">
        <v>59</v>
      </c>
      <c r="I176" t="s">
        <v>159</v>
      </c>
      <c r="K176">
        <v>62</v>
      </c>
      <c r="L176" s="13"/>
      <c r="M176" s="13">
        <v>47817</v>
      </c>
      <c r="N176" s="13">
        <v>47817</v>
      </c>
      <c r="O176" s="13">
        <v>47817</v>
      </c>
      <c r="P176" s="24">
        <v>26803.587027067224</v>
      </c>
      <c r="V176">
        <v>1</v>
      </c>
      <c r="W176" t="s">
        <v>33</v>
      </c>
      <c r="Y176" t="s">
        <v>33</v>
      </c>
      <c r="Z176" t="s">
        <v>34</v>
      </c>
      <c r="AA176">
        <v>1</v>
      </c>
    </row>
    <row r="177" spans="1:27" x14ac:dyDescent="0.35">
      <c r="A177" s="13">
        <v>45930</v>
      </c>
      <c r="B177">
        <v>1</v>
      </c>
      <c r="D177" t="s">
        <v>31</v>
      </c>
      <c r="E177" t="s">
        <v>32</v>
      </c>
      <c r="F177" t="s">
        <v>32</v>
      </c>
      <c r="H177" t="s">
        <v>59</v>
      </c>
      <c r="I177" t="s">
        <v>159</v>
      </c>
      <c r="K177">
        <v>63</v>
      </c>
      <c r="L177" s="13"/>
      <c r="M177" s="13">
        <v>47848</v>
      </c>
      <c r="N177" s="13">
        <v>47848</v>
      </c>
      <c r="O177" s="13">
        <v>47848</v>
      </c>
      <c r="P177" s="24">
        <v>26803.587027067224</v>
      </c>
      <c r="V177">
        <v>1</v>
      </c>
      <c r="W177" t="s">
        <v>33</v>
      </c>
      <c r="Y177" t="s">
        <v>33</v>
      </c>
      <c r="Z177" t="s">
        <v>34</v>
      </c>
      <c r="AA177">
        <v>1</v>
      </c>
    </row>
    <row r="178" spans="1:27" x14ac:dyDescent="0.35">
      <c r="A178" s="13">
        <v>45930</v>
      </c>
      <c r="B178">
        <v>1</v>
      </c>
      <c r="D178" t="s">
        <v>31</v>
      </c>
      <c r="E178" t="s">
        <v>32</v>
      </c>
      <c r="F178" t="s">
        <v>32</v>
      </c>
      <c r="H178" t="s">
        <v>59</v>
      </c>
      <c r="I178" t="s">
        <v>159</v>
      </c>
      <c r="K178">
        <v>64</v>
      </c>
      <c r="L178" s="13"/>
      <c r="M178" s="13">
        <v>47879</v>
      </c>
      <c r="N178" s="13">
        <v>47879</v>
      </c>
      <c r="O178" s="13">
        <v>47879</v>
      </c>
      <c r="P178" s="24">
        <v>26803.587027067224</v>
      </c>
      <c r="V178">
        <v>1</v>
      </c>
      <c r="W178" t="s">
        <v>33</v>
      </c>
      <c r="Y178" t="s">
        <v>33</v>
      </c>
      <c r="Z178" t="s">
        <v>34</v>
      </c>
      <c r="AA178">
        <v>1</v>
      </c>
    </row>
    <row r="179" spans="1:27" x14ac:dyDescent="0.35">
      <c r="A179" s="13">
        <v>45930</v>
      </c>
      <c r="B179">
        <v>1</v>
      </c>
      <c r="D179" t="s">
        <v>31</v>
      </c>
      <c r="E179" t="s">
        <v>32</v>
      </c>
      <c r="F179" t="s">
        <v>32</v>
      </c>
      <c r="H179" t="s">
        <v>59</v>
      </c>
      <c r="I179" t="s">
        <v>159</v>
      </c>
      <c r="K179">
        <v>65</v>
      </c>
      <c r="L179" s="13"/>
      <c r="M179" s="13">
        <v>47907</v>
      </c>
      <c r="N179" s="13">
        <v>47907</v>
      </c>
      <c r="O179" s="13">
        <v>47907</v>
      </c>
      <c r="P179" s="24">
        <v>26803.587027067224</v>
      </c>
      <c r="V179">
        <v>1</v>
      </c>
      <c r="W179" t="s">
        <v>33</v>
      </c>
      <c r="Y179" t="s">
        <v>33</v>
      </c>
      <c r="Z179" t="s">
        <v>34</v>
      </c>
      <c r="AA179">
        <v>1</v>
      </c>
    </row>
    <row r="180" spans="1:27" x14ac:dyDescent="0.35">
      <c r="A180" s="13">
        <v>45930</v>
      </c>
      <c r="B180">
        <v>1</v>
      </c>
      <c r="D180" t="s">
        <v>31</v>
      </c>
      <c r="E180" t="s">
        <v>32</v>
      </c>
      <c r="F180" t="s">
        <v>32</v>
      </c>
      <c r="H180" t="s">
        <v>59</v>
      </c>
      <c r="I180" t="s">
        <v>159</v>
      </c>
      <c r="K180">
        <v>66</v>
      </c>
      <c r="L180" s="13"/>
      <c r="M180" s="13">
        <v>47938</v>
      </c>
      <c r="N180" s="13">
        <v>47938</v>
      </c>
      <c r="O180" s="13">
        <v>47938</v>
      </c>
      <c r="P180" s="24">
        <v>26803.587027067224</v>
      </c>
      <c r="V180">
        <v>1</v>
      </c>
      <c r="W180" t="s">
        <v>33</v>
      </c>
      <c r="Y180" t="s">
        <v>33</v>
      </c>
      <c r="Z180" t="s">
        <v>34</v>
      </c>
      <c r="AA180">
        <v>1</v>
      </c>
    </row>
    <row r="181" spans="1:27" x14ac:dyDescent="0.35">
      <c r="A181" s="13">
        <v>45930</v>
      </c>
      <c r="B181">
        <v>1</v>
      </c>
      <c r="D181" t="s">
        <v>31</v>
      </c>
      <c r="E181" t="s">
        <v>32</v>
      </c>
      <c r="F181" t="s">
        <v>32</v>
      </c>
      <c r="H181" t="s">
        <v>59</v>
      </c>
      <c r="I181" t="s">
        <v>159</v>
      </c>
      <c r="K181">
        <v>67</v>
      </c>
      <c r="L181" s="13"/>
      <c r="M181" s="13">
        <v>47968</v>
      </c>
      <c r="N181" s="13">
        <v>47968</v>
      </c>
      <c r="O181" s="13">
        <v>47968</v>
      </c>
      <c r="P181" s="24">
        <v>26803.587027067224</v>
      </c>
      <c r="V181">
        <v>1</v>
      </c>
      <c r="W181" t="s">
        <v>33</v>
      </c>
      <c r="Y181" t="s">
        <v>33</v>
      </c>
      <c r="Z181" t="s">
        <v>34</v>
      </c>
      <c r="AA181">
        <v>1</v>
      </c>
    </row>
    <row r="182" spans="1:27" x14ac:dyDescent="0.35">
      <c r="A182" s="13">
        <v>45930</v>
      </c>
      <c r="B182">
        <v>1</v>
      </c>
      <c r="D182" t="s">
        <v>31</v>
      </c>
      <c r="E182" t="s">
        <v>32</v>
      </c>
      <c r="F182" t="s">
        <v>32</v>
      </c>
      <c r="H182" t="s">
        <v>59</v>
      </c>
      <c r="I182" t="s">
        <v>159</v>
      </c>
      <c r="K182">
        <v>68</v>
      </c>
      <c r="L182" s="13"/>
      <c r="M182" s="13">
        <v>47999</v>
      </c>
      <c r="N182" s="13">
        <v>47999</v>
      </c>
      <c r="O182" s="13">
        <v>47999</v>
      </c>
      <c r="P182" s="24">
        <v>26803.587027067224</v>
      </c>
      <c r="V182">
        <v>1</v>
      </c>
      <c r="W182" t="s">
        <v>33</v>
      </c>
      <c r="Y182" t="s">
        <v>33</v>
      </c>
      <c r="Z182" t="s">
        <v>34</v>
      </c>
      <c r="AA182">
        <v>1</v>
      </c>
    </row>
    <row r="183" spans="1:27" x14ac:dyDescent="0.35">
      <c r="A183" s="13">
        <v>45930</v>
      </c>
      <c r="B183">
        <v>1</v>
      </c>
      <c r="D183" t="s">
        <v>31</v>
      </c>
      <c r="E183" t="s">
        <v>32</v>
      </c>
      <c r="F183" t="s">
        <v>32</v>
      </c>
      <c r="H183" t="s">
        <v>59</v>
      </c>
      <c r="I183" t="s">
        <v>159</v>
      </c>
      <c r="K183">
        <v>69</v>
      </c>
      <c r="L183" s="13"/>
      <c r="M183" s="13">
        <v>48029</v>
      </c>
      <c r="N183" s="13">
        <v>48029</v>
      </c>
      <c r="O183" s="13">
        <v>48029</v>
      </c>
      <c r="P183" s="24">
        <v>26803.587027067224</v>
      </c>
      <c r="V183">
        <v>1</v>
      </c>
      <c r="W183" t="s">
        <v>33</v>
      </c>
      <c r="Y183" t="s">
        <v>33</v>
      </c>
      <c r="Z183" t="s">
        <v>34</v>
      </c>
      <c r="AA183">
        <v>1</v>
      </c>
    </row>
    <row r="184" spans="1:27" x14ac:dyDescent="0.35">
      <c r="A184" s="13">
        <v>45930</v>
      </c>
      <c r="B184">
        <v>1</v>
      </c>
      <c r="D184" t="s">
        <v>31</v>
      </c>
      <c r="E184" t="s">
        <v>32</v>
      </c>
      <c r="F184" t="s">
        <v>32</v>
      </c>
      <c r="H184" t="s">
        <v>59</v>
      </c>
      <c r="I184" t="s">
        <v>159</v>
      </c>
      <c r="K184">
        <v>70</v>
      </c>
      <c r="L184" s="13"/>
      <c r="M184" s="13">
        <v>48060</v>
      </c>
      <c r="N184" s="13">
        <v>48060</v>
      </c>
      <c r="O184" s="13">
        <v>48060</v>
      </c>
      <c r="P184" s="24">
        <v>26803.587027067224</v>
      </c>
      <c r="V184">
        <v>1</v>
      </c>
      <c r="W184" t="s">
        <v>33</v>
      </c>
      <c r="Y184" t="s">
        <v>33</v>
      </c>
      <c r="Z184" t="s">
        <v>34</v>
      </c>
      <c r="AA184">
        <v>1</v>
      </c>
    </row>
    <row r="185" spans="1:27" x14ac:dyDescent="0.35">
      <c r="A185" s="13">
        <v>45930</v>
      </c>
      <c r="B185">
        <v>1</v>
      </c>
      <c r="D185" t="s">
        <v>31</v>
      </c>
      <c r="E185" t="s">
        <v>32</v>
      </c>
      <c r="F185" t="s">
        <v>32</v>
      </c>
      <c r="H185" t="s">
        <v>59</v>
      </c>
      <c r="I185" t="s">
        <v>159</v>
      </c>
      <c r="K185">
        <v>71</v>
      </c>
      <c r="L185" s="13"/>
      <c r="M185" s="13">
        <v>48091</v>
      </c>
      <c r="N185" s="13">
        <v>48091</v>
      </c>
      <c r="O185" s="13">
        <v>48091</v>
      </c>
      <c r="P185" s="24">
        <v>26803.587027067224</v>
      </c>
      <c r="V185">
        <v>1</v>
      </c>
      <c r="W185" t="s">
        <v>33</v>
      </c>
      <c r="Y185" t="s">
        <v>33</v>
      </c>
      <c r="Z185" t="s">
        <v>34</v>
      </c>
      <c r="AA185">
        <v>1</v>
      </c>
    </row>
    <row r="186" spans="1:27" x14ac:dyDescent="0.35">
      <c r="A186" s="13">
        <v>45930</v>
      </c>
      <c r="B186">
        <v>1</v>
      </c>
      <c r="D186" t="s">
        <v>31</v>
      </c>
      <c r="E186" t="s">
        <v>32</v>
      </c>
      <c r="F186" t="s">
        <v>32</v>
      </c>
      <c r="H186" t="s">
        <v>59</v>
      </c>
      <c r="I186" t="s">
        <v>159</v>
      </c>
      <c r="K186">
        <v>72</v>
      </c>
      <c r="L186" s="13"/>
      <c r="M186" s="13">
        <v>48121</v>
      </c>
      <c r="N186" s="13">
        <v>48121</v>
      </c>
      <c r="O186" s="13">
        <v>48121</v>
      </c>
      <c r="P186" s="24">
        <v>26803.587027067224</v>
      </c>
      <c r="V186">
        <v>1</v>
      </c>
      <c r="W186" t="s">
        <v>33</v>
      </c>
      <c r="Y186" t="s">
        <v>33</v>
      </c>
      <c r="Z186" t="s">
        <v>34</v>
      </c>
      <c r="AA186">
        <v>1</v>
      </c>
    </row>
    <row r="187" spans="1:27" x14ac:dyDescent="0.35">
      <c r="A187" s="13">
        <v>45930</v>
      </c>
      <c r="B187">
        <v>1</v>
      </c>
      <c r="D187" t="s">
        <v>31</v>
      </c>
      <c r="E187" t="s">
        <v>32</v>
      </c>
      <c r="F187" t="s">
        <v>32</v>
      </c>
      <c r="H187" t="s">
        <v>59</v>
      </c>
      <c r="I187" t="s">
        <v>159</v>
      </c>
      <c r="K187">
        <v>73</v>
      </c>
      <c r="L187" s="13"/>
      <c r="M187" s="13">
        <v>48152</v>
      </c>
      <c r="N187" s="13">
        <v>48152</v>
      </c>
      <c r="O187" s="13">
        <v>48152</v>
      </c>
      <c r="P187" s="24">
        <v>26803.587027067224</v>
      </c>
      <c r="V187">
        <v>1</v>
      </c>
      <c r="W187" t="s">
        <v>33</v>
      </c>
      <c r="Y187" t="s">
        <v>33</v>
      </c>
      <c r="Z187" t="s">
        <v>34</v>
      </c>
      <c r="AA187">
        <v>1</v>
      </c>
    </row>
    <row r="188" spans="1:27" x14ac:dyDescent="0.35">
      <c r="A188" s="13">
        <v>45930</v>
      </c>
      <c r="B188">
        <v>1</v>
      </c>
      <c r="D188" t="s">
        <v>31</v>
      </c>
      <c r="E188" t="s">
        <v>32</v>
      </c>
      <c r="F188" t="s">
        <v>32</v>
      </c>
      <c r="H188" t="s">
        <v>59</v>
      </c>
      <c r="I188" t="s">
        <v>159</v>
      </c>
      <c r="K188">
        <v>74</v>
      </c>
      <c r="L188" s="13"/>
      <c r="M188" s="13">
        <v>48182</v>
      </c>
      <c r="N188" s="13">
        <v>48182</v>
      </c>
      <c r="O188" s="13">
        <v>48182</v>
      </c>
      <c r="P188" s="24">
        <v>26803.587027067224</v>
      </c>
      <c r="V188">
        <v>1</v>
      </c>
      <c r="W188" t="s">
        <v>33</v>
      </c>
      <c r="Y188" t="s">
        <v>33</v>
      </c>
      <c r="Z188" t="s">
        <v>34</v>
      </c>
      <c r="AA188">
        <v>1</v>
      </c>
    </row>
    <row r="189" spans="1:27" x14ac:dyDescent="0.35">
      <c r="A189" s="13">
        <v>45930</v>
      </c>
      <c r="B189">
        <v>1</v>
      </c>
      <c r="D189" t="s">
        <v>31</v>
      </c>
      <c r="E189" t="s">
        <v>32</v>
      </c>
      <c r="F189" t="s">
        <v>32</v>
      </c>
      <c r="H189" t="s">
        <v>59</v>
      </c>
      <c r="I189" t="s">
        <v>159</v>
      </c>
      <c r="K189">
        <v>75</v>
      </c>
      <c r="L189" s="13"/>
      <c r="M189" s="13">
        <v>48213</v>
      </c>
      <c r="N189" s="13">
        <v>48213</v>
      </c>
      <c r="O189" s="13">
        <v>48213</v>
      </c>
      <c r="P189" s="24">
        <v>26803.587027067224</v>
      </c>
      <c r="V189">
        <v>1</v>
      </c>
      <c r="W189" t="s">
        <v>33</v>
      </c>
      <c r="Y189" t="s">
        <v>33</v>
      </c>
      <c r="Z189" t="s">
        <v>34</v>
      </c>
      <c r="AA189">
        <v>1</v>
      </c>
    </row>
    <row r="190" spans="1:27" x14ac:dyDescent="0.35">
      <c r="A190" s="13">
        <v>45930</v>
      </c>
      <c r="B190">
        <v>1</v>
      </c>
      <c r="D190" t="s">
        <v>31</v>
      </c>
      <c r="E190" t="s">
        <v>32</v>
      </c>
      <c r="F190" t="s">
        <v>32</v>
      </c>
      <c r="H190" t="s">
        <v>59</v>
      </c>
      <c r="I190" t="s">
        <v>159</v>
      </c>
      <c r="K190">
        <v>76</v>
      </c>
      <c r="L190" s="13"/>
      <c r="M190" s="13">
        <v>48244</v>
      </c>
      <c r="N190" s="13">
        <v>48244</v>
      </c>
      <c r="O190" s="13">
        <v>48244</v>
      </c>
      <c r="P190" s="24">
        <v>26803.587027067224</v>
      </c>
      <c r="V190">
        <v>1</v>
      </c>
      <c r="W190" t="s">
        <v>33</v>
      </c>
      <c r="Y190" t="s">
        <v>33</v>
      </c>
      <c r="Z190" t="s">
        <v>34</v>
      </c>
      <c r="AA190">
        <v>1</v>
      </c>
    </row>
    <row r="191" spans="1:27" x14ac:dyDescent="0.35">
      <c r="A191" s="13">
        <v>45930</v>
      </c>
      <c r="B191">
        <v>1</v>
      </c>
      <c r="D191" t="s">
        <v>31</v>
      </c>
      <c r="E191" t="s">
        <v>32</v>
      </c>
      <c r="F191" t="s">
        <v>32</v>
      </c>
      <c r="H191" t="s">
        <v>59</v>
      </c>
      <c r="I191" t="s">
        <v>159</v>
      </c>
      <c r="K191">
        <v>77</v>
      </c>
      <c r="L191" s="13"/>
      <c r="M191" s="13">
        <v>48273</v>
      </c>
      <c r="N191" s="13">
        <v>48273</v>
      </c>
      <c r="O191" s="13">
        <v>48273</v>
      </c>
      <c r="P191" s="24">
        <v>26803.587027067224</v>
      </c>
      <c r="V191">
        <v>1</v>
      </c>
      <c r="W191" t="s">
        <v>33</v>
      </c>
      <c r="Y191" t="s">
        <v>33</v>
      </c>
      <c r="Z191" t="s">
        <v>34</v>
      </c>
      <c r="AA191">
        <v>1</v>
      </c>
    </row>
    <row r="192" spans="1:27" x14ac:dyDescent="0.35">
      <c r="A192" s="13">
        <v>45930</v>
      </c>
      <c r="B192">
        <v>1</v>
      </c>
      <c r="D192" t="s">
        <v>31</v>
      </c>
      <c r="E192" t="s">
        <v>32</v>
      </c>
      <c r="F192" t="s">
        <v>32</v>
      </c>
      <c r="H192" t="s">
        <v>59</v>
      </c>
      <c r="I192" t="s">
        <v>159</v>
      </c>
      <c r="K192">
        <v>78</v>
      </c>
      <c r="L192" s="13"/>
      <c r="M192" s="13">
        <v>48304</v>
      </c>
      <c r="N192" s="13">
        <v>48304</v>
      </c>
      <c r="O192" s="13">
        <v>48304</v>
      </c>
      <c r="P192" s="24">
        <v>26803.587027067224</v>
      </c>
      <c r="V192">
        <v>1</v>
      </c>
      <c r="W192" t="s">
        <v>33</v>
      </c>
      <c r="Y192" t="s">
        <v>33</v>
      </c>
      <c r="Z192" t="s">
        <v>34</v>
      </c>
      <c r="AA192">
        <v>1</v>
      </c>
    </row>
    <row r="193" spans="1:27" x14ac:dyDescent="0.35">
      <c r="A193" s="13">
        <v>45930</v>
      </c>
      <c r="B193">
        <v>1</v>
      </c>
      <c r="D193" t="s">
        <v>31</v>
      </c>
      <c r="E193" t="s">
        <v>32</v>
      </c>
      <c r="F193" t="s">
        <v>32</v>
      </c>
      <c r="H193" t="s">
        <v>59</v>
      </c>
      <c r="I193" t="s">
        <v>159</v>
      </c>
      <c r="K193">
        <v>79</v>
      </c>
      <c r="L193" s="13"/>
      <c r="M193" s="13">
        <v>48334</v>
      </c>
      <c r="N193" s="13">
        <v>48334</v>
      </c>
      <c r="O193" s="13">
        <v>48334</v>
      </c>
      <c r="P193" s="24">
        <v>26803.587027067224</v>
      </c>
      <c r="V193">
        <v>1</v>
      </c>
      <c r="W193" t="s">
        <v>33</v>
      </c>
      <c r="Y193" t="s">
        <v>33</v>
      </c>
      <c r="Z193" t="s">
        <v>34</v>
      </c>
      <c r="AA193">
        <v>1</v>
      </c>
    </row>
    <row r="194" spans="1:27" x14ac:dyDescent="0.35">
      <c r="A194" s="13">
        <v>45930</v>
      </c>
      <c r="B194">
        <v>1</v>
      </c>
      <c r="D194" t="s">
        <v>31</v>
      </c>
      <c r="E194" t="s">
        <v>32</v>
      </c>
      <c r="F194" t="s">
        <v>32</v>
      </c>
      <c r="H194" t="s">
        <v>59</v>
      </c>
      <c r="I194" t="s">
        <v>159</v>
      </c>
      <c r="K194">
        <v>80</v>
      </c>
      <c r="L194" s="13"/>
      <c r="M194" s="13">
        <v>48365</v>
      </c>
      <c r="N194" s="13">
        <v>48365</v>
      </c>
      <c r="O194" s="13">
        <v>48365</v>
      </c>
      <c r="P194" s="24">
        <v>26803.587027067224</v>
      </c>
      <c r="V194">
        <v>1</v>
      </c>
      <c r="W194" t="s">
        <v>33</v>
      </c>
      <c r="Y194" t="s">
        <v>33</v>
      </c>
      <c r="Z194" t="s">
        <v>34</v>
      </c>
      <c r="AA194">
        <v>1</v>
      </c>
    </row>
    <row r="195" spans="1:27" x14ac:dyDescent="0.35">
      <c r="A195" s="13">
        <v>45930</v>
      </c>
      <c r="B195">
        <v>1</v>
      </c>
      <c r="D195" t="s">
        <v>31</v>
      </c>
      <c r="E195" t="s">
        <v>32</v>
      </c>
      <c r="F195" t="s">
        <v>32</v>
      </c>
      <c r="H195" t="s">
        <v>59</v>
      </c>
      <c r="I195" t="s">
        <v>159</v>
      </c>
      <c r="K195">
        <v>81</v>
      </c>
      <c r="L195" s="13"/>
      <c r="M195" s="13">
        <v>48395</v>
      </c>
      <c r="N195" s="13">
        <v>48395</v>
      </c>
      <c r="O195" s="13">
        <v>48395</v>
      </c>
      <c r="P195" s="24">
        <v>26803.587027067224</v>
      </c>
      <c r="V195">
        <v>1</v>
      </c>
      <c r="W195" t="s">
        <v>33</v>
      </c>
      <c r="Y195" t="s">
        <v>33</v>
      </c>
      <c r="Z195" t="s">
        <v>34</v>
      </c>
      <c r="AA195">
        <v>1</v>
      </c>
    </row>
    <row r="196" spans="1:27" x14ac:dyDescent="0.35">
      <c r="A196" s="13">
        <v>45930</v>
      </c>
      <c r="B196">
        <v>1</v>
      </c>
      <c r="D196" t="s">
        <v>31</v>
      </c>
      <c r="E196" t="s">
        <v>32</v>
      </c>
      <c r="F196" t="s">
        <v>32</v>
      </c>
      <c r="H196" t="s">
        <v>59</v>
      </c>
      <c r="I196" t="s">
        <v>159</v>
      </c>
      <c r="K196">
        <v>82</v>
      </c>
      <c r="L196" s="13"/>
      <c r="M196" s="13">
        <v>48426</v>
      </c>
      <c r="N196" s="13">
        <v>48426</v>
      </c>
      <c r="O196" s="13">
        <v>48426</v>
      </c>
      <c r="P196" s="24">
        <v>26803.587027067224</v>
      </c>
      <c r="V196">
        <v>1</v>
      </c>
      <c r="W196" t="s">
        <v>33</v>
      </c>
      <c r="Y196" t="s">
        <v>33</v>
      </c>
      <c r="Z196" t="s">
        <v>34</v>
      </c>
      <c r="AA196">
        <v>1</v>
      </c>
    </row>
    <row r="197" spans="1:27" x14ac:dyDescent="0.35">
      <c r="A197" s="13">
        <v>45930</v>
      </c>
      <c r="B197">
        <v>1</v>
      </c>
      <c r="D197" t="s">
        <v>31</v>
      </c>
      <c r="E197" t="s">
        <v>32</v>
      </c>
      <c r="F197" t="s">
        <v>32</v>
      </c>
      <c r="H197" t="s">
        <v>59</v>
      </c>
      <c r="I197" t="s">
        <v>159</v>
      </c>
      <c r="K197">
        <v>83</v>
      </c>
      <c r="L197" s="13"/>
      <c r="M197" s="13">
        <v>48457</v>
      </c>
      <c r="N197" s="13">
        <v>48457</v>
      </c>
      <c r="O197" s="13">
        <v>48457</v>
      </c>
      <c r="P197" s="24">
        <v>26803.587027067224</v>
      </c>
      <c r="V197">
        <v>1</v>
      </c>
      <c r="W197" t="s">
        <v>33</v>
      </c>
      <c r="Y197" t="s">
        <v>33</v>
      </c>
      <c r="Z197" t="s">
        <v>34</v>
      </c>
      <c r="AA197">
        <v>1</v>
      </c>
    </row>
    <row r="198" spans="1:27" x14ac:dyDescent="0.35">
      <c r="A198" s="13">
        <v>45930</v>
      </c>
      <c r="B198">
        <v>1</v>
      </c>
      <c r="D198" t="s">
        <v>31</v>
      </c>
      <c r="E198" t="s">
        <v>32</v>
      </c>
      <c r="F198" t="s">
        <v>32</v>
      </c>
      <c r="H198" t="s">
        <v>59</v>
      </c>
      <c r="I198" t="s">
        <v>159</v>
      </c>
      <c r="K198">
        <v>84</v>
      </c>
      <c r="L198" s="13"/>
      <c r="M198" s="13">
        <v>48487</v>
      </c>
      <c r="N198" s="13">
        <v>48487</v>
      </c>
      <c r="O198" s="13">
        <v>48487</v>
      </c>
      <c r="P198" s="24">
        <v>26803.587027067224</v>
      </c>
      <c r="V198">
        <v>1</v>
      </c>
      <c r="W198" t="s">
        <v>33</v>
      </c>
      <c r="Y198" t="s">
        <v>33</v>
      </c>
      <c r="Z198" t="s">
        <v>34</v>
      </c>
      <c r="AA198">
        <v>1</v>
      </c>
    </row>
    <row r="199" spans="1:27" x14ac:dyDescent="0.35">
      <c r="A199" s="13">
        <v>45930</v>
      </c>
      <c r="B199">
        <v>1</v>
      </c>
      <c r="D199" t="s">
        <v>31</v>
      </c>
      <c r="E199" t="s">
        <v>32</v>
      </c>
      <c r="F199" t="s">
        <v>32</v>
      </c>
      <c r="H199" t="s">
        <v>59</v>
      </c>
      <c r="I199" t="s">
        <v>159</v>
      </c>
      <c r="K199">
        <v>85</v>
      </c>
      <c r="L199" s="13"/>
      <c r="M199" s="13">
        <v>48518</v>
      </c>
      <c r="N199" s="13">
        <v>48518</v>
      </c>
      <c r="O199" s="13">
        <v>48518</v>
      </c>
      <c r="P199" s="24">
        <v>26803.587027067224</v>
      </c>
      <c r="V199">
        <v>1</v>
      </c>
      <c r="W199" t="s">
        <v>33</v>
      </c>
      <c r="Y199" t="s">
        <v>33</v>
      </c>
      <c r="Z199" t="s">
        <v>34</v>
      </c>
      <c r="AA199">
        <v>1</v>
      </c>
    </row>
    <row r="200" spans="1:27" x14ac:dyDescent="0.35">
      <c r="A200" s="13">
        <v>45930</v>
      </c>
      <c r="B200">
        <v>1</v>
      </c>
      <c r="D200" t="s">
        <v>31</v>
      </c>
      <c r="E200" t="s">
        <v>32</v>
      </c>
      <c r="F200" t="s">
        <v>32</v>
      </c>
      <c r="H200" t="s">
        <v>59</v>
      </c>
      <c r="I200" t="s">
        <v>159</v>
      </c>
      <c r="K200">
        <v>86</v>
      </c>
      <c r="L200" s="13"/>
      <c r="M200" s="13">
        <v>48548</v>
      </c>
      <c r="N200" s="13">
        <v>48548</v>
      </c>
      <c r="O200" s="13">
        <v>48548</v>
      </c>
      <c r="P200" s="24">
        <v>26803.587027067224</v>
      </c>
      <c r="V200">
        <v>1</v>
      </c>
      <c r="W200" t="s">
        <v>33</v>
      </c>
      <c r="Y200" t="s">
        <v>33</v>
      </c>
      <c r="Z200" t="s">
        <v>34</v>
      </c>
      <c r="AA200">
        <v>1</v>
      </c>
    </row>
    <row r="201" spans="1:27" x14ac:dyDescent="0.35">
      <c r="A201" s="13">
        <v>45930</v>
      </c>
      <c r="B201">
        <v>1</v>
      </c>
      <c r="D201" t="s">
        <v>31</v>
      </c>
      <c r="E201" t="s">
        <v>32</v>
      </c>
      <c r="F201" t="s">
        <v>32</v>
      </c>
      <c r="H201" t="s">
        <v>59</v>
      </c>
      <c r="I201" t="s">
        <v>159</v>
      </c>
      <c r="K201">
        <v>87</v>
      </c>
      <c r="L201" s="13"/>
      <c r="M201" s="13">
        <v>48579</v>
      </c>
      <c r="N201" s="13">
        <v>48579</v>
      </c>
      <c r="O201" s="13">
        <v>48579</v>
      </c>
      <c r="P201" s="24">
        <v>26803.587027067224</v>
      </c>
      <c r="V201">
        <v>1</v>
      </c>
      <c r="W201" t="s">
        <v>33</v>
      </c>
      <c r="Y201" t="s">
        <v>33</v>
      </c>
      <c r="Z201" t="s">
        <v>34</v>
      </c>
      <c r="AA201">
        <v>1</v>
      </c>
    </row>
    <row r="202" spans="1:27" x14ac:dyDescent="0.35">
      <c r="A202" s="13">
        <v>45930</v>
      </c>
      <c r="B202">
        <v>1</v>
      </c>
      <c r="D202" t="s">
        <v>31</v>
      </c>
      <c r="E202" t="s">
        <v>32</v>
      </c>
      <c r="F202" t="s">
        <v>32</v>
      </c>
      <c r="H202" t="s">
        <v>59</v>
      </c>
      <c r="I202" t="s">
        <v>159</v>
      </c>
      <c r="K202">
        <v>88</v>
      </c>
      <c r="L202" s="13"/>
      <c r="M202" s="13">
        <v>48610</v>
      </c>
      <c r="N202" s="13">
        <v>48610</v>
      </c>
      <c r="O202" s="13">
        <v>48610</v>
      </c>
      <c r="P202" s="24">
        <v>26803.587027067224</v>
      </c>
      <c r="V202">
        <v>1</v>
      </c>
      <c r="W202" t="s">
        <v>33</v>
      </c>
      <c r="Y202" t="s">
        <v>33</v>
      </c>
      <c r="Z202" t="s">
        <v>34</v>
      </c>
      <c r="AA202">
        <v>1</v>
      </c>
    </row>
    <row r="203" spans="1:27" x14ac:dyDescent="0.35">
      <c r="A203" s="13">
        <v>45930</v>
      </c>
      <c r="B203">
        <v>1</v>
      </c>
      <c r="D203" t="s">
        <v>31</v>
      </c>
      <c r="E203" t="s">
        <v>32</v>
      </c>
      <c r="F203" t="s">
        <v>32</v>
      </c>
      <c r="H203" t="s">
        <v>59</v>
      </c>
      <c r="I203" t="s">
        <v>159</v>
      </c>
      <c r="K203">
        <v>89</v>
      </c>
      <c r="L203" s="13"/>
      <c r="M203" s="13">
        <v>48638</v>
      </c>
      <c r="N203" s="13">
        <v>48638</v>
      </c>
      <c r="O203" s="13">
        <v>48638</v>
      </c>
      <c r="P203" s="24">
        <v>26803.587027067224</v>
      </c>
      <c r="V203">
        <v>1</v>
      </c>
      <c r="W203" t="s">
        <v>33</v>
      </c>
      <c r="Y203" t="s">
        <v>33</v>
      </c>
      <c r="Z203" t="s">
        <v>34</v>
      </c>
      <c r="AA203">
        <v>1</v>
      </c>
    </row>
    <row r="204" spans="1:27" x14ac:dyDescent="0.35">
      <c r="A204" s="13">
        <v>45930</v>
      </c>
      <c r="B204">
        <v>1</v>
      </c>
      <c r="D204" t="s">
        <v>31</v>
      </c>
      <c r="E204" t="s">
        <v>32</v>
      </c>
      <c r="F204" t="s">
        <v>32</v>
      </c>
      <c r="H204" t="s">
        <v>59</v>
      </c>
      <c r="I204" t="s">
        <v>159</v>
      </c>
      <c r="K204">
        <v>90</v>
      </c>
      <c r="L204" s="13"/>
      <c r="M204" s="13">
        <v>48669</v>
      </c>
      <c r="N204" s="13">
        <v>48669</v>
      </c>
      <c r="O204" s="13">
        <v>48669</v>
      </c>
      <c r="P204" s="24">
        <v>26803.587027067224</v>
      </c>
      <c r="V204">
        <v>1</v>
      </c>
      <c r="W204" t="s">
        <v>33</v>
      </c>
      <c r="Y204" t="s">
        <v>33</v>
      </c>
      <c r="Z204" t="s">
        <v>34</v>
      </c>
      <c r="AA204">
        <v>1</v>
      </c>
    </row>
    <row r="205" spans="1:27" x14ac:dyDescent="0.35">
      <c r="A205" s="13">
        <v>45930</v>
      </c>
      <c r="B205">
        <v>1</v>
      </c>
      <c r="D205" t="s">
        <v>31</v>
      </c>
      <c r="E205" t="s">
        <v>32</v>
      </c>
      <c r="F205" t="s">
        <v>32</v>
      </c>
      <c r="H205" t="s">
        <v>59</v>
      </c>
      <c r="I205" t="s">
        <v>159</v>
      </c>
      <c r="K205">
        <v>91</v>
      </c>
      <c r="L205" s="13"/>
      <c r="M205" s="13">
        <v>48699</v>
      </c>
      <c r="N205" s="13">
        <v>48699</v>
      </c>
      <c r="O205" s="13">
        <v>48699</v>
      </c>
      <c r="P205" s="24">
        <v>26803.587027067224</v>
      </c>
      <c r="V205">
        <v>1</v>
      </c>
      <c r="W205" t="s">
        <v>33</v>
      </c>
      <c r="Y205" t="s">
        <v>33</v>
      </c>
      <c r="Z205" t="s">
        <v>34</v>
      </c>
      <c r="AA205">
        <v>1</v>
      </c>
    </row>
    <row r="206" spans="1:27" x14ac:dyDescent="0.35">
      <c r="A206" s="13">
        <v>45930</v>
      </c>
      <c r="B206">
        <v>1</v>
      </c>
      <c r="D206" t="s">
        <v>31</v>
      </c>
      <c r="E206" t="s">
        <v>32</v>
      </c>
      <c r="F206" t="s">
        <v>32</v>
      </c>
      <c r="H206" t="s">
        <v>59</v>
      </c>
      <c r="I206" t="s">
        <v>159</v>
      </c>
      <c r="K206">
        <v>92</v>
      </c>
      <c r="L206" s="13"/>
      <c r="M206" s="13">
        <v>48730</v>
      </c>
      <c r="N206" s="13">
        <v>48730</v>
      </c>
      <c r="O206" s="13">
        <v>48730</v>
      </c>
      <c r="P206" s="24">
        <v>26803.587027067224</v>
      </c>
      <c r="V206">
        <v>1</v>
      </c>
      <c r="W206" t="s">
        <v>33</v>
      </c>
      <c r="Y206" t="s">
        <v>33</v>
      </c>
      <c r="Z206" t="s">
        <v>34</v>
      </c>
      <c r="AA206">
        <v>1</v>
      </c>
    </row>
    <row r="207" spans="1:27" x14ac:dyDescent="0.35">
      <c r="A207" s="13">
        <v>45930</v>
      </c>
      <c r="B207">
        <v>1</v>
      </c>
      <c r="D207" t="s">
        <v>31</v>
      </c>
      <c r="E207" t="s">
        <v>32</v>
      </c>
      <c r="F207" t="s">
        <v>32</v>
      </c>
      <c r="H207" t="s">
        <v>59</v>
      </c>
      <c r="I207" t="s">
        <v>159</v>
      </c>
      <c r="K207">
        <v>93</v>
      </c>
      <c r="L207" s="13"/>
      <c r="M207" s="13">
        <v>48760</v>
      </c>
      <c r="N207" s="13">
        <v>48760</v>
      </c>
      <c r="O207" s="13">
        <v>48760</v>
      </c>
      <c r="P207" s="24">
        <v>26803.587027067224</v>
      </c>
      <c r="V207">
        <v>1</v>
      </c>
      <c r="W207" t="s">
        <v>33</v>
      </c>
      <c r="Y207" t="s">
        <v>33</v>
      </c>
      <c r="Z207" t="s">
        <v>34</v>
      </c>
      <c r="AA207">
        <v>1</v>
      </c>
    </row>
    <row r="208" spans="1:27" x14ac:dyDescent="0.35">
      <c r="A208" s="13">
        <v>45930</v>
      </c>
      <c r="B208">
        <v>1</v>
      </c>
      <c r="D208" t="s">
        <v>31</v>
      </c>
      <c r="E208" t="s">
        <v>32</v>
      </c>
      <c r="F208" t="s">
        <v>32</v>
      </c>
      <c r="H208" t="s">
        <v>59</v>
      </c>
      <c r="I208" t="s">
        <v>159</v>
      </c>
      <c r="K208">
        <v>94</v>
      </c>
      <c r="L208" s="13"/>
      <c r="M208" s="13">
        <v>48791</v>
      </c>
      <c r="N208" s="13">
        <v>48791</v>
      </c>
      <c r="O208" s="13">
        <v>48791</v>
      </c>
      <c r="P208" s="24">
        <v>26803.587027067224</v>
      </c>
      <c r="V208">
        <v>1</v>
      </c>
      <c r="W208" t="s">
        <v>33</v>
      </c>
      <c r="Y208" t="s">
        <v>33</v>
      </c>
      <c r="Z208" t="s">
        <v>34</v>
      </c>
      <c r="AA208">
        <v>1</v>
      </c>
    </row>
    <row r="209" spans="1:27" x14ac:dyDescent="0.35">
      <c r="A209" s="13">
        <v>45930</v>
      </c>
      <c r="B209">
        <v>1</v>
      </c>
      <c r="D209" t="s">
        <v>31</v>
      </c>
      <c r="E209" t="s">
        <v>32</v>
      </c>
      <c r="F209" t="s">
        <v>32</v>
      </c>
      <c r="H209" t="s">
        <v>59</v>
      </c>
      <c r="I209" t="s">
        <v>159</v>
      </c>
      <c r="K209">
        <v>95</v>
      </c>
      <c r="L209" s="13"/>
      <c r="M209" s="13">
        <v>48822</v>
      </c>
      <c r="N209" s="13">
        <v>48822</v>
      </c>
      <c r="O209" s="13">
        <v>48822</v>
      </c>
      <c r="P209" s="24">
        <v>26803.587027067224</v>
      </c>
      <c r="V209">
        <v>1</v>
      </c>
      <c r="W209" t="s">
        <v>33</v>
      </c>
      <c r="Y209" t="s">
        <v>33</v>
      </c>
      <c r="Z209" t="s">
        <v>34</v>
      </c>
      <c r="AA209">
        <v>1</v>
      </c>
    </row>
    <row r="210" spans="1:27" x14ac:dyDescent="0.35">
      <c r="A210" s="13">
        <v>45930</v>
      </c>
      <c r="B210">
        <v>1</v>
      </c>
      <c r="D210" t="s">
        <v>31</v>
      </c>
      <c r="E210" t="s">
        <v>32</v>
      </c>
      <c r="F210" t="s">
        <v>32</v>
      </c>
      <c r="H210" t="s">
        <v>59</v>
      </c>
      <c r="I210" t="s">
        <v>159</v>
      </c>
      <c r="K210">
        <v>96</v>
      </c>
      <c r="L210" s="13"/>
      <c r="M210" s="13">
        <v>48852</v>
      </c>
      <c r="N210" s="13">
        <v>48852</v>
      </c>
      <c r="O210" s="13">
        <v>48852</v>
      </c>
      <c r="P210" s="24">
        <v>26803.587027067224</v>
      </c>
      <c r="V210">
        <v>1</v>
      </c>
      <c r="W210" t="s">
        <v>33</v>
      </c>
      <c r="Y210" t="s">
        <v>33</v>
      </c>
      <c r="Z210" t="s">
        <v>34</v>
      </c>
      <c r="AA210">
        <v>1</v>
      </c>
    </row>
    <row r="211" spans="1:27" x14ac:dyDescent="0.35">
      <c r="A211" s="13">
        <v>45930</v>
      </c>
      <c r="B211">
        <v>1</v>
      </c>
      <c r="D211" t="s">
        <v>31</v>
      </c>
      <c r="E211" t="s">
        <v>32</v>
      </c>
      <c r="F211" t="s">
        <v>32</v>
      </c>
      <c r="H211" t="s">
        <v>59</v>
      </c>
      <c r="I211" t="s">
        <v>159</v>
      </c>
      <c r="K211">
        <v>97</v>
      </c>
      <c r="L211" s="13"/>
      <c r="M211" s="13">
        <v>48883</v>
      </c>
      <c r="N211" s="13">
        <v>48883</v>
      </c>
      <c r="O211" s="13">
        <v>48883</v>
      </c>
      <c r="P211" s="24">
        <v>26803.587027067224</v>
      </c>
      <c r="V211">
        <v>1</v>
      </c>
      <c r="W211" t="s">
        <v>33</v>
      </c>
      <c r="Y211" t="s">
        <v>33</v>
      </c>
      <c r="Z211" t="s">
        <v>34</v>
      </c>
      <c r="AA211">
        <v>1</v>
      </c>
    </row>
    <row r="212" spans="1:27" x14ac:dyDescent="0.35">
      <c r="A212" s="13">
        <v>45930</v>
      </c>
      <c r="B212">
        <v>1</v>
      </c>
      <c r="D212" t="s">
        <v>31</v>
      </c>
      <c r="E212" t="s">
        <v>32</v>
      </c>
      <c r="F212" t="s">
        <v>32</v>
      </c>
      <c r="H212" t="s">
        <v>59</v>
      </c>
      <c r="I212" t="s">
        <v>159</v>
      </c>
      <c r="K212">
        <v>98</v>
      </c>
      <c r="L212" s="13"/>
      <c r="M212" s="13">
        <v>48913</v>
      </c>
      <c r="N212" s="13">
        <v>48913</v>
      </c>
      <c r="O212" s="13">
        <v>48913</v>
      </c>
      <c r="P212" s="24">
        <v>26803.587027067224</v>
      </c>
      <c r="V212">
        <v>1</v>
      </c>
      <c r="W212" t="s">
        <v>33</v>
      </c>
      <c r="Y212" t="s">
        <v>33</v>
      </c>
      <c r="Z212" t="s">
        <v>34</v>
      </c>
      <c r="AA212">
        <v>1</v>
      </c>
    </row>
    <row r="213" spans="1:27" x14ac:dyDescent="0.35">
      <c r="A213" s="13">
        <v>45930</v>
      </c>
      <c r="B213">
        <v>1</v>
      </c>
      <c r="D213" t="s">
        <v>31</v>
      </c>
      <c r="E213" t="s">
        <v>32</v>
      </c>
      <c r="F213" t="s">
        <v>32</v>
      </c>
      <c r="H213" t="s">
        <v>59</v>
      </c>
      <c r="I213" t="s">
        <v>159</v>
      </c>
      <c r="K213">
        <v>99</v>
      </c>
      <c r="L213" s="13"/>
      <c r="M213" s="13">
        <v>48944</v>
      </c>
      <c r="N213" s="13">
        <v>48944</v>
      </c>
      <c r="O213" s="13">
        <v>48944</v>
      </c>
      <c r="P213" s="24">
        <v>26803.587027067224</v>
      </c>
      <c r="V213">
        <v>1</v>
      </c>
      <c r="W213" t="s">
        <v>33</v>
      </c>
      <c r="Y213" t="s">
        <v>33</v>
      </c>
      <c r="Z213" t="s">
        <v>34</v>
      </c>
      <c r="AA213">
        <v>1</v>
      </c>
    </row>
    <row r="214" spans="1:27" x14ac:dyDescent="0.35">
      <c r="A214" s="13">
        <v>45930</v>
      </c>
      <c r="B214">
        <v>1</v>
      </c>
      <c r="D214" t="s">
        <v>31</v>
      </c>
      <c r="E214" t="s">
        <v>32</v>
      </c>
      <c r="F214" t="s">
        <v>32</v>
      </c>
      <c r="H214" t="s">
        <v>59</v>
      </c>
      <c r="I214" t="s">
        <v>159</v>
      </c>
      <c r="K214">
        <v>100</v>
      </c>
      <c r="L214" s="13"/>
      <c r="M214" s="13">
        <v>48975</v>
      </c>
      <c r="N214" s="13">
        <v>48975</v>
      </c>
      <c r="O214" s="13">
        <v>48975</v>
      </c>
      <c r="P214" s="24">
        <v>26803.587027067224</v>
      </c>
      <c r="V214">
        <v>1</v>
      </c>
      <c r="W214" t="s">
        <v>33</v>
      </c>
      <c r="Y214" t="s">
        <v>33</v>
      </c>
      <c r="Z214" t="s">
        <v>34</v>
      </c>
      <c r="AA214">
        <v>1</v>
      </c>
    </row>
    <row r="215" spans="1:27" x14ac:dyDescent="0.35">
      <c r="A215" s="13">
        <v>45930</v>
      </c>
      <c r="B215">
        <v>1</v>
      </c>
      <c r="D215" t="s">
        <v>31</v>
      </c>
      <c r="E215" t="s">
        <v>32</v>
      </c>
      <c r="F215" t="s">
        <v>32</v>
      </c>
      <c r="H215" t="s">
        <v>59</v>
      </c>
      <c r="I215" t="s">
        <v>159</v>
      </c>
      <c r="K215">
        <v>101</v>
      </c>
      <c r="L215" s="13"/>
      <c r="M215" s="13">
        <v>49003</v>
      </c>
      <c r="N215" s="13">
        <v>49003</v>
      </c>
      <c r="O215" s="13">
        <v>49003</v>
      </c>
      <c r="P215" s="24">
        <v>26803.587027067224</v>
      </c>
      <c r="V215">
        <v>1</v>
      </c>
      <c r="W215" t="s">
        <v>33</v>
      </c>
      <c r="Y215" t="s">
        <v>33</v>
      </c>
      <c r="Z215" t="s">
        <v>34</v>
      </c>
      <c r="AA215">
        <v>1</v>
      </c>
    </row>
    <row r="216" spans="1:27" x14ac:dyDescent="0.35">
      <c r="A216" s="13">
        <v>45930</v>
      </c>
      <c r="B216">
        <v>1</v>
      </c>
      <c r="D216" t="s">
        <v>31</v>
      </c>
      <c r="E216" t="s">
        <v>32</v>
      </c>
      <c r="F216" t="s">
        <v>32</v>
      </c>
      <c r="H216" t="s">
        <v>59</v>
      </c>
      <c r="I216" t="s">
        <v>159</v>
      </c>
      <c r="K216">
        <v>102</v>
      </c>
      <c r="L216" s="13"/>
      <c r="M216" s="13">
        <v>49034</v>
      </c>
      <c r="N216" s="13">
        <v>49034</v>
      </c>
      <c r="O216" s="13">
        <v>49034</v>
      </c>
      <c r="P216" s="24">
        <v>26803.587027067224</v>
      </c>
      <c r="V216">
        <v>1</v>
      </c>
      <c r="W216" t="s">
        <v>33</v>
      </c>
      <c r="Y216" t="s">
        <v>33</v>
      </c>
      <c r="Z216" t="s">
        <v>34</v>
      </c>
      <c r="AA216">
        <v>1</v>
      </c>
    </row>
    <row r="217" spans="1:27" x14ac:dyDescent="0.35">
      <c r="A217" s="13">
        <v>45930</v>
      </c>
      <c r="B217">
        <v>1</v>
      </c>
      <c r="D217" t="s">
        <v>31</v>
      </c>
      <c r="E217" t="s">
        <v>32</v>
      </c>
      <c r="F217" t="s">
        <v>32</v>
      </c>
      <c r="H217" t="s">
        <v>59</v>
      </c>
      <c r="I217" t="s">
        <v>159</v>
      </c>
      <c r="K217">
        <v>103</v>
      </c>
      <c r="L217" s="13"/>
      <c r="M217" s="13">
        <v>49064</v>
      </c>
      <c r="N217" s="13">
        <v>49064</v>
      </c>
      <c r="O217" s="13">
        <v>49064</v>
      </c>
      <c r="P217" s="24">
        <v>26803.587027067224</v>
      </c>
      <c r="V217">
        <v>1</v>
      </c>
      <c r="W217" t="s">
        <v>33</v>
      </c>
      <c r="Y217" t="s">
        <v>33</v>
      </c>
      <c r="Z217" t="s">
        <v>34</v>
      </c>
      <c r="AA217">
        <v>1</v>
      </c>
    </row>
    <row r="218" spans="1:27" x14ac:dyDescent="0.35">
      <c r="A218" s="13">
        <v>45930</v>
      </c>
      <c r="B218">
        <v>1</v>
      </c>
      <c r="D218" t="s">
        <v>31</v>
      </c>
      <c r="E218" t="s">
        <v>32</v>
      </c>
      <c r="F218" t="s">
        <v>32</v>
      </c>
      <c r="H218" t="s">
        <v>59</v>
      </c>
      <c r="I218" t="s">
        <v>159</v>
      </c>
      <c r="K218">
        <v>104</v>
      </c>
      <c r="L218" s="13"/>
      <c r="M218" s="13">
        <v>49095</v>
      </c>
      <c r="N218" s="13">
        <v>49095</v>
      </c>
      <c r="O218" s="13">
        <v>49095</v>
      </c>
      <c r="P218" s="24">
        <v>26803.587027067224</v>
      </c>
      <c r="V218">
        <v>1</v>
      </c>
      <c r="W218" t="s">
        <v>33</v>
      </c>
      <c r="Y218" t="s">
        <v>33</v>
      </c>
      <c r="Z218" t="s">
        <v>34</v>
      </c>
      <c r="AA218">
        <v>1</v>
      </c>
    </row>
    <row r="219" spans="1:27" x14ac:dyDescent="0.35">
      <c r="A219" s="13">
        <v>45930</v>
      </c>
      <c r="B219">
        <v>1</v>
      </c>
      <c r="D219" t="s">
        <v>31</v>
      </c>
      <c r="E219" t="s">
        <v>32</v>
      </c>
      <c r="F219" t="s">
        <v>32</v>
      </c>
      <c r="H219" t="s">
        <v>59</v>
      </c>
      <c r="I219" t="s">
        <v>159</v>
      </c>
      <c r="K219">
        <v>105</v>
      </c>
      <c r="L219" s="13"/>
      <c r="M219" s="13">
        <v>49125</v>
      </c>
      <c r="N219" s="13">
        <v>49125</v>
      </c>
      <c r="O219" s="13">
        <v>49125</v>
      </c>
      <c r="P219" s="24">
        <v>26803.587027067224</v>
      </c>
      <c r="V219">
        <v>1</v>
      </c>
      <c r="W219" t="s">
        <v>33</v>
      </c>
      <c r="Y219" t="s">
        <v>33</v>
      </c>
      <c r="Z219" t="s">
        <v>34</v>
      </c>
      <c r="AA219">
        <v>1</v>
      </c>
    </row>
    <row r="220" spans="1:27" x14ac:dyDescent="0.35">
      <c r="A220" s="13">
        <v>45930</v>
      </c>
      <c r="B220">
        <v>1</v>
      </c>
      <c r="D220" t="s">
        <v>31</v>
      </c>
      <c r="E220" t="s">
        <v>32</v>
      </c>
      <c r="F220" t="s">
        <v>32</v>
      </c>
      <c r="H220" t="s">
        <v>59</v>
      </c>
      <c r="I220" t="s">
        <v>159</v>
      </c>
      <c r="K220">
        <v>106</v>
      </c>
      <c r="L220" s="13"/>
      <c r="M220" s="13">
        <v>49156</v>
      </c>
      <c r="N220" s="13">
        <v>49156</v>
      </c>
      <c r="O220" s="13">
        <v>49156</v>
      </c>
      <c r="P220" s="24">
        <v>26803.587027067224</v>
      </c>
      <c r="V220">
        <v>1</v>
      </c>
      <c r="W220" t="s">
        <v>33</v>
      </c>
      <c r="Y220" t="s">
        <v>33</v>
      </c>
      <c r="Z220" t="s">
        <v>34</v>
      </c>
      <c r="AA220">
        <v>1</v>
      </c>
    </row>
    <row r="221" spans="1:27" x14ac:dyDescent="0.35">
      <c r="A221" s="13">
        <v>45930</v>
      </c>
      <c r="B221">
        <v>1</v>
      </c>
      <c r="D221" t="s">
        <v>31</v>
      </c>
      <c r="E221" t="s">
        <v>32</v>
      </c>
      <c r="F221" t="s">
        <v>32</v>
      </c>
      <c r="H221" t="s">
        <v>59</v>
      </c>
      <c r="I221" t="s">
        <v>159</v>
      </c>
      <c r="K221">
        <v>107</v>
      </c>
      <c r="L221" s="13"/>
      <c r="M221" s="13">
        <v>49187</v>
      </c>
      <c r="N221" s="13">
        <v>49187</v>
      </c>
      <c r="O221" s="13">
        <v>49187</v>
      </c>
      <c r="P221" s="24">
        <v>26803.587027067224</v>
      </c>
      <c r="V221">
        <v>1</v>
      </c>
      <c r="W221" t="s">
        <v>33</v>
      </c>
      <c r="Y221" t="s">
        <v>33</v>
      </c>
      <c r="Z221" t="s">
        <v>34</v>
      </c>
      <c r="AA221">
        <v>1</v>
      </c>
    </row>
    <row r="222" spans="1:27" x14ac:dyDescent="0.35">
      <c r="A222" s="13">
        <v>45930</v>
      </c>
      <c r="B222">
        <v>1</v>
      </c>
      <c r="D222" t="s">
        <v>31</v>
      </c>
      <c r="E222" t="s">
        <v>32</v>
      </c>
      <c r="F222" t="s">
        <v>32</v>
      </c>
      <c r="H222" t="s">
        <v>59</v>
      </c>
      <c r="I222" t="s">
        <v>159</v>
      </c>
      <c r="K222">
        <v>108</v>
      </c>
      <c r="L222" s="13"/>
      <c r="M222" s="13">
        <v>49217</v>
      </c>
      <c r="N222" s="13">
        <v>49217</v>
      </c>
      <c r="O222" s="13">
        <v>49217</v>
      </c>
      <c r="P222" s="24">
        <v>26803.587027067224</v>
      </c>
      <c r="V222">
        <v>1</v>
      </c>
      <c r="W222" t="s">
        <v>33</v>
      </c>
      <c r="Y222" t="s">
        <v>33</v>
      </c>
      <c r="Z222" t="s">
        <v>34</v>
      </c>
      <c r="AA222">
        <v>1</v>
      </c>
    </row>
    <row r="223" spans="1:27" x14ac:dyDescent="0.35">
      <c r="A223" s="13">
        <v>45930</v>
      </c>
      <c r="B223">
        <v>1</v>
      </c>
      <c r="D223" t="s">
        <v>31</v>
      </c>
      <c r="E223" t="s">
        <v>32</v>
      </c>
      <c r="F223" t="s">
        <v>32</v>
      </c>
      <c r="H223" t="s">
        <v>59</v>
      </c>
      <c r="I223" t="s">
        <v>159</v>
      </c>
      <c r="K223">
        <v>109</v>
      </c>
      <c r="L223" s="13"/>
      <c r="M223" s="13">
        <v>49248</v>
      </c>
      <c r="N223" s="13">
        <v>49248</v>
      </c>
      <c r="O223" s="13">
        <v>49248</v>
      </c>
      <c r="P223" s="24">
        <v>26803.587027067224</v>
      </c>
      <c r="V223">
        <v>1</v>
      </c>
      <c r="W223" t="s">
        <v>33</v>
      </c>
      <c r="Y223" t="s">
        <v>33</v>
      </c>
      <c r="Z223" t="s">
        <v>34</v>
      </c>
      <c r="AA223">
        <v>1</v>
      </c>
    </row>
    <row r="224" spans="1:27" x14ac:dyDescent="0.35">
      <c r="A224" s="13">
        <v>45930</v>
      </c>
      <c r="B224">
        <v>1</v>
      </c>
      <c r="D224" t="s">
        <v>31</v>
      </c>
      <c r="E224" t="s">
        <v>32</v>
      </c>
      <c r="F224" t="s">
        <v>32</v>
      </c>
      <c r="H224" t="s">
        <v>59</v>
      </c>
      <c r="I224" t="s">
        <v>159</v>
      </c>
      <c r="K224">
        <v>110</v>
      </c>
      <c r="L224" s="13"/>
      <c r="M224" s="13">
        <v>49278</v>
      </c>
      <c r="N224" s="13">
        <v>49278</v>
      </c>
      <c r="O224" s="13">
        <v>49278</v>
      </c>
      <c r="P224" s="24">
        <v>26803.587027067224</v>
      </c>
      <c r="V224">
        <v>1</v>
      </c>
      <c r="W224" t="s">
        <v>33</v>
      </c>
      <c r="Y224" t="s">
        <v>33</v>
      </c>
      <c r="Z224" t="s">
        <v>34</v>
      </c>
      <c r="AA224">
        <v>1</v>
      </c>
    </row>
    <row r="225" spans="1:27" x14ac:dyDescent="0.35">
      <c r="A225" s="13">
        <v>45930</v>
      </c>
      <c r="B225">
        <v>1</v>
      </c>
      <c r="D225" t="s">
        <v>31</v>
      </c>
      <c r="E225" t="s">
        <v>32</v>
      </c>
      <c r="F225" t="s">
        <v>32</v>
      </c>
      <c r="H225" t="s">
        <v>59</v>
      </c>
      <c r="I225" t="s">
        <v>159</v>
      </c>
      <c r="K225">
        <v>111</v>
      </c>
      <c r="L225" s="13"/>
      <c r="M225" s="13">
        <v>49309</v>
      </c>
      <c r="N225" s="13">
        <v>49309</v>
      </c>
      <c r="O225" s="13">
        <v>49309</v>
      </c>
      <c r="P225" s="24">
        <v>26803.587027067224</v>
      </c>
      <c r="V225">
        <v>1</v>
      </c>
      <c r="W225" t="s">
        <v>33</v>
      </c>
      <c r="Y225" t="s">
        <v>33</v>
      </c>
      <c r="Z225" t="s">
        <v>34</v>
      </c>
      <c r="AA225">
        <v>1</v>
      </c>
    </row>
    <row r="226" spans="1:27" x14ac:dyDescent="0.35">
      <c r="A226" s="13">
        <v>45930</v>
      </c>
      <c r="B226">
        <v>1</v>
      </c>
      <c r="D226" t="s">
        <v>31</v>
      </c>
      <c r="E226" t="s">
        <v>32</v>
      </c>
      <c r="F226" t="s">
        <v>32</v>
      </c>
      <c r="H226" t="s">
        <v>59</v>
      </c>
      <c r="I226" t="s">
        <v>159</v>
      </c>
      <c r="K226">
        <v>112</v>
      </c>
      <c r="L226" s="13"/>
      <c r="M226" s="13">
        <v>49340</v>
      </c>
      <c r="N226" s="13">
        <v>49340</v>
      </c>
      <c r="O226" s="13">
        <v>49340</v>
      </c>
      <c r="P226" s="24">
        <v>26803.587027067224</v>
      </c>
      <c r="V226">
        <v>1</v>
      </c>
      <c r="W226" t="s">
        <v>33</v>
      </c>
      <c r="Y226" t="s">
        <v>33</v>
      </c>
      <c r="Z226" t="s">
        <v>34</v>
      </c>
      <c r="AA226">
        <v>1</v>
      </c>
    </row>
    <row r="227" spans="1:27" x14ac:dyDescent="0.35">
      <c r="A227" s="13">
        <v>45930</v>
      </c>
      <c r="B227">
        <v>1</v>
      </c>
      <c r="D227" t="s">
        <v>31</v>
      </c>
      <c r="E227" t="s">
        <v>32</v>
      </c>
      <c r="F227" t="s">
        <v>32</v>
      </c>
      <c r="H227" t="s">
        <v>59</v>
      </c>
      <c r="I227" t="s">
        <v>159</v>
      </c>
      <c r="K227">
        <v>113</v>
      </c>
      <c r="L227" s="13"/>
      <c r="M227" s="13">
        <v>49368</v>
      </c>
      <c r="N227" s="13">
        <v>49368</v>
      </c>
      <c r="O227" s="13">
        <v>49368</v>
      </c>
      <c r="P227" s="24">
        <v>26803.587027067224</v>
      </c>
      <c r="V227">
        <v>1</v>
      </c>
      <c r="W227" t="s">
        <v>33</v>
      </c>
      <c r="Y227" t="s">
        <v>33</v>
      </c>
      <c r="Z227" t="s">
        <v>34</v>
      </c>
      <c r="AA227">
        <v>1</v>
      </c>
    </row>
    <row r="228" spans="1:27" x14ac:dyDescent="0.35">
      <c r="A228" s="13">
        <v>45930</v>
      </c>
      <c r="B228">
        <v>1</v>
      </c>
      <c r="D228" t="s">
        <v>31</v>
      </c>
      <c r="E228" t="s">
        <v>32</v>
      </c>
      <c r="F228" t="s">
        <v>32</v>
      </c>
      <c r="H228" t="s">
        <v>59</v>
      </c>
      <c r="I228" t="s">
        <v>159</v>
      </c>
      <c r="K228">
        <v>114</v>
      </c>
      <c r="L228" s="13"/>
      <c r="M228" s="13">
        <v>49399</v>
      </c>
      <c r="N228" s="13">
        <v>49399</v>
      </c>
      <c r="O228" s="13">
        <v>49399</v>
      </c>
      <c r="P228" s="24">
        <v>26803.587027067224</v>
      </c>
      <c r="V228">
        <v>1</v>
      </c>
      <c r="W228" t="s">
        <v>33</v>
      </c>
      <c r="Y228" t="s">
        <v>33</v>
      </c>
      <c r="Z228" t="s">
        <v>34</v>
      </c>
      <c r="AA228">
        <v>1</v>
      </c>
    </row>
    <row r="229" spans="1:27" x14ac:dyDescent="0.35">
      <c r="A229" s="13">
        <v>45930</v>
      </c>
      <c r="B229">
        <v>1</v>
      </c>
      <c r="D229" t="s">
        <v>31</v>
      </c>
      <c r="E229" t="s">
        <v>32</v>
      </c>
      <c r="F229" t="s">
        <v>32</v>
      </c>
      <c r="H229" t="s">
        <v>59</v>
      </c>
      <c r="I229" t="s">
        <v>159</v>
      </c>
      <c r="K229">
        <v>115</v>
      </c>
      <c r="L229" s="13"/>
      <c r="M229" s="13">
        <v>49429</v>
      </c>
      <c r="N229" s="13">
        <v>49429</v>
      </c>
      <c r="O229" s="13">
        <v>49429</v>
      </c>
      <c r="P229" s="24">
        <v>26803.587027067224</v>
      </c>
      <c r="V229">
        <v>1</v>
      </c>
      <c r="W229" t="s">
        <v>33</v>
      </c>
      <c r="Y229" t="s">
        <v>33</v>
      </c>
      <c r="Z229" t="s">
        <v>34</v>
      </c>
      <c r="AA229">
        <v>1</v>
      </c>
    </row>
    <row r="230" spans="1:27" x14ac:dyDescent="0.35">
      <c r="A230" s="13">
        <v>45930</v>
      </c>
      <c r="B230">
        <v>1</v>
      </c>
      <c r="D230" t="s">
        <v>31</v>
      </c>
      <c r="E230" t="s">
        <v>32</v>
      </c>
      <c r="F230" t="s">
        <v>32</v>
      </c>
      <c r="H230" t="s">
        <v>59</v>
      </c>
      <c r="I230" t="s">
        <v>159</v>
      </c>
      <c r="K230">
        <v>116</v>
      </c>
      <c r="L230" s="13"/>
      <c r="M230" s="13">
        <v>49460</v>
      </c>
      <c r="N230" s="13">
        <v>49460</v>
      </c>
      <c r="O230" s="13">
        <v>49460</v>
      </c>
      <c r="P230" s="24">
        <v>26803.587027067224</v>
      </c>
      <c r="V230">
        <v>1</v>
      </c>
      <c r="W230" t="s">
        <v>33</v>
      </c>
      <c r="Y230" t="s">
        <v>33</v>
      </c>
      <c r="Z230" t="s">
        <v>34</v>
      </c>
      <c r="AA230">
        <v>1</v>
      </c>
    </row>
    <row r="231" spans="1:27" x14ac:dyDescent="0.35">
      <c r="A231" s="13">
        <v>45930</v>
      </c>
      <c r="B231">
        <v>1</v>
      </c>
      <c r="D231" t="s">
        <v>31</v>
      </c>
      <c r="E231" t="s">
        <v>32</v>
      </c>
      <c r="F231" t="s">
        <v>32</v>
      </c>
      <c r="H231" t="s">
        <v>59</v>
      </c>
      <c r="I231" t="s">
        <v>159</v>
      </c>
      <c r="K231">
        <v>117</v>
      </c>
      <c r="L231" s="13"/>
      <c r="M231" s="13">
        <v>49490</v>
      </c>
      <c r="N231" s="13">
        <v>49490</v>
      </c>
      <c r="O231" s="13">
        <v>49490</v>
      </c>
      <c r="P231" s="24">
        <v>26803.587027067224</v>
      </c>
      <c r="V231">
        <v>1</v>
      </c>
      <c r="W231" t="s">
        <v>33</v>
      </c>
      <c r="Y231" t="s">
        <v>33</v>
      </c>
      <c r="Z231" t="s">
        <v>34</v>
      </c>
      <c r="AA231">
        <v>1</v>
      </c>
    </row>
    <row r="232" spans="1:27" x14ac:dyDescent="0.35">
      <c r="A232" s="13">
        <v>45930</v>
      </c>
      <c r="B232">
        <v>1</v>
      </c>
      <c r="D232" t="s">
        <v>31</v>
      </c>
      <c r="E232" t="s">
        <v>32</v>
      </c>
      <c r="F232" t="s">
        <v>32</v>
      </c>
      <c r="H232" t="s">
        <v>59</v>
      </c>
      <c r="I232" t="s">
        <v>159</v>
      </c>
      <c r="K232">
        <v>118</v>
      </c>
      <c r="L232" s="13"/>
      <c r="M232" s="13">
        <v>49521</v>
      </c>
      <c r="N232" s="13">
        <v>49521</v>
      </c>
      <c r="O232" s="13">
        <v>49521</v>
      </c>
      <c r="P232" s="24">
        <v>26803.587027067224</v>
      </c>
      <c r="V232">
        <v>1</v>
      </c>
      <c r="W232" t="s">
        <v>33</v>
      </c>
      <c r="Y232" t="s">
        <v>33</v>
      </c>
      <c r="Z232" t="s">
        <v>34</v>
      </c>
      <c r="AA232">
        <v>1</v>
      </c>
    </row>
    <row r="233" spans="1:27" x14ac:dyDescent="0.35">
      <c r="A233" s="13">
        <v>45930</v>
      </c>
      <c r="B233">
        <v>1</v>
      </c>
      <c r="D233" t="s">
        <v>31</v>
      </c>
      <c r="E233" t="s">
        <v>32</v>
      </c>
      <c r="F233" t="s">
        <v>32</v>
      </c>
      <c r="H233" t="s">
        <v>59</v>
      </c>
      <c r="I233" t="s">
        <v>159</v>
      </c>
      <c r="K233">
        <v>119</v>
      </c>
      <c r="L233" s="13"/>
      <c r="M233" s="13">
        <v>49552</v>
      </c>
      <c r="N233" s="13">
        <v>49552</v>
      </c>
      <c r="O233" s="13">
        <v>49552</v>
      </c>
      <c r="P233" s="24">
        <v>26803.587027067224</v>
      </c>
      <c r="V233">
        <v>1</v>
      </c>
      <c r="W233" t="s">
        <v>33</v>
      </c>
      <c r="Y233" t="s">
        <v>33</v>
      </c>
      <c r="Z233" t="s">
        <v>34</v>
      </c>
      <c r="AA233">
        <v>1</v>
      </c>
    </row>
    <row r="234" spans="1:27" x14ac:dyDescent="0.35">
      <c r="A234" s="13">
        <v>45930</v>
      </c>
      <c r="B234">
        <v>1</v>
      </c>
      <c r="D234" t="s">
        <v>31</v>
      </c>
      <c r="E234" t="s">
        <v>32</v>
      </c>
      <c r="F234" t="s">
        <v>32</v>
      </c>
      <c r="H234" t="s">
        <v>59</v>
      </c>
      <c r="I234" t="s">
        <v>159</v>
      </c>
      <c r="K234">
        <v>120</v>
      </c>
      <c r="L234" s="13"/>
      <c r="M234" s="13">
        <v>49582</v>
      </c>
      <c r="N234" s="13">
        <v>49582</v>
      </c>
      <c r="O234" s="13">
        <v>49582</v>
      </c>
      <c r="P234" s="24">
        <v>26803.587027067224</v>
      </c>
      <c r="V234">
        <v>1</v>
      </c>
      <c r="W234" t="s">
        <v>33</v>
      </c>
      <c r="Y234" t="s">
        <v>33</v>
      </c>
      <c r="Z234" t="s">
        <v>34</v>
      </c>
      <c r="AA234">
        <v>1</v>
      </c>
    </row>
    <row r="235" spans="1:27" x14ac:dyDescent="0.35">
      <c r="A235" s="13">
        <v>45930</v>
      </c>
      <c r="B235">
        <v>1</v>
      </c>
      <c r="D235" t="s">
        <v>31</v>
      </c>
      <c r="E235" t="s">
        <v>32</v>
      </c>
      <c r="F235" t="s">
        <v>32</v>
      </c>
      <c r="H235" t="s">
        <v>59</v>
      </c>
      <c r="I235" t="s">
        <v>159</v>
      </c>
      <c r="K235">
        <v>121</v>
      </c>
      <c r="L235" s="13"/>
      <c r="M235" s="13">
        <v>49613</v>
      </c>
      <c r="N235" s="13">
        <v>49613</v>
      </c>
      <c r="O235" s="13">
        <v>49613</v>
      </c>
      <c r="P235" s="24">
        <v>26803.587027067224</v>
      </c>
      <c r="V235">
        <v>1</v>
      </c>
      <c r="W235" t="s">
        <v>33</v>
      </c>
      <c r="Y235" t="s">
        <v>33</v>
      </c>
      <c r="Z235" t="s">
        <v>34</v>
      </c>
      <c r="AA235">
        <v>1</v>
      </c>
    </row>
    <row r="236" spans="1:27" x14ac:dyDescent="0.35">
      <c r="A236" s="13">
        <v>45930</v>
      </c>
      <c r="B236">
        <v>1</v>
      </c>
      <c r="D236" t="s">
        <v>31</v>
      </c>
      <c r="E236" t="s">
        <v>32</v>
      </c>
      <c r="F236" t="s">
        <v>32</v>
      </c>
      <c r="H236" t="s">
        <v>59</v>
      </c>
      <c r="I236" t="s">
        <v>159</v>
      </c>
      <c r="K236">
        <v>122</v>
      </c>
      <c r="L236" s="13"/>
      <c r="M236" s="13">
        <v>49643</v>
      </c>
      <c r="N236" s="13">
        <v>49643</v>
      </c>
      <c r="O236" s="13">
        <v>49643</v>
      </c>
      <c r="P236" s="24">
        <v>26803.587027067224</v>
      </c>
      <c r="V236">
        <v>1</v>
      </c>
      <c r="W236" t="s">
        <v>33</v>
      </c>
      <c r="Y236" t="s">
        <v>33</v>
      </c>
      <c r="Z236" t="s">
        <v>34</v>
      </c>
      <c r="AA236">
        <v>1</v>
      </c>
    </row>
    <row r="237" spans="1:27" x14ac:dyDescent="0.35">
      <c r="A237" s="13">
        <v>45930</v>
      </c>
      <c r="B237">
        <v>1</v>
      </c>
      <c r="D237" t="s">
        <v>31</v>
      </c>
      <c r="E237" t="s">
        <v>32</v>
      </c>
      <c r="F237" t="s">
        <v>32</v>
      </c>
      <c r="H237" t="s">
        <v>59</v>
      </c>
      <c r="I237" t="s">
        <v>159</v>
      </c>
      <c r="K237">
        <v>123</v>
      </c>
      <c r="L237" s="13"/>
      <c r="M237" s="13">
        <v>49674</v>
      </c>
      <c r="N237" s="13">
        <v>49674</v>
      </c>
      <c r="O237" s="13">
        <v>49674</v>
      </c>
      <c r="P237" s="24">
        <v>26803.587027067224</v>
      </c>
      <c r="V237">
        <v>1</v>
      </c>
      <c r="W237" t="s">
        <v>33</v>
      </c>
      <c r="Y237" t="s">
        <v>33</v>
      </c>
      <c r="Z237" t="s">
        <v>34</v>
      </c>
      <c r="AA237">
        <v>1</v>
      </c>
    </row>
    <row r="238" spans="1:27" x14ac:dyDescent="0.35">
      <c r="A238" s="13">
        <v>45930</v>
      </c>
      <c r="B238">
        <v>1</v>
      </c>
      <c r="D238" t="s">
        <v>31</v>
      </c>
      <c r="E238" t="s">
        <v>32</v>
      </c>
      <c r="F238" t="s">
        <v>32</v>
      </c>
      <c r="H238" t="s">
        <v>59</v>
      </c>
      <c r="I238" t="s">
        <v>159</v>
      </c>
      <c r="K238">
        <v>124</v>
      </c>
      <c r="L238" s="13"/>
      <c r="M238" s="13">
        <v>49705</v>
      </c>
      <c r="N238" s="13">
        <v>49705</v>
      </c>
      <c r="O238" s="13">
        <v>49705</v>
      </c>
      <c r="P238" s="24">
        <v>26803.587027067224</v>
      </c>
      <c r="V238">
        <v>1</v>
      </c>
      <c r="W238" t="s">
        <v>33</v>
      </c>
      <c r="Y238" t="s">
        <v>33</v>
      </c>
      <c r="Z238" t="s">
        <v>34</v>
      </c>
      <c r="AA238">
        <v>1</v>
      </c>
    </row>
    <row r="239" spans="1:27" x14ac:dyDescent="0.35">
      <c r="A239" s="13">
        <v>45930</v>
      </c>
      <c r="B239">
        <v>1</v>
      </c>
      <c r="D239" t="s">
        <v>31</v>
      </c>
      <c r="E239" t="s">
        <v>32</v>
      </c>
      <c r="F239" t="s">
        <v>32</v>
      </c>
      <c r="H239" t="s">
        <v>59</v>
      </c>
      <c r="I239" t="s">
        <v>159</v>
      </c>
      <c r="K239">
        <v>125</v>
      </c>
      <c r="L239" s="13"/>
      <c r="M239" s="13">
        <v>49734</v>
      </c>
      <c r="N239" s="13">
        <v>49734</v>
      </c>
      <c r="O239" s="13">
        <v>49734</v>
      </c>
      <c r="P239" s="24">
        <v>26803.587027067224</v>
      </c>
      <c r="V239">
        <v>1</v>
      </c>
      <c r="W239" t="s">
        <v>33</v>
      </c>
      <c r="Y239" t="s">
        <v>33</v>
      </c>
      <c r="Z239" t="s">
        <v>34</v>
      </c>
      <c r="AA239">
        <v>1</v>
      </c>
    </row>
    <row r="240" spans="1:27" x14ac:dyDescent="0.35">
      <c r="A240" s="13">
        <v>45930</v>
      </c>
      <c r="B240">
        <v>1</v>
      </c>
      <c r="D240" t="s">
        <v>31</v>
      </c>
      <c r="E240" t="s">
        <v>32</v>
      </c>
      <c r="F240" t="s">
        <v>32</v>
      </c>
      <c r="H240" t="s">
        <v>59</v>
      </c>
      <c r="I240" t="s">
        <v>159</v>
      </c>
      <c r="K240">
        <v>126</v>
      </c>
      <c r="L240" s="13"/>
      <c r="M240" s="13">
        <v>49765</v>
      </c>
      <c r="N240" s="13">
        <v>49765</v>
      </c>
      <c r="O240" s="13">
        <v>49765</v>
      </c>
      <c r="P240" s="24">
        <v>26803.587027067224</v>
      </c>
      <c r="V240">
        <v>1</v>
      </c>
      <c r="W240" t="s">
        <v>33</v>
      </c>
      <c r="Y240" t="s">
        <v>33</v>
      </c>
      <c r="Z240" t="s">
        <v>34</v>
      </c>
      <c r="AA240">
        <v>1</v>
      </c>
    </row>
    <row r="241" spans="1:27" x14ac:dyDescent="0.35">
      <c r="A241" s="13">
        <v>45930</v>
      </c>
      <c r="B241">
        <v>1</v>
      </c>
      <c r="D241" t="s">
        <v>31</v>
      </c>
      <c r="E241" t="s">
        <v>32</v>
      </c>
      <c r="F241" t="s">
        <v>32</v>
      </c>
      <c r="H241" t="s">
        <v>59</v>
      </c>
      <c r="I241" t="s">
        <v>159</v>
      </c>
      <c r="K241">
        <v>127</v>
      </c>
      <c r="L241" s="13"/>
      <c r="M241" s="13">
        <v>49795</v>
      </c>
      <c r="N241" s="13">
        <v>49795</v>
      </c>
      <c r="O241" s="13">
        <v>49795</v>
      </c>
      <c r="P241" s="24">
        <v>2193.1339020672222</v>
      </c>
      <c r="V241">
        <v>1</v>
      </c>
      <c r="W241" t="s">
        <v>33</v>
      </c>
      <c r="Y241" t="s">
        <v>33</v>
      </c>
      <c r="Z241" t="s">
        <v>34</v>
      </c>
      <c r="AA241">
        <v>1</v>
      </c>
    </row>
    <row r="242" spans="1:27" x14ac:dyDescent="0.35">
      <c r="A242" s="13">
        <v>45930</v>
      </c>
      <c r="B242">
        <v>1</v>
      </c>
      <c r="D242" t="s">
        <v>31</v>
      </c>
      <c r="E242" t="s">
        <v>32</v>
      </c>
      <c r="F242" t="s">
        <v>32</v>
      </c>
      <c r="H242" t="s">
        <v>59</v>
      </c>
      <c r="I242" t="s">
        <v>159</v>
      </c>
      <c r="K242">
        <v>128</v>
      </c>
      <c r="L242" s="13"/>
      <c r="M242" s="13">
        <v>49826</v>
      </c>
      <c r="N242" s="13">
        <v>49826</v>
      </c>
      <c r="O242" s="13">
        <v>49826</v>
      </c>
      <c r="P242" s="24">
        <v>2193.1339020672222</v>
      </c>
      <c r="V242">
        <v>1</v>
      </c>
      <c r="W242" t="s">
        <v>33</v>
      </c>
      <c r="Y242" t="s">
        <v>33</v>
      </c>
      <c r="Z242" t="s">
        <v>34</v>
      </c>
      <c r="AA242">
        <v>1</v>
      </c>
    </row>
    <row r="243" spans="1:27" x14ac:dyDescent="0.35">
      <c r="A243" s="13">
        <v>45930</v>
      </c>
      <c r="B243">
        <v>1</v>
      </c>
      <c r="D243" t="s">
        <v>31</v>
      </c>
      <c r="E243" t="s">
        <v>32</v>
      </c>
      <c r="F243" t="s">
        <v>32</v>
      </c>
      <c r="H243" t="s">
        <v>59</v>
      </c>
      <c r="I243" t="s">
        <v>159</v>
      </c>
      <c r="K243">
        <v>129</v>
      </c>
      <c r="L243" s="13"/>
      <c r="M243" s="13">
        <v>49856</v>
      </c>
      <c r="N243" s="13">
        <v>49856</v>
      </c>
      <c r="O243" s="13">
        <v>49856</v>
      </c>
      <c r="P243" s="24">
        <v>2193.1339020672222</v>
      </c>
      <c r="V243">
        <v>1</v>
      </c>
      <c r="W243" t="s">
        <v>33</v>
      </c>
      <c r="Y243" t="s">
        <v>33</v>
      </c>
      <c r="Z243" t="s">
        <v>34</v>
      </c>
      <c r="AA243">
        <v>1</v>
      </c>
    </row>
    <row r="244" spans="1:27" x14ac:dyDescent="0.35">
      <c r="A244" s="13">
        <v>45930</v>
      </c>
      <c r="B244">
        <v>1</v>
      </c>
      <c r="D244" t="s">
        <v>31</v>
      </c>
      <c r="E244" t="s">
        <v>32</v>
      </c>
      <c r="F244" t="s">
        <v>32</v>
      </c>
      <c r="H244" t="s">
        <v>59</v>
      </c>
      <c r="I244" t="s">
        <v>159</v>
      </c>
      <c r="K244">
        <v>130</v>
      </c>
      <c r="L244" s="13"/>
      <c r="M244" s="13">
        <v>49887</v>
      </c>
      <c r="N244" s="13">
        <v>49887</v>
      </c>
      <c r="O244" s="13">
        <v>49887</v>
      </c>
      <c r="P244" s="24">
        <v>2193.1339020672222</v>
      </c>
      <c r="V244">
        <v>1</v>
      </c>
      <c r="W244" t="s">
        <v>33</v>
      </c>
      <c r="Y244" t="s">
        <v>33</v>
      </c>
      <c r="Z244" t="s">
        <v>34</v>
      </c>
      <c r="AA244">
        <v>1</v>
      </c>
    </row>
    <row r="245" spans="1:27" x14ac:dyDescent="0.35">
      <c r="A245" s="13">
        <v>45930</v>
      </c>
      <c r="B245">
        <v>1</v>
      </c>
      <c r="D245" t="s">
        <v>31</v>
      </c>
      <c r="E245" t="s">
        <v>32</v>
      </c>
      <c r="F245" t="s">
        <v>32</v>
      </c>
      <c r="H245" t="s">
        <v>59</v>
      </c>
      <c r="I245" t="s">
        <v>159</v>
      </c>
      <c r="K245">
        <v>131</v>
      </c>
      <c r="L245" s="13"/>
      <c r="M245" s="13">
        <v>49918</v>
      </c>
      <c r="N245" s="13">
        <v>49918</v>
      </c>
      <c r="O245" s="13">
        <v>49918</v>
      </c>
      <c r="P245" s="24">
        <v>2193.1339020672222</v>
      </c>
      <c r="V245">
        <v>1</v>
      </c>
      <c r="W245" t="s">
        <v>33</v>
      </c>
      <c r="Y245" t="s">
        <v>33</v>
      </c>
      <c r="Z245" t="s">
        <v>34</v>
      </c>
      <c r="AA245">
        <v>1</v>
      </c>
    </row>
    <row r="246" spans="1:27" x14ac:dyDescent="0.35">
      <c r="A246" s="13">
        <v>45930</v>
      </c>
      <c r="B246">
        <v>1</v>
      </c>
      <c r="D246" t="s">
        <v>31</v>
      </c>
      <c r="E246" t="s">
        <v>32</v>
      </c>
      <c r="F246" t="s">
        <v>32</v>
      </c>
      <c r="H246" t="s">
        <v>59</v>
      </c>
      <c r="I246" t="s">
        <v>159</v>
      </c>
      <c r="K246">
        <v>132</v>
      </c>
      <c r="L246" s="13"/>
      <c r="M246" s="13">
        <v>49948</v>
      </c>
      <c r="N246" s="13">
        <v>49948</v>
      </c>
      <c r="O246" s="13">
        <v>49948</v>
      </c>
      <c r="P246" s="24">
        <v>2193.1339020672222</v>
      </c>
      <c r="V246">
        <v>1</v>
      </c>
      <c r="W246" t="s">
        <v>33</v>
      </c>
      <c r="Y246" t="s">
        <v>33</v>
      </c>
      <c r="Z246" t="s">
        <v>34</v>
      </c>
      <c r="AA246">
        <v>1</v>
      </c>
    </row>
    <row r="247" spans="1:27" x14ac:dyDescent="0.35">
      <c r="A247" s="13">
        <v>45930</v>
      </c>
      <c r="B247">
        <v>1</v>
      </c>
      <c r="D247" t="s">
        <v>31</v>
      </c>
      <c r="E247" t="s">
        <v>32</v>
      </c>
      <c r="F247" t="s">
        <v>32</v>
      </c>
      <c r="H247" t="s">
        <v>59</v>
      </c>
      <c r="I247" t="s">
        <v>159</v>
      </c>
      <c r="K247">
        <v>133</v>
      </c>
      <c r="L247" s="13"/>
      <c r="M247" s="13">
        <v>49979</v>
      </c>
      <c r="N247" s="13">
        <v>49979</v>
      </c>
      <c r="O247" s="13">
        <v>49979</v>
      </c>
      <c r="P247" s="24">
        <v>2193.1339020672222</v>
      </c>
      <c r="V247">
        <v>1</v>
      </c>
      <c r="W247" t="s">
        <v>33</v>
      </c>
      <c r="Y247" t="s">
        <v>33</v>
      </c>
      <c r="Z247" t="s">
        <v>34</v>
      </c>
      <c r="AA247">
        <v>1</v>
      </c>
    </row>
    <row r="248" spans="1:27" x14ac:dyDescent="0.35">
      <c r="A248" s="13">
        <v>45930</v>
      </c>
      <c r="B248">
        <v>1</v>
      </c>
      <c r="D248" t="s">
        <v>31</v>
      </c>
      <c r="E248" t="s">
        <v>32</v>
      </c>
      <c r="F248" t="s">
        <v>32</v>
      </c>
      <c r="H248" t="s">
        <v>59</v>
      </c>
      <c r="I248" t="s">
        <v>159</v>
      </c>
      <c r="K248">
        <v>134</v>
      </c>
      <c r="L248" s="13"/>
      <c r="M248" s="13">
        <v>50009</v>
      </c>
      <c r="N248" s="13">
        <v>50009</v>
      </c>
      <c r="O248" s="13">
        <v>50009</v>
      </c>
      <c r="P248" s="24">
        <v>2193.1339020672222</v>
      </c>
      <c r="V248">
        <v>1</v>
      </c>
      <c r="W248" t="s">
        <v>33</v>
      </c>
      <c r="Y248" t="s">
        <v>33</v>
      </c>
      <c r="Z248" t="s">
        <v>34</v>
      </c>
      <c r="AA248">
        <v>1</v>
      </c>
    </row>
    <row r="249" spans="1:27" x14ac:dyDescent="0.35">
      <c r="A249" s="13">
        <v>45930</v>
      </c>
      <c r="B249">
        <v>1</v>
      </c>
      <c r="D249" t="s">
        <v>31</v>
      </c>
      <c r="E249" t="s">
        <v>32</v>
      </c>
      <c r="F249" t="s">
        <v>32</v>
      </c>
      <c r="H249" t="s">
        <v>59</v>
      </c>
      <c r="I249" t="s">
        <v>159</v>
      </c>
      <c r="K249">
        <v>135</v>
      </c>
      <c r="L249" s="13"/>
      <c r="M249" s="13">
        <v>50040</v>
      </c>
      <c r="N249" s="13">
        <v>50040</v>
      </c>
      <c r="O249" s="13">
        <v>50040</v>
      </c>
      <c r="P249" s="24">
        <v>2193.1339020672222</v>
      </c>
      <c r="V249">
        <v>1</v>
      </c>
      <c r="W249" t="s">
        <v>33</v>
      </c>
      <c r="Y249" t="s">
        <v>33</v>
      </c>
      <c r="Z249" t="s">
        <v>34</v>
      </c>
      <c r="AA249">
        <v>1</v>
      </c>
    </row>
    <row r="250" spans="1:27" x14ac:dyDescent="0.35">
      <c r="A250" s="13">
        <v>45930</v>
      </c>
      <c r="B250">
        <v>1</v>
      </c>
      <c r="D250" t="s">
        <v>31</v>
      </c>
      <c r="E250" t="s">
        <v>32</v>
      </c>
      <c r="F250" t="s">
        <v>32</v>
      </c>
      <c r="H250" t="s">
        <v>59</v>
      </c>
      <c r="I250" t="s">
        <v>159</v>
      </c>
      <c r="K250">
        <v>136</v>
      </c>
      <c r="L250" s="13"/>
      <c r="M250" s="13">
        <v>50071</v>
      </c>
      <c r="N250" s="13">
        <v>50071</v>
      </c>
      <c r="O250" s="13">
        <v>50071</v>
      </c>
      <c r="P250" s="24">
        <v>2193.1339020672222</v>
      </c>
      <c r="V250">
        <v>1</v>
      </c>
      <c r="W250" t="s">
        <v>33</v>
      </c>
      <c r="Y250" t="s">
        <v>33</v>
      </c>
      <c r="Z250" t="s">
        <v>34</v>
      </c>
      <c r="AA250">
        <v>1</v>
      </c>
    </row>
    <row r="251" spans="1:27" x14ac:dyDescent="0.35">
      <c r="A251" s="13">
        <v>45930</v>
      </c>
      <c r="B251">
        <v>1</v>
      </c>
      <c r="D251" t="s">
        <v>31</v>
      </c>
      <c r="E251" t="s">
        <v>32</v>
      </c>
      <c r="F251" t="s">
        <v>32</v>
      </c>
      <c r="H251" t="s">
        <v>59</v>
      </c>
      <c r="I251" t="s">
        <v>159</v>
      </c>
      <c r="K251">
        <v>137</v>
      </c>
      <c r="L251" s="13"/>
      <c r="M251" s="13">
        <v>50099</v>
      </c>
      <c r="N251" s="13">
        <v>50099</v>
      </c>
      <c r="O251" s="13">
        <v>50099</v>
      </c>
      <c r="P251" s="24">
        <v>2193.1339020672222</v>
      </c>
      <c r="V251">
        <v>1</v>
      </c>
      <c r="W251" t="s">
        <v>33</v>
      </c>
      <c r="Y251" t="s">
        <v>33</v>
      </c>
      <c r="Z251" t="s">
        <v>34</v>
      </c>
      <c r="AA251">
        <v>1</v>
      </c>
    </row>
    <row r="252" spans="1:27" x14ac:dyDescent="0.35">
      <c r="A252" s="13">
        <v>45930</v>
      </c>
      <c r="B252">
        <v>1</v>
      </c>
      <c r="D252" t="s">
        <v>31</v>
      </c>
      <c r="E252" t="s">
        <v>32</v>
      </c>
      <c r="F252" t="s">
        <v>32</v>
      </c>
      <c r="H252" t="s">
        <v>59</v>
      </c>
      <c r="I252" t="s">
        <v>159</v>
      </c>
      <c r="K252">
        <v>138</v>
      </c>
      <c r="L252" s="13"/>
      <c r="M252" s="13">
        <v>50130</v>
      </c>
      <c r="N252" s="13">
        <v>50130</v>
      </c>
      <c r="O252" s="13">
        <v>50130</v>
      </c>
      <c r="P252" s="24">
        <v>2193.1339020672222</v>
      </c>
      <c r="V252">
        <v>1</v>
      </c>
      <c r="W252" t="s">
        <v>33</v>
      </c>
      <c r="Y252" t="s">
        <v>33</v>
      </c>
      <c r="Z252" t="s">
        <v>34</v>
      </c>
      <c r="AA252">
        <v>1</v>
      </c>
    </row>
    <row r="253" spans="1:27" x14ac:dyDescent="0.35">
      <c r="A253" s="13">
        <v>45930</v>
      </c>
      <c r="B253">
        <v>1</v>
      </c>
      <c r="D253" t="s">
        <v>31</v>
      </c>
      <c r="E253" t="s">
        <v>32</v>
      </c>
      <c r="F253" t="s">
        <v>32</v>
      </c>
      <c r="H253" t="s">
        <v>59</v>
      </c>
      <c r="I253" t="s">
        <v>159</v>
      </c>
      <c r="K253">
        <v>139</v>
      </c>
      <c r="L253" s="13"/>
      <c r="M253" s="13">
        <v>50160</v>
      </c>
      <c r="N253" s="13">
        <v>50160</v>
      </c>
      <c r="O253" s="13">
        <v>50160</v>
      </c>
      <c r="P253" s="24">
        <v>2193.1339020672222</v>
      </c>
      <c r="V253">
        <v>1</v>
      </c>
      <c r="W253" t="s">
        <v>33</v>
      </c>
      <c r="Y253" t="s">
        <v>33</v>
      </c>
      <c r="Z253" t="s">
        <v>34</v>
      </c>
      <c r="AA253">
        <v>1</v>
      </c>
    </row>
    <row r="254" spans="1:27" x14ac:dyDescent="0.35">
      <c r="A254" s="13">
        <v>45930</v>
      </c>
      <c r="B254">
        <v>1</v>
      </c>
      <c r="D254" t="s">
        <v>31</v>
      </c>
      <c r="E254" t="s">
        <v>32</v>
      </c>
      <c r="F254" t="s">
        <v>32</v>
      </c>
      <c r="H254" t="s">
        <v>59</v>
      </c>
      <c r="I254" t="s">
        <v>159</v>
      </c>
      <c r="K254">
        <v>140</v>
      </c>
      <c r="L254" s="13"/>
      <c r="M254" s="13">
        <v>50191</v>
      </c>
      <c r="N254" s="13">
        <v>50191</v>
      </c>
      <c r="O254" s="13">
        <v>50191</v>
      </c>
      <c r="P254" s="24">
        <v>2193.1339020672222</v>
      </c>
      <c r="V254">
        <v>1</v>
      </c>
      <c r="W254" t="s">
        <v>33</v>
      </c>
      <c r="Y254" t="s">
        <v>33</v>
      </c>
      <c r="Z254" t="s">
        <v>34</v>
      </c>
      <c r="AA254">
        <v>1</v>
      </c>
    </row>
    <row r="255" spans="1:27" x14ac:dyDescent="0.35">
      <c r="A255" s="13">
        <v>45930</v>
      </c>
      <c r="B255">
        <v>1</v>
      </c>
      <c r="D255" t="s">
        <v>31</v>
      </c>
      <c r="E255" t="s">
        <v>32</v>
      </c>
      <c r="F255" t="s">
        <v>32</v>
      </c>
      <c r="H255" t="s">
        <v>59</v>
      </c>
      <c r="I255" t="s">
        <v>159</v>
      </c>
      <c r="K255">
        <v>141</v>
      </c>
      <c r="L255" s="13"/>
      <c r="M255" s="13">
        <v>50221</v>
      </c>
      <c r="N255" s="13">
        <v>50221</v>
      </c>
      <c r="O255" s="13">
        <v>50221</v>
      </c>
      <c r="P255" s="24">
        <v>2193.1339020672222</v>
      </c>
      <c r="V255">
        <v>1</v>
      </c>
      <c r="W255" t="s">
        <v>33</v>
      </c>
      <c r="Y255" t="s">
        <v>33</v>
      </c>
      <c r="Z255" t="s">
        <v>34</v>
      </c>
      <c r="AA255">
        <v>1</v>
      </c>
    </row>
    <row r="256" spans="1:27" x14ac:dyDescent="0.35">
      <c r="A256" s="13">
        <v>45930</v>
      </c>
      <c r="B256">
        <v>1</v>
      </c>
      <c r="D256" t="s">
        <v>31</v>
      </c>
      <c r="E256" t="s">
        <v>32</v>
      </c>
      <c r="F256" t="s">
        <v>32</v>
      </c>
      <c r="H256" t="s">
        <v>59</v>
      </c>
      <c r="I256" t="s">
        <v>159</v>
      </c>
      <c r="K256">
        <v>142</v>
      </c>
      <c r="L256" s="13"/>
      <c r="M256" s="13">
        <v>50252</v>
      </c>
      <c r="N256" s="13">
        <v>50252</v>
      </c>
      <c r="O256" s="13">
        <v>50252</v>
      </c>
      <c r="P256" s="24">
        <v>2193.1339020672222</v>
      </c>
      <c r="V256">
        <v>1</v>
      </c>
      <c r="W256" t="s">
        <v>33</v>
      </c>
      <c r="Y256" t="s">
        <v>33</v>
      </c>
      <c r="Z256" t="s">
        <v>34</v>
      </c>
      <c r="AA256">
        <v>1</v>
      </c>
    </row>
    <row r="257" spans="1:27" x14ac:dyDescent="0.35">
      <c r="A257" s="13">
        <v>45930</v>
      </c>
      <c r="B257">
        <v>1</v>
      </c>
      <c r="D257" t="s">
        <v>31</v>
      </c>
      <c r="E257" t="s">
        <v>32</v>
      </c>
      <c r="F257" t="s">
        <v>32</v>
      </c>
      <c r="H257" t="s">
        <v>59</v>
      </c>
      <c r="I257" t="s">
        <v>159</v>
      </c>
      <c r="K257">
        <v>143</v>
      </c>
      <c r="L257" s="13"/>
      <c r="M257" s="13">
        <v>50283</v>
      </c>
      <c r="N257" s="13">
        <v>50283</v>
      </c>
      <c r="O257" s="13">
        <v>50283</v>
      </c>
      <c r="P257" s="24">
        <v>2193.1339020672222</v>
      </c>
      <c r="V257">
        <v>1</v>
      </c>
      <c r="W257" t="s">
        <v>33</v>
      </c>
      <c r="Y257" t="s">
        <v>33</v>
      </c>
      <c r="Z257" t="s">
        <v>34</v>
      </c>
      <c r="AA257">
        <v>1</v>
      </c>
    </row>
    <row r="258" spans="1:27" x14ac:dyDescent="0.35">
      <c r="A258" s="13">
        <v>45930</v>
      </c>
      <c r="B258">
        <v>1</v>
      </c>
      <c r="D258" t="s">
        <v>31</v>
      </c>
      <c r="E258" t="s">
        <v>32</v>
      </c>
      <c r="F258" t="s">
        <v>32</v>
      </c>
      <c r="H258" t="s">
        <v>59</v>
      </c>
      <c r="I258" t="s">
        <v>159</v>
      </c>
      <c r="K258">
        <v>144</v>
      </c>
      <c r="L258" s="13"/>
      <c r="M258" s="13">
        <v>50313</v>
      </c>
      <c r="N258" s="13">
        <v>50313</v>
      </c>
      <c r="O258" s="13">
        <v>50313</v>
      </c>
      <c r="P258" s="24">
        <v>2193.1339020672222</v>
      </c>
      <c r="V258">
        <v>1</v>
      </c>
      <c r="W258" t="s">
        <v>33</v>
      </c>
      <c r="Y258" t="s">
        <v>33</v>
      </c>
      <c r="Z258" t="s">
        <v>34</v>
      </c>
      <c r="AA258">
        <v>1</v>
      </c>
    </row>
    <row r="259" spans="1:27" x14ac:dyDescent="0.35">
      <c r="A259" s="13">
        <v>45930</v>
      </c>
      <c r="B259">
        <v>1</v>
      </c>
      <c r="D259" t="s">
        <v>31</v>
      </c>
      <c r="E259" t="s">
        <v>32</v>
      </c>
      <c r="F259" t="s">
        <v>32</v>
      </c>
      <c r="H259" t="s">
        <v>59</v>
      </c>
      <c r="I259" t="s">
        <v>159</v>
      </c>
      <c r="K259">
        <v>145</v>
      </c>
      <c r="L259" s="13"/>
      <c r="M259" s="13">
        <v>50344</v>
      </c>
      <c r="N259" s="13">
        <v>50344</v>
      </c>
      <c r="O259" s="13">
        <v>50344</v>
      </c>
      <c r="P259" s="24">
        <v>2193.1339020672222</v>
      </c>
      <c r="V259">
        <v>1</v>
      </c>
      <c r="W259" t="s">
        <v>33</v>
      </c>
      <c r="Y259" t="s">
        <v>33</v>
      </c>
      <c r="Z259" t="s">
        <v>34</v>
      </c>
      <c r="AA259">
        <v>1</v>
      </c>
    </row>
    <row r="260" spans="1:27" x14ac:dyDescent="0.35">
      <c r="A260" s="13">
        <v>45930</v>
      </c>
      <c r="B260">
        <v>1</v>
      </c>
      <c r="D260" t="s">
        <v>31</v>
      </c>
      <c r="E260" t="s">
        <v>32</v>
      </c>
      <c r="F260" t="s">
        <v>32</v>
      </c>
      <c r="H260" t="s">
        <v>59</v>
      </c>
      <c r="I260" t="s">
        <v>159</v>
      </c>
      <c r="K260">
        <v>146</v>
      </c>
      <c r="L260" s="13"/>
      <c r="M260" s="13">
        <v>50374</v>
      </c>
      <c r="N260" s="13">
        <v>50374</v>
      </c>
      <c r="O260" s="13">
        <v>50374</v>
      </c>
      <c r="P260" s="24">
        <v>2193.1339020672222</v>
      </c>
      <c r="V260">
        <v>1</v>
      </c>
      <c r="W260" t="s">
        <v>33</v>
      </c>
      <c r="Y260" t="s">
        <v>33</v>
      </c>
      <c r="Z260" t="s">
        <v>34</v>
      </c>
      <c r="AA260">
        <v>1</v>
      </c>
    </row>
    <row r="261" spans="1:27" x14ac:dyDescent="0.35">
      <c r="A261" s="13">
        <v>45930</v>
      </c>
      <c r="B261">
        <v>1</v>
      </c>
      <c r="D261" t="s">
        <v>31</v>
      </c>
      <c r="E261" t="s">
        <v>32</v>
      </c>
      <c r="F261" t="s">
        <v>32</v>
      </c>
      <c r="H261" t="s">
        <v>59</v>
      </c>
      <c r="I261" t="s">
        <v>159</v>
      </c>
      <c r="K261">
        <v>147</v>
      </c>
      <c r="L261" s="13"/>
      <c r="M261" s="13">
        <v>50405</v>
      </c>
      <c r="N261" s="13">
        <v>50405</v>
      </c>
      <c r="O261" s="13">
        <v>50405</v>
      </c>
      <c r="P261" s="24">
        <v>2193.1339020672222</v>
      </c>
      <c r="V261">
        <v>1</v>
      </c>
      <c r="W261" t="s">
        <v>33</v>
      </c>
      <c r="Y261" t="s">
        <v>33</v>
      </c>
      <c r="Z261" t="s">
        <v>34</v>
      </c>
      <c r="AA261">
        <v>1</v>
      </c>
    </row>
    <row r="262" spans="1:27" x14ac:dyDescent="0.35">
      <c r="A262" s="13">
        <v>45930</v>
      </c>
      <c r="B262">
        <v>1</v>
      </c>
      <c r="D262" t="s">
        <v>31</v>
      </c>
      <c r="E262" t="s">
        <v>32</v>
      </c>
      <c r="F262" t="s">
        <v>32</v>
      </c>
      <c r="H262" t="s">
        <v>59</v>
      </c>
      <c r="I262" t="s">
        <v>159</v>
      </c>
      <c r="K262">
        <v>148</v>
      </c>
      <c r="L262" s="13"/>
      <c r="M262" s="13">
        <v>50436</v>
      </c>
      <c r="N262" s="13">
        <v>50436</v>
      </c>
      <c r="O262" s="13">
        <v>50436</v>
      </c>
      <c r="P262" s="24">
        <v>2193.1339020672222</v>
      </c>
      <c r="V262">
        <v>1</v>
      </c>
      <c r="W262" t="s">
        <v>33</v>
      </c>
      <c r="Y262" t="s">
        <v>33</v>
      </c>
      <c r="Z262" t="s">
        <v>34</v>
      </c>
      <c r="AA262">
        <v>1</v>
      </c>
    </row>
    <row r="263" spans="1:27" x14ac:dyDescent="0.35">
      <c r="A263" s="13">
        <v>45930</v>
      </c>
      <c r="B263">
        <v>1</v>
      </c>
      <c r="D263" t="s">
        <v>31</v>
      </c>
      <c r="E263" t="s">
        <v>32</v>
      </c>
      <c r="F263" t="s">
        <v>32</v>
      </c>
      <c r="H263" t="s">
        <v>59</v>
      </c>
      <c r="I263" t="s">
        <v>159</v>
      </c>
      <c r="K263">
        <v>149</v>
      </c>
      <c r="L263" s="13"/>
      <c r="M263" s="13">
        <v>50464</v>
      </c>
      <c r="N263" s="13">
        <v>50464</v>
      </c>
      <c r="O263" s="13">
        <v>50464</v>
      </c>
      <c r="P263" s="24">
        <v>2193.1339020672222</v>
      </c>
      <c r="V263">
        <v>1</v>
      </c>
      <c r="W263" t="s">
        <v>33</v>
      </c>
      <c r="Y263" t="s">
        <v>33</v>
      </c>
      <c r="Z263" t="s">
        <v>34</v>
      </c>
      <c r="AA263">
        <v>1</v>
      </c>
    </row>
    <row r="264" spans="1:27" x14ac:dyDescent="0.35">
      <c r="A264" s="13">
        <v>45930</v>
      </c>
      <c r="B264">
        <v>1</v>
      </c>
      <c r="D264" t="s">
        <v>31</v>
      </c>
      <c r="E264" t="s">
        <v>32</v>
      </c>
      <c r="F264" t="s">
        <v>32</v>
      </c>
      <c r="H264" t="s">
        <v>59</v>
      </c>
      <c r="I264" t="s">
        <v>159</v>
      </c>
      <c r="K264">
        <v>150</v>
      </c>
      <c r="L264" s="13"/>
      <c r="M264" s="13">
        <v>50495</v>
      </c>
      <c r="N264" s="13">
        <v>50495</v>
      </c>
      <c r="O264" s="13">
        <v>50495</v>
      </c>
      <c r="P264" s="24">
        <v>2193.1339020672222</v>
      </c>
      <c r="V264">
        <v>1</v>
      </c>
      <c r="W264" t="s">
        <v>33</v>
      </c>
      <c r="Y264" t="s">
        <v>33</v>
      </c>
      <c r="Z264" t="s">
        <v>34</v>
      </c>
      <c r="AA264">
        <v>1</v>
      </c>
    </row>
    <row r="265" spans="1:27" x14ac:dyDescent="0.35">
      <c r="A265" s="13">
        <v>45930</v>
      </c>
      <c r="B265">
        <v>1</v>
      </c>
      <c r="D265" t="s">
        <v>31</v>
      </c>
      <c r="E265" t="s">
        <v>32</v>
      </c>
      <c r="F265" t="s">
        <v>32</v>
      </c>
      <c r="H265" t="s">
        <v>59</v>
      </c>
      <c r="I265" t="s">
        <v>159</v>
      </c>
      <c r="K265">
        <v>151</v>
      </c>
      <c r="L265" s="13"/>
      <c r="M265" s="13">
        <v>50525</v>
      </c>
      <c r="N265" s="13">
        <v>50525</v>
      </c>
      <c r="O265" s="13">
        <v>50525</v>
      </c>
      <c r="P265" s="24">
        <v>2193.1339020672222</v>
      </c>
      <c r="V265">
        <v>1</v>
      </c>
      <c r="W265" t="s">
        <v>33</v>
      </c>
      <c r="Y265" t="s">
        <v>33</v>
      </c>
      <c r="Z265" t="s">
        <v>34</v>
      </c>
      <c r="AA265">
        <v>1</v>
      </c>
    </row>
    <row r="266" spans="1:27" x14ac:dyDescent="0.35">
      <c r="A266" s="13">
        <v>45930</v>
      </c>
      <c r="B266">
        <v>1</v>
      </c>
      <c r="D266" t="s">
        <v>31</v>
      </c>
      <c r="E266" t="s">
        <v>32</v>
      </c>
      <c r="F266" t="s">
        <v>32</v>
      </c>
      <c r="H266" t="s">
        <v>59</v>
      </c>
      <c r="I266" t="s">
        <v>159</v>
      </c>
      <c r="K266">
        <v>152</v>
      </c>
      <c r="L266" s="13"/>
      <c r="M266" s="13">
        <v>50556</v>
      </c>
      <c r="N266" s="13">
        <v>50556</v>
      </c>
      <c r="O266" s="13">
        <v>50556</v>
      </c>
      <c r="P266" s="24">
        <v>2193.1339020672222</v>
      </c>
      <c r="V266">
        <v>1</v>
      </c>
      <c r="W266" t="s">
        <v>33</v>
      </c>
      <c r="Y266" t="s">
        <v>33</v>
      </c>
      <c r="Z266" t="s">
        <v>34</v>
      </c>
      <c r="AA266">
        <v>1</v>
      </c>
    </row>
    <row r="267" spans="1:27" x14ac:dyDescent="0.35">
      <c r="A267" s="13">
        <v>45930</v>
      </c>
      <c r="B267">
        <v>1</v>
      </c>
      <c r="D267" t="s">
        <v>31</v>
      </c>
      <c r="E267" t="s">
        <v>32</v>
      </c>
      <c r="F267" t="s">
        <v>32</v>
      </c>
      <c r="H267" t="s">
        <v>59</v>
      </c>
      <c r="I267" t="s">
        <v>159</v>
      </c>
      <c r="K267">
        <v>153</v>
      </c>
      <c r="L267" s="13"/>
      <c r="M267" s="13">
        <v>50586</v>
      </c>
      <c r="N267" s="13">
        <v>50586</v>
      </c>
      <c r="O267" s="13">
        <v>50586</v>
      </c>
      <c r="P267" s="24">
        <v>2193.1339020672222</v>
      </c>
      <c r="V267">
        <v>1</v>
      </c>
      <c r="W267" t="s">
        <v>33</v>
      </c>
      <c r="Y267" t="s">
        <v>33</v>
      </c>
      <c r="Z267" t="s">
        <v>34</v>
      </c>
      <c r="AA267">
        <v>1</v>
      </c>
    </row>
    <row r="268" spans="1:27" x14ac:dyDescent="0.35">
      <c r="A268" s="13">
        <v>45930</v>
      </c>
      <c r="B268">
        <v>1</v>
      </c>
      <c r="D268" t="s">
        <v>31</v>
      </c>
      <c r="E268" t="s">
        <v>32</v>
      </c>
      <c r="F268" t="s">
        <v>32</v>
      </c>
      <c r="H268" t="s">
        <v>59</v>
      </c>
      <c r="I268" t="s">
        <v>159</v>
      </c>
      <c r="K268">
        <v>154</v>
      </c>
      <c r="L268" s="13"/>
      <c r="M268" s="13">
        <v>50617</v>
      </c>
      <c r="N268" s="13">
        <v>50617</v>
      </c>
      <c r="O268" s="13">
        <v>50617</v>
      </c>
      <c r="P268" s="24">
        <v>2193.1339020672222</v>
      </c>
      <c r="V268">
        <v>1</v>
      </c>
      <c r="W268" t="s">
        <v>33</v>
      </c>
      <c r="Y268" t="s">
        <v>33</v>
      </c>
      <c r="Z268" t="s">
        <v>34</v>
      </c>
      <c r="AA268">
        <v>1</v>
      </c>
    </row>
    <row r="269" spans="1:27" x14ac:dyDescent="0.35">
      <c r="A269" s="13">
        <v>45930</v>
      </c>
      <c r="B269">
        <v>1</v>
      </c>
      <c r="D269" t="s">
        <v>31</v>
      </c>
      <c r="E269" t="s">
        <v>32</v>
      </c>
      <c r="F269" t="s">
        <v>32</v>
      </c>
      <c r="H269" t="s">
        <v>59</v>
      </c>
      <c r="I269" t="s">
        <v>159</v>
      </c>
      <c r="K269">
        <v>155</v>
      </c>
      <c r="L269" s="13"/>
      <c r="M269" s="13">
        <v>50648</v>
      </c>
      <c r="N269" s="13">
        <v>50648</v>
      </c>
      <c r="O269" s="13">
        <v>50648</v>
      </c>
      <c r="P269" s="24">
        <v>2193.1339020672222</v>
      </c>
      <c r="V269">
        <v>1</v>
      </c>
      <c r="W269" t="s">
        <v>33</v>
      </c>
      <c r="Y269" t="s">
        <v>33</v>
      </c>
      <c r="Z269" t="s">
        <v>34</v>
      </c>
      <c r="AA269">
        <v>1</v>
      </c>
    </row>
    <row r="270" spans="1:27" x14ac:dyDescent="0.35">
      <c r="A270" s="13">
        <v>45930</v>
      </c>
      <c r="B270">
        <v>1</v>
      </c>
      <c r="D270" t="s">
        <v>31</v>
      </c>
      <c r="E270" t="s">
        <v>32</v>
      </c>
      <c r="F270" t="s">
        <v>32</v>
      </c>
      <c r="H270" t="s">
        <v>59</v>
      </c>
      <c r="I270" t="s">
        <v>159</v>
      </c>
      <c r="K270">
        <v>156</v>
      </c>
      <c r="L270" s="13"/>
      <c r="M270" s="13">
        <v>50678</v>
      </c>
      <c r="N270" s="13">
        <v>50678</v>
      </c>
      <c r="O270" s="13">
        <v>50678</v>
      </c>
      <c r="P270" s="24">
        <v>2193.1339020672222</v>
      </c>
      <c r="V270">
        <v>1</v>
      </c>
      <c r="W270" t="s">
        <v>33</v>
      </c>
      <c r="Y270" t="s">
        <v>33</v>
      </c>
      <c r="Z270" t="s">
        <v>34</v>
      </c>
      <c r="AA270">
        <v>1</v>
      </c>
    </row>
    <row r="271" spans="1:27" x14ac:dyDescent="0.35">
      <c r="A271" s="13">
        <v>45930</v>
      </c>
      <c r="B271">
        <v>1</v>
      </c>
      <c r="D271" t="s">
        <v>31</v>
      </c>
      <c r="E271" t="s">
        <v>32</v>
      </c>
      <c r="F271" t="s">
        <v>32</v>
      </c>
      <c r="H271" t="s">
        <v>59</v>
      </c>
      <c r="I271" t="s">
        <v>159</v>
      </c>
      <c r="K271">
        <v>157</v>
      </c>
      <c r="L271" s="13"/>
      <c r="M271" s="13">
        <v>50709</v>
      </c>
      <c r="N271" s="13">
        <v>50709</v>
      </c>
      <c r="O271" s="13">
        <v>50709</v>
      </c>
      <c r="P271" s="24">
        <v>2193.1339020672222</v>
      </c>
      <c r="V271">
        <v>1</v>
      </c>
      <c r="W271" t="s">
        <v>33</v>
      </c>
      <c r="Y271" t="s">
        <v>33</v>
      </c>
      <c r="Z271" t="s">
        <v>34</v>
      </c>
      <c r="AA271">
        <v>1</v>
      </c>
    </row>
    <row r="272" spans="1:27" x14ac:dyDescent="0.35">
      <c r="A272" s="13">
        <v>45930</v>
      </c>
      <c r="B272">
        <v>1</v>
      </c>
      <c r="D272" t="s">
        <v>31</v>
      </c>
      <c r="E272" t="s">
        <v>32</v>
      </c>
      <c r="F272" t="s">
        <v>32</v>
      </c>
      <c r="H272" t="s">
        <v>59</v>
      </c>
      <c r="I272" t="s">
        <v>159</v>
      </c>
      <c r="K272">
        <v>158</v>
      </c>
      <c r="L272" s="13"/>
      <c r="M272" s="13">
        <v>50739</v>
      </c>
      <c r="N272" s="13">
        <v>50739</v>
      </c>
      <c r="O272" s="13">
        <v>50739</v>
      </c>
      <c r="P272" s="24">
        <v>2193.1339020672222</v>
      </c>
      <c r="V272">
        <v>1</v>
      </c>
      <c r="W272" t="s">
        <v>33</v>
      </c>
      <c r="Y272" t="s">
        <v>33</v>
      </c>
      <c r="Z272" t="s">
        <v>34</v>
      </c>
      <c r="AA272">
        <v>1</v>
      </c>
    </row>
    <row r="273" spans="1:27" x14ac:dyDescent="0.35">
      <c r="A273" s="13">
        <v>45930</v>
      </c>
      <c r="B273">
        <v>1</v>
      </c>
      <c r="D273" t="s">
        <v>31</v>
      </c>
      <c r="E273" t="s">
        <v>32</v>
      </c>
      <c r="F273" t="s">
        <v>32</v>
      </c>
      <c r="H273" t="s">
        <v>59</v>
      </c>
      <c r="I273" t="s">
        <v>159</v>
      </c>
      <c r="K273">
        <v>159</v>
      </c>
      <c r="L273" s="13"/>
      <c r="M273" s="13">
        <v>50770</v>
      </c>
      <c r="N273" s="13">
        <v>50770</v>
      </c>
      <c r="O273" s="13">
        <v>50770</v>
      </c>
      <c r="P273" s="24">
        <v>2193.1339020672222</v>
      </c>
      <c r="V273">
        <v>1</v>
      </c>
      <c r="W273" t="s">
        <v>33</v>
      </c>
      <c r="Y273" t="s">
        <v>33</v>
      </c>
      <c r="Z273" t="s">
        <v>34</v>
      </c>
      <c r="AA273">
        <v>1</v>
      </c>
    </row>
    <row r="274" spans="1:27" x14ac:dyDescent="0.35">
      <c r="A274" s="13">
        <v>45930</v>
      </c>
      <c r="B274">
        <v>1</v>
      </c>
      <c r="D274" t="s">
        <v>31</v>
      </c>
      <c r="E274" t="s">
        <v>32</v>
      </c>
      <c r="F274" t="s">
        <v>32</v>
      </c>
      <c r="H274" t="s">
        <v>59</v>
      </c>
      <c r="I274" t="s">
        <v>159</v>
      </c>
      <c r="K274">
        <v>160</v>
      </c>
      <c r="L274" s="13"/>
      <c r="M274" s="13">
        <v>50801</v>
      </c>
      <c r="N274" s="13">
        <v>50801</v>
      </c>
      <c r="O274" s="13">
        <v>50801</v>
      </c>
      <c r="P274" s="24">
        <v>2193.1339020672222</v>
      </c>
      <c r="V274">
        <v>1</v>
      </c>
      <c r="W274" t="s">
        <v>33</v>
      </c>
      <c r="Y274" t="s">
        <v>33</v>
      </c>
      <c r="Z274" t="s">
        <v>34</v>
      </c>
      <c r="AA274">
        <v>1</v>
      </c>
    </row>
    <row r="275" spans="1:27" x14ac:dyDescent="0.35">
      <c r="A275" s="13">
        <v>45930</v>
      </c>
      <c r="B275">
        <v>1</v>
      </c>
      <c r="D275" t="s">
        <v>31</v>
      </c>
      <c r="E275" t="s">
        <v>32</v>
      </c>
      <c r="F275" t="s">
        <v>32</v>
      </c>
      <c r="H275" t="s">
        <v>59</v>
      </c>
      <c r="I275" t="s">
        <v>159</v>
      </c>
      <c r="K275">
        <v>161</v>
      </c>
      <c r="L275" s="13"/>
      <c r="M275" s="13">
        <v>50829</v>
      </c>
      <c r="N275" s="13">
        <v>50829</v>
      </c>
      <c r="O275" s="13">
        <v>50829</v>
      </c>
      <c r="P275" s="24">
        <v>2193.1339020672222</v>
      </c>
      <c r="V275">
        <v>1</v>
      </c>
      <c r="W275" t="s">
        <v>33</v>
      </c>
      <c r="Y275" t="s">
        <v>33</v>
      </c>
      <c r="Z275" t="s">
        <v>34</v>
      </c>
      <c r="AA275">
        <v>1</v>
      </c>
    </row>
    <row r="276" spans="1:27" x14ac:dyDescent="0.35">
      <c r="A276" s="13">
        <v>45930</v>
      </c>
      <c r="B276">
        <v>1</v>
      </c>
      <c r="D276" t="s">
        <v>31</v>
      </c>
      <c r="E276" t="s">
        <v>32</v>
      </c>
      <c r="F276" t="s">
        <v>32</v>
      </c>
      <c r="H276" t="s">
        <v>59</v>
      </c>
      <c r="I276" t="s">
        <v>159</v>
      </c>
      <c r="K276">
        <v>162</v>
      </c>
      <c r="L276" s="13"/>
      <c r="M276" s="13">
        <v>50860</v>
      </c>
      <c r="N276" s="13">
        <v>50860</v>
      </c>
      <c r="O276" s="13">
        <v>50860</v>
      </c>
      <c r="P276" s="24">
        <v>2193.1339020672222</v>
      </c>
      <c r="V276">
        <v>1</v>
      </c>
      <c r="W276" t="s">
        <v>33</v>
      </c>
      <c r="Y276" t="s">
        <v>33</v>
      </c>
      <c r="Z276" t="s">
        <v>34</v>
      </c>
      <c r="AA276">
        <v>1</v>
      </c>
    </row>
    <row r="277" spans="1:27" x14ac:dyDescent="0.35">
      <c r="A277" s="13">
        <v>45930</v>
      </c>
      <c r="B277">
        <v>1</v>
      </c>
      <c r="D277" t="s">
        <v>31</v>
      </c>
      <c r="E277" t="s">
        <v>32</v>
      </c>
      <c r="F277" t="s">
        <v>32</v>
      </c>
      <c r="H277" t="s">
        <v>59</v>
      </c>
      <c r="I277" t="s">
        <v>159</v>
      </c>
      <c r="K277">
        <v>163</v>
      </c>
      <c r="L277" s="13"/>
      <c r="M277" s="13">
        <v>50890</v>
      </c>
      <c r="N277" s="13">
        <v>50890</v>
      </c>
      <c r="O277" s="13">
        <v>50890</v>
      </c>
      <c r="P277" s="24">
        <v>2193.1339020672222</v>
      </c>
      <c r="V277">
        <v>1</v>
      </c>
      <c r="W277" t="s">
        <v>33</v>
      </c>
      <c r="Y277" t="s">
        <v>33</v>
      </c>
      <c r="Z277" t="s">
        <v>34</v>
      </c>
      <c r="AA277">
        <v>1</v>
      </c>
    </row>
    <row r="278" spans="1:27" x14ac:dyDescent="0.35">
      <c r="A278" s="13">
        <v>45930</v>
      </c>
      <c r="B278">
        <v>1</v>
      </c>
      <c r="D278" t="s">
        <v>31</v>
      </c>
      <c r="E278" t="s">
        <v>32</v>
      </c>
      <c r="F278" t="s">
        <v>32</v>
      </c>
      <c r="H278" t="s">
        <v>59</v>
      </c>
      <c r="I278" t="s">
        <v>159</v>
      </c>
      <c r="K278">
        <v>164</v>
      </c>
      <c r="L278" s="13"/>
      <c r="M278" s="13">
        <v>50921</v>
      </c>
      <c r="N278" s="13">
        <v>50921</v>
      </c>
      <c r="O278" s="13">
        <v>50921</v>
      </c>
      <c r="P278" s="24">
        <v>2193.1339020672222</v>
      </c>
      <c r="V278">
        <v>1</v>
      </c>
      <c r="W278" t="s">
        <v>33</v>
      </c>
      <c r="Y278" t="s">
        <v>33</v>
      </c>
      <c r="Z278" t="s">
        <v>34</v>
      </c>
      <c r="AA278">
        <v>1</v>
      </c>
    </row>
    <row r="279" spans="1:27" x14ac:dyDescent="0.35">
      <c r="A279" s="13">
        <v>45930</v>
      </c>
      <c r="B279">
        <v>1</v>
      </c>
      <c r="D279" t="s">
        <v>31</v>
      </c>
      <c r="E279" t="s">
        <v>32</v>
      </c>
      <c r="F279" t="s">
        <v>32</v>
      </c>
      <c r="H279" t="s">
        <v>59</v>
      </c>
      <c r="I279" t="s">
        <v>159</v>
      </c>
      <c r="K279">
        <v>165</v>
      </c>
      <c r="L279" s="13"/>
      <c r="M279" s="13">
        <v>50951</v>
      </c>
      <c r="N279" s="13">
        <v>50951</v>
      </c>
      <c r="O279" s="13">
        <v>50951</v>
      </c>
      <c r="P279" s="24">
        <v>2193.1339020672222</v>
      </c>
      <c r="V279">
        <v>1</v>
      </c>
      <c r="W279" t="s">
        <v>33</v>
      </c>
      <c r="Y279" t="s">
        <v>33</v>
      </c>
      <c r="Z279" t="s">
        <v>34</v>
      </c>
      <c r="AA279">
        <v>1</v>
      </c>
    </row>
    <row r="280" spans="1:27" x14ac:dyDescent="0.35">
      <c r="A280" s="13">
        <v>45930</v>
      </c>
      <c r="B280">
        <v>1</v>
      </c>
      <c r="D280" t="s">
        <v>31</v>
      </c>
      <c r="E280" t="s">
        <v>32</v>
      </c>
      <c r="F280" t="s">
        <v>32</v>
      </c>
      <c r="H280" t="s">
        <v>59</v>
      </c>
      <c r="I280" t="s">
        <v>159</v>
      </c>
      <c r="K280">
        <v>166</v>
      </c>
      <c r="L280" s="13"/>
      <c r="M280" s="13">
        <v>50982</v>
      </c>
      <c r="N280" s="13">
        <v>50982</v>
      </c>
      <c r="O280" s="13">
        <v>50982</v>
      </c>
      <c r="P280" s="24">
        <v>2193.1339020672222</v>
      </c>
      <c r="V280">
        <v>1</v>
      </c>
      <c r="W280" t="s">
        <v>33</v>
      </c>
      <c r="Y280" t="s">
        <v>33</v>
      </c>
      <c r="Z280" t="s">
        <v>34</v>
      </c>
      <c r="AA280">
        <v>1</v>
      </c>
    </row>
    <row r="281" spans="1:27" x14ac:dyDescent="0.35">
      <c r="A281" s="13">
        <v>45930</v>
      </c>
      <c r="B281">
        <v>1</v>
      </c>
      <c r="D281" t="s">
        <v>31</v>
      </c>
      <c r="E281" t="s">
        <v>32</v>
      </c>
      <c r="F281" t="s">
        <v>32</v>
      </c>
      <c r="H281" t="s">
        <v>59</v>
      </c>
      <c r="I281" t="s">
        <v>159</v>
      </c>
      <c r="K281">
        <v>167</v>
      </c>
      <c r="L281" s="13"/>
      <c r="M281" s="13">
        <v>51013</v>
      </c>
      <c r="N281" s="13">
        <v>51013</v>
      </c>
      <c r="O281" s="13">
        <v>51013</v>
      </c>
      <c r="P281" s="24">
        <v>2193.1339020672222</v>
      </c>
      <c r="V281">
        <v>1</v>
      </c>
      <c r="W281" t="s">
        <v>33</v>
      </c>
      <c r="Y281" t="s">
        <v>33</v>
      </c>
      <c r="Z281" t="s">
        <v>34</v>
      </c>
      <c r="AA281">
        <v>1</v>
      </c>
    </row>
    <row r="282" spans="1:27" x14ac:dyDescent="0.35">
      <c r="A282" s="13">
        <v>45930</v>
      </c>
      <c r="B282">
        <v>1</v>
      </c>
      <c r="D282" t="s">
        <v>31</v>
      </c>
      <c r="E282" t="s">
        <v>32</v>
      </c>
      <c r="F282" t="s">
        <v>32</v>
      </c>
      <c r="H282" t="s">
        <v>59</v>
      </c>
      <c r="I282" t="s">
        <v>159</v>
      </c>
      <c r="K282">
        <v>168</v>
      </c>
      <c r="L282" s="13"/>
      <c r="M282" s="13">
        <v>51043</v>
      </c>
      <c r="N282" s="13">
        <v>51043</v>
      </c>
      <c r="O282" s="13">
        <v>51043</v>
      </c>
      <c r="P282" s="24">
        <v>2193.1339020672222</v>
      </c>
      <c r="V282">
        <v>1</v>
      </c>
      <c r="W282" t="s">
        <v>33</v>
      </c>
      <c r="Y282" t="s">
        <v>33</v>
      </c>
      <c r="Z282" t="s">
        <v>34</v>
      </c>
      <c r="AA282">
        <v>1</v>
      </c>
    </row>
    <row r="283" spans="1:27" x14ac:dyDescent="0.35">
      <c r="A283" s="13">
        <v>45930</v>
      </c>
      <c r="B283">
        <v>1</v>
      </c>
      <c r="D283" t="s">
        <v>31</v>
      </c>
      <c r="E283" t="s">
        <v>32</v>
      </c>
      <c r="F283" t="s">
        <v>32</v>
      </c>
      <c r="H283" t="s">
        <v>59</v>
      </c>
      <c r="I283" t="s">
        <v>159</v>
      </c>
      <c r="K283">
        <v>169</v>
      </c>
      <c r="L283" s="13"/>
      <c r="M283" s="13">
        <v>51074</v>
      </c>
      <c r="N283" s="13">
        <v>51074</v>
      </c>
      <c r="O283" s="13">
        <v>51074</v>
      </c>
      <c r="P283" s="24">
        <v>2193.1339020672222</v>
      </c>
      <c r="V283">
        <v>1</v>
      </c>
      <c r="W283" t="s">
        <v>33</v>
      </c>
      <c r="Y283" t="s">
        <v>33</v>
      </c>
      <c r="Z283" t="s">
        <v>34</v>
      </c>
      <c r="AA283">
        <v>1</v>
      </c>
    </row>
    <row r="284" spans="1:27" x14ac:dyDescent="0.35">
      <c r="A284" s="13">
        <v>45930</v>
      </c>
      <c r="B284">
        <v>1</v>
      </c>
      <c r="D284" t="s">
        <v>31</v>
      </c>
      <c r="E284" t="s">
        <v>32</v>
      </c>
      <c r="F284" t="s">
        <v>32</v>
      </c>
      <c r="H284" t="s">
        <v>59</v>
      </c>
      <c r="I284" t="s">
        <v>159</v>
      </c>
      <c r="K284">
        <v>170</v>
      </c>
      <c r="L284" s="13"/>
      <c r="M284" s="13">
        <v>51104</v>
      </c>
      <c r="N284" s="13">
        <v>51104</v>
      </c>
      <c r="O284" s="13">
        <v>51104</v>
      </c>
      <c r="P284" s="24">
        <v>2193.1339020672222</v>
      </c>
      <c r="V284">
        <v>1</v>
      </c>
      <c r="W284" t="s">
        <v>33</v>
      </c>
      <c r="Y284" t="s">
        <v>33</v>
      </c>
      <c r="Z284" t="s">
        <v>34</v>
      </c>
      <c r="AA284">
        <v>1</v>
      </c>
    </row>
    <row r="285" spans="1:27" x14ac:dyDescent="0.35">
      <c r="A285" s="13">
        <v>45930</v>
      </c>
      <c r="B285">
        <v>1</v>
      </c>
      <c r="D285" t="s">
        <v>31</v>
      </c>
      <c r="E285" t="s">
        <v>32</v>
      </c>
      <c r="F285" t="s">
        <v>32</v>
      </c>
      <c r="H285" t="s">
        <v>59</v>
      </c>
      <c r="I285" t="s">
        <v>159</v>
      </c>
      <c r="K285">
        <v>171</v>
      </c>
      <c r="L285" s="13"/>
      <c r="M285" s="13">
        <v>51135</v>
      </c>
      <c r="N285" s="13">
        <v>51135</v>
      </c>
      <c r="O285" s="13">
        <v>51135</v>
      </c>
      <c r="P285" s="24">
        <v>2193.1339020672222</v>
      </c>
      <c r="V285">
        <v>1</v>
      </c>
      <c r="W285" t="s">
        <v>33</v>
      </c>
      <c r="Y285" t="s">
        <v>33</v>
      </c>
      <c r="Z285" t="s">
        <v>34</v>
      </c>
      <c r="AA285">
        <v>1</v>
      </c>
    </row>
    <row r="286" spans="1:27" x14ac:dyDescent="0.35">
      <c r="A286" s="13">
        <v>45930</v>
      </c>
      <c r="B286">
        <v>1</v>
      </c>
      <c r="D286" t="s">
        <v>31</v>
      </c>
      <c r="E286" t="s">
        <v>32</v>
      </c>
      <c r="F286" t="s">
        <v>32</v>
      </c>
      <c r="H286" t="s">
        <v>59</v>
      </c>
      <c r="I286" t="s">
        <v>159</v>
      </c>
      <c r="K286">
        <v>172</v>
      </c>
      <c r="L286" s="13"/>
      <c r="M286" s="13">
        <v>51166</v>
      </c>
      <c r="N286" s="13">
        <v>51166</v>
      </c>
      <c r="O286" s="13">
        <v>51166</v>
      </c>
      <c r="P286" s="24">
        <v>2193.1339020672222</v>
      </c>
      <c r="V286">
        <v>1</v>
      </c>
      <c r="W286" t="s">
        <v>33</v>
      </c>
      <c r="Y286" t="s">
        <v>33</v>
      </c>
      <c r="Z286" t="s">
        <v>34</v>
      </c>
      <c r="AA286">
        <v>1</v>
      </c>
    </row>
    <row r="287" spans="1:27" x14ac:dyDescent="0.35">
      <c r="A287" s="13">
        <v>45930</v>
      </c>
      <c r="B287">
        <v>1</v>
      </c>
      <c r="D287" t="s">
        <v>31</v>
      </c>
      <c r="E287" t="s">
        <v>32</v>
      </c>
      <c r="F287" t="s">
        <v>32</v>
      </c>
      <c r="H287" t="s">
        <v>59</v>
      </c>
      <c r="I287" t="s">
        <v>159</v>
      </c>
      <c r="K287">
        <v>173</v>
      </c>
      <c r="L287" s="13"/>
      <c r="M287" s="13">
        <v>51195</v>
      </c>
      <c r="N287" s="13">
        <v>51195</v>
      </c>
      <c r="O287" s="13">
        <v>51195</v>
      </c>
      <c r="P287" s="24">
        <v>2193.1339020672222</v>
      </c>
      <c r="V287">
        <v>1</v>
      </c>
      <c r="W287" t="s">
        <v>33</v>
      </c>
      <c r="Y287" t="s">
        <v>33</v>
      </c>
      <c r="Z287" t="s">
        <v>34</v>
      </c>
      <c r="AA287">
        <v>1</v>
      </c>
    </row>
    <row r="288" spans="1:27" x14ac:dyDescent="0.35">
      <c r="A288" s="13">
        <v>45930</v>
      </c>
      <c r="B288">
        <v>1</v>
      </c>
      <c r="D288" t="s">
        <v>31</v>
      </c>
      <c r="E288" t="s">
        <v>32</v>
      </c>
      <c r="F288" t="s">
        <v>32</v>
      </c>
      <c r="H288" t="s">
        <v>59</v>
      </c>
      <c r="I288" t="s">
        <v>159</v>
      </c>
      <c r="K288">
        <v>174</v>
      </c>
      <c r="L288" s="13"/>
      <c r="M288" s="13">
        <v>51226</v>
      </c>
      <c r="N288" s="13">
        <v>51226</v>
      </c>
      <c r="O288" s="13">
        <v>51226</v>
      </c>
      <c r="P288" s="24">
        <v>2193.1339020672222</v>
      </c>
      <c r="V288">
        <v>1</v>
      </c>
      <c r="W288" t="s">
        <v>33</v>
      </c>
      <c r="Y288" t="s">
        <v>33</v>
      </c>
      <c r="Z288" t="s">
        <v>34</v>
      </c>
      <c r="AA288">
        <v>1</v>
      </c>
    </row>
    <row r="289" spans="1:27" x14ac:dyDescent="0.35">
      <c r="A289" s="13">
        <v>45930</v>
      </c>
      <c r="B289">
        <v>1</v>
      </c>
      <c r="D289" t="s">
        <v>31</v>
      </c>
      <c r="E289" t="s">
        <v>32</v>
      </c>
      <c r="F289" t="s">
        <v>32</v>
      </c>
      <c r="H289" t="s">
        <v>59</v>
      </c>
      <c r="I289" t="s">
        <v>159</v>
      </c>
      <c r="K289">
        <v>175</v>
      </c>
      <c r="L289" s="13"/>
      <c r="M289" s="13">
        <v>51256</v>
      </c>
      <c r="N289" s="13">
        <v>51256</v>
      </c>
      <c r="O289" s="13">
        <v>51256</v>
      </c>
      <c r="P289" s="24">
        <v>2193.1339020672222</v>
      </c>
      <c r="V289">
        <v>1</v>
      </c>
      <c r="W289" t="s">
        <v>33</v>
      </c>
      <c r="Y289" t="s">
        <v>33</v>
      </c>
      <c r="Z289" t="s">
        <v>34</v>
      </c>
      <c r="AA289">
        <v>1</v>
      </c>
    </row>
    <row r="290" spans="1:27" x14ac:dyDescent="0.35">
      <c r="A290" s="13">
        <v>45930</v>
      </c>
      <c r="B290">
        <v>1</v>
      </c>
      <c r="D290" t="s">
        <v>31</v>
      </c>
      <c r="E290" t="s">
        <v>32</v>
      </c>
      <c r="F290" t="s">
        <v>32</v>
      </c>
      <c r="H290" t="s">
        <v>59</v>
      </c>
      <c r="I290" t="s">
        <v>159</v>
      </c>
      <c r="K290">
        <v>176</v>
      </c>
      <c r="L290" s="13"/>
      <c r="M290" s="13">
        <v>51287</v>
      </c>
      <c r="N290" s="13">
        <v>51287</v>
      </c>
      <c r="O290" s="13">
        <v>51287</v>
      </c>
      <c r="P290" s="24">
        <v>2193.1339020672222</v>
      </c>
      <c r="V290">
        <v>1</v>
      </c>
      <c r="W290" t="s">
        <v>33</v>
      </c>
      <c r="Y290" t="s">
        <v>33</v>
      </c>
      <c r="Z290" t="s">
        <v>34</v>
      </c>
      <c r="AA290">
        <v>1</v>
      </c>
    </row>
    <row r="291" spans="1:27" x14ac:dyDescent="0.35">
      <c r="A291" s="13">
        <v>45930</v>
      </c>
      <c r="B291">
        <v>1</v>
      </c>
      <c r="D291" t="s">
        <v>31</v>
      </c>
      <c r="E291" t="s">
        <v>32</v>
      </c>
      <c r="F291" t="s">
        <v>32</v>
      </c>
      <c r="H291" t="s">
        <v>59</v>
      </c>
      <c r="I291" t="s">
        <v>159</v>
      </c>
      <c r="K291">
        <v>177</v>
      </c>
      <c r="L291" s="13"/>
      <c r="M291" s="13">
        <v>51317</v>
      </c>
      <c r="N291" s="13">
        <v>51317</v>
      </c>
      <c r="O291" s="13">
        <v>51317</v>
      </c>
      <c r="P291" s="24">
        <v>2193.1339020672222</v>
      </c>
      <c r="V291">
        <v>1</v>
      </c>
      <c r="W291" t="s">
        <v>33</v>
      </c>
      <c r="Y291" t="s">
        <v>33</v>
      </c>
      <c r="Z291" t="s">
        <v>34</v>
      </c>
      <c r="AA291">
        <v>1</v>
      </c>
    </row>
    <row r="292" spans="1:27" x14ac:dyDescent="0.35">
      <c r="A292" s="13">
        <v>45930</v>
      </c>
      <c r="B292">
        <v>1</v>
      </c>
      <c r="D292" t="s">
        <v>31</v>
      </c>
      <c r="E292" t="s">
        <v>32</v>
      </c>
      <c r="F292" t="s">
        <v>32</v>
      </c>
      <c r="H292" t="s">
        <v>59</v>
      </c>
      <c r="I292" t="s">
        <v>159</v>
      </c>
      <c r="K292">
        <v>178</v>
      </c>
      <c r="L292" s="13"/>
      <c r="M292" s="13">
        <v>51348</v>
      </c>
      <c r="N292" s="13">
        <v>51348</v>
      </c>
      <c r="O292" s="13">
        <v>51348</v>
      </c>
      <c r="P292" s="24">
        <v>2193.1339020672222</v>
      </c>
      <c r="V292">
        <v>1</v>
      </c>
      <c r="W292" t="s">
        <v>33</v>
      </c>
      <c r="Y292" t="s">
        <v>33</v>
      </c>
      <c r="Z292" t="s">
        <v>34</v>
      </c>
      <c r="AA292">
        <v>1</v>
      </c>
    </row>
    <row r="293" spans="1:27" x14ac:dyDescent="0.35">
      <c r="A293" s="13">
        <v>45930</v>
      </c>
      <c r="B293">
        <v>1</v>
      </c>
      <c r="D293" t="s">
        <v>31</v>
      </c>
      <c r="E293" t="s">
        <v>32</v>
      </c>
      <c r="F293" t="s">
        <v>32</v>
      </c>
      <c r="H293" t="s">
        <v>59</v>
      </c>
      <c r="I293" t="s">
        <v>159</v>
      </c>
      <c r="K293">
        <v>179</v>
      </c>
      <c r="L293" s="13"/>
      <c r="M293" s="13">
        <v>51379</v>
      </c>
      <c r="N293" s="13">
        <v>51379</v>
      </c>
      <c r="O293" s="13">
        <v>51379</v>
      </c>
      <c r="P293" s="24">
        <v>2193.1339020672222</v>
      </c>
      <c r="V293">
        <v>1</v>
      </c>
      <c r="W293" t="s">
        <v>33</v>
      </c>
      <c r="Y293" t="s">
        <v>33</v>
      </c>
      <c r="Z293" t="s">
        <v>34</v>
      </c>
      <c r="AA293">
        <v>1</v>
      </c>
    </row>
    <row r="294" spans="1:27" x14ac:dyDescent="0.35">
      <c r="A294" s="13">
        <v>45930</v>
      </c>
      <c r="B294">
        <v>1</v>
      </c>
      <c r="D294" t="s">
        <v>31</v>
      </c>
      <c r="E294" t="s">
        <v>32</v>
      </c>
      <c r="F294" t="s">
        <v>32</v>
      </c>
      <c r="H294" t="s">
        <v>59</v>
      </c>
      <c r="I294" t="s">
        <v>159</v>
      </c>
      <c r="K294">
        <v>180</v>
      </c>
      <c r="L294" s="13"/>
      <c r="M294" s="13">
        <v>51409</v>
      </c>
      <c r="N294" s="13">
        <v>51409</v>
      </c>
      <c r="O294" s="13">
        <v>51409</v>
      </c>
      <c r="P294" s="24">
        <v>2193.1339020672222</v>
      </c>
      <c r="V294">
        <v>1</v>
      </c>
      <c r="W294" t="s">
        <v>33</v>
      </c>
      <c r="Y294" t="s">
        <v>33</v>
      </c>
      <c r="Z294" t="s">
        <v>34</v>
      </c>
      <c r="AA294">
        <v>1</v>
      </c>
    </row>
    <row r="295" spans="1:27" x14ac:dyDescent="0.35">
      <c r="A295" s="13">
        <v>45930</v>
      </c>
      <c r="B295">
        <v>1</v>
      </c>
      <c r="D295" t="s">
        <v>31</v>
      </c>
      <c r="E295" t="s">
        <v>32</v>
      </c>
      <c r="F295" t="s">
        <v>32</v>
      </c>
      <c r="H295" t="s">
        <v>59</v>
      </c>
      <c r="I295" t="s">
        <v>159</v>
      </c>
      <c r="K295">
        <v>181</v>
      </c>
      <c r="L295" s="13"/>
      <c r="M295" s="13">
        <v>51440</v>
      </c>
      <c r="N295" s="13">
        <v>51440</v>
      </c>
      <c r="O295" s="13">
        <v>51440</v>
      </c>
      <c r="P295" s="24">
        <v>2193.1339020672222</v>
      </c>
      <c r="V295">
        <v>1</v>
      </c>
      <c r="W295" t="s">
        <v>33</v>
      </c>
      <c r="Y295" t="s">
        <v>33</v>
      </c>
      <c r="Z295" t="s">
        <v>34</v>
      </c>
      <c r="AA295">
        <v>1</v>
      </c>
    </row>
    <row r="296" spans="1:27" x14ac:dyDescent="0.35">
      <c r="A296" s="13">
        <v>45930</v>
      </c>
      <c r="B296">
        <v>1</v>
      </c>
      <c r="D296" t="s">
        <v>31</v>
      </c>
      <c r="E296" t="s">
        <v>32</v>
      </c>
      <c r="F296" t="s">
        <v>32</v>
      </c>
      <c r="H296" t="s">
        <v>59</v>
      </c>
      <c r="I296" t="s">
        <v>159</v>
      </c>
      <c r="K296">
        <v>182</v>
      </c>
      <c r="L296" s="13"/>
      <c r="M296" s="13">
        <v>51470</v>
      </c>
      <c r="N296" s="13">
        <v>51470</v>
      </c>
      <c r="O296" s="13">
        <v>51470</v>
      </c>
      <c r="P296" s="24">
        <v>2193.1339020672222</v>
      </c>
      <c r="V296">
        <v>1</v>
      </c>
      <c r="W296" t="s">
        <v>33</v>
      </c>
      <c r="Y296" t="s">
        <v>33</v>
      </c>
      <c r="Z296" t="s">
        <v>34</v>
      </c>
      <c r="AA296">
        <v>1</v>
      </c>
    </row>
    <row r="297" spans="1:27" x14ac:dyDescent="0.35">
      <c r="A297" s="13">
        <v>45930</v>
      </c>
      <c r="B297">
        <v>1</v>
      </c>
      <c r="D297" t="s">
        <v>31</v>
      </c>
      <c r="E297" t="s">
        <v>32</v>
      </c>
      <c r="F297" t="s">
        <v>32</v>
      </c>
      <c r="H297" t="s">
        <v>59</v>
      </c>
      <c r="I297" t="s">
        <v>159</v>
      </c>
      <c r="K297">
        <v>183</v>
      </c>
      <c r="L297" s="13"/>
      <c r="M297" s="13">
        <v>51501</v>
      </c>
      <c r="N297" s="13">
        <v>51501</v>
      </c>
      <c r="O297" s="13">
        <v>51501</v>
      </c>
      <c r="P297" s="24">
        <v>2193.1339020672222</v>
      </c>
      <c r="V297">
        <v>1</v>
      </c>
      <c r="W297" t="s">
        <v>33</v>
      </c>
      <c r="Y297" t="s">
        <v>33</v>
      </c>
      <c r="Z297" t="s">
        <v>34</v>
      </c>
      <c r="AA297">
        <v>1</v>
      </c>
    </row>
    <row r="298" spans="1:27" x14ac:dyDescent="0.35">
      <c r="A298" s="13">
        <v>45930</v>
      </c>
      <c r="B298">
        <v>1</v>
      </c>
      <c r="D298" t="s">
        <v>31</v>
      </c>
      <c r="E298" t="s">
        <v>32</v>
      </c>
      <c r="F298" t="s">
        <v>32</v>
      </c>
      <c r="H298" t="s">
        <v>59</v>
      </c>
      <c r="I298" t="s">
        <v>159</v>
      </c>
      <c r="K298">
        <v>184</v>
      </c>
      <c r="L298" s="13"/>
      <c r="M298" s="13">
        <v>51532</v>
      </c>
      <c r="N298" s="13">
        <v>51532</v>
      </c>
      <c r="O298" s="13">
        <v>51532</v>
      </c>
      <c r="P298" s="24">
        <v>2193.1339020672222</v>
      </c>
      <c r="V298">
        <v>1</v>
      </c>
      <c r="W298" t="s">
        <v>33</v>
      </c>
      <c r="Y298" t="s">
        <v>33</v>
      </c>
      <c r="Z298" t="s">
        <v>34</v>
      </c>
      <c r="AA298">
        <v>1</v>
      </c>
    </row>
    <row r="299" spans="1:27" x14ac:dyDescent="0.35">
      <c r="A299" s="13">
        <v>45930</v>
      </c>
      <c r="B299">
        <v>1</v>
      </c>
      <c r="D299" t="s">
        <v>31</v>
      </c>
      <c r="E299" t="s">
        <v>32</v>
      </c>
      <c r="F299" t="s">
        <v>32</v>
      </c>
      <c r="H299" t="s">
        <v>59</v>
      </c>
      <c r="I299" t="s">
        <v>159</v>
      </c>
      <c r="K299">
        <v>185</v>
      </c>
      <c r="L299" s="13"/>
      <c r="M299" s="13">
        <v>51560</v>
      </c>
      <c r="N299" s="13">
        <v>51560</v>
      </c>
      <c r="O299" s="13">
        <v>51560</v>
      </c>
      <c r="P299" s="24">
        <v>2193.1339020672222</v>
      </c>
      <c r="V299">
        <v>1</v>
      </c>
      <c r="W299" t="s">
        <v>33</v>
      </c>
      <c r="Y299" t="s">
        <v>33</v>
      </c>
      <c r="Z299" t="s">
        <v>34</v>
      </c>
      <c r="AA299">
        <v>1</v>
      </c>
    </row>
    <row r="300" spans="1:27" x14ac:dyDescent="0.35">
      <c r="A300" s="13">
        <v>45930</v>
      </c>
      <c r="B300">
        <v>1</v>
      </c>
      <c r="D300" t="s">
        <v>31</v>
      </c>
      <c r="E300" t="s">
        <v>32</v>
      </c>
      <c r="F300" t="s">
        <v>32</v>
      </c>
      <c r="H300" t="s">
        <v>59</v>
      </c>
      <c r="I300" t="s">
        <v>159</v>
      </c>
      <c r="K300">
        <v>186</v>
      </c>
      <c r="L300" s="13"/>
      <c r="M300" s="13">
        <v>51591</v>
      </c>
      <c r="N300" s="13">
        <v>51591</v>
      </c>
      <c r="O300" s="13">
        <v>51591</v>
      </c>
      <c r="P300" s="24">
        <v>2193.1339020672222</v>
      </c>
      <c r="V300">
        <v>1</v>
      </c>
      <c r="W300" t="s">
        <v>33</v>
      </c>
      <c r="Y300" t="s">
        <v>33</v>
      </c>
      <c r="Z300" t="s">
        <v>34</v>
      </c>
      <c r="AA300">
        <v>1</v>
      </c>
    </row>
    <row r="301" spans="1:27" x14ac:dyDescent="0.35">
      <c r="A301" s="13">
        <v>45930</v>
      </c>
      <c r="B301">
        <v>1</v>
      </c>
      <c r="D301" t="s">
        <v>31</v>
      </c>
      <c r="E301" t="s">
        <v>32</v>
      </c>
      <c r="F301" t="s">
        <v>32</v>
      </c>
      <c r="H301" t="s">
        <v>59</v>
      </c>
      <c r="I301" t="s">
        <v>159</v>
      </c>
      <c r="K301">
        <v>187</v>
      </c>
      <c r="L301" s="13"/>
      <c r="M301" s="13">
        <v>51621</v>
      </c>
      <c r="N301" s="13">
        <v>51621</v>
      </c>
      <c r="O301" s="13">
        <v>51621</v>
      </c>
      <c r="P301" s="24">
        <v>2193.1339020672222</v>
      </c>
      <c r="V301">
        <v>1</v>
      </c>
      <c r="W301" t="s">
        <v>33</v>
      </c>
      <c r="Y301" t="s">
        <v>33</v>
      </c>
      <c r="Z301" t="s">
        <v>34</v>
      </c>
      <c r="AA301">
        <v>1</v>
      </c>
    </row>
    <row r="302" spans="1:27" x14ac:dyDescent="0.35">
      <c r="A302" s="13">
        <v>45930</v>
      </c>
      <c r="B302">
        <v>1</v>
      </c>
      <c r="D302" t="s">
        <v>31</v>
      </c>
      <c r="E302" t="s">
        <v>32</v>
      </c>
      <c r="F302" t="s">
        <v>32</v>
      </c>
      <c r="H302" t="s">
        <v>59</v>
      </c>
      <c r="I302" t="s">
        <v>159</v>
      </c>
      <c r="K302">
        <v>188</v>
      </c>
      <c r="L302" s="13"/>
      <c r="M302" s="13">
        <v>51652</v>
      </c>
      <c r="N302" s="13">
        <v>51652</v>
      </c>
      <c r="O302" s="13">
        <v>51652</v>
      </c>
      <c r="P302" s="24">
        <v>2193.1339020672222</v>
      </c>
      <c r="V302">
        <v>1</v>
      </c>
      <c r="W302" t="s">
        <v>33</v>
      </c>
      <c r="Y302" t="s">
        <v>33</v>
      </c>
      <c r="Z302" t="s">
        <v>34</v>
      </c>
      <c r="AA302">
        <v>1</v>
      </c>
    </row>
    <row r="303" spans="1:27" x14ac:dyDescent="0.35">
      <c r="A303" s="13">
        <v>45930</v>
      </c>
      <c r="B303">
        <v>1</v>
      </c>
      <c r="D303" t="s">
        <v>31</v>
      </c>
      <c r="E303" t="s">
        <v>32</v>
      </c>
      <c r="F303" t="s">
        <v>32</v>
      </c>
      <c r="H303" t="s">
        <v>59</v>
      </c>
      <c r="I303" t="s">
        <v>159</v>
      </c>
      <c r="K303">
        <v>189</v>
      </c>
      <c r="L303" s="13"/>
      <c r="M303" s="13">
        <v>51682</v>
      </c>
      <c r="N303" s="13">
        <v>51682</v>
      </c>
      <c r="O303" s="13">
        <v>51682</v>
      </c>
      <c r="P303" s="24">
        <v>2193.1339020672222</v>
      </c>
      <c r="V303">
        <v>1</v>
      </c>
      <c r="W303" t="s">
        <v>33</v>
      </c>
      <c r="Y303" t="s">
        <v>33</v>
      </c>
      <c r="Z303" t="s">
        <v>34</v>
      </c>
      <c r="AA303">
        <v>1</v>
      </c>
    </row>
    <row r="304" spans="1:27" x14ac:dyDescent="0.35">
      <c r="A304" s="13">
        <v>45930</v>
      </c>
      <c r="B304">
        <v>1</v>
      </c>
      <c r="D304" t="s">
        <v>31</v>
      </c>
      <c r="E304" t="s">
        <v>32</v>
      </c>
      <c r="F304" t="s">
        <v>32</v>
      </c>
      <c r="H304" t="s">
        <v>59</v>
      </c>
      <c r="I304" t="s">
        <v>159</v>
      </c>
      <c r="K304">
        <v>190</v>
      </c>
      <c r="L304" s="13"/>
      <c r="M304" s="13">
        <v>51713</v>
      </c>
      <c r="N304" s="13">
        <v>51713</v>
      </c>
      <c r="O304" s="13">
        <v>51713</v>
      </c>
      <c r="P304" s="24">
        <v>2193.1339020672222</v>
      </c>
      <c r="V304">
        <v>1</v>
      </c>
      <c r="W304" t="s">
        <v>33</v>
      </c>
      <c r="Y304" t="s">
        <v>33</v>
      </c>
      <c r="Z304" t="s">
        <v>34</v>
      </c>
      <c r="AA304">
        <v>1</v>
      </c>
    </row>
    <row r="305" spans="1:27" x14ac:dyDescent="0.35">
      <c r="A305" s="13">
        <v>45930</v>
      </c>
      <c r="B305">
        <v>1</v>
      </c>
      <c r="D305" t="s">
        <v>31</v>
      </c>
      <c r="E305" t="s">
        <v>32</v>
      </c>
      <c r="F305" t="s">
        <v>32</v>
      </c>
      <c r="H305" t="s">
        <v>59</v>
      </c>
      <c r="I305" t="s">
        <v>159</v>
      </c>
      <c r="K305">
        <v>191</v>
      </c>
      <c r="L305" s="13"/>
      <c r="M305" s="13">
        <v>51744</v>
      </c>
      <c r="N305" s="13">
        <v>51744</v>
      </c>
      <c r="O305" s="13">
        <v>51744</v>
      </c>
      <c r="P305" s="24">
        <v>2193.1339020672222</v>
      </c>
      <c r="V305">
        <v>1</v>
      </c>
      <c r="W305" t="s">
        <v>33</v>
      </c>
      <c r="Y305" t="s">
        <v>33</v>
      </c>
      <c r="Z305" t="s">
        <v>34</v>
      </c>
      <c r="AA305">
        <v>1</v>
      </c>
    </row>
    <row r="306" spans="1:27" x14ac:dyDescent="0.35">
      <c r="A306" s="13">
        <v>45930</v>
      </c>
      <c r="B306">
        <v>1</v>
      </c>
      <c r="D306" t="s">
        <v>31</v>
      </c>
      <c r="E306" t="s">
        <v>32</v>
      </c>
      <c r="F306" t="s">
        <v>32</v>
      </c>
      <c r="H306" t="s">
        <v>59</v>
      </c>
      <c r="I306" t="s">
        <v>159</v>
      </c>
      <c r="K306">
        <v>192</v>
      </c>
      <c r="L306" s="13"/>
      <c r="M306" s="13">
        <v>51774</v>
      </c>
      <c r="N306" s="13">
        <v>51774</v>
      </c>
      <c r="O306" s="13">
        <v>51774</v>
      </c>
      <c r="P306" s="24">
        <v>2193.1339020672222</v>
      </c>
      <c r="V306">
        <v>1</v>
      </c>
      <c r="W306" t="s">
        <v>33</v>
      </c>
      <c r="Y306" t="s">
        <v>33</v>
      </c>
      <c r="Z306" t="s">
        <v>34</v>
      </c>
      <c r="AA306">
        <v>1</v>
      </c>
    </row>
    <row r="307" spans="1:27" x14ac:dyDescent="0.35">
      <c r="A307" s="13">
        <v>45930</v>
      </c>
      <c r="B307">
        <v>1</v>
      </c>
      <c r="D307" t="s">
        <v>31</v>
      </c>
      <c r="E307" t="s">
        <v>32</v>
      </c>
      <c r="F307" t="s">
        <v>32</v>
      </c>
      <c r="H307" t="s">
        <v>59</v>
      </c>
      <c r="I307" t="s">
        <v>159</v>
      </c>
      <c r="K307">
        <v>193</v>
      </c>
      <c r="L307" s="13"/>
      <c r="M307" s="13">
        <v>51805</v>
      </c>
      <c r="N307" s="13">
        <v>51805</v>
      </c>
      <c r="O307" s="13">
        <v>51805</v>
      </c>
      <c r="P307" s="24">
        <v>2193.1339020672222</v>
      </c>
      <c r="V307">
        <v>1</v>
      </c>
      <c r="W307" t="s">
        <v>33</v>
      </c>
      <c r="Y307" t="s">
        <v>33</v>
      </c>
      <c r="Z307" t="s">
        <v>34</v>
      </c>
      <c r="AA307">
        <v>1</v>
      </c>
    </row>
    <row r="308" spans="1:27" x14ac:dyDescent="0.35">
      <c r="A308" s="13">
        <v>45930</v>
      </c>
      <c r="B308">
        <v>1</v>
      </c>
      <c r="D308" t="s">
        <v>31</v>
      </c>
      <c r="E308" t="s">
        <v>32</v>
      </c>
      <c r="F308" t="s">
        <v>32</v>
      </c>
      <c r="H308" t="s">
        <v>59</v>
      </c>
      <c r="I308" t="s">
        <v>159</v>
      </c>
      <c r="K308">
        <v>194</v>
      </c>
      <c r="L308" s="13"/>
      <c r="M308" s="13">
        <v>51835</v>
      </c>
      <c r="N308" s="13">
        <v>51835</v>
      </c>
      <c r="O308" s="13">
        <v>51835</v>
      </c>
      <c r="P308" s="24">
        <v>2193.1339020672222</v>
      </c>
      <c r="V308">
        <v>1</v>
      </c>
      <c r="W308" t="s">
        <v>33</v>
      </c>
      <c r="Y308" t="s">
        <v>33</v>
      </c>
      <c r="Z308" t="s">
        <v>34</v>
      </c>
      <c r="AA308">
        <v>1</v>
      </c>
    </row>
    <row r="309" spans="1:27" x14ac:dyDescent="0.35">
      <c r="A309" s="13">
        <v>45930</v>
      </c>
      <c r="B309">
        <v>1</v>
      </c>
      <c r="D309" t="s">
        <v>31</v>
      </c>
      <c r="E309" t="s">
        <v>32</v>
      </c>
      <c r="F309" t="s">
        <v>32</v>
      </c>
      <c r="H309" t="s">
        <v>59</v>
      </c>
      <c r="I309" t="s">
        <v>159</v>
      </c>
      <c r="K309">
        <v>195</v>
      </c>
      <c r="L309" s="13"/>
      <c r="M309" s="13">
        <v>51866</v>
      </c>
      <c r="N309" s="13">
        <v>51866</v>
      </c>
      <c r="O309" s="13">
        <v>51866</v>
      </c>
      <c r="P309" s="24">
        <v>2193.1339020672222</v>
      </c>
      <c r="V309">
        <v>1</v>
      </c>
      <c r="W309" t="s">
        <v>33</v>
      </c>
      <c r="Y309" t="s">
        <v>33</v>
      </c>
      <c r="Z309" t="s">
        <v>34</v>
      </c>
      <c r="AA309">
        <v>1</v>
      </c>
    </row>
    <row r="310" spans="1:27" x14ac:dyDescent="0.35">
      <c r="A310" s="13">
        <v>45930</v>
      </c>
      <c r="B310">
        <v>1</v>
      </c>
      <c r="D310" t="s">
        <v>31</v>
      </c>
      <c r="E310" t="s">
        <v>32</v>
      </c>
      <c r="F310" t="s">
        <v>32</v>
      </c>
      <c r="H310" t="s">
        <v>59</v>
      </c>
      <c r="I310" t="s">
        <v>159</v>
      </c>
      <c r="K310">
        <v>196</v>
      </c>
      <c r="L310" s="13"/>
      <c r="M310" s="13">
        <v>51897</v>
      </c>
      <c r="N310" s="13">
        <v>51897</v>
      </c>
      <c r="O310" s="13">
        <v>51897</v>
      </c>
      <c r="P310" s="24">
        <v>2193.1339020672222</v>
      </c>
      <c r="V310">
        <v>1</v>
      </c>
      <c r="W310" t="s">
        <v>33</v>
      </c>
      <c r="Y310" t="s">
        <v>33</v>
      </c>
      <c r="Z310" t="s">
        <v>34</v>
      </c>
      <c r="AA310">
        <v>1</v>
      </c>
    </row>
    <row r="311" spans="1:27" x14ac:dyDescent="0.35">
      <c r="A311" s="13">
        <v>45930</v>
      </c>
      <c r="B311">
        <v>1</v>
      </c>
      <c r="D311" t="s">
        <v>31</v>
      </c>
      <c r="E311" t="s">
        <v>32</v>
      </c>
      <c r="F311" t="s">
        <v>32</v>
      </c>
      <c r="H311" t="s">
        <v>59</v>
      </c>
      <c r="I311" t="s">
        <v>159</v>
      </c>
      <c r="K311">
        <v>197</v>
      </c>
      <c r="L311" s="13"/>
      <c r="M311" s="13">
        <v>51925</v>
      </c>
      <c r="N311" s="13">
        <v>51925</v>
      </c>
      <c r="O311" s="13">
        <v>51925</v>
      </c>
      <c r="P311" s="24">
        <v>2193.1339020672222</v>
      </c>
      <c r="V311">
        <v>1</v>
      </c>
      <c r="W311" t="s">
        <v>33</v>
      </c>
      <c r="Y311" t="s">
        <v>33</v>
      </c>
      <c r="Z311" t="s">
        <v>34</v>
      </c>
      <c r="AA311">
        <v>1</v>
      </c>
    </row>
    <row r="312" spans="1:27" x14ac:dyDescent="0.35">
      <c r="A312" s="13">
        <v>45930</v>
      </c>
      <c r="B312">
        <v>1</v>
      </c>
      <c r="D312" t="s">
        <v>31</v>
      </c>
      <c r="E312" t="s">
        <v>32</v>
      </c>
      <c r="F312" t="s">
        <v>32</v>
      </c>
      <c r="H312" t="s">
        <v>59</v>
      </c>
      <c r="I312" t="s">
        <v>159</v>
      </c>
      <c r="K312">
        <v>198</v>
      </c>
      <c r="L312" s="13"/>
      <c r="M312" s="13">
        <v>51956</v>
      </c>
      <c r="N312" s="13">
        <v>51956</v>
      </c>
      <c r="O312" s="13">
        <v>51956</v>
      </c>
      <c r="P312" s="24">
        <v>2193.1339020672222</v>
      </c>
      <c r="V312">
        <v>1</v>
      </c>
      <c r="W312" t="s">
        <v>33</v>
      </c>
      <c r="Y312" t="s">
        <v>33</v>
      </c>
      <c r="Z312" t="s">
        <v>34</v>
      </c>
      <c r="AA312">
        <v>1</v>
      </c>
    </row>
    <row r="313" spans="1:27" x14ac:dyDescent="0.35">
      <c r="A313" s="13">
        <v>45930</v>
      </c>
      <c r="B313">
        <v>1</v>
      </c>
      <c r="D313" t="s">
        <v>31</v>
      </c>
      <c r="E313" t="s">
        <v>32</v>
      </c>
      <c r="F313" t="s">
        <v>32</v>
      </c>
      <c r="H313" t="s">
        <v>59</v>
      </c>
      <c r="I313" t="s">
        <v>159</v>
      </c>
      <c r="K313">
        <v>199</v>
      </c>
      <c r="L313" s="13"/>
      <c r="M313" s="13">
        <v>51986</v>
      </c>
      <c r="N313" s="13">
        <v>51986</v>
      </c>
      <c r="O313" s="13">
        <v>51986</v>
      </c>
      <c r="P313" s="24">
        <v>2193.1339020672222</v>
      </c>
      <c r="V313">
        <v>1</v>
      </c>
      <c r="W313" t="s">
        <v>33</v>
      </c>
      <c r="Y313" t="s">
        <v>33</v>
      </c>
      <c r="Z313" t="s">
        <v>34</v>
      </c>
      <c r="AA313">
        <v>1</v>
      </c>
    </row>
    <row r="314" spans="1:27" x14ac:dyDescent="0.35">
      <c r="A314" s="13">
        <v>45930</v>
      </c>
      <c r="B314">
        <v>1</v>
      </c>
      <c r="D314" t="s">
        <v>31</v>
      </c>
      <c r="E314" t="s">
        <v>32</v>
      </c>
      <c r="F314" t="s">
        <v>32</v>
      </c>
      <c r="H314" t="s">
        <v>59</v>
      </c>
      <c r="I314" t="s">
        <v>159</v>
      </c>
      <c r="K314">
        <v>200</v>
      </c>
      <c r="L314" s="13"/>
      <c r="M314" s="13">
        <v>52017</v>
      </c>
      <c r="N314" s="13">
        <v>52017</v>
      </c>
      <c r="O314" s="13">
        <v>52017</v>
      </c>
      <c r="P314" s="24">
        <v>2193.1339020672222</v>
      </c>
      <c r="V314">
        <v>1</v>
      </c>
      <c r="W314" t="s">
        <v>33</v>
      </c>
      <c r="Y314" t="s">
        <v>33</v>
      </c>
      <c r="Z314" t="s">
        <v>34</v>
      </c>
      <c r="AA314">
        <v>1</v>
      </c>
    </row>
    <row r="315" spans="1:27" x14ac:dyDescent="0.35">
      <c r="A315" s="13">
        <v>45930</v>
      </c>
      <c r="B315">
        <v>1</v>
      </c>
      <c r="D315" t="s">
        <v>31</v>
      </c>
      <c r="E315" t="s">
        <v>32</v>
      </c>
      <c r="F315" t="s">
        <v>32</v>
      </c>
      <c r="H315" t="s">
        <v>59</v>
      </c>
      <c r="I315" t="s">
        <v>159</v>
      </c>
      <c r="K315">
        <v>201</v>
      </c>
      <c r="L315" s="13"/>
      <c r="M315" s="13">
        <v>52047</v>
      </c>
      <c r="N315" s="13">
        <v>52047</v>
      </c>
      <c r="O315" s="13">
        <v>52047</v>
      </c>
      <c r="P315" s="24">
        <v>2193.1339020672222</v>
      </c>
      <c r="V315">
        <v>1</v>
      </c>
      <c r="W315" t="s">
        <v>33</v>
      </c>
      <c r="Y315" t="s">
        <v>33</v>
      </c>
      <c r="Z315" t="s">
        <v>34</v>
      </c>
      <c r="AA315">
        <v>1</v>
      </c>
    </row>
    <row r="316" spans="1:27" x14ac:dyDescent="0.35">
      <c r="A316" s="13">
        <v>45930</v>
      </c>
      <c r="B316">
        <v>1</v>
      </c>
      <c r="D316" t="s">
        <v>31</v>
      </c>
      <c r="E316" t="s">
        <v>32</v>
      </c>
      <c r="F316" t="s">
        <v>32</v>
      </c>
      <c r="H316" t="s">
        <v>59</v>
      </c>
      <c r="I316" t="s">
        <v>159</v>
      </c>
      <c r="K316">
        <v>202</v>
      </c>
      <c r="L316" s="13"/>
      <c r="M316" s="13">
        <v>52078</v>
      </c>
      <c r="N316" s="13">
        <v>52078</v>
      </c>
      <c r="O316" s="13">
        <v>52078</v>
      </c>
      <c r="P316" s="24">
        <v>2193.1339020672222</v>
      </c>
      <c r="V316">
        <v>1</v>
      </c>
      <c r="W316" t="s">
        <v>33</v>
      </c>
      <c r="Y316" t="s">
        <v>33</v>
      </c>
      <c r="Z316" t="s">
        <v>34</v>
      </c>
      <c r="AA316">
        <v>1</v>
      </c>
    </row>
    <row r="317" spans="1:27" x14ac:dyDescent="0.35">
      <c r="A317" s="13">
        <v>45930</v>
      </c>
      <c r="B317">
        <v>1</v>
      </c>
      <c r="D317" t="s">
        <v>31</v>
      </c>
      <c r="E317" t="s">
        <v>32</v>
      </c>
      <c r="F317" t="s">
        <v>32</v>
      </c>
      <c r="H317" t="s">
        <v>59</v>
      </c>
      <c r="I317" t="s">
        <v>159</v>
      </c>
      <c r="K317">
        <v>203</v>
      </c>
      <c r="L317" s="13"/>
      <c r="M317" s="13">
        <v>52109</v>
      </c>
      <c r="N317" s="13">
        <v>52109</v>
      </c>
      <c r="O317" s="13">
        <v>52109</v>
      </c>
      <c r="P317" s="24">
        <v>2193.1339020672222</v>
      </c>
      <c r="V317">
        <v>1</v>
      </c>
      <c r="W317" t="s">
        <v>33</v>
      </c>
      <c r="Y317" t="s">
        <v>33</v>
      </c>
      <c r="Z317" t="s">
        <v>34</v>
      </c>
      <c r="AA317">
        <v>1</v>
      </c>
    </row>
    <row r="318" spans="1:27" x14ac:dyDescent="0.35">
      <c r="A318" s="13">
        <v>45930</v>
      </c>
      <c r="B318">
        <v>1</v>
      </c>
      <c r="D318" t="s">
        <v>31</v>
      </c>
      <c r="E318" t="s">
        <v>32</v>
      </c>
      <c r="F318" t="s">
        <v>32</v>
      </c>
      <c r="H318" t="s">
        <v>59</v>
      </c>
      <c r="I318" t="s">
        <v>159</v>
      </c>
      <c r="K318">
        <v>204</v>
      </c>
      <c r="L318" s="13"/>
      <c r="M318" s="13">
        <v>52139</v>
      </c>
      <c r="N318" s="13">
        <v>52139</v>
      </c>
      <c r="O318" s="13">
        <v>52139</v>
      </c>
      <c r="P318" s="24">
        <v>2193.1339020672222</v>
      </c>
      <c r="V318">
        <v>1</v>
      </c>
      <c r="W318" t="s">
        <v>33</v>
      </c>
      <c r="Y318" t="s">
        <v>33</v>
      </c>
      <c r="Z318" t="s">
        <v>34</v>
      </c>
      <c r="AA318">
        <v>1</v>
      </c>
    </row>
    <row r="319" spans="1:27" x14ac:dyDescent="0.35">
      <c r="A319" s="13">
        <v>45930</v>
      </c>
      <c r="B319">
        <v>1</v>
      </c>
      <c r="D319" t="s">
        <v>31</v>
      </c>
      <c r="E319" t="s">
        <v>32</v>
      </c>
      <c r="F319" t="s">
        <v>32</v>
      </c>
      <c r="H319" t="s">
        <v>59</v>
      </c>
      <c r="I319" t="s">
        <v>159</v>
      </c>
      <c r="K319">
        <v>205</v>
      </c>
      <c r="L319" s="13"/>
      <c r="M319" s="13">
        <v>52170</v>
      </c>
      <c r="N319" s="13">
        <v>52170</v>
      </c>
      <c r="O319" s="13">
        <v>52170</v>
      </c>
      <c r="P319" s="24">
        <v>1123.5902282867341</v>
      </c>
      <c r="V319">
        <v>1</v>
      </c>
      <c r="W319" t="s">
        <v>33</v>
      </c>
      <c r="Y319" t="s">
        <v>33</v>
      </c>
      <c r="Z319" t="s">
        <v>34</v>
      </c>
      <c r="AA319">
        <v>1</v>
      </c>
    </row>
    <row r="320" spans="1:27" x14ac:dyDescent="0.35">
      <c r="A320" s="13">
        <v>45930</v>
      </c>
      <c r="B320">
        <v>1</v>
      </c>
      <c r="D320" t="s">
        <v>31</v>
      </c>
      <c r="E320" t="s">
        <v>32</v>
      </c>
      <c r="F320" t="s">
        <v>32</v>
      </c>
      <c r="H320" t="s">
        <v>59</v>
      </c>
      <c r="I320" t="s">
        <v>159</v>
      </c>
      <c r="K320">
        <v>206</v>
      </c>
      <c r="L320" s="13"/>
      <c r="M320" s="13">
        <v>52200</v>
      </c>
      <c r="N320" s="13">
        <v>52200</v>
      </c>
      <c r="O320" s="13">
        <v>52200</v>
      </c>
      <c r="P320" s="24">
        <v>0</v>
      </c>
      <c r="V320">
        <v>1</v>
      </c>
      <c r="W320" t="s">
        <v>33</v>
      </c>
      <c r="Y320" t="s">
        <v>33</v>
      </c>
      <c r="Z320" t="s">
        <v>34</v>
      </c>
      <c r="AA320">
        <v>1</v>
      </c>
    </row>
    <row r="321" spans="1:27" x14ac:dyDescent="0.35">
      <c r="A321" s="13">
        <v>45930</v>
      </c>
      <c r="B321">
        <v>1</v>
      </c>
      <c r="D321" t="s">
        <v>31</v>
      </c>
      <c r="E321" t="s">
        <v>32</v>
      </c>
      <c r="F321" t="s">
        <v>32</v>
      </c>
      <c r="H321" t="s">
        <v>59</v>
      </c>
      <c r="I321" t="s">
        <v>159</v>
      </c>
      <c r="K321">
        <v>207</v>
      </c>
      <c r="L321" s="13"/>
      <c r="M321" s="13">
        <v>52231</v>
      </c>
      <c r="N321" s="13">
        <v>52231</v>
      </c>
      <c r="O321" s="13">
        <v>52231</v>
      </c>
      <c r="P321" s="24">
        <v>0</v>
      </c>
      <c r="V321">
        <v>1</v>
      </c>
      <c r="W321" t="s">
        <v>33</v>
      </c>
      <c r="Y321" t="s">
        <v>33</v>
      </c>
      <c r="Z321" t="s">
        <v>34</v>
      </c>
      <c r="AA321">
        <v>1</v>
      </c>
    </row>
    <row r="322" spans="1:27" x14ac:dyDescent="0.35">
      <c r="A322" s="13">
        <v>45930</v>
      </c>
      <c r="B322">
        <v>1</v>
      </c>
      <c r="D322" t="s">
        <v>31</v>
      </c>
      <c r="E322" t="s">
        <v>32</v>
      </c>
      <c r="F322" t="s">
        <v>32</v>
      </c>
      <c r="H322" t="s">
        <v>59</v>
      </c>
      <c r="I322" t="s">
        <v>159</v>
      </c>
      <c r="K322">
        <v>208</v>
      </c>
      <c r="L322" s="13"/>
      <c r="M322" s="13">
        <v>52262</v>
      </c>
      <c r="N322" s="13">
        <v>52262</v>
      </c>
      <c r="O322" s="13">
        <v>52262</v>
      </c>
      <c r="P322" s="24">
        <v>0</v>
      </c>
      <c r="V322">
        <v>1</v>
      </c>
      <c r="W322" t="s">
        <v>33</v>
      </c>
      <c r="Y322" t="s">
        <v>33</v>
      </c>
      <c r="Z322" t="s">
        <v>34</v>
      </c>
      <c r="AA322">
        <v>1</v>
      </c>
    </row>
    <row r="323" spans="1:27" x14ac:dyDescent="0.35">
      <c r="A323" s="13">
        <v>45930</v>
      </c>
      <c r="B323">
        <v>1</v>
      </c>
      <c r="D323" t="s">
        <v>31</v>
      </c>
      <c r="E323" t="s">
        <v>32</v>
      </c>
      <c r="F323" t="s">
        <v>32</v>
      </c>
      <c r="H323" t="s">
        <v>59</v>
      </c>
      <c r="I323" t="s">
        <v>159</v>
      </c>
      <c r="K323">
        <v>209</v>
      </c>
      <c r="L323" s="13"/>
      <c r="M323" s="13">
        <v>52290</v>
      </c>
      <c r="N323" s="13">
        <v>52290</v>
      </c>
      <c r="O323" s="13">
        <v>52290</v>
      </c>
      <c r="P323" s="24">
        <v>0</v>
      </c>
      <c r="V323">
        <v>1</v>
      </c>
      <c r="W323" t="s">
        <v>33</v>
      </c>
      <c r="Y323" t="s">
        <v>33</v>
      </c>
      <c r="Z323" t="s">
        <v>34</v>
      </c>
      <c r="AA323">
        <v>1</v>
      </c>
    </row>
    <row r="324" spans="1:27" x14ac:dyDescent="0.35">
      <c r="A324" s="13">
        <v>45930</v>
      </c>
      <c r="B324">
        <v>1</v>
      </c>
      <c r="D324" t="s">
        <v>31</v>
      </c>
      <c r="E324" t="s">
        <v>32</v>
      </c>
      <c r="F324" t="s">
        <v>32</v>
      </c>
      <c r="H324" t="s">
        <v>59</v>
      </c>
      <c r="I324" t="s">
        <v>159</v>
      </c>
      <c r="K324">
        <v>210</v>
      </c>
      <c r="L324" s="13"/>
      <c r="M324" s="13">
        <v>52321</v>
      </c>
      <c r="N324" s="13">
        <v>52321</v>
      </c>
      <c r="O324" s="13">
        <v>52321</v>
      </c>
      <c r="P324" s="24">
        <v>0</v>
      </c>
      <c r="V324">
        <v>1</v>
      </c>
      <c r="W324" t="s">
        <v>33</v>
      </c>
      <c r="Y324" t="s">
        <v>33</v>
      </c>
      <c r="Z324" t="s">
        <v>34</v>
      </c>
      <c r="AA324">
        <v>1</v>
      </c>
    </row>
    <row r="325" spans="1:27" x14ac:dyDescent="0.35">
      <c r="A325" s="13">
        <v>45930</v>
      </c>
      <c r="B325">
        <v>1</v>
      </c>
      <c r="D325" t="s">
        <v>31</v>
      </c>
      <c r="E325" t="s">
        <v>32</v>
      </c>
      <c r="F325" t="s">
        <v>32</v>
      </c>
      <c r="H325" t="s">
        <v>59</v>
      </c>
      <c r="I325" t="s">
        <v>159</v>
      </c>
      <c r="K325">
        <v>211</v>
      </c>
      <c r="L325" s="13"/>
      <c r="M325" s="13">
        <v>52351</v>
      </c>
      <c r="N325" s="13">
        <v>52351</v>
      </c>
      <c r="O325" s="13">
        <v>52351</v>
      </c>
      <c r="P325" s="24">
        <v>0</v>
      </c>
      <c r="V325">
        <v>1</v>
      </c>
      <c r="W325" t="s">
        <v>33</v>
      </c>
      <c r="Y325" t="s">
        <v>33</v>
      </c>
      <c r="Z325" t="s">
        <v>34</v>
      </c>
      <c r="AA325">
        <v>1</v>
      </c>
    </row>
    <row r="326" spans="1:27" x14ac:dyDescent="0.35">
      <c r="A326" s="13">
        <v>45930</v>
      </c>
      <c r="B326">
        <v>1</v>
      </c>
      <c r="D326" t="s">
        <v>31</v>
      </c>
      <c r="E326" t="s">
        <v>32</v>
      </c>
      <c r="F326" t="s">
        <v>32</v>
      </c>
      <c r="H326" t="s">
        <v>59</v>
      </c>
      <c r="I326" t="s">
        <v>159</v>
      </c>
      <c r="K326">
        <v>212</v>
      </c>
      <c r="L326" s="13"/>
      <c r="M326" s="13">
        <v>52382</v>
      </c>
      <c r="N326" s="13">
        <v>52382</v>
      </c>
      <c r="O326" s="13">
        <v>52382</v>
      </c>
      <c r="P326" s="24">
        <v>0</v>
      </c>
      <c r="V326">
        <v>1</v>
      </c>
      <c r="W326" t="s">
        <v>33</v>
      </c>
      <c r="Y326" t="s">
        <v>33</v>
      </c>
      <c r="Z326" t="s">
        <v>34</v>
      </c>
      <c r="AA326">
        <v>1</v>
      </c>
    </row>
    <row r="327" spans="1:27" x14ac:dyDescent="0.35">
      <c r="A327" s="13">
        <v>45930</v>
      </c>
      <c r="B327">
        <v>1</v>
      </c>
      <c r="D327" t="s">
        <v>31</v>
      </c>
      <c r="E327" t="s">
        <v>32</v>
      </c>
      <c r="F327" t="s">
        <v>32</v>
      </c>
      <c r="H327" t="s">
        <v>59</v>
      </c>
      <c r="I327" t="s">
        <v>158</v>
      </c>
      <c r="K327">
        <v>213</v>
      </c>
      <c r="L327" s="13"/>
      <c r="M327" s="13">
        <v>52412</v>
      </c>
      <c r="N327" s="13">
        <v>52412</v>
      </c>
      <c r="O327" s="13">
        <v>52412</v>
      </c>
      <c r="P327" s="24">
        <v>0</v>
      </c>
      <c r="V327">
        <v>1</v>
      </c>
      <c r="W327" t="s">
        <v>33</v>
      </c>
      <c r="Y327" t="s">
        <v>33</v>
      </c>
      <c r="Z327" t="s">
        <v>34</v>
      </c>
      <c r="AA327">
        <v>1</v>
      </c>
    </row>
    <row r="328" spans="1:27" x14ac:dyDescent="0.35">
      <c r="A328" s="13">
        <v>45930</v>
      </c>
      <c r="B328">
        <v>1</v>
      </c>
      <c r="D328" t="s">
        <v>31</v>
      </c>
      <c r="E328" t="s">
        <v>32</v>
      </c>
      <c r="F328" t="s">
        <v>32</v>
      </c>
      <c r="H328" t="s">
        <v>59</v>
      </c>
      <c r="I328" t="s">
        <v>158</v>
      </c>
      <c r="K328">
        <v>214</v>
      </c>
      <c r="L328" s="13"/>
      <c r="M328" s="13">
        <v>52443</v>
      </c>
      <c r="N328" s="13">
        <v>52443</v>
      </c>
      <c r="O328" s="13">
        <v>52443</v>
      </c>
      <c r="P328" s="24">
        <v>0</v>
      </c>
      <c r="V328">
        <v>1</v>
      </c>
      <c r="W328" t="s">
        <v>33</v>
      </c>
      <c r="Y328" t="s">
        <v>33</v>
      </c>
      <c r="Z328" t="s">
        <v>34</v>
      </c>
      <c r="AA328">
        <v>1</v>
      </c>
    </row>
    <row r="329" spans="1:27" x14ac:dyDescent="0.35">
      <c r="A329" s="13">
        <v>45930</v>
      </c>
      <c r="B329">
        <v>1</v>
      </c>
      <c r="D329" t="s">
        <v>31</v>
      </c>
      <c r="E329" t="s">
        <v>32</v>
      </c>
      <c r="F329" t="s">
        <v>32</v>
      </c>
      <c r="H329" t="s">
        <v>59</v>
      </c>
      <c r="I329" t="s">
        <v>158</v>
      </c>
      <c r="K329">
        <v>215</v>
      </c>
      <c r="L329" s="13"/>
      <c r="M329" s="13">
        <v>52474</v>
      </c>
      <c r="N329" s="13">
        <v>52474</v>
      </c>
      <c r="O329" s="13">
        <v>52474</v>
      </c>
      <c r="P329" s="24">
        <v>0</v>
      </c>
      <c r="V329">
        <v>1</v>
      </c>
      <c r="W329" t="s">
        <v>33</v>
      </c>
      <c r="Y329" t="s">
        <v>33</v>
      </c>
      <c r="Z329" t="s">
        <v>34</v>
      </c>
      <c r="AA329">
        <v>1</v>
      </c>
    </row>
    <row r="330" spans="1:27" x14ac:dyDescent="0.35">
      <c r="A330" s="13">
        <v>45930</v>
      </c>
      <c r="B330">
        <v>1</v>
      </c>
      <c r="D330" t="s">
        <v>31</v>
      </c>
      <c r="E330" t="s">
        <v>32</v>
      </c>
      <c r="F330" t="s">
        <v>32</v>
      </c>
      <c r="H330" t="s">
        <v>59</v>
      </c>
      <c r="I330" t="s">
        <v>158</v>
      </c>
      <c r="K330">
        <v>216</v>
      </c>
      <c r="L330" s="13"/>
      <c r="M330" s="13">
        <v>52504</v>
      </c>
      <c r="N330" s="13">
        <v>52504</v>
      </c>
      <c r="O330" s="13">
        <v>52504</v>
      </c>
      <c r="P330" s="24">
        <v>0</v>
      </c>
      <c r="V330">
        <v>1</v>
      </c>
      <c r="W330" t="s">
        <v>33</v>
      </c>
      <c r="Y330" t="s">
        <v>33</v>
      </c>
      <c r="Z330" t="s">
        <v>34</v>
      </c>
      <c r="AA330">
        <v>1</v>
      </c>
    </row>
    <row r="331" spans="1:27" x14ac:dyDescent="0.35">
      <c r="A331" s="13">
        <v>45930</v>
      </c>
      <c r="B331">
        <v>1</v>
      </c>
      <c r="D331" t="s">
        <v>31</v>
      </c>
      <c r="E331" t="s">
        <v>32</v>
      </c>
      <c r="F331" t="s">
        <v>32</v>
      </c>
      <c r="H331" t="s">
        <v>59</v>
      </c>
      <c r="I331" t="s">
        <v>158</v>
      </c>
      <c r="K331">
        <v>217</v>
      </c>
      <c r="L331" s="13"/>
      <c r="M331" s="13">
        <v>52535</v>
      </c>
      <c r="N331" s="13">
        <v>52535</v>
      </c>
      <c r="O331" s="13">
        <v>52535</v>
      </c>
      <c r="P331" s="24">
        <v>0</v>
      </c>
      <c r="V331">
        <v>1</v>
      </c>
      <c r="W331" t="s">
        <v>33</v>
      </c>
      <c r="Y331" t="s">
        <v>33</v>
      </c>
      <c r="Z331" t="s">
        <v>34</v>
      </c>
      <c r="AA331">
        <v>1</v>
      </c>
    </row>
    <row r="332" spans="1:27" x14ac:dyDescent="0.35">
      <c r="A332" s="13">
        <v>45930</v>
      </c>
      <c r="B332">
        <v>1</v>
      </c>
      <c r="D332" t="s">
        <v>31</v>
      </c>
      <c r="E332" t="s">
        <v>32</v>
      </c>
      <c r="F332" t="s">
        <v>32</v>
      </c>
      <c r="H332" t="s">
        <v>59</v>
      </c>
      <c r="I332" t="s">
        <v>158</v>
      </c>
      <c r="K332">
        <v>218</v>
      </c>
      <c r="L332" s="13"/>
      <c r="M332" s="13">
        <v>52565</v>
      </c>
      <c r="N332" s="13">
        <v>52565</v>
      </c>
      <c r="O332" s="13">
        <v>52565</v>
      </c>
      <c r="P332" s="24">
        <v>0</v>
      </c>
      <c r="V332">
        <v>1</v>
      </c>
      <c r="W332" t="s">
        <v>33</v>
      </c>
      <c r="Y332" t="s">
        <v>33</v>
      </c>
      <c r="Z332" t="s">
        <v>34</v>
      </c>
      <c r="AA332">
        <v>1</v>
      </c>
    </row>
    <row r="333" spans="1:27" x14ac:dyDescent="0.35">
      <c r="A333" s="13">
        <v>45930</v>
      </c>
      <c r="B333">
        <v>1</v>
      </c>
      <c r="D333" t="s">
        <v>31</v>
      </c>
      <c r="E333" t="s">
        <v>32</v>
      </c>
      <c r="F333" t="s">
        <v>32</v>
      </c>
      <c r="H333" t="s">
        <v>59</v>
      </c>
      <c r="I333" t="s">
        <v>158</v>
      </c>
      <c r="K333">
        <v>219</v>
      </c>
      <c r="L333" s="13"/>
      <c r="M333" s="13">
        <v>52596</v>
      </c>
      <c r="N333" s="13">
        <v>52596</v>
      </c>
      <c r="O333" s="13">
        <v>52596</v>
      </c>
      <c r="P333" s="24">
        <v>0</v>
      </c>
      <c r="V333">
        <v>1</v>
      </c>
      <c r="W333" t="s">
        <v>33</v>
      </c>
      <c r="Y333" t="s">
        <v>33</v>
      </c>
      <c r="Z333" t="s">
        <v>34</v>
      </c>
      <c r="AA333">
        <v>1</v>
      </c>
    </row>
    <row r="334" spans="1:27" x14ac:dyDescent="0.35">
      <c r="A334" s="13">
        <v>45930</v>
      </c>
      <c r="B334">
        <v>1</v>
      </c>
      <c r="D334" t="s">
        <v>31</v>
      </c>
      <c r="E334" t="s">
        <v>32</v>
      </c>
      <c r="F334" t="s">
        <v>32</v>
      </c>
      <c r="H334" t="s">
        <v>59</v>
      </c>
      <c r="I334" t="s">
        <v>158</v>
      </c>
      <c r="K334">
        <v>220</v>
      </c>
      <c r="L334" s="13"/>
      <c r="M334" s="13">
        <v>52627</v>
      </c>
      <c r="N334" s="13">
        <v>52627</v>
      </c>
      <c r="O334" s="13">
        <v>52627</v>
      </c>
      <c r="P334" s="24">
        <v>0</v>
      </c>
      <c r="V334">
        <v>1</v>
      </c>
      <c r="W334" t="s">
        <v>33</v>
      </c>
      <c r="Y334" t="s">
        <v>33</v>
      </c>
      <c r="Z334" t="s">
        <v>34</v>
      </c>
      <c r="AA334">
        <v>1</v>
      </c>
    </row>
    <row r="335" spans="1:27" x14ac:dyDescent="0.35">
      <c r="A335" s="13">
        <v>45930</v>
      </c>
      <c r="B335">
        <v>1</v>
      </c>
      <c r="D335" t="s">
        <v>31</v>
      </c>
      <c r="E335" t="s">
        <v>32</v>
      </c>
      <c r="F335" t="s">
        <v>32</v>
      </c>
      <c r="H335" t="s">
        <v>59</v>
      </c>
      <c r="I335" t="s">
        <v>158</v>
      </c>
      <c r="K335">
        <v>221</v>
      </c>
      <c r="L335" s="13"/>
      <c r="M335" s="13">
        <v>52656</v>
      </c>
      <c r="N335" s="13">
        <v>52656</v>
      </c>
      <c r="O335" s="13">
        <v>52656</v>
      </c>
      <c r="P335" s="24">
        <v>0</v>
      </c>
      <c r="V335">
        <v>1</v>
      </c>
      <c r="W335" t="s">
        <v>33</v>
      </c>
      <c r="Y335" t="s">
        <v>33</v>
      </c>
      <c r="Z335" t="s">
        <v>34</v>
      </c>
      <c r="AA335">
        <v>1</v>
      </c>
    </row>
    <row r="336" spans="1:27" x14ac:dyDescent="0.35">
      <c r="A336" s="13">
        <v>45930</v>
      </c>
      <c r="B336">
        <v>1</v>
      </c>
      <c r="D336" t="s">
        <v>31</v>
      </c>
      <c r="E336" t="s">
        <v>32</v>
      </c>
      <c r="F336" t="s">
        <v>32</v>
      </c>
      <c r="H336" t="s">
        <v>59</v>
      </c>
      <c r="I336" t="s">
        <v>158</v>
      </c>
      <c r="K336">
        <v>222</v>
      </c>
      <c r="L336" s="13"/>
      <c r="M336" s="13">
        <v>52687</v>
      </c>
      <c r="N336" s="13">
        <v>52687</v>
      </c>
      <c r="O336" s="13">
        <v>52687</v>
      </c>
      <c r="P336" s="24">
        <v>0</v>
      </c>
      <c r="V336">
        <v>1</v>
      </c>
      <c r="W336" t="s">
        <v>33</v>
      </c>
      <c r="Y336" t="s">
        <v>33</v>
      </c>
      <c r="Z336" t="s">
        <v>34</v>
      </c>
      <c r="AA336">
        <v>1</v>
      </c>
    </row>
    <row r="337" spans="1:27" x14ac:dyDescent="0.35">
      <c r="A337" s="13">
        <v>45930</v>
      </c>
      <c r="B337">
        <v>1</v>
      </c>
      <c r="D337" t="s">
        <v>31</v>
      </c>
      <c r="E337" t="s">
        <v>32</v>
      </c>
      <c r="F337" t="s">
        <v>32</v>
      </c>
      <c r="H337" t="s">
        <v>59</v>
      </c>
      <c r="I337" t="s">
        <v>158</v>
      </c>
      <c r="K337">
        <v>223</v>
      </c>
      <c r="L337" s="13"/>
      <c r="M337" s="13">
        <v>52717</v>
      </c>
      <c r="N337" s="13">
        <v>52717</v>
      </c>
      <c r="O337" s="13">
        <v>52717</v>
      </c>
      <c r="P337" s="24">
        <v>0</v>
      </c>
      <c r="V337">
        <v>1</v>
      </c>
      <c r="W337" t="s">
        <v>33</v>
      </c>
      <c r="Y337" t="s">
        <v>33</v>
      </c>
      <c r="Z337" t="s">
        <v>34</v>
      </c>
      <c r="AA337">
        <v>1</v>
      </c>
    </row>
    <row r="338" spans="1:27" x14ac:dyDescent="0.35">
      <c r="A338" s="13">
        <v>45930</v>
      </c>
      <c r="B338">
        <v>1</v>
      </c>
      <c r="D338" t="s">
        <v>31</v>
      </c>
      <c r="E338" t="s">
        <v>32</v>
      </c>
      <c r="F338" t="s">
        <v>32</v>
      </c>
      <c r="H338" t="s">
        <v>59</v>
      </c>
      <c r="I338" t="s">
        <v>158</v>
      </c>
      <c r="K338">
        <v>224</v>
      </c>
      <c r="L338" s="13"/>
      <c r="M338" s="13">
        <v>52748</v>
      </c>
      <c r="N338" s="13">
        <v>52748</v>
      </c>
      <c r="O338" s="13">
        <v>52748</v>
      </c>
      <c r="P338" s="24">
        <v>0</v>
      </c>
      <c r="V338">
        <v>1</v>
      </c>
      <c r="W338" t="s">
        <v>33</v>
      </c>
      <c r="Y338" t="s">
        <v>33</v>
      </c>
      <c r="Z338" t="s">
        <v>34</v>
      </c>
      <c r="AA338">
        <v>1</v>
      </c>
    </row>
    <row r="339" spans="1:27" x14ac:dyDescent="0.35">
      <c r="A339" s="13">
        <v>45930</v>
      </c>
      <c r="B339">
        <v>1</v>
      </c>
      <c r="D339" t="s">
        <v>31</v>
      </c>
      <c r="E339" t="s">
        <v>32</v>
      </c>
      <c r="F339" t="s">
        <v>32</v>
      </c>
      <c r="H339" t="s">
        <v>59</v>
      </c>
      <c r="I339" t="s">
        <v>158</v>
      </c>
      <c r="K339">
        <v>225</v>
      </c>
      <c r="L339" s="13"/>
      <c r="M339" s="13">
        <v>52778</v>
      </c>
      <c r="N339" s="13">
        <v>52778</v>
      </c>
      <c r="O339" s="13">
        <v>52778</v>
      </c>
      <c r="P339" s="24">
        <v>0</v>
      </c>
      <c r="V339">
        <v>1</v>
      </c>
      <c r="W339" t="s">
        <v>33</v>
      </c>
      <c r="Y339" t="s">
        <v>33</v>
      </c>
      <c r="Z339" t="s">
        <v>34</v>
      </c>
      <c r="AA339">
        <v>1</v>
      </c>
    </row>
    <row r="340" spans="1:27" x14ac:dyDescent="0.35">
      <c r="A340" s="13">
        <v>45930</v>
      </c>
      <c r="B340">
        <v>1</v>
      </c>
      <c r="D340" t="s">
        <v>31</v>
      </c>
      <c r="E340" t="s">
        <v>32</v>
      </c>
      <c r="F340" t="s">
        <v>32</v>
      </c>
      <c r="H340" t="s">
        <v>59</v>
      </c>
      <c r="I340" t="s">
        <v>158</v>
      </c>
      <c r="K340">
        <v>226</v>
      </c>
      <c r="L340" s="13"/>
      <c r="M340" s="13">
        <v>52809</v>
      </c>
      <c r="N340" s="13">
        <v>52809</v>
      </c>
      <c r="O340" s="13">
        <v>52809</v>
      </c>
      <c r="P340" s="24">
        <v>0</v>
      </c>
      <c r="V340">
        <v>1</v>
      </c>
      <c r="W340" t="s">
        <v>33</v>
      </c>
      <c r="Y340" t="s">
        <v>33</v>
      </c>
      <c r="Z340" t="s">
        <v>34</v>
      </c>
      <c r="AA340">
        <v>1</v>
      </c>
    </row>
    <row r="341" spans="1:27" x14ac:dyDescent="0.35">
      <c r="A341" s="13">
        <v>45930</v>
      </c>
      <c r="B341">
        <v>1</v>
      </c>
      <c r="D341" t="s">
        <v>31</v>
      </c>
      <c r="E341" t="s">
        <v>32</v>
      </c>
      <c r="F341" t="s">
        <v>32</v>
      </c>
      <c r="H341" t="s">
        <v>59</v>
      </c>
      <c r="I341" t="s">
        <v>158</v>
      </c>
      <c r="K341">
        <v>227</v>
      </c>
      <c r="L341" s="13"/>
      <c r="M341" s="13">
        <v>52840</v>
      </c>
      <c r="N341" s="13">
        <v>52840</v>
      </c>
      <c r="O341" s="13">
        <v>52840</v>
      </c>
      <c r="P341" s="24">
        <v>0</v>
      </c>
      <c r="V341">
        <v>1</v>
      </c>
      <c r="W341" t="s">
        <v>33</v>
      </c>
      <c r="Y341" t="s">
        <v>33</v>
      </c>
      <c r="Z341" t="s">
        <v>34</v>
      </c>
      <c r="AA341">
        <v>1</v>
      </c>
    </row>
    <row r="342" spans="1:27" x14ac:dyDescent="0.35">
      <c r="A342" s="13">
        <v>45930</v>
      </c>
      <c r="B342">
        <v>1</v>
      </c>
      <c r="D342" t="s">
        <v>31</v>
      </c>
      <c r="E342" t="s">
        <v>32</v>
      </c>
      <c r="F342" t="s">
        <v>32</v>
      </c>
      <c r="H342" t="s">
        <v>59</v>
      </c>
      <c r="I342" t="s">
        <v>158</v>
      </c>
      <c r="K342">
        <v>228</v>
      </c>
      <c r="L342" s="13"/>
      <c r="M342" s="13">
        <v>52870</v>
      </c>
      <c r="N342" s="13">
        <v>52870</v>
      </c>
      <c r="O342" s="13">
        <v>52870</v>
      </c>
      <c r="P342" s="24">
        <v>0</v>
      </c>
      <c r="V342">
        <v>1</v>
      </c>
      <c r="W342" t="s">
        <v>33</v>
      </c>
      <c r="Y342" t="s">
        <v>33</v>
      </c>
      <c r="Z342" t="s">
        <v>34</v>
      </c>
      <c r="AA342">
        <v>1</v>
      </c>
    </row>
    <row r="343" spans="1:27" x14ac:dyDescent="0.35">
      <c r="A343" s="13">
        <v>45930</v>
      </c>
      <c r="B343">
        <v>1</v>
      </c>
      <c r="D343" t="s">
        <v>31</v>
      </c>
      <c r="E343" t="s">
        <v>32</v>
      </c>
      <c r="F343" t="s">
        <v>32</v>
      </c>
      <c r="H343" t="s">
        <v>59</v>
      </c>
      <c r="I343" t="s">
        <v>158</v>
      </c>
      <c r="K343">
        <v>229</v>
      </c>
      <c r="L343" s="13"/>
      <c r="M343" s="13">
        <v>52901</v>
      </c>
      <c r="N343" s="13">
        <v>52901</v>
      </c>
      <c r="O343" s="13">
        <v>52901</v>
      </c>
      <c r="P343" s="24">
        <v>0</v>
      </c>
      <c r="V343">
        <v>1</v>
      </c>
      <c r="W343" t="s">
        <v>33</v>
      </c>
      <c r="Y343" t="s">
        <v>33</v>
      </c>
      <c r="Z343" t="s">
        <v>34</v>
      </c>
      <c r="AA343">
        <v>1</v>
      </c>
    </row>
    <row r="344" spans="1:27" x14ac:dyDescent="0.35">
      <c r="A344" s="13">
        <v>45930</v>
      </c>
      <c r="B344">
        <v>1</v>
      </c>
      <c r="D344" t="s">
        <v>31</v>
      </c>
      <c r="E344" t="s">
        <v>32</v>
      </c>
      <c r="F344" t="s">
        <v>32</v>
      </c>
      <c r="H344" t="s">
        <v>59</v>
      </c>
      <c r="I344" t="s">
        <v>158</v>
      </c>
      <c r="K344">
        <v>230</v>
      </c>
      <c r="L344" s="13"/>
      <c r="M344" s="13">
        <v>52931</v>
      </c>
      <c r="N344" s="13">
        <v>52931</v>
      </c>
      <c r="O344" s="13">
        <v>52931</v>
      </c>
      <c r="P344" s="24">
        <v>0</v>
      </c>
      <c r="V344">
        <v>1</v>
      </c>
      <c r="W344" t="s">
        <v>33</v>
      </c>
      <c r="Y344" t="s">
        <v>33</v>
      </c>
      <c r="Z344" t="s">
        <v>34</v>
      </c>
      <c r="AA344">
        <v>1</v>
      </c>
    </row>
    <row r="345" spans="1:27" x14ac:dyDescent="0.35">
      <c r="A345" s="13">
        <v>45930</v>
      </c>
      <c r="B345">
        <v>1</v>
      </c>
      <c r="D345" t="s">
        <v>31</v>
      </c>
      <c r="E345" t="s">
        <v>32</v>
      </c>
      <c r="F345" t="s">
        <v>32</v>
      </c>
      <c r="H345" t="s">
        <v>59</v>
      </c>
      <c r="I345" t="s">
        <v>158</v>
      </c>
      <c r="K345">
        <v>231</v>
      </c>
      <c r="L345" s="13"/>
      <c r="M345" s="13">
        <v>52962</v>
      </c>
      <c r="N345" s="13">
        <v>52962</v>
      </c>
      <c r="O345" s="13">
        <v>52962</v>
      </c>
      <c r="P345" s="24">
        <v>0</v>
      </c>
      <c r="V345">
        <v>1</v>
      </c>
      <c r="W345" t="s">
        <v>33</v>
      </c>
      <c r="Y345" t="s">
        <v>33</v>
      </c>
      <c r="Z345" t="s">
        <v>34</v>
      </c>
      <c r="AA345">
        <v>1</v>
      </c>
    </row>
    <row r="346" spans="1:27" x14ac:dyDescent="0.35">
      <c r="A346" s="13">
        <v>45930</v>
      </c>
      <c r="B346">
        <v>1</v>
      </c>
      <c r="D346" t="s">
        <v>31</v>
      </c>
      <c r="E346" t="s">
        <v>32</v>
      </c>
      <c r="F346" t="s">
        <v>32</v>
      </c>
      <c r="H346" t="s">
        <v>59</v>
      </c>
      <c r="I346" t="s">
        <v>158</v>
      </c>
      <c r="K346">
        <v>232</v>
      </c>
      <c r="L346" s="13"/>
      <c r="M346" s="13">
        <v>52993</v>
      </c>
      <c r="N346" s="13">
        <v>52993</v>
      </c>
      <c r="O346" s="13">
        <v>52993</v>
      </c>
      <c r="P346" s="24">
        <v>0</v>
      </c>
      <c r="V346">
        <v>1</v>
      </c>
      <c r="W346" t="s">
        <v>33</v>
      </c>
      <c r="Y346" t="s">
        <v>33</v>
      </c>
      <c r="Z346" t="s">
        <v>34</v>
      </c>
      <c r="AA346">
        <v>1</v>
      </c>
    </row>
    <row r="347" spans="1:27" x14ac:dyDescent="0.35">
      <c r="A347" s="13">
        <v>45930</v>
      </c>
      <c r="B347">
        <v>1</v>
      </c>
      <c r="D347" t="s">
        <v>31</v>
      </c>
      <c r="E347" t="s">
        <v>32</v>
      </c>
      <c r="F347" t="s">
        <v>32</v>
      </c>
      <c r="H347" t="s">
        <v>59</v>
      </c>
      <c r="I347" t="s">
        <v>158</v>
      </c>
      <c r="K347">
        <v>233</v>
      </c>
      <c r="L347" s="13"/>
      <c r="M347" s="13">
        <v>53021</v>
      </c>
      <c r="N347" s="13">
        <v>53021</v>
      </c>
      <c r="O347" s="13">
        <v>53021</v>
      </c>
      <c r="P347" s="24">
        <v>0</v>
      </c>
      <c r="V347">
        <v>1</v>
      </c>
      <c r="W347" t="s">
        <v>33</v>
      </c>
      <c r="Y347" t="s">
        <v>33</v>
      </c>
      <c r="Z347" t="s">
        <v>34</v>
      </c>
      <c r="AA347">
        <v>1</v>
      </c>
    </row>
    <row r="348" spans="1:27" x14ac:dyDescent="0.35">
      <c r="A348" s="13">
        <v>45930</v>
      </c>
      <c r="B348">
        <v>1</v>
      </c>
      <c r="D348" t="s">
        <v>31</v>
      </c>
      <c r="E348" t="s">
        <v>32</v>
      </c>
      <c r="F348" t="s">
        <v>32</v>
      </c>
      <c r="H348" t="s">
        <v>59</v>
      </c>
      <c r="I348" t="s">
        <v>158</v>
      </c>
      <c r="K348">
        <v>234</v>
      </c>
      <c r="L348" s="13"/>
      <c r="M348" s="13">
        <v>53052</v>
      </c>
      <c r="N348" s="13">
        <v>53052</v>
      </c>
      <c r="O348" s="13">
        <v>53052</v>
      </c>
      <c r="P348" s="24">
        <v>0</v>
      </c>
      <c r="V348">
        <v>1</v>
      </c>
      <c r="W348" t="s">
        <v>33</v>
      </c>
      <c r="Y348" t="s">
        <v>33</v>
      </c>
      <c r="Z348" t="s">
        <v>34</v>
      </c>
      <c r="AA348">
        <v>1</v>
      </c>
    </row>
    <row r="349" spans="1:27" x14ac:dyDescent="0.35">
      <c r="A349" s="13">
        <v>45930</v>
      </c>
      <c r="B349">
        <v>1</v>
      </c>
      <c r="D349" t="s">
        <v>31</v>
      </c>
      <c r="E349" t="s">
        <v>32</v>
      </c>
      <c r="F349" t="s">
        <v>32</v>
      </c>
      <c r="H349" t="s">
        <v>59</v>
      </c>
      <c r="I349" t="s">
        <v>158</v>
      </c>
      <c r="K349">
        <v>235</v>
      </c>
      <c r="L349" s="13"/>
      <c r="M349" s="13">
        <v>53082</v>
      </c>
      <c r="N349" s="13">
        <v>53082</v>
      </c>
      <c r="O349" s="13">
        <v>53082</v>
      </c>
      <c r="P349" s="24">
        <v>0</v>
      </c>
      <c r="V349">
        <v>1</v>
      </c>
      <c r="W349" t="s">
        <v>33</v>
      </c>
      <c r="Y349" t="s">
        <v>33</v>
      </c>
      <c r="Z349" t="s">
        <v>34</v>
      </c>
      <c r="AA349">
        <v>1</v>
      </c>
    </row>
    <row r="350" spans="1:27" x14ac:dyDescent="0.35">
      <c r="A350" s="13">
        <v>45930</v>
      </c>
      <c r="B350">
        <v>1</v>
      </c>
      <c r="D350" t="s">
        <v>31</v>
      </c>
      <c r="E350" t="s">
        <v>32</v>
      </c>
      <c r="F350" t="s">
        <v>32</v>
      </c>
      <c r="H350" t="s">
        <v>59</v>
      </c>
      <c r="I350" t="s">
        <v>158</v>
      </c>
      <c r="K350">
        <v>236</v>
      </c>
      <c r="L350" s="13"/>
      <c r="M350" s="13">
        <v>53113</v>
      </c>
      <c r="N350" s="13">
        <v>53113</v>
      </c>
      <c r="O350" s="13">
        <v>53113</v>
      </c>
      <c r="P350" s="24">
        <v>0</v>
      </c>
      <c r="V350">
        <v>1</v>
      </c>
      <c r="W350" t="s">
        <v>33</v>
      </c>
      <c r="Y350" t="s">
        <v>33</v>
      </c>
      <c r="Z350" t="s">
        <v>34</v>
      </c>
      <c r="AA350">
        <v>1</v>
      </c>
    </row>
    <row r="351" spans="1:27" x14ac:dyDescent="0.35">
      <c r="A351" s="13">
        <v>45930</v>
      </c>
      <c r="B351">
        <v>1</v>
      </c>
      <c r="D351" t="s">
        <v>31</v>
      </c>
      <c r="E351" t="s">
        <v>32</v>
      </c>
      <c r="F351" t="s">
        <v>32</v>
      </c>
      <c r="H351" t="s">
        <v>59</v>
      </c>
      <c r="I351" t="s">
        <v>158</v>
      </c>
      <c r="K351">
        <v>237</v>
      </c>
      <c r="L351" s="13"/>
      <c r="M351" s="13">
        <v>53143</v>
      </c>
      <c r="N351" s="13">
        <v>53143</v>
      </c>
      <c r="O351" s="13">
        <v>53143</v>
      </c>
      <c r="P351" s="24">
        <v>0</v>
      </c>
      <c r="V351">
        <v>1</v>
      </c>
      <c r="W351" t="s">
        <v>33</v>
      </c>
      <c r="Y351" t="s">
        <v>33</v>
      </c>
      <c r="Z351" t="s">
        <v>34</v>
      </c>
      <c r="AA351">
        <v>1</v>
      </c>
    </row>
    <row r="352" spans="1:27" x14ac:dyDescent="0.35">
      <c r="A352" s="13">
        <v>45930</v>
      </c>
      <c r="B352">
        <v>1</v>
      </c>
      <c r="D352" t="s">
        <v>31</v>
      </c>
      <c r="E352" t="s">
        <v>32</v>
      </c>
      <c r="F352" t="s">
        <v>32</v>
      </c>
      <c r="H352" t="s">
        <v>59</v>
      </c>
      <c r="I352" t="s">
        <v>158</v>
      </c>
      <c r="K352">
        <v>238</v>
      </c>
      <c r="L352" s="13"/>
      <c r="M352" s="13">
        <v>53174</v>
      </c>
      <c r="N352" s="13">
        <v>53174</v>
      </c>
      <c r="O352" s="13">
        <v>53174</v>
      </c>
      <c r="P352" s="24">
        <v>0</v>
      </c>
      <c r="V352">
        <v>1</v>
      </c>
      <c r="W352" t="s">
        <v>33</v>
      </c>
      <c r="Y352" t="s">
        <v>33</v>
      </c>
      <c r="Z352" t="s">
        <v>34</v>
      </c>
      <c r="AA352">
        <v>1</v>
      </c>
    </row>
    <row r="353" spans="1:27" x14ac:dyDescent="0.35">
      <c r="A353" s="13">
        <v>45930</v>
      </c>
      <c r="B353">
        <v>1</v>
      </c>
      <c r="D353" t="s">
        <v>31</v>
      </c>
      <c r="E353" t="s">
        <v>32</v>
      </c>
      <c r="F353" t="s">
        <v>32</v>
      </c>
      <c r="H353" t="s">
        <v>59</v>
      </c>
      <c r="I353" t="s">
        <v>158</v>
      </c>
      <c r="K353">
        <v>239</v>
      </c>
      <c r="L353" s="13"/>
      <c r="M353" s="13">
        <v>53205</v>
      </c>
      <c r="N353" s="13">
        <v>53205</v>
      </c>
      <c r="O353" s="13">
        <v>53205</v>
      </c>
      <c r="P353" s="24">
        <v>0</v>
      </c>
      <c r="V353">
        <v>1</v>
      </c>
      <c r="W353" t="s">
        <v>33</v>
      </c>
      <c r="Y353" t="s">
        <v>33</v>
      </c>
      <c r="Z353" t="s">
        <v>34</v>
      </c>
      <c r="AA353">
        <v>1</v>
      </c>
    </row>
    <row r="354" spans="1:27" x14ac:dyDescent="0.35">
      <c r="A354" s="13">
        <v>45930</v>
      </c>
      <c r="B354">
        <v>1</v>
      </c>
      <c r="D354" t="s">
        <v>31</v>
      </c>
      <c r="E354" t="s">
        <v>32</v>
      </c>
      <c r="F354" t="s">
        <v>32</v>
      </c>
      <c r="H354" t="s">
        <v>59</v>
      </c>
      <c r="I354" t="s">
        <v>158</v>
      </c>
      <c r="K354">
        <v>240</v>
      </c>
      <c r="L354" s="13"/>
      <c r="M354" s="13">
        <v>53235</v>
      </c>
      <c r="N354" s="13">
        <v>53235</v>
      </c>
      <c r="O354" s="13">
        <v>53235</v>
      </c>
      <c r="P354" s="24">
        <v>0</v>
      </c>
      <c r="V354">
        <v>1</v>
      </c>
      <c r="W354" t="s">
        <v>33</v>
      </c>
      <c r="Y354" t="s">
        <v>33</v>
      </c>
      <c r="Z354" t="s">
        <v>34</v>
      </c>
      <c r="AA354">
        <v>1</v>
      </c>
    </row>
    <row r="355" spans="1:27" x14ac:dyDescent="0.35">
      <c r="A355" s="13">
        <v>45930</v>
      </c>
      <c r="B355">
        <v>1</v>
      </c>
      <c r="D355" t="s">
        <v>31</v>
      </c>
      <c r="E355" t="s">
        <v>32</v>
      </c>
      <c r="F355" t="s">
        <v>32</v>
      </c>
      <c r="H355" t="s">
        <v>59</v>
      </c>
      <c r="I355" t="s">
        <v>158</v>
      </c>
      <c r="K355">
        <v>241</v>
      </c>
      <c r="L355" s="13"/>
      <c r="M355" s="13">
        <v>53266</v>
      </c>
      <c r="N355" s="13">
        <v>53266</v>
      </c>
      <c r="O355" s="13">
        <v>53266</v>
      </c>
      <c r="P355" s="24">
        <v>0</v>
      </c>
      <c r="V355">
        <v>1</v>
      </c>
      <c r="W355" t="s">
        <v>33</v>
      </c>
      <c r="Y355" t="s">
        <v>33</v>
      </c>
      <c r="Z355" t="s">
        <v>34</v>
      </c>
      <c r="AA355">
        <v>1</v>
      </c>
    </row>
    <row r="356" spans="1:27" x14ac:dyDescent="0.35">
      <c r="A356" s="13">
        <v>45930</v>
      </c>
      <c r="B356">
        <v>1</v>
      </c>
      <c r="D356" t="s">
        <v>31</v>
      </c>
      <c r="E356" t="s">
        <v>32</v>
      </c>
      <c r="F356" t="s">
        <v>32</v>
      </c>
      <c r="H356" t="s">
        <v>59</v>
      </c>
      <c r="I356" t="s">
        <v>158</v>
      </c>
      <c r="K356">
        <v>242</v>
      </c>
      <c r="L356" s="13"/>
      <c r="M356" s="13">
        <v>53296</v>
      </c>
      <c r="N356" s="13">
        <v>53296</v>
      </c>
      <c r="O356" s="13">
        <v>53296</v>
      </c>
      <c r="P356" s="24">
        <v>0</v>
      </c>
      <c r="V356">
        <v>1</v>
      </c>
      <c r="W356" t="s">
        <v>33</v>
      </c>
      <c r="Y356" t="s">
        <v>33</v>
      </c>
      <c r="Z356" t="s">
        <v>34</v>
      </c>
      <c r="AA356">
        <v>1</v>
      </c>
    </row>
    <row r="357" spans="1:27" x14ac:dyDescent="0.35">
      <c r="A357" s="13">
        <v>45930</v>
      </c>
      <c r="B357">
        <v>1</v>
      </c>
      <c r="D357" t="s">
        <v>31</v>
      </c>
      <c r="E357" t="s">
        <v>32</v>
      </c>
      <c r="F357" t="s">
        <v>32</v>
      </c>
      <c r="H357" t="s">
        <v>59</v>
      </c>
      <c r="I357" t="s">
        <v>158</v>
      </c>
      <c r="K357">
        <v>243</v>
      </c>
      <c r="L357" s="13"/>
      <c r="M357" s="13">
        <v>53327</v>
      </c>
      <c r="N357" s="13">
        <v>53327</v>
      </c>
      <c r="O357" s="13">
        <v>53327</v>
      </c>
      <c r="P357" s="24">
        <v>0</v>
      </c>
      <c r="V357">
        <v>1</v>
      </c>
      <c r="W357" t="s">
        <v>33</v>
      </c>
      <c r="Y357" t="s">
        <v>33</v>
      </c>
      <c r="Z357" t="s">
        <v>34</v>
      </c>
      <c r="AA357">
        <v>1</v>
      </c>
    </row>
    <row r="358" spans="1:27" x14ac:dyDescent="0.35">
      <c r="A358" s="13">
        <v>45930</v>
      </c>
      <c r="B358">
        <v>1</v>
      </c>
      <c r="D358" t="s">
        <v>31</v>
      </c>
      <c r="E358" t="s">
        <v>32</v>
      </c>
      <c r="F358" t="s">
        <v>32</v>
      </c>
      <c r="H358" t="s">
        <v>59</v>
      </c>
      <c r="I358" t="s">
        <v>158</v>
      </c>
      <c r="K358">
        <v>244</v>
      </c>
      <c r="L358" s="13"/>
      <c r="M358" s="13">
        <v>53358</v>
      </c>
      <c r="N358" s="13">
        <v>53358</v>
      </c>
      <c r="O358" s="13">
        <v>53358</v>
      </c>
      <c r="P358" s="24">
        <v>0</v>
      </c>
      <c r="V358">
        <v>1</v>
      </c>
      <c r="W358" t="s">
        <v>33</v>
      </c>
      <c r="Y358" t="s">
        <v>33</v>
      </c>
      <c r="Z358" t="s">
        <v>34</v>
      </c>
      <c r="AA358">
        <v>1</v>
      </c>
    </row>
    <row r="359" spans="1:27" x14ac:dyDescent="0.35">
      <c r="A359" s="13">
        <v>45930</v>
      </c>
      <c r="B359">
        <v>1</v>
      </c>
      <c r="D359" t="s">
        <v>31</v>
      </c>
      <c r="E359" t="s">
        <v>32</v>
      </c>
      <c r="F359" t="s">
        <v>32</v>
      </c>
      <c r="H359" t="s">
        <v>59</v>
      </c>
      <c r="I359" t="s">
        <v>158</v>
      </c>
      <c r="K359">
        <v>245</v>
      </c>
      <c r="L359" s="13"/>
      <c r="M359" s="13">
        <v>53386</v>
      </c>
      <c r="N359" s="13">
        <v>53386</v>
      </c>
      <c r="O359" s="13">
        <v>53386</v>
      </c>
      <c r="P359" s="24">
        <v>0</v>
      </c>
      <c r="V359">
        <v>1</v>
      </c>
      <c r="W359" t="s">
        <v>33</v>
      </c>
      <c r="Y359" t="s">
        <v>33</v>
      </c>
      <c r="Z359" t="s">
        <v>34</v>
      </c>
      <c r="AA359">
        <v>1</v>
      </c>
    </row>
    <row r="360" spans="1:27" x14ac:dyDescent="0.35">
      <c r="A360" s="13">
        <v>45930</v>
      </c>
      <c r="B360">
        <v>1</v>
      </c>
      <c r="D360" t="s">
        <v>31</v>
      </c>
      <c r="E360" t="s">
        <v>32</v>
      </c>
      <c r="F360" t="s">
        <v>32</v>
      </c>
      <c r="H360" t="s">
        <v>59</v>
      </c>
      <c r="I360" t="s">
        <v>158</v>
      </c>
      <c r="K360">
        <v>246</v>
      </c>
      <c r="L360" s="13"/>
      <c r="M360" s="13">
        <v>53417</v>
      </c>
      <c r="N360" s="13">
        <v>53417</v>
      </c>
      <c r="O360" s="13">
        <v>53417</v>
      </c>
      <c r="P360" s="24">
        <v>0</v>
      </c>
      <c r="V360">
        <v>1</v>
      </c>
      <c r="W360" t="s">
        <v>33</v>
      </c>
      <c r="Y360" t="s">
        <v>33</v>
      </c>
      <c r="Z360" t="s">
        <v>34</v>
      </c>
      <c r="AA360">
        <v>1</v>
      </c>
    </row>
    <row r="361" spans="1:27" x14ac:dyDescent="0.35">
      <c r="A361" s="13">
        <v>45930</v>
      </c>
      <c r="B361">
        <v>1</v>
      </c>
      <c r="D361" t="s">
        <v>31</v>
      </c>
      <c r="E361" t="s">
        <v>32</v>
      </c>
      <c r="F361" t="s">
        <v>32</v>
      </c>
      <c r="H361" t="s">
        <v>59</v>
      </c>
      <c r="I361" t="s">
        <v>158</v>
      </c>
      <c r="K361">
        <v>247</v>
      </c>
      <c r="L361" s="13"/>
      <c r="M361" s="13">
        <v>53447</v>
      </c>
      <c r="N361" s="13">
        <v>53447</v>
      </c>
      <c r="O361" s="13">
        <v>53447</v>
      </c>
      <c r="P361" s="24">
        <v>0</v>
      </c>
      <c r="V361">
        <v>1</v>
      </c>
      <c r="W361" t="s">
        <v>33</v>
      </c>
      <c r="Y361" t="s">
        <v>33</v>
      </c>
      <c r="Z361" t="s">
        <v>34</v>
      </c>
      <c r="AA361">
        <v>1</v>
      </c>
    </row>
    <row r="362" spans="1:27" x14ac:dyDescent="0.35">
      <c r="A362" s="13">
        <v>45930</v>
      </c>
      <c r="B362">
        <v>1</v>
      </c>
      <c r="D362" t="s">
        <v>31</v>
      </c>
      <c r="E362" t="s">
        <v>32</v>
      </c>
      <c r="F362" t="s">
        <v>32</v>
      </c>
      <c r="H362" t="s">
        <v>59</v>
      </c>
      <c r="I362" t="s">
        <v>158</v>
      </c>
      <c r="K362">
        <v>248</v>
      </c>
      <c r="L362" s="13"/>
      <c r="M362" s="13">
        <v>53478</v>
      </c>
      <c r="N362" s="13">
        <v>53478</v>
      </c>
      <c r="O362" s="13">
        <v>53478</v>
      </c>
      <c r="P362" s="24">
        <v>0</v>
      </c>
      <c r="V362">
        <v>1</v>
      </c>
      <c r="W362" t="s">
        <v>33</v>
      </c>
      <c r="Y362" t="s">
        <v>33</v>
      </c>
      <c r="Z362" t="s">
        <v>34</v>
      </c>
      <c r="AA362">
        <v>1</v>
      </c>
    </row>
    <row r="363" spans="1:27" x14ac:dyDescent="0.35">
      <c r="A363" s="13">
        <v>45930</v>
      </c>
      <c r="B363">
        <v>1</v>
      </c>
      <c r="D363" t="s">
        <v>31</v>
      </c>
      <c r="E363" t="s">
        <v>32</v>
      </c>
      <c r="F363" t="s">
        <v>32</v>
      </c>
      <c r="H363" t="s">
        <v>59</v>
      </c>
      <c r="I363" t="s">
        <v>158</v>
      </c>
      <c r="K363">
        <v>249</v>
      </c>
      <c r="L363" s="13"/>
      <c r="M363" s="13">
        <v>53508</v>
      </c>
      <c r="N363" s="13">
        <v>53508</v>
      </c>
      <c r="O363" s="13">
        <v>53508</v>
      </c>
      <c r="P363" s="24">
        <v>0</v>
      </c>
      <c r="V363">
        <v>1</v>
      </c>
      <c r="W363" t="s">
        <v>33</v>
      </c>
      <c r="Y363" t="s">
        <v>33</v>
      </c>
      <c r="Z363" t="s">
        <v>34</v>
      </c>
      <c r="AA363">
        <v>1</v>
      </c>
    </row>
    <row r="364" spans="1:27" x14ac:dyDescent="0.35">
      <c r="A364" s="13">
        <v>45930</v>
      </c>
      <c r="B364">
        <v>1</v>
      </c>
      <c r="D364" t="s">
        <v>31</v>
      </c>
      <c r="E364" t="s">
        <v>32</v>
      </c>
      <c r="F364" t="s">
        <v>32</v>
      </c>
      <c r="H364" t="s">
        <v>59</v>
      </c>
      <c r="I364" t="s">
        <v>158</v>
      </c>
      <c r="K364">
        <v>250</v>
      </c>
      <c r="L364" s="13"/>
      <c r="M364" s="13">
        <v>53539</v>
      </c>
      <c r="N364" s="13">
        <v>53539</v>
      </c>
      <c r="O364" s="13">
        <v>53539</v>
      </c>
      <c r="P364" s="24">
        <v>0</v>
      </c>
      <c r="V364">
        <v>1</v>
      </c>
      <c r="W364" t="s">
        <v>33</v>
      </c>
      <c r="Y364" t="s">
        <v>33</v>
      </c>
      <c r="Z364" t="s">
        <v>34</v>
      </c>
      <c r="AA364">
        <v>1</v>
      </c>
    </row>
    <row r="365" spans="1:27" x14ac:dyDescent="0.35">
      <c r="A365" s="13">
        <v>45930</v>
      </c>
      <c r="B365">
        <v>1</v>
      </c>
      <c r="D365" t="s">
        <v>31</v>
      </c>
      <c r="E365" t="s">
        <v>32</v>
      </c>
      <c r="F365" t="s">
        <v>32</v>
      </c>
      <c r="H365" t="s">
        <v>59</v>
      </c>
      <c r="I365" t="s">
        <v>158</v>
      </c>
      <c r="K365">
        <v>251</v>
      </c>
      <c r="L365" s="13"/>
      <c r="M365" s="13">
        <v>53570</v>
      </c>
      <c r="N365" s="13">
        <v>53570</v>
      </c>
      <c r="O365" s="13">
        <v>53570</v>
      </c>
      <c r="P365" s="24">
        <v>0</v>
      </c>
      <c r="V365">
        <v>1</v>
      </c>
      <c r="W365" t="s">
        <v>33</v>
      </c>
      <c r="Y365" t="s">
        <v>33</v>
      </c>
      <c r="Z365" t="s">
        <v>34</v>
      </c>
      <c r="AA365">
        <v>1</v>
      </c>
    </row>
    <row r="366" spans="1:27" x14ac:dyDescent="0.35">
      <c r="A366" s="13">
        <v>45930</v>
      </c>
      <c r="B366">
        <v>1</v>
      </c>
      <c r="D366" t="s">
        <v>31</v>
      </c>
      <c r="E366" t="s">
        <v>32</v>
      </c>
      <c r="F366" t="s">
        <v>32</v>
      </c>
      <c r="H366" t="s">
        <v>59</v>
      </c>
      <c r="I366" t="s">
        <v>158</v>
      </c>
      <c r="K366">
        <v>252</v>
      </c>
      <c r="L366" s="13"/>
      <c r="M366" s="13">
        <v>53600</v>
      </c>
      <c r="N366" s="13">
        <v>53600</v>
      </c>
      <c r="O366" s="13">
        <v>53600</v>
      </c>
      <c r="P366" s="24">
        <v>0</v>
      </c>
      <c r="V366">
        <v>1</v>
      </c>
      <c r="W366" t="s">
        <v>33</v>
      </c>
      <c r="Y366" t="s">
        <v>33</v>
      </c>
      <c r="Z366" t="s">
        <v>34</v>
      </c>
      <c r="AA366">
        <v>1</v>
      </c>
    </row>
    <row r="367" spans="1:27" x14ac:dyDescent="0.35">
      <c r="A367" s="13">
        <v>45930</v>
      </c>
      <c r="B367">
        <v>1</v>
      </c>
      <c r="D367" t="s">
        <v>31</v>
      </c>
      <c r="E367" t="s">
        <v>32</v>
      </c>
      <c r="F367" t="s">
        <v>32</v>
      </c>
      <c r="H367" t="s">
        <v>59</v>
      </c>
      <c r="I367" t="s">
        <v>158</v>
      </c>
      <c r="K367">
        <v>253</v>
      </c>
      <c r="L367" s="13"/>
      <c r="M367" s="13">
        <v>53631</v>
      </c>
      <c r="N367" s="13">
        <v>53631</v>
      </c>
      <c r="O367" s="13">
        <v>53631</v>
      </c>
      <c r="P367" s="24">
        <v>0</v>
      </c>
      <c r="V367">
        <v>1</v>
      </c>
      <c r="W367" t="s">
        <v>33</v>
      </c>
      <c r="Y367" t="s">
        <v>33</v>
      </c>
      <c r="Z367" t="s">
        <v>34</v>
      </c>
      <c r="AA367">
        <v>1</v>
      </c>
    </row>
    <row r="368" spans="1:27" x14ac:dyDescent="0.35">
      <c r="A368" s="13">
        <v>45930</v>
      </c>
      <c r="B368">
        <v>1</v>
      </c>
      <c r="D368" t="s">
        <v>31</v>
      </c>
      <c r="E368" t="s">
        <v>32</v>
      </c>
      <c r="F368" t="s">
        <v>32</v>
      </c>
      <c r="H368" t="s">
        <v>59</v>
      </c>
      <c r="I368" t="s">
        <v>158</v>
      </c>
      <c r="K368">
        <v>254</v>
      </c>
      <c r="L368" s="13"/>
      <c r="M368" s="13">
        <v>53661</v>
      </c>
      <c r="N368" s="13">
        <v>53661</v>
      </c>
      <c r="O368" s="13">
        <v>53661</v>
      </c>
      <c r="P368" s="24">
        <v>0</v>
      </c>
      <c r="V368">
        <v>1</v>
      </c>
      <c r="W368" t="s">
        <v>33</v>
      </c>
      <c r="Y368" t="s">
        <v>33</v>
      </c>
      <c r="Z368" t="s">
        <v>34</v>
      </c>
      <c r="AA368">
        <v>1</v>
      </c>
    </row>
    <row r="369" spans="1:27" x14ac:dyDescent="0.35">
      <c r="A369" s="13">
        <v>45930</v>
      </c>
      <c r="B369">
        <v>1</v>
      </c>
      <c r="D369" t="s">
        <v>31</v>
      </c>
      <c r="E369" t="s">
        <v>32</v>
      </c>
      <c r="F369" t="s">
        <v>32</v>
      </c>
      <c r="H369" t="s">
        <v>59</v>
      </c>
      <c r="I369" t="s">
        <v>158</v>
      </c>
      <c r="K369">
        <v>255</v>
      </c>
      <c r="L369" s="13"/>
      <c r="M369" s="13">
        <v>53692</v>
      </c>
      <c r="N369" s="13">
        <v>53692</v>
      </c>
      <c r="O369" s="13">
        <v>53692</v>
      </c>
      <c r="P369" s="24">
        <v>0</v>
      </c>
      <c r="V369">
        <v>1</v>
      </c>
      <c r="W369" t="s">
        <v>33</v>
      </c>
      <c r="Y369" t="s">
        <v>33</v>
      </c>
      <c r="Z369" t="s">
        <v>34</v>
      </c>
      <c r="AA369">
        <v>1</v>
      </c>
    </row>
    <row r="370" spans="1:27" x14ac:dyDescent="0.35">
      <c r="A370" s="13">
        <v>45930</v>
      </c>
      <c r="B370">
        <v>1</v>
      </c>
      <c r="D370" t="s">
        <v>31</v>
      </c>
      <c r="E370" t="s">
        <v>32</v>
      </c>
      <c r="F370" t="s">
        <v>32</v>
      </c>
      <c r="H370" t="s">
        <v>59</v>
      </c>
      <c r="I370" t="s">
        <v>158</v>
      </c>
      <c r="K370">
        <v>256</v>
      </c>
      <c r="L370" s="13"/>
      <c r="M370" s="13">
        <v>53723</v>
      </c>
      <c r="N370" s="13">
        <v>53723</v>
      </c>
      <c r="O370" s="13">
        <v>53723</v>
      </c>
      <c r="P370" s="24">
        <v>0</v>
      </c>
      <c r="V370">
        <v>1</v>
      </c>
      <c r="W370" t="s">
        <v>33</v>
      </c>
      <c r="Y370" t="s">
        <v>33</v>
      </c>
      <c r="Z370" t="s">
        <v>34</v>
      </c>
      <c r="AA370">
        <v>1</v>
      </c>
    </row>
    <row r="371" spans="1:27" x14ac:dyDescent="0.35">
      <c r="A371" s="13">
        <v>45930</v>
      </c>
      <c r="B371">
        <v>1</v>
      </c>
      <c r="D371" t="s">
        <v>31</v>
      </c>
      <c r="E371" t="s">
        <v>32</v>
      </c>
      <c r="F371" t="s">
        <v>32</v>
      </c>
      <c r="H371" t="s">
        <v>59</v>
      </c>
      <c r="I371" t="s">
        <v>158</v>
      </c>
      <c r="K371">
        <v>257</v>
      </c>
      <c r="L371" s="13"/>
      <c r="M371" s="13">
        <v>53751</v>
      </c>
      <c r="N371" s="13">
        <v>53751</v>
      </c>
      <c r="O371" s="13">
        <v>53751</v>
      </c>
      <c r="P371" s="24">
        <v>0</v>
      </c>
      <c r="V371">
        <v>1</v>
      </c>
      <c r="W371" t="s">
        <v>33</v>
      </c>
      <c r="Y371" t="s">
        <v>33</v>
      </c>
      <c r="Z371" t="s">
        <v>34</v>
      </c>
      <c r="AA371">
        <v>1</v>
      </c>
    </row>
    <row r="372" spans="1:27" x14ac:dyDescent="0.35">
      <c r="A372" s="13">
        <v>45930</v>
      </c>
      <c r="B372">
        <v>1</v>
      </c>
      <c r="D372" t="s">
        <v>31</v>
      </c>
      <c r="E372" t="s">
        <v>32</v>
      </c>
      <c r="F372" t="s">
        <v>32</v>
      </c>
      <c r="H372" t="s">
        <v>59</v>
      </c>
      <c r="I372" t="s">
        <v>158</v>
      </c>
      <c r="K372">
        <v>258</v>
      </c>
      <c r="L372" s="13"/>
      <c r="M372" s="13">
        <v>53782</v>
      </c>
      <c r="N372" s="13">
        <v>53782</v>
      </c>
      <c r="O372" s="13">
        <v>53782</v>
      </c>
      <c r="P372" s="24">
        <v>0</v>
      </c>
      <c r="V372">
        <v>1</v>
      </c>
      <c r="W372" t="s">
        <v>33</v>
      </c>
      <c r="Y372" t="s">
        <v>33</v>
      </c>
      <c r="Z372" t="s">
        <v>34</v>
      </c>
      <c r="AA372">
        <v>1</v>
      </c>
    </row>
    <row r="373" spans="1:27" x14ac:dyDescent="0.35">
      <c r="A373" s="13">
        <v>45930</v>
      </c>
      <c r="B373">
        <v>1</v>
      </c>
      <c r="D373" t="s">
        <v>31</v>
      </c>
      <c r="E373" t="s">
        <v>32</v>
      </c>
      <c r="F373" t="s">
        <v>32</v>
      </c>
      <c r="H373" t="s">
        <v>59</v>
      </c>
      <c r="I373" t="s">
        <v>158</v>
      </c>
      <c r="K373">
        <v>259</v>
      </c>
      <c r="L373" s="13"/>
      <c r="M373" s="13">
        <v>53812</v>
      </c>
      <c r="N373" s="13">
        <v>53812</v>
      </c>
      <c r="O373" s="13">
        <v>53812</v>
      </c>
      <c r="P373" s="24">
        <v>0</v>
      </c>
      <c r="V373">
        <v>1</v>
      </c>
      <c r="W373" t="s">
        <v>33</v>
      </c>
      <c r="Y373" t="s">
        <v>33</v>
      </c>
      <c r="Z373" t="s">
        <v>34</v>
      </c>
      <c r="AA373">
        <v>1</v>
      </c>
    </row>
    <row r="374" spans="1:27" x14ac:dyDescent="0.35">
      <c r="A374" s="13">
        <v>45930</v>
      </c>
      <c r="B374">
        <v>1</v>
      </c>
      <c r="D374" t="s">
        <v>31</v>
      </c>
      <c r="E374" t="s">
        <v>32</v>
      </c>
      <c r="F374" t="s">
        <v>32</v>
      </c>
      <c r="H374" t="s">
        <v>59</v>
      </c>
      <c r="I374" t="s">
        <v>158</v>
      </c>
      <c r="K374">
        <v>260</v>
      </c>
      <c r="L374" s="13"/>
      <c r="M374" s="13">
        <v>53843</v>
      </c>
      <c r="N374" s="13">
        <v>53843</v>
      </c>
      <c r="O374" s="13">
        <v>53843</v>
      </c>
      <c r="P374" s="24">
        <v>0</v>
      </c>
      <c r="V374">
        <v>1</v>
      </c>
      <c r="W374" t="s">
        <v>33</v>
      </c>
      <c r="Y374" t="s">
        <v>33</v>
      </c>
      <c r="Z374" t="s">
        <v>34</v>
      </c>
      <c r="AA374">
        <v>1</v>
      </c>
    </row>
    <row r="375" spans="1:27" x14ac:dyDescent="0.35">
      <c r="A375" s="13">
        <v>45930</v>
      </c>
      <c r="B375">
        <v>1</v>
      </c>
      <c r="D375" t="s">
        <v>31</v>
      </c>
      <c r="E375" t="s">
        <v>32</v>
      </c>
      <c r="F375" t="s">
        <v>32</v>
      </c>
      <c r="H375" t="s">
        <v>59</v>
      </c>
      <c r="I375" t="s">
        <v>158</v>
      </c>
      <c r="K375">
        <v>261</v>
      </c>
      <c r="L375" s="13"/>
      <c r="M375" s="13">
        <v>53873</v>
      </c>
      <c r="N375" s="13">
        <v>53873</v>
      </c>
      <c r="O375" s="13">
        <v>53873</v>
      </c>
      <c r="P375" s="24">
        <v>0</v>
      </c>
      <c r="V375">
        <v>1</v>
      </c>
      <c r="W375" t="s">
        <v>33</v>
      </c>
      <c r="Y375" t="s">
        <v>33</v>
      </c>
      <c r="Z375" t="s">
        <v>34</v>
      </c>
      <c r="AA375">
        <v>1</v>
      </c>
    </row>
    <row r="376" spans="1:27" x14ac:dyDescent="0.35">
      <c r="A376" s="13">
        <v>45930</v>
      </c>
      <c r="B376">
        <v>1</v>
      </c>
      <c r="D376" t="s">
        <v>31</v>
      </c>
      <c r="E376" t="s">
        <v>32</v>
      </c>
      <c r="F376" t="s">
        <v>32</v>
      </c>
      <c r="H376" t="s">
        <v>59</v>
      </c>
      <c r="I376" t="s">
        <v>158</v>
      </c>
      <c r="K376">
        <v>262</v>
      </c>
      <c r="L376" s="13"/>
      <c r="M376" s="13">
        <v>53904</v>
      </c>
      <c r="N376" s="13">
        <v>53904</v>
      </c>
      <c r="O376" s="13">
        <v>53904</v>
      </c>
      <c r="P376" s="24">
        <v>0</v>
      </c>
      <c r="V376">
        <v>1</v>
      </c>
      <c r="W376" t="s">
        <v>33</v>
      </c>
      <c r="Y376" t="s">
        <v>33</v>
      </c>
      <c r="Z376" t="s">
        <v>34</v>
      </c>
      <c r="AA376">
        <v>1</v>
      </c>
    </row>
    <row r="377" spans="1:27" x14ac:dyDescent="0.35">
      <c r="A377" s="13">
        <v>45930</v>
      </c>
      <c r="B377">
        <v>1</v>
      </c>
      <c r="D377" t="s">
        <v>31</v>
      </c>
      <c r="E377" t="s">
        <v>32</v>
      </c>
      <c r="F377" t="s">
        <v>32</v>
      </c>
      <c r="H377" t="s">
        <v>59</v>
      </c>
      <c r="I377" t="s">
        <v>158</v>
      </c>
      <c r="K377">
        <v>263</v>
      </c>
      <c r="L377" s="13"/>
      <c r="M377" s="13">
        <v>53935</v>
      </c>
      <c r="N377" s="13">
        <v>53935</v>
      </c>
      <c r="O377" s="13">
        <v>53935</v>
      </c>
      <c r="P377" s="24">
        <v>0</v>
      </c>
      <c r="V377">
        <v>1</v>
      </c>
      <c r="W377" t="s">
        <v>33</v>
      </c>
      <c r="Y377" t="s">
        <v>33</v>
      </c>
      <c r="Z377" t="s">
        <v>34</v>
      </c>
      <c r="AA377">
        <v>1</v>
      </c>
    </row>
    <row r="378" spans="1:27" x14ac:dyDescent="0.35">
      <c r="A378" s="13">
        <v>45930</v>
      </c>
      <c r="B378">
        <v>1</v>
      </c>
      <c r="D378" t="s">
        <v>31</v>
      </c>
      <c r="E378" t="s">
        <v>32</v>
      </c>
      <c r="F378" t="s">
        <v>32</v>
      </c>
      <c r="H378" t="s">
        <v>59</v>
      </c>
      <c r="I378" t="s">
        <v>158</v>
      </c>
      <c r="K378">
        <v>264</v>
      </c>
      <c r="L378" s="13"/>
      <c r="M378" s="13">
        <v>53965</v>
      </c>
      <c r="N378" s="13">
        <v>53965</v>
      </c>
      <c r="O378" s="13">
        <v>53965</v>
      </c>
      <c r="P378" s="24">
        <v>0</v>
      </c>
      <c r="V378">
        <v>1</v>
      </c>
      <c r="W378" t="s">
        <v>33</v>
      </c>
      <c r="Y378" t="s">
        <v>33</v>
      </c>
      <c r="Z378" t="s">
        <v>34</v>
      </c>
      <c r="AA378">
        <v>1</v>
      </c>
    </row>
    <row r="379" spans="1:27" x14ac:dyDescent="0.35">
      <c r="A379" s="13">
        <v>45930</v>
      </c>
      <c r="B379">
        <v>1</v>
      </c>
      <c r="D379" t="s">
        <v>31</v>
      </c>
      <c r="E379" t="s">
        <v>32</v>
      </c>
      <c r="F379" t="s">
        <v>32</v>
      </c>
      <c r="H379" t="s">
        <v>59</v>
      </c>
      <c r="I379" t="s">
        <v>158</v>
      </c>
      <c r="K379">
        <v>265</v>
      </c>
      <c r="L379" s="13"/>
      <c r="M379" s="13">
        <v>53996</v>
      </c>
      <c r="N379" s="13">
        <v>53996</v>
      </c>
      <c r="O379" s="13">
        <v>53996</v>
      </c>
      <c r="P379" s="24">
        <v>0</v>
      </c>
      <c r="V379">
        <v>1</v>
      </c>
      <c r="W379" t="s">
        <v>33</v>
      </c>
      <c r="Y379" t="s">
        <v>33</v>
      </c>
      <c r="Z379" t="s">
        <v>34</v>
      </c>
      <c r="AA379">
        <v>1</v>
      </c>
    </row>
    <row r="380" spans="1:27" x14ac:dyDescent="0.35">
      <c r="A380" s="13">
        <v>45930</v>
      </c>
      <c r="B380">
        <v>1</v>
      </c>
      <c r="D380" t="s">
        <v>31</v>
      </c>
      <c r="E380" t="s">
        <v>32</v>
      </c>
      <c r="F380" t="s">
        <v>32</v>
      </c>
      <c r="H380" t="s">
        <v>59</v>
      </c>
      <c r="I380" t="s">
        <v>158</v>
      </c>
      <c r="K380">
        <v>266</v>
      </c>
      <c r="L380" s="13"/>
      <c r="M380" s="13">
        <v>54026</v>
      </c>
      <c r="N380" s="13">
        <v>54026</v>
      </c>
      <c r="O380" s="13">
        <v>54026</v>
      </c>
      <c r="P380" s="24">
        <v>0</v>
      </c>
      <c r="V380">
        <v>1</v>
      </c>
      <c r="W380" t="s">
        <v>33</v>
      </c>
      <c r="Y380" t="s">
        <v>33</v>
      </c>
      <c r="Z380" t="s">
        <v>34</v>
      </c>
      <c r="AA380">
        <v>1</v>
      </c>
    </row>
    <row r="381" spans="1:27" x14ac:dyDescent="0.35">
      <c r="A381" s="13">
        <v>45930</v>
      </c>
      <c r="B381">
        <v>1</v>
      </c>
      <c r="D381" t="s">
        <v>31</v>
      </c>
      <c r="E381" t="s">
        <v>32</v>
      </c>
      <c r="F381" t="s">
        <v>32</v>
      </c>
      <c r="H381" t="s">
        <v>59</v>
      </c>
      <c r="I381" t="s">
        <v>158</v>
      </c>
      <c r="K381">
        <v>267</v>
      </c>
      <c r="L381" s="13"/>
      <c r="M381" s="13">
        <v>54057</v>
      </c>
      <c r="N381" s="13">
        <v>54057</v>
      </c>
      <c r="O381" s="13">
        <v>54057</v>
      </c>
      <c r="P381" s="24">
        <v>0</v>
      </c>
      <c r="V381">
        <v>1</v>
      </c>
      <c r="W381" t="s">
        <v>33</v>
      </c>
      <c r="Y381" t="s">
        <v>33</v>
      </c>
      <c r="Z381" t="s">
        <v>34</v>
      </c>
      <c r="AA381">
        <v>1</v>
      </c>
    </row>
    <row r="382" spans="1:27" x14ac:dyDescent="0.35">
      <c r="A382" s="13">
        <v>45930</v>
      </c>
      <c r="B382">
        <v>1</v>
      </c>
      <c r="D382" t="s">
        <v>31</v>
      </c>
      <c r="E382" t="s">
        <v>32</v>
      </c>
      <c r="F382" t="s">
        <v>32</v>
      </c>
      <c r="H382" t="s">
        <v>59</v>
      </c>
      <c r="I382" t="s">
        <v>158</v>
      </c>
      <c r="K382">
        <v>268</v>
      </c>
      <c r="L382" s="13"/>
      <c r="M382" s="13">
        <v>54088</v>
      </c>
      <c r="N382" s="13">
        <v>54088</v>
      </c>
      <c r="O382" s="13">
        <v>54088</v>
      </c>
      <c r="P382" s="24">
        <v>0</v>
      </c>
      <c r="V382">
        <v>1</v>
      </c>
      <c r="W382" t="s">
        <v>33</v>
      </c>
      <c r="Y382" t="s">
        <v>33</v>
      </c>
      <c r="Z382" t="s">
        <v>34</v>
      </c>
      <c r="AA382">
        <v>1</v>
      </c>
    </row>
    <row r="383" spans="1:27" x14ac:dyDescent="0.35">
      <c r="A383" s="13">
        <v>45930</v>
      </c>
      <c r="B383">
        <v>1</v>
      </c>
      <c r="D383" t="s">
        <v>31</v>
      </c>
      <c r="E383" t="s">
        <v>32</v>
      </c>
      <c r="F383" t="s">
        <v>32</v>
      </c>
      <c r="H383" t="s">
        <v>59</v>
      </c>
      <c r="I383" t="s">
        <v>158</v>
      </c>
      <c r="K383">
        <v>269</v>
      </c>
      <c r="L383" s="13"/>
      <c r="M383" s="13">
        <v>54117</v>
      </c>
      <c r="N383" s="13">
        <v>54117</v>
      </c>
      <c r="O383" s="13">
        <v>54117</v>
      </c>
      <c r="P383" s="24">
        <v>0</v>
      </c>
      <c r="V383">
        <v>1</v>
      </c>
      <c r="W383" t="s">
        <v>33</v>
      </c>
      <c r="Y383" t="s">
        <v>33</v>
      </c>
      <c r="Z383" t="s">
        <v>34</v>
      </c>
      <c r="AA383">
        <v>1</v>
      </c>
    </row>
    <row r="384" spans="1:27" x14ac:dyDescent="0.35">
      <c r="A384" s="13">
        <v>45930</v>
      </c>
      <c r="B384">
        <v>1</v>
      </c>
      <c r="D384" t="s">
        <v>31</v>
      </c>
      <c r="E384" t="s">
        <v>32</v>
      </c>
      <c r="F384" t="s">
        <v>32</v>
      </c>
      <c r="H384" t="s">
        <v>59</v>
      </c>
      <c r="I384" t="s">
        <v>158</v>
      </c>
      <c r="K384">
        <v>270</v>
      </c>
      <c r="L384" s="13"/>
      <c r="M384" s="13">
        <v>54148</v>
      </c>
      <c r="N384" s="13">
        <v>54148</v>
      </c>
      <c r="O384" s="13">
        <v>54148</v>
      </c>
      <c r="P384" s="24">
        <v>0</v>
      </c>
      <c r="V384">
        <v>1</v>
      </c>
      <c r="W384" t="s">
        <v>33</v>
      </c>
      <c r="Y384" t="s">
        <v>33</v>
      </c>
      <c r="Z384" t="s">
        <v>34</v>
      </c>
      <c r="AA384">
        <v>1</v>
      </c>
    </row>
    <row r="385" spans="1:27" x14ac:dyDescent="0.35">
      <c r="A385" s="13">
        <v>45930</v>
      </c>
      <c r="B385">
        <v>1</v>
      </c>
      <c r="D385" t="s">
        <v>31</v>
      </c>
      <c r="E385" t="s">
        <v>32</v>
      </c>
      <c r="F385" t="s">
        <v>32</v>
      </c>
      <c r="H385" t="s">
        <v>59</v>
      </c>
      <c r="I385" t="s">
        <v>158</v>
      </c>
      <c r="K385">
        <v>271</v>
      </c>
      <c r="L385" s="13"/>
      <c r="M385" s="13">
        <v>54178</v>
      </c>
      <c r="N385" s="13">
        <v>54178</v>
      </c>
      <c r="O385" s="13">
        <v>54178</v>
      </c>
      <c r="P385" s="24">
        <v>0</v>
      </c>
      <c r="V385">
        <v>1</v>
      </c>
      <c r="W385" t="s">
        <v>33</v>
      </c>
      <c r="Y385" t="s">
        <v>33</v>
      </c>
      <c r="Z385" t="s">
        <v>34</v>
      </c>
      <c r="AA385">
        <v>1</v>
      </c>
    </row>
    <row r="386" spans="1:27" x14ac:dyDescent="0.35">
      <c r="A386" s="13">
        <v>45930</v>
      </c>
      <c r="B386">
        <v>1</v>
      </c>
      <c r="D386" t="s">
        <v>31</v>
      </c>
      <c r="E386" t="s">
        <v>32</v>
      </c>
      <c r="F386" t="s">
        <v>32</v>
      </c>
      <c r="H386" t="s">
        <v>59</v>
      </c>
      <c r="I386" t="s">
        <v>158</v>
      </c>
      <c r="K386">
        <v>272</v>
      </c>
      <c r="L386" s="13"/>
      <c r="M386" s="13">
        <v>54209</v>
      </c>
      <c r="N386" s="13">
        <v>54209</v>
      </c>
      <c r="O386" s="13">
        <v>54209</v>
      </c>
      <c r="P386" s="24">
        <v>0</v>
      </c>
      <c r="V386">
        <v>1</v>
      </c>
      <c r="W386" t="s">
        <v>33</v>
      </c>
      <c r="Y386" t="s">
        <v>33</v>
      </c>
      <c r="Z386" t="s">
        <v>34</v>
      </c>
      <c r="AA386">
        <v>1</v>
      </c>
    </row>
    <row r="387" spans="1:27" x14ac:dyDescent="0.35">
      <c r="A387" s="13">
        <v>45930</v>
      </c>
      <c r="B387">
        <v>1</v>
      </c>
      <c r="D387" t="s">
        <v>31</v>
      </c>
      <c r="E387" t="s">
        <v>32</v>
      </c>
      <c r="F387" t="s">
        <v>32</v>
      </c>
      <c r="H387" t="s">
        <v>59</v>
      </c>
      <c r="I387" t="s">
        <v>158</v>
      </c>
      <c r="K387">
        <v>273</v>
      </c>
      <c r="L387" s="13"/>
      <c r="M387" s="13">
        <v>54239</v>
      </c>
      <c r="N387" s="13">
        <v>54239</v>
      </c>
      <c r="O387" s="13">
        <v>54239</v>
      </c>
      <c r="P387" s="24">
        <v>0</v>
      </c>
      <c r="V387">
        <v>1</v>
      </c>
      <c r="W387" t="s">
        <v>33</v>
      </c>
      <c r="Y387" t="s">
        <v>33</v>
      </c>
      <c r="Z387" t="s">
        <v>34</v>
      </c>
      <c r="AA387">
        <v>1</v>
      </c>
    </row>
    <row r="388" spans="1:27" x14ac:dyDescent="0.35">
      <c r="A388" s="13">
        <v>45930</v>
      </c>
      <c r="B388">
        <v>1</v>
      </c>
      <c r="D388" t="s">
        <v>31</v>
      </c>
      <c r="E388" t="s">
        <v>32</v>
      </c>
      <c r="F388" t="s">
        <v>32</v>
      </c>
      <c r="H388" t="s">
        <v>59</v>
      </c>
      <c r="I388" t="s">
        <v>158</v>
      </c>
      <c r="K388">
        <v>274</v>
      </c>
      <c r="L388" s="13"/>
      <c r="M388" s="13">
        <v>54270</v>
      </c>
      <c r="N388" s="13">
        <v>54270</v>
      </c>
      <c r="O388" s="13">
        <v>54270</v>
      </c>
      <c r="P388" s="24">
        <v>0</v>
      </c>
      <c r="V388">
        <v>1</v>
      </c>
      <c r="W388" t="s">
        <v>33</v>
      </c>
      <c r="Y388" t="s">
        <v>33</v>
      </c>
      <c r="Z388" t="s">
        <v>34</v>
      </c>
      <c r="AA388">
        <v>1</v>
      </c>
    </row>
    <row r="389" spans="1:27" x14ac:dyDescent="0.35">
      <c r="A389" s="13">
        <v>45930</v>
      </c>
      <c r="B389">
        <v>1</v>
      </c>
      <c r="D389" t="s">
        <v>31</v>
      </c>
      <c r="E389" t="s">
        <v>32</v>
      </c>
      <c r="F389" t="s">
        <v>32</v>
      </c>
      <c r="H389" t="s">
        <v>59</v>
      </c>
      <c r="I389" t="s">
        <v>158</v>
      </c>
      <c r="K389">
        <v>275</v>
      </c>
      <c r="L389" s="13"/>
      <c r="M389" s="13">
        <v>54301</v>
      </c>
      <c r="N389" s="13">
        <v>54301</v>
      </c>
      <c r="O389" s="13">
        <v>54301</v>
      </c>
      <c r="P389" s="24">
        <v>0</v>
      </c>
      <c r="V389">
        <v>1</v>
      </c>
      <c r="W389" t="s">
        <v>33</v>
      </c>
      <c r="Y389" t="s">
        <v>33</v>
      </c>
      <c r="Z389" t="s">
        <v>34</v>
      </c>
      <c r="AA389">
        <v>1</v>
      </c>
    </row>
    <row r="390" spans="1:27" x14ac:dyDescent="0.35">
      <c r="A390" s="13">
        <v>45930</v>
      </c>
      <c r="B390">
        <v>1</v>
      </c>
      <c r="D390" t="s">
        <v>31</v>
      </c>
      <c r="E390" t="s">
        <v>32</v>
      </c>
      <c r="F390" t="s">
        <v>32</v>
      </c>
      <c r="H390" t="s">
        <v>59</v>
      </c>
      <c r="I390" t="s">
        <v>158</v>
      </c>
      <c r="K390">
        <v>276</v>
      </c>
      <c r="L390" s="13"/>
      <c r="M390" s="13">
        <v>54331</v>
      </c>
      <c r="N390" s="13">
        <v>54331</v>
      </c>
      <c r="O390" s="13">
        <v>54331</v>
      </c>
      <c r="P390" s="24">
        <v>0</v>
      </c>
      <c r="V390">
        <v>1</v>
      </c>
      <c r="W390" t="s">
        <v>33</v>
      </c>
      <c r="Y390" t="s">
        <v>33</v>
      </c>
      <c r="Z390" t="s">
        <v>34</v>
      </c>
      <c r="AA390">
        <v>1</v>
      </c>
    </row>
    <row r="391" spans="1:27" x14ac:dyDescent="0.35">
      <c r="A391" s="13">
        <v>45930</v>
      </c>
      <c r="B391">
        <v>1</v>
      </c>
      <c r="D391" t="s">
        <v>31</v>
      </c>
      <c r="E391" t="s">
        <v>32</v>
      </c>
      <c r="F391" t="s">
        <v>32</v>
      </c>
      <c r="H391" t="s">
        <v>59</v>
      </c>
      <c r="I391" t="s">
        <v>158</v>
      </c>
      <c r="K391">
        <v>277</v>
      </c>
      <c r="L391" s="13"/>
      <c r="M391" s="13">
        <v>54362</v>
      </c>
      <c r="N391" s="13">
        <v>54362</v>
      </c>
      <c r="O391" s="13">
        <v>54362</v>
      </c>
      <c r="P391" s="24">
        <v>0</v>
      </c>
      <c r="V391">
        <v>1</v>
      </c>
      <c r="W391" t="s">
        <v>33</v>
      </c>
      <c r="Y391" t="s">
        <v>33</v>
      </c>
      <c r="Z391" t="s">
        <v>34</v>
      </c>
      <c r="AA391">
        <v>1</v>
      </c>
    </row>
    <row r="392" spans="1:27" x14ac:dyDescent="0.35">
      <c r="A392" s="13">
        <v>45930</v>
      </c>
      <c r="B392">
        <v>1</v>
      </c>
      <c r="D392" t="s">
        <v>31</v>
      </c>
      <c r="E392" t="s">
        <v>32</v>
      </c>
      <c r="F392" t="s">
        <v>32</v>
      </c>
      <c r="H392" t="s">
        <v>59</v>
      </c>
      <c r="I392" t="s">
        <v>158</v>
      </c>
      <c r="K392">
        <v>278</v>
      </c>
      <c r="L392" s="13"/>
      <c r="M392" s="13">
        <v>54392</v>
      </c>
      <c r="N392" s="13">
        <v>54392</v>
      </c>
      <c r="O392" s="13">
        <v>54392</v>
      </c>
      <c r="P392" s="24">
        <v>0</v>
      </c>
      <c r="V392">
        <v>1</v>
      </c>
      <c r="W392" t="s">
        <v>33</v>
      </c>
      <c r="Y392" t="s">
        <v>33</v>
      </c>
      <c r="Z392" t="s">
        <v>34</v>
      </c>
      <c r="AA392">
        <v>1</v>
      </c>
    </row>
    <row r="393" spans="1:27" x14ac:dyDescent="0.35">
      <c r="A393" s="13">
        <v>45930</v>
      </c>
      <c r="B393">
        <v>1</v>
      </c>
      <c r="D393" t="s">
        <v>31</v>
      </c>
      <c r="E393" t="s">
        <v>32</v>
      </c>
      <c r="F393" t="s">
        <v>32</v>
      </c>
      <c r="H393" t="s">
        <v>59</v>
      </c>
      <c r="I393" t="s">
        <v>158</v>
      </c>
      <c r="K393">
        <v>279</v>
      </c>
      <c r="L393" s="13"/>
      <c r="M393" s="13">
        <v>54423</v>
      </c>
      <c r="N393" s="13">
        <v>54423</v>
      </c>
      <c r="O393" s="13">
        <v>54423</v>
      </c>
      <c r="P393" s="24">
        <v>0</v>
      </c>
      <c r="V393">
        <v>1</v>
      </c>
      <c r="W393" t="s">
        <v>33</v>
      </c>
      <c r="Y393" t="s">
        <v>33</v>
      </c>
      <c r="Z393" t="s">
        <v>34</v>
      </c>
      <c r="AA393">
        <v>1</v>
      </c>
    </row>
    <row r="394" spans="1:27" x14ac:dyDescent="0.35">
      <c r="A394" s="13">
        <v>45930</v>
      </c>
      <c r="B394">
        <v>1</v>
      </c>
      <c r="D394" t="s">
        <v>31</v>
      </c>
      <c r="E394" t="s">
        <v>32</v>
      </c>
      <c r="F394" t="s">
        <v>32</v>
      </c>
      <c r="H394" t="s">
        <v>59</v>
      </c>
      <c r="I394" t="s">
        <v>158</v>
      </c>
      <c r="K394">
        <v>280</v>
      </c>
      <c r="L394" s="13"/>
      <c r="M394" s="13">
        <v>54454</v>
      </c>
      <c r="N394" s="13">
        <v>54454</v>
      </c>
      <c r="O394" s="13">
        <v>54454</v>
      </c>
      <c r="P394" s="24">
        <v>0</v>
      </c>
      <c r="V394">
        <v>1</v>
      </c>
      <c r="W394" t="s">
        <v>33</v>
      </c>
      <c r="Y394" t="s">
        <v>33</v>
      </c>
      <c r="Z394" t="s">
        <v>34</v>
      </c>
      <c r="AA394">
        <v>1</v>
      </c>
    </row>
    <row r="395" spans="1:27" x14ac:dyDescent="0.35">
      <c r="A395" s="13">
        <v>45930</v>
      </c>
      <c r="B395">
        <v>1</v>
      </c>
      <c r="D395" t="s">
        <v>31</v>
      </c>
      <c r="E395" t="s">
        <v>32</v>
      </c>
      <c r="F395" t="s">
        <v>32</v>
      </c>
      <c r="H395" t="s">
        <v>59</v>
      </c>
      <c r="I395" t="s">
        <v>158</v>
      </c>
      <c r="K395">
        <v>281</v>
      </c>
      <c r="L395" s="13"/>
      <c r="M395" s="13">
        <v>54482</v>
      </c>
      <c r="N395" s="13">
        <v>54482</v>
      </c>
      <c r="O395" s="13">
        <v>54482</v>
      </c>
      <c r="P395" s="24">
        <v>0</v>
      </c>
      <c r="V395">
        <v>1</v>
      </c>
      <c r="W395" t="s">
        <v>33</v>
      </c>
      <c r="Y395" t="s">
        <v>33</v>
      </c>
      <c r="Z395" t="s">
        <v>34</v>
      </c>
      <c r="AA395">
        <v>1</v>
      </c>
    </row>
    <row r="396" spans="1:27" x14ac:dyDescent="0.35">
      <c r="A396" s="13">
        <v>45930</v>
      </c>
      <c r="B396">
        <v>1</v>
      </c>
      <c r="D396" t="s">
        <v>31</v>
      </c>
      <c r="E396" t="s">
        <v>32</v>
      </c>
      <c r="F396" t="s">
        <v>32</v>
      </c>
      <c r="H396" t="s">
        <v>59</v>
      </c>
      <c r="I396" t="s">
        <v>158</v>
      </c>
      <c r="K396">
        <v>282</v>
      </c>
      <c r="L396" s="13"/>
      <c r="M396" s="13">
        <v>54513</v>
      </c>
      <c r="N396" s="13">
        <v>54513</v>
      </c>
      <c r="O396" s="13">
        <v>54513</v>
      </c>
      <c r="P396" s="24">
        <v>0</v>
      </c>
      <c r="V396">
        <v>1</v>
      </c>
      <c r="W396" t="s">
        <v>33</v>
      </c>
      <c r="Y396" t="s">
        <v>33</v>
      </c>
      <c r="Z396" t="s">
        <v>34</v>
      </c>
      <c r="AA396">
        <v>1</v>
      </c>
    </row>
    <row r="397" spans="1:27" x14ac:dyDescent="0.35">
      <c r="A397" s="13">
        <v>45930</v>
      </c>
      <c r="B397">
        <v>1</v>
      </c>
      <c r="D397" t="s">
        <v>31</v>
      </c>
      <c r="E397" t="s">
        <v>32</v>
      </c>
      <c r="F397" t="s">
        <v>32</v>
      </c>
      <c r="H397" t="s">
        <v>59</v>
      </c>
      <c r="I397" t="s">
        <v>158</v>
      </c>
      <c r="K397">
        <v>283</v>
      </c>
      <c r="L397" s="13"/>
      <c r="M397" s="13">
        <v>54543</v>
      </c>
      <c r="N397" s="13">
        <v>54543</v>
      </c>
      <c r="O397" s="13">
        <v>54543</v>
      </c>
      <c r="P397" s="24">
        <v>0</v>
      </c>
      <c r="V397">
        <v>1</v>
      </c>
      <c r="W397" t="s">
        <v>33</v>
      </c>
      <c r="Y397" t="s">
        <v>33</v>
      </c>
      <c r="Z397" t="s">
        <v>34</v>
      </c>
      <c r="AA397">
        <v>1</v>
      </c>
    </row>
    <row r="398" spans="1:27" x14ac:dyDescent="0.35">
      <c r="A398" s="13">
        <v>45930</v>
      </c>
      <c r="B398">
        <v>1</v>
      </c>
      <c r="D398" t="s">
        <v>31</v>
      </c>
      <c r="E398" t="s">
        <v>32</v>
      </c>
      <c r="F398" t="s">
        <v>32</v>
      </c>
      <c r="H398" t="s">
        <v>59</v>
      </c>
      <c r="I398" t="s">
        <v>158</v>
      </c>
      <c r="K398">
        <v>284</v>
      </c>
      <c r="L398" s="13"/>
      <c r="M398" s="13">
        <v>54574</v>
      </c>
      <c r="N398" s="13">
        <v>54574</v>
      </c>
      <c r="O398" s="13">
        <v>54574</v>
      </c>
      <c r="P398" s="24">
        <v>0</v>
      </c>
      <c r="V398">
        <v>1</v>
      </c>
      <c r="W398" t="s">
        <v>33</v>
      </c>
      <c r="Y398" t="s">
        <v>33</v>
      </c>
      <c r="Z398" t="s">
        <v>34</v>
      </c>
      <c r="AA398">
        <v>1</v>
      </c>
    </row>
    <row r="399" spans="1:27" x14ac:dyDescent="0.35">
      <c r="A399" s="13">
        <v>45930</v>
      </c>
      <c r="B399">
        <v>1</v>
      </c>
      <c r="D399" t="s">
        <v>31</v>
      </c>
      <c r="E399" t="s">
        <v>32</v>
      </c>
      <c r="F399" t="s">
        <v>32</v>
      </c>
      <c r="H399" t="s">
        <v>59</v>
      </c>
      <c r="I399" t="s">
        <v>158</v>
      </c>
      <c r="K399">
        <v>285</v>
      </c>
      <c r="L399" s="13"/>
      <c r="M399" s="13">
        <v>54604</v>
      </c>
      <c r="N399" s="13">
        <v>54604</v>
      </c>
      <c r="O399" s="13">
        <v>54604</v>
      </c>
      <c r="P399" s="24">
        <v>0</v>
      </c>
      <c r="V399">
        <v>1</v>
      </c>
      <c r="W399" t="s">
        <v>33</v>
      </c>
      <c r="Y399" t="s">
        <v>33</v>
      </c>
      <c r="Z399" t="s">
        <v>34</v>
      </c>
      <c r="AA399">
        <v>1</v>
      </c>
    </row>
    <row r="400" spans="1:27" x14ac:dyDescent="0.35">
      <c r="A400" s="13">
        <v>45930</v>
      </c>
      <c r="B400">
        <v>1</v>
      </c>
      <c r="D400" t="s">
        <v>31</v>
      </c>
      <c r="E400" t="s">
        <v>32</v>
      </c>
      <c r="F400" t="s">
        <v>32</v>
      </c>
      <c r="H400" t="s">
        <v>59</v>
      </c>
      <c r="I400" t="s">
        <v>158</v>
      </c>
      <c r="K400">
        <v>286</v>
      </c>
      <c r="L400" s="13"/>
      <c r="M400" s="13">
        <v>54635</v>
      </c>
      <c r="N400" s="13">
        <v>54635</v>
      </c>
      <c r="O400" s="13">
        <v>54635</v>
      </c>
      <c r="P400" s="24">
        <v>0</v>
      </c>
      <c r="V400">
        <v>1</v>
      </c>
      <c r="W400" t="s">
        <v>33</v>
      </c>
      <c r="Y400" t="s">
        <v>33</v>
      </c>
      <c r="Z400" t="s">
        <v>34</v>
      </c>
      <c r="AA400">
        <v>1</v>
      </c>
    </row>
    <row r="401" spans="1:27" x14ac:dyDescent="0.35">
      <c r="A401" s="13">
        <v>45930</v>
      </c>
      <c r="B401">
        <v>1</v>
      </c>
      <c r="D401" t="s">
        <v>31</v>
      </c>
      <c r="E401" t="s">
        <v>32</v>
      </c>
      <c r="F401" t="s">
        <v>32</v>
      </c>
      <c r="H401" t="s">
        <v>59</v>
      </c>
      <c r="I401" t="s">
        <v>158</v>
      </c>
      <c r="K401">
        <v>287</v>
      </c>
      <c r="L401" s="13"/>
      <c r="M401" s="13">
        <v>54666</v>
      </c>
      <c r="N401" s="13">
        <v>54666</v>
      </c>
      <c r="O401" s="13">
        <v>54666</v>
      </c>
      <c r="P401" s="24">
        <v>0</v>
      </c>
      <c r="V401">
        <v>1</v>
      </c>
      <c r="W401" t="s">
        <v>33</v>
      </c>
      <c r="Y401" t="s">
        <v>33</v>
      </c>
      <c r="Z401" t="s">
        <v>34</v>
      </c>
      <c r="AA401">
        <v>1</v>
      </c>
    </row>
    <row r="402" spans="1:27" x14ac:dyDescent="0.35">
      <c r="A402" s="13">
        <v>45930</v>
      </c>
      <c r="B402">
        <v>1</v>
      </c>
      <c r="D402" t="s">
        <v>31</v>
      </c>
      <c r="E402" t="s">
        <v>32</v>
      </c>
      <c r="F402" t="s">
        <v>32</v>
      </c>
      <c r="H402" t="s">
        <v>59</v>
      </c>
      <c r="I402" t="s">
        <v>158</v>
      </c>
      <c r="K402">
        <v>288</v>
      </c>
      <c r="L402" s="13"/>
      <c r="M402" s="13">
        <v>54696</v>
      </c>
      <c r="N402" s="13">
        <v>54696</v>
      </c>
      <c r="O402" s="13">
        <v>54696</v>
      </c>
      <c r="P402" s="24">
        <v>0</v>
      </c>
      <c r="V402">
        <v>1</v>
      </c>
      <c r="W402" t="s">
        <v>33</v>
      </c>
      <c r="Y402" t="s">
        <v>33</v>
      </c>
      <c r="Z402" t="s">
        <v>34</v>
      </c>
      <c r="AA402">
        <v>1</v>
      </c>
    </row>
    <row r="403" spans="1:27" x14ac:dyDescent="0.35">
      <c r="A403" s="13">
        <v>45930</v>
      </c>
      <c r="B403">
        <v>1</v>
      </c>
      <c r="D403" t="s">
        <v>31</v>
      </c>
      <c r="E403" t="s">
        <v>32</v>
      </c>
      <c r="F403" t="s">
        <v>32</v>
      </c>
      <c r="H403" t="s">
        <v>59</v>
      </c>
      <c r="I403" t="s">
        <v>158</v>
      </c>
      <c r="K403">
        <v>289</v>
      </c>
      <c r="L403" s="13"/>
      <c r="M403" s="13">
        <v>54727</v>
      </c>
      <c r="N403" s="13">
        <v>54727</v>
      </c>
      <c r="O403" s="13">
        <v>54727</v>
      </c>
      <c r="P403" s="24">
        <v>0</v>
      </c>
      <c r="V403">
        <v>1</v>
      </c>
      <c r="W403" t="s">
        <v>33</v>
      </c>
      <c r="Y403" t="s">
        <v>33</v>
      </c>
      <c r="Z403" t="s">
        <v>34</v>
      </c>
      <c r="AA403">
        <v>1</v>
      </c>
    </row>
    <row r="404" spans="1:27" x14ac:dyDescent="0.35">
      <c r="A404" s="13">
        <v>45930</v>
      </c>
      <c r="B404">
        <v>1</v>
      </c>
      <c r="D404" t="s">
        <v>31</v>
      </c>
      <c r="E404" t="s">
        <v>32</v>
      </c>
      <c r="F404" t="s">
        <v>32</v>
      </c>
      <c r="H404" t="s">
        <v>59</v>
      </c>
      <c r="I404" t="s">
        <v>158</v>
      </c>
      <c r="K404">
        <v>290</v>
      </c>
      <c r="L404" s="13"/>
      <c r="M404" s="13">
        <v>54757</v>
      </c>
      <c r="N404" s="13">
        <v>54757</v>
      </c>
      <c r="O404" s="13">
        <v>54757</v>
      </c>
      <c r="P404" s="24">
        <v>0</v>
      </c>
      <c r="V404">
        <v>1</v>
      </c>
      <c r="W404" t="s">
        <v>33</v>
      </c>
      <c r="Y404" t="s">
        <v>33</v>
      </c>
      <c r="Z404" t="s">
        <v>34</v>
      </c>
      <c r="AA404">
        <v>1</v>
      </c>
    </row>
    <row r="405" spans="1:27" x14ac:dyDescent="0.35">
      <c r="A405" s="13">
        <v>45930</v>
      </c>
      <c r="B405">
        <v>1</v>
      </c>
      <c r="D405" t="s">
        <v>31</v>
      </c>
      <c r="E405" t="s">
        <v>32</v>
      </c>
      <c r="F405" t="s">
        <v>32</v>
      </c>
      <c r="H405" t="s">
        <v>59</v>
      </c>
      <c r="I405" t="s">
        <v>158</v>
      </c>
      <c r="K405">
        <v>291</v>
      </c>
      <c r="L405" s="13"/>
      <c r="M405" s="13">
        <v>54788</v>
      </c>
      <c r="N405" s="13">
        <v>54788</v>
      </c>
      <c r="O405" s="13">
        <v>54788</v>
      </c>
      <c r="P405" s="24">
        <v>0</v>
      </c>
      <c r="V405">
        <v>1</v>
      </c>
      <c r="W405" t="s">
        <v>33</v>
      </c>
      <c r="Y405" t="s">
        <v>33</v>
      </c>
      <c r="Z405" t="s">
        <v>34</v>
      </c>
      <c r="AA405">
        <v>1</v>
      </c>
    </row>
    <row r="406" spans="1:27" x14ac:dyDescent="0.35">
      <c r="A406" s="13">
        <v>45930</v>
      </c>
      <c r="B406">
        <v>1</v>
      </c>
      <c r="D406" t="s">
        <v>31</v>
      </c>
      <c r="E406" t="s">
        <v>32</v>
      </c>
      <c r="F406" t="s">
        <v>32</v>
      </c>
      <c r="H406" t="s">
        <v>59</v>
      </c>
      <c r="I406" t="s">
        <v>158</v>
      </c>
      <c r="K406">
        <v>292</v>
      </c>
      <c r="L406" s="13"/>
      <c r="M406" s="13">
        <v>54819</v>
      </c>
      <c r="N406" s="13">
        <v>54819</v>
      </c>
      <c r="O406" s="13">
        <v>54819</v>
      </c>
      <c r="P406" s="24">
        <v>0</v>
      </c>
      <c r="V406">
        <v>1</v>
      </c>
      <c r="W406" t="s">
        <v>33</v>
      </c>
      <c r="Y406" t="s">
        <v>33</v>
      </c>
      <c r="Z406" t="s">
        <v>34</v>
      </c>
      <c r="AA406">
        <v>1</v>
      </c>
    </row>
    <row r="407" spans="1:27" x14ac:dyDescent="0.35">
      <c r="A407" s="13">
        <v>45930</v>
      </c>
      <c r="B407">
        <v>1</v>
      </c>
      <c r="D407" t="s">
        <v>31</v>
      </c>
      <c r="E407" t="s">
        <v>32</v>
      </c>
      <c r="F407" t="s">
        <v>32</v>
      </c>
      <c r="H407" t="s">
        <v>59</v>
      </c>
      <c r="I407" t="s">
        <v>158</v>
      </c>
      <c r="K407">
        <v>293</v>
      </c>
      <c r="L407" s="13"/>
      <c r="M407" s="13">
        <v>54847</v>
      </c>
      <c r="N407" s="13">
        <v>54847</v>
      </c>
      <c r="O407" s="13">
        <v>54847</v>
      </c>
      <c r="P407" s="24">
        <v>0</v>
      </c>
      <c r="V407">
        <v>1</v>
      </c>
      <c r="W407" t="s">
        <v>33</v>
      </c>
      <c r="Y407" t="s">
        <v>33</v>
      </c>
      <c r="Z407" t="s">
        <v>34</v>
      </c>
      <c r="AA407">
        <v>1</v>
      </c>
    </row>
    <row r="408" spans="1:27" x14ac:dyDescent="0.35">
      <c r="A408" s="13">
        <v>45930</v>
      </c>
      <c r="B408">
        <v>1</v>
      </c>
      <c r="D408" t="s">
        <v>31</v>
      </c>
      <c r="E408" t="s">
        <v>32</v>
      </c>
      <c r="F408" t="s">
        <v>32</v>
      </c>
      <c r="H408" t="s">
        <v>59</v>
      </c>
      <c r="I408" t="s">
        <v>158</v>
      </c>
      <c r="K408">
        <v>294</v>
      </c>
      <c r="L408" s="13"/>
      <c r="M408" s="13">
        <v>54878</v>
      </c>
      <c r="N408" s="13">
        <v>54878</v>
      </c>
      <c r="O408" s="13">
        <v>54878</v>
      </c>
      <c r="P408" s="24">
        <v>0</v>
      </c>
      <c r="V408">
        <v>1</v>
      </c>
      <c r="W408" t="s">
        <v>33</v>
      </c>
      <c r="Y408" t="s">
        <v>33</v>
      </c>
      <c r="Z408" t="s">
        <v>34</v>
      </c>
      <c r="AA408">
        <v>1</v>
      </c>
    </row>
    <row r="409" spans="1:27" x14ac:dyDescent="0.35">
      <c r="A409" s="13">
        <v>45930</v>
      </c>
      <c r="B409">
        <v>1</v>
      </c>
      <c r="D409" t="s">
        <v>31</v>
      </c>
      <c r="E409" t="s">
        <v>32</v>
      </c>
      <c r="F409" t="s">
        <v>32</v>
      </c>
      <c r="H409" t="s">
        <v>59</v>
      </c>
      <c r="I409" t="s">
        <v>61</v>
      </c>
      <c r="L409" s="13"/>
      <c r="M409" s="13">
        <v>45931</v>
      </c>
      <c r="N409" s="13">
        <v>45931</v>
      </c>
      <c r="O409" s="13">
        <v>45931</v>
      </c>
      <c r="P409" s="24">
        <v>36724</v>
      </c>
      <c r="V409">
        <v>1</v>
      </c>
      <c r="W409" t="s">
        <v>33</v>
      </c>
      <c r="Y409" t="s">
        <v>33</v>
      </c>
      <c r="Z409" t="s">
        <v>34</v>
      </c>
      <c r="AA409">
        <v>1</v>
      </c>
    </row>
    <row r="410" spans="1:27" x14ac:dyDescent="0.35">
      <c r="A410" s="13">
        <v>45930</v>
      </c>
      <c r="B410">
        <v>1</v>
      </c>
      <c r="D410" t="s">
        <v>31</v>
      </c>
      <c r="E410" t="s">
        <v>32</v>
      </c>
      <c r="F410" t="s">
        <v>32</v>
      </c>
      <c r="H410" t="s">
        <v>59</v>
      </c>
      <c r="I410" t="s">
        <v>160</v>
      </c>
      <c r="K410">
        <v>1</v>
      </c>
      <c r="L410" s="13"/>
      <c r="M410" s="13">
        <v>45961</v>
      </c>
      <c r="N410" s="13">
        <v>45961</v>
      </c>
      <c r="O410" s="13">
        <v>45961</v>
      </c>
      <c r="P410" s="24">
        <v>8390.977733491969</v>
      </c>
      <c r="V410">
        <v>1</v>
      </c>
      <c r="W410" t="s">
        <v>33</v>
      </c>
      <c r="Y410" t="s">
        <v>33</v>
      </c>
      <c r="Z410" t="s">
        <v>34</v>
      </c>
      <c r="AA410">
        <v>1</v>
      </c>
    </row>
    <row r="411" spans="1:27" x14ac:dyDescent="0.35">
      <c r="A411" s="13">
        <v>45930</v>
      </c>
      <c r="B411">
        <v>1</v>
      </c>
      <c r="D411" t="s">
        <v>31</v>
      </c>
      <c r="E411" t="s">
        <v>32</v>
      </c>
      <c r="F411" t="s">
        <v>32</v>
      </c>
      <c r="H411" t="s">
        <v>59</v>
      </c>
      <c r="I411" t="s">
        <v>160</v>
      </c>
      <c r="K411">
        <v>2</v>
      </c>
      <c r="L411" s="13"/>
      <c r="M411" s="13">
        <v>45991</v>
      </c>
      <c r="N411" s="13">
        <v>45991</v>
      </c>
      <c r="O411" s="13">
        <v>45991</v>
      </c>
      <c r="P411" s="24">
        <v>8390.977733491969</v>
      </c>
      <c r="V411">
        <v>1</v>
      </c>
      <c r="W411" t="s">
        <v>33</v>
      </c>
      <c r="Y411" t="s">
        <v>33</v>
      </c>
      <c r="Z411" t="s">
        <v>34</v>
      </c>
      <c r="AA411">
        <v>1</v>
      </c>
    </row>
    <row r="412" spans="1:27" x14ac:dyDescent="0.35">
      <c r="A412" s="13">
        <v>45930</v>
      </c>
      <c r="B412">
        <v>1</v>
      </c>
      <c r="D412" t="s">
        <v>31</v>
      </c>
      <c r="E412" t="s">
        <v>32</v>
      </c>
      <c r="F412" t="s">
        <v>32</v>
      </c>
      <c r="H412" t="s">
        <v>59</v>
      </c>
      <c r="I412" t="s">
        <v>160</v>
      </c>
      <c r="K412">
        <v>3</v>
      </c>
      <c r="L412" s="13"/>
      <c r="M412" s="13">
        <v>46022</v>
      </c>
      <c r="N412" s="13">
        <v>46022</v>
      </c>
      <c r="O412" s="13">
        <v>46022</v>
      </c>
      <c r="P412" s="24">
        <v>8390.977733491969</v>
      </c>
      <c r="V412">
        <v>1</v>
      </c>
      <c r="W412" t="s">
        <v>33</v>
      </c>
      <c r="Y412" t="s">
        <v>33</v>
      </c>
      <c r="Z412" t="s">
        <v>34</v>
      </c>
      <c r="AA412">
        <v>1</v>
      </c>
    </row>
    <row r="413" spans="1:27" x14ac:dyDescent="0.35">
      <c r="A413" s="13">
        <v>45930</v>
      </c>
      <c r="B413">
        <v>1</v>
      </c>
      <c r="D413" t="s">
        <v>31</v>
      </c>
      <c r="E413" t="s">
        <v>32</v>
      </c>
      <c r="F413" t="s">
        <v>32</v>
      </c>
      <c r="H413" t="s">
        <v>59</v>
      </c>
      <c r="I413" t="s">
        <v>160</v>
      </c>
      <c r="K413">
        <v>4</v>
      </c>
      <c r="L413" s="13"/>
      <c r="M413" s="13">
        <v>46053</v>
      </c>
      <c r="N413" s="13">
        <v>46053</v>
      </c>
      <c r="O413" s="13">
        <v>46053</v>
      </c>
      <c r="P413" s="24">
        <v>8390.977733491969</v>
      </c>
      <c r="V413">
        <v>1</v>
      </c>
      <c r="W413" t="s">
        <v>33</v>
      </c>
      <c r="Y413" t="s">
        <v>33</v>
      </c>
      <c r="Z413" t="s">
        <v>34</v>
      </c>
      <c r="AA413">
        <v>1</v>
      </c>
    </row>
    <row r="414" spans="1:27" x14ac:dyDescent="0.35">
      <c r="A414" s="13">
        <v>45930</v>
      </c>
      <c r="B414">
        <v>1</v>
      </c>
      <c r="D414" t="s">
        <v>31</v>
      </c>
      <c r="E414" t="s">
        <v>32</v>
      </c>
      <c r="F414" t="s">
        <v>32</v>
      </c>
      <c r="H414" t="s">
        <v>59</v>
      </c>
      <c r="I414" t="s">
        <v>160</v>
      </c>
      <c r="K414">
        <v>5</v>
      </c>
      <c r="L414" s="13"/>
      <c r="M414" s="13">
        <v>46081</v>
      </c>
      <c r="N414" s="13">
        <v>46081</v>
      </c>
      <c r="O414" s="13">
        <v>46081</v>
      </c>
      <c r="P414" s="24">
        <v>8390.977733491969</v>
      </c>
      <c r="V414">
        <v>1</v>
      </c>
      <c r="W414" t="s">
        <v>33</v>
      </c>
      <c r="Y414" t="s">
        <v>33</v>
      </c>
      <c r="Z414" t="s">
        <v>34</v>
      </c>
      <c r="AA414">
        <v>1</v>
      </c>
    </row>
    <row r="415" spans="1:27" x14ac:dyDescent="0.35">
      <c r="A415" s="13">
        <v>45930</v>
      </c>
      <c r="B415">
        <v>1</v>
      </c>
      <c r="D415" t="s">
        <v>31</v>
      </c>
      <c r="E415" t="s">
        <v>32</v>
      </c>
      <c r="F415" t="s">
        <v>32</v>
      </c>
      <c r="H415" t="s">
        <v>59</v>
      </c>
      <c r="I415" t="s">
        <v>160</v>
      </c>
      <c r="K415">
        <v>6</v>
      </c>
      <c r="L415" s="13"/>
      <c r="M415" s="13">
        <v>46112</v>
      </c>
      <c r="N415" s="13">
        <v>46112</v>
      </c>
      <c r="O415" s="13">
        <v>46112</v>
      </c>
      <c r="P415" s="24">
        <v>8390.977733491969</v>
      </c>
      <c r="V415">
        <v>1</v>
      </c>
      <c r="W415" t="s">
        <v>33</v>
      </c>
      <c r="Y415" t="s">
        <v>33</v>
      </c>
      <c r="Z415" t="s">
        <v>34</v>
      </c>
      <c r="AA415">
        <v>1</v>
      </c>
    </row>
    <row r="416" spans="1:27" x14ac:dyDescent="0.35">
      <c r="A416" s="13">
        <v>45930</v>
      </c>
      <c r="B416">
        <v>1</v>
      </c>
      <c r="D416" t="s">
        <v>31</v>
      </c>
      <c r="E416" t="s">
        <v>32</v>
      </c>
      <c r="F416" t="s">
        <v>32</v>
      </c>
      <c r="H416" t="s">
        <v>59</v>
      </c>
      <c r="I416" t="s">
        <v>160</v>
      </c>
      <c r="K416">
        <v>7</v>
      </c>
      <c r="L416" s="13"/>
      <c r="M416" s="13">
        <v>46142</v>
      </c>
      <c r="N416" s="13">
        <v>46142</v>
      </c>
      <c r="O416" s="13">
        <v>46142</v>
      </c>
      <c r="P416" s="24">
        <v>8390.977733491969</v>
      </c>
      <c r="V416">
        <v>1</v>
      </c>
      <c r="W416" t="s">
        <v>33</v>
      </c>
      <c r="Y416" t="s">
        <v>33</v>
      </c>
      <c r="Z416" t="s">
        <v>34</v>
      </c>
      <c r="AA416">
        <v>1</v>
      </c>
    </row>
    <row r="417" spans="1:27" x14ac:dyDescent="0.35">
      <c r="A417" s="13">
        <v>45930</v>
      </c>
      <c r="B417">
        <v>1</v>
      </c>
      <c r="D417" t="s">
        <v>31</v>
      </c>
      <c r="E417" t="s">
        <v>32</v>
      </c>
      <c r="F417" t="s">
        <v>32</v>
      </c>
      <c r="H417" t="s">
        <v>59</v>
      </c>
      <c r="I417" t="s">
        <v>160</v>
      </c>
      <c r="K417">
        <v>8</v>
      </c>
      <c r="L417" s="13"/>
      <c r="M417" s="13">
        <v>46173</v>
      </c>
      <c r="N417" s="13">
        <v>46173</v>
      </c>
      <c r="O417" s="13">
        <v>46173</v>
      </c>
      <c r="P417" s="24">
        <v>8390.977733491969</v>
      </c>
      <c r="V417">
        <v>1</v>
      </c>
      <c r="W417" t="s">
        <v>33</v>
      </c>
      <c r="Y417" t="s">
        <v>33</v>
      </c>
      <c r="Z417" t="s">
        <v>34</v>
      </c>
      <c r="AA417">
        <v>1</v>
      </c>
    </row>
    <row r="418" spans="1:27" x14ac:dyDescent="0.35">
      <c r="A418" s="13">
        <v>45930</v>
      </c>
      <c r="B418">
        <v>1</v>
      </c>
      <c r="D418" t="s">
        <v>31</v>
      </c>
      <c r="E418" t="s">
        <v>32</v>
      </c>
      <c r="F418" t="s">
        <v>32</v>
      </c>
      <c r="H418" t="s">
        <v>59</v>
      </c>
      <c r="I418" t="s">
        <v>160</v>
      </c>
      <c r="K418">
        <v>9</v>
      </c>
      <c r="L418" s="13"/>
      <c r="M418" s="13">
        <v>46203</v>
      </c>
      <c r="N418" s="13">
        <v>46203</v>
      </c>
      <c r="O418" s="13">
        <v>46203</v>
      </c>
      <c r="P418" s="24">
        <v>8390.977733491969</v>
      </c>
      <c r="V418">
        <v>1</v>
      </c>
      <c r="W418" t="s">
        <v>33</v>
      </c>
      <c r="Y418" t="s">
        <v>33</v>
      </c>
      <c r="Z418" t="s">
        <v>34</v>
      </c>
      <c r="AA418">
        <v>1</v>
      </c>
    </row>
    <row r="419" spans="1:27" x14ac:dyDescent="0.35">
      <c r="A419" s="13">
        <v>45930</v>
      </c>
      <c r="B419">
        <v>1</v>
      </c>
      <c r="D419" t="s">
        <v>31</v>
      </c>
      <c r="E419" t="s">
        <v>32</v>
      </c>
      <c r="F419" t="s">
        <v>32</v>
      </c>
      <c r="H419" t="s">
        <v>59</v>
      </c>
      <c r="I419" t="s">
        <v>160</v>
      </c>
      <c r="K419">
        <v>10</v>
      </c>
      <c r="L419" s="13"/>
      <c r="M419" s="13">
        <v>46234</v>
      </c>
      <c r="N419" s="13">
        <v>46234</v>
      </c>
      <c r="O419" s="13">
        <v>46234</v>
      </c>
      <c r="P419" s="24">
        <v>8390.977733491969</v>
      </c>
      <c r="V419">
        <v>1</v>
      </c>
      <c r="W419" t="s">
        <v>33</v>
      </c>
      <c r="Y419" t="s">
        <v>33</v>
      </c>
      <c r="Z419" t="s">
        <v>34</v>
      </c>
      <c r="AA419">
        <v>1</v>
      </c>
    </row>
    <row r="420" spans="1:27" x14ac:dyDescent="0.35">
      <c r="A420" s="13">
        <v>45930</v>
      </c>
      <c r="B420">
        <v>1</v>
      </c>
      <c r="D420" t="s">
        <v>31</v>
      </c>
      <c r="E420" t="s">
        <v>32</v>
      </c>
      <c r="F420" t="s">
        <v>32</v>
      </c>
      <c r="H420" t="s">
        <v>59</v>
      </c>
      <c r="I420" t="s">
        <v>160</v>
      </c>
      <c r="K420">
        <v>11</v>
      </c>
      <c r="L420" s="13"/>
      <c r="M420" s="13">
        <v>46265</v>
      </c>
      <c r="N420" s="13">
        <v>46265</v>
      </c>
      <c r="O420" s="13">
        <v>46265</v>
      </c>
      <c r="P420" s="24">
        <v>8390.977733491969</v>
      </c>
      <c r="V420">
        <v>1</v>
      </c>
      <c r="W420" t="s">
        <v>33</v>
      </c>
      <c r="Y420" t="s">
        <v>33</v>
      </c>
      <c r="Z420" t="s">
        <v>34</v>
      </c>
      <c r="AA420">
        <v>1</v>
      </c>
    </row>
    <row r="421" spans="1:27" x14ac:dyDescent="0.35">
      <c r="A421" s="13">
        <v>45930</v>
      </c>
      <c r="B421">
        <v>1</v>
      </c>
      <c r="D421" t="s">
        <v>31</v>
      </c>
      <c r="E421" t="s">
        <v>32</v>
      </c>
      <c r="F421" t="s">
        <v>32</v>
      </c>
      <c r="H421" t="s">
        <v>59</v>
      </c>
      <c r="I421" t="s">
        <v>160</v>
      </c>
      <c r="K421">
        <v>12</v>
      </c>
      <c r="L421" s="13"/>
      <c r="M421" s="13">
        <v>46295</v>
      </c>
      <c r="N421" s="13">
        <v>46295</v>
      </c>
      <c r="O421" s="13">
        <v>46295</v>
      </c>
      <c r="P421" s="24">
        <v>8390.977733491969</v>
      </c>
      <c r="V421">
        <v>1</v>
      </c>
      <c r="W421" t="s">
        <v>33</v>
      </c>
      <c r="Y421" t="s">
        <v>33</v>
      </c>
      <c r="Z421" t="s">
        <v>34</v>
      </c>
      <c r="AA421">
        <v>1</v>
      </c>
    </row>
    <row r="422" spans="1:27" x14ac:dyDescent="0.35">
      <c r="A422" s="13">
        <v>45930</v>
      </c>
      <c r="B422">
        <v>1</v>
      </c>
      <c r="D422" t="s">
        <v>31</v>
      </c>
      <c r="E422" t="s">
        <v>32</v>
      </c>
      <c r="F422" t="s">
        <v>32</v>
      </c>
      <c r="H422" t="s">
        <v>59</v>
      </c>
      <c r="I422" t="s">
        <v>160</v>
      </c>
      <c r="K422">
        <v>13</v>
      </c>
      <c r="L422" s="13"/>
      <c r="M422" s="13">
        <v>46326</v>
      </c>
      <c r="N422" s="13">
        <v>46326</v>
      </c>
      <c r="O422" s="13">
        <v>46326</v>
      </c>
      <c r="P422" s="24">
        <v>8390.977733491969</v>
      </c>
      <c r="V422">
        <v>1</v>
      </c>
      <c r="W422" t="s">
        <v>33</v>
      </c>
      <c r="Y422" t="s">
        <v>33</v>
      </c>
      <c r="Z422" t="s">
        <v>34</v>
      </c>
      <c r="AA422">
        <v>1</v>
      </c>
    </row>
    <row r="423" spans="1:27" x14ac:dyDescent="0.35">
      <c r="A423" s="13">
        <v>45930</v>
      </c>
      <c r="B423">
        <v>1</v>
      </c>
      <c r="D423" t="s">
        <v>31</v>
      </c>
      <c r="E423" t="s">
        <v>32</v>
      </c>
      <c r="F423" t="s">
        <v>32</v>
      </c>
      <c r="H423" t="s">
        <v>59</v>
      </c>
      <c r="I423" t="s">
        <v>160</v>
      </c>
      <c r="K423">
        <v>14</v>
      </c>
      <c r="L423" s="13"/>
      <c r="M423" s="13">
        <v>46356</v>
      </c>
      <c r="N423" s="13">
        <v>46356</v>
      </c>
      <c r="O423" s="13">
        <v>46356</v>
      </c>
      <c r="P423" s="24">
        <v>8390.977733491969</v>
      </c>
      <c r="V423">
        <v>1</v>
      </c>
      <c r="W423" t="s">
        <v>33</v>
      </c>
      <c r="Y423" t="s">
        <v>33</v>
      </c>
      <c r="Z423" t="s">
        <v>34</v>
      </c>
      <c r="AA423">
        <v>1</v>
      </c>
    </row>
    <row r="424" spans="1:27" x14ac:dyDescent="0.35">
      <c r="A424" s="13">
        <v>45930</v>
      </c>
      <c r="B424">
        <v>1</v>
      </c>
      <c r="D424" t="s">
        <v>31</v>
      </c>
      <c r="E424" t="s">
        <v>32</v>
      </c>
      <c r="F424" t="s">
        <v>32</v>
      </c>
      <c r="H424" t="s">
        <v>59</v>
      </c>
      <c r="I424" t="s">
        <v>160</v>
      </c>
      <c r="K424">
        <v>15</v>
      </c>
      <c r="L424" s="13"/>
      <c r="M424" s="13">
        <v>46387</v>
      </c>
      <c r="N424" s="13">
        <v>46387</v>
      </c>
      <c r="O424" s="13">
        <v>46387</v>
      </c>
      <c r="P424" s="24">
        <v>8390.977733491969</v>
      </c>
      <c r="V424">
        <v>1</v>
      </c>
      <c r="W424" t="s">
        <v>33</v>
      </c>
      <c r="Y424" t="s">
        <v>33</v>
      </c>
      <c r="Z424" t="s">
        <v>34</v>
      </c>
      <c r="AA424">
        <v>1</v>
      </c>
    </row>
    <row r="425" spans="1:27" x14ac:dyDescent="0.35">
      <c r="A425" s="13">
        <v>45930</v>
      </c>
      <c r="B425">
        <v>1</v>
      </c>
      <c r="D425" t="s">
        <v>31</v>
      </c>
      <c r="E425" t="s">
        <v>32</v>
      </c>
      <c r="F425" t="s">
        <v>32</v>
      </c>
      <c r="H425" t="s">
        <v>59</v>
      </c>
      <c r="I425" t="s">
        <v>160</v>
      </c>
      <c r="K425">
        <v>16</v>
      </c>
      <c r="L425" s="13"/>
      <c r="M425" s="13">
        <v>46418</v>
      </c>
      <c r="N425" s="13">
        <v>46418</v>
      </c>
      <c r="O425" s="13">
        <v>46418</v>
      </c>
      <c r="P425" s="24">
        <v>8390.977733491969</v>
      </c>
      <c r="V425">
        <v>1</v>
      </c>
      <c r="W425" t="s">
        <v>33</v>
      </c>
      <c r="Y425" t="s">
        <v>33</v>
      </c>
      <c r="Z425" t="s">
        <v>34</v>
      </c>
      <c r="AA425">
        <v>1</v>
      </c>
    </row>
    <row r="426" spans="1:27" x14ac:dyDescent="0.35">
      <c r="A426" s="13">
        <v>45930</v>
      </c>
      <c r="B426">
        <v>1</v>
      </c>
      <c r="D426" t="s">
        <v>31</v>
      </c>
      <c r="E426" t="s">
        <v>32</v>
      </c>
      <c r="F426" t="s">
        <v>32</v>
      </c>
      <c r="H426" t="s">
        <v>59</v>
      </c>
      <c r="I426" t="s">
        <v>160</v>
      </c>
      <c r="K426">
        <v>17</v>
      </c>
      <c r="L426" s="13"/>
      <c r="M426" s="13">
        <v>46446</v>
      </c>
      <c r="N426" s="13">
        <v>46446</v>
      </c>
      <c r="O426" s="13">
        <v>46446</v>
      </c>
      <c r="P426" s="24">
        <v>8390.977733491969</v>
      </c>
      <c r="V426">
        <v>1</v>
      </c>
      <c r="W426" t="s">
        <v>33</v>
      </c>
      <c r="Y426" t="s">
        <v>33</v>
      </c>
      <c r="Z426" t="s">
        <v>34</v>
      </c>
      <c r="AA426">
        <v>1</v>
      </c>
    </row>
    <row r="427" spans="1:27" x14ac:dyDescent="0.35">
      <c r="A427" s="13">
        <v>45930</v>
      </c>
      <c r="B427">
        <v>1</v>
      </c>
      <c r="D427" t="s">
        <v>31</v>
      </c>
      <c r="E427" t="s">
        <v>32</v>
      </c>
      <c r="F427" t="s">
        <v>32</v>
      </c>
      <c r="H427" t="s">
        <v>59</v>
      </c>
      <c r="I427" t="s">
        <v>160</v>
      </c>
      <c r="K427">
        <v>18</v>
      </c>
      <c r="L427" s="13"/>
      <c r="M427" s="13">
        <v>46477</v>
      </c>
      <c r="N427" s="13">
        <v>46477</v>
      </c>
      <c r="O427" s="13">
        <v>46477</v>
      </c>
      <c r="P427" s="24">
        <v>8390.977733491969</v>
      </c>
      <c r="V427">
        <v>1</v>
      </c>
      <c r="W427" t="s">
        <v>33</v>
      </c>
      <c r="Y427" t="s">
        <v>33</v>
      </c>
      <c r="Z427" t="s">
        <v>34</v>
      </c>
      <c r="AA427">
        <v>1</v>
      </c>
    </row>
    <row r="428" spans="1:27" x14ac:dyDescent="0.35">
      <c r="A428" s="13">
        <v>45930</v>
      </c>
      <c r="B428">
        <v>1</v>
      </c>
      <c r="D428" t="s">
        <v>31</v>
      </c>
      <c r="E428" t="s">
        <v>32</v>
      </c>
      <c r="F428" t="s">
        <v>32</v>
      </c>
      <c r="H428" t="s">
        <v>59</v>
      </c>
      <c r="I428" t="s">
        <v>160</v>
      </c>
      <c r="K428">
        <v>19</v>
      </c>
      <c r="L428" s="13"/>
      <c r="M428" s="13">
        <v>46507</v>
      </c>
      <c r="N428" s="13">
        <v>46507</v>
      </c>
      <c r="O428" s="13">
        <v>46507</v>
      </c>
      <c r="P428" s="24">
        <v>8390.977733491969</v>
      </c>
      <c r="V428">
        <v>1</v>
      </c>
      <c r="W428" t="s">
        <v>33</v>
      </c>
      <c r="Y428" t="s">
        <v>33</v>
      </c>
      <c r="Z428" t="s">
        <v>34</v>
      </c>
      <c r="AA428">
        <v>1</v>
      </c>
    </row>
    <row r="429" spans="1:27" x14ac:dyDescent="0.35">
      <c r="A429" s="13">
        <v>45930</v>
      </c>
      <c r="B429">
        <v>1</v>
      </c>
      <c r="D429" t="s">
        <v>31</v>
      </c>
      <c r="E429" t="s">
        <v>32</v>
      </c>
      <c r="F429" t="s">
        <v>32</v>
      </c>
      <c r="H429" t="s">
        <v>59</v>
      </c>
      <c r="I429" t="s">
        <v>160</v>
      </c>
      <c r="K429">
        <v>20</v>
      </c>
      <c r="L429" s="13"/>
      <c r="M429" s="13">
        <v>46538</v>
      </c>
      <c r="N429" s="13">
        <v>46538</v>
      </c>
      <c r="O429" s="13">
        <v>46538</v>
      </c>
      <c r="P429" s="24">
        <v>8390.977733491969</v>
      </c>
      <c r="V429">
        <v>1</v>
      </c>
      <c r="W429" t="s">
        <v>33</v>
      </c>
      <c r="Y429" t="s">
        <v>33</v>
      </c>
      <c r="Z429" t="s">
        <v>34</v>
      </c>
      <c r="AA429">
        <v>1</v>
      </c>
    </row>
    <row r="430" spans="1:27" x14ac:dyDescent="0.35">
      <c r="A430" s="13">
        <v>45930</v>
      </c>
      <c r="B430">
        <v>1</v>
      </c>
      <c r="D430" t="s">
        <v>31</v>
      </c>
      <c r="E430" t="s">
        <v>32</v>
      </c>
      <c r="F430" t="s">
        <v>32</v>
      </c>
      <c r="H430" t="s">
        <v>59</v>
      </c>
      <c r="I430" t="s">
        <v>160</v>
      </c>
      <c r="K430">
        <v>21</v>
      </c>
      <c r="L430" s="13"/>
      <c r="M430" s="13">
        <v>46568</v>
      </c>
      <c r="N430" s="13">
        <v>46568</v>
      </c>
      <c r="O430" s="13">
        <v>46568</v>
      </c>
      <c r="P430" s="24">
        <v>8390.977733491969</v>
      </c>
      <c r="V430">
        <v>1</v>
      </c>
      <c r="W430" t="s">
        <v>33</v>
      </c>
      <c r="Y430" t="s">
        <v>33</v>
      </c>
      <c r="Z430" t="s">
        <v>34</v>
      </c>
      <c r="AA430">
        <v>1</v>
      </c>
    </row>
    <row r="431" spans="1:27" x14ac:dyDescent="0.35">
      <c r="A431" s="13">
        <v>45930</v>
      </c>
      <c r="B431">
        <v>1</v>
      </c>
      <c r="D431" t="s">
        <v>31</v>
      </c>
      <c r="E431" t="s">
        <v>32</v>
      </c>
      <c r="F431" t="s">
        <v>32</v>
      </c>
      <c r="H431" t="s">
        <v>59</v>
      </c>
      <c r="I431" t="s">
        <v>160</v>
      </c>
      <c r="K431">
        <v>22</v>
      </c>
      <c r="L431" s="13"/>
      <c r="M431" s="13">
        <v>46599</v>
      </c>
      <c r="N431" s="13">
        <v>46599</v>
      </c>
      <c r="O431" s="13">
        <v>46599</v>
      </c>
      <c r="P431" s="24">
        <v>8390.977733491969</v>
      </c>
      <c r="V431">
        <v>1</v>
      </c>
      <c r="W431" t="s">
        <v>33</v>
      </c>
      <c r="Y431" t="s">
        <v>33</v>
      </c>
      <c r="Z431" t="s">
        <v>34</v>
      </c>
      <c r="AA431">
        <v>1</v>
      </c>
    </row>
    <row r="432" spans="1:27" x14ac:dyDescent="0.35">
      <c r="A432" s="13">
        <v>45930</v>
      </c>
      <c r="B432">
        <v>1</v>
      </c>
      <c r="D432" t="s">
        <v>31</v>
      </c>
      <c r="E432" t="s">
        <v>32</v>
      </c>
      <c r="F432" t="s">
        <v>32</v>
      </c>
      <c r="H432" t="s">
        <v>59</v>
      </c>
      <c r="I432" t="s">
        <v>160</v>
      </c>
      <c r="K432">
        <v>23</v>
      </c>
      <c r="L432" s="13"/>
      <c r="M432" s="13">
        <v>46630</v>
      </c>
      <c r="N432" s="13">
        <v>46630</v>
      </c>
      <c r="O432" s="13">
        <v>46630</v>
      </c>
      <c r="P432" s="24">
        <v>8390.977733491969</v>
      </c>
      <c r="V432">
        <v>1</v>
      </c>
      <c r="W432" t="s">
        <v>33</v>
      </c>
      <c r="Y432" t="s">
        <v>33</v>
      </c>
      <c r="Z432" t="s">
        <v>34</v>
      </c>
      <c r="AA432">
        <v>1</v>
      </c>
    </row>
    <row r="433" spans="1:27" x14ac:dyDescent="0.35">
      <c r="A433" s="13">
        <v>45930</v>
      </c>
      <c r="B433">
        <v>1</v>
      </c>
      <c r="D433" t="s">
        <v>31</v>
      </c>
      <c r="E433" t="s">
        <v>32</v>
      </c>
      <c r="F433" t="s">
        <v>32</v>
      </c>
      <c r="H433" t="s">
        <v>59</v>
      </c>
      <c r="I433" t="s">
        <v>160</v>
      </c>
      <c r="K433">
        <v>24</v>
      </c>
      <c r="L433" s="13"/>
      <c r="M433" s="13">
        <v>46660</v>
      </c>
      <c r="N433" s="13">
        <v>46660</v>
      </c>
      <c r="O433" s="13">
        <v>46660</v>
      </c>
      <c r="P433" s="24">
        <v>8390.977733491969</v>
      </c>
      <c r="V433">
        <v>1</v>
      </c>
      <c r="W433" t="s">
        <v>33</v>
      </c>
      <c r="Y433" t="s">
        <v>33</v>
      </c>
      <c r="Z433" t="s">
        <v>34</v>
      </c>
      <c r="AA433">
        <v>1</v>
      </c>
    </row>
    <row r="434" spans="1:27" x14ac:dyDescent="0.35">
      <c r="A434" s="13">
        <v>45930</v>
      </c>
      <c r="B434">
        <v>1</v>
      </c>
      <c r="D434" t="s">
        <v>31</v>
      </c>
      <c r="E434" t="s">
        <v>32</v>
      </c>
      <c r="F434" t="s">
        <v>32</v>
      </c>
      <c r="H434" t="s">
        <v>59</v>
      </c>
      <c r="I434" t="s">
        <v>160</v>
      </c>
      <c r="K434">
        <v>25</v>
      </c>
      <c r="L434" s="13"/>
      <c r="M434" s="13">
        <v>46691</v>
      </c>
      <c r="N434" s="13">
        <v>46691</v>
      </c>
      <c r="O434" s="13">
        <v>46691</v>
      </c>
      <c r="P434" s="24">
        <v>8390.977733491969</v>
      </c>
      <c r="V434">
        <v>1</v>
      </c>
      <c r="W434" t="s">
        <v>33</v>
      </c>
      <c r="Y434" t="s">
        <v>33</v>
      </c>
      <c r="Z434" t="s">
        <v>34</v>
      </c>
      <c r="AA434">
        <v>1</v>
      </c>
    </row>
    <row r="435" spans="1:27" x14ac:dyDescent="0.35">
      <c r="A435" s="13">
        <v>45930</v>
      </c>
      <c r="B435">
        <v>1</v>
      </c>
      <c r="D435" t="s">
        <v>31</v>
      </c>
      <c r="E435" t="s">
        <v>32</v>
      </c>
      <c r="F435" t="s">
        <v>32</v>
      </c>
      <c r="H435" t="s">
        <v>59</v>
      </c>
      <c r="I435" t="s">
        <v>160</v>
      </c>
      <c r="K435">
        <v>26</v>
      </c>
      <c r="L435" s="13"/>
      <c r="M435" s="13">
        <v>46721</v>
      </c>
      <c r="N435" s="13">
        <v>46721</v>
      </c>
      <c r="O435" s="13">
        <v>46721</v>
      </c>
      <c r="P435" s="24">
        <v>8390.977733491969</v>
      </c>
      <c r="V435">
        <v>1</v>
      </c>
      <c r="W435" t="s">
        <v>33</v>
      </c>
      <c r="Y435" t="s">
        <v>33</v>
      </c>
      <c r="Z435" t="s">
        <v>34</v>
      </c>
      <c r="AA435">
        <v>1</v>
      </c>
    </row>
    <row r="436" spans="1:27" x14ac:dyDescent="0.35">
      <c r="A436" s="13">
        <v>45930</v>
      </c>
      <c r="B436">
        <v>1</v>
      </c>
      <c r="D436" t="s">
        <v>31</v>
      </c>
      <c r="E436" t="s">
        <v>32</v>
      </c>
      <c r="F436" t="s">
        <v>32</v>
      </c>
      <c r="H436" t="s">
        <v>59</v>
      </c>
      <c r="I436" t="s">
        <v>160</v>
      </c>
      <c r="K436">
        <v>27</v>
      </c>
      <c r="L436" s="13"/>
      <c r="M436" s="13">
        <v>46752</v>
      </c>
      <c r="N436" s="13">
        <v>46752</v>
      </c>
      <c r="O436" s="13">
        <v>46752</v>
      </c>
      <c r="P436" s="24">
        <v>8390.977733491969</v>
      </c>
      <c r="V436">
        <v>1</v>
      </c>
      <c r="W436" t="s">
        <v>33</v>
      </c>
      <c r="Y436" t="s">
        <v>33</v>
      </c>
      <c r="Z436" t="s">
        <v>34</v>
      </c>
      <c r="AA436">
        <v>1</v>
      </c>
    </row>
    <row r="437" spans="1:27" x14ac:dyDescent="0.35">
      <c r="A437" s="13">
        <v>45930</v>
      </c>
      <c r="B437">
        <v>1</v>
      </c>
      <c r="D437" t="s">
        <v>31</v>
      </c>
      <c r="E437" t="s">
        <v>32</v>
      </c>
      <c r="F437" t="s">
        <v>32</v>
      </c>
      <c r="H437" t="s">
        <v>59</v>
      </c>
      <c r="I437" t="s">
        <v>160</v>
      </c>
      <c r="K437">
        <v>28</v>
      </c>
      <c r="L437" s="13"/>
      <c r="M437" s="13">
        <v>46783</v>
      </c>
      <c r="N437" s="13">
        <v>46783</v>
      </c>
      <c r="O437" s="13">
        <v>46783</v>
      </c>
      <c r="P437" s="24">
        <v>8390.977733491969</v>
      </c>
      <c r="V437">
        <v>1</v>
      </c>
      <c r="W437" t="s">
        <v>33</v>
      </c>
      <c r="Y437" t="s">
        <v>33</v>
      </c>
      <c r="Z437" t="s">
        <v>34</v>
      </c>
      <c r="AA437">
        <v>1</v>
      </c>
    </row>
    <row r="438" spans="1:27" x14ac:dyDescent="0.35">
      <c r="A438" s="13">
        <v>45930</v>
      </c>
      <c r="B438">
        <v>1</v>
      </c>
      <c r="D438" t="s">
        <v>31</v>
      </c>
      <c r="E438" t="s">
        <v>32</v>
      </c>
      <c r="F438" t="s">
        <v>32</v>
      </c>
      <c r="H438" t="s">
        <v>59</v>
      </c>
      <c r="I438" t="s">
        <v>160</v>
      </c>
      <c r="K438">
        <v>29</v>
      </c>
      <c r="L438" s="13"/>
      <c r="M438" s="13">
        <v>46812</v>
      </c>
      <c r="N438" s="13">
        <v>46812</v>
      </c>
      <c r="O438" s="13">
        <v>46812</v>
      </c>
      <c r="P438" s="24">
        <v>8390.977733491969</v>
      </c>
      <c r="V438">
        <v>1</v>
      </c>
      <c r="W438" t="s">
        <v>33</v>
      </c>
      <c r="Y438" t="s">
        <v>33</v>
      </c>
      <c r="Z438" t="s">
        <v>34</v>
      </c>
      <c r="AA438">
        <v>1</v>
      </c>
    </row>
    <row r="439" spans="1:27" x14ac:dyDescent="0.35">
      <c r="A439" s="13">
        <v>45930</v>
      </c>
      <c r="B439">
        <v>1</v>
      </c>
      <c r="D439" t="s">
        <v>31</v>
      </c>
      <c r="E439" t="s">
        <v>32</v>
      </c>
      <c r="F439" t="s">
        <v>32</v>
      </c>
      <c r="H439" t="s">
        <v>59</v>
      </c>
      <c r="I439" t="s">
        <v>160</v>
      </c>
      <c r="K439">
        <v>30</v>
      </c>
      <c r="L439" s="13"/>
      <c r="M439" s="13">
        <v>46843</v>
      </c>
      <c r="N439" s="13">
        <v>46843</v>
      </c>
      <c r="O439" s="13">
        <v>46843</v>
      </c>
      <c r="P439" s="24">
        <v>8390.977733491969</v>
      </c>
      <c r="V439">
        <v>1</v>
      </c>
      <c r="W439" t="s">
        <v>33</v>
      </c>
      <c r="Y439" t="s">
        <v>33</v>
      </c>
      <c r="Z439" t="s">
        <v>34</v>
      </c>
      <c r="AA439">
        <v>1</v>
      </c>
    </row>
    <row r="440" spans="1:27" x14ac:dyDescent="0.35">
      <c r="A440" s="13">
        <v>45930</v>
      </c>
      <c r="B440">
        <v>1</v>
      </c>
      <c r="D440" t="s">
        <v>31</v>
      </c>
      <c r="E440" t="s">
        <v>32</v>
      </c>
      <c r="F440" t="s">
        <v>32</v>
      </c>
      <c r="H440" t="s">
        <v>59</v>
      </c>
      <c r="I440" t="s">
        <v>160</v>
      </c>
      <c r="K440">
        <v>31</v>
      </c>
      <c r="L440" s="13"/>
      <c r="M440" s="13">
        <v>46873</v>
      </c>
      <c r="N440" s="13">
        <v>46873</v>
      </c>
      <c r="O440" s="13">
        <v>46873</v>
      </c>
      <c r="P440" s="24">
        <v>8390.977733491969</v>
      </c>
      <c r="V440">
        <v>1</v>
      </c>
      <c r="W440" t="s">
        <v>33</v>
      </c>
      <c r="Y440" t="s">
        <v>33</v>
      </c>
      <c r="Z440" t="s">
        <v>34</v>
      </c>
      <c r="AA440">
        <v>1</v>
      </c>
    </row>
    <row r="441" spans="1:27" x14ac:dyDescent="0.35">
      <c r="A441" s="13">
        <v>45930</v>
      </c>
      <c r="B441">
        <v>1</v>
      </c>
      <c r="D441" t="s">
        <v>31</v>
      </c>
      <c r="E441" t="s">
        <v>32</v>
      </c>
      <c r="F441" t="s">
        <v>32</v>
      </c>
      <c r="H441" t="s">
        <v>59</v>
      </c>
      <c r="I441" t="s">
        <v>160</v>
      </c>
      <c r="K441">
        <v>32</v>
      </c>
      <c r="L441" s="13"/>
      <c r="M441" s="13">
        <v>46904</v>
      </c>
      <c r="N441" s="13">
        <v>46904</v>
      </c>
      <c r="O441" s="13">
        <v>46904</v>
      </c>
      <c r="P441" s="24">
        <v>8390.977733491969</v>
      </c>
      <c r="V441">
        <v>1</v>
      </c>
      <c r="W441" t="s">
        <v>33</v>
      </c>
      <c r="Y441" t="s">
        <v>33</v>
      </c>
      <c r="Z441" t="s">
        <v>34</v>
      </c>
      <c r="AA441">
        <v>1</v>
      </c>
    </row>
    <row r="442" spans="1:27" x14ac:dyDescent="0.35">
      <c r="A442" s="13">
        <v>45930</v>
      </c>
      <c r="B442">
        <v>1</v>
      </c>
      <c r="D442" t="s">
        <v>31</v>
      </c>
      <c r="E442" t="s">
        <v>32</v>
      </c>
      <c r="F442" t="s">
        <v>32</v>
      </c>
      <c r="H442" t="s">
        <v>59</v>
      </c>
      <c r="I442" t="s">
        <v>160</v>
      </c>
      <c r="K442">
        <v>33</v>
      </c>
      <c r="L442" s="13"/>
      <c r="M442" s="13">
        <v>46934</v>
      </c>
      <c r="N442" s="13">
        <v>46934</v>
      </c>
      <c r="O442" s="13">
        <v>46934</v>
      </c>
      <c r="P442" s="24">
        <v>8390.977733491969</v>
      </c>
      <c r="V442">
        <v>1</v>
      </c>
      <c r="W442" t="s">
        <v>33</v>
      </c>
      <c r="Y442" t="s">
        <v>33</v>
      </c>
      <c r="Z442" t="s">
        <v>34</v>
      </c>
      <c r="AA442">
        <v>1</v>
      </c>
    </row>
    <row r="443" spans="1:27" x14ac:dyDescent="0.35">
      <c r="A443" s="13">
        <v>45930</v>
      </c>
      <c r="B443">
        <v>1</v>
      </c>
      <c r="D443" t="s">
        <v>31</v>
      </c>
      <c r="E443" t="s">
        <v>32</v>
      </c>
      <c r="F443" t="s">
        <v>32</v>
      </c>
      <c r="H443" t="s">
        <v>59</v>
      </c>
      <c r="I443" t="s">
        <v>160</v>
      </c>
      <c r="K443">
        <v>34</v>
      </c>
      <c r="L443" s="13"/>
      <c r="M443" s="13">
        <v>46965</v>
      </c>
      <c r="N443" s="13">
        <v>46965</v>
      </c>
      <c r="O443" s="13">
        <v>46965</v>
      </c>
      <c r="P443" s="24">
        <v>8390.977733491969</v>
      </c>
      <c r="V443">
        <v>1</v>
      </c>
      <c r="W443" t="s">
        <v>33</v>
      </c>
      <c r="Y443" t="s">
        <v>33</v>
      </c>
      <c r="Z443" t="s">
        <v>34</v>
      </c>
      <c r="AA443">
        <v>1</v>
      </c>
    </row>
    <row r="444" spans="1:27" x14ac:dyDescent="0.35">
      <c r="A444" s="13">
        <v>45930</v>
      </c>
      <c r="B444">
        <v>1</v>
      </c>
      <c r="D444" t="s">
        <v>31</v>
      </c>
      <c r="E444" t="s">
        <v>32</v>
      </c>
      <c r="F444" t="s">
        <v>32</v>
      </c>
      <c r="H444" t="s">
        <v>59</v>
      </c>
      <c r="I444" t="s">
        <v>160</v>
      </c>
      <c r="K444">
        <v>35</v>
      </c>
      <c r="L444" s="13"/>
      <c r="M444" s="13">
        <v>46996</v>
      </c>
      <c r="N444" s="13">
        <v>46996</v>
      </c>
      <c r="O444" s="13">
        <v>46996</v>
      </c>
      <c r="P444" s="24">
        <v>8390.977733491969</v>
      </c>
      <c r="V444">
        <v>1</v>
      </c>
      <c r="W444" t="s">
        <v>33</v>
      </c>
      <c r="Y444" t="s">
        <v>33</v>
      </c>
      <c r="Z444" t="s">
        <v>34</v>
      </c>
      <c r="AA444">
        <v>1</v>
      </c>
    </row>
    <row r="445" spans="1:27" x14ac:dyDescent="0.35">
      <c r="A445" s="13">
        <v>45930</v>
      </c>
      <c r="B445">
        <v>1</v>
      </c>
      <c r="D445" t="s">
        <v>31</v>
      </c>
      <c r="E445" t="s">
        <v>32</v>
      </c>
      <c r="F445" t="s">
        <v>32</v>
      </c>
      <c r="H445" t="s">
        <v>59</v>
      </c>
      <c r="I445" t="s">
        <v>160</v>
      </c>
      <c r="K445">
        <v>36</v>
      </c>
      <c r="L445" s="13"/>
      <c r="M445" s="13">
        <v>47026</v>
      </c>
      <c r="N445" s="13">
        <v>47026</v>
      </c>
      <c r="O445" s="13">
        <v>47026</v>
      </c>
      <c r="P445" s="24">
        <v>8390.977733491969</v>
      </c>
      <c r="V445">
        <v>1</v>
      </c>
      <c r="W445" t="s">
        <v>33</v>
      </c>
      <c r="Y445" t="s">
        <v>33</v>
      </c>
      <c r="Z445" t="s">
        <v>34</v>
      </c>
      <c r="AA445">
        <v>1</v>
      </c>
    </row>
    <row r="446" spans="1:27" x14ac:dyDescent="0.35">
      <c r="A446" s="13">
        <v>45930</v>
      </c>
      <c r="B446">
        <v>1</v>
      </c>
      <c r="D446" t="s">
        <v>31</v>
      </c>
      <c r="E446" t="s">
        <v>32</v>
      </c>
      <c r="F446" t="s">
        <v>32</v>
      </c>
      <c r="H446" t="s">
        <v>59</v>
      </c>
      <c r="I446" t="s">
        <v>160</v>
      </c>
      <c r="K446">
        <v>37</v>
      </c>
      <c r="L446" s="13"/>
      <c r="M446" s="13">
        <v>47057</v>
      </c>
      <c r="N446" s="13">
        <v>47057</v>
      </c>
      <c r="O446" s="13">
        <v>47057</v>
      </c>
      <c r="P446" s="24">
        <v>8390.977733491969</v>
      </c>
      <c r="V446">
        <v>1</v>
      </c>
      <c r="W446" t="s">
        <v>33</v>
      </c>
      <c r="Y446" t="s">
        <v>33</v>
      </c>
      <c r="Z446" t="s">
        <v>34</v>
      </c>
      <c r="AA446">
        <v>1</v>
      </c>
    </row>
    <row r="447" spans="1:27" x14ac:dyDescent="0.35">
      <c r="A447" s="13">
        <v>45930</v>
      </c>
      <c r="B447">
        <v>1</v>
      </c>
      <c r="D447" t="s">
        <v>31</v>
      </c>
      <c r="E447" t="s">
        <v>32</v>
      </c>
      <c r="F447" t="s">
        <v>32</v>
      </c>
      <c r="H447" t="s">
        <v>59</v>
      </c>
      <c r="I447" t="s">
        <v>160</v>
      </c>
      <c r="K447">
        <v>38</v>
      </c>
      <c r="L447" s="13"/>
      <c r="M447" s="13">
        <v>47087</v>
      </c>
      <c r="N447" s="13">
        <v>47087</v>
      </c>
      <c r="O447" s="13">
        <v>47087</v>
      </c>
      <c r="P447" s="24">
        <v>8390.977733491969</v>
      </c>
      <c r="V447">
        <v>1</v>
      </c>
      <c r="W447" t="s">
        <v>33</v>
      </c>
      <c r="Y447" t="s">
        <v>33</v>
      </c>
      <c r="Z447" t="s">
        <v>34</v>
      </c>
      <c r="AA447">
        <v>1</v>
      </c>
    </row>
    <row r="448" spans="1:27" x14ac:dyDescent="0.35">
      <c r="A448" s="13">
        <v>45930</v>
      </c>
      <c r="B448">
        <v>1</v>
      </c>
      <c r="D448" t="s">
        <v>31</v>
      </c>
      <c r="E448" t="s">
        <v>32</v>
      </c>
      <c r="F448" t="s">
        <v>32</v>
      </c>
      <c r="H448" t="s">
        <v>59</v>
      </c>
      <c r="I448" t="s">
        <v>160</v>
      </c>
      <c r="K448">
        <v>39</v>
      </c>
      <c r="L448" s="13"/>
      <c r="M448" s="13">
        <v>47118</v>
      </c>
      <c r="N448" s="13">
        <v>47118</v>
      </c>
      <c r="O448" s="13">
        <v>47118</v>
      </c>
      <c r="P448" s="24">
        <v>8390.977733491969</v>
      </c>
      <c r="V448">
        <v>1</v>
      </c>
      <c r="W448" t="s">
        <v>33</v>
      </c>
      <c r="Y448" t="s">
        <v>33</v>
      </c>
      <c r="Z448" t="s">
        <v>34</v>
      </c>
      <c r="AA448">
        <v>1</v>
      </c>
    </row>
    <row r="449" spans="1:27" x14ac:dyDescent="0.35">
      <c r="A449" s="13">
        <v>45930</v>
      </c>
      <c r="B449">
        <v>1</v>
      </c>
      <c r="D449" t="s">
        <v>31</v>
      </c>
      <c r="E449" t="s">
        <v>32</v>
      </c>
      <c r="F449" t="s">
        <v>32</v>
      </c>
      <c r="H449" t="s">
        <v>59</v>
      </c>
      <c r="I449" t="s">
        <v>160</v>
      </c>
      <c r="K449">
        <v>40</v>
      </c>
      <c r="L449" s="13"/>
      <c r="M449" s="13">
        <v>47149</v>
      </c>
      <c r="N449" s="13">
        <v>47149</v>
      </c>
      <c r="O449" s="13">
        <v>47149</v>
      </c>
      <c r="P449" s="24">
        <v>8390.977733491969</v>
      </c>
      <c r="V449">
        <v>1</v>
      </c>
      <c r="W449" t="s">
        <v>33</v>
      </c>
      <c r="Y449" t="s">
        <v>33</v>
      </c>
      <c r="Z449" t="s">
        <v>34</v>
      </c>
      <c r="AA449">
        <v>1</v>
      </c>
    </row>
    <row r="450" spans="1:27" x14ac:dyDescent="0.35">
      <c r="A450" s="13">
        <v>45930</v>
      </c>
      <c r="B450">
        <v>1</v>
      </c>
      <c r="D450" t="s">
        <v>31</v>
      </c>
      <c r="E450" t="s">
        <v>32</v>
      </c>
      <c r="F450" t="s">
        <v>32</v>
      </c>
      <c r="H450" t="s">
        <v>59</v>
      </c>
      <c r="I450" t="s">
        <v>160</v>
      </c>
      <c r="K450">
        <v>41</v>
      </c>
      <c r="L450" s="13"/>
      <c r="M450" s="13">
        <v>47177</v>
      </c>
      <c r="N450" s="13">
        <v>47177</v>
      </c>
      <c r="O450" s="13">
        <v>47177</v>
      </c>
      <c r="P450" s="24">
        <v>8390.977733491969</v>
      </c>
      <c r="V450">
        <v>1</v>
      </c>
      <c r="W450" t="s">
        <v>33</v>
      </c>
      <c r="Y450" t="s">
        <v>33</v>
      </c>
      <c r="Z450" t="s">
        <v>34</v>
      </c>
      <c r="AA450">
        <v>1</v>
      </c>
    </row>
    <row r="451" spans="1:27" x14ac:dyDescent="0.35">
      <c r="A451" s="13">
        <v>45930</v>
      </c>
      <c r="B451">
        <v>1</v>
      </c>
      <c r="D451" t="s">
        <v>31</v>
      </c>
      <c r="E451" t="s">
        <v>32</v>
      </c>
      <c r="F451" t="s">
        <v>32</v>
      </c>
      <c r="H451" t="s">
        <v>59</v>
      </c>
      <c r="I451" t="s">
        <v>160</v>
      </c>
      <c r="K451">
        <v>42</v>
      </c>
      <c r="L451" s="13"/>
      <c r="M451" s="13">
        <v>47208</v>
      </c>
      <c r="N451" s="13">
        <v>47208</v>
      </c>
      <c r="O451" s="13">
        <v>47208</v>
      </c>
      <c r="P451" s="24">
        <v>8390.977733491969</v>
      </c>
      <c r="V451">
        <v>1</v>
      </c>
      <c r="W451" t="s">
        <v>33</v>
      </c>
      <c r="Y451" t="s">
        <v>33</v>
      </c>
      <c r="Z451" t="s">
        <v>34</v>
      </c>
      <c r="AA451">
        <v>1</v>
      </c>
    </row>
    <row r="452" spans="1:27" x14ac:dyDescent="0.35">
      <c r="A452" s="13">
        <v>45930</v>
      </c>
      <c r="B452">
        <v>1</v>
      </c>
      <c r="D452" t="s">
        <v>31</v>
      </c>
      <c r="E452" t="s">
        <v>32</v>
      </c>
      <c r="F452" t="s">
        <v>32</v>
      </c>
      <c r="H452" t="s">
        <v>59</v>
      </c>
      <c r="I452" t="s">
        <v>160</v>
      </c>
      <c r="K452">
        <v>43</v>
      </c>
      <c r="L452" s="13"/>
      <c r="M452" s="13">
        <v>47238</v>
      </c>
      <c r="N452" s="13">
        <v>47238</v>
      </c>
      <c r="O452" s="13">
        <v>47238</v>
      </c>
      <c r="P452" s="24">
        <v>8390.977733491969</v>
      </c>
      <c r="V452">
        <v>1</v>
      </c>
      <c r="W452" t="s">
        <v>33</v>
      </c>
      <c r="Y452" t="s">
        <v>33</v>
      </c>
      <c r="Z452" t="s">
        <v>34</v>
      </c>
      <c r="AA452">
        <v>1</v>
      </c>
    </row>
    <row r="453" spans="1:27" x14ac:dyDescent="0.35">
      <c r="A453" s="13">
        <v>45930</v>
      </c>
      <c r="B453">
        <v>1</v>
      </c>
      <c r="D453" t="s">
        <v>31</v>
      </c>
      <c r="E453" t="s">
        <v>32</v>
      </c>
      <c r="F453" t="s">
        <v>32</v>
      </c>
      <c r="H453" t="s">
        <v>59</v>
      </c>
      <c r="I453" t="s">
        <v>160</v>
      </c>
      <c r="K453">
        <v>44</v>
      </c>
      <c r="L453" s="13"/>
      <c r="M453" s="13">
        <v>47269</v>
      </c>
      <c r="N453" s="13">
        <v>47269</v>
      </c>
      <c r="O453" s="13">
        <v>47269</v>
      </c>
      <c r="P453" s="24">
        <v>8390.977733491969</v>
      </c>
      <c r="V453">
        <v>1</v>
      </c>
      <c r="W453" t="s">
        <v>33</v>
      </c>
      <c r="Y453" t="s">
        <v>33</v>
      </c>
      <c r="Z453" t="s">
        <v>34</v>
      </c>
      <c r="AA453">
        <v>1</v>
      </c>
    </row>
    <row r="454" spans="1:27" x14ac:dyDescent="0.35">
      <c r="A454" s="13">
        <v>45930</v>
      </c>
      <c r="B454">
        <v>1</v>
      </c>
      <c r="D454" t="s">
        <v>31</v>
      </c>
      <c r="E454" t="s">
        <v>32</v>
      </c>
      <c r="F454" t="s">
        <v>32</v>
      </c>
      <c r="H454" t="s">
        <v>59</v>
      </c>
      <c r="I454" t="s">
        <v>160</v>
      </c>
      <c r="K454">
        <v>45</v>
      </c>
      <c r="L454" s="13"/>
      <c r="M454" s="13">
        <v>47299</v>
      </c>
      <c r="N454" s="13">
        <v>47299</v>
      </c>
      <c r="O454" s="13">
        <v>47299</v>
      </c>
      <c r="P454" s="24">
        <v>8390.977733491969</v>
      </c>
      <c r="V454">
        <v>1</v>
      </c>
      <c r="W454" t="s">
        <v>33</v>
      </c>
      <c r="Y454" t="s">
        <v>33</v>
      </c>
      <c r="Z454" t="s">
        <v>34</v>
      </c>
      <c r="AA454">
        <v>1</v>
      </c>
    </row>
    <row r="455" spans="1:27" x14ac:dyDescent="0.35">
      <c r="A455" s="13">
        <v>45930</v>
      </c>
      <c r="B455">
        <v>1</v>
      </c>
      <c r="D455" t="s">
        <v>31</v>
      </c>
      <c r="E455" t="s">
        <v>32</v>
      </c>
      <c r="F455" t="s">
        <v>32</v>
      </c>
      <c r="H455" t="s">
        <v>59</v>
      </c>
      <c r="I455" t="s">
        <v>160</v>
      </c>
      <c r="K455">
        <v>46</v>
      </c>
      <c r="L455" s="13"/>
      <c r="M455" s="13">
        <v>47330</v>
      </c>
      <c r="N455" s="13">
        <v>47330</v>
      </c>
      <c r="O455" s="13">
        <v>47330</v>
      </c>
      <c r="P455" s="24">
        <v>8390.977733491969</v>
      </c>
      <c r="V455">
        <v>1</v>
      </c>
      <c r="W455" t="s">
        <v>33</v>
      </c>
      <c r="Y455" t="s">
        <v>33</v>
      </c>
      <c r="Z455" t="s">
        <v>34</v>
      </c>
      <c r="AA455">
        <v>1</v>
      </c>
    </row>
    <row r="456" spans="1:27" x14ac:dyDescent="0.35">
      <c r="A456" s="13">
        <v>45930</v>
      </c>
      <c r="B456">
        <v>1</v>
      </c>
      <c r="D456" t="s">
        <v>31</v>
      </c>
      <c r="E456" t="s">
        <v>32</v>
      </c>
      <c r="F456" t="s">
        <v>32</v>
      </c>
      <c r="H456" t="s">
        <v>59</v>
      </c>
      <c r="I456" t="s">
        <v>160</v>
      </c>
      <c r="K456">
        <v>47</v>
      </c>
      <c r="L456" s="13"/>
      <c r="M456" s="13">
        <v>47361</v>
      </c>
      <c r="N456" s="13">
        <v>47361</v>
      </c>
      <c r="O456" s="13">
        <v>47361</v>
      </c>
      <c r="P456" s="24">
        <v>8390.977733491969</v>
      </c>
      <c r="V456">
        <v>1</v>
      </c>
      <c r="W456" t="s">
        <v>33</v>
      </c>
      <c r="Y456" t="s">
        <v>33</v>
      </c>
      <c r="Z456" t="s">
        <v>34</v>
      </c>
      <c r="AA456">
        <v>1</v>
      </c>
    </row>
    <row r="457" spans="1:27" x14ac:dyDescent="0.35">
      <c r="A457" s="13">
        <v>45930</v>
      </c>
      <c r="B457">
        <v>1</v>
      </c>
      <c r="D457" t="s">
        <v>31</v>
      </c>
      <c r="E457" t="s">
        <v>32</v>
      </c>
      <c r="F457" t="s">
        <v>32</v>
      </c>
      <c r="H457" t="s">
        <v>59</v>
      </c>
      <c r="I457" t="s">
        <v>160</v>
      </c>
      <c r="K457">
        <v>48</v>
      </c>
      <c r="L457" s="13"/>
      <c r="M457" s="13">
        <v>47391</v>
      </c>
      <c r="N457" s="13">
        <v>47391</v>
      </c>
      <c r="O457" s="13">
        <v>47391</v>
      </c>
      <c r="P457" s="24">
        <v>8390.977733491969</v>
      </c>
      <c r="V457">
        <v>1</v>
      </c>
      <c r="W457" t="s">
        <v>33</v>
      </c>
      <c r="Y457" t="s">
        <v>33</v>
      </c>
      <c r="Z457" t="s">
        <v>34</v>
      </c>
      <c r="AA457">
        <v>1</v>
      </c>
    </row>
    <row r="458" spans="1:27" x14ac:dyDescent="0.35">
      <c r="A458" s="13">
        <v>45930</v>
      </c>
      <c r="B458">
        <v>1</v>
      </c>
      <c r="D458" t="s">
        <v>31</v>
      </c>
      <c r="E458" t="s">
        <v>32</v>
      </c>
      <c r="F458" t="s">
        <v>32</v>
      </c>
      <c r="H458" t="s">
        <v>59</v>
      </c>
      <c r="I458" t="s">
        <v>160</v>
      </c>
      <c r="K458">
        <v>49</v>
      </c>
      <c r="L458" s="13"/>
      <c r="M458" s="13">
        <v>47422</v>
      </c>
      <c r="N458" s="13">
        <v>47422</v>
      </c>
      <c r="O458" s="13">
        <v>47422</v>
      </c>
      <c r="P458" s="24">
        <v>8390.977733491969</v>
      </c>
      <c r="V458">
        <v>1</v>
      </c>
      <c r="W458" t="s">
        <v>33</v>
      </c>
      <c r="Y458" t="s">
        <v>33</v>
      </c>
      <c r="Z458" t="s">
        <v>34</v>
      </c>
      <c r="AA458">
        <v>1</v>
      </c>
    </row>
    <row r="459" spans="1:27" x14ac:dyDescent="0.35">
      <c r="A459" s="13">
        <v>45930</v>
      </c>
      <c r="B459">
        <v>1</v>
      </c>
      <c r="D459" t="s">
        <v>31</v>
      </c>
      <c r="E459" t="s">
        <v>32</v>
      </c>
      <c r="F459" t="s">
        <v>32</v>
      </c>
      <c r="H459" t="s">
        <v>59</v>
      </c>
      <c r="I459" t="s">
        <v>160</v>
      </c>
      <c r="K459">
        <v>50</v>
      </c>
      <c r="L459" s="13"/>
      <c r="M459" s="13">
        <v>47452</v>
      </c>
      <c r="N459" s="13">
        <v>47452</v>
      </c>
      <c r="O459" s="13">
        <v>47452</v>
      </c>
      <c r="P459" s="24">
        <v>8390.977733491969</v>
      </c>
      <c r="V459">
        <v>1</v>
      </c>
      <c r="W459" t="s">
        <v>33</v>
      </c>
      <c r="Y459" t="s">
        <v>33</v>
      </c>
      <c r="Z459" t="s">
        <v>34</v>
      </c>
      <c r="AA459">
        <v>1</v>
      </c>
    </row>
    <row r="460" spans="1:27" x14ac:dyDescent="0.35">
      <c r="A460" s="13">
        <v>45930</v>
      </c>
      <c r="B460">
        <v>1</v>
      </c>
      <c r="D460" t="s">
        <v>31</v>
      </c>
      <c r="E460" t="s">
        <v>32</v>
      </c>
      <c r="F460" t="s">
        <v>32</v>
      </c>
      <c r="H460" t="s">
        <v>59</v>
      </c>
      <c r="I460" t="s">
        <v>160</v>
      </c>
      <c r="K460">
        <v>51</v>
      </c>
      <c r="L460" s="13"/>
      <c r="M460" s="13">
        <v>47483</v>
      </c>
      <c r="N460" s="13">
        <v>47483</v>
      </c>
      <c r="O460" s="13">
        <v>47483</v>
      </c>
      <c r="P460" s="24">
        <v>8390.977733491969</v>
      </c>
      <c r="V460">
        <v>1</v>
      </c>
      <c r="W460" t="s">
        <v>33</v>
      </c>
      <c r="Y460" t="s">
        <v>33</v>
      </c>
      <c r="Z460" t="s">
        <v>34</v>
      </c>
      <c r="AA460">
        <v>1</v>
      </c>
    </row>
    <row r="461" spans="1:27" x14ac:dyDescent="0.35">
      <c r="A461" s="13">
        <v>45930</v>
      </c>
      <c r="B461">
        <v>1</v>
      </c>
      <c r="D461" t="s">
        <v>31</v>
      </c>
      <c r="E461" t="s">
        <v>32</v>
      </c>
      <c r="F461" t="s">
        <v>32</v>
      </c>
      <c r="H461" t="s">
        <v>59</v>
      </c>
      <c r="I461" t="s">
        <v>160</v>
      </c>
      <c r="K461">
        <v>52</v>
      </c>
      <c r="L461" s="13"/>
      <c r="M461" s="13">
        <v>47514</v>
      </c>
      <c r="N461" s="13">
        <v>47514</v>
      </c>
      <c r="O461" s="13">
        <v>47514</v>
      </c>
      <c r="P461" s="24">
        <v>8390.977733491969</v>
      </c>
      <c r="V461">
        <v>1</v>
      </c>
      <c r="W461" t="s">
        <v>33</v>
      </c>
      <c r="Y461" t="s">
        <v>33</v>
      </c>
      <c r="Z461" t="s">
        <v>34</v>
      </c>
      <c r="AA461">
        <v>1</v>
      </c>
    </row>
    <row r="462" spans="1:27" x14ac:dyDescent="0.35">
      <c r="A462" s="13">
        <v>45930</v>
      </c>
      <c r="B462">
        <v>1</v>
      </c>
      <c r="D462" t="s">
        <v>31</v>
      </c>
      <c r="E462" t="s">
        <v>32</v>
      </c>
      <c r="F462" t="s">
        <v>32</v>
      </c>
      <c r="H462" t="s">
        <v>59</v>
      </c>
      <c r="I462" t="s">
        <v>160</v>
      </c>
      <c r="K462">
        <v>53</v>
      </c>
      <c r="L462" s="13"/>
      <c r="M462" s="13">
        <v>47542</v>
      </c>
      <c r="N462" s="13">
        <v>47542</v>
      </c>
      <c r="O462" s="13">
        <v>47542</v>
      </c>
      <c r="P462" s="24">
        <v>8390.977733491969</v>
      </c>
      <c r="V462">
        <v>1</v>
      </c>
      <c r="W462" t="s">
        <v>33</v>
      </c>
      <c r="Y462" t="s">
        <v>33</v>
      </c>
      <c r="Z462" t="s">
        <v>34</v>
      </c>
      <c r="AA462">
        <v>1</v>
      </c>
    </row>
    <row r="463" spans="1:27" x14ac:dyDescent="0.35">
      <c r="A463" s="13">
        <v>45930</v>
      </c>
      <c r="B463">
        <v>1</v>
      </c>
      <c r="D463" t="s">
        <v>31</v>
      </c>
      <c r="E463" t="s">
        <v>32</v>
      </c>
      <c r="F463" t="s">
        <v>32</v>
      </c>
      <c r="H463" t="s">
        <v>59</v>
      </c>
      <c r="I463" t="s">
        <v>160</v>
      </c>
      <c r="K463">
        <v>54</v>
      </c>
      <c r="L463" s="13"/>
      <c r="M463" s="13">
        <v>47573</v>
      </c>
      <c r="N463" s="13">
        <v>47573</v>
      </c>
      <c r="O463" s="13">
        <v>47573</v>
      </c>
      <c r="P463" s="24">
        <v>8390.977733491969</v>
      </c>
      <c r="V463">
        <v>1</v>
      </c>
      <c r="W463" t="s">
        <v>33</v>
      </c>
      <c r="Y463" t="s">
        <v>33</v>
      </c>
      <c r="Z463" t="s">
        <v>34</v>
      </c>
      <c r="AA463">
        <v>1</v>
      </c>
    </row>
    <row r="464" spans="1:27" x14ac:dyDescent="0.35">
      <c r="A464" s="13">
        <v>45930</v>
      </c>
      <c r="B464">
        <v>1</v>
      </c>
      <c r="D464" t="s">
        <v>31</v>
      </c>
      <c r="E464" t="s">
        <v>32</v>
      </c>
      <c r="F464" t="s">
        <v>32</v>
      </c>
      <c r="H464" t="s">
        <v>59</v>
      </c>
      <c r="I464" t="s">
        <v>160</v>
      </c>
      <c r="K464">
        <v>55</v>
      </c>
      <c r="L464" s="13"/>
      <c r="M464" s="13">
        <v>47603</v>
      </c>
      <c r="N464" s="13">
        <v>47603</v>
      </c>
      <c r="O464" s="13">
        <v>47603</v>
      </c>
      <c r="P464" s="24">
        <v>8390.977733491969</v>
      </c>
      <c r="V464">
        <v>1</v>
      </c>
      <c r="W464" t="s">
        <v>33</v>
      </c>
      <c r="Y464" t="s">
        <v>33</v>
      </c>
      <c r="Z464" t="s">
        <v>34</v>
      </c>
      <c r="AA464">
        <v>1</v>
      </c>
    </row>
    <row r="465" spans="1:27" x14ac:dyDescent="0.35">
      <c r="A465" s="13">
        <v>45930</v>
      </c>
      <c r="B465">
        <v>1</v>
      </c>
      <c r="D465" t="s">
        <v>31</v>
      </c>
      <c r="E465" t="s">
        <v>32</v>
      </c>
      <c r="F465" t="s">
        <v>32</v>
      </c>
      <c r="H465" t="s">
        <v>59</v>
      </c>
      <c r="I465" t="s">
        <v>160</v>
      </c>
      <c r="K465">
        <v>56</v>
      </c>
      <c r="L465" s="13"/>
      <c r="M465" s="13">
        <v>47634</v>
      </c>
      <c r="N465" s="13">
        <v>47634</v>
      </c>
      <c r="O465" s="13">
        <v>47634</v>
      </c>
      <c r="P465" s="24">
        <v>8390.977733491969</v>
      </c>
      <c r="V465">
        <v>1</v>
      </c>
      <c r="W465" t="s">
        <v>33</v>
      </c>
      <c r="Y465" t="s">
        <v>33</v>
      </c>
      <c r="Z465" t="s">
        <v>34</v>
      </c>
      <c r="AA465">
        <v>1</v>
      </c>
    </row>
    <row r="466" spans="1:27" x14ac:dyDescent="0.35">
      <c r="A466" s="13">
        <v>45930</v>
      </c>
      <c r="B466">
        <v>1</v>
      </c>
      <c r="D466" t="s">
        <v>31</v>
      </c>
      <c r="E466" t="s">
        <v>32</v>
      </c>
      <c r="F466" t="s">
        <v>32</v>
      </c>
      <c r="H466" t="s">
        <v>59</v>
      </c>
      <c r="I466" t="s">
        <v>160</v>
      </c>
      <c r="K466">
        <v>57</v>
      </c>
      <c r="L466" s="13"/>
      <c r="M466" s="13">
        <v>47664</v>
      </c>
      <c r="N466" s="13">
        <v>47664</v>
      </c>
      <c r="O466" s="13">
        <v>47664</v>
      </c>
      <c r="P466" s="24">
        <v>8390.977733491969</v>
      </c>
      <c r="V466">
        <v>1</v>
      </c>
      <c r="W466" t="s">
        <v>33</v>
      </c>
      <c r="Y466" t="s">
        <v>33</v>
      </c>
      <c r="Z466" t="s">
        <v>34</v>
      </c>
      <c r="AA466">
        <v>1</v>
      </c>
    </row>
    <row r="467" spans="1:27" x14ac:dyDescent="0.35">
      <c r="A467" s="13">
        <v>45930</v>
      </c>
      <c r="B467">
        <v>1</v>
      </c>
      <c r="D467" t="s">
        <v>31</v>
      </c>
      <c r="E467" t="s">
        <v>32</v>
      </c>
      <c r="F467" t="s">
        <v>32</v>
      </c>
      <c r="H467" t="s">
        <v>59</v>
      </c>
      <c r="I467" t="s">
        <v>160</v>
      </c>
      <c r="K467">
        <v>58</v>
      </c>
      <c r="L467" s="13"/>
      <c r="M467" s="13">
        <v>47695</v>
      </c>
      <c r="N467" s="13">
        <v>47695</v>
      </c>
      <c r="O467" s="13">
        <v>47695</v>
      </c>
      <c r="P467" s="24">
        <v>8390.977733491969</v>
      </c>
      <c r="V467">
        <v>1</v>
      </c>
      <c r="W467" t="s">
        <v>33</v>
      </c>
      <c r="Y467" t="s">
        <v>33</v>
      </c>
      <c r="Z467" t="s">
        <v>34</v>
      </c>
      <c r="AA467">
        <v>1</v>
      </c>
    </row>
    <row r="468" spans="1:27" x14ac:dyDescent="0.35">
      <c r="A468" s="13">
        <v>45930</v>
      </c>
      <c r="B468">
        <v>1</v>
      </c>
      <c r="D468" t="s">
        <v>31</v>
      </c>
      <c r="E468" t="s">
        <v>32</v>
      </c>
      <c r="F468" t="s">
        <v>32</v>
      </c>
      <c r="H468" t="s">
        <v>59</v>
      </c>
      <c r="I468" t="s">
        <v>160</v>
      </c>
      <c r="K468">
        <v>59</v>
      </c>
      <c r="L468" s="13"/>
      <c r="M468" s="13">
        <v>47726</v>
      </c>
      <c r="N468" s="13">
        <v>47726</v>
      </c>
      <c r="O468" s="13">
        <v>47726</v>
      </c>
      <c r="P468" s="24">
        <v>8390.977733491969</v>
      </c>
      <c r="V468">
        <v>1</v>
      </c>
      <c r="W468" t="s">
        <v>33</v>
      </c>
      <c r="Y468" t="s">
        <v>33</v>
      </c>
      <c r="Z468" t="s">
        <v>34</v>
      </c>
      <c r="AA468">
        <v>1</v>
      </c>
    </row>
    <row r="469" spans="1:27" x14ac:dyDescent="0.35">
      <c r="A469" s="13">
        <v>45930</v>
      </c>
      <c r="B469">
        <v>1</v>
      </c>
      <c r="D469" t="s">
        <v>31</v>
      </c>
      <c r="E469" t="s">
        <v>32</v>
      </c>
      <c r="F469" t="s">
        <v>32</v>
      </c>
      <c r="H469" t="s">
        <v>59</v>
      </c>
      <c r="I469" t="s">
        <v>160</v>
      </c>
      <c r="K469">
        <v>60</v>
      </c>
      <c r="L469" s="13"/>
      <c r="M469" s="13">
        <v>47756</v>
      </c>
      <c r="N469" s="13">
        <v>47756</v>
      </c>
      <c r="O469" s="13">
        <v>47756</v>
      </c>
      <c r="P469" s="24">
        <v>8390.977733491969</v>
      </c>
      <c r="V469">
        <v>1</v>
      </c>
      <c r="W469" t="s">
        <v>33</v>
      </c>
      <c r="Y469" t="s">
        <v>33</v>
      </c>
      <c r="Z469" t="s">
        <v>34</v>
      </c>
      <c r="AA469">
        <v>1</v>
      </c>
    </row>
    <row r="470" spans="1:27" x14ac:dyDescent="0.35">
      <c r="A470" s="13">
        <v>45930</v>
      </c>
      <c r="B470">
        <v>1</v>
      </c>
      <c r="D470" t="s">
        <v>31</v>
      </c>
      <c r="E470" t="s">
        <v>32</v>
      </c>
      <c r="F470" t="s">
        <v>32</v>
      </c>
      <c r="H470" t="s">
        <v>59</v>
      </c>
      <c r="I470" t="s">
        <v>160</v>
      </c>
      <c r="K470">
        <v>61</v>
      </c>
      <c r="L470" s="13"/>
      <c r="M470" s="13">
        <v>47787</v>
      </c>
      <c r="N470" s="13">
        <v>47787</v>
      </c>
      <c r="O470" s="13">
        <v>47787</v>
      </c>
      <c r="P470" s="24">
        <v>8390.977733491969</v>
      </c>
      <c r="V470">
        <v>1</v>
      </c>
      <c r="W470" t="s">
        <v>33</v>
      </c>
      <c r="Y470" t="s">
        <v>33</v>
      </c>
      <c r="Z470" t="s">
        <v>34</v>
      </c>
      <c r="AA470">
        <v>1</v>
      </c>
    </row>
    <row r="471" spans="1:27" x14ac:dyDescent="0.35">
      <c r="A471" s="13">
        <v>45930</v>
      </c>
      <c r="B471">
        <v>1</v>
      </c>
      <c r="D471" t="s">
        <v>31</v>
      </c>
      <c r="E471" t="s">
        <v>32</v>
      </c>
      <c r="F471" t="s">
        <v>32</v>
      </c>
      <c r="H471" t="s">
        <v>59</v>
      </c>
      <c r="I471" t="s">
        <v>160</v>
      </c>
      <c r="K471">
        <v>62</v>
      </c>
      <c r="L471" s="13"/>
      <c r="M471" s="13">
        <v>47817</v>
      </c>
      <c r="N471" s="13">
        <v>47817</v>
      </c>
      <c r="O471" s="13">
        <v>47817</v>
      </c>
      <c r="P471" s="24">
        <v>8390.977733491969</v>
      </c>
      <c r="V471">
        <v>1</v>
      </c>
      <c r="W471" t="s">
        <v>33</v>
      </c>
      <c r="Y471" t="s">
        <v>33</v>
      </c>
      <c r="Z471" t="s">
        <v>34</v>
      </c>
      <c r="AA471">
        <v>1</v>
      </c>
    </row>
    <row r="472" spans="1:27" x14ac:dyDescent="0.35">
      <c r="A472" s="13">
        <v>45930</v>
      </c>
      <c r="B472">
        <v>1</v>
      </c>
      <c r="D472" t="s">
        <v>31</v>
      </c>
      <c r="E472" t="s">
        <v>32</v>
      </c>
      <c r="F472" t="s">
        <v>32</v>
      </c>
      <c r="H472" t="s">
        <v>59</v>
      </c>
      <c r="I472" t="s">
        <v>160</v>
      </c>
      <c r="K472">
        <v>63</v>
      </c>
      <c r="L472" s="13"/>
      <c r="M472" s="13">
        <v>47848</v>
      </c>
      <c r="N472" s="13">
        <v>47848</v>
      </c>
      <c r="O472" s="13">
        <v>47848</v>
      </c>
      <c r="P472" s="24">
        <v>8390.977733491969</v>
      </c>
      <c r="V472">
        <v>1</v>
      </c>
      <c r="W472" t="s">
        <v>33</v>
      </c>
      <c r="Y472" t="s">
        <v>33</v>
      </c>
      <c r="Z472" t="s">
        <v>34</v>
      </c>
      <c r="AA472">
        <v>1</v>
      </c>
    </row>
    <row r="473" spans="1:27" x14ac:dyDescent="0.35">
      <c r="A473" s="13">
        <v>45930</v>
      </c>
      <c r="B473">
        <v>1</v>
      </c>
      <c r="D473" t="s">
        <v>31</v>
      </c>
      <c r="E473" t="s">
        <v>32</v>
      </c>
      <c r="F473" t="s">
        <v>32</v>
      </c>
      <c r="H473" t="s">
        <v>59</v>
      </c>
      <c r="I473" t="s">
        <v>160</v>
      </c>
      <c r="K473">
        <v>64</v>
      </c>
      <c r="L473" s="13"/>
      <c r="M473" s="13">
        <v>47879</v>
      </c>
      <c r="N473" s="13">
        <v>47879</v>
      </c>
      <c r="O473" s="13">
        <v>47879</v>
      </c>
      <c r="P473" s="24">
        <v>8390.977733491969</v>
      </c>
      <c r="V473">
        <v>1</v>
      </c>
      <c r="W473" t="s">
        <v>33</v>
      </c>
      <c r="Y473" t="s">
        <v>33</v>
      </c>
      <c r="Z473" t="s">
        <v>34</v>
      </c>
      <c r="AA473">
        <v>1</v>
      </c>
    </row>
    <row r="474" spans="1:27" x14ac:dyDescent="0.35">
      <c r="A474" s="13">
        <v>45930</v>
      </c>
      <c r="B474">
        <v>1</v>
      </c>
      <c r="D474" t="s">
        <v>31</v>
      </c>
      <c r="E474" t="s">
        <v>32</v>
      </c>
      <c r="F474" t="s">
        <v>32</v>
      </c>
      <c r="H474" t="s">
        <v>59</v>
      </c>
      <c r="I474" t="s">
        <v>160</v>
      </c>
      <c r="K474">
        <v>65</v>
      </c>
      <c r="L474" s="13"/>
      <c r="M474" s="13">
        <v>47907</v>
      </c>
      <c r="N474" s="13">
        <v>47907</v>
      </c>
      <c r="O474" s="13">
        <v>47907</v>
      </c>
      <c r="P474" s="24">
        <v>8390.977733491969</v>
      </c>
      <c r="V474">
        <v>1</v>
      </c>
      <c r="W474" t="s">
        <v>33</v>
      </c>
      <c r="Y474" t="s">
        <v>33</v>
      </c>
      <c r="Z474" t="s">
        <v>34</v>
      </c>
      <c r="AA474">
        <v>1</v>
      </c>
    </row>
    <row r="475" spans="1:27" x14ac:dyDescent="0.35">
      <c r="A475" s="13">
        <v>45930</v>
      </c>
      <c r="B475">
        <v>1</v>
      </c>
      <c r="D475" t="s">
        <v>31</v>
      </c>
      <c r="E475" t="s">
        <v>32</v>
      </c>
      <c r="F475" t="s">
        <v>32</v>
      </c>
      <c r="H475" t="s">
        <v>59</v>
      </c>
      <c r="I475" t="s">
        <v>160</v>
      </c>
      <c r="K475">
        <v>66</v>
      </c>
      <c r="L475" s="13"/>
      <c r="M475" s="13">
        <v>47938</v>
      </c>
      <c r="N475" s="13">
        <v>47938</v>
      </c>
      <c r="O475" s="13">
        <v>47938</v>
      </c>
      <c r="P475" s="24">
        <v>8390.977733491969</v>
      </c>
      <c r="V475">
        <v>1</v>
      </c>
      <c r="W475" t="s">
        <v>33</v>
      </c>
      <c r="Y475" t="s">
        <v>33</v>
      </c>
      <c r="Z475" t="s">
        <v>34</v>
      </c>
      <c r="AA475">
        <v>1</v>
      </c>
    </row>
    <row r="476" spans="1:27" x14ac:dyDescent="0.35">
      <c r="A476" s="13">
        <v>45930</v>
      </c>
      <c r="B476">
        <v>1</v>
      </c>
      <c r="D476" t="s">
        <v>31</v>
      </c>
      <c r="E476" t="s">
        <v>32</v>
      </c>
      <c r="F476" t="s">
        <v>32</v>
      </c>
      <c r="H476" t="s">
        <v>59</v>
      </c>
      <c r="I476" t="s">
        <v>160</v>
      </c>
      <c r="K476">
        <v>67</v>
      </c>
      <c r="L476" s="13"/>
      <c r="M476" s="13">
        <v>47968</v>
      </c>
      <c r="N476" s="13">
        <v>47968</v>
      </c>
      <c r="O476" s="13">
        <v>47968</v>
      </c>
      <c r="P476" s="24">
        <v>8390.977733491969</v>
      </c>
      <c r="V476">
        <v>1</v>
      </c>
      <c r="W476" t="s">
        <v>33</v>
      </c>
      <c r="Y476" t="s">
        <v>33</v>
      </c>
      <c r="Z476" t="s">
        <v>34</v>
      </c>
      <c r="AA476">
        <v>1</v>
      </c>
    </row>
    <row r="477" spans="1:27" x14ac:dyDescent="0.35">
      <c r="A477" s="13">
        <v>45930</v>
      </c>
      <c r="B477">
        <v>1</v>
      </c>
      <c r="D477" t="s">
        <v>31</v>
      </c>
      <c r="E477" t="s">
        <v>32</v>
      </c>
      <c r="F477" t="s">
        <v>32</v>
      </c>
      <c r="H477" t="s">
        <v>59</v>
      </c>
      <c r="I477" t="s">
        <v>160</v>
      </c>
      <c r="K477">
        <v>68</v>
      </c>
      <c r="L477" s="13"/>
      <c r="M477" s="13">
        <v>47999</v>
      </c>
      <c r="N477" s="13">
        <v>47999</v>
      </c>
      <c r="O477" s="13">
        <v>47999</v>
      </c>
      <c r="P477" s="24">
        <v>8390.977733491969</v>
      </c>
      <c r="V477">
        <v>1</v>
      </c>
      <c r="W477" t="s">
        <v>33</v>
      </c>
      <c r="Y477" t="s">
        <v>33</v>
      </c>
      <c r="Z477" t="s">
        <v>34</v>
      </c>
      <c r="AA477">
        <v>1</v>
      </c>
    </row>
    <row r="478" spans="1:27" x14ac:dyDescent="0.35">
      <c r="A478" s="13">
        <v>45930</v>
      </c>
      <c r="B478">
        <v>1</v>
      </c>
      <c r="D478" t="s">
        <v>31</v>
      </c>
      <c r="E478" t="s">
        <v>32</v>
      </c>
      <c r="F478" t="s">
        <v>32</v>
      </c>
      <c r="H478" t="s">
        <v>59</v>
      </c>
      <c r="I478" t="s">
        <v>160</v>
      </c>
      <c r="K478">
        <v>69</v>
      </c>
      <c r="L478" s="13"/>
      <c r="M478" s="13">
        <v>48029</v>
      </c>
      <c r="N478" s="13">
        <v>48029</v>
      </c>
      <c r="O478" s="13">
        <v>48029</v>
      </c>
      <c r="P478" s="24">
        <v>8390.977733491969</v>
      </c>
      <c r="V478">
        <v>1</v>
      </c>
      <c r="W478" t="s">
        <v>33</v>
      </c>
      <c r="Y478" t="s">
        <v>33</v>
      </c>
      <c r="Z478" t="s">
        <v>34</v>
      </c>
      <c r="AA478">
        <v>1</v>
      </c>
    </row>
    <row r="479" spans="1:27" x14ac:dyDescent="0.35">
      <c r="A479" s="13">
        <v>45930</v>
      </c>
      <c r="B479">
        <v>1</v>
      </c>
      <c r="D479" t="s">
        <v>31</v>
      </c>
      <c r="E479" t="s">
        <v>32</v>
      </c>
      <c r="F479" t="s">
        <v>32</v>
      </c>
      <c r="H479" t="s">
        <v>59</v>
      </c>
      <c r="I479" t="s">
        <v>160</v>
      </c>
      <c r="K479">
        <v>70</v>
      </c>
      <c r="L479" s="13"/>
      <c r="M479" s="13">
        <v>48060</v>
      </c>
      <c r="N479" s="13">
        <v>48060</v>
      </c>
      <c r="O479" s="13">
        <v>48060</v>
      </c>
      <c r="P479" s="24">
        <v>8390.977733491969</v>
      </c>
      <c r="V479">
        <v>1</v>
      </c>
      <c r="W479" t="s">
        <v>33</v>
      </c>
      <c r="Y479" t="s">
        <v>33</v>
      </c>
      <c r="Z479" t="s">
        <v>34</v>
      </c>
      <c r="AA479">
        <v>1</v>
      </c>
    </row>
    <row r="480" spans="1:27" x14ac:dyDescent="0.35">
      <c r="A480" s="13">
        <v>45930</v>
      </c>
      <c r="B480">
        <v>1</v>
      </c>
      <c r="D480" t="s">
        <v>31</v>
      </c>
      <c r="E480" t="s">
        <v>32</v>
      </c>
      <c r="F480" t="s">
        <v>32</v>
      </c>
      <c r="H480" t="s">
        <v>59</v>
      </c>
      <c r="I480" t="s">
        <v>160</v>
      </c>
      <c r="K480">
        <v>71</v>
      </c>
      <c r="L480" s="13"/>
      <c r="M480" s="13">
        <v>48091</v>
      </c>
      <c r="N480" s="13">
        <v>48091</v>
      </c>
      <c r="O480" s="13">
        <v>48091</v>
      </c>
      <c r="P480" s="24">
        <v>8390.977733491969</v>
      </c>
      <c r="V480">
        <v>1</v>
      </c>
      <c r="W480" t="s">
        <v>33</v>
      </c>
      <c r="Y480" t="s">
        <v>33</v>
      </c>
      <c r="Z480" t="s">
        <v>34</v>
      </c>
      <c r="AA480">
        <v>1</v>
      </c>
    </row>
    <row r="481" spans="1:27" x14ac:dyDescent="0.35">
      <c r="A481" s="13">
        <v>45930</v>
      </c>
      <c r="B481">
        <v>1</v>
      </c>
      <c r="D481" t="s">
        <v>31</v>
      </c>
      <c r="E481" t="s">
        <v>32</v>
      </c>
      <c r="F481" t="s">
        <v>32</v>
      </c>
      <c r="H481" t="s">
        <v>59</v>
      </c>
      <c r="I481" t="s">
        <v>160</v>
      </c>
      <c r="K481">
        <v>72</v>
      </c>
      <c r="L481" s="13"/>
      <c r="M481" s="13">
        <v>48121</v>
      </c>
      <c r="N481" s="13">
        <v>48121</v>
      </c>
      <c r="O481" s="13">
        <v>48121</v>
      </c>
      <c r="P481" s="24">
        <v>8390.977733491969</v>
      </c>
      <c r="V481">
        <v>1</v>
      </c>
      <c r="W481" t="s">
        <v>33</v>
      </c>
      <c r="Y481" t="s">
        <v>33</v>
      </c>
      <c r="Z481" t="s">
        <v>34</v>
      </c>
      <c r="AA481">
        <v>1</v>
      </c>
    </row>
    <row r="482" spans="1:27" x14ac:dyDescent="0.35">
      <c r="A482" s="13">
        <v>45930</v>
      </c>
      <c r="B482">
        <v>1</v>
      </c>
      <c r="D482" t="s">
        <v>31</v>
      </c>
      <c r="E482" t="s">
        <v>32</v>
      </c>
      <c r="F482" t="s">
        <v>32</v>
      </c>
      <c r="H482" t="s">
        <v>59</v>
      </c>
      <c r="I482" t="s">
        <v>160</v>
      </c>
      <c r="K482">
        <v>73</v>
      </c>
      <c r="L482" s="13"/>
      <c r="M482" s="13">
        <v>48152</v>
      </c>
      <c r="N482" s="13">
        <v>48152</v>
      </c>
      <c r="O482" s="13">
        <v>48152</v>
      </c>
      <c r="P482" s="24">
        <v>8390.977733491969</v>
      </c>
      <c r="V482">
        <v>1</v>
      </c>
      <c r="W482" t="s">
        <v>33</v>
      </c>
      <c r="Y482" t="s">
        <v>33</v>
      </c>
      <c r="Z482" t="s">
        <v>34</v>
      </c>
      <c r="AA482">
        <v>1</v>
      </c>
    </row>
    <row r="483" spans="1:27" x14ac:dyDescent="0.35">
      <c r="A483" s="13">
        <v>45930</v>
      </c>
      <c r="B483">
        <v>1</v>
      </c>
      <c r="D483" t="s">
        <v>31</v>
      </c>
      <c r="E483" t="s">
        <v>32</v>
      </c>
      <c r="F483" t="s">
        <v>32</v>
      </c>
      <c r="H483" t="s">
        <v>59</v>
      </c>
      <c r="I483" t="s">
        <v>160</v>
      </c>
      <c r="K483">
        <v>74</v>
      </c>
      <c r="L483" s="13"/>
      <c r="M483" s="13">
        <v>48182</v>
      </c>
      <c r="N483" s="13">
        <v>48182</v>
      </c>
      <c r="O483" s="13">
        <v>48182</v>
      </c>
      <c r="P483" s="24">
        <v>8390.977733491969</v>
      </c>
      <c r="V483">
        <v>1</v>
      </c>
      <c r="W483" t="s">
        <v>33</v>
      </c>
      <c r="Y483" t="s">
        <v>33</v>
      </c>
      <c r="Z483" t="s">
        <v>34</v>
      </c>
      <c r="AA483">
        <v>1</v>
      </c>
    </row>
    <row r="484" spans="1:27" x14ac:dyDescent="0.35">
      <c r="A484" s="13">
        <v>45930</v>
      </c>
      <c r="B484">
        <v>1</v>
      </c>
      <c r="D484" t="s">
        <v>31</v>
      </c>
      <c r="E484" t="s">
        <v>32</v>
      </c>
      <c r="F484" t="s">
        <v>32</v>
      </c>
      <c r="H484" t="s">
        <v>59</v>
      </c>
      <c r="I484" t="s">
        <v>160</v>
      </c>
      <c r="K484">
        <v>75</v>
      </c>
      <c r="L484" s="13"/>
      <c r="M484" s="13">
        <v>48213</v>
      </c>
      <c r="N484" s="13">
        <v>48213</v>
      </c>
      <c r="O484" s="13">
        <v>48213</v>
      </c>
      <c r="P484" s="24">
        <v>8390.977733491969</v>
      </c>
      <c r="V484">
        <v>1</v>
      </c>
      <c r="W484" t="s">
        <v>33</v>
      </c>
      <c r="Y484" t="s">
        <v>33</v>
      </c>
      <c r="Z484" t="s">
        <v>34</v>
      </c>
      <c r="AA484">
        <v>1</v>
      </c>
    </row>
    <row r="485" spans="1:27" x14ac:dyDescent="0.35">
      <c r="A485" s="13">
        <v>45930</v>
      </c>
      <c r="B485">
        <v>1</v>
      </c>
      <c r="D485" t="s">
        <v>31</v>
      </c>
      <c r="E485" t="s">
        <v>32</v>
      </c>
      <c r="F485" t="s">
        <v>32</v>
      </c>
      <c r="H485" t="s">
        <v>59</v>
      </c>
      <c r="I485" t="s">
        <v>160</v>
      </c>
      <c r="K485">
        <v>76</v>
      </c>
      <c r="L485" s="13"/>
      <c r="M485" s="13">
        <v>48244</v>
      </c>
      <c r="N485" s="13">
        <v>48244</v>
      </c>
      <c r="O485" s="13">
        <v>48244</v>
      </c>
      <c r="P485" s="24">
        <v>8390.977733491969</v>
      </c>
      <c r="V485">
        <v>1</v>
      </c>
      <c r="W485" t="s">
        <v>33</v>
      </c>
      <c r="Y485" t="s">
        <v>33</v>
      </c>
      <c r="Z485" t="s">
        <v>34</v>
      </c>
      <c r="AA485">
        <v>1</v>
      </c>
    </row>
    <row r="486" spans="1:27" x14ac:dyDescent="0.35">
      <c r="A486" s="13">
        <v>45930</v>
      </c>
      <c r="B486">
        <v>1</v>
      </c>
      <c r="D486" t="s">
        <v>31</v>
      </c>
      <c r="E486" t="s">
        <v>32</v>
      </c>
      <c r="F486" t="s">
        <v>32</v>
      </c>
      <c r="H486" t="s">
        <v>59</v>
      </c>
      <c r="I486" t="s">
        <v>160</v>
      </c>
      <c r="K486">
        <v>77</v>
      </c>
      <c r="L486" s="13"/>
      <c r="M486" s="13">
        <v>48273</v>
      </c>
      <c r="N486" s="13">
        <v>48273</v>
      </c>
      <c r="O486" s="13">
        <v>48273</v>
      </c>
      <c r="P486" s="24">
        <v>8390.977733491969</v>
      </c>
      <c r="V486">
        <v>1</v>
      </c>
      <c r="W486" t="s">
        <v>33</v>
      </c>
      <c r="Y486" t="s">
        <v>33</v>
      </c>
      <c r="Z486" t="s">
        <v>34</v>
      </c>
      <c r="AA486">
        <v>1</v>
      </c>
    </row>
    <row r="487" spans="1:27" x14ac:dyDescent="0.35">
      <c r="A487" s="13">
        <v>45930</v>
      </c>
      <c r="B487">
        <v>1</v>
      </c>
      <c r="D487" t="s">
        <v>31</v>
      </c>
      <c r="E487" t="s">
        <v>32</v>
      </c>
      <c r="F487" t="s">
        <v>32</v>
      </c>
      <c r="H487" t="s">
        <v>59</v>
      </c>
      <c r="I487" t="s">
        <v>160</v>
      </c>
      <c r="K487">
        <v>78</v>
      </c>
      <c r="L487" s="13"/>
      <c r="M487" s="13">
        <v>48304</v>
      </c>
      <c r="N487" s="13">
        <v>48304</v>
      </c>
      <c r="O487" s="13">
        <v>48304</v>
      </c>
      <c r="P487" s="24">
        <v>8390.977733491969</v>
      </c>
      <c r="V487">
        <v>1</v>
      </c>
      <c r="W487" t="s">
        <v>33</v>
      </c>
      <c r="Y487" t="s">
        <v>33</v>
      </c>
      <c r="Z487" t="s">
        <v>34</v>
      </c>
      <c r="AA487">
        <v>1</v>
      </c>
    </row>
    <row r="488" spans="1:27" x14ac:dyDescent="0.35">
      <c r="A488" s="13">
        <v>45930</v>
      </c>
      <c r="B488">
        <v>1</v>
      </c>
      <c r="D488" t="s">
        <v>31</v>
      </c>
      <c r="E488" t="s">
        <v>32</v>
      </c>
      <c r="F488" t="s">
        <v>32</v>
      </c>
      <c r="H488" t="s">
        <v>59</v>
      </c>
      <c r="I488" t="s">
        <v>160</v>
      </c>
      <c r="K488">
        <v>79</v>
      </c>
      <c r="L488" s="13"/>
      <c r="M488" s="13">
        <v>48334</v>
      </c>
      <c r="N488" s="13">
        <v>48334</v>
      </c>
      <c r="O488" s="13">
        <v>48334</v>
      </c>
      <c r="P488" s="24">
        <v>8390.977733491969</v>
      </c>
      <c r="V488">
        <v>1</v>
      </c>
      <c r="W488" t="s">
        <v>33</v>
      </c>
      <c r="Y488" t="s">
        <v>33</v>
      </c>
      <c r="Z488" t="s">
        <v>34</v>
      </c>
      <c r="AA488">
        <v>1</v>
      </c>
    </row>
    <row r="489" spans="1:27" x14ac:dyDescent="0.35">
      <c r="A489" s="13">
        <v>45930</v>
      </c>
      <c r="B489">
        <v>1</v>
      </c>
      <c r="D489" t="s">
        <v>31</v>
      </c>
      <c r="E489" t="s">
        <v>32</v>
      </c>
      <c r="F489" t="s">
        <v>32</v>
      </c>
      <c r="H489" t="s">
        <v>59</v>
      </c>
      <c r="I489" t="s">
        <v>160</v>
      </c>
      <c r="K489">
        <v>80</v>
      </c>
      <c r="L489" s="13"/>
      <c r="M489" s="13">
        <v>48365</v>
      </c>
      <c r="N489" s="13">
        <v>48365</v>
      </c>
      <c r="O489" s="13">
        <v>48365</v>
      </c>
      <c r="P489" s="24">
        <v>8390.977733491969</v>
      </c>
      <c r="V489">
        <v>1</v>
      </c>
      <c r="W489" t="s">
        <v>33</v>
      </c>
      <c r="Y489" t="s">
        <v>33</v>
      </c>
      <c r="Z489" t="s">
        <v>34</v>
      </c>
      <c r="AA489">
        <v>1</v>
      </c>
    </row>
    <row r="490" spans="1:27" x14ac:dyDescent="0.35">
      <c r="A490" s="13">
        <v>45930</v>
      </c>
      <c r="B490">
        <v>1</v>
      </c>
      <c r="D490" t="s">
        <v>31</v>
      </c>
      <c r="E490" t="s">
        <v>32</v>
      </c>
      <c r="F490" t="s">
        <v>32</v>
      </c>
      <c r="H490" t="s">
        <v>59</v>
      </c>
      <c r="I490" t="s">
        <v>160</v>
      </c>
      <c r="K490">
        <v>81</v>
      </c>
      <c r="L490" s="13"/>
      <c r="M490" s="13">
        <v>48395</v>
      </c>
      <c r="N490" s="13">
        <v>48395</v>
      </c>
      <c r="O490" s="13">
        <v>48395</v>
      </c>
      <c r="P490" s="24">
        <v>8390.977733491969</v>
      </c>
      <c r="V490">
        <v>1</v>
      </c>
      <c r="W490" t="s">
        <v>33</v>
      </c>
      <c r="Y490" t="s">
        <v>33</v>
      </c>
      <c r="Z490" t="s">
        <v>34</v>
      </c>
      <c r="AA490">
        <v>1</v>
      </c>
    </row>
    <row r="491" spans="1:27" x14ac:dyDescent="0.35">
      <c r="A491" s="13">
        <v>45930</v>
      </c>
      <c r="B491">
        <v>1</v>
      </c>
      <c r="D491" t="s">
        <v>31</v>
      </c>
      <c r="E491" t="s">
        <v>32</v>
      </c>
      <c r="F491" t="s">
        <v>32</v>
      </c>
      <c r="H491" t="s">
        <v>59</v>
      </c>
      <c r="I491" t="s">
        <v>160</v>
      </c>
      <c r="K491">
        <v>82</v>
      </c>
      <c r="L491" s="13"/>
      <c r="M491" s="13">
        <v>48426</v>
      </c>
      <c r="N491" s="13">
        <v>48426</v>
      </c>
      <c r="O491" s="13">
        <v>48426</v>
      </c>
      <c r="P491" s="24">
        <v>8390.977733491969</v>
      </c>
      <c r="V491">
        <v>1</v>
      </c>
      <c r="W491" t="s">
        <v>33</v>
      </c>
      <c r="Y491" t="s">
        <v>33</v>
      </c>
      <c r="Z491" t="s">
        <v>34</v>
      </c>
      <c r="AA491">
        <v>1</v>
      </c>
    </row>
    <row r="492" spans="1:27" x14ac:dyDescent="0.35">
      <c r="A492" s="13">
        <v>45930</v>
      </c>
      <c r="B492">
        <v>1</v>
      </c>
      <c r="D492" t="s">
        <v>31</v>
      </c>
      <c r="E492" t="s">
        <v>32</v>
      </c>
      <c r="F492" t="s">
        <v>32</v>
      </c>
      <c r="H492" t="s">
        <v>59</v>
      </c>
      <c r="I492" t="s">
        <v>160</v>
      </c>
      <c r="K492">
        <v>83</v>
      </c>
      <c r="L492" s="13"/>
      <c r="M492" s="13">
        <v>48457</v>
      </c>
      <c r="N492" s="13">
        <v>48457</v>
      </c>
      <c r="O492" s="13">
        <v>48457</v>
      </c>
      <c r="P492" s="24">
        <v>8390.977733491969</v>
      </c>
      <c r="V492">
        <v>1</v>
      </c>
      <c r="W492" t="s">
        <v>33</v>
      </c>
      <c r="Y492" t="s">
        <v>33</v>
      </c>
      <c r="Z492" t="s">
        <v>34</v>
      </c>
      <c r="AA492">
        <v>1</v>
      </c>
    </row>
    <row r="493" spans="1:27" x14ac:dyDescent="0.35">
      <c r="A493" s="13">
        <v>45930</v>
      </c>
      <c r="B493">
        <v>1</v>
      </c>
      <c r="D493" t="s">
        <v>31</v>
      </c>
      <c r="E493" t="s">
        <v>32</v>
      </c>
      <c r="F493" t="s">
        <v>32</v>
      </c>
      <c r="H493" t="s">
        <v>59</v>
      </c>
      <c r="I493" t="s">
        <v>160</v>
      </c>
      <c r="K493">
        <v>84</v>
      </c>
      <c r="L493" s="13"/>
      <c r="M493" s="13">
        <v>48487</v>
      </c>
      <c r="N493" s="13">
        <v>48487</v>
      </c>
      <c r="O493" s="13">
        <v>48487</v>
      </c>
      <c r="P493" s="24">
        <v>8390.977733491969</v>
      </c>
      <c r="V493">
        <v>1</v>
      </c>
      <c r="W493" t="s">
        <v>33</v>
      </c>
      <c r="Y493" t="s">
        <v>33</v>
      </c>
      <c r="Z493" t="s">
        <v>34</v>
      </c>
      <c r="AA493">
        <v>1</v>
      </c>
    </row>
    <row r="494" spans="1:27" x14ac:dyDescent="0.35">
      <c r="A494" s="13">
        <v>45930</v>
      </c>
      <c r="B494">
        <v>1</v>
      </c>
      <c r="D494" t="s">
        <v>31</v>
      </c>
      <c r="E494" t="s">
        <v>32</v>
      </c>
      <c r="F494" t="s">
        <v>32</v>
      </c>
      <c r="H494" t="s">
        <v>59</v>
      </c>
      <c r="I494" t="s">
        <v>160</v>
      </c>
      <c r="K494">
        <v>85</v>
      </c>
      <c r="L494" s="13"/>
      <c r="M494" s="13">
        <v>48518</v>
      </c>
      <c r="N494" s="13">
        <v>48518</v>
      </c>
      <c r="O494" s="13">
        <v>48518</v>
      </c>
      <c r="P494" s="24">
        <v>8390.977733491969</v>
      </c>
      <c r="V494">
        <v>1</v>
      </c>
      <c r="W494" t="s">
        <v>33</v>
      </c>
      <c r="Y494" t="s">
        <v>33</v>
      </c>
      <c r="Z494" t="s">
        <v>34</v>
      </c>
      <c r="AA494">
        <v>1</v>
      </c>
    </row>
    <row r="495" spans="1:27" x14ac:dyDescent="0.35">
      <c r="A495" s="13">
        <v>45930</v>
      </c>
      <c r="B495">
        <v>1</v>
      </c>
      <c r="D495" t="s">
        <v>31</v>
      </c>
      <c r="E495" t="s">
        <v>32</v>
      </c>
      <c r="F495" t="s">
        <v>32</v>
      </c>
      <c r="H495" t="s">
        <v>59</v>
      </c>
      <c r="I495" t="s">
        <v>160</v>
      </c>
      <c r="K495">
        <v>86</v>
      </c>
      <c r="L495" s="13"/>
      <c r="M495" s="13">
        <v>48548</v>
      </c>
      <c r="N495" s="13">
        <v>48548</v>
      </c>
      <c r="O495" s="13">
        <v>48548</v>
      </c>
      <c r="P495" s="24">
        <v>8390.977733491969</v>
      </c>
      <c r="V495">
        <v>1</v>
      </c>
      <c r="W495" t="s">
        <v>33</v>
      </c>
      <c r="Y495" t="s">
        <v>33</v>
      </c>
      <c r="Z495" t="s">
        <v>34</v>
      </c>
      <c r="AA495">
        <v>1</v>
      </c>
    </row>
    <row r="496" spans="1:27" x14ac:dyDescent="0.35">
      <c r="A496" s="13">
        <v>45930</v>
      </c>
      <c r="B496">
        <v>1</v>
      </c>
      <c r="D496" t="s">
        <v>31</v>
      </c>
      <c r="E496" t="s">
        <v>32</v>
      </c>
      <c r="F496" t="s">
        <v>32</v>
      </c>
      <c r="H496" t="s">
        <v>59</v>
      </c>
      <c r="I496" t="s">
        <v>160</v>
      </c>
      <c r="K496">
        <v>87</v>
      </c>
      <c r="L496" s="13"/>
      <c r="M496" s="13">
        <v>48579</v>
      </c>
      <c r="N496" s="13">
        <v>48579</v>
      </c>
      <c r="O496" s="13">
        <v>48579</v>
      </c>
      <c r="P496" s="24">
        <v>8390.977733491969</v>
      </c>
      <c r="V496">
        <v>1</v>
      </c>
      <c r="W496" t="s">
        <v>33</v>
      </c>
      <c r="Y496" t="s">
        <v>33</v>
      </c>
      <c r="Z496" t="s">
        <v>34</v>
      </c>
      <c r="AA496">
        <v>1</v>
      </c>
    </row>
    <row r="497" spans="1:27" x14ac:dyDescent="0.35">
      <c r="A497" s="13">
        <v>45930</v>
      </c>
      <c r="B497">
        <v>1</v>
      </c>
      <c r="D497" t="s">
        <v>31</v>
      </c>
      <c r="E497" t="s">
        <v>32</v>
      </c>
      <c r="F497" t="s">
        <v>32</v>
      </c>
      <c r="H497" t="s">
        <v>59</v>
      </c>
      <c r="I497" t="s">
        <v>160</v>
      </c>
      <c r="K497">
        <v>88</v>
      </c>
      <c r="L497" s="13"/>
      <c r="M497" s="13">
        <v>48610</v>
      </c>
      <c r="N497" s="13">
        <v>48610</v>
      </c>
      <c r="O497" s="13">
        <v>48610</v>
      </c>
      <c r="P497" s="24">
        <v>8390.977733491969</v>
      </c>
      <c r="V497">
        <v>1</v>
      </c>
      <c r="W497" t="s">
        <v>33</v>
      </c>
      <c r="Y497" t="s">
        <v>33</v>
      </c>
      <c r="Z497" t="s">
        <v>34</v>
      </c>
      <c r="AA497">
        <v>1</v>
      </c>
    </row>
    <row r="498" spans="1:27" x14ac:dyDescent="0.35">
      <c r="A498" s="13">
        <v>45930</v>
      </c>
      <c r="B498">
        <v>1</v>
      </c>
      <c r="D498" t="s">
        <v>31</v>
      </c>
      <c r="E498" t="s">
        <v>32</v>
      </c>
      <c r="F498" t="s">
        <v>32</v>
      </c>
      <c r="H498" t="s">
        <v>59</v>
      </c>
      <c r="I498" t="s">
        <v>160</v>
      </c>
      <c r="K498">
        <v>89</v>
      </c>
      <c r="L498" s="13"/>
      <c r="M498" s="13">
        <v>48638</v>
      </c>
      <c r="N498" s="13">
        <v>48638</v>
      </c>
      <c r="O498" s="13">
        <v>48638</v>
      </c>
      <c r="P498" s="24">
        <v>8390.977733491969</v>
      </c>
      <c r="V498">
        <v>1</v>
      </c>
      <c r="W498" t="s">
        <v>33</v>
      </c>
      <c r="Y498" t="s">
        <v>33</v>
      </c>
      <c r="Z498" t="s">
        <v>34</v>
      </c>
      <c r="AA498">
        <v>1</v>
      </c>
    </row>
    <row r="499" spans="1:27" x14ac:dyDescent="0.35">
      <c r="A499" s="13">
        <v>45930</v>
      </c>
      <c r="B499">
        <v>1</v>
      </c>
      <c r="D499" t="s">
        <v>31</v>
      </c>
      <c r="E499" t="s">
        <v>32</v>
      </c>
      <c r="F499" t="s">
        <v>32</v>
      </c>
      <c r="H499" t="s">
        <v>59</v>
      </c>
      <c r="I499" t="s">
        <v>160</v>
      </c>
      <c r="K499">
        <v>90</v>
      </c>
      <c r="L499" s="13"/>
      <c r="M499" s="13">
        <v>48669</v>
      </c>
      <c r="N499" s="13">
        <v>48669</v>
      </c>
      <c r="O499" s="13">
        <v>48669</v>
      </c>
      <c r="P499" s="24">
        <v>8390.977733491969</v>
      </c>
      <c r="V499">
        <v>1</v>
      </c>
      <c r="W499" t="s">
        <v>33</v>
      </c>
      <c r="Y499" t="s">
        <v>33</v>
      </c>
      <c r="Z499" t="s">
        <v>34</v>
      </c>
      <c r="AA499">
        <v>1</v>
      </c>
    </row>
    <row r="500" spans="1:27" x14ac:dyDescent="0.35">
      <c r="A500" s="13">
        <v>45930</v>
      </c>
      <c r="B500">
        <v>1</v>
      </c>
      <c r="D500" t="s">
        <v>31</v>
      </c>
      <c r="E500" t="s">
        <v>32</v>
      </c>
      <c r="F500" t="s">
        <v>32</v>
      </c>
      <c r="H500" t="s">
        <v>59</v>
      </c>
      <c r="I500" t="s">
        <v>160</v>
      </c>
      <c r="K500">
        <v>91</v>
      </c>
      <c r="L500" s="13"/>
      <c r="M500" s="13">
        <v>48699</v>
      </c>
      <c r="N500" s="13">
        <v>48699</v>
      </c>
      <c r="O500" s="13">
        <v>48699</v>
      </c>
      <c r="P500" s="24">
        <v>8390.977733491969</v>
      </c>
      <c r="V500">
        <v>1</v>
      </c>
      <c r="W500" t="s">
        <v>33</v>
      </c>
      <c r="Y500" t="s">
        <v>33</v>
      </c>
      <c r="Z500" t="s">
        <v>34</v>
      </c>
      <c r="AA500">
        <v>1</v>
      </c>
    </row>
    <row r="501" spans="1:27" x14ac:dyDescent="0.35">
      <c r="A501" s="13">
        <v>45930</v>
      </c>
      <c r="B501">
        <v>1</v>
      </c>
      <c r="D501" t="s">
        <v>31</v>
      </c>
      <c r="E501" t="s">
        <v>32</v>
      </c>
      <c r="F501" t="s">
        <v>32</v>
      </c>
      <c r="H501" t="s">
        <v>59</v>
      </c>
      <c r="I501" t="s">
        <v>160</v>
      </c>
      <c r="K501">
        <v>92</v>
      </c>
      <c r="L501" s="13"/>
      <c r="M501" s="13">
        <v>48730</v>
      </c>
      <c r="N501" s="13">
        <v>48730</v>
      </c>
      <c r="O501" s="13">
        <v>48730</v>
      </c>
      <c r="P501" s="24">
        <v>8390.977733491969</v>
      </c>
      <c r="V501">
        <v>1</v>
      </c>
      <c r="W501" t="s">
        <v>33</v>
      </c>
      <c r="Y501" t="s">
        <v>33</v>
      </c>
      <c r="Z501" t="s">
        <v>34</v>
      </c>
      <c r="AA501">
        <v>1</v>
      </c>
    </row>
    <row r="502" spans="1:27" x14ac:dyDescent="0.35">
      <c r="A502" s="13">
        <v>45930</v>
      </c>
      <c r="B502">
        <v>1</v>
      </c>
      <c r="D502" t="s">
        <v>31</v>
      </c>
      <c r="E502" t="s">
        <v>32</v>
      </c>
      <c r="F502" t="s">
        <v>32</v>
      </c>
      <c r="H502" t="s">
        <v>59</v>
      </c>
      <c r="I502" t="s">
        <v>160</v>
      </c>
      <c r="K502">
        <v>93</v>
      </c>
      <c r="L502" s="13"/>
      <c r="M502" s="13">
        <v>48760</v>
      </c>
      <c r="N502" s="13">
        <v>48760</v>
      </c>
      <c r="O502" s="13">
        <v>48760</v>
      </c>
      <c r="P502" s="24">
        <v>8390.977733491969</v>
      </c>
      <c r="V502">
        <v>1</v>
      </c>
      <c r="W502" t="s">
        <v>33</v>
      </c>
      <c r="Y502" t="s">
        <v>33</v>
      </c>
      <c r="Z502" t="s">
        <v>34</v>
      </c>
      <c r="AA502">
        <v>1</v>
      </c>
    </row>
    <row r="503" spans="1:27" x14ac:dyDescent="0.35">
      <c r="A503" s="13">
        <v>45930</v>
      </c>
      <c r="B503">
        <v>1</v>
      </c>
      <c r="D503" t="s">
        <v>31</v>
      </c>
      <c r="E503" t="s">
        <v>32</v>
      </c>
      <c r="F503" t="s">
        <v>32</v>
      </c>
      <c r="H503" t="s">
        <v>59</v>
      </c>
      <c r="I503" t="s">
        <v>160</v>
      </c>
      <c r="K503">
        <v>94</v>
      </c>
      <c r="L503" s="13"/>
      <c r="M503" s="13">
        <v>48791</v>
      </c>
      <c r="N503" s="13">
        <v>48791</v>
      </c>
      <c r="O503" s="13">
        <v>48791</v>
      </c>
      <c r="P503" s="24">
        <v>8390.977733491969</v>
      </c>
      <c r="V503">
        <v>1</v>
      </c>
      <c r="W503" t="s">
        <v>33</v>
      </c>
      <c r="Y503" t="s">
        <v>33</v>
      </c>
      <c r="Z503" t="s">
        <v>34</v>
      </c>
      <c r="AA503">
        <v>1</v>
      </c>
    </row>
    <row r="504" spans="1:27" x14ac:dyDescent="0.35">
      <c r="A504" s="13">
        <v>45930</v>
      </c>
      <c r="B504">
        <v>1</v>
      </c>
      <c r="D504" t="s">
        <v>31</v>
      </c>
      <c r="E504" t="s">
        <v>32</v>
      </c>
      <c r="F504" t="s">
        <v>32</v>
      </c>
      <c r="H504" t="s">
        <v>59</v>
      </c>
      <c r="I504" t="s">
        <v>160</v>
      </c>
      <c r="K504">
        <v>95</v>
      </c>
      <c r="L504" s="13"/>
      <c r="M504" s="13">
        <v>48822</v>
      </c>
      <c r="N504" s="13">
        <v>48822</v>
      </c>
      <c r="O504" s="13">
        <v>48822</v>
      </c>
      <c r="P504" s="24">
        <v>8390.977733491969</v>
      </c>
      <c r="V504">
        <v>1</v>
      </c>
      <c r="W504" t="s">
        <v>33</v>
      </c>
      <c r="Y504" t="s">
        <v>33</v>
      </c>
      <c r="Z504" t="s">
        <v>34</v>
      </c>
      <c r="AA504">
        <v>1</v>
      </c>
    </row>
    <row r="505" spans="1:27" x14ac:dyDescent="0.35">
      <c r="A505" s="13">
        <v>45930</v>
      </c>
      <c r="B505">
        <v>1</v>
      </c>
      <c r="D505" t="s">
        <v>31</v>
      </c>
      <c r="E505" t="s">
        <v>32</v>
      </c>
      <c r="F505" t="s">
        <v>32</v>
      </c>
      <c r="H505" t="s">
        <v>59</v>
      </c>
      <c r="I505" t="s">
        <v>160</v>
      </c>
      <c r="K505">
        <v>96</v>
      </c>
      <c r="L505" s="13"/>
      <c r="M505" s="13">
        <v>48852</v>
      </c>
      <c r="N505" s="13">
        <v>48852</v>
      </c>
      <c r="O505" s="13">
        <v>48852</v>
      </c>
      <c r="P505" s="24">
        <v>8390.977733491969</v>
      </c>
      <c r="V505">
        <v>1</v>
      </c>
      <c r="W505" t="s">
        <v>33</v>
      </c>
      <c r="Y505" t="s">
        <v>33</v>
      </c>
      <c r="Z505" t="s">
        <v>34</v>
      </c>
      <c r="AA505">
        <v>1</v>
      </c>
    </row>
    <row r="506" spans="1:27" x14ac:dyDescent="0.35">
      <c r="A506" s="13">
        <v>45930</v>
      </c>
      <c r="B506">
        <v>1</v>
      </c>
      <c r="D506" t="s">
        <v>31</v>
      </c>
      <c r="E506" t="s">
        <v>32</v>
      </c>
      <c r="F506" t="s">
        <v>32</v>
      </c>
      <c r="H506" t="s">
        <v>59</v>
      </c>
      <c r="I506" t="s">
        <v>160</v>
      </c>
      <c r="K506">
        <v>97</v>
      </c>
      <c r="L506" s="13"/>
      <c r="M506" s="13">
        <v>48883</v>
      </c>
      <c r="N506" s="13">
        <v>48883</v>
      </c>
      <c r="O506" s="13">
        <v>48883</v>
      </c>
      <c r="P506" s="24">
        <v>8390.977733491969</v>
      </c>
      <c r="V506">
        <v>1</v>
      </c>
      <c r="W506" t="s">
        <v>33</v>
      </c>
      <c r="Y506" t="s">
        <v>33</v>
      </c>
      <c r="Z506" t="s">
        <v>34</v>
      </c>
      <c r="AA506">
        <v>1</v>
      </c>
    </row>
    <row r="507" spans="1:27" x14ac:dyDescent="0.35">
      <c r="A507" s="13">
        <v>45930</v>
      </c>
      <c r="B507">
        <v>1</v>
      </c>
      <c r="D507" t="s">
        <v>31</v>
      </c>
      <c r="E507" t="s">
        <v>32</v>
      </c>
      <c r="F507" t="s">
        <v>32</v>
      </c>
      <c r="H507" t="s">
        <v>59</v>
      </c>
      <c r="I507" t="s">
        <v>160</v>
      </c>
      <c r="K507">
        <v>98</v>
      </c>
      <c r="L507" s="13"/>
      <c r="M507" s="13">
        <v>48913</v>
      </c>
      <c r="N507" s="13">
        <v>48913</v>
      </c>
      <c r="O507" s="13">
        <v>48913</v>
      </c>
      <c r="P507" s="24">
        <v>8390.977733491969</v>
      </c>
      <c r="V507">
        <v>1</v>
      </c>
      <c r="W507" t="s">
        <v>33</v>
      </c>
      <c r="Y507" t="s">
        <v>33</v>
      </c>
      <c r="Z507" t="s">
        <v>34</v>
      </c>
      <c r="AA507">
        <v>1</v>
      </c>
    </row>
    <row r="508" spans="1:27" x14ac:dyDescent="0.35">
      <c r="A508" s="13">
        <v>45930</v>
      </c>
      <c r="B508">
        <v>1</v>
      </c>
      <c r="D508" t="s">
        <v>31</v>
      </c>
      <c r="E508" t="s">
        <v>32</v>
      </c>
      <c r="F508" t="s">
        <v>32</v>
      </c>
      <c r="H508" t="s">
        <v>59</v>
      </c>
      <c r="I508" t="s">
        <v>160</v>
      </c>
      <c r="K508">
        <v>99</v>
      </c>
      <c r="L508" s="13"/>
      <c r="M508" s="13">
        <v>48944</v>
      </c>
      <c r="N508" s="13">
        <v>48944</v>
      </c>
      <c r="O508" s="13">
        <v>48944</v>
      </c>
      <c r="P508" s="24">
        <v>8390.977733491969</v>
      </c>
      <c r="V508">
        <v>1</v>
      </c>
      <c r="W508" t="s">
        <v>33</v>
      </c>
      <c r="Y508" t="s">
        <v>33</v>
      </c>
      <c r="Z508" t="s">
        <v>34</v>
      </c>
      <c r="AA508">
        <v>1</v>
      </c>
    </row>
    <row r="509" spans="1:27" x14ac:dyDescent="0.35">
      <c r="A509" s="13">
        <v>45930</v>
      </c>
      <c r="B509">
        <v>1</v>
      </c>
      <c r="D509" t="s">
        <v>31</v>
      </c>
      <c r="E509" t="s">
        <v>32</v>
      </c>
      <c r="F509" t="s">
        <v>32</v>
      </c>
      <c r="H509" t="s">
        <v>59</v>
      </c>
      <c r="I509" t="s">
        <v>160</v>
      </c>
      <c r="K509">
        <v>100</v>
      </c>
      <c r="L509" s="13"/>
      <c r="M509" s="13">
        <v>48975</v>
      </c>
      <c r="N509" s="13">
        <v>48975</v>
      </c>
      <c r="O509" s="13">
        <v>48975</v>
      </c>
      <c r="P509" s="24">
        <v>8390.977733491969</v>
      </c>
      <c r="V509">
        <v>1</v>
      </c>
      <c r="W509" t="s">
        <v>33</v>
      </c>
      <c r="Y509" t="s">
        <v>33</v>
      </c>
      <c r="Z509" t="s">
        <v>34</v>
      </c>
      <c r="AA509">
        <v>1</v>
      </c>
    </row>
    <row r="510" spans="1:27" x14ac:dyDescent="0.35">
      <c r="A510" s="13">
        <v>45930</v>
      </c>
      <c r="B510">
        <v>1</v>
      </c>
      <c r="D510" t="s">
        <v>31</v>
      </c>
      <c r="E510" t="s">
        <v>32</v>
      </c>
      <c r="F510" t="s">
        <v>32</v>
      </c>
      <c r="H510" t="s">
        <v>59</v>
      </c>
      <c r="I510" t="s">
        <v>160</v>
      </c>
      <c r="K510">
        <v>101</v>
      </c>
      <c r="L510" s="13"/>
      <c r="M510" s="13">
        <v>49003</v>
      </c>
      <c r="N510" s="13">
        <v>49003</v>
      </c>
      <c r="O510" s="13">
        <v>49003</v>
      </c>
      <c r="P510" s="24">
        <v>8390.977733491969</v>
      </c>
      <c r="V510">
        <v>1</v>
      </c>
      <c r="W510" t="s">
        <v>33</v>
      </c>
      <c r="Y510" t="s">
        <v>33</v>
      </c>
      <c r="Z510" t="s">
        <v>34</v>
      </c>
      <c r="AA510">
        <v>1</v>
      </c>
    </row>
    <row r="511" spans="1:27" x14ac:dyDescent="0.35">
      <c r="A511" s="13">
        <v>45930</v>
      </c>
      <c r="B511">
        <v>1</v>
      </c>
      <c r="D511" t="s">
        <v>31</v>
      </c>
      <c r="E511" t="s">
        <v>32</v>
      </c>
      <c r="F511" t="s">
        <v>32</v>
      </c>
      <c r="H511" t="s">
        <v>59</v>
      </c>
      <c r="I511" t="s">
        <v>160</v>
      </c>
      <c r="K511">
        <v>102</v>
      </c>
      <c r="L511" s="13"/>
      <c r="M511" s="13">
        <v>49034</v>
      </c>
      <c r="N511" s="13">
        <v>49034</v>
      </c>
      <c r="O511" s="13">
        <v>49034</v>
      </c>
      <c r="P511" s="24">
        <v>8390.977733491969</v>
      </c>
      <c r="V511">
        <v>1</v>
      </c>
      <c r="W511" t="s">
        <v>33</v>
      </c>
      <c r="Y511" t="s">
        <v>33</v>
      </c>
      <c r="Z511" t="s">
        <v>34</v>
      </c>
      <c r="AA511">
        <v>1</v>
      </c>
    </row>
    <row r="512" spans="1:27" x14ac:dyDescent="0.35">
      <c r="A512" s="13">
        <v>45930</v>
      </c>
      <c r="B512">
        <v>1</v>
      </c>
      <c r="D512" t="s">
        <v>31</v>
      </c>
      <c r="E512" t="s">
        <v>32</v>
      </c>
      <c r="F512" t="s">
        <v>32</v>
      </c>
      <c r="H512" t="s">
        <v>59</v>
      </c>
      <c r="I512" t="s">
        <v>160</v>
      </c>
      <c r="K512">
        <v>103</v>
      </c>
      <c r="L512" s="13"/>
      <c r="M512" s="13">
        <v>49064</v>
      </c>
      <c r="N512" s="13">
        <v>49064</v>
      </c>
      <c r="O512" s="13">
        <v>49064</v>
      </c>
      <c r="P512" s="24">
        <v>8390.977733491969</v>
      </c>
      <c r="V512">
        <v>1</v>
      </c>
      <c r="W512" t="s">
        <v>33</v>
      </c>
      <c r="Y512" t="s">
        <v>33</v>
      </c>
      <c r="Z512" t="s">
        <v>34</v>
      </c>
      <c r="AA512">
        <v>1</v>
      </c>
    </row>
    <row r="513" spans="1:27" x14ac:dyDescent="0.35">
      <c r="A513" s="13">
        <v>45930</v>
      </c>
      <c r="B513">
        <v>1</v>
      </c>
      <c r="D513" t="s">
        <v>31</v>
      </c>
      <c r="E513" t="s">
        <v>32</v>
      </c>
      <c r="F513" t="s">
        <v>32</v>
      </c>
      <c r="H513" t="s">
        <v>59</v>
      </c>
      <c r="I513" t="s">
        <v>160</v>
      </c>
      <c r="K513">
        <v>104</v>
      </c>
      <c r="L513" s="13"/>
      <c r="M513" s="13">
        <v>49095</v>
      </c>
      <c r="N513" s="13">
        <v>49095</v>
      </c>
      <c r="O513" s="13">
        <v>49095</v>
      </c>
      <c r="P513" s="24">
        <v>8390.977733491969</v>
      </c>
      <c r="V513">
        <v>1</v>
      </c>
      <c r="W513" t="s">
        <v>33</v>
      </c>
      <c r="Y513" t="s">
        <v>33</v>
      </c>
      <c r="Z513" t="s">
        <v>34</v>
      </c>
      <c r="AA513">
        <v>1</v>
      </c>
    </row>
    <row r="514" spans="1:27" x14ac:dyDescent="0.35">
      <c r="A514" s="13">
        <v>45930</v>
      </c>
      <c r="B514">
        <v>1</v>
      </c>
      <c r="D514" t="s">
        <v>31</v>
      </c>
      <c r="E514" t="s">
        <v>32</v>
      </c>
      <c r="F514" t="s">
        <v>32</v>
      </c>
      <c r="H514" t="s">
        <v>59</v>
      </c>
      <c r="I514" t="s">
        <v>160</v>
      </c>
      <c r="K514">
        <v>105</v>
      </c>
      <c r="L514" s="13"/>
      <c r="M514" s="13">
        <v>49125</v>
      </c>
      <c r="N514" s="13">
        <v>49125</v>
      </c>
      <c r="O514" s="13">
        <v>49125</v>
      </c>
      <c r="P514" s="24">
        <v>8390.977733491969</v>
      </c>
      <c r="V514">
        <v>1</v>
      </c>
      <c r="W514" t="s">
        <v>33</v>
      </c>
      <c r="Y514" t="s">
        <v>33</v>
      </c>
      <c r="Z514" t="s">
        <v>34</v>
      </c>
      <c r="AA514">
        <v>1</v>
      </c>
    </row>
    <row r="515" spans="1:27" x14ac:dyDescent="0.35">
      <c r="A515" s="13">
        <v>45930</v>
      </c>
      <c r="B515">
        <v>1</v>
      </c>
      <c r="D515" t="s">
        <v>31</v>
      </c>
      <c r="E515" t="s">
        <v>32</v>
      </c>
      <c r="F515" t="s">
        <v>32</v>
      </c>
      <c r="H515" t="s">
        <v>59</v>
      </c>
      <c r="I515" t="s">
        <v>160</v>
      </c>
      <c r="K515">
        <v>106</v>
      </c>
      <c r="L515" s="13"/>
      <c r="M515" s="13">
        <v>49156</v>
      </c>
      <c r="N515" s="13">
        <v>49156</v>
      </c>
      <c r="O515" s="13">
        <v>49156</v>
      </c>
      <c r="P515" s="24">
        <v>8390.977733491969</v>
      </c>
      <c r="V515">
        <v>1</v>
      </c>
      <c r="W515" t="s">
        <v>33</v>
      </c>
      <c r="Y515" t="s">
        <v>33</v>
      </c>
      <c r="Z515" t="s">
        <v>34</v>
      </c>
      <c r="AA515">
        <v>1</v>
      </c>
    </row>
    <row r="516" spans="1:27" x14ac:dyDescent="0.35">
      <c r="A516" s="13">
        <v>45930</v>
      </c>
      <c r="B516">
        <v>1</v>
      </c>
      <c r="D516" t="s">
        <v>31</v>
      </c>
      <c r="E516" t="s">
        <v>32</v>
      </c>
      <c r="F516" t="s">
        <v>32</v>
      </c>
      <c r="H516" t="s">
        <v>59</v>
      </c>
      <c r="I516" t="s">
        <v>160</v>
      </c>
      <c r="K516">
        <v>107</v>
      </c>
      <c r="L516" s="13"/>
      <c r="M516" s="13">
        <v>49187</v>
      </c>
      <c r="N516" s="13">
        <v>49187</v>
      </c>
      <c r="O516" s="13">
        <v>49187</v>
      </c>
      <c r="P516" s="24">
        <v>8390.977733491969</v>
      </c>
      <c r="V516">
        <v>1</v>
      </c>
      <c r="W516" t="s">
        <v>33</v>
      </c>
      <c r="Y516" t="s">
        <v>33</v>
      </c>
      <c r="Z516" t="s">
        <v>34</v>
      </c>
      <c r="AA516">
        <v>1</v>
      </c>
    </row>
    <row r="517" spans="1:27" x14ac:dyDescent="0.35">
      <c r="A517" s="13">
        <v>45930</v>
      </c>
      <c r="B517">
        <v>1</v>
      </c>
      <c r="D517" t="s">
        <v>31</v>
      </c>
      <c r="E517" t="s">
        <v>32</v>
      </c>
      <c r="F517" t="s">
        <v>32</v>
      </c>
      <c r="H517" t="s">
        <v>59</v>
      </c>
      <c r="I517" t="s">
        <v>160</v>
      </c>
      <c r="K517">
        <v>108</v>
      </c>
      <c r="L517" s="13"/>
      <c r="M517" s="13">
        <v>49217</v>
      </c>
      <c r="N517" s="13">
        <v>49217</v>
      </c>
      <c r="O517" s="13">
        <v>49217</v>
      </c>
      <c r="P517" s="24">
        <v>8390.977733491969</v>
      </c>
      <c r="V517">
        <v>1</v>
      </c>
      <c r="W517" t="s">
        <v>33</v>
      </c>
      <c r="Y517" t="s">
        <v>33</v>
      </c>
      <c r="Z517" t="s">
        <v>34</v>
      </c>
      <c r="AA517">
        <v>1</v>
      </c>
    </row>
    <row r="518" spans="1:27" x14ac:dyDescent="0.35">
      <c r="A518" s="13">
        <v>45930</v>
      </c>
      <c r="B518">
        <v>1</v>
      </c>
      <c r="D518" t="s">
        <v>31</v>
      </c>
      <c r="E518" t="s">
        <v>32</v>
      </c>
      <c r="F518" t="s">
        <v>32</v>
      </c>
      <c r="H518" t="s">
        <v>59</v>
      </c>
      <c r="I518" t="s">
        <v>160</v>
      </c>
      <c r="K518">
        <v>109</v>
      </c>
      <c r="L518" s="13"/>
      <c r="M518" s="13">
        <v>49248</v>
      </c>
      <c r="N518" s="13">
        <v>49248</v>
      </c>
      <c r="O518" s="13">
        <v>49248</v>
      </c>
      <c r="P518" s="24">
        <v>8390.977733491969</v>
      </c>
      <c r="V518">
        <v>1</v>
      </c>
      <c r="W518" t="s">
        <v>33</v>
      </c>
      <c r="Y518" t="s">
        <v>33</v>
      </c>
      <c r="Z518" t="s">
        <v>34</v>
      </c>
      <c r="AA518">
        <v>1</v>
      </c>
    </row>
    <row r="519" spans="1:27" x14ac:dyDescent="0.35">
      <c r="A519" s="13">
        <v>45930</v>
      </c>
      <c r="B519">
        <v>1</v>
      </c>
      <c r="D519" t="s">
        <v>31</v>
      </c>
      <c r="E519" t="s">
        <v>32</v>
      </c>
      <c r="F519" t="s">
        <v>32</v>
      </c>
      <c r="H519" t="s">
        <v>59</v>
      </c>
      <c r="I519" t="s">
        <v>160</v>
      </c>
      <c r="K519">
        <v>110</v>
      </c>
      <c r="L519" s="13"/>
      <c r="M519" s="13">
        <v>49278</v>
      </c>
      <c r="N519" s="13">
        <v>49278</v>
      </c>
      <c r="O519" s="13">
        <v>49278</v>
      </c>
      <c r="P519" s="24">
        <v>8390.977733491969</v>
      </c>
      <c r="V519">
        <v>1</v>
      </c>
      <c r="W519" t="s">
        <v>33</v>
      </c>
      <c r="Y519" t="s">
        <v>33</v>
      </c>
      <c r="Z519" t="s">
        <v>34</v>
      </c>
      <c r="AA519">
        <v>1</v>
      </c>
    </row>
    <row r="520" spans="1:27" x14ac:dyDescent="0.35">
      <c r="A520" s="13">
        <v>45930</v>
      </c>
      <c r="B520">
        <v>1</v>
      </c>
      <c r="D520" t="s">
        <v>31</v>
      </c>
      <c r="E520" t="s">
        <v>32</v>
      </c>
      <c r="F520" t="s">
        <v>32</v>
      </c>
      <c r="H520" t="s">
        <v>59</v>
      </c>
      <c r="I520" t="s">
        <v>160</v>
      </c>
      <c r="K520">
        <v>111</v>
      </c>
      <c r="L520" s="13"/>
      <c r="M520" s="13">
        <v>49309</v>
      </c>
      <c r="N520" s="13">
        <v>49309</v>
      </c>
      <c r="O520" s="13">
        <v>49309</v>
      </c>
      <c r="P520" s="24">
        <v>8390.977733491969</v>
      </c>
      <c r="V520">
        <v>1</v>
      </c>
      <c r="W520" t="s">
        <v>33</v>
      </c>
      <c r="Y520" t="s">
        <v>33</v>
      </c>
      <c r="Z520" t="s">
        <v>34</v>
      </c>
      <c r="AA520">
        <v>1</v>
      </c>
    </row>
    <row r="521" spans="1:27" x14ac:dyDescent="0.35">
      <c r="A521" s="13">
        <v>45930</v>
      </c>
      <c r="B521">
        <v>1</v>
      </c>
      <c r="D521" t="s">
        <v>31</v>
      </c>
      <c r="E521" t="s">
        <v>32</v>
      </c>
      <c r="F521" t="s">
        <v>32</v>
      </c>
      <c r="H521" t="s">
        <v>59</v>
      </c>
      <c r="I521" t="s">
        <v>160</v>
      </c>
      <c r="K521">
        <v>112</v>
      </c>
      <c r="L521" s="13"/>
      <c r="M521" s="13">
        <v>49340</v>
      </c>
      <c r="N521" s="13">
        <v>49340</v>
      </c>
      <c r="O521" s="13">
        <v>49340</v>
      </c>
      <c r="P521" s="24">
        <v>8390.977733491969</v>
      </c>
      <c r="V521">
        <v>1</v>
      </c>
      <c r="W521" t="s">
        <v>33</v>
      </c>
      <c r="Y521" t="s">
        <v>33</v>
      </c>
      <c r="Z521" t="s">
        <v>34</v>
      </c>
      <c r="AA521">
        <v>1</v>
      </c>
    </row>
    <row r="522" spans="1:27" x14ac:dyDescent="0.35">
      <c r="A522" s="13">
        <v>45930</v>
      </c>
      <c r="B522">
        <v>1</v>
      </c>
      <c r="D522" t="s">
        <v>31</v>
      </c>
      <c r="E522" t="s">
        <v>32</v>
      </c>
      <c r="F522" t="s">
        <v>32</v>
      </c>
      <c r="H522" t="s">
        <v>59</v>
      </c>
      <c r="I522" t="s">
        <v>160</v>
      </c>
      <c r="K522">
        <v>113</v>
      </c>
      <c r="L522" s="13"/>
      <c r="M522" s="13">
        <v>49368</v>
      </c>
      <c r="N522" s="13">
        <v>49368</v>
      </c>
      <c r="O522" s="13">
        <v>49368</v>
      </c>
      <c r="P522" s="24">
        <v>8390.977733491969</v>
      </c>
      <c r="V522">
        <v>1</v>
      </c>
      <c r="W522" t="s">
        <v>33</v>
      </c>
      <c r="Y522" t="s">
        <v>33</v>
      </c>
      <c r="Z522" t="s">
        <v>34</v>
      </c>
      <c r="AA522">
        <v>1</v>
      </c>
    </row>
    <row r="523" spans="1:27" x14ac:dyDescent="0.35">
      <c r="A523" s="13">
        <v>45930</v>
      </c>
      <c r="B523">
        <v>1</v>
      </c>
      <c r="D523" t="s">
        <v>31</v>
      </c>
      <c r="E523" t="s">
        <v>32</v>
      </c>
      <c r="F523" t="s">
        <v>32</v>
      </c>
      <c r="H523" t="s">
        <v>59</v>
      </c>
      <c r="I523" t="s">
        <v>160</v>
      </c>
      <c r="K523">
        <v>114</v>
      </c>
      <c r="L523" s="13"/>
      <c r="M523" s="13">
        <v>49399</v>
      </c>
      <c r="N523" s="13">
        <v>49399</v>
      </c>
      <c r="O523" s="13">
        <v>49399</v>
      </c>
      <c r="P523" s="24">
        <v>8390.977733491969</v>
      </c>
      <c r="V523">
        <v>1</v>
      </c>
      <c r="W523" t="s">
        <v>33</v>
      </c>
      <c r="Y523" t="s">
        <v>33</v>
      </c>
      <c r="Z523" t="s">
        <v>34</v>
      </c>
      <c r="AA523">
        <v>1</v>
      </c>
    </row>
    <row r="524" spans="1:27" x14ac:dyDescent="0.35">
      <c r="A524" s="13">
        <v>45930</v>
      </c>
      <c r="B524">
        <v>1</v>
      </c>
      <c r="D524" t="s">
        <v>31</v>
      </c>
      <c r="E524" t="s">
        <v>32</v>
      </c>
      <c r="F524" t="s">
        <v>32</v>
      </c>
      <c r="H524" t="s">
        <v>59</v>
      </c>
      <c r="I524" t="s">
        <v>160</v>
      </c>
      <c r="K524">
        <v>115</v>
      </c>
      <c r="L524" s="13"/>
      <c r="M524" s="13">
        <v>49429</v>
      </c>
      <c r="N524" s="13">
        <v>49429</v>
      </c>
      <c r="O524" s="13">
        <v>49429</v>
      </c>
      <c r="P524" s="24">
        <v>8390.977733491969</v>
      </c>
      <c r="V524">
        <v>1</v>
      </c>
      <c r="W524" t="s">
        <v>33</v>
      </c>
      <c r="Y524" t="s">
        <v>33</v>
      </c>
      <c r="Z524" t="s">
        <v>34</v>
      </c>
      <c r="AA524">
        <v>1</v>
      </c>
    </row>
    <row r="525" spans="1:27" x14ac:dyDescent="0.35">
      <c r="A525" s="13">
        <v>45930</v>
      </c>
      <c r="B525">
        <v>1</v>
      </c>
      <c r="D525" t="s">
        <v>31</v>
      </c>
      <c r="E525" t="s">
        <v>32</v>
      </c>
      <c r="F525" t="s">
        <v>32</v>
      </c>
      <c r="H525" t="s">
        <v>59</v>
      </c>
      <c r="I525" t="s">
        <v>160</v>
      </c>
      <c r="K525">
        <v>116</v>
      </c>
      <c r="L525" s="13"/>
      <c r="M525" s="13">
        <v>49460</v>
      </c>
      <c r="N525" s="13">
        <v>49460</v>
      </c>
      <c r="O525" s="13">
        <v>49460</v>
      </c>
      <c r="P525" s="24">
        <v>8390.977733491969</v>
      </c>
      <c r="V525">
        <v>1</v>
      </c>
      <c r="W525" t="s">
        <v>33</v>
      </c>
      <c r="Y525" t="s">
        <v>33</v>
      </c>
      <c r="Z525" t="s">
        <v>34</v>
      </c>
      <c r="AA525">
        <v>1</v>
      </c>
    </row>
    <row r="526" spans="1:27" x14ac:dyDescent="0.35">
      <c r="A526" s="13">
        <v>45930</v>
      </c>
      <c r="B526">
        <v>1</v>
      </c>
      <c r="D526" t="s">
        <v>31</v>
      </c>
      <c r="E526" t="s">
        <v>32</v>
      </c>
      <c r="F526" t="s">
        <v>32</v>
      </c>
      <c r="H526" t="s">
        <v>59</v>
      </c>
      <c r="I526" t="s">
        <v>160</v>
      </c>
      <c r="K526">
        <v>117</v>
      </c>
      <c r="L526" s="13"/>
      <c r="M526" s="13">
        <v>49490</v>
      </c>
      <c r="N526" s="13">
        <v>49490</v>
      </c>
      <c r="O526" s="13">
        <v>49490</v>
      </c>
      <c r="P526" s="24">
        <v>8390.977733491969</v>
      </c>
      <c r="V526">
        <v>1</v>
      </c>
      <c r="W526" t="s">
        <v>33</v>
      </c>
      <c r="Y526" t="s">
        <v>33</v>
      </c>
      <c r="Z526" t="s">
        <v>34</v>
      </c>
      <c r="AA526">
        <v>1</v>
      </c>
    </row>
    <row r="527" spans="1:27" x14ac:dyDescent="0.35">
      <c r="A527" s="13">
        <v>45930</v>
      </c>
      <c r="B527">
        <v>1</v>
      </c>
      <c r="D527" t="s">
        <v>31</v>
      </c>
      <c r="E527" t="s">
        <v>32</v>
      </c>
      <c r="F527" t="s">
        <v>32</v>
      </c>
      <c r="H527" t="s">
        <v>59</v>
      </c>
      <c r="I527" t="s">
        <v>160</v>
      </c>
      <c r="K527">
        <v>118</v>
      </c>
      <c r="L527" s="13"/>
      <c r="M527" s="13">
        <v>49521</v>
      </c>
      <c r="N527" s="13">
        <v>49521</v>
      </c>
      <c r="O527" s="13">
        <v>49521</v>
      </c>
      <c r="P527" s="24">
        <v>8390.977733491969</v>
      </c>
      <c r="V527">
        <v>1</v>
      </c>
      <c r="W527" t="s">
        <v>33</v>
      </c>
      <c r="Y527" t="s">
        <v>33</v>
      </c>
      <c r="Z527" t="s">
        <v>34</v>
      </c>
      <c r="AA527">
        <v>1</v>
      </c>
    </row>
    <row r="528" spans="1:27" x14ac:dyDescent="0.35">
      <c r="A528" s="13">
        <v>45930</v>
      </c>
      <c r="B528">
        <v>1</v>
      </c>
      <c r="D528" t="s">
        <v>31</v>
      </c>
      <c r="E528" t="s">
        <v>32</v>
      </c>
      <c r="F528" t="s">
        <v>32</v>
      </c>
      <c r="H528" t="s">
        <v>59</v>
      </c>
      <c r="I528" t="s">
        <v>160</v>
      </c>
      <c r="K528">
        <v>119</v>
      </c>
      <c r="L528" s="13"/>
      <c r="M528" s="13">
        <v>49552</v>
      </c>
      <c r="N528" s="13">
        <v>49552</v>
      </c>
      <c r="O528" s="13">
        <v>49552</v>
      </c>
      <c r="P528" s="24">
        <v>8390.977733491969</v>
      </c>
      <c r="V528">
        <v>1</v>
      </c>
      <c r="W528" t="s">
        <v>33</v>
      </c>
      <c r="Y528" t="s">
        <v>33</v>
      </c>
      <c r="Z528" t="s">
        <v>34</v>
      </c>
      <c r="AA528">
        <v>1</v>
      </c>
    </row>
    <row r="529" spans="1:27" x14ac:dyDescent="0.35">
      <c r="A529" s="13">
        <v>45930</v>
      </c>
      <c r="B529">
        <v>1</v>
      </c>
      <c r="D529" t="s">
        <v>31</v>
      </c>
      <c r="E529" t="s">
        <v>32</v>
      </c>
      <c r="F529" t="s">
        <v>32</v>
      </c>
      <c r="H529" t="s">
        <v>59</v>
      </c>
      <c r="I529" t="s">
        <v>160</v>
      </c>
      <c r="K529">
        <v>120</v>
      </c>
      <c r="L529" s="13"/>
      <c r="M529" s="13">
        <v>49582</v>
      </c>
      <c r="N529" s="13">
        <v>49582</v>
      </c>
      <c r="O529" s="13">
        <v>49582</v>
      </c>
      <c r="P529" s="24">
        <v>8390.977733491969</v>
      </c>
      <c r="V529">
        <v>1</v>
      </c>
      <c r="W529" t="s">
        <v>33</v>
      </c>
      <c r="Y529" t="s">
        <v>33</v>
      </c>
      <c r="Z529" t="s">
        <v>34</v>
      </c>
      <c r="AA529">
        <v>1</v>
      </c>
    </row>
    <row r="530" spans="1:27" x14ac:dyDescent="0.35">
      <c r="A530" s="13">
        <v>45930</v>
      </c>
      <c r="B530">
        <v>1</v>
      </c>
      <c r="D530" t="s">
        <v>31</v>
      </c>
      <c r="E530" t="s">
        <v>32</v>
      </c>
      <c r="F530" t="s">
        <v>32</v>
      </c>
      <c r="H530" t="s">
        <v>59</v>
      </c>
      <c r="I530" t="s">
        <v>160</v>
      </c>
      <c r="K530">
        <v>121</v>
      </c>
      <c r="L530" s="13"/>
      <c r="M530" s="13">
        <v>49613</v>
      </c>
      <c r="N530" s="13">
        <v>49613</v>
      </c>
      <c r="O530" s="13">
        <v>49613</v>
      </c>
      <c r="P530" s="24">
        <v>8390.977733491969</v>
      </c>
      <c r="V530">
        <v>1</v>
      </c>
      <c r="W530" t="s">
        <v>33</v>
      </c>
      <c r="Y530" t="s">
        <v>33</v>
      </c>
      <c r="Z530" t="s">
        <v>34</v>
      </c>
      <c r="AA530">
        <v>1</v>
      </c>
    </row>
    <row r="531" spans="1:27" x14ac:dyDescent="0.35">
      <c r="A531" s="13">
        <v>45930</v>
      </c>
      <c r="B531">
        <v>1</v>
      </c>
      <c r="D531" t="s">
        <v>31</v>
      </c>
      <c r="E531" t="s">
        <v>32</v>
      </c>
      <c r="F531" t="s">
        <v>32</v>
      </c>
      <c r="H531" t="s">
        <v>59</v>
      </c>
      <c r="I531" t="s">
        <v>160</v>
      </c>
      <c r="K531">
        <v>122</v>
      </c>
      <c r="L531" s="13"/>
      <c r="M531" s="13">
        <v>49643</v>
      </c>
      <c r="N531" s="13">
        <v>49643</v>
      </c>
      <c r="O531" s="13">
        <v>49643</v>
      </c>
      <c r="P531" s="24">
        <v>8390.977733491969</v>
      </c>
      <c r="V531">
        <v>1</v>
      </c>
      <c r="W531" t="s">
        <v>33</v>
      </c>
      <c r="Y531" t="s">
        <v>33</v>
      </c>
      <c r="Z531" t="s">
        <v>34</v>
      </c>
      <c r="AA531">
        <v>1</v>
      </c>
    </row>
    <row r="532" spans="1:27" x14ac:dyDescent="0.35">
      <c r="A532" s="13">
        <v>45930</v>
      </c>
      <c r="B532">
        <v>1</v>
      </c>
      <c r="D532" t="s">
        <v>31</v>
      </c>
      <c r="E532" t="s">
        <v>32</v>
      </c>
      <c r="F532" t="s">
        <v>32</v>
      </c>
      <c r="H532" t="s">
        <v>59</v>
      </c>
      <c r="I532" t="s">
        <v>160</v>
      </c>
      <c r="K532">
        <v>123</v>
      </c>
      <c r="L532" s="13"/>
      <c r="M532" s="13">
        <v>49674</v>
      </c>
      <c r="N532" s="13">
        <v>49674</v>
      </c>
      <c r="O532" s="13">
        <v>49674</v>
      </c>
      <c r="P532" s="24">
        <v>8390.977733491969</v>
      </c>
      <c r="V532">
        <v>1</v>
      </c>
      <c r="W532" t="s">
        <v>33</v>
      </c>
      <c r="Y532" t="s">
        <v>33</v>
      </c>
      <c r="Z532" t="s">
        <v>34</v>
      </c>
      <c r="AA532">
        <v>1</v>
      </c>
    </row>
    <row r="533" spans="1:27" x14ac:dyDescent="0.35">
      <c r="A533" s="13">
        <v>45930</v>
      </c>
      <c r="B533">
        <v>1</v>
      </c>
      <c r="D533" t="s">
        <v>31</v>
      </c>
      <c r="E533" t="s">
        <v>32</v>
      </c>
      <c r="F533" t="s">
        <v>32</v>
      </c>
      <c r="H533" t="s">
        <v>59</v>
      </c>
      <c r="I533" t="s">
        <v>160</v>
      </c>
      <c r="K533">
        <v>124</v>
      </c>
      <c r="L533" s="13"/>
      <c r="M533" s="13">
        <v>49705</v>
      </c>
      <c r="N533" s="13">
        <v>49705</v>
      </c>
      <c r="O533" s="13">
        <v>49705</v>
      </c>
      <c r="P533" s="24">
        <v>8390.977733491969</v>
      </c>
      <c r="V533">
        <v>1</v>
      </c>
      <c r="W533" t="s">
        <v>33</v>
      </c>
      <c r="Y533" t="s">
        <v>33</v>
      </c>
      <c r="Z533" t="s">
        <v>34</v>
      </c>
      <c r="AA533">
        <v>1</v>
      </c>
    </row>
    <row r="534" spans="1:27" x14ac:dyDescent="0.35">
      <c r="A534" s="13">
        <v>45930</v>
      </c>
      <c r="B534">
        <v>1</v>
      </c>
      <c r="D534" t="s">
        <v>31</v>
      </c>
      <c r="E534" t="s">
        <v>32</v>
      </c>
      <c r="F534" t="s">
        <v>32</v>
      </c>
      <c r="H534" t="s">
        <v>59</v>
      </c>
      <c r="I534" t="s">
        <v>160</v>
      </c>
      <c r="K534">
        <v>125</v>
      </c>
      <c r="L534" s="13"/>
      <c r="M534" s="13">
        <v>49734</v>
      </c>
      <c r="N534" s="13">
        <v>49734</v>
      </c>
      <c r="O534" s="13">
        <v>49734</v>
      </c>
      <c r="P534" s="24">
        <v>8390.977733491969</v>
      </c>
      <c r="V534">
        <v>1</v>
      </c>
      <c r="W534" t="s">
        <v>33</v>
      </c>
      <c r="Y534" t="s">
        <v>33</v>
      </c>
      <c r="Z534" t="s">
        <v>34</v>
      </c>
      <c r="AA534">
        <v>1</v>
      </c>
    </row>
    <row r="535" spans="1:27" x14ac:dyDescent="0.35">
      <c r="A535" s="13">
        <v>45930</v>
      </c>
      <c r="B535">
        <v>1</v>
      </c>
      <c r="D535" t="s">
        <v>31</v>
      </c>
      <c r="E535" t="s">
        <v>32</v>
      </c>
      <c r="F535" t="s">
        <v>32</v>
      </c>
      <c r="H535" t="s">
        <v>59</v>
      </c>
      <c r="I535" t="s">
        <v>160</v>
      </c>
      <c r="K535">
        <v>126</v>
      </c>
      <c r="L535" s="13"/>
      <c r="M535" s="13">
        <v>49765</v>
      </c>
      <c r="N535" s="13">
        <v>49765</v>
      </c>
      <c r="O535" s="13">
        <v>49765</v>
      </c>
      <c r="P535" s="24">
        <v>8390.977733491969</v>
      </c>
      <c r="V535">
        <v>1</v>
      </c>
      <c r="W535" t="s">
        <v>33</v>
      </c>
      <c r="Y535" t="s">
        <v>33</v>
      </c>
      <c r="Z535" t="s">
        <v>34</v>
      </c>
      <c r="AA535">
        <v>1</v>
      </c>
    </row>
    <row r="536" spans="1:27" x14ac:dyDescent="0.35">
      <c r="A536" s="13">
        <v>45930</v>
      </c>
      <c r="B536">
        <v>1</v>
      </c>
      <c r="D536" t="s">
        <v>31</v>
      </c>
      <c r="E536" t="s">
        <v>32</v>
      </c>
      <c r="F536" t="s">
        <v>32</v>
      </c>
      <c r="H536" t="s">
        <v>59</v>
      </c>
      <c r="I536" t="s">
        <v>160</v>
      </c>
      <c r="K536">
        <v>127</v>
      </c>
      <c r="L536" s="13"/>
      <c r="M536" s="13">
        <v>49795</v>
      </c>
      <c r="N536" s="13">
        <v>49795</v>
      </c>
      <c r="O536" s="13">
        <v>49795</v>
      </c>
      <c r="P536" s="24">
        <v>104.66523349196908</v>
      </c>
      <c r="V536">
        <v>1</v>
      </c>
      <c r="W536" t="s">
        <v>33</v>
      </c>
      <c r="Y536" t="s">
        <v>33</v>
      </c>
      <c r="Z536" t="s">
        <v>34</v>
      </c>
      <c r="AA536">
        <v>1</v>
      </c>
    </row>
    <row r="537" spans="1:27" x14ac:dyDescent="0.35">
      <c r="A537" s="13">
        <v>45930</v>
      </c>
      <c r="B537">
        <v>1</v>
      </c>
      <c r="D537" t="s">
        <v>31</v>
      </c>
      <c r="E537" t="s">
        <v>32</v>
      </c>
      <c r="F537" t="s">
        <v>32</v>
      </c>
      <c r="H537" t="s">
        <v>59</v>
      </c>
      <c r="I537" t="s">
        <v>160</v>
      </c>
      <c r="K537">
        <v>128</v>
      </c>
      <c r="L537" s="13"/>
      <c r="M537" s="13">
        <v>49826</v>
      </c>
      <c r="N537" s="13">
        <v>49826</v>
      </c>
      <c r="O537" s="13">
        <v>49826</v>
      </c>
      <c r="P537" s="24">
        <v>104.66523349196908</v>
      </c>
      <c r="V537">
        <v>1</v>
      </c>
      <c r="W537" t="s">
        <v>33</v>
      </c>
      <c r="Y537" t="s">
        <v>33</v>
      </c>
      <c r="Z537" t="s">
        <v>34</v>
      </c>
      <c r="AA537">
        <v>1</v>
      </c>
    </row>
    <row r="538" spans="1:27" x14ac:dyDescent="0.35">
      <c r="A538" s="13">
        <v>45930</v>
      </c>
      <c r="B538">
        <v>1</v>
      </c>
      <c r="D538" t="s">
        <v>31</v>
      </c>
      <c r="E538" t="s">
        <v>32</v>
      </c>
      <c r="F538" t="s">
        <v>32</v>
      </c>
      <c r="H538" t="s">
        <v>59</v>
      </c>
      <c r="I538" t="s">
        <v>160</v>
      </c>
      <c r="K538">
        <v>129</v>
      </c>
      <c r="L538" s="13"/>
      <c r="M538" s="13">
        <v>49856</v>
      </c>
      <c r="N538" s="13">
        <v>49856</v>
      </c>
      <c r="O538" s="13">
        <v>49856</v>
      </c>
      <c r="P538" s="24">
        <v>104.66523349196908</v>
      </c>
      <c r="V538">
        <v>1</v>
      </c>
      <c r="W538" t="s">
        <v>33</v>
      </c>
      <c r="Y538" t="s">
        <v>33</v>
      </c>
      <c r="Z538" t="s">
        <v>34</v>
      </c>
      <c r="AA538">
        <v>1</v>
      </c>
    </row>
    <row r="539" spans="1:27" x14ac:dyDescent="0.35">
      <c r="A539" s="13">
        <v>45930</v>
      </c>
      <c r="B539">
        <v>1</v>
      </c>
      <c r="D539" t="s">
        <v>31</v>
      </c>
      <c r="E539" t="s">
        <v>32</v>
      </c>
      <c r="F539" t="s">
        <v>32</v>
      </c>
      <c r="H539" t="s">
        <v>59</v>
      </c>
      <c r="I539" t="s">
        <v>160</v>
      </c>
      <c r="K539">
        <v>130</v>
      </c>
      <c r="L539" s="13"/>
      <c r="M539" s="13">
        <v>49887</v>
      </c>
      <c r="N539" s="13">
        <v>49887</v>
      </c>
      <c r="O539" s="13">
        <v>49887</v>
      </c>
      <c r="P539" s="24">
        <v>104.66523349196908</v>
      </c>
      <c r="V539">
        <v>1</v>
      </c>
      <c r="W539" t="s">
        <v>33</v>
      </c>
      <c r="Y539" t="s">
        <v>33</v>
      </c>
      <c r="Z539" t="s">
        <v>34</v>
      </c>
      <c r="AA539">
        <v>1</v>
      </c>
    </row>
    <row r="540" spans="1:27" x14ac:dyDescent="0.35">
      <c r="A540" s="13">
        <v>45930</v>
      </c>
      <c r="B540">
        <v>1</v>
      </c>
      <c r="D540" t="s">
        <v>31</v>
      </c>
      <c r="E540" t="s">
        <v>32</v>
      </c>
      <c r="F540" t="s">
        <v>32</v>
      </c>
      <c r="H540" t="s">
        <v>59</v>
      </c>
      <c r="I540" t="s">
        <v>160</v>
      </c>
      <c r="K540">
        <v>131</v>
      </c>
      <c r="L540" s="13"/>
      <c r="M540" s="13">
        <v>49918</v>
      </c>
      <c r="N540" s="13">
        <v>49918</v>
      </c>
      <c r="O540" s="13">
        <v>49918</v>
      </c>
      <c r="P540" s="24">
        <v>104.66523349196908</v>
      </c>
      <c r="V540">
        <v>1</v>
      </c>
      <c r="W540" t="s">
        <v>33</v>
      </c>
      <c r="Y540" t="s">
        <v>33</v>
      </c>
      <c r="Z540" t="s">
        <v>34</v>
      </c>
      <c r="AA540">
        <v>1</v>
      </c>
    </row>
    <row r="541" spans="1:27" x14ac:dyDescent="0.35">
      <c r="A541" s="13">
        <v>45930</v>
      </c>
      <c r="B541">
        <v>1</v>
      </c>
      <c r="D541" t="s">
        <v>31</v>
      </c>
      <c r="E541" t="s">
        <v>32</v>
      </c>
      <c r="F541" t="s">
        <v>32</v>
      </c>
      <c r="H541" t="s">
        <v>59</v>
      </c>
      <c r="I541" t="s">
        <v>160</v>
      </c>
      <c r="K541">
        <v>132</v>
      </c>
      <c r="L541" s="13"/>
      <c r="M541" s="13">
        <v>49948</v>
      </c>
      <c r="N541" s="13">
        <v>49948</v>
      </c>
      <c r="O541" s="13">
        <v>49948</v>
      </c>
      <c r="P541" s="24">
        <v>104.66523349196908</v>
      </c>
      <c r="V541">
        <v>1</v>
      </c>
      <c r="W541" t="s">
        <v>33</v>
      </c>
      <c r="Y541" t="s">
        <v>33</v>
      </c>
      <c r="Z541" t="s">
        <v>34</v>
      </c>
      <c r="AA541">
        <v>1</v>
      </c>
    </row>
    <row r="542" spans="1:27" x14ac:dyDescent="0.35">
      <c r="A542" s="13">
        <v>45930</v>
      </c>
      <c r="B542">
        <v>1</v>
      </c>
      <c r="D542" t="s">
        <v>31</v>
      </c>
      <c r="E542" t="s">
        <v>32</v>
      </c>
      <c r="F542" t="s">
        <v>32</v>
      </c>
      <c r="H542" t="s">
        <v>59</v>
      </c>
      <c r="I542" t="s">
        <v>160</v>
      </c>
      <c r="K542">
        <v>133</v>
      </c>
      <c r="L542" s="13"/>
      <c r="M542" s="13">
        <v>49979</v>
      </c>
      <c r="N542" s="13">
        <v>49979</v>
      </c>
      <c r="O542" s="13">
        <v>49979</v>
      </c>
      <c r="P542" s="24">
        <v>104.66523349196908</v>
      </c>
      <c r="V542">
        <v>1</v>
      </c>
      <c r="W542" t="s">
        <v>33</v>
      </c>
      <c r="Y542" t="s">
        <v>33</v>
      </c>
      <c r="Z542" t="s">
        <v>34</v>
      </c>
      <c r="AA542">
        <v>1</v>
      </c>
    </row>
    <row r="543" spans="1:27" x14ac:dyDescent="0.35">
      <c r="A543" s="13">
        <v>45930</v>
      </c>
      <c r="B543">
        <v>1</v>
      </c>
      <c r="D543" t="s">
        <v>31</v>
      </c>
      <c r="E543" t="s">
        <v>32</v>
      </c>
      <c r="F543" t="s">
        <v>32</v>
      </c>
      <c r="H543" t="s">
        <v>59</v>
      </c>
      <c r="I543" t="s">
        <v>160</v>
      </c>
      <c r="K543">
        <v>134</v>
      </c>
      <c r="L543" s="13"/>
      <c r="M543" s="13">
        <v>50009</v>
      </c>
      <c r="N543" s="13">
        <v>50009</v>
      </c>
      <c r="O543" s="13">
        <v>50009</v>
      </c>
      <c r="P543" s="24">
        <v>104.66523349196908</v>
      </c>
      <c r="V543">
        <v>1</v>
      </c>
      <c r="W543" t="s">
        <v>33</v>
      </c>
      <c r="Y543" t="s">
        <v>33</v>
      </c>
      <c r="Z543" t="s">
        <v>34</v>
      </c>
      <c r="AA543">
        <v>1</v>
      </c>
    </row>
    <row r="544" spans="1:27" x14ac:dyDescent="0.35">
      <c r="A544" s="13">
        <v>45930</v>
      </c>
      <c r="B544">
        <v>1</v>
      </c>
      <c r="D544" t="s">
        <v>31</v>
      </c>
      <c r="E544" t="s">
        <v>32</v>
      </c>
      <c r="F544" t="s">
        <v>32</v>
      </c>
      <c r="H544" t="s">
        <v>59</v>
      </c>
      <c r="I544" t="s">
        <v>160</v>
      </c>
      <c r="K544">
        <v>135</v>
      </c>
      <c r="L544" s="13"/>
      <c r="M544" s="13">
        <v>50040</v>
      </c>
      <c r="N544" s="13">
        <v>50040</v>
      </c>
      <c r="O544" s="13">
        <v>50040</v>
      </c>
      <c r="P544" s="24">
        <v>104.66523349196908</v>
      </c>
      <c r="V544">
        <v>1</v>
      </c>
      <c r="W544" t="s">
        <v>33</v>
      </c>
      <c r="Y544" t="s">
        <v>33</v>
      </c>
      <c r="Z544" t="s">
        <v>34</v>
      </c>
      <c r="AA544">
        <v>1</v>
      </c>
    </row>
    <row r="545" spans="1:27" x14ac:dyDescent="0.35">
      <c r="A545" s="13">
        <v>45930</v>
      </c>
      <c r="B545">
        <v>1</v>
      </c>
      <c r="D545" t="s">
        <v>31</v>
      </c>
      <c r="E545" t="s">
        <v>32</v>
      </c>
      <c r="F545" t="s">
        <v>32</v>
      </c>
      <c r="H545" t="s">
        <v>59</v>
      </c>
      <c r="I545" t="s">
        <v>160</v>
      </c>
      <c r="K545">
        <v>136</v>
      </c>
      <c r="L545" s="13"/>
      <c r="M545" s="13">
        <v>50071</v>
      </c>
      <c r="N545" s="13">
        <v>50071</v>
      </c>
      <c r="O545" s="13">
        <v>50071</v>
      </c>
      <c r="P545" s="24">
        <v>104.66523349196908</v>
      </c>
      <c r="V545">
        <v>1</v>
      </c>
      <c r="W545" t="s">
        <v>33</v>
      </c>
      <c r="Y545" t="s">
        <v>33</v>
      </c>
      <c r="Z545" t="s">
        <v>34</v>
      </c>
      <c r="AA545">
        <v>1</v>
      </c>
    </row>
    <row r="546" spans="1:27" x14ac:dyDescent="0.35">
      <c r="A546" s="13">
        <v>45930</v>
      </c>
      <c r="B546">
        <v>1</v>
      </c>
      <c r="D546" t="s">
        <v>31</v>
      </c>
      <c r="E546" t="s">
        <v>32</v>
      </c>
      <c r="F546" t="s">
        <v>32</v>
      </c>
      <c r="H546" t="s">
        <v>59</v>
      </c>
      <c r="I546" t="s">
        <v>160</v>
      </c>
      <c r="K546">
        <v>137</v>
      </c>
      <c r="L546" s="13"/>
      <c r="M546" s="13">
        <v>50099</v>
      </c>
      <c r="N546" s="13">
        <v>50099</v>
      </c>
      <c r="O546" s="13">
        <v>50099</v>
      </c>
      <c r="P546" s="24">
        <v>104.66523349196908</v>
      </c>
      <c r="V546">
        <v>1</v>
      </c>
      <c r="W546" t="s">
        <v>33</v>
      </c>
      <c r="Y546" t="s">
        <v>33</v>
      </c>
      <c r="Z546" t="s">
        <v>34</v>
      </c>
      <c r="AA546">
        <v>1</v>
      </c>
    </row>
    <row r="547" spans="1:27" x14ac:dyDescent="0.35">
      <c r="A547" s="13">
        <v>45930</v>
      </c>
      <c r="B547">
        <v>1</v>
      </c>
      <c r="D547" t="s">
        <v>31</v>
      </c>
      <c r="E547" t="s">
        <v>32</v>
      </c>
      <c r="F547" t="s">
        <v>32</v>
      </c>
      <c r="H547" t="s">
        <v>59</v>
      </c>
      <c r="I547" t="s">
        <v>160</v>
      </c>
      <c r="K547">
        <v>138</v>
      </c>
      <c r="L547" s="13"/>
      <c r="M547" s="13">
        <v>50130</v>
      </c>
      <c r="N547" s="13">
        <v>50130</v>
      </c>
      <c r="O547" s="13">
        <v>50130</v>
      </c>
      <c r="P547" s="24">
        <v>104.66523349196908</v>
      </c>
      <c r="V547">
        <v>1</v>
      </c>
      <c r="W547" t="s">
        <v>33</v>
      </c>
      <c r="Y547" t="s">
        <v>33</v>
      </c>
      <c r="Z547" t="s">
        <v>34</v>
      </c>
      <c r="AA547">
        <v>1</v>
      </c>
    </row>
    <row r="548" spans="1:27" x14ac:dyDescent="0.35">
      <c r="A548" s="13">
        <v>45930</v>
      </c>
      <c r="B548">
        <v>1</v>
      </c>
      <c r="D548" t="s">
        <v>31</v>
      </c>
      <c r="E548" t="s">
        <v>32</v>
      </c>
      <c r="F548" t="s">
        <v>32</v>
      </c>
      <c r="H548" t="s">
        <v>59</v>
      </c>
      <c r="I548" t="s">
        <v>160</v>
      </c>
      <c r="K548">
        <v>139</v>
      </c>
      <c r="L548" s="13"/>
      <c r="M548" s="13">
        <v>50160</v>
      </c>
      <c r="N548" s="13">
        <v>50160</v>
      </c>
      <c r="O548" s="13">
        <v>50160</v>
      </c>
      <c r="P548" s="24">
        <v>104.66523349196908</v>
      </c>
      <c r="V548">
        <v>1</v>
      </c>
      <c r="W548" t="s">
        <v>33</v>
      </c>
      <c r="Y548" t="s">
        <v>33</v>
      </c>
      <c r="Z548" t="s">
        <v>34</v>
      </c>
      <c r="AA548">
        <v>1</v>
      </c>
    </row>
    <row r="549" spans="1:27" x14ac:dyDescent="0.35">
      <c r="A549" s="13">
        <v>45930</v>
      </c>
      <c r="B549">
        <v>1</v>
      </c>
      <c r="D549" t="s">
        <v>31</v>
      </c>
      <c r="E549" t="s">
        <v>32</v>
      </c>
      <c r="F549" t="s">
        <v>32</v>
      </c>
      <c r="H549" t="s">
        <v>59</v>
      </c>
      <c r="I549" t="s">
        <v>160</v>
      </c>
      <c r="K549">
        <v>140</v>
      </c>
      <c r="L549" s="13"/>
      <c r="M549" s="13">
        <v>50191</v>
      </c>
      <c r="N549" s="13">
        <v>50191</v>
      </c>
      <c r="O549" s="13">
        <v>50191</v>
      </c>
      <c r="P549" s="24">
        <v>104.66523349196908</v>
      </c>
      <c r="V549">
        <v>1</v>
      </c>
      <c r="W549" t="s">
        <v>33</v>
      </c>
      <c r="Y549" t="s">
        <v>33</v>
      </c>
      <c r="Z549" t="s">
        <v>34</v>
      </c>
      <c r="AA549">
        <v>1</v>
      </c>
    </row>
    <row r="550" spans="1:27" x14ac:dyDescent="0.35">
      <c r="A550" s="13">
        <v>45930</v>
      </c>
      <c r="B550">
        <v>1</v>
      </c>
      <c r="D550" t="s">
        <v>31</v>
      </c>
      <c r="E550" t="s">
        <v>32</v>
      </c>
      <c r="F550" t="s">
        <v>32</v>
      </c>
      <c r="H550" t="s">
        <v>59</v>
      </c>
      <c r="I550" t="s">
        <v>160</v>
      </c>
      <c r="K550">
        <v>141</v>
      </c>
      <c r="L550" s="13"/>
      <c r="M550" s="13">
        <v>50221</v>
      </c>
      <c r="N550" s="13">
        <v>50221</v>
      </c>
      <c r="O550" s="13">
        <v>50221</v>
      </c>
      <c r="P550" s="24">
        <v>104.66523349196908</v>
      </c>
      <c r="V550">
        <v>1</v>
      </c>
      <c r="W550" t="s">
        <v>33</v>
      </c>
      <c r="Y550" t="s">
        <v>33</v>
      </c>
      <c r="Z550" t="s">
        <v>34</v>
      </c>
      <c r="AA550">
        <v>1</v>
      </c>
    </row>
    <row r="551" spans="1:27" x14ac:dyDescent="0.35">
      <c r="A551" s="13">
        <v>45930</v>
      </c>
      <c r="B551">
        <v>1</v>
      </c>
      <c r="D551" t="s">
        <v>31</v>
      </c>
      <c r="E551" t="s">
        <v>32</v>
      </c>
      <c r="F551" t="s">
        <v>32</v>
      </c>
      <c r="H551" t="s">
        <v>59</v>
      </c>
      <c r="I551" t="s">
        <v>160</v>
      </c>
      <c r="K551">
        <v>142</v>
      </c>
      <c r="L551" s="13"/>
      <c r="M551" s="13">
        <v>50252</v>
      </c>
      <c r="N551" s="13">
        <v>50252</v>
      </c>
      <c r="O551" s="13">
        <v>50252</v>
      </c>
      <c r="P551" s="24">
        <v>104.66523349196908</v>
      </c>
      <c r="V551">
        <v>1</v>
      </c>
      <c r="W551" t="s">
        <v>33</v>
      </c>
      <c r="Y551" t="s">
        <v>33</v>
      </c>
      <c r="Z551" t="s">
        <v>34</v>
      </c>
      <c r="AA551">
        <v>1</v>
      </c>
    </row>
    <row r="552" spans="1:27" x14ac:dyDescent="0.35">
      <c r="A552" s="13">
        <v>45930</v>
      </c>
      <c r="B552">
        <v>1</v>
      </c>
      <c r="D552" t="s">
        <v>31</v>
      </c>
      <c r="E552" t="s">
        <v>32</v>
      </c>
      <c r="F552" t="s">
        <v>32</v>
      </c>
      <c r="H552" t="s">
        <v>59</v>
      </c>
      <c r="I552" t="s">
        <v>160</v>
      </c>
      <c r="K552">
        <v>143</v>
      </c>
      <c r="L552" s="13"/>
      <c r="M552" s="13">
        <v>50283</v>
      </c>
      <c r="N552" s="13">
        <v>50283</v>
      </c>
      <c r="O552" s="13">
        <v>50283</v>
      </c>
      <c r="P552" s="24">
        <v>104.66523349196908</v>
      </c>
      <c r="V552">
        <v>1</v>
      </c>
      <c r="W552" t="s">
        <v>33</v>
      </c>
      <c r="Y552" t="s">
        <v>33</v>
      </c>
      <c r="Z552" t="s">
        <v>34</v>
      </c>
      <c r="AA552">
        <v>1</v>
      </c>
    </row>
    <row r="553" spans="1:27" x14ac:dyDescent="0.35">
      <c r="A553" s="13">
        <v>45930</v>
      </c>
      <c r="B553">
        <v>1</v>
      </c>
      <c r="D553" t="s">
        <v>31</v>
      </c>
      <c r="E553" t="s">
        <v>32</v>
      </c>
      <c r="F553" t="s">
        <v>32</v>
      </c>
      <c r="H553" t="s">
        <v>59</v>
      </c>
      <c r="I553" t="s">
        <v>160</v>
      </c>
      <c r="K553">
        <v>144</v>
      </c>
      <c r="L553" s="13"/>
      <c r="M553" s="13">
        <v>50313</v>
      </c>
      <c r="N553" s="13">
        <v>50313</v>
      </c>
      <c r="O553" s="13">
        <v>50313</v>
      </c>
      <c r="P553" s="24">
        <v>104.66523349196908</v>
      </c>
      <c r="V553">
        <v>1</v>
      </c>
      <c r="W553" t="s">
        <v>33</v>
      </c>
      <c r="Y553" t="s">
        <v>33</v>
      </c>
      <c r="Z553" t="s">
        <v>34</v>
      </c>
      <c r="AA553">
        <v>1</v>
      </c>
    </row>
    <row r="554" spans="1:27" x14ac:dyDescent="0.35">
      <c r="A554" s="13">
        <v>45930</v>
      </c>
      <c r="B554">
        <v>1</v>
      </c>
      <c r="D554" t="s">
        <v>31</v>
      </c>
      <c r="E554" t="s">
        <v>32</v>
      </c>
      <c r="F554" t="s">
        <v>32</v>
      </c>
      <c r="H554" t="s">
        <v>59</v>
      </c>
      <c r="I554" t="s">
        <v>160</v>
      </c>
      <c r="K554">
        <v>145</v>
      </c>
      <c r="L554" s="13"/>
      <c r="M554" s="13">
        <v>50344</v>
      </c>
      <c r="N554" s="13">
        <v>50344</v>
      </c>
      <c r="O554" s="13">
        <v>50344</v>
      </c>
      <c r="P554" s="24">
        <v>104.66523349196908</v>
      </c>
      <c r="V554">
        <v>1</v>
      </c>
      <c r="W554" t="s">
        <v>33</v>
      </c>
      <c r="Y554" t="s">
        <v>33</v>
      </c>
      <c r="Z554" t="s">
        <v>34</v>
      </c>
      <c r="AA554">
        <v>1</v>
      </c>
    </row>
    <row r="555" spans="1:27" x14ac:dyDescent="0.35">
      <c r="A555" s="13">
        <v>45930</v>
      </c>
      <c r="B555">
        <v>1</v>
      </c>
      <c r="D555" t="s">
        <v>31</v>
      </c>
      <c r="E555" t="s">
        <v>32</v>
      </c>
      <c r="F555" t="s">
        <v>32</v>
      </c>
      <c r="H555" t="s">
        <v>59</v>
      </c>
      <c r="I555" t="s">
        <v>160</v>
      </c>
      <c r="K555">
        <v>146</v>
      </c>
      <c r="L555" s="13"/>
      <c r="M555" s="13">
        <v>50374</v>
      </c>
      <c r="N555" s="13">
        <v>50374</v>
      </c>
      <c r="O555" s="13">
        <v>50374</v>
      </c>
      <c r="P555" s="24">
        <v>104.66523349196908</v>
      </c>
      <c r="V555">
        <v>1</v>
      </c>
      <c r="W555" t="s">
        <v>33</v>
      </c>
      <c r="Y555" t="s">
        <v>33</v>
      </c>
      <c r="Z555" t="s">
        <v>34</v>
      </c>
      <c r="AA555">
        <v>1</v>
      </c>
    </row>
    <row r="556" spans="1:27" x14ac:dyDescent="0.35">
      <c r="A556" s="13">
        <v>45930</v>
      </c>
      <c r="B556">
        <v>1</v>
      </c>
      <c r="D556" t="s">
        <v>31</v>
      </c>
      <c r="E556" t="s">
        <v>32</v>
      </c>
      <c r="F556" t="s">
        <v>32</v>
      </c>
      <c r="H556" t="s">
        <v>59</v>
      </c>
      <c r="I556" t="s">
        <v>160</v>
      </c>
      <c r="K556">
        <v>147</v>
      </c>
      <c r="L556" s="13"/>
      <c r="M556" s="13">
        <v>50405</v>
      </c>
      <c r="N556" s="13">
        <v>50405</v>
      </c>
      <c r="O556" s="13">
        <v>50405</v>
      </c>
      <c r="P556" s="24">
        <v>104.66523349196908</v>
      </c>
      <c r="V556">
        <v>1</v>
      </c>
      <c r="W556" t="s">
        <v>33</v>
      </c>
      <c r="Y556" t="s">
        <v>33</v>
      </c>
      <c r="Z556" t="s">
        <v>34</v>
      </c>
      <c r="AA556">
        <v>1</v>
      </c>
    </row>
    <row r="557" spans="1:27" x14ac:dyDescent="0.35">
      <c r="A557" s="13">
        <v>45930</v>
      </c>
      <c r="B557">
        <v>1</v>
      </c>
      <c r="D557" t="s">
        <v>31</v>
      </c>
      <c r="E557" t="s">
        <v>32</v>
      </c>
      <c r="F557" t="s">
        <v>32</v>
      </c>
      <c r="H557" t="s">
        <v>59</v>
      </c>
      <c r="I557" t="s">
        <v>160</v>
      </c>
      <c r="K557">
        <v>148</v>
      </c>
      <c r="L557" s="13"/>
      <c r="M557" s="13">
        <v>50436</v>
      </c>
      <c r="N557" s="13">
        <v>50436</v>
      </c>
      <c r="O557" s="13">
        <v>50436</v>
      </c>
      <c r="P557" s="24">
        <v>104.66523349196908</v>
      </c>
      <c r="V557">
        <v>1</v>
      </c>
      <c r="W557" t="s">
        <v>33</v>
      </c>
      <c r="Y557" t="s">
        <v>33</v>
      </c>
      <c r="Z557" t="s">
        <v>34</v>
      </c>
      <c r="AA557">
        <v>1</v>
      </c>
    </row>
    <row r="558" spans="1:27" x14ac:dyDescent="0.35">
      <c r="A558" s="13">
        <v>45930</v>
      </c>
      <c r="B558">
        <v>1</v>
      </c>
      <c r="D558" t="s">
        <v>31</v>
      </c>
      <c r="E558" t="s">
        <v>32</v>
      </c>
      <c r="F558" t="s">
        <v>32</v>
      </c>
      <c r="H558" t="s">
        <v>59</v>
      </c>
      <c r="I558" t="s">
        <v>160</v>
      </c>
      <c r="K558">
        <v>149</v>
      </c>
      <c r="L558" s="13"/>
      <c r="M558" s="13">
        <v>50464</v>
      </c>
      <c r="N558" s="13">
        <v>50464</v>
      </c>
      <c r="O558" s="13">
        <v>50464</v>
      </c>
      <c r="P558" s="24">
        <v>104.66523349196908</v>
      </c>
      <c r="V558">
        <v>1</v>
      </c>
      <c r="W558" t="s">
        <v>33</v>
      </c>
      <c r="Y558" t="s">
        <v>33</v>
      </c>
      <c r="Z558" t="s">
        <v>34</v>
      </c>
      <c r="AA558">
        <v>1</v>
      </c>
    </row>
    <row r="559" spans="1:27" x14ac:dyDescent="0.35">
      <c r="A559" s="13">
        <v>45930</v>
      </c>
      <c r="B559">
        <v>1</v>
      </c>
      <c r="D559" t="s">
        <v>31</v>
      </c>
      <c r="E559" t="s">
        <v>32</v>
      </c>
      <c r="F559" t="s">
        <v>32</v>
      </c>
      <c r="H559" t="s">
        <v>59</v>
      </c>
      <c r="I559" t="s">
        <v>160</v>
      </c>
      <c r="K559">
        <v>150</v>
      </c>
      <c r="L559" s="13"/>
      <c r="M559" s="13">
        <v>50495</v>
      </c>
      <c r="N559" s="13">
        <v>50495</v>
      </c>
      <c r="O559" s="13">
        <v>50495</v>
      </c>
      <c r="P559" s="24">
        <v>104.66523349196908</v>
      </c>
      <c r="V559">
        <v>1</v>
      </c>
      <c r="W559" t="s">
        <v>33</v>
      </c>
      <c r="Y559" t="s">
        <v>33</v>
      </c>
      <c r="Z559" t="s">
        <v>34</v>
      </c>
      <c r="AA559">
        <v>1</v>
      </c>
    </row>
    <row r="560" spans="1:27" x14ac:dyDescent="0.35">
      <c r="A560" s="13">
        <v>45930</v>
      </c>
      <c r="B560">
        <v>1</v>
      </c>
      <c r="D560" t="s">
        <v>31</v>
      </c>
      <c r="E560" t="s">
        <v>32</v>
      </c>
      <c r="F560" t="s">
        <v>32</v>
      </c>
      <c r="H560" t="s">
        <v>59</v>
      </c>
      <c r="I560" t="s">
        <v>160</v>
      </c>
      <c r="K560">
        <v>151</v>
      </c>
      <c r="L560" s="13"/>
      <c r="M560" s="13">
        <v>50525</v>
      </c>
      <c r="N560" s="13">
        <v>50525</v>
      </c>
      <c r="O560" s="13">
        <v>50525</v>
      </c>
      <c r="P560" s="24">
        <v>104.66523349196908</v>
      </c>
      <c r="V560">
        <v>1</v>
      </c>
      <c r="W560" t="s">
        <v>33</v>
      </c>
      <c r="Y560" t="s">
        <v>33</v>
      </c>
      <c r="Z560" t="s">
        <v>34</v>
      </c>
      <c r="AA560">
        <v>1</v>
      </c>
    </row>
    <row r="561" spans="1:27" x14ac:dyDescent="0.35">
      <c r="A561" s="13">
        <v>45930</v>
      </c>
      <c r="B561">
        <v>1</v>
      </c>
      <c r="D561" t="s">
        <v>31</v>
      </c>
      <c r="E561" t="s">
        <v>32</v>
      </c>
      <c r="F561" t="s">
        <v>32</v>
      </c>
      <c r="H561" t="s">
        <v>59</v>
      </c>
      <c r="I561" t="s">
        <v>160</v>
      </c>
      <c r="K561">
        <v>152</v>
      </c>
      <c r="L561" s="13"/>
      <c r="M561" s="13">
        <v>50556</v>
      </c>
      <c r="N561" s="13">
        <v>50556</v>
      </c>
      <c r="O561" s="13">
        <v>50556</v>
      </c>
      <c r="P561" s="24">
        <v>104.66523349196908</v>
      </c>
      <c r="V561">
        <v>1</v>
      </c>
      <c r="W561" t="s">
        <v>33</v>
      </c>
      <c r="Y561" t="s">
        <v>33</v>
      </c>
      <c r="Z561" t="s">
        <v>34</v>
      </c>
      <c r="AA561">
        <v>1</v>
      </c>
    </row>
    <row r="562" spans="1:27" x14ac:dyDescent="0.35">
      <c r="A562" s="13">
        <v>45930</v>
      </c>
      <c r="B562">
        <v>1</v>
      </c>
      <c r="D562" t="s">
        <v>31</v>
      </c>
      <c r="E562" t="s">
        <v>32</v>
      </c>
      <c r="F562" t="s">
        <v>32</v>
      </c>
      <c r="H562" t="s">
        <v>59</v>
      </c>
      <c r="I562" t="s">
        <v>160</v>
      </c>
      <c r="K562">
        <v>153</v>
      </c>
      <c r="L562" s="13"/>
      <c r="M562" s="13">
        <v>50586</v>
      </c>
      <c r="N562" s="13">
        <v>50586</v>
      </c>
      <c r="O562" s="13">
        <v>50586</v>
      </c>
      <c r="P562" s="24">
        <v>104.66523349196908</v>
      </c>
      <c r="V562">
        <v>1</v>
      </c>
      <c r="W562" t="s">
        <v>33</v>
      </c>
      <c r="Y562" t="s">
        <v>33</v>
      </c>
      <c r="Z562" t="s">
        <v>34</v>
      </c>
      <c r="AA562">
        <v>1</v>
      </c>
    </row>
    <row r="563" spans="1:27" x14ac:dyDescent="0.35">
      <c r="A563" s="13">
        <v>45930</v>
      </c>
      <c r="B563">
        <v>1</v>
      </c>
      <c r="D563" t="s">
        <v>31</v>
      </c>
      <c r="E563" t="s">
        <v>32</v>
      </c>
      <c r="F563" t="s">
        <v>32</v>
      </c>
      <c r="H563" t="s">
        <v>59</v>
      </c>
      <c r="I563" t="s">
        <v>160</v>
      </c>
      <c r="K563">
        <v>154</v>
      </c>
      <c r="L563" s="13"/>
      <c r="M563" s="13">
        <v>50617</v>
      </c>
      <c r="N563" s="13">
        <v>50617</v>
      </c>
      <c r="O563" s="13">
        <v>50617</v>
      </c>
      <c r="P563" s="24">
        <v>104.66523349196908</v>
      </c>
      <c r="V563">
        <v>1</v>
      </c>
      <c r="W563" t="s">
        <v>33</v>
      </c>
      <c r="Y563" t="s">
        <v>33</v>
      </c>
      <c r="Z563" t="s">
        <v>34</v>
      </c>
      <c r="AA563">
        <v>1</v>
      </c>
    </row>
    <row r="564" spans="1:27" x14ac:dyDescent="0.35">
      <c r="A564" s="13">
        <v>45930</v>
      </c>
      <c r="B564">
        <v>1</v>
      </c>
      <c r="D564" t="s">
        <v>31</v>
      </c>
      <c r="E564" t="s">
        <v>32</v>
      </c>
      <c r="F564" t="s">
        <v>32</v>
      </c>
      <c r="H564" t="s">
        <v>59</v>
      </c>
      <c r="I564" t="s">
        <v>160</v>
      </c>
      <c r="K564">
        <v>155</v>
      </c>
      <c r="L564" s="13"/>
      <c r="M564" s="13">
        <v>50648</v>
      </c>
      <c r="N564" s="13">
        <v>50648</v>
      </c>
      <c r="O564" s="13">
        <v>50648</v>
      </c>
      <c r="P564" s="24">
        <v>104.66523349196908</v>
      </c>
      <c r="V564">
        <v>1</v>
      </c>
      <c r="W564" t="s">
        <v>33</v>
      </c>
      <c r="Y564" t="s">
        <v>33</v>
      </c>
      <c r="Z564" t="s">
        <v>34</v>
      </c>
      <c r="AA564">
        <v>1</v>
      </c>
    </row>
    <row r="565" spans="1:27" x14ac:dyDescent="0.35">
      <c r="A565" s="13">
        <v>45930</v>
      </c>
      <c r="B565">
        <v>1</v>
      </c>
      <c r="D565" t="s">
        <v>31</v>
      </c>
      <c r="E565" t="s">
        <v>32</v>
      </c>
      <c r="F565" t="s">
        <v>32</v>
      </c>
      <c r="H565" t="s">
        <v>59</v>
      </c>
      <c r="I565" t="s">
        <v>160</v>
      </c>
      <c r="K565">
        <v>156</v>
      </c>
      <c r="L565" s="13"/>
      <c r="M565" s="13">
        <v>50678</v>
      </c>
      <c r="N565" s="13">
        <v>50678</v>
      </c>
      <c r="O565" s="13">
        <v>50678</v>
      </c>
      <c r="P565" s="24">
        <v>104.66523349196908</v>
      </c>
      <c r="V565">
        <v>1</v>
      </c>
      <c r="W565" t="s">
        <v>33</v>
      </c>
      <c r="Y565" t="s">
        <v>33</v>
      </c>
      <c r="Z565" t="s">
        <v>34</v>
      </c>
      <c r="AA565">
        <v>1</v>
      </c>
    </row>
    <row r="566" spans="1:27" x14ac:dyDescent="0.35">
      <c r="A566" s="13">
        <v>45930</v>
      </c>
      <c r="B566">
        <v>1</v>
      </c>
      <c r="D566" t="s">
        <v>31</v>
      </c>
      <c r="E566" t="s">
        <v>32</v>
      </c>
      <c r="F566" t="s">
        <v>32</v>
      </c>
      <c r="H566" t="s">
        <v>59</v>
      </c>
      <c r="I566" t="s">
        <v>160</v>
      </c>
      <c r="K566">
        <v>157</v>
      </c>
      <c r="L566" s="13"/>
      <c r="M566" s="13">
        <v>50709</v>
      </c>
      <c r="N566" s="13">
        <v>50709</v>
      </c>
      <c r="O566" s="13">
        <v>50709</v>
      </c>
      <c r="P566" s="24">
        <v>104.66523349196908</v>
      </c>
      <c r="V566">
        <v>1</v>
      </c>
      <c r="W566" t="s">
        <v>33</v>
      </c>
      <c r="Y566" t="s">
        <v>33</v>
      </c>
      <c r="Z566" t="s">
        <v>34</v>
      </c>
      <c r="AA566">
        <v>1</v>
      </c>
    </row>
    <row r="567" spans="1:27" x14ac:dyDescent="0.35">
      <c r="A567" s="13">
        <v>45930</v>
      </c>
      <c r="B567">
        <v>1</v>
      </c>
      <c r="D567" t="s">
        <v>31</v>
      </c>
      <c r="E567" t="s">
        <v>32</v>
      </c>
      <c r="F567" t="s">
        <v>32</v>
      </c>
      <c r="H567" t="s">
        <v>59</v>
      </c>
      <c r="I567" t="s">
        <v>160</v>
      </c>
      <c r="K567">
        <v>158</v>
      </c>
      <c r="L567" s="13"/>
      <c r="M567" s="13">
        <v>50739</v>
      </c>
      <c r="N567" s="13">
        <v>50739</v>
      </c>
      <c r="O567" s="13">
        <v>50739</v>
      </c>
      <c r="P567" s="24">
        <v>104.66523349196908</v>
      </c>
      <c r="V567">
        <v>1</v>
      </c>
      <c r="W567" t="s">
        <v>33</v>
      </c>
      <c r="Y567" t="s">
        <v>33</v>
      </c>
      <c r="Z567" t="s">
        <v>34</v>
      </c>
      <c r="AA567">
        <v>1</v>
      </c>
    </row>
    <row r="568" spans="1:27" x14ac:dyDescent="0.35">
      <c r="A568" s="13">
        <v>45930</v>
      </c>
      <c r="B568">
        <v>1</v>
      </c>
      <c r="D568" t="s">
        <v>31</v>
      </c>
      <c r="E568" t="s">
        <v>32</v>
      </c>
      <c r="F568" t="s">
        <v>32</v>
      </c>
      <c r="H568" t="s">
        <v>59</v>
      </c>
      <c r="I568" t="s">
        <v>160</v>
      </c>
      <c r="K568">
        <v>159</v>
      </c>
      <c r="L568" s="13"/>
      <c r="M568" s="13">
        <v>50770</v>
      </c>
      <c r="N568" s="13">
        <v>50770</v>
      </c>
      <c r="O568" s="13">
        <v>50770</v>
      </c>
      <c r="P568" s="24">
        <v>104.66523349196908</v>
      </c>
      <c r="V568">
        <v>1</v>
      </c>
      <c r="W568" t="s">
        <v>33</v>
      </c>
      <c r="Y568" t="s">
        <v>33</v>
      </c>
      <c r="Z568" t="s">
        <v>34</v>
      </c>
      <c r="AA568">
        <v>1</v>
      </c>
    </row>
    <row r="569" spans="1:27" x14ac:dyDescent="0.35">
      <c r="A569" s="13">
        <v>45930</v>
      </c>
      <c r="B569">
        <v>1</v>
      </c>
      <c r="D569" t="s">
        <v>31</v>
      </c>
      <c r="E569" t="s">
        <v>32</v>
      </c>
      <c r="F569" t="s">
        <v>32</v>
      </c>
      <c r="H569" t="s">
        <v>59</v>
      </c>
      <c r="I569" t="s">
        <v>160</v>
      </c>
      <c r="K569">
        <v>160</v>
      </c>
      <c r="L569" s="13"/>
      <c r="M569" s="13">
        <v>50801</v>
      </c>
      <c r="N569" s="13">
        <v>50801</v>
      </c>
      <c r="O569" s="13">
        <v>50801</v>
      </c>
      <c r="P569" s="24">
        <v>104.66523349196908</v>
      </c>
      <c r="V569">
        <v>1</v>
      </c>
      <c r="W569" t="s">
        <v>33</v>
      </c>
      <c r="Y569" t="s">
        <v>33</v>
      </c>
      <c r="Z569" t="s">
        <v>34</v>
      </c>
      <c r="AA569">
        <v>1</v>
      </c>
    </row>
    <row r="570" spans="1:27" x14ac:dyDescent="0.35">
      <c r="A570" s="13">
        <v>45930</v>
      </c>
      <c r="B570">
        <v>1</v>
      </c>
      <c r="D570" t="s">
        <v>31</v>
      </c>
      <c r="E570" t="s">
        <v>32</v>
      </c>
      <c r="F570" t="s">
        <v>32</v>
      </c>
      <c r="H570" t="s">
        <v>59</v>
      </c>
      <c r="I570" t="s">
        <v>160</v>
      </c>
      <c r="K570">
        <v>161</v>
      </c>
      <c r="L570" s="13"/>
      <c r="M570" s="13">
        <v>50829</v>
      </c>
      <c r="N570" s="13">
        <v>50829</v>
      </c>
      <c r="O570" s="13">
        <v>50829</v>
      </c>
      <c r="P570" s="24">
        <v>104.66523349196908</v>
      </c>
      <c r="V570">
        <v>1</v>
      </c>
      <c r="W570" t="s">
        <v>33</v>
      </c>
      <c r="Y570" t="s">
        <v>33</v>
      </c>
      <c r="Z570" t="s">
        <v>34</v>
      </c>
      <c r="AA570">
        <v>1</v>
      </c>
    </row>
    <row r="571" spans="1:27" x14ac:dyDescent="0.35">
      <c r="A571" s="13">
        <v>45930</v>
      </c>
      <c r="B571">
        <v>1</v>
      </c>
      <c r="D571" t="s">
        <v>31</v>
      </c>
      <c r="E571" t="s">
        <v>32</v>
      </c>
      <c r="F571" t="s">
        <v>32</v>
      </c>
      <c r="H571" t="s">
        <v>59</v>
      </c>
      <c r="I571" t="s">
        <v>160</v>
      </c>
      <c r="K571">
        <v>162</v>
      </c>
      <c r="L571" s="13"/>
      <c r="M571" s="13">
        <v>50860</v>
      </c>
      <c r="N571" s="13">
        <v>50860</v>
      </c>
      <c r="O571" s="13">
        <v>50860</v>
      </c>
      <c r="P571" s="24">
        <v>104.66523349196908</v>
      </c>
      <c r="V571">
        <v>1</v>
      </c>
      <c r="W571" t="s">
        <v>33</v>
      </c>
      <c r="Y571" t="s">
        <v>33</v>
      </c>
      <c r="Z571" t="s">
        <v>34</v>
      </c>
      <c r="AA571">
        <v>1</v>
      </c>
    </row>
    <row r="572" spans="1:27" x14ac:dyDescent="0.35">
      <c r="A572" s="13">
        <v>45930</v>
      </c>
      <c r="B572">
        <v>1</v>
      </c>
      <c r="D572" t="s">
        <v>31</v>
      </c>
      <c r="E572" t="s">
        <v>32</v>
      </c>
      <c r="F572" t="s">
        <v>32</v>
      </c>
      <c r="H572" t="s">
        <v>59</v>
      </c>
      <c r="I572" t="s">
        <v>160</v>
      </c>
      <c r="K572">
        <v>163</v>
      </c>
      <c r="L572" s="13"/>
      <c r="M572" s="13">
        <v>50890</v>
      </c>
      <c r="N572" s="13">
        <v>50890</v>
      </c>
      <c r="O572" s="13">
        <v>50890</v>
      </c>
      <c r="P572" s="24">
        <v>104.66523349196908</v>
      </c>
      <c r="V572">
        <v>1</v>
      </c>
      <c r="W572" t="s">
        <v>33</v>
      </c>
      <c r="Y572" t="s">
        <v>33</v>
      </c>
      <c r="Z572" t="s">
        <v>34</v>
      </c>
      <c r="AA572">
        <v>1</v>
      </c>
    </row>
    <row r="573" spans="1:27" x14ac:dyDescent="0.35">
      <c r="A573" s="13">
        <v>45930</v>
      </c>
      <c r="B573">
        <v>1</v>
      </c>
      <c r="D573" t="s">
        <v>31</v>
      </c>
      <c r="E573" t="s">
        <v>32</v>
      </c>
      <c r="F573" t="s">
        <v>32</v>
      </c>
      <c r="H573" t="s">
        <v>59</v>
      </c>
      <c r="I573" t="s">
        <v>160</v>
      </c>
      <c r="K573">
        <v>164</v>
      </c>
      <c r="L573" s="13"/>
      <c r="M573" s="13">
        <v>50921</v>
      </c>
      <c r="N573" s="13">
        <v>50921</v>
      </c>
      <c r="O573" s="13">
        <v>50921</v>
      </c>
      <c r="P573" s="24">
        <v>104.66523349196908</v>
      </c>
      <c r="V573">
        <v>1</v>
      </c>
      <c r="W573" t="s">
        <v>33</v>
      </c>
      <c r="Y573" t="s">
        <v>33</v>
      </c>
      <c r="Z573" t="s">
        <v>34</v>
      </c>
      <c r="AA573">
        <v>1</v>
      </c>
    </row>
    <row r="574" spans="1:27" x14ac:dyDescent="0.35">
      <c r="A574" s="13">
        <v>45930</v>
      </c>
      <c r="B574">
        <v>1</v>
      </c>
      <c r="D574" t="s">
        <v>31</v>
      </c>
      <c r="E574" t="s">
        <v>32</v>
      </c>
      <c r="F574" t="s">
        <v>32</v>
      </c>
      <c r="H574" t="s">
        <v>59</v>
      </c>
      <c r="I574" t="s">
        <v>160</v>
      </c>
      <c r="K574">
        <v>165</v>
      </c>
      <c r="L574" s="13"/>
      <c r="M574" s="13">
        <v>50951</v>
      </c>
      <c r="N574" s="13">
        <v>50951</v>
      </c>
      <c r="O574" s="13">
        <v>50951</v>
      </c>
      <c r="P574" s="24">
        <v>104.66523349196908</v>
      </c>
      <c r="V574">
        <v>1</v>
      </c>
      <c r="W574" t="s">
        <v>33</v>
      </c>
      <c r="Y574" t="s">
        <v>33</v>
      </c>
      <c r="Z574" t="s">
        <v>34</v>
      </c>
      <c r="AA574">
        <v>1</v>
      </c>
    </row>
    <row r="575" spans="1:27" x14ac:dyDescent="0.35">
      <c r="A575" s="13">
        <v>45930</v>
      </c>
      <c r="B575">
        <v>1</v>
      </c>
      <c r="D575" t="s">
        <v>31</v>
      </c>
      <c r="E575" t="s">
        <v>32</v>
      </c>
      <c r="F575" t="s">
        <v>32</v>
      </c>
      <c r="H575" t="s">
        <v>59</v>
      </c>
      <c r="I575" t="s">
        <v>160</v>
      </c>
      <c r="K575">
        <v>166</v>
      </c>
      <c r="L575" s="13"/>
      <c r="M575" s="13">
        <v>50982</v>
      </c>
      <c r="N575" s="13">
        <v>50982</v>
      </c>
      <c r="O575" s="13">
        <v>50982</v>
      </c>
      <c r="P575" s="24">
        <v>104.66523349196908</v>
      </c>
      <c r="V575">
        <v>1</v>
      </c>
      <c r="W575" t="s">
        <v>33</v>
      </c>
      <c r="Y575" t="s">
        <v>33</v>
      </c>
      <c r="Z575" t="s">
        <v>34</v>
      </c>
      <c r="AA575">
        <v>1</v>
      </c>
    </row>
    <row r="576" spans="1:27" x14ac:dyDescent="0.35">
      <c r="A576" s="13">
        <v>45930</v>
      </c>
      <c r="B576">
        <v>1</v>
      </c>
      <c r="D576" t="s">
        <v>31</v>
      </c>
      <c r="E576" t="s">
        <v>32</v>
      </c>
      <c r="F576" t="s">
        <v>32</v>
      </c>
      <c r="H576" t="s">
        <v>59</v>
      </c>
      <c r="I576" t="s">
        <v>160</v>
      </c>
      <c r="K576">
        <v>167</v>
      </c>
      <c r="L576" s="13"/>
      <c r="M576" s="13">
        <v>51013</v>
      </c>
      <c r="N576" s="13">
        <v>51013</v>
      </c>
      <c r="O576" s="13">
        <v>51013</v>
      </c>
      <c r="P576" s="24">
        <v>104.66523349196908</v>
      </c>
      <c r="V576">
        <v>1</v>
      </c>
      <c r="W576" t="s">
        <v>33</v>
      </c>
      <c r="Y576" t="s">
        <v>33</v>
      </c>
      <c r="Z576" t="s">
        <v>34</v>
      </c>
      <c r="AA576">
        <v>1</v>
      </c>
    </row>
    <row r="577" spans="1:27" x14ac:dyDescent="0.35">
      <c r="A577" s="13">
        <v>45930</v>
      </c>
      <c r="B577">
        <v>1</v>
      </c>
      <c r="D577" t="s">
        <v>31</v>
      </c>
      <c r="E577" t="s">
        <v>32</v>
      </c>
      <c r="F577" t="s">
        <v>32</v>
      </c>
      <c r="H577" t="s">
        <v>59</v>
      </c>
      <c r="I577" t="s">
        <v>160</v>
      </c>
      <c r="K577">
        <v>168</v>
      </c>
      <c r="L577" s="13"/>
      <c r="M577" s="13">
        <v>51043</v>
      </c>
      <c r="N577" s="13">
        <v>51043</v>
      </c>
      <c r="O577" s="13">
        <v>51043</v>
      </c>
      <c r="P577" s="24">
        <v>104.66523349196908</v>
      </c>
      <c r="V577">
        <v>1</v>
      </c>
      <c r="W577" t="s">
        <v>33</v>
      </c>
      <c r="Y577" t="s">
        <v>33</v>
      </c>
      <c r="Z577" t="s">
        <v>34</v>
      </c>
      <c r="AA577">
        <v>1</v>
      </c>
    </row>
    <row r="578" spans="1:27" x14ac:dyDescent="0.35">
      <c r="A578" s="13">
        <v>45930</v>
      </c>
      <c r="B578">
        <v>1</v>
      </c>
      <c r="D578" t="s">
        <v>31</v>
      </c>
      <c r="E578" t="s">
        <v>32</v>
      </c>
      <c r="F578" t="s">
        <v>32</v>
      </c>
      <c r="H578" t="s">
        <v>59</v>
      </c>
      <c r="I578" t="s">
        <v>160</v>
      </c>
      <c r="K578">
        <v>169</v>
      </c>
      <c r="L578" s="13"/>
      <c r="M578" s="13">
        <v>51074</v>
      </c>
      <c r="N578" s="13">
        <v>51074</v>
      </c>
      <c r="O578" s="13">
        <v>51074</v>
      </c>
      <c r="P578" s="24">
        <v>104.66523349196908</v>
      </c>
      <c r="V578">
        <v>1</v>
      </c>
      <c r="W578" t="s">
        <v>33</v>
      </c>
      <c r="Y578" t="s">
        <v>33</v>
      </c>
      <c r="Z578" t="s">
        <v>34</v>
      </c>
      <c r="AA578">
        <v>1</v>
      </c>
    </row>
    <row r="579" spans="1:27" x14ac:dyDescent="0.35">
      <c r="A579" s="13">
        <v>45930</v>
      </c>
      <c r="B579">
        <v>1</v>
      </c>
      <c r="D579" t="s">
        <v>31</v>
      </c>
      <c r="E579" t="s">
        <v>32</v>
      </c>
      <c r="F579" t="s">
        <v>32</v>
      </c>
      <c r="H579" t="s">
        <v>59</v>
      </c>
      <c r="I579" t="s">
        <v>160</v>
      </c>
      <c r="K579">
        <v>170</v>
      </c>
      <c r="L579" s="13"/>
      <c r="M579" s="13">
        <v>51104</v>
      </c>
      <c r="N579" s="13">
        <v>51104</v>
      </c>
      <c r="O579" s="13">
        <v>51104</v>
      </c>
      <c r="P579" s="24">
        <v>104.66523349196908</v>
      </c>
      <c r="V579">
        <v>1</v>
      </c>
      <c r="W579" t="s">
        <v>33</v>
      </c>
      <c r="Y579" t="s">
        <v>33</v>
      </c>
      <c r="Z579" t="s">
        <v>34</v>
      </c>
      <c r="AA579">
        <v>1</v>
      </c>
    </row>
    <row r="580" spans="1:27" x14ac:dyDescent="0.35">
      <c r="A580" s="13">
        <v>45930</v>
      </c>
      <c r="B580">
        <v>1</v>
      </c>
      <c r="D580" t="s">
        <v>31</v>
      </c>
      <c r="E580" t="s">
        <v>32</v>
      </c>
      <c r="F580" t="s">
        <v>32</v>
      </c>
      <c r="H580" t="s">
        <v>59</v>
      </c>
      <c r="I580" t="s">
        <v>160</v>
      </c>
      <c r="K580">
        <v>171</v>
      </c>
      <c r="L580" s="13"/>
      <c r="M580" s="13">
        <v>51135</v>
      </c>
      <c r="N580" s="13">
        <v>51135</v>
      </c>
      <c r="O580" s="13">
        <v>51135</v>
      </c>
      <c r="P580" s="24">
        <v>104.66523349196908</v>
      </c>
      <c r="V580">
        <v>1</v>
      </c>
      <c r="W580" t="s">
        <v>33</v>
      </c>
      <c r="Y580" t="s">
        <v>33</v>
      </c>
      <c r="Z580" t="s">
        <v>34</v>
      </c>
      <c r="AA580">
        <v>1</v>
      </c>
    </row>
    <row r="581" spans="1:27" x14ac:dyDescent="0.35">
      <c r="A581" s="13">
        <v>45930</v>
      </c>
      <c r="B581">
        <v>1</v>
      </c>
      <c r="D581" t="s">
        <v>31</v>
      </c>
      <c r="E581" t="s">
        <v>32</v>
      </c>
      <c r="F581" t="s">
        <v>32</v>
      </c>
      <c r="H581" t="s">
        <v>59</v>
      </c>
      <c r="I581" t="s">
        <v>160</v>
      </c>
      <c r="K581">
        <v>172</v>
      </c>
      <c r="L581" s="13"/>
      <c r="M581" s="13">
        <v>51166</v>
      </c>
      <c r="N581" s="13">
        <v>51166</v>
      </c>
      <c r="O581" s="13">
        <v>51166</v>
      </c>
      <c r="P581" s="24">
        <v>104.66523349196908</v>
      </c>
      <c r="V581">
        <v>1</v>
      </c>
      <c r="W581" t="s">
        <v>33</v>
      </c>
      <c r="Y581" t="s">
        <v>33</v>
      </c>
      <c r="Z581" t="s">
        <v>34</v>
      </c>
      <c r="AA581">
        <v>1</v>
      </c>
    </row>
    <row r="582" spans="1:27" x14ac:dyDescent="0.35">
      <c r="A582" s="13">
        <v>45930</v>
      </c>
      <c r="B582">
        <v>1</v>
      </c>
      <c r="D582" t="s">
        <v>31</v>
      </c>
      <c r="E582" t="s">
        <v>32</v>
      </c>
      <c r="F582" t="s">
        <v>32</v>
      </c>
      <c r="H582" t="s">
        <v>59</v>
      </c>
      <c r="I582" t="s">
        <v>160</v>
      </c>
      <c r="K582">
        <v>173</v>
      </c>
      <c r="L582" s="13"/>
      <c r="M582" s="13">
        <v>51195</v>
      </c>
      <c r="N582" s="13">
        <v>51195</v>
      </c>
      <c r="O582" s="13">
        <v>51195</v>
      </c>
      <c r="P582" s="24">
        <v>104.66523349196908</v>
      </c>
      <c r="V582">
        <v>1</v>
      </c>
      <c r="W582" t="s">
        <v>33</v>
      </c>
      <c r="Y582" t="s">
        <v>33</v>
      </c>
      <c r="Z582" t="s">
        <v>34</v>
      </c>
      <c r="AA582">
        <v>1</v>
      </c>
    </row>
    <row r="583" spans="1:27" x14ac:dyDescent="0.35">
      <c r="A583" s="13">
        <v>45930</v>
      </c>
      <c r="B583">
        <v>1</v>
      </c>
      <c r="D583" t="s">
        <v>31</v>
      </c>
      <c r="E583" t="s">
        <v>32</v>
      </c>
      <c r="F583" t="s">
        <v>32</v>
      </c>
      <c r="H583" t="s">
        <v>59</v>
      </c>
      <c r="I583" t="s">
        <v>160</v>
      </c>
      <c r="K583">
        <v>174</v>
      </c>
      <c r="L583" s="13"/>
      <c r="M583" s="13">
        <v>51226</v>
      </c>
      <c r="N583" s="13">
        <v>51226</v>
      </c>
      <c r="O583" s="13">
        <v>51226</v>
      </c>
      <c r="P583" s="24">
        <v>104.66523349196908</v>
      </c>
      <c r="V583">
        <v>1</v>
      </c>
      <c r="W583" t="s">
        <v>33</v>
      </c>
      <c r="Y583" t="s">
        <v>33</v>
      </c>
      <c r="Z583" t="s">
        <v>34</v>
      </c>
      <c r="AA583">
        <v>1</v>
      </c>
    </row>
    <row r="584" spans="1:27" x14ac:dyDescent="0.35">
      <c r="A584" s="13">
        <v>45930</v>
      </c>
      <c r="B584">
        <v>1</v>
      </c>
      <c r="D584" t="s">
        <v>31</v>
      </c>
      <c r="E584" t="s">
        <v>32</v>
      </c>
      <c r="F584" t="s">
        <v>32</v>
      </c>
      <c r="H584" t="s">
        <v>59</v>
      </c>
      <c r="I584" t="s">
        <v>160</v>
      </c>
      <c r="K584">
        <v>175</v>
      </c>
      <c r="L584" s="13"/>
      <c r="M584" s="13">
        <v>51256</v>
      </c>
      <c r="N584" s="13">
        <v>51256</v>
      </c>
      <c r="O584" s="13">
        <v>51256</v>
      </c>
      <c r="P584" s="24">
        <v>104.66523349196908</v>
      </c>
      <c r="V584">
        <v>1</v>
      </c>
      <c r="W584" t="s">
        <v>33</v>
      </c>
      <c r="Y584" t="s">
        <v>33</v>
      </c>
      <c r="Z584" t="s">
        <v>34</v>
      </c>
      <c r="AA584">
        <v>1</v>
      </c>
    </row>
    <row r="585" spans="1:27" x14ac:dyDescent="0.35">
      <c r="A585" s="13">
        <v>45930</v>
      </c>
      <c r="B585">
        <v>1</v>
      </c>
      <c r="D585" t="s">
        <v>31</v>
      </c>
      <c r="E585" t="s">
        <v>32</v>
      </c>
      <c r="F585" t="s">
        <v>32</v>
      </c>
      <c r="H585" t="s">
        <v>59</v>
      </c>
      <c r="I585" t="s">
        <v>160</v>
      </c>
      <c r="K585">
        <v>176</v>
      </c>
      <c r="L585" s="13"/>
      <c r="M585" s="13">
        <v>51287</v>
      </c>
      <c r="N585" s="13">
        <v>51287</v>
      </c>
      <c r="O585" s="13">
        <v>51287</v>
      </c>
      <c r="P585" s="24">
        <v>104.66523349196908</v>
      </c>
      <c r="V585">
        <v>1</v>
      </c>
      <c r="W585" t="s">
        <v>33</v>
      </c>
      <c r="Y585" t="s">
        <v>33</v>
      </c>
      <c r="Z585" t="s">
        <v>34</v>
      </c>
      <c r="AA585">
        <v>1</v>
      </c>
    </row>
    <row r="586" spans="1:27" x14ac:dyDescent="0.35">
      <c r="A586" s="13">
        <v>45930</v>
      </c>
      <c r="B586">
        <v>1</v>
      </c>
      <c r="D586" t="s">
        <v>31</v>
      </c>
      <c r="E586" t="s">
        <v>32</v>
      </c>
      <c r="F586" t="s">
        <v>32</v>
      </c>
      <c r="H586" t="s">
        <v>59</v>
      </c>
      <c r="I586" t="s">
        <v>160</v>
      </c>
      <c r="K586">
        <v>177</v>
      </c>
      <c r="L586" s="13"/>
      <c r="M586" s="13">
        <v>51317</v>
      </c>
      <c r="N586" s="13">
        <v>51317</v>
      </c>
      <c r="O586" s="13">
        <v>51317</v>
      </c>
      <c r="P586" s="24">
        <v>104.66523349196908</v>
      </c>
      <c r="V586">
        <v>1</v>
      </c>
      <c r="W586" t="s">
        <v>33</v>
      </c>
      <c r="Y586" t="s">
        <v>33</v>
      </c>
      <c r="Z586" t="s">
        <v>34</v>
      </c>
      <c r="AA586">
        <v>1</v>
      </c>
    </row>
    <row r="587" spans="1:27" x14ac:dyDescent="0.35">
      <c r="A587" s="13">
        <v>45930</v>
      </c>
      <c r="B587">
        <v>1</v>
      </c>
      <c r="D587" t="s">
        <v>31</v>
      </c>
      <c r="E587" t="s">
        <v>32</v>
      </c>
      <c r="F587" t="s">
        <v>32</v>
      </c>
      <c r="H587" t="s">
        <v>59</v>
      </c>
      <c r="I587" t="s">
        <v>160</v>
      </c>
      <c r="K587">
        <v>178</v>
      </c>
      <c r="L587" s="13"/>
      <c r="M587" s="13">
        <v>51348</v>
      </c>
      <c r="N587" s="13">
        <v>51348</v>
      </c>
      <c r="O587" s="13">
        <v>51348</v>
      </c>
      <c r="P587" s="24">
        <v>104.66523349196908</v>
      </c>
      <c r="V587">
        <v>1</v>
      </c>
      <c r="W587" t="s">
        <v>33</v>
      </c>
      <c r="Y587" t="s">
        <v>33</v>
      </c>
      <c r="Z587" t="s">
        <v>34</v>
      </c>
      <c r="AA587">
        <v>1</v>
      </c>
    </row>
    <row r="588" spans="1:27" x14ac:dyDescent="0.35">
      <c r="A588" s="13">
        <v>45930</v>
      </c>
      <c r="B588">
        <v>1</v>
      </c>
      <c r="D588" t="s">
        <v>31</v>
      </c>
      <c r="E588" t="s">
        <v>32</v>
      </c>
      <c r="F588" t="s">
        <v>32</v>
      </c>
      <c r="H588" t="s">
        <v>59</v>
      </c>
      <c r="I588" t="s">
        <v>160</v>
      </c>
      <c r="K588">
        <v>179</v>
      </c>
      <c r="L588" s="13"/>
      <c r="M588" s="13">
        <v>51379</v>
      </c>
      <c r="N588" s="13">
        <v>51379</v>
      </c>
      <c r="O588" s="13">
        <v>51379</v>
      </c>
      <c r="P588" s="24">
        <v>104.66523349196908</v>
      </c>
      <c r="V588">
        <v>1</v>
      </c>
      <c r="W588" t="s">
        <v>33</v>
      </c>
      <c r="Y588" t="s">
        <v>33</v>
      </c>
      <c r="Z588" t="s">
        <v>34</v>
      </c>
      <c r="AA588">
        <v>1</v>
      </c>
    </row>
    <row r="589" spans="1:27" x14ac:dyDescent="0.35">
      <c r="A589" s="13">
        <v>45930</v>
      </c>
      <c r="B589">
        <v>1</v>
      </c>
      <c r="D589" t="s">
        <v>31</v>
      </c>
      <c r="E589" t="s">
        <v>32</v>
      </c>
      <c r="F589" t="s">
        <v>32</v>
      </c>
      <c r="H589" t="s">
        <v>59</v>
      </c>
      <c r="I589" t="s">
        <v>160</v>
      </c>
      <c r="K589">
        <v>180</v>
      </c>
      <c r="L589" s="13"/>
      <c r="M589" s="13">
        <v>51409</v>
      </c>
      <c r="N589" s="13">
        <v>51409</v>
      </c>
      <c r="O589" s="13">
        <v>51409</v>
      </c>
      <c r="P589" s="24">
        <v>104.66523349196908</v>
      </c>
      <c r="V589">
        <v>1</v>
      </c>
      <c r="W589" t="s">
        <v>33</v>
      </c>
      <c r="Y589" t="s">
        <v>33</v>
      </c>
      <c r="Z589" t="s">
        <v>34</v>
      </c>
      <c r="AA589">
        <v>1</v>
      </c>
    </row>
    <row r="590" spans="1:27" x14ac:dyDescent="0.35">
      <c r="A590" s="13">
        <v>45930</v>
      </c>
      <c r="B590">
        <v>1</v>
      </c>
      <c r="D590" t="s">
        <v>31</v>
      </c>
      <c r="E590" t="s">
        <v>32</v>
      </c>
      <c r="F590" t="s">
        <v>32</v>
      </c>
      <c r="H590" t="s">
        <v>59</v>
      </c>
      <c r="I590" t="s">
        <v>160</v>
      </c>
      <c r="K590">
        <v>181</v>
      </c>
      <c r="L590" s="13"/>
      <c r="M590" s="13">
        <v>51440</v>
      </c>
      <c r="N590" s="13">
        <v>51440</v>
      </c>
      <c r="O590" s="13">
        <v>51440</v>
      </c>
      <c r="P590" s="24">
        <v>104.66523349196908</v>
      </c>
      <c r="V590">
        <v>1</v>
      </c>
      <c r="W590" t="s">
        <v>33</v>
      </c>
      <c r="Y590" t="s">
        <v>33</v>
      </c>
      <c r="Z590" t="s">
        <v>34</v>
      </c>
      <c r="AA590">
        <v>1</v>
      </c>
    </row>
    <row r="591" spans="1:27" x14ac:dyDescent="0.35">
      <c r="A591" s="13">
        <v>45930</v>
      </c>
      <c r="B591">
        <v>1</v>
      </c>
      <c r="D591" t="s">
        <v>31</v>
      </c>
      <c r="E591" t="s">
        <v>32</v>
      </c>
      <c r="F591" t="s">
        <v>32</v>
      </c>
      <c r="H591" t="s">
        <v>59</v>
      </c>
      <c r="I591" t="s">
        <v>160</v>
      </c>
      <c r="K591">
        <v>182</v>
      </c>
      <c r="L591" s="13"/>
      <c r="M591" s="13">
        <v>51470</v>
      </c>
      <c r="N591" s="13">
        <v>51470</v>
      </c>
      <c r="O591" s="13">
        <v>51470</v>
      </c>
      <c r="P591" s="24">
        <v>104.66523349196908</v>
      </c>
      <c r="V591">
        <v>1</v>
      </c>
      <c r="W591" t="s">
        <v>33</v>
      </c>
      <c r="Y591" t="s">
        <v>33</v>
      </c>
      <c r="Z591" t="s">
        <v>34</v>
      </c>
      <c r="AA591">
        <v>1</v>
      </c>
    </row>
    <row r="592" spans="1:27" x14ac:dyDescent="0.35">
      <c r="A592" s="13">
        <v>45930</v>
      </c>
      <c r="B592">
        <v>1</v>
      </c>
      <c r="D592" t="s">
        <v>31</v>
      </c>
      <c r="E592" t="s">
        <v>32</v>
      </c>
      <c r="F592" t="s">
        <v>32</v>
      </c>
      <c r="H592" t="s">
        <v>59</v>
      </c>
      <c r="I592" t="s">
        <v>160</v>
      </c>
      <c r="K592">
        <v>183</v>
      </c>
      <c r="L592" s="13"/>
      <c r="M592" s="13">
        <v>51501</v>
      </c>
      <c r="N592" s="13">
        <v>51501</v>
      </c>
      <c r="O592" s="13">
        <v>51501</v>
      </c>
      <c r="P592" s="24">
        <v>104.66523349196908</v>
      </c>
      <c r="V592">
        <v>1</v>
      </c>
      <c r="W592" t="s">
        <v>33</v>
      </c>
      <c r="Y592" t="s">
        <v>33</v>
      </c>
      <c r="Z592" t="s">
        <v>34</v>
      </c>
      <c r="AA592">
        <v>1</v>
      </c>
    </row>
    <row r="593" spans="1:27" x14ac:dyDescent="0.35">
      <c r="A593" s="13">
        <v>45930</v>
      </c>
      <c r="B593">
        <v>1</v>
      </c>
      <c r="D593" t="s">
        <v>31</v>
      </c>
      <c r="E593" t="s">
        <v>32</v>
      </c>
      <c r="F593" t="s">
        <v>32</v>
      </c>
      <c r="H593" t="s">
        <v>59</v>
      </c>
      <c r="I593" t="s">
        <v>160</v>
      </c>
      <c r="K593">
        <v>184</v>
      </c>
      <c r="L593" s="13"/>
      <c r="M593" s="13">
        <v>51532</v>
      </c>
      <c r="N593" s="13">
        <v>51532</v>
      </c>
      <c r="O593" s="13">
        <v>51532</v>
      </c>
      <c r="P593" s="24">
        <v>104.66523349196908</v>
      </c>
      <c r="V593">
        <v>1</v>
      </c>
      <c r="W593" t="s">
        <v>33</v>
      </c>
      <c r="Y593" t="s">
        <v>33</v>
      </c>
      <c r="Z593" t="s">
        <v>34</v>
      </c>
      <c r="AA593">
        <v>1</v>
      </c>
    </row>
    <row r="594" spans="1:27" x14ac:dyDescent="0.35">
      <c r="A594" s="13">
        <v>45930</v>
      </c>
      <c r="B594">
        <v>1</v>
      </c>
      <c r="D594" t="s">
        <v>31</v>
      </c>
      <c r="E594" t="s">
        <v>32</v>
      </c>
      <c r="F594" t="s">
        <v>32</v>
      </c>
      <c r="H594" t="s">
        <v>59</v>
      </c>
      <c r="I594" t="s">
        <v>160</v>
      </c>
      <c r="K594">
        <v>185</v>
      </c>
      <c r="L594" s="13"/>
      <c r="M594" s="13">
        <v>51560</v>
      </c>
      <c r="N594" s="13">
        <v>51560</v>
      </c>
      <c r="O594" s="13">
        <v>51560</v>
      </c>
      <c r="P594" s="24">
        <v>104.66523349196908</v>
      </c>
      <c r="V594">
        <v>1</v>
      </c>
      <c r="W594" t="s">
        <v>33</v>
      </c>
      <c r="Y594" t="s">
        <v>33</v>
      </c>
      <c r="Z594" t="s">
        <v>34</v>
      </c>
      <c r="AA594">
        <v>1</v>
      </c>
    </row>
    <row r="595" spans="1:27" x14ac:dyDescent="0.35">
      <c r="A595" s="13">
        <v>45930</v>
      </c>
      <c r="B595">
        <v>1</v>
      </c>
      <c r="D595" t="s">
        <v>31</v>
      </c>
      <c r="E595" t="s">
        <v>32</v>
      </c>
      <c r="F595" t="s">
        <v>32</v>
      </c>
      <c r="H595" t="s">
        <v>59</v>
      </c>
      <c r="I595" t="s">
        <v>160</v>
      </c>
      <c r="K595">
        <v>186</v>
      </c>
      <c r="L595" s="13"/>
      <c r="M595" s="13">
        <v>51591</v>
      </c>
      <c r="N595" s="13">
        <v>51591</v>
      </c>
      <c r="O595" s="13">
        <v>51591</v>
      </c>
      <c r="P595" s="24">
        <v>104.66523349196908</v>
      </c>
      <c r="V595">
        <v>1</v>
      </c>
      <c r="W595" t="s">
        <v>33</v>
      </c>
      <c r="Y595" t="s">
        <v>33</v>
      </c>
      <c r="Z595" t="s">
        <v>34</v>
      </c>
      <c r="AA595">
        <v>1</v>
      </c>
    </row>
    <row r="596" spans="1:27" x14ac:dyDescent="0.35">
      <c r="A596" s="13">
        <v>45930</v>
      </c>
      <c r="B596">
        <v>1</v>
      </c>
      <c r="D596" t="s">
        <v>31</v>
      </c>
      <c r="E596" t="s">
        <v>32</v>
      </c>
      <c r="F596" t="s">
        <v>32</v>
      </c>
      <c r="H596" t="s">
        <v>59</v>
      </c>
      <c r="I596" t="s">
        <v>160</v>
      </c>
      <c r="K596">
        <v>187</v>
      </c>
      <c r="L596" s="13"/>
      <c r="M596" s="13">
        <v>51621</v>
      </c>
      <c r="N596" s="13">
        <v>51621</v>
      </c>
      <c r="O596" s="13">
        <v>51621</v>
      </c>
      <c r="P596" s="24">
        <v>104.66523349196908</v>
      </c>
      <c r="V596">
        <v>1</v>
      </c>
      <c r="W596" t="s">
        <v>33</v>
      </c>
      <c r="Y596" t="s">
        <v>33</v>
      </c>
      <c r="Z596" t="s">
        <v>34</v>
      </c>
      <c r="AA596">
        <v>1</v>
      </c>
    </row>
    <row r="597" spans="1:27" x14ac:dyDescent="0.35">
      <c r="A597" s="13">
        <v>45930</v>
      </c>
      <c r="B597">
        <v>1</v>
      </c>
      <c r="D597" t="s">
        <v>31</v>
      </c>
      <c r="E597" t="s">
        <v>32</v>
      </c>
      <c r="F597" t="s">
        <v>32</v>
      </c>
      <c r="H597" t="s">
        <v>59</v>
      </c>
      <c r="I597" t="s">
        <v>160</v>
      </c>
      <c r="K597">
        <v>188</v>
      </c>
      <c r="L597" s="13"/>
      <c r="M597" s="13">
        <v>51652</v>
      </c>
      <c r="N597" s="13">
        <v>51652</v>
      </c>
      <c r="O597" s="13">
        <v>51652</v>
      </c>
      <c r="P597" s="24">
        <v>104.66523349196908</v>
      </c>
      <c r="V597">
        <v>1</v>
      </c>
      <c r="W597" t="s">
        <v>33</v>
      </c>
      <c r="Y597" t="s">
        <v>33</v>
      </c>
      <c r="Z597" t="s">
        <v>34</v>
      </c>
      <c r="AA597">
        <v>1</v>
      </c>
    </row>
    <row r="598" spans="1:27" x14ac:dyDescent="0.35">
      <c r="A598" s="13">
        <v>45930</v>
      </c>
      <c r="B598">
        <v>1</v>
      </c>
      <c r="D598" t="s">
        <v>31</v>
      </c>
      <c r="E598" t="s">
        <v>32</v>
      </c>
      <c r="F598" t="s">
        <v>32</v>
      </c>
      <c r="H598" t="s">
        <v>59</v>
      </c>
      <c r="I598" t="s">
        <v>160</v>
      </c>
      <c r="K598">
        <v>189</v>
      </c>
      <c r="L598" s="13"/>
      <c r="M598" s="13">
        <v>51682</v>
      </c>
      <c r="N598" s="13">
        <v>51682</v>
      </c>
      <c r="O598" s="13">
        <v>51682</v>
      </c>
      <c r="P598" s="24">
        <v>104.66523349196908</v>
      </c>
      <c r="V598">
        <v>1</v>
      </c>
      <c r="W598" t="s">
        <v>33</v>
      </c>
      <c r="Y598" t="s">
        <v>33</v>
      </c>
      <c r="Z598" t="s">
        <v>34</v>
      </c>
      <c r="AA598">
        <v>1</v>
      </c>
    </row>
    <row r="599" spans="1:27" x14ac:dyDescent="0.35">
      <c r="A599" s="13">
        <v>45930</v>
      </c>
      <c r="B599">
        <v>1</v>
      </c>
      <c r="D599" t="s">
        <v>31</v>
      </c>
      <c r="E599" t="s">
        <v>32</v>
      </c>
      <c r="F599" t="s">
        <v>32</v>
      </c>
      <c r="H599" t="s">
        <v>59</v>
      </c>
      <c r="I599" t="s">
        <v>160</v>
      </c>
      <c r="K599">
        <v>190</v>
      </c>
      <c r="L599" s="13"/>
      <c r="M599" s="13">
        <v>51713</v>
      </c>
      <c r="N599" s="13">
        <v>51713</v>
      </c>
      <c r="O599" s="13">
        <v>51713</v>
      </c>
      <c r="P599" s="24">
        <v>104.66523349196908</v>
      </c>
      <c r="V599">
        <v>1</v>
      </c>
      <c r="W599" t="s">
        <v>33</v>
      </c>
      <c r="Y599" t="s">
        <v>33</v>
      </c>
      <c r="Z599" t="s">
        <v>34</v>
      </c>
      <c r="AA599">
        <v>1</v>
      </c>
    </row>
    <row r="600" spans="1:27" x14ac:dyDescent="0.35">
      <c r="A600" s="13">
        <v>45930</v>
      </c>
      <c r="B600">
        <v>1</v>
      </c>
      <c r="D600" t="s">
        <v>31</v>
      </c>
      <c r="E600" t="s">
        <v>32</v>
      </c>
      <c r="F600" t="s">
        <v>32</v>
      </c>
      <c r="H600" t="s">
        <v>59</v>
      </c>
      <c r="I600" t="s">
        <v>160</v>
      </c>
      <c r="K600">
        <v>191</v>
      </c>
      <c r="L600" s="13"/>
      <c r="M600" s="13">
        <v>51744</v>
      </c>
      <c r="N600" s="13">
        <v>51744</v>
      </c>
      <c r="O600" s="13">
        <v>51744</v>
      </c>
      <c r="P600" s="24">
        <v>104.66523349196908</v>
      </c>
      <c r="V600">
        <v>1</v>
      </c>
      <c r="W600" t="s">
        <v>33</v>
      </c>
      <c r="Y600" t="s">
        <v>33</v>
      </c>
      <c r="Z600" t="s">
        <v>34</v>
      </c>
      <c r="AA600">
        <v>1</v>
      </c>
    </row>
    <row r="601" spans="1:27" x14ac:dyDescent="0.35">
      <c r="A601" s="13">
        <v>45930</v>
      </c>
      <c r="B601">
        <v>1</v>
      </c>
      <c r="D601" t="s">
        <v>31</v>
      </c>
      <c r="E601" t="s">
        <v>32</v>
      </c>
      <c r="F601" t="s">
        <v>32</v>
      </c>
      <c r="H601" t="s">
        <v>59</v>
      </c>
      <c r="I601" t="s">
        <v>160</v>
      </c>
      <c r="K601">
        <v>192</v>
      </c>
      <c r="L601" s="13"/>
      <c r="M601" s="13">
        <v>51774</v>
      </c>
      <c r="N601" s="13">
        <v>51774</v>
      </c>
      <c r="O601" s="13">
        <v>51774</v>
      </c>
      <c r="P601" s="24">
        <v>104.66523349196908</v>
      </c>
      <c r="V601">
        <v>1</v>
      </c>
      <c r="W601" t="s">
        <v>33</v>
      </c>
      <c r="Y601" t="s">
        <v>33</v>
      </c>
      <c r="Z601" t="s">
        <v>34</v>
      </c>
      <c r="AA601">
        <v>1</v>
      </c>
    </row>
    <row r="602" spans="1:27" x14ac:dyDescent="0.35">
      <c r="A602" s="13">
        <v>45930</v>
      </c>
      <c r="B602">
        <v>1</v>
      </c>
      <c r="D602" t="s">
        <v>31</v>
      </c>
      <c r="E602" t="s">
        <v>32</v>
      </c>
      <c r="F602" t="s">
        <v>32</v>
      </c>
      <c r="H602" t="s">
        <v>59</v>
      </c>
      <c r="I602" t="s">
        <v>160</v>
      </c>
      <c r="K602">
        <v>193</v>
      </c>
      <c r="L602" s="13"/>
      <c r="M602" s="13">
        <v>51805</v>
      </c>
      <c r="N602" s="13">
        <v>51805</v>
      </c>
      <c r="O602" s="13">
        <v>51805</v>
      </c>
      <c r="P602" s="24">
        <v>104.66523349196908</v>
      </c>
      <c r="V602">
        <v>1</v>
      </c>
      <c r="W602" t="s">
        <v>33</v>
      </c>
      <c r="Y602" t="s">
        <v>33</v>
      </c>
      <c r="Z602" t="s">
        <v>34</v>
      </c>
      <c r="AA602">
        <v>1</v>
      </c>
    </row>
    <row r="603" spans="1:27" x14ac:dyDescent="0.35">
      <c r="A603" s="13">
        <v>45930</v>
      </c>
      <c r="B603">
        <v>1</v>
      </c>
      <c r="D603" t="s">
        <v>31</v>
      </c>
      <c r="E603" t="s">
        <v>32</v>
      </c>
      <c r="F603" t="s">
        <v>32</v>
      </c>
      <c r="H603" t="s">
        <v>59</v>
      </c>
      <c r="I603" t="s">
        <v>160</v>
      </c>
      <c r="K603">
        <v>194</v>
      </c>
      <c r="L603" s="13"/>
      <c r="M603" s="13">
        <v>51835</v>
      </c>
      <c r="N603" s="13">
        <v>51835</v>
      </c>
      <c r="O603" s="13">
        <v>51835</v>
      </c>
      <c r="P603" s="24">
        <v>104.66523349196908</v>
      </c>
      <c r="V603">
        <v>1</v>
      </c>
      <c r="W603" t="s">
        <v>33</v>
      </c>
      <c r="Y603" t="s">
        <v>33</v>
      </c>
      <c r="Z603" t="s">
        <v>34</v>
      </c>
      <c r="AA603">
        <v>1</v>
      </c>
    </row>
    <row r="604" spans="1:27" x14ac:dyDescent="0.35">
      <c r="A604" s="13">
        <v>45930</v>
      </c>
      <c r="B604">
        <v>1</v>
      </c>
      <c r="D604" t="s">
        <v>31</v>
      </c>
      <c r="E604" t="s">
        <v>32</v>
      </c>
      <c r="F604" t="s">
        <v>32</v>
      </c>
      <c r="H604" t="s">
        <v>59</v>
      </c>
      <c r="I604" t="s">
        <v>160</v>
      </c>
      <c r="K604">
        <v>195</v>
      </c>
      <c r="L604" s="13"/>
      <c r="M604" s="13">
        <v>51866</v>
      </c>
      <c r="N604" s="13">
        <v>51866</v>
      </c>
      <c r="O604" s="13">
        <v>51866</v>
      </c>
      <c r="P604" s="24">
        <v>104.66523349196908</v>
      </c>
      <c r="V604">
        <v>1</v>
      </c>
      <c r="W604" t="s">
        <v>33</v>
      </c>
      <c r="Y604" t="s">
        <v>33</v>
      </c>
      <c r="Z604" t="s">
        <v>34</v>
      </c>
      <c r="AA604">
        <v>1</v>
      </c>
    </row>
    <row r="605" spans="1:27" x14ac:dyDescent="0.35">
      <c r="A605" s="13">
        <v>45930</v>
      </c>
      <c r="B605">
        <v>1</v>
      </c>
      <c r="D605" t="s">
        <v>31</v>
      </c>
      <c r="E605" t="s">
        <v>32</v>
      </c>
      <c r="F605" t="s">
        <v>32</v>
      </c>
      <c r="H605" t="s">
        <v>59</v>
      </c>
      <c r="I605" t="s">
        <v>160</v>
      </c>
      <c r="K605">
        <v>196</v>
      </c>
      <c r="L605" s="13"/>
      <c r="M605" s="13">
        <v>51897</v>
      </c>
      <c r="N605" s="13">
        <v>51897</v>
      </c>
      <c r="O605" s="13">
        <v>51897</v>
      </c>
      <c r="P605" s="24">
        <v>104.66523349196908</v>
      </c>
      <c r="V605">
        <v>1</v>
      </c>
      <c r="W605" t="s">
        <v>33</v>
      </c>
      <c r="Y605" t="s">
        <v>33</v>
      </c>
      <c r="Z605" t="s">
        <v>34</v>
      </c>
      <c r="AA605">
        <v>1</v>
      </c>
    </row>
    <row r="606" spans="1:27" x14ac:dyDescent="0.35">
      <c r="A606" s="13">
        <v>45930</v>
      </c>
      <c r="B606">
        <v>1</v>
      </c>
      <c r="D606" t="s">
        <v>31</v>
      </c>
      <c r="E606" t="s">
        <v>32</v>
      </c>
      <c r="F606" t="s">
        <v>32</v>
      </c>
      <c r="H606" t="s">
        <v>59</v>
      </c>
      <c r="I606" t="s">
        <v>160</v>
      </c>
      <c r="K606">
        <v>197</v>
      </c>
      <c r="L606" s="13"/>
      <c r="M606" s="13">
        <v>51925</v>
      </c>
      <c r="N606" s="13">
        <v>51925</v>
      </c>
      <c r="O606" s="13">
        <v>51925</v>
      </c>
      <c r="P606" s="24">
        <v>104.66523349196908</v>
      </c>
      <c r="V606">
        <v>1</v>
      </c>
      <c r="W606" t="s">
        <v>33</v>
      </c>
      <c r="Y606" t="s">
        <v>33</v>
      </c>
      <c r="Z606" t="s">
        <v>34</v>
      </c>
      <c r="AA606">
        <v>1</v>
      </c>
    </row>
    <row r="607" spans="1:27" x14ac:dyDescent="0.35">
      <c r="A607" s="13">
        <v>45930</v>
      </c>
      <c r="B607">
        <v>1</v>
      </c>
      <c r="D607" t="s">
        <v>31</v>
      </c>
      <c r="E607" t="s">
        <v>32</v>
      </c>
      <c r="F607" t="s">
        <v>32</v>
      </c>
      <c r="H607" t="s">
        <v>59</v>
      </c>
      <c r="I607" t="s">
        <v>160</v>
      </c>
      <c r="K607">
        <v>198</v>
      </c>
      <c r="L607" s="13"/>
      <c r="M607" s="13">
        <v>51956</v>
      </c>
      <c r="N607" s="13">
        <v>51956</v>
      </c>
      <c r="O607" s="13">
        <v>51956</v>
      </c>
      <c r="P607" s="24">
        <v>104.66523349196908</v>
      </c>
      <c r="V607">
        <v>1</v>
      </c>
      <c r="W607" t="s">
        <v>33</v>
      </c>
      <c r="Y607" t="s">
        <v>33</v>
      </c>
      <c r="Z607" t="s">
        <v>34</v>
      </c>
      <c r="AA607">
        <v>1</v>
      </c>
    </row>
    <row r="608" spans="1:27" x14ac:dyDescent="0.35">
      <c r="A608" s="13">
        <v>45930</v>
      </c>
      <c r="B608">
        <v>1</v>
      </c>
      <c r="D608" t="s">
        <v>31</v>
      </c>
      <c r="E608" t="s">
        <v>32</v>
      </c>
      <c r="F608" t="s">
        <v>32</v>
      </c>
      <c r="H608" t="s">
        <v>59</v>
      </c>
      <c r="I608" t="s">
        <v>160</v>
      </c>
      <c r="K608">
        <v>199</v>
      </c>
      <c r="L608" s="13"/>
      <c r="M608" s="13">
        <v>51986</v>
      </c>
      <c r="N608" s="13">
        <v>51986</v>
      </c>
      <c r="O608" s="13">
        <v>51986</v>
      </c>
      <c r="P608" s="24">
        <v>104.66523349196908</v>
      </c>
      <c r="V608">
        <v>1</v>
      </c>
      <c r="W608" t="s">
        <v>33</v>
      </c>
      <c r="Y608" t="s">
        <v>33</v>
      </c>
      <c r="Z608" t="s">
        <v>34</v>
      </c>
      <c r="AA608">
        <v>1</v>
      </c>
    </row>
    <row r="609" spans="1:27" x14ac:dyDescent="0.35">
      <c r="A609" s="13">
        <v>45930</v>
      </c>
      <c r="B609">
        <v>1</v>
      </c>
      <c r="D609" t="s">
        <v>31</v>
      </c>
      <c r="E609" t="s">
        <v>32</v>
      </c>
      <c r="F609" t="s">
        <v>32</v>
      </c>
      <c r="H609" t="s">
        <v>59</v>
      </c>
      <c r="I609" t="s">
        <v>160</v>
      </c>
      <c r="K609">
        <v>200</v>
      </c>
      <c r="L609" s="13"/>
      <c r="M609" s="13">
        <v>52017</v>
      </c>
      <c r="N609" s="13">
        <v>52017</v>
      </c>
      <c r="O609" s="13">
        <v>52017</v>
      </c>
      <c r="P609" s="24">
        <v>104.66523349196908</v>
      </c>
      <c r="V609">
        <v>1</v>
      </c>
      <c r="W609" t="s">
        <v>33</v>
      </c>
      <c r="Y609" t="s">
        <v>33</v>
      </c>
      <c r="Z609" t="s">
        <v>34</v>
      </c>
      <c r="AA609">
        <v>1</v>
      </c>
    </row>
    <row r="610" spans="1:27" x14ac:dyDescent="0.35">
      <c r="A610" s="13">
        <v>45930</v>
      </c>
      <c r="B610">
        <v>1</v>
      </c>
      <c r="D610" t="s">
        <v>31</v>
      </c>
      <c r="E610" t="s">
        <v>32</v>
      </c>
      <c r="F610" t="s">
        <v>32</v>
      </c>
      <c r="H610" t="s">
        <v>59</v>
      </c>
      <c r="I610" t="s">
        <v>160</v>
      </c>
      <c r="K610">
        <v>201</v>
      </c>
      <c r="L610" s="13"/>
      <c r="M610" s="13">
        <v>52047</v>
      </c>
      <c r="N610" s="13">
        <v>52047</v>
      </c>
      <c r="O610" s="13">
        <v>52047</v>
      </c>
      <c r="P610" s="24">
        <v>104.66523349196908</v>
      </c>
      <c r="V610">
        <v>1</v>
      </c>
      <c r="W610" t="s">
        <v>33</v>
      </c>
      <c r="Y610" t="s">
        <v>33</v>
      </c>
      <c r="Z610" t="s">
        <v>34</v>
      </c>
      <c r="AA610">
        <v>1</v>
      </c>
    </row>
    <row r="611" spans="1:27" x14ac:dyDescent="0.35">
      <c r="A611" s="13">
        <v>45930</v>
      </c>
      <c r="B611">
        <v>1</v>
      </c>
      <c r="D611" t="s">
        <v>31</v>
      </c>
      <c r="E611" t="s">
        <v>32</v>
      </c>
      <c r="F611" t="s">
        <v>32</v>
      </c>
      <c r="H611" t="s">
        <v>59</v>
      </c>
      <c r="I611" t="s">
        <v>160</v>
      </c>
      <c r="K611">
        <v>202</v>
      </c>
      <c r="L611" s="13"/>
      <c r="M611" s="13">
        <v>52078</v>
      </c>
      <c r="N611" s="13">
        <v>52078</v>
      </c>
      <c r="O611" s="13">
        <v>52078</v>
      </c>
      <c r="P611" s="24">
        <v>104.66523349196908</v>
      </c>
      <c r="V611">
        <v>1</v>
      </c>
      <c r="W611" t="s">
        <v>33</v>
      </c>
      <c r="Y611" t="s">
        <v>33</v>
      </c>
      <c r="Z611" t="s">
        <v>34</v>
      </c>
      <c r="AA611">
        <v>1</v>
      </c>
    </row>
    <row r="612" spans="1:27" x14ac:dyDescent="0.35">
      <c r="A612" s="13">
        <v>45930</v>
      </c>
      <c r="B612">
        <v>1</v>
      </c>
      <c r="D612" t="s">
        <v>31</v>
      </c>
      <c r="E612" t="s">
        <v>32</v>
      </c>
      <c r="F612" t="s">
        <v>32</v>
      </c>
      <c r="H612" t="s">
        <v>59</v>
      </c>
      <c r="I612" t="s">
        <v>160</v>
      </c>
      <c r="K612">
        <v>203</v>
      </c>
      <c r="L612" s="13"/>
      <c r="M612" s="13">
        <v>52109</v>
      </c>
      <c r="N612" s="13">
        <v>52109</v>
      </c>
      <c r="O612" s="13">
        <v>52109</v>
      </c>
      <c r="P612" s="24">
        <v>104.66523349196908</v>
      </c>
      <c r="V612">
        <v>1</v>
      </c>
      <c r="W612" t="s">
        <v>33</v>
      </c>
      <c r="Y612" t="s">
        <v>33</v>
      </c>
      <c r="Z612" t="s">
        <v>34</v>
      </c>
      <c r="AA612">
        <v>1</v>
      </c>
    </row>
    <row r="613" spans="1:27" x14ac:dyDescent="0.35">
      <c r="A613" s="13">
        <v>45930</v>
      </c>
      <c r="B613">
        <v>1</v>
      </c>
      <c r="D613" t="s">
        <v>31</v>
      </c>
      <c r="E613" t="s">
        <v>32</v>
      </c>
      <c r="F613" t="s">
        <v>32</v>
      </c>
      <c r="H613" t="s">
        <v>59</v>
      </c>
      <c r="I613" t="s">
        <v>160</v>
      </c>
      <c r="K613">
        <v>204</v>
      </c>
      <c r="L613" s="13"/>
      <c r="M613" s="13">
        <v>52139</v>
      </c>
      <c r="N613" s="13">
        <v>52139</v>
      </c>
      <c r="O613" s="13">
        <v>52139</v>
      </c>
      <c r="P613" s="24">
        <v>104.66523349196908</v>
      </c>
      <c r="V613">
        <v>1</v>
      </c>
      <c r="W613" t="s">
        <v>33</v>
      </c>
      <c r="Y613" t="s">
        <v>33</v>
      </c>
      <c r="Z613" t="s">
        <v>34</v>
      </c>
      <c r="AA613">
        <v>1</v>
      </c>
    </row>
    <row r="614" spans="1:27" x14ac:dyDescent="0.35">
      <c r="A614" s="13">
        <v>45930</v>
      </c>
      <c r="B614">
        <v>1</v>
      </c>
      <c r="D614" t="s">
        <v>31</v>
      </c>
      <c r="E614" t="s">
        <v>32</v>
      </c>
      <c r="F614" t="s">
        <v>32</v>
      </c>
      <c r="H614" t="s">
        <v>59</v>
      </c>
      <c r="I614" t="s">
        <v>160</v>
      </c>
      <c r="K614">
        <v>205</v>
      </c>
      <c r="L614" s="13"/>
      <c r="M614" s="13">
        <v>52170</v>
      </c>
      <c r="N614" s="13">
        <v>52170</v>
      </c>
      <c r="O614" s="13">
        <v>52170</v>
      </c>
      <c r="P614" s="24">
        <v>90.917367638310537</v>
      </c>
      <c r="V614">
        <v>1</v>
      </c>
      <c r="W614" t="s">
        <v>33</v>
      </c>
      <c r="Y614" t="s">
        <v>33</v>
      </c>
      <c r="Z614" t="s">
        <v>34</v>
      </c>
      <c r="AA614">
        <v>1</v>
      </c>
    </row>
    <row r="615" spans="1:27" x14ac:dyDescent="0.35">
      <c r="A615" s="13">
        <v>45930</v>
      </c>
      <c r="B615">
        <v>1</v>
      </c>
      <c r="D615" t="s">
        <v>31</v>
      </c>
      <c r="E615" t="s">
        <v>32</v>
      </c>
      <c r="F615" t="s">
        <v>32</v>
      </c>
      <c r="H615" t="s">
        <v>59</v>
      </c>
      <c r="I615" t="s">
        <v>160</v>
      </c>
      <c r="K615">
        <v>206</v>
      </c>
      <c r="L615" s="13"/>
      <c r="M615" s="13">
        <v>52200</v>
      </c>
      <c r="N615" s="13">
        <v>52200</v>
      </c>
      <c r="O615" s="13">
        <v>52200</v>
      </c>
      <c r="P615" s="24">
        <v>0</v>
      </c>
      <c r="V615">
        <v>1</v>
      </c>
      <c r="W615" t="s">
        <v>33</v>
      </c>
      <c r="Y615" t="s">
        <v>33</v>
      </c>
      <c r="Z615" t="s">
        <v>34</v>
      </c>
      <c r="AA615">
        <v>1</v>
      </c>
    </row>
    <row r="616" spans="1:27" x14ac:dyDescent="0.35">
      <c r="A616" s="13">
        <v>45930</v>
      </c>
      <c r="B616">
        <v>1</v>
      </c>
      <c r="D616" t="s">
        <v>31</v>
      </c>
      <c r="E616" t="s">
        <v>32</v>
      </c>
      <c r="F616" t="s">
        <v>32</v>
      </c>
      <c r="H616" t="s">
        <v>59</v>
      </c>
      <c r="I616" t="s">
        <v>160</v>
      </c>
      <c r="K616">
        <v>207</v>
      </c>
      <c r="L616" s="13"/>
      <c r="M616" s="13">
        <v>52231</v>
      </c>
      <c r="N616" s="13">
        <v>52231</v>
      </c>
      <c r="O616" s="13">
        <v>52231</v>
      </c>
      <c r="P616" s="24">
        <v>0</v>
      </c>
      <c r="V616">
        <v>1</v>
      </c>
      <c r="W616" t="s">
        <v>33</v>
      </c>
      <c r="Y616" t="s">
        <v>33</v>
      </c>
      <c r="Z616" t="s">
        <v>34</v>
      </c>
      <c r="AA616">
        <v>1</v>
      </c>
    </row>
    <row r="617" spans="1:27" x14ac:dyDescent="0.35">
      <c r="A617" s="13">
        <v>45930</v>
      </c>
      <c r="B617">
        <v>1</v>
      </c>
      <c r="D617" t="s">
        <v>31</v>
      </c>
      <c r="E617" t="s">
        <v>32</v>
      </c>
      <c r="F617" t="s">
        <v>32</v>
      </c>
      <c r="H617" t="s">
        <v>59</v>
      </c>
      <c r="I617" t="s">
        <v>160</v>
      </c>
      <c r="K617">
        <v>208</v>
      </c>
      <c r="L617" s="13"/>
      <c r="M617" s="13">
        <v>52262</v>
      </c>
      <c r="N617" s="13">
        <v>52262</v>
      </c>
      <c r="O617" s="13">
        <v>52262</v>
      </c>
      <c r="P617" s="24">
        <v>0</v>
      </c>
      <c r="V617">
        <v>1</v>
      </c>
      <c r="W617" t="s">
        <v>33</v>
      </c>
      <c r="Y617" t="s">
        <v>33</v>
      </c>
      <c r="Z617" t="s">
        <v>34</v>
      </c>
      <c r="AA617">
        <v>1</v>
      </c>
    </row>
    <row r="618" spans="1:27" x14ac:dyDescent="0.35">
      <c r="A618" s="13">
        <v>45930</v>
      </c>
      <c r="B618">
        <v>1</v>
      </c>
      <c r="D618" t="s">
        <v>31</v>
      </c>
      <c r="E618" t="s">
        <v>32</v>
      </c>
      <c r="F618" t="s">
        <v>32</v>
      </c>
      <c r="H618" t="s">
        <v>59</v>
      </c>
      <c r="I618" t="s">
        <v>160</v>
      </c>
      <c r="K618">
        <v>209</v>
      </c>
      <c r="L618" s="13"/>
      <c r="M618" s="13">
        <v>52290</v>
      </c>
      <c r="N618" s="13">
        <v>52290</v>
      </c>
      <c r="O618" s="13">
        <v>52290</v>
      </c>
      <c r="P618" s="24">
        <v>0</v>
      </c>
      <c r="V618">
        <v>1</v>
      </c>
      <c r="W618" t="s">
        <v>33</v>
      </c>
      <c r="Y618" t="s">
        <v>33</v>
      </c>
      <c r="Z618" t="s">
        <v>34</v>
      </c>
      <c r="AA618">
        <v>1</v>
      </c>
    </row>
    <row r="619" spans="1:27" x14ac:dyDescent="0.35">
      <c r="A619" s="13">
        <v>45930</v>
      </c>
      <c r="B619">
        <v>1</v>
      </c>
      <c r="D619" t="s">
        <v>31</v>
      </c>
      <c r="E619" t="s">
        <v>32</v>
      </c>
      <c r="F619" t="s">
        <v>32</v>
      </c>
      <c r="H619" t="s">
        <v>59</v>
      </c>
      <c r="I619" t="s">
        <v>160</v>
      </c>
      <c r="K619">
        <v>210</v>
      </c>
      <c r="L619" s="13"/>
      <c r="M619" s="13">
        <v>52321</v>
      </c>
      <c r="N619" s="13">
        <v>52321</v>
      </c>
      <c r="O619" s="13">
        <v>52321</v>
      </c>
      <c r="P619" s="24">
        <v>0</v>
      </c>
      <c r="V619">
        <v>1</v>
      </c>
      <c r="W619" t="s">
        <v>33</v>
      </c>
      <c r="Y619" t="s">
        <v>33</v>
      </c>
      <c r="Z619" t="s">
        <v>34</v>
      </c>
      <c r="AA619">
        <v>1</v>
      </c>
    </row>
    <row r="620" spans="1:27" x14ac:dyDescent="0.35">
      <c r="A620" s="13">
        <v>45930</v>
      </c>
      <c r="B620">
        <v>1</v>
      </c>
      <c r="D620" t="s">
        <v>31</v>
      </c>
      <c r="E620" t="s">
        <v>32</v>
      </c>
      <c r="F620" t="s">
        <v>32</v>
      </c>
      <c r="H620" t="s">
        <v>59</v>
      </c>
      <c r="I620" t="s">
        <v>160</v>
      </c>
      <c r="K620">
        <v>211</v>
      </c>
      <c r="L620" s="13"/>
      <c r="M620" s="13">
        <v>52351</v>
      </c>
      <c r="N620" s="13">
        <v>52351</v>
      </c>
      <c r="O620" s="13">
        <v>52351</v>
      </c>
      <c r="P620" s="24">
        <v>0</v>
      </c>
      <c r="V620">
        <v>1</v>
      </c>
      <c r="W620" t="s">
        <v>33</v>
      </c>
      <c r="Y620" t="s">
        <v>33</v>
      </c>
      <c r="Z620" t="s">
        <v>34</v>
      </c>
      <c r="AA620">
        <v>1</v>
      </c>
    </row>
    <row r="621" spans="1:27" x14ac:dyDescent="0.35">
      <c r="A621" s="13">
        <v>45930</v>
      </c>
      <c r="B621">
        <v>1</v>
      </c>
      <c r="D621" t="s">
        <v>31</v>
      </c>
      <c r="E621" t="s">
        <v>32</v>
      </c>
      <c r="F621" t="s">
        <v>32</v>
      </c>
      <c r="H621" t="s">
        <v>59</v>
      </c>
      <c r="I621" t="s">
        <v>160</v>
      </c>
      <c r="K621">
        <v>212</v>
      </c>
      <c r="L621" s="13"/>
      <c r="M621" s="13">
        <v>52382</v>
      </c>
      <c r="N621" s="13">
        <v>52382</v>
      </c>
      <c r="O621" s="13">
        <v>52382</v>
      </c>
      <c r="P621" s="24">
        <v>0</v>
      </c>
      <c r="V621">
        <v>1</v>
      </c>
      <c r="W621" t="s">
        <v>33</v>
      </c>
      <c r="Y621" t="s">
        <v>33</v>
      </c>
      <c r="Z621" t="s">
        <v>34</v>
      </c>
      <c r="AA621">
        <v>1</v>
      </c>
    </row>
    <row r="622" spans="1:27" x14ac:dyDescent="0.35">
      <c r="A622" s="13">
        <v>45930</v>
      </c>
      <c r="B622">
        <v>1</v>
      </c>
      <c r="D622" t="s">
        <v>31</v>
      </c>
      <c r="E622" t="s">
        <v>32</v>
      </c>
      <c r="F622" t="s">
        <v>32</v>
      </c>
      <c r="H622" t="s">
        <v>59</v>
      </c>
      <c r="I622" t="s">
        <v>160</v>
      </c>
      <c r="K622">
        <v>213</v>
      </c>
      <c r="L622" s="13"/>
      <c r="M622" s="13">
        <v>52412</v>
      </c>
      <c r="N622" s="13">
        <v>52412</v>
      </c>
      <c r="O622" s="13">
        <v>52412</v>
      </c>
      <c r="P622" s="24">
        <v>0</v>
      </c>
      <c r="V622">
        <v>1</v>
      </c>
      <c r="W622" t="s">
        <v>33</v>
      </c>
      <c r="Y622" t="s">
        <v>33</v>
      </c>
      <c r="Z622" t="s">
        <v>34</v>
      </c>
      <c r="AA622">
        <v>1</v>
      </c>
    </row>
    <row r="623" spans="1:27" x14ac:dyDescent="0.35">
      <c r="A623" s="13">
        <v>45930</v>
      </c>
      <c r="B623">
        <v>1</v>
      </c>
      <c r="D623" t="s">
        <v>31</v>
      </c>
      <c r="E623" t="s">
        <v>32</v>
      </c>
      <c r="F623" t="s">
        <v>32</v>
      </c>
      <c r="H623" t="s">
        <v>59</v>
      </c>
      <c r="I623" t="s">
        <v>160</v>
      </c>
      <c r="K623">
        <v>214</v>
      </c>
      <c r="L623" s="13"/>
      <c r="M623" s="13">
        <v>52443</v>
      </c>
      <c r="N623" s="13">
        <v>52443</v>
      </c>
      <c r="O623" s="13">
        <v>52443</v>
      </c>
      <c r="P623" s="24">
        <v>0</v>
      </c>
      <c r="V623">
        <v>1</v>
      </c>
      <c r="W623" t="s">
        <v>33</v>
      </c>
      <c r="Y623" t="s">
        <v>33</v>
      </c>
      <c r="Z623" t="s">
        <v>34</v>
      </c>
      <c r="AA623">
        <v>1</v>
      </c>
    </row>
    <row r="624" spans="1:27" x14ac:dyDescent="0.35">
      <c r="A624" s="13">
        <v>45930</v>
      </c>
      <c r="B624">
        <v>1</v>
      </c>
      <c r="D624" t="s">
        <v>31</v>
      </c>
      <c r="E624" t="s">
        <v>32</v>
      </c>
      <c r="F624" t="s">
        <v>32</v>
      </c>
      <c r="H624" t="s">
        <v>59</v>
      </c>
      <c r="I624" t="s">
        <v>160</v>
      </c>
      <c r="K624">
        <v>215</v>
      </c>
      <c r="L624" s="13"/>
      <c r="M624" s="13">
        <v>52474</v>
      </c>
      <c r="N624" s="13">
        <v>52474</v>
      </c>
      <c r="O624" s="13">
        <v>52474</v>
      </c>
      <c r="P624" s="24">
        <v>0</v>
      </c>
      <c r="V624">
        <v>1</v>
      </c>
      <c r="W624" t="s">
        <v>33</v>
      </c>
      <c r="Y624" t="s">
        <v>33</v>
      </c>
      <c r="Z624" t="s">
        <v>34</v>
      </c>
      <c r="AA624">
        <v>1</v>
      </c>
    </row>
    <row r="625" spans="1:27" x14ac:dyDescent="0.35">
      <c r="A625" s="13">
        <v>45930</v>
      </c>
      <c r="B625">
        <v>1</v>
      </c>
      <c r="D625" t="s">
        <v>31</v>
      </c>
      <c r="E625" t="s">
        <v>32</v>
      </c>
      <c r="F625" t="s">
        <v>32</v>
      </c>
      <c r="H625" t="s">
        <v>59</v>
      </c>
      <c r="I625" t="s">
        <v>160</v>
      </c>
      <c r="K625">
        <v>216</v>
      </c>
      <c r="L625" s="13"/>
      <c r="M625" s="13">
        <v>52504</v>
      </c>
      <c r="N625" s="13">
        <v>52504</v>
      </c>
      <c r="O625" s="13">
        <v>52504</v>
      </c>
      <c r="P625" s="24">
        <v>0</v>
      </c>
      <c r="V625">
        <v>1</v>
      </c>
      <c r="W625" t="s">
        <v>33</v>
      </c>
      <c r="Y625" t="s">
        <v>33</v>
      </c>
      <c r="Z625" t="s">
        <v>34</v>
      </c>
      <c r="AA625">
        <v>1</v>
      </c>
    </row>
    <row r="626" spans="1:27" x14ac:dyDescent="0.35">
      <c r="A626" s="13">
        <v>45930</v>
      </c>
      <c r="B626">
        <v>1</v>
      </c>
      <c r="D626" t="s">
        <v>31</v>
      </c>
      <c r="E626" t="s">
        <v>32</v>
      </c>
      <c r="F626" t="s">
        <v>32</v>
      </c>
      <c r="H626" t="s">
        <v>59</v>
      </c>
      <c r="I626" t="s">
        <v>161</v>
      </c>
      <c r="K626">
        <v>217</v>
      </c>
      <c r="L626" s="13"/>
      <c r="M626" s="13">
        <v>52535</v>
      </c>
      <c r="N626" s="13">
        <v>52535</v>
      </c>
      <c r="O626" s="13">
        <v>52535</v>
      </c>
      <c r="P626" s="24">
        <v>0</v>
      </c>
      <c r="V626">
        <v>1</v>
      </c>
      <c r="W626" t="s">
        <v>33</v>
      </c>
      <c r="Y626" t="s">
        <v>33</v>
      </c>
      <c r="Z626" t="s">
        <v>34</v>
      </c>
      <c r="AA626">
        <v>1</v>
      </c>
    </row>
    <row r="627" spans="1:27" x14ac:dyDescent="0.35">
      <c r="A627" s="13">
        <v>45930</v>
      </c>
      <c r="B627">
        <v>1</v>
      </c>
      <c r="D627" t="s">
        <v>31</v>
      </c>
      <c r="E627" t="s">
        <v>32</v>
      </c>
      <c r="F627" t="s">
        <v>32</v>
      </c>
      <c r="H627" t="s">
        <v>59</v>
      </c>
      <c r="I627" t="s">
        <v>161</v>
      </c>
      <c r="K627">
        <v>218</v>
      </c>
      <c r="L627" s="13"/>
      <c r="M627" s="13">
        <v>52565</v>
      </c>
      <c r="N627" s="13">
        <v>52565</v>
      </c>
      <c r="O627" s="13">
        <v>52565</v>
      </c>
      <c r="P627" s="24">
        <v>0</v>
      </c>
      <c r="V627">
        <v>1</v>
      </c>
      <c r="W627" t="s">
        <v>33</v>
      </c>
      <c r="Y627" t="s">
        <v>33</v>
      </c>
      <c r="Z627" t="s">
        <v>34</v>
      </c>
      <c r="AA627">
        <v>1</v>
      </c>
    </row>
    <row r="628" spans="1:27" x14ac:dyDescent="0.35">
      <c r="A628" s="13">
        <v>45930</v>
      </c>
      <c r="B628">
        <v>1</v>
      </c>
      <c r="D628" t="s">
        <v>31</v>
      </c>
      <c r="E628" t="s">
        <v>32</v>
      </c>
      <c r="F628" t="s">
        <v>32</v>
      </c>
      <c r="H628" t="s">
        <v>59</v>
      </c>
      <c r="I628" t="s">
        <v>161</v>
      </c>
      <c r="K628">
        <v>219</v>
      </c>
      <c r="L628" s="13"/>
      <c r="M628" s="13">
        <v>52596</v>
      </c>
      <c r="N628" s="13">
        <v>52596</v>
      </c>
      <c r="O628" s="13">
        <v>52596</v>
      </c>
      <c r="P628" s="24">
        <v>0</v>
      </c>
      <c r="V628">
        <v>1</v>
      </c>
      <c r="W628" t="s">
        <v>33</v>
      </c>
      <c r="Y628" t="s">
        <v>33</v>
      </c>
      <c r="Z628" t="s">
        <v>34</v>
      </c>
      <c r="AA628">
        <v>1</v>
      </c>
    </row>
    <row r="629" spans="1:27" x14ac:dyDescent="0.35">
      <c r="A629" s="13">
        <v>45930</v>
      </c>
      <c r="B629">
        <v>1</v>
      </c>
      <c r="D629" t="s">
        <v>31</v>
      </c>
      <c r="E629" t="s">
        <v>32</v>
      </c>
      <c r="F629" t="s">
        <v>32</v>
      </c>
      <c r="H629" t="s">
        <v>59</v>
      </c>
      <c r="I629" t="s">
        <v>161</v>
      </c>
      <c r="K629">
        <v>220</v>
      </c>
      <c r="L629" s="13"/>
      <c r="M629" s="13">
        <v>52627</v>
      </c>
      <c r="N629" s="13">
        <v>52627</v>
      </c>
      <c r="O629" s="13">
        <v>52627</v>
      </c>
      <c r="P629" s="24">
        <v>0</v>
      </c>
      <c r="V629">
        <v>1</v>
      </c>
      <c r="W629" t="s">
        <v>33</v>
      </c>
      <c r="Y629" t="s">
        <v>33</v>
      </c>
      <c r="Z629" t="s">
        <v>34</v>
      </c>
      <c r="AA629">
        <v>1</v>
      </c>
    </row>
    <row r="630" spans="1:27" x14ac:dyDescent="0.35">
      <c r="A630" s="13">
        <v>45930</v>
      </c>
      <c r="B630">
        <v>1</v>
      </c>
      <c r="D630" t="s">
        <v>31</v>
      </c>
      <c r="E630" t="s">
        <v>32</v>
      </c>
      <c r="F630" t="s">
        <v>32</v>
      </c>
      <c r="H630" t="s">
        <v>59</v>
      </c>
      <c r="I630" t="s">
        <v>161</v>
      </c>
      <c r="K630">
        <v>221</v>
      </c>
      <c r="L630" s="13"/>
      <c r="M630" s="13">
        <v>52656</v>
      </c>
      <c r="N630" s="13">
        <v>52656</v>
      </c>
      <c r="O630" s="13">
        <v>52656</v>
      </c>
      <c r="P630" s="24">
        <v>0</v>
      </c>
      <c r="V630">
        <v>1</v>
      </c>
      <c r="W630" t="s">
        <v>33</v>
      </c>
      <c r="Y630" t="s">
        <v>33</v>
      </c>
      <c r="Z630" t="s">
        <v>34</v>
      </c>
      <c r="AA630">
        <v>1</v>
      </c>
    </row>
    <row r="631" spans="1:27" x14ac:dyDescent="0.35">
      <c r="A631" s="13">
        <v>45930</v>
      </c>
      <c r="B631">
        <v>1</v>
      </c>
      <c r="D631" t="s">
        <v>31</v>
      </c>
      <c r="E631" t="s">
        <v>32</v>
      </c>
      <c r="F631" t="s">
        <v>32</v>
      </c>
      <c r="H631" t="s">
        <v>59</v>
      </c>
      <c r="I631" t="s">
        <v>161</v>
      </c>
      <c r="K631">
        <v>222</v>
      </c>
      <c r="L631" s="13"/>
      <c r="M631" s="13">
        <v>52687</v>
      </c>
      <c r="N631" s="13">
        <v>52687</v>
      </c>
      <c r="O631" s="13">
        <v>52687</v>
      </c>
      <c r="P631" s="24">
        <v>0</v>
      </c>
      <c r="V631">
        <v>1</v>
      </c>
      <c r="W631" t="s">
        <v>33</v>
      </c>
      <c r="Y631" t="s">
        <v>33</v>
      </c>
      <c r="Z631" t="s">
        <v>34</v>
      </c>
      <c r="AA631">
        <v>1</v>
      </c>
    </row>
    <row r="632" spans="1:27" x14ac:dyDescent="0.35">
      <c r="A632" s="13">
        <v>45930</v>
      </c>
      <c r="B632">
        <v>1</v>
      </c>
      <c r="D632" t="s">
        <v>31</v>
      </c>
      <c r="E632" t="s">
        <v>32</v>
      </c>
      <c r="F632" t="s">
        <v>32</v>
      </c>
      <c r="H632" t="s">
        <v>59</v>
      </c>
      <c r="I632" t="s">
        <v>161</v>
      </c>
      <c r="K632">
        <v>223</v>
      </c>
      <c r="L632" s="13"/>
      <c r="M632" s="13">
        <v>52717</v>
      </c>
      <c r="N632" s="13">
        <v>52717</v>
      </c>
      <c r="O632" s="13">
        <v>52717</v>
      </c>
      <c r="P632" s="24">
        <v>0</v>
      </c>
      <c r="V632">
        <v>1</v>
      </c>
      <c r="W632" t="s">
        <v>33</v>
      </c>
      <c r="Y632" t="s">
        <v>33</v>
      </c>
      <c r="Z632" t="s">
        <v>34</v>
      </c>
      <c r="AA632">
        <v>1</v>
      </c>
    </row>
    <row r="633" spans="1:27" x14ac:dyDescent="0.35">
      <c r="A633" s="13">
        <v>45930</v>
      </c>
      <c r="B633">
        <v>1</v>
      </c>
      <c r="D633" t="s">
        <v>31</v>
      </c>
      <c r="E633" t="s">
        <v>32</v>
      </c>
      <c r="F633" t="s">
        <v>32</v>
      </c>
      <c r="H633" t="s">
        <v>59</v>
      </c>
      <c r="I633" t="s">
        <v>161</v>
      </c>
      <c r="K633">
        <v>224</v>
      </c>
      <c r="L633" s="13"/>
      <c r="M633" s="13">
        <v>52748</v>
      </c>
      <c r="N633" s="13">
        <v>52748</v>
      </c>
      <c r="O633" s="13">
        <v>52748</v>
      </c>
      <c r="P633" s="24">
        <v>0</v>
      </c>
      <c r="V633">
        <v>1</v>
      </c>
      <c r="W633" t="s">
        <v>33</v>
      </c>
      <c r="Y633" t="s">
        <v>33</v>
      </c>
      <c r="Z633" t="s">
        <v>34</v>
      </c>
      <c r="AA633">
        <v>1</v>
      </c>
    </row>
    <row r="634" spans="1:27" x14ac:dyDescent="0.35">
      <c r="A634" s="13">
        <v>45930</v>
      </c>
      <c r="B634">
        <v>1</v>
      </c>
      <c r="D634" t="s">
        <v>31</v>
      </c>
      <c r="E634" t="s">
        <v>32</v>
      </c>
      <c r="F634" t="s">
        <v>32</v>
      </c>
      <c r="H634" t="s">
        <v>59</v>
      </c>
      <c r="I634" t="s">
        <v>161</v>
      </c>
      <c r="K634">
        <v>225</v>
      </c>
      <c r="L634" s="13"/>
      <c r="M634" s="13">
        <v>52778</v>
      </c>
      <c r="N634" s="13">
        <v>52778</v>
      </c>
      <c r="O634" s="13">
        <v>52778</v>
      </c>
      <c r="P634" s="24">
        <v>0</v>
      </c>
      <c r="V634">
        <v>1</v>
      </c>
      <c r="W634" t="s">
        <v>33</v>
      </c>
      <c r="Y634" t="s">
        <v>33</v>
      </c>
      <c r="Z634" t="s">
        <v>34</v>
      </c>
      <c r="AA634">
        <v>1</v>
      </c>
    </row>
    <row r="635" spans="1:27" x14ac:dyDescent="0.35">
      <c r="A635" s="13">
        <v>45930</v>
      </c>
      <c r="B635">
        <v>1</v>
      </c>
      <c r="D635" t="s">
        <v>31</v>
      </c>
      <c r="E635" t="s">
        <v>32</v>
      </c>
      <c r="F635" t="s">
        <v>32</v>
      </c>
      <c r="H635" t="s">
        <v>59</v>
      </c>
      <c r="I635" t="s">
        <v>161</v>
      </c>
      <c r="K635">
        <v>226</v>
      </c>
      <c r="L635" s="13"/>
      <c r="M635" s="13">
        <v>52809</v>
      </c>
      <c r="N635" s="13">
        <v>52809</v>
      </c>
      <c r="O635" s="13">
        <v>52809</v>
      </c>
      <c r="P635" s="24">
        <v>0</v>
      </c>
      <c r="V635">
        <v>1</v>
      </c>
      <c r="W635" t="s">
        <v>33</v>
      </c>
      <c r="Y635" t="s">
        <v>33</v>
      </c>
      <c r="Z635" t="s">
        <v>34</v>
      </c>
      <c r="AA635">
        <v>1</v>
      </c>
    </row>
    <row r="636" spans="1:27" x14ac:dyDescent="0.35">
      <c r="A636" s="13">
        <v>45930</v>
      </c>
      <c r="B636">
        <v>1</v>
      </c>
      <c r="D636" t="s">
        <v>31</v>
      </c>
      <c r="E636" t="s">
        <v>32</v>
      </c>
      <c r="F636" t="s">
        <v>32</v>
      </c>
      <c r="H636" t="s">
        <v>59</v>
      </c>
      <c r="I636" t="s">
        <v>161</v>
      </c>
      <c r="K636">
        <v>227</v>
      </c>
      <c r="L636" s="13"/>
      <c r="M636" s="13">
        <v>52840</v>
      </c>
      <c r="N636" s="13">
        <v>52840</v>
      </c>
      <c r="O636" s="13">
        <v>52840</v>
      </c>
      <c r="P636" s="24">
        <v>0</v>
      </c>
      <c r="V636">
        <v>1</v>
      </c>
      <c r="W636" t="s">
        <v>33</v>
      </c>
      <c r="Y636" t="s">
        <v>33</v>
      </c>
      <c r="Z636" t="s">
        <v>34</v>
      </c>
      <c r="AA636">
        <v>1</v>
      </c>
    </row>
    <row r="637" spans="1:27" x14ac:dyDescent="0.35">
      <c r="A637" s="13">
        <v>45930</v>
      </c>
      <c r="B637">
        <v>1</v>
      </c>
      <c r="D637" t="s">
        <v>31</v>
      </c>
      <c r="E637" t="s">
        <v>32</v>
      </c>
      <c r="F637" t="s">
        <v>32</v>
      </c>
      <c r="H637" t="s">
        <v>59</v>
      </c>
      <c r="I637" t="s">
        <v>161</v>
      </c>
      <c r="K637">
        <v>228</v>
      </c>
      <c r="L637" s="13"/>
      <c r="M637" s="13">
        <v>52870</v>
      </c>
      <c r="N637" s="13">
        <v>52870</v>
      </c>
      <c r="O637" s="13">
        <v>52870</v>
      </c>
      <c r="P637" s="24">
        <v>0</v>
      </c>
      <c r="V637">
        <v>1</v>
      </c>
      <c r="W637" t="s">
        <v>33</v>
      </c>
      <c r="Y637" t="s">
        <v>33</v>
      </c>
      <c r="Z637" t="s">
        <v>34</v>
      </c>
      <c r="AA637">
        <v>1</v>
      </c>
    </row>
    <row r="638" spans="1:27" x14ac:dyDescent="0.35">
      <c r="A638" s="13">
        <v>45930</v>
      </c>
      <c r="B638">
        <v>1</v>
      </c>
      <c r="D638" t="s">
        <v>31</v>
      </c>
      <c r="E638" t="s">
        <v>32</v>
      </c>
      <c r="F638" t="s">
        <v>32</v>
      </c>
      <c r="H638" t="s">
        <v>59</v>
      </c>
      <c r="I638" t="s">
        <v>161</v>
      </c>
      <c r="K638">
        <v>229</v>
      </c>
      <c r="L638" s="13"/>
      <c r="M638" s="13">
        <v>52901</v>
      </c>
      <c r="N638" s="13">
        <v>52901</v>
      </c>
      <c r="O638" s="13">
        <v>52901</v>
      </c>
      <c r="P638" s="24">
        <v>0</v>
      </c>
      <c r="V638">
        <v>1</v>
      </c>
      <c r="W638" t="s">
        <v>33</v>
      </c>
      <c r="Y638" t="s">
        <v>33</v>
      </c>
      <c r="Z638" t="s">
        <v>34</v>
      </c>
      <c r="AA638">
        <v>1</v>
      </c>
    </row>
    <row r="639" spans="1:27" x14ac:dyDescent="0.35">
      <c r="A639" s="13">
        <v>45930</v>
      </c>
      <c r="B639">
        <v>1</v>
      </c>
      <c r="D639" t="s">
        <v>31</v>
      </c>
      <c r="E639" t="s">
        <v>32</v>
      </c>
      <c r="F639" t="s">
        <v>32</v>
      </c>
      <c r="H639" t="s">
        <v>59</v>
      </c>
      <c r="I639" t="s">
        <v>161</v>
      </c>
      <c r="K639">
        <v>230</v>
      </c>
      <c r="L639" s="13"/>
      <c r="M639" s="13">
        <v>52931</v>
      </c>
      <c r="N639" s="13">
        <v>52931</v>
      </c>
      <c r="O639" s="13">
        <v>52931</v>
      </c>
      <c r="P639" s="24">
        <v>0</v>
      </c>
      <c r="V639">
        <v>1</v>
      </c>
      <c r="W639" t="s">
        <v>33</v>
      </c>
      <c r="Y639" t="s">
        <v>33</v>
      </c>
      <c r="Z639" t="s">
        <v>34</v>
      </c>
      <c r="AA639">
        <v>1</v>
      </c>
    </row>
    <row r="640" spans="1:27" x14ac:dyDescent="0.35">
      <c r="A640" s="13">
        <v>45930</v>
      </c>
      <c r="B640">
        <v>1</v>
      </c>
      <c r="D640" t="s">
        <v>31</v>
      </c>
      <c r="E640" t="s">
        <v>32</v>
      </c>
      <c r="F640" t="s">
        <v>32</v>
      </c>
      <c r="H640" t="s">
        <v>59</v>
      </c>
      <c r="I640" t="s">
        <v>161</v>
      </c>
      <c r="K640">
        <v>231</v>
      </c>
      <c r="L640" s="13"/>
      <c r="M640" s="13">
        <v>52962</v>
      </c>
      <c r="N640" s="13">
        <v>52962</v>
      </c>
      <c r="O640" s="13">
        <v>52962</v>
      </c>
      <c r="P640" s="24">
        <v>0</v>
      </c>
      <c r="V640">
        <v>1</v>
      </c>
      <c r="W640" t="s">
        <v>33</v>
      </c>
      <c r="Y640" t="s">
        <v>33</v>
      </c>
      <c r="Z640" t="s">
        <v>34</v>
      </c>
      <c r="AA640">
        <v>1</v>
      </c>
    </row>
    <row r="641" spans="1:27" x14ac:dyDescent="0.35">
      <c r="A641" s="13">
        <v>45930</v>
      </c>
      <c r="B641">
        <v>1</v>
      </c>
      <c r="D641" t="s">
        <v>31</v>
      </c>
      <c r="E641" t="s">
        <v>32</v>
      </c>
      <c r="F641" t="s">
        <v>32</v>
      </c>
      <c r="H641" t="s">
        <v>59</v>
      </c>
      <c r="I641" t="s">
        <v>161</v>
      </c>
      <c r="K641">
        <v>232</v>
      </c>
      <c r="L641" s="13"/>
      <c r="M641" s="13">
        <v>52993</v>
      </c>
      <c r="N641" s="13">
        <v>52993</v>
      </c>
      <c r="O641" s="13">
        <v>52993</v>
      </c>
      <c r="P641" s="24">
        <v>0</v>
      </c>
      <c r="V641">
        <v>1</v>
      </c>
      <c r="W641" t="s">
        <v>33</v>
      </c>
      <c r="Y641" t="s">
        <v>33</v>
      </c>
      <c r="Z641" t="s">
        <v>34</v>
      </c>
      <c r="AA641">
        <v>1</v>
      </c>
    </row>
    <row r="642" spans="1:27" x14ac:dyDescent="0.35">
      <c r="A642" s="13">
        <v>45930</v>
      </c>
      <c r="B642">
        <v>1</v>
      </c>
      <c r="D642" t="s">
        <v>31</v>
      </c>
      <c r="E642" t="s">
        <v>32</v>
      </c>
      <c r="F642" t="s">
        <v>32</v>
      </c>
      <c r="H642" t="s">
        <v>59</v>
      </c>
      <c r="I642" t="s">
        <v>161</v>
      </c>
      <c r="K642">
        <v>233</v>
      </c>
      <c r="L642" s="13"/>
      <c r="M642" s="13">
        <v>53021</v>
      </c>
      <c r="N642" s="13">
        <v>53021</v>
      </c>
      <c r="O642" s="13">
        <v>53021</v>
      </c>
      <c r="P642" s="24">
        <v>0</v>
      </c>
      <c r="V642">
        <v>1</v>
      </c>
      <c r="W642" t="s">
        <v>33</v>
      </c>
      <c r="Y642" t="s">
        <v>33</v>
      </c>
      <c r="Z642" t="s">
        <v>34</v>
      </c>
      <c r="AA642">
        <v>1</v>
      </c>
    </row>
    <row r="643" spans="1:27" x14ac:dyDescent="0.35">
      <c r="A643" s="13">
        <v>45930</v>
      </c>
      <c r="B643">
        <v>1</v>
      </c>
      <c r="D643" t="s">
        <v>31</v>
      </c>
      <c r="E643" t="s">
        <v>32</v>
      </c>
      <c r="F643" t="s">
        <v>32</v>
      </c>
      <c r="H643" t="s">
        <v>59</v>
      </c>
      <c r="I643" t="s">
        <v>161</v>
      </c>
      <c r="K643">
        <v>234</v>
      </c>
      <c r="L643" s="13"/>
      <c r="M643" s="13">
        <v>53052</v>
      </c>
      <c r="N643" s="13">
        <v>53052</v>
      </c>
      <c r="O643" s="13">
        <v>53052</v>
      </c>
      <c r="P643" s="24">
        <v>0</v>
      </c>
      <c r="V643">
        <v>1</v>
      </c>
      <c r="W643" t="s">
        <v>33</v>
      </c>
      <c r="Y643" t="s">
        <v>33</v>
      </c>
      <c r="Z643" t="s">
        <v>34</v>
      </c>
      <c r="AA643">
        <v>1</v>
      </c>
    </row>
    <row r="644" spans="1:27" x14ac:dyDescent="0.35">
      <c r="A644" s="13">
        <v>45930</v>
      </c>
      <c r="B644">
        <v>1</v>
      </c>
      <c r="D644" t="s">
        <v>31</v>
      </c>
      <c r="E644" t="s">
        <v>32</v>
      </c>
      <c r="F644" t="s">
        <v>32</v>
      </c>
      <c r="H644" t="s">
        <v>59</v>
      </c>
      <c r="I644" t="s">
        <v>161</v>
      </c>
      <c r="K644">
        <v>235</v>
      </c>
      <c r="L644" s="13"/>
      <c r="M644" s="13">
        <v>53082</v>
      </c>
      <c r="N644" s="13">
        <v>53082</v>
      </c>
      <c r="O644" s="13">
        <v>53082</v>
      </c>
      <c r="P644" s="24">
        <v>0</v>
      </c>
      <c r="V644">
        <v>1</v>
      </c>
      <c r="W644" t="s">
        <v>33</v>
      </c>
      <c r="Y644" t="s">
        <v>33</v>
      </c>
      <c r="Z644" t="s">
        <v>34</v>
      </c>
      <c r="AA644">
        <v>1</v>
      </c>
    </row>
    <row r="645" spans="1:27" x14ac:dyDescent="0.35">
      <c r="A645" s="13">
        <v>45930</v>
      </c>
      <c r="B645">
        <v>1</v>
      </c>
      <c r="D645" t="s">
        <v>31</v>
      </c>
      <c r="E645" t="s">
        <v>32</v>
      </c>
      <c r="F645" t="s">
        <v>32</v>
      </c>
      <c r="H645" t="s">
        <v>59</v>
      </c>
      <c r="I645" t="s">
        <v>161</v>
      </c>
      <c r="K645">
        <v>236</v>
      </c>
      <c r="L645" s="13"/>
      <c r="M645" s="13">
        <v>53113</v>
      </c>
      <c r="N645" s="13">
        <v>53113</v>
      </c>
      <c r="O645" s="13">
        <v>53113</v>
      </c>
      <c r="P645" s="24">
        <v>0</v>
      </c>
      <c r="V645">
        <v>1</v>
      </c>
      <c r="W645" t="s">
        <v>33</v>
      </c>
      <c r="Y645" t="s">
        <v>33</v>
      </c>
      <c r="Z645" t="s">
        <v>34</v>
      </c>
      <c r="AA645">
        <v>1</v>
      </c>
    </row>
    <row r="646" spans="1:27" x14ac:dyDescent="0.35">
      <c r="A646" s="13">
        <v>45930</v>
      </c>
      <c r="B646">
        <v>1</v>
      </c>
      <c r="D646" t="s">
        <v>31</v>
      </c>
      <c r="E646" t="s">
        <v>32</v>
      </c>
      <c r="F646" t="s">
        <v>32</v>
      </c>
      <c r="H646" t="s">
        <v>59</v>
      </c>
      <c r="I646" t="s">
        <v>161</v>
      </c>
      <c r="K646">
        <v>237</v>
      </c>
      <c r="L646" s="13"/>
      <c r="M646" s="13">
        <v>53143</v>
      </c>
      <c r="N646" s="13">
        <v>53143</v>
      </c>
      <c r="O646" s="13">
        <v>53143</v>
      </c>
      <c r="P646" s="24">
        <v>0</v>
      </c>
      <c r="V646">
        <v>1</v>
      </c>
      <c r="W646" t="s">
        <v>33</v>
      </c>
      <c r="Y646" t="s">
        <v>33</v>
      </c>
      <c r="Z646" t="s">
        <v>34</v>
      </c>
      <c r="AA646">
        <v>1</v>
      </c>
    </row>
    <row r="647" spans="1:27" x14ac:dyDescent="0.35">
      <c r="A647" s="13">
        <v>45930</v>
      </c>
      <c r="B647">
        <v>1</v>
      </c>
      <c r="D647" t="s">
        <v>31</v>
      </c>
      <c r="E647" t="s">
        <v>32</v>
      </c>
      <c r="F647" t="s">
        <v>32</v>
      </c>
      <c r="H647" t="s">
        <v>59</v>
      </c>
      <c r="I647" t="s">
        <v>161</v>
      </c>
      <c r="K647">
        <v>238</v>
      </c>
      <c r="L647" s="13"/>
      <c r="M647" s="13">
        <v>53174</v>
      </c>
      <c r="N647" s="13">
        <v>53174</v>
      </c>
      <c r="O647" s="13">
        <v>53174</v>
      </c>
      <c r="P647" s="24">
        <v>0</v>
      </c>
      <c r="V647">
        <v>1</v>
      </c>
      <c r="W647" t="s">
        <v>33</v>
      </c>
      <c r="Y647" t="s">
        <v>33</v>
      </c>
      <c r="Z647" t="s">
        <v>34</v>
      </c>
      <c r="AA647">
        <v>1</v>
      </c>
    </row>
    <row r="648" spans="1:27" x14ac:dyDescent="0.35">
      <c r="A648" s="13">
        <v>45930</v>
      </c>
      <c r="B648">
        <v>1</v>
      </c>
      <c r="D648" t="s">
        <v>31</v>
      </c>
      <c r="E648" t="s">
        <v>32</v>
      </c>
      <c r="F648" t="s">
        <v>32</v>
      </c>
      <c r="H648" t="s">
        <v>59</v>
      </c>
      <c r="I648" t="s">
        <v>161</v>
      </c>
      <c r="K648">
        <v>239</v>
      </c>
      <c r="L648" s="13"/>
      <c r="M648" s="13">
        <v>53205</v>
      </c>
      <c r="N648" s="13">
        <v>53205</v>
      </c>
      <c r="O648" s="13">
        <v>53205</v>
      </c>
      <c r="P648" s="24">
        <v>0</v>
      </c>
      <c r="V648">
        <v>1</v>
      </c>
      <c r="W648" t="s">
        <v>33</v>
      </c>
      <c r="Y648" t="s">
        <v>33</v>
      </c>
      <c r="Z648" t="s">
        <v>34</v>
      </c>
      <c r="AA648">
        <v>1</v>
      </c>
    </row>
    <row r="649" spans="1:27" x14ac:dyDescent="0.35">
      <c r="A649" s="13">
        <v>45930</v>
      </c>
      <c r="B649">
        <v>1</v>
      </c>
      <c r="D649" t="s">
        <v>31</v>
      </c>
      <c r="E649" t="s">
        <v>32</v>
      </c>
      <c r="F649" t="s">
        <v>32</v>
      </c>
      <c r="H649" t="s">
        <v>59</v>
      </c>
      <c r="I649" t="s">
        <v>161</v>
      </c>
      <c r="K649">
        <v>240</v>
      </c>
      <c r="L649" s="13"/>
      <c r="M649" s="13">
        <v>53235</v>
      </c>
      <c r="N649" s="13">
        <v>53235</v>
      </c>
      <c r="O649" s="13">
        <v>53235</v>
      </c>
      <c r="P649" s="24">
        <v>0</v>
      </c>
      <c r="V649">
        <v>1</v>
      </c>
      <c r="W649" t="s">
        <v>33</v>
      </c>
      <c r="Y649" t="s">
        <v>33</v>
      </c>
      <c r="Z649" t="s">
        <v>34</v>
      </c>
      <c r="AA649">
        <v>1</v>
      </c>
    </row>
    <row r="650" spans="1:27" x14ac:dyDescent="0.35">
      <c r="A650" s="13">
        <v>45930</v>
      </c>
      <c r="B650">
        <v>1</v>
      </c>
      <c r="D650" t="s">
        <v>31</v>
      </c>
      <c r="E650" t="s">
        <v>32</v>
      </c>
      <c r="F650" t="s">
        <v>32</v>
      </c>
      <c r="H650" t="s">
        <v>59</v>
      </c>
      <c r="I650" t="s">
        <v>161</v>
      </c>
      <c r="K650">
        <v>241</v>
      </c>
      <c r="L650" s="13"/>
      <c r="M650" s="13">
        <v>53266</v>
      </c>
      <c r="N650" s="13">
        <v>53266</v>
      </c>
      <c r="O650" s="13">
        <v>53266</v>
      </c>
      <c r="P650" s="24">
        <v>0</v>
      </c>
      <c r="V650">
        <v>1</v>
      </c>
      <c r="W650" t="s">
        <v>33</v>
      </c>
      <c r="Y650" t="s">
        <v>33</v>
      </c>
      <c r="Z650" t="s">
        <v>34</v>
      </c>
      <c r="AA650">
        <v>1</v>
      </c>
    </row>
    <row r="651" spans="1:27" x14ac:dyDescent="0.35">
      <c r="A651" s="13">
        <v>45930</v>
      </c>
      <c r="B651">
        <v>1</v>
      </c>
      <c r="D651" t="s">
        <v>31</v>
      </c>
      <c r="E651" t="s">
        <v>32</v>
      </c>
      <c r="F651" t="s">
        <v>32</v>
      </c>
      <c r="H651" t="s">
        <v>59</v>
      </c>
      <c r="I651" t="s">
        <v>161</v>
      </c>
      <c r="K651">
        <v>242</v>
      </c>
      <c r="L651" s="13"/>
      <c r="M651" s="13">
        <v>53296</v>
      </c>
      <c r="N651" s="13">
        <v>53296</v>
      </c>
      <c r="O651" s="13">
        <v>53296</v>
      </c>
      <c r="P651" s="24">
        <v>0</v>
      </c>
      <c r="V651">
        <v>1</v>
      </c>
      <c r="W651" t="s">
        <v>33</v>
      </c>
      <c r="Y651" t="s">
        <v>33</v>
      </c>
      <c r="Z651" t="s">
        <v>34</v>
      </c>
      <c r="AA651">
        <v>1</v>
      </c>
    </row>
    <row r="652" spans="1:27" x14ac:dyDescent="0.35">
      <c r="A652" s="13">
        <v>45930</v>
      </c>
      <c r="B652">
        <v>1</v>
      </c>
      <c r="D652" t="s">
        <v>31</v>
      </c>
      <c r="E652" t="s">
        <v>32</v>
      </c>
      <c r="F652" t="s">
        <v>32</v>
      </c>
      <c r="H652" t="s">
        <v>59</v>
      </c>
      <c r="I652" t="s">
        <v>161</v>
      </c>
      <c r="K652">
        <v>243</v>
      </c>
      <c r="L652" s="13"/>
      <c r="M652" s="13">
        <v>53327</v>
      </c>
      <c r="N652" s="13">
        <v>53327</v>
      </c>
      <c r="O652" s="13">
        <v>53327</v>
      </c>
      <c r="P652" s="24">
        <v>0</v>
      </c>
      <c r="V652">
        <v>1</v>
      </c>
      <c r="W652" t="s">
        <v>33</v>
      </c>
      <c r="Y652" t="s">
        <v>33</v>
      </c>
      <c r="Z652" t="s">
        <v>34</v>
      </c>
      <c r="AA652">
        <v>1</v>
      </c>
    </row>
    <row r="653" spans="1:27" x14ac:dyDescent="0.35">
      <c r="A653" s="13">
        <v>45930</v>
      </c>
      <c r="B653">
        <v>1</v>
      </c>
      <c r="D653" t="s">
        <v>31</v>
      </c>
      <c r="E653" t="s">
        <v>32</v>
      </c>
      <c r="F653" t="s">
        <v>32</v>
      </c>
      <c r="H653" t="s">
        <v>59</v>
      </c>
      <c r="I653" t="s">
        <v>161</v>
      </c>
      <c r="K653">
        <v>244</v>
      </c>
      <c r="L653" s="13"/>
      <c r="M653" s="13">
        <v>53358</v>
      </c>
      <c r="N653" s="13">
        <v>53358</v>
      </c>
      <c r="O653" s="13">
        <v>53358</v>
      </c>
      <c r="P653" s="24">
        <v>0</v>
      </c>
      <c r="V653">
        <v>1</v>
      </c>
      <c r="W653" t="s">
        <v>33</v>
      </c>
      <c r="Y653" t="s">
        <v>33</v>
      </c>
      <c r="Z653" t="s">
        <v>34</v>
      </c>
      <c r="AA653">
        <v>1</v>
      </c>
    </row>
    <row r="654" spans="1:27" x14ac:dyDescent="0.35">
      <c r="A654" s="13">
        <v>45930</v>
      </c>
      <c r="B654">
        <v>1</v>
      </c>
      <c r="D654" t="s">
        <v>31</v>
      </c>
      <c r="E654" t="s">
        <v>32</v>
      </c>
      <c r="F654" t="s">
        <v>32</v>
      </c>
      <c r="H654" t="s">
        <v>59</v>
      </c>
      <c r="I654" t="s">
        <v>161</v>
      </c>
      <c r="K654">
        <v>245</v>
      </c>
      <c r="L654" s="13"/>
      <c r="M654" s="13">
        <v>53386</v>
      </c>
      <c r="N654" s="13">
        <v>53386</v>
      </c>
      <c r="O654" s="13">
        <v>53386</v>
      </c>
      <c r="P654" s="24">
        <v>0</v>
      </c>
      <c r="V654">
        <v>1</v>
      </c>
      <c r="W654" t="s">
        <v>33</v>
      </c>
      <c r="Y654" t="s">
        <v>33</v>
      </c>
      <c r="Z654" t="s">
        <v>34</v>
      </c>
      <c r="AA654">
        <v>1</v>
      </c>
    </row>
    <row r="655" spans="1:27" x14ac:dyDescent="0.35">
      <c r="A655" s="13">
        <v>45930</v>
      </c>
      <c r="B655">
        <v>1</v>
      </c>
      <c r="D655" t="s">
        <v>31</v>
      </c>
      <c r="E655" t="s">
        <v>32</v>
      </c>
      <c r="F655" t="s">
        <v>32</v>
      </c>
      <c r="H655" t="s">
        <v>59</v>
      </c>
      <c r="I655" t="s">
        <v>161</v>
      </c>
      <c r="K655">
        <v>246</v>
      </c>
      <c r="L655" s="13"/>
      <c r="M655" s="13">
        <v>53417</v>
      </c>
      <c r="N655" s="13">
        <v>53417</v>
      </c>
      <c r="O655" s="13">
        <v>53417</v>
      </c>
      <c r="P655" s="24">
        <v>0</v>
      </c>
      <c r="V655">
        <v>1</v>
      </c>
      <c r="W655" t="s">
        <v>33</v>
      </c>
      <c r="Y655" t="s">
        <v>33</v>
      </c>
      <c r="Z655" t="s">
        <v>34</v>
      </c>
      <c r="AA655">
        <v>1</v>
      </c>
    </row>
    <row r="656" spans="1:27" x14ac:dyDescent="0.35">
      <c r="A656" s="13">
        <v>45930</v>
      </c>
      <c r="B656">
        <v>1</v>
      </c>
      <c r="D656" t="s">
        <v>31</v>
      </c>
      <c r="E656" t="s">
        <v>32</v>
      </c>
      <c r="F656" t="s">
        <v>32</v>
      </c>
      <c r="H656" t="s">
        <v>59</v>
      </c>
      <c r="I656" t="s">
        <v>161</v>
      </c>
      <c r="K656">
        <v>247</v>
      </c>
      <c r="L656" s="13"/>
      <c r="M656" s="13">
        <v>53447</v>
      </c>
      <c r="N656" s="13">
        <v>53447</v>
      </c>
      <c r="O656" s="13">
        <v>53447</v>
      </c>
      <c r="P656" s="24">
        <v>0</v>
      </c>
      <c r="V656">
        <v>1</v>
      </c>
      <c r="W656" t="s">
        <v>33</v>
      </c>
      <c r="Y656" t="s">
        <v>33</v>
      </c>
      <c r="Z656" t="s">
        <v>34</v>
      </c>
      <c r="AA656">
        <v>1</v>
      </c>
    </row>
    <row r="657" spans="1:27" x14ac:dyDescent="0.35">
      <c r="A657" s="13">
        <v>45930</v>
      </c>
      <c r="B657">
        <v>1</v>
      </c>
      <c r="D657" t="s">
        <v>31</v>
      </c>
      <c r="E657" t="s">
        <v>32</v>
      </c>
      <c r="F657" t="s">
        <v>32</v>
      </c>
      <c r="H657" t="s">
        <v>59</v>
      </c>
      <c r="I657" t="s">
        <v>161</v>
      </c>
      <c r="K657">
        <v>248</v>
      </c>
      <c r="L657" s="13"/>
      <c r="M657" s="13">
        <v>53478</v>
      </c>
      <c r="N657" s="13">
        <v>53478</v>
      </c>
      <c r="O657" s="13">
        <v>53478</v>
      </c>
      <c r="P657" s="24">
        <v>0</v>
      </c>
      <c r="V657">
        <v>1</v>
      </c>
      <c r="W657" t="s">
        <v>33</v>
      </c>
      <c r="Y657" t="s">
        <v>33</v>
      </c>
      <c r="Z657" t="s">
        <v>34</v>
      </c>
      <c r="AA657">
        <v>1</v>
      </c>
    </row>
    <row r="658" spans="1:27" x14ac:dyDescent="0.35">
      <c r="A658" s="13">
        <v>45930</v>
      </c>
      <c r="B658">
        <v>1</v>
      </c>
      <c r="D658" t="s">
        <v>31</v>
      </c>
      <c r="E658" t="s">
        <v>32</v>
      </c>
      <c r="F658" t="s">
        <v>32</v>
      </c>
      <c r="H658" t="s">
        <v>59</v>
      </c>
      <c r="I658" t="s">
        <v>161</v>
      </c>
      <c r="K658">
        <v>249</v>
      </c>
      <c r="M658" s="13">
        <v>53508</v>
      </c>
      <c r="N658" s="13">
        <v>53508</v>
      </c>
      <c r="O658" s="13">
        <v>53508</v>
      </c>
      <c r="P658" s="24">
        <v>0</v>
      </c>
      <c r="V658">
        <v>1</v>
      </c>
      <c r="W658" t="s">
        <v>33</v>
      </c>
      <c r="Y658" t="s">
        <v>33</v>
      </c>
      <c r="Z658" t="s">
        <v>34</v>
      </c>
      <c r="AA658">
        <v>1</v>
      </c>
    </row>
    <row r="659" spans="1:27" x14ac:dyDescent="0.35">
      <c r="A659" s="13">
        <v>45930</v>
      </c>
      <c r="B659">
        <v>1</v>
      </c>
      <c r="D659" t="s">
        <v>31</v>
      </c>
      <c r="E659" t="s">
        <v>32</v>
      </c>
      <c r="F659" t="s">
        <v>32</v>
      </c>
      <c r="H659" t="s">
        <v>59</v>
      </c>
      <c r="I659" t="s">
        <v>161</v>
      </c>
      <c r="K659">
        <v>250</v>
      </c>
      <c r="M659" s="13">
        <v>53539</v>
      </c>
      <c r="N659" s="13">
        <v>53539</v>
      </c>
      <c r="O659" s="13">
        <v>53539</v>
      </c>
      <c r="P659" s="24">
        <v>0</v>
      </c>
      <c r="V659">
        <v>1</v>
      </c>
      <c r="W659" t="s">
        <v>33</v>
      </c>
      <c r="Y659" t="s">
        <v>33</v>
      </c>
      <c r="Z659" t="s">
        <v>34</v>
      </c>
      <c r="AA659">
        <v>1</v>
      </c>
    </row>
    <row r="660" spans="1:27" x14ac:dyDescent="0.35">
      <c r="A660" s="13">
        <v>45930</v>
      </c>
      <c r="B660">
        <v>1</v>
      </c>
      <c r="D660" t="s">
        <v>31</v>
      </c>
      <c r="E660" t="s">
        <v>32</v>
      </c>
      <c r="F660" t="s">
        <v>32</v>
      </c>
      <c r="H660" t="s">
        <v>59</v>
      </c>
      <c r="I660" t="s">
        <v>161</v>
      </c>
      <c r="K660">
        <v>251</v>
      </c>
      <c r="M660" s="13">
        <v>53570</v>
      </c>
      <c r="N660" s="13">
        <v>53570</v>
      </c>
      <c r="O660" s="13">
        <v>53570</v>
      </c>
      <c r="P660" s="24">
        <v>0</v>
      </c>
      <c r="V660">
        <v>1</v>
      </c>
      <c r="W660" t="s">
        <v>33</v>
      </c>
      <c r="Y660" t="s">
        <v>33</v>
      </c>
      <c r="Z660" t="s">
        <v>34</v>
      </c>
      <c r="AA660">
        <v>1</v>
      </c>
    </row>
    <row r="661" spans="1:27" x14ac:dyDescent="0.35">
      <c r="A661" s="13">
        <v>45930</v>
      </c>
      <c r="B661">
        <v>1</v>
      </c>
      <c r="D661" t="s">
        <v>31</v>
      </c>
      <c r="E661" t="s">
        <v>32</v>
      </c>
      <c r="F661" t="s">
        <v>32</v>
      </c>
      <c r="H661" t="s">
        <v>59</v>
      </c>
      <c r="I661" t="s">
        <v>161</v>
      </c>
      <c r="K661">
        <v>252</v>
      </c>
      <c r="M661" s="13">
        <v>53600</v>
      </c>
      <c r="N661" s="13">
        <v>53600</v>
      </c>
      <c r="O661" s="13">
        <v>53600</v>
      </c>
      <c r="P661" s="24">
        <v>0</v>
      </c>
      <c r="V661">
        <v>1</v>
      </c>
      <c r="W661" t="s">
        <v>33</v>
      </c>
      <c r="Y661" t="s">
        <v>33</v>
      </c>
      <c r="Z661" t="s">
        <v>34</v>
      </c>
      <c r="AA661">
        <v>1</v>
      </c>
    </row>
    <row r="662" spans="1:27" x14ac:dyDescent="0.35">
      <c r="A662" s="13">
        <v>45930</v>
      </c>
      <c r="B662">
        <v>1</v>
      </c>
      <c r="D662" t="s">
        <v>31</v>
      </c>
      <c r="E662" t="s">
        <v>32</v>
      </c>
      <c r="F662" t="s">
        <v>32</v>
      </c>
      <c r="H662" t="s">
        <v>59</v>
      </c>
      <c r="I662" t="s">
        <v>161</v>
      </c>
      <c r="K662">
        <v>253</v>
      </c>
      <c r="M662" s="13">
        <v>53631</v>
      </c>
      <c r="N662" s="13">
        <v>53631</v>
      </c>
      <c r="O662" s="13">
        <v>53631</v>
      </c>
      <c r="P662" s="24">
        <v>0</v>
      </c>
      <c r="V662">
        <v>1</v>
      </c>
      <c r="W662" t="s">
        <v>33</v>
      </c>
      <c r="Y662" t="s">
        <v>33</v>
      </c>
      <c r="Z662" t="s">
        <v>34</v>
      </c>
      <c r="AA662">
        <v>1</v>
      </c>
    </row>
    <row r="663" spans="1:27" x14ac:dyDescent="0.35">
      <c r="A663" s="13">
        <v>45930</v>
      </c>
      <c r="B663">
        <v>1</v>
      </c>
      <c r="D663" t="s">
        <v>31</v>
      </c>
      <c r="E663" t="s">
        <v>32</v>
      </c>
      <c r="F663" t="s">
        <v>32</v>
      </c>
      <c r="H663" t="s">
        <v>59</v>
      </c>
      <c r="I663" t="s">
        <v>161</v>
      </c>
      <c r="K663">
        <v>254</v>
      </c>
      <c r="M663" s="13">
        <v>53661</v>
      </c>
      <c r="N663" s="13">
        <v>53661</v>
      </c>
      <c r="O663" s="13">
        <v>53661</v>
      </c>
      <c r="P663" s="24">
        <v>0</v>
      </c>
      <c r="V663">
        <v>1</v>
      </c>
      <c r="W663" t="s">
        <v>33</v>
      </c>
      <c r="Y663" t="s">
        <v>33</v>
      </c>
      <c r="Z663" t="s">
        <v>34</v>
      </c>
      <c r="AA663">
        <v>1</v>
      </c>
    </row>
    <row r="664" spans="1:27" x14ac:dyDescent="0.35">
      <c r="A664" s="13">
        <v>45930</v>
      </c>
      <c r="B664">
        <v>1</v>
      </c>
      <c r="D664" t="s">
        <v>31</v>
      </c>
      <c r="E664" t="s">
        <v>32</v>
      </c>
      <c r="F664" t="s">
        <v>32</v>
      </c>
      <c r="H664" t="s">
        <v>59</v>
      </c>
      <c r="I664" t="s">
        <v>161</v>
      </c>
      <c r="K664">
        <v>255</v>
      </c>
      <c r="M664" s="13">
        <v>53692</v>
      </c>
      <c r="N664" s="13">
        <v>53692</v>
      </c>
      <c r="O664" s="13">
        <v>53692</v>
      </c>
      <c r="P664" s="24">
        <v>0</v>
      </c>
      <c r="V664">
        <v>1</v>
      </c>
      <c r="W664" t="s">
        <v>33</v>
      </c>
      <c r="Y664" t="s">
        <v>33</v>
      </c>
      <c r="Z664" t="s">
        <v>34</v>
      </c>
      <c r="AA664">
        <v>1</v>
      </c>
    </row>
    <row r="665" spans="1:27" x14ac:dyDescent="0.35">
      <c r="A665" s="13">
        <v>45930</v>
      </c>
      <c r="B665">
        <v>1</v>
      </c>
      <c r="D665" t="s">
        <v>31</v>
      </c>
      <c r="E665" t="s">
        <v>32</v>
      </c>
      <c r="F665" t="s">
        <v>32</v>
      </c>
      <c r="H665" t="s">
        <v>59</v>
      </c>
      <c r="I665" t="s">
        <v>161</v>
      </c>
      <c r="K665">
        <v>256</v>
      </c>
      <c r="M665" s="13">
        <v>53723</v>
      </c>
      <c r="N665" s="13">
        <v>53723</v>
      </c>
      <c r="O665" s="13">
        <v>53723</v>
      </c>
      <c r="P665" s="24">
        <v>0</v>
      </c>
      <c r="V665">
        <v>1</v>
      </c>
      <c r="W665" t="s">
        <v>33</v>
      </c>
      <c r="Y665" t="s">
        <v>33</v>
      </c>
      <c r="Z665" t="s">
        <v>34</v>
      </c>
      <c r="AA665">
        <v>1</v>
      </c>
    </row>
    <row r="666" spans="1:27" x14ac:dyDescent="0.35">
      <c r="A666" s="13">
        <v>45930</v>
      </c>
      <c r="B666">
        <v>1</v>
      </c>
      <c r="D666" t="s">
        <v>31</v>
      </c>
      <c r="E666" t="s">
        <v>32</v>
      </c>
      <c r="F666" t="s">
        <v>32</v>
      </c>
      <c r="H666" t="s">
        <v>59</v>
      </c>
      <c r="I666" t="s">
        <v>161</v>
      </c>
      <c r="K666">
        <v>257</v>
      </c>
      <c r="M666" s="13">
        <v>53751</v>
      </c>
      <c r="N666" s="13">
        <v>53751</v>
      </c>
      <c r="O666" s="13">
        <v>53751</v>
      </c>
      <c r="P666" s="24">
        <v>0</v>
      </c>
      <c r="V666">
        <v>1</v>
      </c>
      <c r="W666" t="s">
        <v>33</v>
      </c>
      <c r="Y666" t="s">
        <v>33</v>
      </c>
      <c r="Z666" t="s">
        <v>34</v>
      </c>
      <c r="AA666">
        <v>1</v>
      </c>
    </row>
    <row r="667" spans="1:27" x14ac:dyDescent="0.35">
      <c r="A667" s="13">
        <v>45930</v>
      </c>
      <c r="B667">
        <v>1</v>
      </c>
      <c r="D667" t="s">
        <v>31</v>
      </c>
      <c r="E667" t="s">
        <v>32</v>
      </c>
      <c r="F667" t="s">
        <v>32</v>
      </c>
      <c r="H667" t="s">
        <v>59</v>
      </c>
      <c r="I667" t="s">
        <v>161</v>
      </c>
      <c r="K667">
        <v>258</v>
      </c>
      <c r="M667" s="13">
        <v>53782</v>
      </c>
      <c r="N667" s="13">
        <v>53782</v>
      </c>
      <c r="O667" s="13">
        <v>53782</v>
      </c>
      <c r="P667" s="24">
        <v>0</v>
      </c>
      <c r="V667">
        <v>1</v>
      </c>
      <c r="W667" t="s">
        <v>33</v>
      </c>
      <c r="Y667" t="s">
        <v>33</v>
      </c>
      <c r="Z667" t="s">
        <v>34</v>
      </c>
      <c r="AA667">
        <v>1</v>
      </c>
    </row>
    <row r="668" spans="1:27" x14ac:dyDescent="0.35">
      <c r="A668" s="13">
        <v>45930</v>
      </c>
      <c r="B668">
        <v>1</v>
      </c>
      <c r="D668" t="s">
        <v>31</v>
      </c>
      <c r="E668" t="s">
        <v>32</v>
      </c>
      <c r="F668" t="s">
        <v>32</v>
      </c>
      <c r="H668" t="s">
        <v>59</v>
      </c>
      <c r="I668" t="s">
        <v>161</v>
      </c>
      <c r="K668">
        <v>259</v>
      </c>
      <c r="M668" s="13">
        <v>53812</v>
      </c>
      <c r="N668" s="13">
        <v>53812</v>
      </c>
      <c r="O668" s="13">
        <v>53812</v>
      </c>
      <c r="P668" s="24">
        <v>0</v>
      </c>
      <c r="V668">
        <v>1</v>
      </c>
      <c r="W668" t="s">
        <v>33</v>
      </c>
      <c r="Y668" t="s">
        <v>33</v>
      </c>
      <c r="Z668" t="s">
        <v>34</v>
      </c>
      <c r="AA668">
        <v>1</v>
      </c>
    </row>
    <row r="669" spans="1:27" x14ac:dyDescent="0.35">
      <c r="A669" s="13">
        <v>45930</v>
      </c>
      <c r="B669">
        <v>1</v>
      </c>
      <c r="D669" t="s">
        <v>31</v>
      </c>
      <c r="E669" t="s">
        <v>32</v>
      </c>
      <c r="F669" t="s">
        <v>32</v>
      </c>
      <c r="H669" t="s">
        <v>59</v>
      </c>
      <c r="I669" t="s">
        <v>161</v>
      </c>
      <c r="K669">
        <v>260</v>
      </c>
      <c r="M669" s="13">
        <v>53843</v>
      </c>
      <c r="N669" s="13">
        <v>53843</v>
      </c>
      <c r="O669" s="13">
        <v>53843</v>
      </c>
      <c r="P669" s="24">
        <v>0</v>
      </c>
      <c r="V669">
        <v>1</v>
      </c>
      <c r="W669" t="s">
        <v>33</v>
      </c>
      <c r="Y669" t="s">
        <v>33</v>
      </c>
      <c r="Z669" t="s">
        <v>34</v>
      </c>
      <c r="AA669">
        <v>1</v>
      </c>
    </row>
    <row r="670" spans="1:27" x14ac:dyDescent="0.35">
      <c r="A670" s="13">
        <v>45930</v>
      </c>
      <c r="B670">
        <v>1</v>
      </c>
      <c r="D670" t="s">
        <v>31</v>
      </c>
      <c r="E670" t="s">
        <v>32</v>
      </c>
      <c r="F670" t="s">
        <v>32</v>
      </c>
      <c r="H670" t="s">
        <v>59</v>
      </c>
      <c r="I670" t="s">
        <v>161</v>
      </c>
      <c r="K670">
        <v>261</v>
      </c>
      <c r="M670" s="13">
        <v>53873</v>
      </c>
      <c r="N670" s="13">
        <v>53873</v>
      </c>
      <c r="O670" s="13">
        <v>53873</v>
      </c>
      <c r="P670" s="24">
        <v>0</v>
      </c>
      <c r="V670">
        <v>1</v>
      </c>
      <c r="W670" t="s">
        <v>33</v>
      </c>
      <c r="Y670" t="s">
        <v>33</v>
      </c>
      <c r="Z670" t="s">
        <v>34</v>
      </c>
      <c r="AA670">
        <v>1</v>
      </c>
    </row>
    <row r="671" spans="1:27" x14ac:dyDescent="0.35">
      <c r="A671" s="13">
        <v>45930</v>
      </c>
      <c r="B671">
        <v>1</v>
      </c>
      <c r="D671" t="s">
        <v>31</v>
      </c>
      <c r="E671" t="s">
        <v>32</v>
      </c>
      <c r="F671" t="s">
        <v>32</v>
      </c>
      <c r="H671" t="s">
        <v>59</v>
      </c>
      <c r="I671" t="s">
        <v>161</v>
      </c>
      <c r="K671">
        <v>262</v>
      </c>
      <c r="M671" s="13">
        <v>53904</v>
      </c>
      <c r="N671" s="13">
        <v>53904</v>
      </c>
      <c r="O671" s="13">
        <v>53904</v>
      </c>
      <c r="P671" s="24">
        <v>0</v>
      </c>
      <c r="V671">
        <v>1</v>
      </c>
      <c r="W671" t="s">
        <v>33</v>
      </c>
      <c r="Y671" t="s">
        <v>33</v>
      </c>
      <c r="Z671" t="s">
        <v>34</v>
      </c>
      <c r="AA671">
        <v>1</v>
      </c>
    </row>
    <row r="672" spans="1:27" x14ac:dyDescent="0.35">
      <c r="A672" s="13">
        <v>45930</v>
      </c>
      <c r="B672">
        <v>1</v>
      </c>
      <c r="D672" t="s">
        <v>31</v>
      </c>
      <c r="E672" t="s">
        <v>32</v>
      </c>
      <c r="F672" t="s">
        <v>32</v>
      </c>
      <c r="H672" t="s">
        <v>59</v>
      </c>
      <c r="I672" t="s">
        <v>161</v>
      </c>
      <c r="K672">
        <v>263</v>
      </c>
      <c r="M672" s="13">
        <v>53935</v>
      </c>
      <c r="N672" s="13">
        <v>53935</v>
      </c>
      <c r="O672" s="13">
        <v>53935</v>
      </c>
      <c r="P672" s="24">
        <v>0</v>
      </c>
      <c r="V672">
        <v>1</v>
      </c>
      <c r="W672" t="s">
        <v>33</v>
      </c>
      <c r="Y672" t="s">
        <v>33</v>
      </c>
      <c r="Z672" t="s">
        <v>34</v>
      </c>
      <c r="AA672">
        <v>1</v>
      </c>
    </row>
    <row r="673" spans="1:27" x14ac:dyDescent="0.35">
      <c r="A673" s="13">
        <v>45930</v>
      </c>
      <c r="B673">
        <v>1</v>
      </c>
      <c r="D673" t="s">
        <v>31</v>
      </c>
      <c r="E673" t="s">
        <v>32</v>
      </c>
      <c r="F673" t="s">
        <v>32</v>
      </c>
      <c r="H673" t="s">
        <v>59</v>
      </c>
      <c r="I673" t="s">
        <v>161</v>
      </c>
      <c r="K673">
        <v>264</v>
      </c>
      <c r="M673" s="13">
        <v>53965</v>
      </c>
      <c r="N673" s="13">
        <v>53965</v>
      </c>
      <c r="O673" s="13">
        <v>53965</v>
      </c>
      <c r="P673" s="24">
        <v>0</v>
      </c>
      <c r="V673">
        <v>1</v>
      </c>
      <c r="W673" t="s">
        <v>33</v>
      </c>
      <c r="Y673" t="s">
        <v>33</v>
      </c>
      <c r="Z673" t="s">
        <v>34</v>
      </c>
      <c r="AA673">
        <v>1</v>
      </c>
    </row>
    <row r="674" spans="1:27" x14ac:dyDescent="0.35">
      <c r="A674" s="13">
        <v>45930</v>
      </c>
      <c r="B674">
        <v>1</v>
      </c>
      <c r="D674" t="s">
        <v>31</v>
      </c>
      <c r="E674" t="s">
        <v>32</v>
      </c>
      <c r="F674" t="s">
        <v>32</v>
      </c>
      <c r="H674" t="s">
        <v>59</v>
      </c>
      <c r="I674" t="s">
        <v>161</v>
      </c>
      <c r="K674">
        <v>265</v>
      </c>
      <c r="M674" s="13">
        <v>53996</v>
      </c>
      <c r="N674" s="13">
        <v>53996</v>
      </c>
      <c r="O674" s="13">
        <v>53996</v>
      </c>
      <c r="P674" s="24">
        <v>0</v>
      </c>
      <c r="V674">
        <v>1</v>
      </c>
      <c r="W674" t="s">
        <v>33</v>
      </c>
      <c r="Y674" t="s">
        <v>33</v>
      </c>
      <c r="Z674" t="s">
        <v>34</v>
      </c>
      <c r="AA674">
        <v>1</v>
      </c>
    </row>
    <row r="675" spans="1:27" x14ac:dyDescent="0.35">
      <c r="A675" s="13">
        <v>45930</v>
      </c>
      <c r="B675">
        <v>1</v>
      </c>
      <c r="D675" t="s">
        <v>31</v>
      </c>
      <c r="E675" t="s">
        <v>32</v>
      </c>
      <c r="F675" t="s">
        <v>32</v>
      </c>
      <c r="H675" t="s">
        <v>59</v>
      </c>
      <c r="I675" t="s">
        <v>161</v>
      </c>
      <c r="K675">
        <v>266</v>
      </c>
      <c r="M675" s="13">
        <v>54026</v>
      </c>
      <c r="N675" s="13">
        <v>54026</v>
      </c>
      <c r="O675" s="13">
        <v>54026</v>
      </c>
      <c r="P675" s="24">
        <v>0</v>
      </c>
      <c r="V675">
        <v>1</v>
      </c>
      <c r="W675" t="s">
        <v>33</v>
      </c>
      <c r="Y675" t="s">
        <v>33</v>
      </c>
      <c r="Z675" t="s">
        <v>34</v>
      </c>
      <c r="AA675">
        <v>1</v>
      </c>
    </row>
    <row r="676" spans="1:27" x14ac:dyDescent="0.35">
      <c r="A676" s="13">
        <v>45930</v>
      </c>
      <c r="B676">
        <v>1</v>
      </c>
      <c r="D676" t="s">
        <v>31</v>
      </c>
      <c r="E676" t="s">
        <v>32</v>
      </c>
      <c r="F676" t="s">
        <v>32</v>
      </c>
      <c r="H676" t="s">
        <v>59</v>
      </c>
      <c r="I676" t="s">
        <v>161</v>
      </c>
      <c r="K676">
        <v>267</v>
      </c>
      <c r="M676" s="13">
        <v>54057</v>
      </c>
      <c r="N676" s="13">
        <v>54057</v>
      </c>
      <c r="O676" s="13">
        <v>54057</v>
      </c>
      <c r="P676" s="24">
        <v>0</v>
      </c>
      <c r="V676">
        <v>1</v>
      </c>
      <c r="W676" t="s">
        <v>33</v>
      </c>
      <c r="Y676" t="s">
        <v>33</v>
      </c>
      <c r="Z676" t="s">
        <v>34</v>
      </c>
      <c r="AA676">
        <v>1</v>
      </c>
    </row>
    <row r="677" spans="1:27" x14ac:dyDescent="0.35">
      <c r="A677" s="13">
        <v>45930</v>
      </c>
      <c r="B677">
        <v>1</v>
      </c>
      <c r="D677" t="s">
        <v>31</v>
      </c>
      <c r="E677" t="s">
        <v>32</v>
      </c>
      <c r="F677" t="s">
        <v>32</v>
      </c>
      <c r="H677" t="s">
        <v>59</v>
      </c>
      <c r="I677" t="s">
        <v>161</v>
      </c>
      <c r="K677">
        <v>268</v>
      </c>
      <c r="M677" s="13">
        <v>54088</v>
      </c>
      <c r="N677" s="13">
        <v>54088</v>
      </c>
      <c r="O677" s="13">
        <v>54088</v>
      </c>
      <c r="P677" s="24">
        <v>0</v>
      </c>
      <c r="V677">
        <v>1</v>
      </c>
      <c r="W677" t="s">
        <v>33</v>
      </c>
      <c r="Y677" t="s">
        <v>33</v>
      </c>
      <c r="Z677" t="s">
        <v>34</v>
      </c>
      <c r="AA677">
        <v>1</v>
      </c>
    </row>
    <row r="678" spans="1:27" x14ac:dyDescent="0.35">
      <c r="A678" s="13">
        <v>45930</v>
      </c>
      <c r="B678">
        <v>1</v>
      </c>
      <c r="D678" t="s">
        <v>31</v>
      </c>
      <c r="E678" t="s">
        <v>32</v>
      </c>
      <c r="F678" t="s">
        <v>32</v>
      </c>
      <c r="H678" t="s">
        <v>59</v>
      </c>
      <c r="I678" t="s">
        <v>161</v>
      </c>
      <c r="K678">
        <v>269</v>
      </c>
      <c r="M678" s="13">
        <v>54117</v>
      </c>
      <c r="N678" s="13">
        <v>54117</v>
      </c>
      <c r="O678" s="13">
        <v>54117</v>
      </c>
      <c r="P678" s="24">
        <v>0</v>
      </c>
      <c r="V678">
        <v>1</v>
      </c>
      <c r="W678" t="s">
        <v>33</v>
      </c>
      <c r="Y678" t="s">
        <v>33</v>
      </c>
      <c r="Z678" t="s">
        <v>34</v>
      </c>
      <c r="AA678">
        <v>1</v>
      </c>
    </row>
    <row r="679" spans="1:27" x14ac:dyDescent="0.35">
      <c r="A679" s="13">
        <v>45930</v>
      </c>
      <c r="B679">
        <v>1</v>
      </c>
      <c r="D679" t="s">
        <v>31</v>
      </c>
      <c r="E679" t="s">
        <v>32</v>
      </c>
      <c r="F679" t="s">
        <v>32</v>
      </c>
      <c r="H679" t="s">
        <v>59</v>
      </c>
      <c r="I679" t="s">
        <v>161</v>
      </c>
      <c r="K679">
        <v>270</v>
      </c>
      <c r="M679" s="13">
        <v>54148</v>
      </c>
      <c r="N679" s="13">
        <v>54148</v>
      </c>
      <c r="O679" s="13">
        <v>54148</v>
      </c>
      <c r="P679" s="24">
        <v>0</v>
      </c>
      <c r="V679">
        <v>1</v>
      </c>
      <c r="W679" t="s">
        <v>33</v>
      </c>
      <c r="Y679" t="s">
        <v>33</v>
      </c>
      <c r="Z679" t="s">
        <v>34</v>
      </c>
      <c r="AA679">
        <v>1</v>
      </c>
    </row>
    <row r="680" spans="1:27" x14ac:dyDescent="0.35">
      <c r="A680" s="13">
        <v>45930</v>
      </c>
      <c r="B680">
        <v>1</v>
      </c>
      <c r="D680" t="s">
        <v>31</v>
      </c>
      <c r="E680" t="s">
        <v>32</v>
      </c>
      <c r="F680" t="s">
        <v>32</v>
      </c>
      <c r="H680" t="s">
        <v>59</v>
      </c>
      <c r="I680" t="s">
        <v>161</v>
      </c>
      <c r="K680">
        <v>271</v>
      </c>
      <c r="M680" s="13">
        <v>54178</v>
      </c>
      <c r="N680" s="13">
        <v>54178</v>
      </c>
      <c r="O680" s="13">
        <v>54178</v>
      </c>
      <c r="P680" s="24">
        <v>0</v>
      </c>
      <c r="V680">
        <v>1</v>
      </c>
      <c r="W680" t="s">
        <v>33</v>
      </c>
      <c r="Y680" t="s">
        <v>33</v>
      </c>
      <c r="Z680" t="s">
        <v>34</v>
      </c>
      <c r="AA680">
        <v>1</v>
      </c>
    </row>
    <row r="681" spans="1:27" x14ac:dyDescent="0.35">
      <c r="A681" s="13">
        <v>45930</v>
      </c>
      <c r="B681">
        <v>1</v>
      </c>
      <c r="D681" t="s">
        <v>31</v>
      </c>
      <c r="E681" t="s">
        <v>32</v>
      </c>
      <c r="F681" t="s">
        <v>32</v>
      </c>
      <c r="H681" t="s">
        <v>59</v>
      </c>
      <c r="I681" t="s">
        <v>161</v>
      </c>
      <c r="K681">
        <v>272</v>
      </c>
      <c r="M681" s="13">
        <v>54209</v>
      </c>
      <c r="N681" s="13">
        <v>54209</v>
      </c>
      <c r="O681" s="13">
        <v>54209</v>
      </c>
      <c r="P681" s="24">
        <v>0</v>
      </c>
      <c r="V681">
        <v>1</v>
      </c>
      <c r="W681" t="s">
        <v>33</v>
      </c>
      <c r="Y681" t="s">
        <v>33</v>
      </c>
      <c r="Z681" t="s">
        <v>34</v>
      </c>
      <c r="AA681">
        <v>1</v>
      </c>
    </row>
    <row r="682" spans="1:27" x14ac:dyDescent="0.35">
      <c r="A682" s="13">
        <v>45930</v>
      </c>
      <c r="B682">
        <v>1</v>
      </c>
      <c r="D682" t="s">
        <v>31</v>
      </c>
      <c r="E682" t="s">
        <v>32</v>
      </c>
      <c r="F682" t="s">
        <v>32</v>
      </c>
      <c r="H682" t="s">
        <v>59</v>
      </c>
      <c r="I682" t="s">
        <v>161</v>
      </c>
      <c r="K682">
        <v>273</v>
      </c>
      <c r="M682" s="13">
        <v>54239</v>
      </c>
      <c r="N682" s="13">
        <v>54239</v>
      </c>
      <c r="O682" s="13">
        <v>54239</v>
      </c>
      <c r="P682" s="24">
        <v>0</v>
      </c>
      <c r="V682">
        <v>1</v>
      </c>
      <c r="W682" t="s">
        <v>33</v>
      </c>
      <c r="Y682" t="s">
        <v>33</v>
      </c>
      <c r="Z682" t="s">
        <v>34</v>
      </c>
      <c r="AA682">
        <v>1</v>
      </c>
    </row>
    <row r="683" spans="1:27" x14ac:dyDescent="0.35">
      <c r="A683" s="13">
        <v>45930</v>
      </c>
      <c r="B683">
        <v>1</v>
      </c>
      <c r="D683" t="s">
        <v>31</v>
      </c>
      <c r="E683" t="s">
        <v>32</v>
      </c>
      <c r="F683" t="s">
        <v>32</v>
      </c>
      <c r="H683" t="s">
        <v>59</v>
      </c>
      <c r="I683" t="s">
        <v>161</v>
      </c>
      <c r="K683">
        <v>274</v>
      </c>
      <c r="M683" s="13">
        <v>54270</v>
      </c>
      <c r="N683" s="13">
        <v>54270</v>
      </c>
      <c r="O683" s="13">
        <v>54270</v>
      </c>
      <c r="P683" s="24">
        <v>0</v>
      </c>
      <c r="V683">
        <v>1</v>
      </c>
      <c r="W683" t="s">
        <v>33</v>
      </c>
      <c r="Y683" t="s">
        <v>33</v>
      </c>
      <c r="Z683" t="s">
        <v>34</v>
      </c>
      <c r="AA683">
        <v>1</v>
      </c>
    </row>
    <row r="684" spans="1:27" x14ac:dyDescent="0.35">
      <c r="A684" s="13">
        <v>45930</v>
      </c>
      <c r="B684">
        <v>1</v>
      </c>
      <c r="D684" t="s">
        <v>31</v>
      </c>
      <c r="E684" t="s">
        <v>32</v>
      </c>
      <c r="F684" t="s">
        <v>32</v>
      </c>
      <c r="H684" t="s">
        <v>59</v>
      </c>
      <c r="I684" t="s">
        <v>161</v>
      </c>
      <c r="K684">
        <v>275</v>
      </c>
      <c r="M684" s="13">
        <v>54301</v>
      </c>
      <c r="N684" s="13">
        <v>54301</v>
      </c>
      <c r="O684" s="13">
        <v>54301</v>
      </c>
      <c r="P684" s="24">
        <v>0</v>
      </c>
      <c r="V684">
        <v>1</v>
      </c>
      <c r="W684" t="s">
        <v>33</v>
      </c>
      <c r="Y684" t="s">
        <v>33</v>
      </c>
      <c r="Z684" t="s">
        <v>34</v>
      </c>
      <c r="AA684">
        <v>1</v>
      </c>
    </row>
    <row r="685" spans="1:27" x14ac:dyDescent="0.35">
      <c r="A685" s="13">
        <v>45930</v>
      </c>
      <c r="B685">
        <v>1</v>
      </c>
      <c r="D685" t="s">
        <v>31</v>
      </c>
      <c r="E685" t="s">
        <v>32</v>
      </c>
      <c r="F685" t="s">
        <v>32</v>
      </c>
      <c r="H685" t="s">
        <v>59</v>
      </c>
      <c r="I685" t="s">
        <v>161</v>
      </c>
      <c r="K685">
        <v>276</v>
      </c>
      <c r="M685" s="13">
        <v>54331</v>
      </c>
      <c r="N685" s="13">
        <v>54331</v>
      </c>
      <c r="O685" s="13">
        <v>54331</v>
      </c>
      <c r="P685" s="24">
        <v>0</v>
      </c>
      <c r="V685">
        <v>1</v>
      </c>
      <c r="W685" t="s">
        <v>33</v>
      </c>
      <c r="Y685" t="s">
        <v>33</v>
      </c>
      <c r="Z685" t="s">
        <v>34</v>
      </c>
      <c r="AA685">
        <v>1</v>
      </c>
    </row>
    <row r="686" spans="1:27" x14ac:dyDescent="0.35">
      <c r="A686" s="13">
        <v>45930</v>
      </c>
      <c r="B686">
        <v>1</v>
      </c>
      <c r="D686" t="s">
        <v>31</v>
      </c>
      <c r="E686" t="s">
        <v>32</v>
      </c>
      <c r="F686" t="s">
        <v>32</v>
      </c>
      <c r="H686" t="s">
        <v>59</v>
      </c>
      <c r="I686" t="s">
        <v>161</v>
      </c>
      <c r="K686">
        <v>277</v>
      </c>
      <c r="M686" s="13">
        <v>54362</v>
      </c>
      <c r="N686" s="13">
        <v>54362</v>
      </c>
      <c r="O686" s="13">
        <v>54362</v>
      </c>
      <c r="P686" s="24">
        <v>0</v>
      </c>
      <c r="V686">
        <v>1</v>
      </c>
      <c r="W686" t="s">
        <v>33</v>
      </c>
      <c r="Y686" t="s">
        <v>33</v>
      </c>
      <c r="Z686" t="s">
        <v>34</v>
      </c>
      <c r="AA686">
        <v>1</v>
      </c>
    </row>
    <row r="687" spans="1:27" x14ac:dyDescent="0.35">
      <c r="A687" s="13">
        <v>45930</v>
      </c>
      <c r="B687">
        <v>1</v>
      </c>
      <c r="D687" t="s">
        <v>31</v>
      </c>
      <c r="E687" t="s">
        <v>32</v>
      </c>
      <c r="F687" t="s">
        <v>32</v>
      </c>
      <c r="H687" t="s">
        <v>59</v>
      </c>
      <c r="I687" t="s">
        <v>161</v>
      </c>
      <c r="K687">
        <v>278</v>
      </c>
      <c r="M687" s="13">
        <v>54392</v>
      </c>
      <c r="N687" s="13">
        <v>54392</v>
      </c>
      <c r="O687" s="13">
        <v>54392</v>
      </c>
      <c r="P687" s="24">
        <v>0</v>
      </c>
      <c r="V687">
        <v>1</v>
      </c>
      <c r="W687" t="s">
        <v>33</v>
      </c>
      <c r="Y687" t="s">
        <v>33</v>
      </c>
      <c r="Z687" t="s">
        <v>34</v>
      </c>
      <c r="AA687">
        <v>1</v>
      </c>
    </row>
    <row r="688" spans="1:27" x14ac:dyDescent="0.35">
      <c r="A688" s="13">
        <v>45930</v>
      </c>
      <c r="B688">
        <v>1</v>
      </c>
      <c r="D688" t="s">
        <v>31</v>
      </c>
      <c r="E688" t="s">
        <v>32</v>
      </c>
      <c r="F688" t="s">
        <v>32</v>
      </c>
      <c r="H688" t="s">
        <v>59</v>
      </c>
      <c r="I688" t="s">
        <v>161</v>
      </c>
      <c r="K688">
        <v>279</v>
      </c>
      <c r="M688" s="13">
        <v>54423</v>
      </c>
      <c r="N688" s="13">
        <v>54423</v>
      </c>
      <c r="O688" s="13">
        <v>54423</v>
      </c>
      <c r="P688" s="24">
        <v>0</v>
      </c>
      <c r="V688">
        <v>1</v>
      </c>
      <c r="W688" t="s">
        <v>33</v>
      </c>
      <c r="Y688" t="s">
        <v>33</v>
      </c>
      <c r="Z688" t="s">
        <v>34</v>
      </c>
      <c r="AA688">
        <v>1</v>
      </c>
    </row>
    <row r="689" spans="1:27" x14ac:dyDescent="0.35">
      <c r="A689" s="13">
        <v>45930</v>
      </c>
      <c r="B689">
        <v>1</v>
      </c>
      <c r="D689" t="s">
        <v>31</v>
      </c>
      <c r="E689" t="s">
        <v>32</v>
      </c>
      <c r="F689" t="s">
        <v>32</v>
      </c>
      <c r="H689" t="s">
        <v>59</v>
      </c>
      <c r="I689" t="s">
        <v>161</v>
      </c>
      <c r="K689">
        <v>280</v>
      </c>
      <c r="M689" s="13">
        <v>54454</v>
      </c>
      <c r="N689" s="13">
        <v>54454</v>
      </c>
      <c r="O689" s="13">
        <v>54454</v>
      </c>
      <c r="P689" s="24">
        <v>0</v>
      </c>
      <c r="V689">
        <v>1</v>
      </c>
      <c r="W689" t="s">
        <v>33</v>
      </c>
      <c r="Y689" t="s">
        <v>33</v>
      </c>
      <c r="Z689" t="s">
        <v>34</v>
      </c>
      <c r="AA689">
        <v>1</v>
      </c>
    </row>
    <row r="690" spans="1:27" x14ac:dyDescent="0.35">
      <c r="A690" s="13">
        <v>45930</v>
      </c>
      <c r="B690">
        <v>1</v>
      </c>
      <c r="D690" t="s">
        <v>31</v>
      </c>
      <c r="E690" t="s">
        <v>32</v>
      </c>
      <c r="F690" t="s">
        <v>32</v>
      </c>
      <c r="H690" t="s">
        <v>59</v>
      </c>
      <c r="I690" t="s">
        <v>161</v>
      </c>
      <c r="K690">
        <v>281</v>
      </c>
      <c r="M690" s="13">
        <v>54482</v>
      </c>
      <c r="N690" s="13">
        <v>54482</v>
      </c>
      <c r="O690" s="13">
        <v>54482</v>
      </c>
      <c r="P690" s="24">
        <v>0</v>
      </c>
      <c r="V690">
        <v>1</v>
      </c>
      <c r="W690" t="s">
        <v>33</v>
      </c>
      <c r="Y690" t="s">
        <v>33</v>
      </c>
      <c r="Z690" t="s">
        <v>34</v>
      </c>
      <c r="AA690">
        <v>1</v>
      </c>
    </row>
    <row r="691" spans="1:27" x14ac:dyDescent="0.35">
      <c r="A691" s="13">
        <v>45930</v>
      </c>
      <c r="B691">
        <v>1</v>
      </c>
      <c r="D691" t="s">
        <v>31</v>
      </c>
      <c r="E691" t="s">
        <v>32</v>
      </c>
      <c r="F691" t="s">
        <v>32</v>
      </c>
      <c r="H691" t="s">
        <v>59</v>
      </c>
      <c r="I691" t="s">
        <v>161</v>
      </c>
      <c r="K691">
        <v>282</v>
      </c>
      <c r="M691" s="13">
        <v>54513</v>
      </c>
      <c r="N691" s="13">
        <v>54513</v>
      </c>
      <c r="O691" s="13">
        <v>54513</v>
      </c>
      <c r="P691" s="24">
        <v>0</v>
      </c>
      <c r="V691">
        <v>1</v>
      </c>
      <c r="W691" t="s">
        <v>33</v>
      </c>
      <c r="Y691" t="s">
        <v>33</v>
      </c>
      <c r="Z691" t="s">
        <v>34</v>
      </c>
      <c r="AA691">
        <v>1</v>
      </c>
    </row>
    <row r="692" spans="1:27" x14ac:dyDescent="0.35">
      <c r="A692" s="13">
        <v>45930</v>
      </c>
      <c r="B692">
        <v>1</v>
      </c>
      <c r="D692" t="s">
        <v>31</v>
      </c>
      <c r="E692" t="s">
        <v>32</v>
      </c>
      <c r="F692" t="s">
        <v>32</v>
      </c>
      <c r="H692" t="s">
        <v>59</v>
      </c>
      <c r="I692" t="s">
        <v>161</v>
      </c>
      <c r="K692">
        <v>283</v>
      </c>
      <c r="M692" s="13">
        <v>54543</v>
      </c>
      <c r="N692" s="13">
        <v>54543</v>
      </c>
      <c r="O692" s="13">
        <v>54543</v>
      </c>
      <c r="P692" s="24">
        <v>0</v>
      </c>
      <c r="V692">
        <v>1</v>
      </c>
      <c r="W692" t="s">
        <v>33</v>
      </c>
      <c r="Y692" t="s">
        <v>33</v>
      </c>
      <c r="Z692" t="s">
        <v>34</v>
      </c>
      <c r="AA692">
        <v>1</v>
      </c>
    </row>
    <row r="693" spans="1:27" x14ac:dyDescent="0.35">
      <c r="A693" s="13">
        <v>45930</v>
      </c>
      <c r="B693">
        <v>1</v>
      </c>
      <c r="D693" t="s">
        <v>31</v>
      </c>
      <c r="E693" t="s">
        <v>32</v>
      </c>
      <c r="F693" t="s">
        <v>32</v>
      </c>
      <c r="H693" t="s">
        <v>59</v>
      </c>
      <c r="I693" t="s">
        <v>161</v>
      </c>
      <c r="K693">
        <v>284</v>
      </c>
      <c r="M693" s="13">
        <v>54574</v>
      </c>
      <c r="N693" s="13">
        <v>54574</v>
      </c>
      <c r="O693" s="13">
        <v>54574</v>
      </c>
      <c r="P693" s="24">
        <v>0</v>
      </c>
      <c r="V693">
        <v>1</v>
      </c>
      <c r="W693" t="s">
        <v>33</v>
      </c>
      <c r="Y693" t="s">
        <v>33</v>
      </c>
      <c r="Z693" t="s">
        <v>34</v>
      </c>
      <c r="AA693">
        <v>1</v>
      </c>
    </row>
    <row r="694" spans="1:27" x14ac:dyDescent="0.35">
      <c r="A694" s="13">
        <v>45930</v>
      </c>
      <c r="B694">
        <v>1</v>
      </c>
      <c r="D694" t="s">
        <v>31</v>
      </c>
      <c r="E694" t="s">
        <v>32</v>
      </c>
      <c r="F694" t="s">
        <v>32</v>
      </c>
      <c r="H694" t="s">
        <v>59</v>
      </c>
      <c r="I694" t="s">
        <v>161</v>
      </c>
      <c r="K694">
        <v>285</v>
      </c>
      <c r="M694" s="13">
        <v>54604</v>
      </c>
      <c r="N694" s="13">
        <v>54604</v>
      </c>
      <c r="O694" s="13">
        <v>54604</v>
      </c>
      <c r="P694" s="24">
        <v>0</v>
      </c>
      <c r="V694">
        <v>1</v>
      </c>
      <c r="W694" t="s">
        <v>33</v>
      </c>
      <c r="Y694" t="s">
        <v>33</v>
      </c>
      <c r="Z694" t="s">
        <v>34</v>
      </c>
      <c r="AA694">
        <v>1</v>
      </c>
    </row>
    <row r="695" spans="1:27" x14ac:dyDescent="0.35">
      <c r="A695" s="13">
        <v>45930</v>
      </c>
      <c r="B695">
        <v>1</v>
      </c>
      <c r="D695" t="s">
        <v>31</v>
      </c>
      <c r="E695" t="s">
        <v>32</v>
      </c>
      <c r="F695" t="s">
        <v>32</v>
      </c>
      <c r="H695" t="s">
        <v>59</v>
      </c>
      <c r="I695" t="s">
        <v>161</v>
      </c>
      <c r="K695">
        <v>286</v>
      </c>
      <c r="M695" s="13">
        <v>54635</v>
      </c>
      <c r="N695" s="13">
        <v>54635</v>
      </c>
      <c r="O695" s="13">
        <v>54635</v>
      </c>
      <c r="P695" s="24">
        <v>0</v>
      </c>
      <c r="V695">
        <v>1</v>
      </c>
      <c r="W695" t="s">
        <v>33</v>
      </c>
      <c r="Y695" t="s">
        <v>33</v>
      </c>
      <c r="Z695" t="s">
        <v>34</v>
      </c>
      <c r="AA695">
        <v>1</v>
      </c>
    </row>
    <row r="696" spans="1:27" x14ac:dyDescent="0.35">
      <c r="A696" s="13">
        <v>45930</v>
      </c>
      <c r="B696">
        <v>1</v>
      </c>
      <c r="D696" t="s">
        <v>31</v>
      </c>
      <c r="E696" t="s">
        <v>32</v>
      </c>
      <c r="F696" t="s">
        <v>32</v>
      </c>
      <c r="H696" t="s">
        <v>59</v>
      </c>
      <c r="I696" t="s">
        <v>161</v>
      </c>
      <c r="K696">
        <v>287</v>
      </c>
      <c r="M696" s="13">
        <v>54666</v>
      </c>
      <c r="N696" s="13">
        <v>54666</v>
      </c>
      <c r="O696" s="13">
        <v>54666</v>
      </c>
      <c r="P696" s="24">
        <v>0</v>
      </c>
      <c r="V696">
        <v>1</v>
      </c>
      <c r="W696" t="s">
        <v>33</v>
      </c>
      <c r="Y696" t="s">
        <v>33</v>
      </c>
      <c r="Z696" t="s">
        <v>34</v>
      </c>
      <c r="AA696">
        <v>1</v>
      </c>
    </row>
    <row r="697" spans="1:27" x14ac:dyDescent="0.35">
      <c r="A697" s="13">
        <v>45930</v>
      </c>
      <c r="B697">
        <v>1</v>
      </c>
      <c r="D697" t="s">
        <v>31</v>
      </c>
      <c r="E697" t="s">
        <v>32</v>
      </c>
      <c r="F697" t="s">
        <v>32</v>
      </c>
      <c r="H697" t="s">
        <v>59</v>
      </c>
      <c r="I697" t="s">
        <v>161</v>
      </c>
      <c r="K697">
        <v>288</v>
      </c>
      <c r="M697" s="13">
        <v>54696</v>
      </c>
      <c r="N697" s="13">
        <v>54696</v>
      </c>
      <c r="O697" s="13">
        <v>54696</v>
      </c>
      <c r="P697" s="24">
        <v>0</v>
      </c>
      <c r="V697">
        <v>1</v>
      </c>
      <c r="W697" t="s">
        <v>33</v>
      </c>
      <c r="Y697" t="s">
        <v>33</v>
      </c>
      <c r="Z697" t="s">
        <v>34</v>
      </c>
      <c r="AA697">
        <v>1</v>
      </c>
    </row>
    <row r="698" spans="1:27" x14ac:dyDescent="0.35">
      <c r="A698" s="13">
        <v>45930</v>
      </c>
      <c r="B698">
        <v>1</v>
      </c>
      <c r="D698" t="s">
        <v>31</v>
      </c>
      <c r="E698" t="s">
        <v>32</v>
      </c>
      <c r="F698" t="s">
        <v>32</v>
      </c>
      <c r="H698" t="s">
        <v>59</v>
      </c>
      <c r="I698" t="s">
        <v>161</v>
      </c>
      <c r="K698">
        <v>289</v>
      </c>
      <c r="M698" s="13">
        <v>54727</v>
      </c>
      <c r="N698" s="13">
        <v>54727</v>
      </c>
      <c r="O698" s="13">
        <v>54727</v>
      </c>
      <c r="P698" s="24">
        <v>0</v>
      </c>
      <c r="V698">
        <v>1</v>
      </c>
      <c r="W698" t="s">
        <v>33</v>
      </c>
      <c r="Y698" t="s">
        <v>33</v>
      </c>
      <c r="Z698" t="s">
        <v>34</v>
      </c>
      <c r="AA698">
        <v>1</v>
      </c>
    </row>
    <row r="699" spans="1:27" x14ac:dyDescent="0.35">
      <c r="A699" s="13">
        <v>45930</v>
      </c>
      <c r="B699">
        <v>1</v>
      </c>
      <c r="D699" t="s">
        <v>31</v>
      </c>
      <c r="E699" t="s">
        <v>32</v>
      </c>
      <c r="F699" t="s">
        <v>32</v>
      </c>
      <c r="H699" t="s">
        <v>59</v>
      </c>
      <c r="I699" t="s">
        <v>161</v>
      </c>
      <c r="K699">
        <v>290</v>
      </c>
      <c r="M699" s="13">
        <v>54757</v>
      </c>
      <c r="N699" s="13">
        <v>54757</v>
      </c>
      <c r="O699" s="13">
        <v>54757</v>
      </c>
      <c r="P699" s="24">
        <v>0</v>
      </c>
      <c r="V699">
        <v>1</v>
      </c>
      <c r="W699" t="s">
        <v>33</v>
      </c>
      <c r="Y699" t="s">
        <v>33</v>
      </c>
      <c r="Z699" t="s">
        <v>34</v>
      </c>
      <c r="AA699">
        <v>1</v>
      </c>
    </row>
    <row r="700" spans="1:27" x14ac:dyDescent="0.35">
      <c r="A700" s="13">
        <v>45930</v>
      </c>
      <c r="B700">
        <v>1</v>
      </c>
      <c r="D700" t="s">
        <v>31</v>
      </c>
      <c r="E700" t="s">
        <v>32</v>
      </c>
      <c r="F700" t="s">
        <v>32</v>
      </c>
      <c r="H700" t="s">
        <v>59</v>
      </c>
      <c r="I700" t="s">
        <v>161</v>
      </c>
      <c r="K700">
        <v>291</v>
      </c>
      <c r="M700" s="13">
        <v>54788</v>
      </c>
      <c r="N700" s="13">
        <v>54788</v>
      </c>
      <c r="O700" s="13">
        <v>54788</v>
      </c>
      <c r="P700" s="24">
        <v>0</v>
      </c>
      <c r="V700">
        <v>1</v>
      </c>
      <c r="W700" t="s">
        <v>33</v>
      </c>
      <c r="Y700" t="s">
        <v>33</v>
      </c>
      <c r="Z700" t="s">
        <v>34</v>
      </c>
      <c r="AA700">
        <v>1</v>
      </c>
    </row>
    <row r="701" spans="1:27" x14ac:dyDescent="0.35">
      <c r="A701" s="13">
        <v>45930</v>
      </c>
      <c r="B701">
        <v>1</v>
      </c>
      <c r="D701" t="s">
        <v>31</v>
      </c>
      <c r="E701" t="s">
        <v>32</v>
      </c>
      <c r="F701" t="s">
        <v>32</v>
      </c>
      <c r="H701" t="s">
        <v>59</v>
      </c>
      <c r="I701" t="s">
        <v>161</v>
      </c>
      <c r="K701">
        <v>292</v>
      </c>
      <c r="M701" s="13">
        <v>54819</v>
      </c>
      <c r="N701" s="13">
        <v>54819</v>
      </c>
      <c r="O701" s="13">
        <v>54819</v>
      </c>
      <c r="P701" s="24">
        <v>0</v>
      </c>
      <c r="V701">
        <v>1</v>
      </c>
      <c r="W701" t="s">
        <v>33</v>
      </c>
      <c r="Y701" t="s">
        <v>33</v>
      </c>
      <c r="Z701" t="s">
        <v>34</v>
      </c>
      <c r="AA701">
        <v>1</v>
      </c>
    </row>
    <row r="702" spans="1:27" x14ac:dyDescent="0.35">
      <c r="A702" s="13">
        <v>45930</v>
      </c>
      <c r="B702">
        <v>1</v>
      </c>
      <c r="D702" t="s">
        <v>31</v>
      </c>
      <c r="E702" t="s">
        <v>32</v>
      </c>
      <c r="F702" t="s">
        <v>32</v>
      </c>
      <c r="H702" t="s">
        <v>59</v>
      </c>
      <c r="I702" t="s">
        <v>161</v>
      </c>
      <c r="K702">
        <v>293</v>
      </c>
      <c r="M702" s="13">
        <v>54847</v>
      </c>
      <c r="N702" s="13">
        <v>54847</v>
      </c>
      <c r="O702" s="13">
        <v>54847</v>
      </c>
      <c r="P702" s="24">
        <v>0</v>
      </c>
      <c r="V702">
        <v>1</v>
      </c>
      <c r="W702" t="s">
        <v>33</v>
      </c>
      <c r="Y702" t="s">
        <v>33</v>
      </c>
      <c r="Z702" t="s">
        <v>34</v>
      </c>
      <c r="AA702">
        <v>1</v>
      </c>
    </row>
    <row r="703" spans="1:27" x14ac:dyDescent="0.35">
      <c r="A703" s="13">
        <v>45930</v>
      </c>
      <c r="B703">
        <v>1</v>
      </c>
      <c r="D703" t="s">
        <v>31</v>
      </c>
      <c r="E703" t="s">
        <v>32</v>
      </c>
      <c r="F703" t="s">
        <v>32</v>
      </c>
      <c r="H703" t="s">
        <v>59</v>
      </c>
      <c r="I703" t="s">
        <v>161</v>
      </c>
      <c r="K703">
        <v>294</v>
      </c>
      <c r="M703" s="13">
        <v>54878</v>
      </c>
      <c r="N703" s="13">
        <v>54878</v>
      </c>
      <c r="O703" s="13">
        <v>54878</v>
      </c>
      <c r="P703" s="24">
        <v>0</v>
      </c>
      <c r="V703">
        <v>1</v>
      </c>
      <c r="W703" t="s">
        <v>33</v>
      </c>
      <c r="Y703" t="s">
        <v>33</v>
      </c>
      <c r="Z703" t="s">
        <v>34</v>
      </c>
      <c r="AA703">
        <v>1</v>
      </c>
    </row>
    <row r="704" spans="1:27" x14ac:dyDescent="0.35">
      <c r="A704" s="13">
        <v>45930</v>
      </c>
      <c r="B704">
        <v>1</v>
      </c>
      <c r="D704" t="s">
        <v>31</v>
      </c>
      <c r="E704" t="s">
        <v>41</v>
      </c>
      <c r="F704" t="s">
        <v>41</v>
      </c>
      <c r="H704" t="s">
        <v>180</v>
      </c>
      <c r="I704" t="s">
        <v>183</v>
      </c>
      <c r="M704" s="13">
        <v>45931</v>
      </c>
      <c r="N704" s="13">
        <v>45931</v>
      </c>
      <c r="O704" s="13">
        <v>45931</v>
      </c>
      <c r="P704" s="24">
        <v>0</v>
      </c>
      <c r="V704">
        <v>1</v>
      </c>
      <c r="W704" t="s">
        <v>33</v>
      </c>
      <c r="Y704" t="s">
        <v>33</v>
      </c>
      <c r="Z704" t="s">
        <v>34</v>
      </c>
      <c r="AA704">
        <v>1</v>
      </c>
    </row>
    <row r="705" spans="1:27" x14ac:dyDescent="0.35">
      <c r="A705" s="13">
        <v>45930</v>
      </c>
      <c r="B705">
        <v>1</v>
      </c>
      <c r="D705" t="s">
        <v>31</v>
      </c>
      <c r="E705" t="s">
        <v>41</v>
      </c>
      <c r="F705" t="s">
        <v>41</v>
      </c>
      <c r="H705" t="s">
        <v>180</v>
      </c>
      <c r="I705" t="s">
        <v>182</v>
      </c>
      <c r="M705" s="13">
        <v>45931</v>
      </c>
      <c r="N705" s="13">
        <v>45931</v>
      </c>
      <c r="O705" s="13">
        <v>45931</v>
      </c>
      <c r="P705" s="24">
        <v>462770337877</v>
      </c>
      <c r="V705">
        <v>1</v>
      </c>
      <c r="W705" t="s">
        <v>33</v>
      </c>
      <c r="Y705" t="s">
        <v>33</v>
      </c>
      <c r="Z705" t="s">
        <v>34</v>
      </c>
      <c r="AA705">
        <v>1</v>
      </c>
    </row>
    <row r="706" spans="1:27" x14ac:dyDescent="0.35">
      <c r="A706" s="13">
        <v>45930</v>
      </c>
      <c r="B706">
        <v>1</v>
      </c>
      <c r="D706" t="s">
        <v>31</v>
      </c>
      <c r="E706" t="s">
        <v>41</v>
      </c>
      <c r="F706" t="s">
        <v>41</v>
      </c>
      <c r="H706" t="s">
        <v>180</v>
      </c>
      <c r="I706" t="s">
        <v>181</v>
      </c>
      <c r="K706">
        <v>1</v>
      </c>
      <c r="M706" s="13">
        <v>45961</v>
      </c>
      <c r="N706" s="13">
        <v>45961</v>
      </c>
      <c r="O706" s="13">
        <v>45961</v>
      </c>
      <c r="P706" s="24">
        <v>10423400095.45874</v>
      </c>
      <c r="V706">
        <v>1</v>
      </c>
      <c r="W706" t="s">
        <v>33</v>
      </c>
      <c r="Y706" t="s">
        <v>33</v>
      </c>
      <c r="Z706" t="s">
        <v>34</v>
      </c>
      <c r="AA706">
        <v>1</v>
      </c>
    </row>
    <row r="707" spans="1:27" x14ac:dyDescent="0.35">
      <c r="A707" s="13">
        <v>45930</v>
      </c>
      <c r="B707">
        <v>1</v>
      </c>
      <c r="D707" t="s">
        <v>31</v>
      </c>
      <c r="E707" t="s">
        <v>41</v>
      </c>
      <c r="F707" t="s">
        <v>41</v>
      </c>
      <c r="H707" t="s">
        <v>180</v>
      </c>
      <c r="I707" t="s">
        <v>181</v>
      </c>
      <c r="K707">
        <v>2</v>
      </c>
      <c r="M707" s="13">
        <v>45991</v>
      </c>
      <c r="N707" s="13">
        <v>45991</v>
      </c>
      <c r="O707" s="13">
        <v>45991</v>
      </c>
      <c r="P707" s="24">
        <v>10322781901.701904</v>
      </c>
      <c r="V707">
        <v>1</v>
      </c>
      <c r="W707" t="s">
        <v>33</v>
      </c>
      <c r="Y707" t="s">
        <v>33</v>
      </c>
      <c r="Z707" t="s">
        <v>34</v>
      </c>
      <c r="AA707">
        <v>1</v>
      </c>
    </row>
    <row r="708" spans="1:27" x14ac:dyDescent="0.35">
      <c r="A708" s="13">
        <v>45930</v>
      </c>
      <c r="B708">
        <v>1</v>
      </c>
      <c r="D708" t="s">
        <v>31</v>
      </c>
      <c r="E708" t="s">
        <v>41</v>
      </c>
      <c r="F708" t="s">
        <v>41</v>
      </c>
      <c r="H708" t="s">
        <v>180</v>
      </c>
      <c r="I708" t="s">
        <v>181</v>
      </c>
      <c r="K708">
        <v>3</v>
      </c>
      <c r="M708" s="13">
        <v>46022</v>
      </c>
      <c r="N708" s="13">
        <v>46022</v>
      </c>
      <c r="O708" s="13">
        <v>46022</v>
      </c>
      <c r="P708" s="24">
        <v>10223134986.109375</v>
      </c>
      <c r="V708">
        <v>1</v>
      </c>
      <c r="W708" t="s">
        <v>33</v>
      </c>
      <c r="Y708" t="s">
        <v>33</v>
      </c>
      <c r="Z708" t="s">
        <v>34</v>
      </c>
      <c r="AA708">
        <v>1</v>
      </c>
    </row>
    <row r="709" spans="1:27" x14ac:dyDescent="0.35">
      <c r="A709" s="13">
        <v>45930</v>
      </c>
      <c r="B709">
        <v>1</v>
      </c>
      <c r="D709" t="s">
        <v>31</v>
      </c>
      <c r="E709" t="s">
        <v>41</v>
      </c>
      <c r="F709" t="s">
        <v>41</v>
      </c>
      <c r="H709" t="s">
        <v>180</v>
      </c>
      <c r="I709" t="s">
        <v>181</v>
      </c>
      <c r="K709">
        <v>4</v>
      </c>
      <c r="M709" s="13">
        <v>46053</v>
      </c>
      <c r="N709" s="13">
        <v>46053</v>
      </c>
      <c r="O709" s="13">
        <v>46053</v>
      </c>
      <c r="P709" s="24">
        <v>10124449972.830322</v>
      </c>
      <c r="V709">
        <v>1</v>
      </c>
      <c r="W709" t="s">
        <v>33</v>
      </c>
      <c r="Y709" t="s">
        <v>33</v>
      </c>
      <c r="Z709" t="s">
        <v>34</v>
      </c>
      <c r="AA709">
        <v>1</v>
      </c>
    </row>
    <row r="710" spans="1:27" x14ac:dyDescent="0.35">
      <c r="A710" s="13">
        <v>45930</v>
      </c>
      <c r="B710">
        <v>1</v>
      </c>
      <c r="D710" t="s">
        <v>31</v>
      </c>
      <c r="E710" t="s">
        <v>41</v>
      </c>
      <c r="F710" t="s">
        <v>41</v>
      </c>
      <c r="H710" t="s">
        <v>180</v>
      </c>
      <c r="I710" t="s">
        <v>181</v>
      </c>
      <c r="K710">
        <v>5</v>
      </c>
      <c r="M710" s="13">
        <v>46081</v>
      </c>
      <c r="N710" s="13">
        <v>46081</v>
      </c>
      <c r="O710" s="13">
        <v>46081</v>
      </c>
      <c r="P710" s="24">
        <v>10026717576.518188</v>
      </c>
      <c r="V710">
        <v>1</v>
      </c>
      <c r="W710" t="s">
        <v>33</v>
      </c>
      <c r="Y710" t="s">
        <v>33</v>
      </c>
      <c r="Z710" t="s">
        <v>34</v>
      </c>
      <c r="AA710">
        <v>1</v>
      </c>
    </row>
    <row r="711" spans="1:27" x14ac:dyDescent="0.35">
      <c r="A711" s="13">
        <v>45930</v>
      </c>
      <c r="B711">
        <v>1</v>
      </c>
      <c r="D711" t="s">
        <v>31</v>
      </c>
      <c r="E711" t="s">
        <v>41</v>
      </c>
      <c r="F711" t="s">
        <v>41</v>
      </c>
      <c r="H711" t="s">
        <v>180</v>
      </c>
      <c r="I711" t="s">
        <v>181</v>
      </c>
      <c r="K711">
        <v>6</v>
      </c>
      <c r="M711" s="13">
        <v>46112</v>
      </c>
      <c r="N711" s="13">
        <v>46112</v>
      </c>
      <c r="O711" s="13">
        <v>46112</v>
      </c>
      <c r="P711" s="24">
        <v>9929928601.4598389</v>
      </c>
      <c r="V711">
        <v>1</v>
      </c>
      <c r="W711" t="s">
        <v>33</v>
      </c>
      <c r="Y711" t="s">
        <v>33</v>
      </c>
      <c r="Z711" t="s">
        <v>34</v>
      </c>
      <c r="AA711">
        <v>1</v>
      </c>
    </row>
    <row r="712" spans="1:27" x14ac:dyDescent="0.35">
      <c r="A712" s="13">
        <v>45930</v>
      </c>
      <c r="B712">
        <v>1</v>
      </c>
      <c r="D712" t="s">
        <v>31</v>
      </c>
      <c r="E712" t="s">
        <v>41</v>
      </c>
      <c r="F712" t="s">
        <v>41</v>
      </c>
      <c r="H712" t="s">
        <v>180</v>
      </c>
      <c r="I712" t="s">
        <v>181</v>
      </c>
      <c r="K712">
        <v>7</v>
      </c>
      <c r="M712" s="13">
        <v>46142</v>
      </c>
      <c r="N712" s="13">
        <v>46142</v>
      </c>
      <c r="O712" s="13">
        <v>46142</v>
      </c>
      <c r="P712" s="24">
        <v>9834073940.7095947</v>
      </c>
      <c r="V712">
        <v>1</v>
      </c>
      <c r="W712" t="s">
        <v>33</v>
      </c>
      <c r="Y712" t="s">
        <v>33</v>
      </c>
      <c r="Z712" t="s">
        <v>34</v>
      </c>
      <c r="AA712">
        <v>1</v>
      </c>
    </row>
    <row r="713" spans="1:27" x14ac:dyDescent="0.35">
      <c r="A713" s="13">
        <v>45930</v>
      </c>
      <c r="B713">
        <v>1</v>
      </c>
      <c r="D713" t="s">
        <v>31</v>
      </c>
      <c r="E713" t="s">
        <v>41</v>
      </c>
      <c r="F713" t="s">
        <v>41</v>
      </c>
      <c r="H713" t="s">
        <v>180</v>
      </c>
      <c r="I713" t="s">
        <v>181</v>
      </c>
      <c r="K713">
        <v>8</v>
      </c>
      <c r="M713" s="13">
        <v>46173</v>
      </c>
      <c r="N713" s="13">
        <v>46173</v>
      </c>
      <c r="O713" s="13">
        <v>46173</v>
      </c>
      <c r="P713" s="24">
        <v>9739144575.2315674</v>
      </c>
      <c r="V713">
        <v>1</v>
      </c>
      <c r="W713" t="s">
        <v>33</v>
      </c>
      <c r="Y713" t="s">
        <v>33</v>
      </c>
      <c r="Z713" t="s">
        <v>34</v>
      </c>
      <c r="AA713">
        <v>1</v>
      </c>
    </row>
    <row r="714" spans="1:27" x14ac:dyDescent="0.35">
      <c r="A714" s="13">
        <v>45930</v>
      </c>
      <c r="B714">
        <v>1</v>
      </c>
      <c r="D714" t="s">
        <v>31</v>
      </c>
      <c r="E714" t="s">
        <v>41</v>
      </c>
      <c r="F714" t="s">
        <v>41</v>
      </c>
      <c r="H714" t="s">
        <v>180</v>
      </c>
      <c r="I714" t="s">
        <v>181</v>
      </c>
      <c r="K714">
        <v>9</v>
      </c>
      <c r="M714" s="13">
        <v>46203</v>
      </c>
      <c r="N714" s="13">
        <v>46203</v>
      </c>
      <c r="O714" s="13">
        <v>46203</v>
      </c>
      <c r="P714" s="24">
        <v>9645131573.0513916</v>
      </c>
      <c r="V714">
        <v>1</v>
      </c>
      <c r="W714" t="s">
        <v>33</v>
      </c>
      <c r="Y714" t="s">
        <v>33</v>
      </c>
      <c r="Z714" t="s">
        <v>34</v>
      </c>
      <c r="AA714">
        <v>1</v>
      </c>
    </row>
    <row r="715" spans="1:27" x14ac:dyDescent="0.35">
      <c r="A715" s="13">
        <v>45930</v>
      </c>
      <c r="B715">
        <v>1</v>
      </c>
      <c r="D715" t="s">
        <v>31</v>
      </c>
      <c r="E715" t="s">
        <v>41</v>
      </c>
      <c r="F715" t="s">
        <v>41</v>
      </c>
      <c r="H715" t="s">
        <v>180</v>
      </c>
      <c r="I715" t="s">
        <v>181</v>
      </c>
      <c r="K715">
        <v>10</v>
      </c>
      <c r="M715" s="13">
        <v>46234</v>
      </c>
      <c r="N715" s="13">
        <v>46234</v>
      </c>
      <c r="O715" s="13">
        <v>46234</v>
      </c>
      <c r="P715" s="24">
        <v>9552026088.416748</v>
      </c>
      <c r="V715">
        <v>1</v>
      </c>
      <c r="W715" t="s">
        <v>33</v>
      </c>
      <c r="Y715" t="s">
        <v>33</v>
      </c>
      <c r="Z715" t="s">
        <v>34</v>
      </c>
      <c r="AA715">
        <v>1</v>
      </c>
    </row>
    <row r="716" spans="1:27" x14ac:dyDescent="0.35">
      <c r="A716" s="13">
        <v>45930</v>
      </c>
      <c r="B716">
        <v>1</v>
      </c>
      <c r="D716" t="s">
        <v>31</v>
      </c>
      <c r="E716" t="s">
        <v>41</v>
      </c>
      <c r="F716" t="s">
        <v>41</v>
      </c>
      <c r="H716" t="s">
        <v>180</v>
      </c>
      <c r="I716" t="s">
        <v>181</v>
      </c>
      <c r="K716">
        <v>11</v>
      </c>
      <c r="M716" s="13">
        <v>46265</v>
      </c>
      <c r="N716" s="13">
        <v>46265</v>
      </c>
      <c r="O716" s="13">
        <v>46265</v>
      </c>
      <c r="P716" s="24">
        <v>9459819360.9638672</v>
      </c>
      <c r="V716">
        <v>1</v>
      </c>
      <c r="W716" t="s">
        <v>33</v>
      </c>
      <c r="Y716" t="s">
        <v>33</v>
      </c>
      <c r="Z716" t="s">
        <v>34</v>
      </c>
      <c r="AA716">
        <v>1</v>
      </c>
    </row>
    <row r="717" spans="1:27" x14ac:dyDescent="0.35">
      <c r="A717" s="13">
        <v>45930</v>
      </c>
      <c r="B717">
        <v>1</v>
      </c>
      <c r="D717" t="s">
        <v>31</v>
      </c>
      <c r="E717" t="s">
        <v>41</v>
      </c>
      <c r="F717" t="s">
        <v>41</v>
      </c>
      <c r="H717" t="s">
        <v>180</v>
      </c>
      <c r="I717" t="s">
        <v>181</v>
      </c>
      <c r="K717">
        <v>12</v>
      </c>
      <c r="M717" s="13">
        <v>46295</v>
      </c>
      <c r="N717" s="13">
        <v>46295</v>
      </c>
      <c r="O717" s="13">
        <v>46295</v>
      </c>
      <c r="P717" s="24">
        <v>9368502714.8933105</v>
      </c>
      <c r="V717">
        <v>1</v>
      </c>
      <c r="W717" t="s">
        <v>33</v>
      </c>
      <c r="Y717" t="s">
        <v>33</v>
      </c>
      <c r="Z717" t="s">
        <v>34</v>
      </c>
      <c r="AA717">
        <v>1</v>
      </c>
    </row>
    <row r="718" spans="1:27" x14ac:dyDescent="0.35">
      <c r="A718" s="13">
        <v>45930</v>
      </c>
      <c r="B718">
        <v>1</v>
      </c>
      <c r="D718" t="s">
        <v>31</v>
      </c>
      <c r="E718" t="s">
        <v>41</v>
      </c>
      <c r="F718" t="s">
        <v>41</v>
      </c>
      <c r="H718" t="s">
        <v>180</v>
      </c>
      <c r="I718" t="s">
        <v>181</v>
      </c>
      <c r="K718">
        <v>13</v>
      </c>
      <c r="M718" s="13">
        <v>46326</v>
      </c>
      <c r="N718" s="13">
        <v>46326</v>
      </c>
      <c r="O718" s="13">
        <v>46326</v>
      </c>
      <c r="P718" s="24">
        <v>9278067558.1549072</v>
      </c>
      <c r="V718">
        <v>1</v>
      </c>
      <c r="W718" t="s">
        <v>33</v>
      </c>
      <c r="Y718" t="s">
        <v>33</v>
      </c>
      <c r="Z718" t="s">
        <v>34</v>
      </c>
      <c r="AA718">
        <v>1</v>
      </c>
    </row>
    <row r="719" spans="1:27" x14ac:dyDescent="0.35">
      <c r="A719" s="13">
        <v>45930</v>
      </c>
      <c r="B719">
        <v>1</v>
      </c>
      <c r="D719" t="s">
        <v>31</v>
      </c>
      <c r="E719" t="s">
        <v>41</v>
      </c>
      <c r="F719" t="s">
        <v>41</v>
      </c>
      <c r="H719" t="s">
        <v>180</v>
      </c>
      <c r="I719" t="s">
        <v>181</v>
      </c>
      <c r="K719">
        <v>14</v>
      </c>
      <c r="M719" s="13">
        <v>46356</v>
      </c>
      <c r="N719" s="13">
        <v>46356</v>
      </c>
      <c r="O719" s="13">
        <v>46356</v>
      </c>
      <c r="P719" s="24">
        <v>9188505381.6379395</v>
      </c>
      <c r="V719">
        <v>1</v>
      </c>
      <c r="W719" t="s">
        <v>33</v>
      </c>
      <c r="Y719" t="s">
        <v>33</v>
      </c>
      <c r="Z719" t="s">
        <v>34</v>
      </c>
      <c r="AA719">
        <v>1</v>
      </c>
    </row>
    <row r="720" spans="1:27" x14ac:dyDescent="0.35">
      <c r="A720" s="13">
        <v>45930</v>
      </c>
      <c r="B720">
        <v>1</v>
      </c>
      <c r="D720" t="s">
        <v>31</v>
      </c>
      <c r="E720" t="s">
        <v>41</v>
      </c>
      <c r="F720" t="s">
        <v>41</v>
      </c>
      <c r="H720" t="s">
        <v>180</v>
      </c>
      <c r="I720" t="s">
        <v>181</v>
      </c>
      <c r="K720">
        <v>15</v>
      </c>
      <c r="M720" s="13">
        <v>46387</v>
      </c>
      <c r="N720" s="13">
        <v>46387</v>
      </c>
      <c r="O720" s="13">
        <v>46387</v>
      </c>
      <c r="P720" s="24">
        <v>9099807758.3709717</v>
      </c>
      <c r="V720">
        <v>1</v>
      </c>
      <c r="W720" t="s">
        <v>33</v>
      </c>
      <c r="Y720" t="s">
        <v>33</v>
      </c>
      <c r="Z720" t="s">
        <v>34</v>
      </c>
      <c r="AA720">
        <v>1</v>
      </c>
    </row>
    <row r="721" spans="1:27" x14ac:dyDescent="0.35">
      <c r="A721" s="13">
        <v>45930</v>
      </c>
      <c r="B721">
        <v>1</v>
      </c>
      <c r="D721" t="s">
        <v>31</v>
      </c>
      <c r="E721" t="s">
        <v>41</v>
      </c>
      <c r="F721" t="s">
        <v>41</v>
      </c>
      <c r="H721" t="s">
        <v>180</v>
      </c>
      <c r="I721" t="s">
        <v>181</v>
      </c>
      <c r="K721">
        <v>16</v>
      </c>
      <c r="M721" s="13">
        <v>46418</v>
      </c>
      <c r="N721" s="13">
        <v>46418</v>
      </c>
      <c r="O721" s="13">
        <v>46418</v>
      </c>
      <c r="P721" s="24">
        <v>9011966342.7294922</v>
      </c>
      <c r="V721">
        <v>1</v>
      </c>
      <c r="W721" t="s">
        <v>33</v>
      </c>
      <c r="Y721" t="s">
        <v>33</v>
      </c>
      <c r="Z721" t="s">
        <v>34</v>
      </c>
      <c r="AA721">
        <v>1</v>
      </c>
    </row>
    <row r="722" spans="1:27" x14ac:dyDescent="0.35">
      <c r="A722" s="13">
        <v>45930</v>
      </c>
      <c r="B722">
        <v>1</v>
      </c>
      <c r="D722" t="s">
        <v>31</v>
      </c>
      <c r="E722" t="s">
        <v>41</v>
      </c>
      <c r="F722" t="s">
        <v>41</v>
      </c>
      <c r="H722" t="s">
        <v>180</v>
      </c>
      <c r="I722" t="s">
        <v>181</v>
      </c>
      <c r="K722">
        <v>17</v>
      </c>
      <c r="M722" s="13">
        <v>46446</v>
      </c>
      <c r="N722" s="13">
        <v>46446</v>
      </c>
      <c r="O722" s="13">
        <v>46446</v>
      </c>
      <c r="P722" s="24">
        <v>8924972869.6499023</v>
      </c>
      <c r="V722">
        <v>1</v>
      </c>
      <c r="W722" t="s">
        <v>33</v>
      </c>
      <c r="Y722" t="s">
        <v>33</v>
      </c>
      <c r="Z722" t="s">
        <v>34</v>
      </c>
      <c r="AA722">
        <v>1</v>
      </c>
    </row>
    <row r="723" spans="1:27" x14ac:dyDescent="0.35">
      <c r="A723" s="13">
        <v>45930</v>
      </c>
      <c r="B723">
        <v>1</v>
      </c>
      <c r="D723" t="s">
        <v>31</v>
      </c>
      <c r="E723" t="s">
        <v>41</v>
      </c>
      <c r="F723" t="s">
        <v>41</v>
      </c>
      <c r="H723" t="s">
        <v>180</v>
      </c>
      <c r="I723" t="s">
        <v>181</v>
      </c>
      <c r="K723">
        <v>18</v>
      </c>
      <c r="M723" s="13">
        <v>46477</v>
      </c>
      <c r="N723" s="13">
        <v>46477</v>
      </c>
      <c r="O723" s="13">
        <v>46477</v>
      </c>
      <c r="P723" s="24">
        <v>8838819153.8515625</v>
      </c>
      <c r="V723">
        <v>1</v>
      </c>
      <c r="W723" t="s">
        <v>33</v>
      </c>
      <c r="Y723" t="s">
        <v>33</v>
      </c>
      <c r="Z723" t="s">
        <v>34</v>
      </c>
      <c r="AA723">
        <v>1</v>
      </c>
    </row>
    <row r="724" spans="1:27" x14ac:dyDescent="0.35">
      <c r="A724" s="13">
        <v>45930</v>
      </c>
      <c r="B724">
        <v>1</v>
      </c>
      <c r="D724" t="s">
        <v>31</v>
      </c>
      <c r="E724" t="s">
        <v>41</v>
      </c>
      <c r="F724" t="s">
        <v>41</v>
      </c>
      <c r="H724" t="s">
        <v>180</v>
      </c>
      <c r="I724" t="s">
        <v>181</v>
      </c>
      <c r="K724">
        <v>19</v>
      </c>
      <c r="M724" s="13">
        <v>46507</v>
      </c>
      <c r="N724" s="13">
        <v>46507</v>
      </c>
      <c r="O724" s="13">
        <v>46507</v>
      </c>
      <c r="P724" s="24">
        <v>8753497089.0684814</v>
      </c>
      <c r="V724">
        <v>1</v>
      </c>
      <c r="W724" t="s">
        <v>33</v>
      </c>
      <c r="Y724" t="s">
        <v>33</v>
      </c>
      <c r="Z724" t="s">
        <v>34</v>
      </c>
      <c r="AA724">
        <v>1</v>
      </c>
    </row>
    <row r="725" spans="1:27" x14ac:dyDescent="0.35">
      <c r="A725" s="13">
        <v>45930</v>
      </c>
      <c r="B725">
        <v>1</v>
      </c>
      <c r="D725" t="s">
        <v>31</v>
      </c>
      <c r="E725" t="s">
        <v>41</v>
      </c>
      <c r="F725" t="s">
        <v>41</v>
      </c>
      <c r="H725" t="s">
        <v>180</v>
      </c>
      <c r="I725" t="s">
        <v>181</v>
      </c>
      <c r="K725">
        <v>20</v>
      </c>
      <c r="M725" s="13">
        <v>46538</v>
      </c>
      <c r="N725" s="13">
        <v>46538</v>
      </c>
      <c r="O725" s="13">
        <v>46538</v>
      </c>
      <c r="P725" s="24">
        <v>8668998647.2843018</v>
      </c>
      <c r="V725">
        <v>1</v>
      </c>
      <c r="W725" t="s">
        <v>33</v>
      </c>
      <c r="Y725" t="s">
        <v>33</v>
      </c>
      <c r="Z725" t="s">
        <v>34</v>
      </c>
      <c r="AA725">
        <v>1</v>
      </c>
    </row>
    <row r="726" spans="1:27" x14ac:dyDescent="0.35">
      <c r="A726" s="13">
        <v>45930</v>
      </c>
      <c r="B726">
        <v>1</v>
      </c>
      <c r="D726" t="s">
        <v>31</v>
      </c>
      <c r="E726" t="s">
        <v>41</v>
      </c>
      <c r="F726" t="s">
        <v>41</v>
      </c>
      <c r="H726" t="s">
        <v>180</v>
      </c>
      <c r="I726" t="s">
        <v>181</v>
      </c>
      <c r="K726">
        <v>21</v>
      </c>
      <c r="M726" s="13">
        <v>46568</v>
      </c>
      <c r="N726" s="13">
        <v>46568</v>
      </c>
      <c r="O726" s="13">
        <v>46568</v>
      </c>
      <c r="P726" s="24">
        <v>8585315877.9785156</v>
      </c>
      <c r="V726">
        <v>1</v>
      </c>
      <c r="W726" t="s">
        <v>33</v>
      </c>
      <c r="Y726" t="s">
        <v>33</v>
      </c>
      <c r="Z726" t="s">
        <v>34</v>
      </c>
      <c r="AA726">
        <v>1</v>
      </c>
    </row>
    <row r="727" spans="1:27" x14ac:dyDescent="0.35">
      <c r="A727" s="13">
        <v>45930</v>
      </c>
      <c r="B727">
        <v>1</v>
      </c>
      <c r="D727" t="s">
        <v>31</v>
      </c>
      <c r="E727" t="s">
        <v>41</v>
      </c>
      <c r="F727" t="s">
        <v>41</v>
      </c>
      <c r="H727" t="s">
        <v>180</v>
      </c>
      <c r="I727" t="s">
        <v>181</v>
      </c>
      <c r="K727">
        <v>22</v>
      </c>
      <c r="M727" s="13">
        <v>46599</v>
      </c>
      <c r="N727" s="13">
        <v>46599</v>
      </c>
      <c r="O727" s="13">
        <v>46599</v>
      </c>
      <c r="P727" s="24">
        <v>8502440907.3773193</v>
      </c>
      <c r="V727">
        <v>1</v>
      </c>
      <c r="W727" t="s">
        <v>33</v>
      </c>
      <c r="Y727" t="s">
        <v>33</v>
      </c>
      <c r="Z727" t="s">
        <v>34</v>
      </c>
      <c r="AA727">
        <v>1</v>
      </c>
    </row>
    <row r="728" spans="1:27" x14ac:dyDescent="0.35">
      <c r="A728" s="13">
        <v>45930</v>
      </c>
      <c r="B728">
        <v>1</v>
      </c>
      <c r="D728" t="s">
        <v>31</v>
      </c>
      <c r="E728" t="s">
        <v>41</v>
      </c>
      <c r="F728" t="s">
        <v>41</v>
      </c>
      <c r="H728" t="s">
        <v>180</v>
      </c>
      <c r="I728" t="s">
        <v>181</v>
      </c>
      <c r="K728">
        <v>23</v>
      </c>
      <c r="M728" s="13">
        <v>46630</v>
      </c>
      <c r="N728" s="13">
        <v>46630</v>
      </c>
      <c r="O728" s="13">
        <v>46630</v>
      </c>
      <c r="P728" s="24">
        <v>8420365937.7137451</v>
      </c>
      <c r="V728">
        <v>1</v>
      </c>
      <c r="W728" t="s">
        <v>33</v>
      </c>
      <c r="Y728" t="s">
        <v>33</v>
      </c>
      <c r="Z728" t="s">
        <v>34</v>
      </c>
      <c r="AA728">
        <v>1</v>
      </c>
    </row>
    <row r="729" spans="1:27" x14ac:dyDescent="0.35">
      <c r="A729" s="13">
        <v>45930</v>
      </c>
      <c r="B729">
        <v>1</v>
      </c>
      <c r="D729" t="s">
        <v>31</v>
      </c>
      <c r="E729" t="s">
        <v>41</v>
      </c>
      <c r="F729" t="s">
        <v>41</v>
      </c>
      <c r="H729" t="s">
        <v>180</v>
      </c>
      <c r="I729" t="s">
        <v>181</v>
      </c>
      <c r="K729">
        <v>24</v>
      </c>
      <c r="M729" s="13">
        <v>46660</v>
      </c>
      <c r="N729" s="13">
        <v>46660</v>
      </c>
      <c r="O729" s="13">
        <v>46660</v>
      </c>
      <c r="P729" s="24">
        <v>8339083246.4934082</v>
      </c>
      <c r="V729">
        <v>1</v>
      </c>
      <c r="W729" t="s">
        <v>33</v>
      </c>
      <c r="Y729" t="s">
        <v>33</v>
      </c>
      <c r="Z729" t="s">
        <v>34</v>
      </c>
      <c r="AA729">
        <v>1</v>
      </c>
    </row>
    <row r="730" spans="1:27" x14ac:dyDescent="0.35">
      <c r="A730" s="13">
        <v>45930</v>
      </c>
      <c r="B730">
        <v>1</v>
      </c>
      <c r="D730" t="s">
        <v>31</v>
      </c>
      <c r="E730" t="s">
        <v>41</v>
      </c>
      <c r="F730" t="s">
        <v>41</v>
      </c>
      <c r="H730" t="s">
        <v>180</v>
      </c>
      <c r="I730" t="s">
        <v>181</v>
      </c>
      <c r="K730">
        <v>25</v>
      </c>
      <c r="M730" s="13">
        <v>46691</v>
      </c>
      <c r="N730" s="13">
        <v>46691</v>
      </c>
      <c r="O730" s="13">
        <v>46691</v>
      </c>
      <c r="P730" s="24">
        <v>8258585185.7678223</v>
      </c>
      <c r="V730">
        <v>1</v>
      </c>
      <c r="W730" t="s">
        <v>33</v>
      </c>
      <c r="Y730" t="s">
        <v>33</v>
      </c>
      <c r="Z730" t="s">
        <v>34</v>
      </c>
      <c r="AA730">
        <v>1</v>
      </c>
    </row>
    <row r="731" spans="1:27" x14ac:dyDescent="0.35">
      <c r="A731" s="13">
        <v>45930</v>
      </c>
      <c r="B731">
        <v>1</v>
      </c>
      <c r="D731" t="s">
        <v>31</v>
      </c>
      <c r="E731" t="s">
        <v>41</v>
      </c>
      <c r="F731" t="s">
        <v>41</v>
      </c>
      <c r="H731" t="s">
        <v>180</v>
      </c>
      <c r="I731" t="s">
        <v>181</v>
      </c>
      <c r="K731">
        <v>26</v>
      </c>
      <c r="M731" s="13">
        <v>46721</v>
      </c>
      <c r="N731" s="13">
        <v>46721</v>
      </c>
      <c r="O731" s="13">
        <v>46721</v>
      </c>
      <c r="P731" s="24">
        <v>8178864181.4150391</v>
      </c>
      <c r="V731">
        <v>1</v>
      </c>
      <c r="W731" t="s">
        <v>33</v>
      </c>
      <c r="Y731" t="s">
        <v>33</v>
      </c>
      <c r="Z731" t="s">
        <v>34</v>
      </c>
      <c r="AA731">
        <v>1</v>
      </c>
    </row>
    <row r="732" spans="1:27" x14ac:dyDescent="0.35">
      <c r="A732" s="13">
        <v>45930</v>
      </c>
      <c r="B732">
        <v>1</v>
      </c>
      <c r="D732" t="s">
        <v>31</v>
      </c>
      <c r="E732" t="s">
        <v>41</v>
      </c>
      <c r="F732" t="s">
        <v>41</v>
      </c>
      <c r="H732" t="s">
        <v>180</v>
      </c>
      <c r="I732" t="s">
        <v>181</v>
      </c>
      <c r="K732">
        <v>27</v>
      </c>
      <c r="M732" s="13">
        <v>46752</v>
      </c>
      <c r="N732" s="13">
        <v>46752</v>
      </c>
      <c r="O732" s="13">
        <v>46752</v>
      </c>
      <c r="P732" s="24">
        <v>8099912732.427124</v>
      </c>
      <c r="V732">
        <v>1</v>
      </c>
      <c r="W732" t="s">
        <v>33</v>
      </c>
      <c r="Y732" t="s">
        <v>33</v>
      </c>
      <c r="Z732" t="s">
        <v>34</v>
      </c>
      <c r="AA732">
        <v>1</v>
      </c>
    </row>
    <row r="733" spans="1:27" x14ac:dyDescent="0.35">
      <c r="A733" s="13">
        <v>45930</v>
      </c>
      <c r="B733">
        <v>1</v>
      </c>
      <c r="D733" t="s">
        <v>31</v>
      </c>
      <c r="E733" t="s">
        <v>41</v>
      </c>
      <c r="F733" t="s">
        <v>41</v>
      </c>
      <c r="H733" t="s">
        <v>180</v>
      </c>
      <c r="I733" t="s">
        <v>181</v>
      </c>
      <c r="K733">
        <v>28</v>
      </c>
      <c r="M733" s="13">
        <v>46783</v>
      </c>
      <c r="N733" s="13">
        <v>46783</v>
      </c>
      <c r="O733" s="13">
        <v>46783</v>
      </c>
      <c r="P733" s="24">
        <v>8021723410.2039795</v>
      </c>
      <c r="V733">
        <v>1</v>
      </c>
      <c r="W733" t="s">
        <v>33</v>
      </c>
      <c r="Y733" t="s">
        <v>33</v>
      </c>
      <c r="Z733" t="s">
        <v>34</v>
      </c>
      <c r="AA733">
        <v>1</v>
      </c>
    </row>
    <row r="734" spans="1:27" x14ac:dyDescent="0.35">
      <c r="A734" s="13">
        <v>45930</v>
      </c>
      <c r="B734">
        <v>1</v>
      </c>
      <c r="D734" t="s">
        <v>31</v>
      </c>
      <c r="E734" t="s">
        <v>41</v>
      </c>
      <c r="F734" t="s">
        <v>41</v>
      </c>
      <c r="H734" t="s">
        <v>180</v>
      </c>
      <c r="I734" t="s">
        <v>181</v>
      </c>
      <c r="K734">
        <v>29</v>
      </c>
      <c r="M734" s="13">
        <v>46812</v>
      </c>
      <c r="N734" s="13">
        <v>46812</v>
      </c>
      <c r="O734" s="13">
        <v>46812</v>
      </c>
      <c r="P734" s="24">
        <v>7944288857.854248</v>
      </c>
      <c r="V734">
        <v>1</v>
      </c>
      <c r="W734" t="s">
        <v>33</v>
      </c>
      <c r="Y734" t="s">
        <v>33</v>
      </c>
      <c r="Z734" t="s">
        <v>34</v>
      </c>
      <c r="AA734">
        <v>1</v>
      </c>
    </row>
    <row r="735" spans="1:27" x14ac:dyDescent="0.35">
      <c r="A735" s="13">
        <v>45930</v>
      </c>
      <c r="B735">
        <v>1</v>
      </c>
      <c r="D735" t="s">
        <v>31</v>
      </c>
      <c r="E735" t="s">
        <v>41</v>
      </c>
      <c r="F735" t="s">
        <v>41</v>
      </c>
      <c r="H735" t="s">
        <v>180</v>
      </c>
      <c r="I735" t="s">
        <v>181</v>
      </c>
      <c r="K735">
        <v>30</v>
      </c>
      <c r="M735" s="13">
        <v>46843</v>
      </c>
      <c r="N735" s="13">
        <v>46843</v>
      </c>
      <c r="O735" s="13">
        <v>46843</v>
      </c>
      <c r="P735" s="24">
        <v>7867601789.5041504</v>
      </c>
      <c r="V735">
        <v>1</v>
      </c>
      <c r="W735" t="s">
        <v>33</v>
      </c>
      <c r="Y735" t="s">
        <v>33</v>
      </c>
      <c r="Z735" t="s">
        <v>34</v>
      </c>
      <c r="AA735">
        <v>1</v>
      </c>
    </row>
    <row r="736" spans="1:27" x14ac:dyDescent="0.35">
      <c r="A736" s="13">
        <v>45930</v>
      </c>
      <c r="B736">
        <v>1</v>
      </c>
      <c r="D736" t="s">
        <v>31</v>
      </c>
      <c r="E736" t="s">
        <v>41</v>
      </c>
      <c r="F736" t="s">
        <v>41</v>
      </c>
      <c r="H736" t="s">
        <v>180</v>
      </c>
      <c r="I736" t="s">
        <v>181</v>
      </c>
      <c r="K736">
        <v>31</v>
      </c>
      <c r="M736" s="13">
        <v>46873</v>
      </c>
      <c r="N736" s="13">
        <v>46873</v>
      </c>
      <c r="O736" s="13">
        <v>46873</v>
      </c>
      <c r="P736" s="24">
        <v>7791654989.6107178</v>
      </c>
      <c r="V736">
        <v>1</v>
      </c>
      <c r="W736" t="s">
        <v>33</v>
      </c>
      <c r="Y736" t="s">
        <v>33</v>
      </c>
      <c r="Z736" t="s">
        <v>34</v>
      </c>
      <c r="AA736">
        <v>1</v>
      </c>
    </row>
    <row r="737" spans="1:27" x14ac:dyDescent="0.35">
      <c r="A737" s="13">
        <v>45930</v>
      </c>
      <c r="B737">
        <v>1</v>
      </c>
      <c r="D737" t="s">
        <v>31</v>
      </c>
      <c r="E737" t="s">
        <v>41</v>
      </c>
      <c r="F737" t="s">
        <v>41</v>
      </c>
      <c r="H737" t="s">
        <v>180</v>
      </c>
      <c r="I737" t="s">
        <v>181</v>
      </c>
      <c r="K737">
        <v>32</v>
      </c>
      <c r="M737" s="13">
        <v>46904</v>
      </c>
      <c r="N737" s="13">
        <v>46904</v>
      </c>
      <c r="O737" s="13">
        <v>46904</v>
      </c>
      <c r="P737" s="24">
        <v>7716441312.2834473</v>
      </c>
      <c r="V737">
        <v>1</v>
      </c>
      <c r="W737" t="s">
        <v>33</v>
      </c>
      <c r="Y737" t="s">
        <v>33</v>
      </c>
      <c r="Z737" t="s">
        <v>34</v>
      </c>
      <c r="AA737">
        <v>1</v>
      </c>
    </row>
    <row r="738" spans="1:27" x14ac:dyDescent="0.35">
      <c r="A738" s="13">
        <v>45930</v>
      </c>
      <c r="B738">
        <v>1</v>
      </c>
      <c r="D738" t="s">
        <v>31</v>
      </c>
      <c r="E738" t="s">
        <v>41</v>
      </c>
      <c r="F738" t="s">
        <v>41</v>
      </c>
      <c r="H738" t="s">
        <v>180</v>
      </c>
      <c r="I738" t="s">
        <v>181</v>
      </c>
      <c r="K738">
        <v>33</v>
      </c>
      <c r="M738" s="13">
        <v>46934</v>
      </c>
      <c r="N738" s="13">
        <v>46934</v>
      </c>
      <c r="O738" s="13">
        <v>46934</v>
      </c>
      <c r="P738" s="24">
        <v>7641953680.6120605</v>
      </c>
      <c r="V738">
        <v>1</v>
      </c>
      <c r="W738" t="s">
        <v>33</v>
      </c>
      <c r="Y738" t="s">
        <v>33</v>
      </c>
      <c r="Z738" t="s">
        <v>34</v>
      </c>
      <c r="AA738">
        <v>1</v>
      </c>
    </row>
    <row r="739" spans="1:27" x14ac:dyDescent="0.35">
      <c r="A739" s="13">
        <v>45930</v>
      </c>
      <c r="B739">
        <v>1</v>
      </c>
      <c r="D739" t="s">
        <v>31</v>
      </c>
      <c r="E739" t="s">
        <v>41</v>
      </c>
      <c r="F739" t="s">
        <v>41</v>
      </c>
      <c r="H739" t="s">
        <v>180</v>
      </c>
      <c r="I739" t="s">
        <v>181</v>
      </c>
      <c r="K739">
        <v>34</v>
      </c>
      <c r="M739" s="13">
        <v>46965</v>
      </c>
      <c r="N739" s="13">
        <v>46965</v>
      </c>
      <c r="O739" s="13">
        <v>46965</v>
      </c>
      <c r="P739" s="24">
        <v>7568185086.0003662</v>
      </c>
      <c r="V739">
        <v>1</v>
      </c>
      <c r="W739" t="s">
        <v>33</v>
      </c>
      <c r="Y739" t="s">
        <v>33</v>
      </c>
      <c r="Z739" t="s">
        <v>34</v>
      </c>
      <c r="AA739">
        <v>1</v>
      </c>
    </row>
    <row r="740" spans="1:27" x14ac:dyDescent="0.35">
      <c r="A740" s="13">
        <v>45930</v>
      </c>
      <c r="B740">
        <v>1</v>
      </c>
      <c r="D740" t="s">
        <v>31</v>
      </c>
      <c r="E740" t="s">
        <v>41</v>
      </c>
      <c r="F740" t="s">
        <v>41</v>
      </c>
      <c r="H740" t="s">
        <v>180</v>
      </c>
      <c r="I740" t="s">
        <v>181</v>
      </c>
      <c r="K740">
        <v>35</v>
      </c>
      <c r="M740" s="13">
        <v>46996</v>
      </c>
      <c r="N740" s="13">
        <v>46996</v>
      </c>
      <c r="O740" s="13">
        <v>46996</v>
      </c>
      <c r="P740" s="24">
        <v>7495128587.506958</v>
      </c>
      <c r="V740">
        <v>1</v>
      </c>
      <c r="W740" t="s">
        <v>33</v>
      </c>
      <c r="Y740" t="s">
        <v>33</v>
      </c>
      <c r="Z740" t="s">
        <v>34</v>
      </c>
      <c r="AA740">
        <v>1</v>
      </c>
    </row>
    <row r="741" spans="1:27" x14ac:dyDescent="0.35">
      <c r="A741" s="13">
        <v>45930</v>
      </c>
      <c r="B741">
        <v>1</v>
      </c>
      <c r="D741" t="s">
        <v>31</v>
      </c>
      <c r="E741" t="s">
        <v>41</v>
      </c>
      <c r="F741" t="s">
        <v>41</v>
      </c>
      <c r="H741" t="s">
        <v>180</v>
      </c>
      <c r="I741" t="s">
        <v>181</v>
      </c>
      <c r="K741">
        <v>36</v>
      </c>
      <c r="M741" s="13">
        <v>47026</v>
      </c>
      <c r="N741" s="13">
        <v>47026</v>
      </c>
      <c r="O741" s="13">
        <v>47026</v>
      </c>
      <c r="P741" s="24">
        <v>7422777311.1915283</v>
      </c>
      <c r="V741">
        <v>1</v>
      </c>
      <c r="W741" t="s">
        <v>33</v>
      </c>
      <c r="Y741" t="s">
        <v>33</v>
      </c>
      <c r="Z741" t="s">
        <v>34</v>
      </c>
      <c r="AA741">
        <v>1</v>
      </c>
    </row>
    <row r="742" spans="1:27" x14ac:dyDescent="0.35">
      <c r="A742" s="13">
        <v>45930</v>
      </c>
      <c r="B742">
        <v>1</v>
      </c>
      <c r="D742" t="s">
        <v>31</v>
      </c>
      <c r="E742" t="s">
        <v>41</v>
      </c>
      <c r="F742" t="s">
        <v>41</v>
      </c>
      <c r="H742" t="s">
        <v>180</v>
      </c>
      <c r="I742" t="s">
        <v>181</v>
      </c>
      <c r="K742">
        <v>37</v>
      </c>
      <c r="M742" s="13">
        <v>47057</v>
      </c>
      <c r="N742" s="13">
        <v>47057</v>
      </c>
      <c r="O742" s="13">
        <v>47057</v>
      </c>
      <c r="P742" s="24">
        <v>7351124449.4696045</v>
      </c>
      <c r="V742">
        <v>1</v>
      </c>
      <c r="W742" t="s">
        <v>33</v>
      </c>
      <c r="Y742" t="s">
        <v>33</v>
      </c>
      <c r="Z742" t="s">
        <v>34</v>
      </c>
      <c r="AA742">
        <v>1</v>
      </c>
    </row>
    <row r="743" spans="1:27" x14ac:dyDescent="0.35">
      <c r="A743" s="13">
        <v>45930</v>
      </c>
      <c r="B743">
        <v>1</v>
      </c>
      <c r="D743" t="s">
        <v>31</v>
      </c>
      <c r="E743" t="s">
        <v>41</v>
      </c>
      <c r="F743" t="s">
        <v>41</v>
      </c>
      <c r="H743" t="s">
        <v>180</v>
      </c>
      <c r="I743" t="s">
        <v>181</v>
      </c>
      <c r="K743">
        <v>38</v>
      </c>
      <c r="M743" s="13">
        <v>47087</v>
      </c>
      <c r="N743" s="13">
        <v>47087</v>
      </c>
      <c r="O743" s="13">
        <v>47087</v>
      </c>
      <c r="P743" s="24">
        <v>7280163260.470459</v>
      </c>
      <c r="V743">
        <v>1</v>
      </c>
      <c r="W743" t="s">
        <v>33</v>
      </c>
      <c r="Y743" t="s">
        <v>33</v>
      </c>
      <c r="Z743" t="s">
        <v>34</v>
      </c>
      <c r="AA743">
        <v>1</v>
      </c>
    </row>
    <row r="744" spans="1:27" x14ac:dyDescent="0.35">
      <c r="A744" s="13">
        <v>45930</v>
      </c>
      <c r="B744">
        <v>1</v>
      </c>
      <c r="D744" t="s">
        <v>31</v>
      </c>
      <c r="E744" t="s">
        <v>41</v>
      </c>
      <c r="F744" t="s">
        <v>41</v>
      </c>
      <c r="H744" t="s">
        <v>180</v>
      </c>
      <c r="I744" t="s">
        <v>181</v>
      </c>
      <c r="K744">
        <v>39</v>
      </c>
      <c r="M744" s="13">
        <v>47118</v>
      </c>
      <c r="N744" s="13">
        <v>47118</v>
      </c>
      <c r="O744" s="13">
        <v>47118</v>
      </c>
      <c r="P744" s="24">
        <v>7209887067.4031982</v>
      </c>
      <c r="V744">
        <v>1</v>
      </c>
      <c r="W744" t="s">
        <v>33</v>
      </c>
      <c r="Y744" t="s">
        <v>33</v>
      </c>
      <c r="Z744" t="s">
        <v>34</v>
      </c>
      <c r="AA744">
        <v>1</v>
      </c>
    </row>
    <row r="745" spans="1:27" x14ac:dyDescent="0.35">
      <c r="A745" s="13">
        <v>45930</v>
      </c>
      <c r="B745">
        <v>1</v>
      </c>
      <c r="D745" t="s">
        <v>31</v>
      </c>
      <c r="E745" t="s">
        <v>41</v>
      </c>
      <c r="F745" t="s">
        <v>41</v>
      </c>
      <c r="H745" t="s">
        <v>180</v>
      </c>
      <c r="I745" t="s">
        <v>181</v>
      </c>
      <c r="K745">
        <v>40</v>
      </c>
      <c r="M745" s="13">
        <v>47149</v>
      </c>
      <c r="N745" s="13">
        <v>47149</v>
      </c>
      <c r="O745" s="13">
        <v>47149</v>
      </c>
      <c r="P745" s="24">
        <v>7140289257.9294434</v>
      </c>
      <c r="V745">
        <v>1</v>
      </c>
      <c r="W745" t="s">
        <v>33</v>
      </c>
      <c r="Y745" t="s">
        <v>33</v>
      </c>
      <c r="Z745" t="s">
        <v>34</v>
      </c>
      <c r="AA745">
        <v>1</v>
      </c>
    </row>
    <row r="746" spans="1:27" x14ac:dyDescent="0.35">
      <c r="A746" s="13">
        <v>45930</v>
      </c>
      <c r="B746">
        <v>1</v>
      </c>
      <c r="D746" t="s">
        <v>31</v>
      </c>
      <c r="E746" t="s">
        <v>41</v>
      </c>
      <c r="F746" t="s">
        <v>41</v>
      </c>
      <c r="H746" t="s">
        <v>180</v>
      </c>
      <c r="I746" t="s">
        <v>181</v>
      </c>
      <c r="K746">
        <v>41</v>
      </c>
      <c r="M746" s="13">
        <v>47177</v>
      </c>
      <c r="N746" s="13">
        <v>47177</v>
      </c>
      <c r="O746" s="13">
        <v>47177</v>
      </c>
      <c r="P746" s="24">
        <v>7071363283.5394287</v>
      </c>
      <c r="V746">
        <v>1</v>
      </c>
      <c r="W746" t="s">
        <v>33</v>
      </c>
      <c r="Y746" t="s">
        <v>33</v>
      </c>
      <c r="Z746" t="s">
        <v>34</v>
      </c>
      <c r="AA746">
        <v>1</v>
      </c>
    </row>
    <row r="747" spans="1:27" x14ac:dyDescent="0.35">
      <c r="A747" s="13">
        <v>45930</v>
      </c>
      <c r="B747">
        <v>1</v>
      </c>
      <c r="D747" t="s">
        <v>31</v>
      </c>
      <c r="E747" t="s">
        <v>41</v>
      </c>
      <c r="F747" t="s">
        <v>41</v>
      </c>
      <c r="H747" t="s">
        <v>180</v>
      </c>
      <c r="I747" t="s">
        <v>181</v>
      </c>
      <c r="K747">
        <v>42</v>
      </c>
      <c r="M747" s="13">
        <v>47208</v>
      </c>
      <c r="N747" s="13">
        <v>47208</v>
      </c>
      <c r="O747" s="13">
        <v>47208</v>
      </c>
      <c r="P747" s="24">
        <v>7003102658.9377441</v>
      </c>
      <c r="V747">
        <v>1</v>
      </c>
      <c r="W747" t="s">
        <v>33</v>
      </c>
      <c r="Y747" t="s">
        <v>33</v>
      </c>
      <c r="Z747" t="s">
        <v>34</v>
      </c>
      <c r="AA747">
        <v>1</v>
      </c>
    </row>
    <row r="748" spans="1:27" x14ac:dyDescent="0.35">
      <c r="A748" s="13">
        <v>45930</v>
      </c>
      <c r="B748">
        <v>1</v>
      </c>
      <c r="D748" t="s">
        <v>31</v>
      </c>
      <c r="E748" t="s">
        <v>41</v>
      </c>
      <c r="F748" t="s">
        <v>41</v>
      </c>
      <c r="H748" t="s">
        <v>180</v>
      </c>
      <c r="I748" t="s">
        <v>181</v>
      </c>
      <c r="K748">
        <v>43</v>
      </c>
      <c r="M748" s="13">
        <v>47238</v>
      </c>
      <c r="N748" s="13">
        <v>47238</v>
      </c>
      <c r="O748" s="13">
        <v>47238</v>
      </c>
      <c r="P748" s="24">
        <v>6935500961.4318848</v>
      </c>
      <c r="V748">
        <v>1</v>
      </c>
      <c r="W748" t="s">
        <v>33</v>
      </c>
      <c r="Y748" t="s">
        <v>33</v>
      </c>
      <c r="Z748" t="s">
        <v>34</v>
      </c>
      <c r="AA748">
        <v>1</v>
      </c>
    </row>
    <row r="749" spans="1:27" x14ac:dyDescent="0.35">
      <c r="A749" s="13">
        <v>45930</v>
      </c>
      <c r="B749">
        <v>1</v>
      </c>
      <c r="D749" t="s">
        <v>31</v>
      </c>
      <c r="E749" t="s">
        <v>41</v>
      </c>
      <c r="F749" t="s">
        <v>41</v>
      </c>
      <c r="H749" t="s">
        <v>180</v>
      </c>
      <c r="I749" t="s">
        <v>181</v>
      </c>
      <c r="K749">
        <v>44</v>
      </c>
      <c r="M749" s="13">
        <v>47269</v>
      </c>
      <c r="N749" s="13">
        <v>47269</v>
      </c>
      <c r="O749" s="13">
        <v>47269</v>
      </c>
      <c r="P749" s="24">
        <v>6868551830.3280029</v>
      </c>
      <c r="V749">
        <v>1</v>
      </c>
      <c r="W749" t="s">
        <v>33</v>
      </c>
      <c r="Y749" t="s">
        <v>33</v>
      </c>
      <c r="Z749" t="s">
        <v>34</v>
      </c>
      <c r="AA749">
        <v>1</v>
      </c>
    </row>
    <row r="750" spans="1:27" x14ac:dyDescent="0.35">
      <c r="A750" s="13">
        <v>45930</v>
      </c>
      <c r="B750">
        <v>1</v>
      </c>
      <c r="D750" t="s">
        <v>31</v>
      </c>
      <c r="E750" t="s">
        <v>41</v>
      </c>
      <c r="F750" t="s">
        <v>41</v>
      </c>
      <c r="H750" t="s">
        <v>180</v>
      </c>
      <c r="I750" t="s">
        <v>181</v>
      </c>
      <c r="K750">
        <v>45</v>
      </c>
      <c r="M750" s="13">
        <v>47299</v>
      </c>
      <c r="N750" s="13">
        <v>47299</v>
      </c>
      <c r="O750" s="13">
        <v>47299</v>
      </c>
      <c r="P750" s="24">
        <v>6802248966.3328857</v>
      </c>
      <c r="V750">
        <v>1</v>
      </c>
      <c r="W750" t="s">
        <v>33</v>
      </c>
      <c r="Y750" t="s">
        <v>33</v>
      </c>
      <c r="Z750" t="s">
        <v>34</v>
      </c>
      <c r="AA750">
        <v>1</v>
      </c>
    </row>
    <row r="751" spans="1:27" x14ac:dyDescent="0.35">
      <c r="A751" s="13">
        <v>45930</v>
      </c>
      <c r="B751">
        <v>1</v>
      </c>
      <c r="D751" t="s">
        <v>31</v>
      </c>
      <c r="E751" t="s">
        <v>41</v>
      </c>
      <c r="F751" t="s">
        <v>41</v>
      </c>
      <c r="H751" t="s">
        <v>180</v>
      </c>
      <c r="I751" t="s">
        <v>181</v>
      </c>
      <c r="K751">
        <v>46</v>
      </c>
      <c r="M751" s="13">
        <v>47330</v>
      </c>
      <c r="N751" s="13">
        <v>47330</v>
      </c>
      <c r="O751" s="13">
        <v>47330</v>
      </c>
      <c r="P751" s="24">
        <v>6736586130.9616699</v>
      </c>
      <c r="V751">
        <v>1</v>
      </c>
      <c r="W751" t="s">
        <v>33</v>
      </c>
      <c r="Y751" t="s">
        <v>33</v>
      </c>
      <c r="Z751" t="s">
        <v>34</v>
      </c>
      <c r="AA751">
        <v>1</v>
      </c>
    </row>
    <row r="752" spans="1:27" x14ac:dyDescent="0.35">
      <c r="A752" s="13">
        <v>45930</v>
      </c>
      <c r="B752">
        <v>1</v>
      </c>
      <c r="D752" t="s">
        <v>31</v>
      </c>
      <c r="E752" t="s">
        <v>41</v>
      </c>
      <c r="F752" t="s">
        <v>41</v>
      </c>
      <c r="H752" t="s">
        <v>180</v>
      </c>
      <c r="I752" t="s">
        <v>181</v>
      </c>
      <c r="K752">
        <v>47</v>
      </c>
      <c r="M752" s="13">
        <v>47361</v>
      </c>
      <c r="N752" s="13">
        <v>47361</v>
      </c>
      <c r="O752" s="13">
        <v>47361</v>
      </c>
      <c r="P752" s="24">
        <v>6671557145.9493408</v>
      </c>
      <c r="V752">
        <v>1</v>
      </c>
      <c r="W752" t="s">
        <v>33</v>
      </c>
      <c r="Y752" t="s">
        <v>33</v>
      </c>
      <c r="Z752" t="s">
        <v>34</v>
      </c>
      <c r="AA752">
        <v>1</v>
      </c>
    </row>
    <row r="753" spans="1:27" x14ac:dyDescent="0.35">
      <c r="A753" s="13">
        <v>45930</v>
      </c>
      <c r="B753">
        <v>1</v>
      </c>
      <c r="D753" t="s">
        <v>31</v>
      </c>
      <c r="E753" t="s">
        <v>41</v>
      </c>
      <c r="F753" t="s">
        <v>41</v>
      </c>
      <c r="H753" t="s">
        <v>180</v>
      </c>
      <c r="I753" t="s">
        <v>181</v>
      </c>
      <c r="K753">
        <v>48</v>
      </c>
      <c r="M753" s="13">
        <v>47391</v>
      </c>
      <c r="N753" s="13">
        <v>47391</v>
      </c>
      <c r="O753" s="13">
        <v>47391</v>
      </c>
      <c r="P753" s="24">
        <v>6607155892.6707764</v>
      </c>
      <c r="V753">
        <v>1</v>
      </c>
      <c r="W753" t="s">
        <v>33</v>
      </c>
      <c r="Y753" t="s">
        <v>33</v>
      </c>
      <c r="Z753" t="s">
        <v>34</v>
      </c>
      <c r="AA753">
        <v>1</v>
      </c>
    </row>
    <row r="754" spans="1:27" x14ac:dyDescent="0.35">
      <c r="A754" s="13">
        <v>45930</v>
      </c>
      <c r="B754">
        <v>1</v>
      </c>
      <c r="D754" t="s">
        <v>31</v>
      </c>
      <c r="E754" t="s">
        <v>41</v>
      </c>
      <c r="F754" t="s">
        <v>41</v>
      </c>
      <c r="H754" t="s">
        <v>180</v>
      </c>
      <c r="I754" t="s">
        <v>181</v>
      </c>
      <c r="K754">
        <v>49</v>
      </c>
      <c r="M754" s="13">
        <v>47422</v>
      </c>
      <c r="N754" s="13">
        <v>47422</v>
      </c>
      <c r="O754" s="13">
        <v>47422</v>
      </c>
      <c r="P754" s="24">
        <v>6543376311.5643311</v>
      </c>
      <c r="V754">
        <v>1</v>
      </c>
      <c r="W754" t="s">
        <v>33</v>
      </c>
      <c r="Y754" t="s">
        <v>33</v>
      </c>
      <c r="Z754" t="s">
        <v>34</v>
      </c>
      <c r="AA754">
        <v>1</v>
      </c>
    </row>
    <row r="755" spans="1:27" x14ac:dyDescent="0.35">
      <c r="A755" s="13">
        <v>45930</v>
      </c>
      <c r="B755">
        <v>1</v>
      </c>
      <c r="D755" t="s">
        <v>31</v>
      </c>
      <c r="E755" t="s">
        <v>41</v>
      </c>
      <c r="F755" t="s">
        <v>41</v>
      </c>
      <c r="H755" t="s">
        <v>180</v>
      </c>
      <c r="I755" t="s">
        <v>181</v>
      </c>
      <c r="K755">
        <v>50</v>
      </c>
      <c r="M755" s="13">
        <v>47452</v>
      </c>
      <c r="N755" s="13">
        <v>47452</v>
      </c>
      <c r="O755" s="13">
        <v>47452</v>
      </c>
      <c r="P755" s="24">
        <v>6480212401.5627441</v>
      </c>
      <c r="V755">
        <v>1</v>
      </c>
      <c r="W755" t="s">
        <v>33</v>
      </c>
      <c r="Y755" t="s">
        <v>33</v>
      </c>
      <c r="Z755" t="s">
        <v>34</v>
      </c>
      <c r="AA755">
        <v>1</v>
      </c>
    </row>
    <row r="756" spans="1:27" x14ac:dyDescent="0.35">
      <c r="A756" s="13">
        <v>45930</v>
      </c>
      <c r="B756">
        <v>1</v>
      </c>
      <c r="D756" t="s">
        <v>31</v>
      </c>
      <c r="E756" t="s">
        <v>41</v>
      </c>
      <c r="F756" t="s">
        <v>41</v>
      </c>
      <c r="H756" t="s">
        <v>180</v>
      </c>
      <c r="I756" t="s">
        <v>181</v>
      </c>
      <c r="K756">
        <v>51</v>
      </c>
      <c r="M756" s="13">
        <v>47483</v>
      </c>
      <c r="N756" s="13">
        <v>47483</v>
      </c>
      <c r="O756" s="13">
        <v>47483</v>
      </c>
      <c r="P756" s="24">
        <v>6417658219.5264893</v>
      </c>
      <c r="V756">
        <v>1</v>
      </c>
      <c r="W756" t="s">
        <v>33</v>
      </c>
      <c r="Y756" t="s">
        <v>33</v>
      </c>
      <c r="Z756" t="s">
        <v>34</v>
      </c>
      <c r="AA756">
        <v>1</v>
      </c>
    </row>
    <row r="757" spans="1:27" x14ac:dyDescent="0.35">
      <c r="A757" s="13">
        <v>45930</v>
      </c>
      <c r="B757">
        <v>1</v>
      </c>
      <c r="D757" t="s">
        <v>31</v>
      </c>
      <c r="E757" t="s">
        <v>41</v>
      </c>
      <c r="F757" t="s">
        <v>41</v>
      </c>
      <c r="H757" t="s">
        <v>180</v>
      </c>
      <c r="I757" t="s">
        <v>181</v>
      </c>
      <c r="K757">
        <v>52</v>
      </c>
      <c r="M757" s="13">
        <v>47514</v>
      </c>
      <c r="N757" s="13">
        <v>47514</v>
      </c>
      <c r="O757" s="13">
        <v>47514</v>
      </c>
      <c r="P757" s="24">
        <v>6355707879.6870117</v>
      </c>
      <c r="V757">
        <v>1</v>
      </c>
      <c r="W757" t="s">
        <v>33</v>
      </c>
      <c r="Y757" t="s">
        <v>33</v>
      </c>
      <c r="Z757" t="s">
        <v>34</v>
      </c>
      <c r="AA757">
        <v>1</v>
      </c>
    </row>
    <row r="758" spans="1:27" x14ac:dyDescent="0.35">
      <c r="A758" s="13">
        <v>45930</v>
      </c>
      <c r="B758">
        <v>1</v>
      </c>
      <c r="D758" t="s">
        <v>31</v>
      </c>
      <c r="E758" t="s">
        <v>41</v>
      </c>
      <c r="F758" t="s">
        <v>41</v>
      </c>
      <c r="H758" t="s">
        <v>180</v>
      </c>
      <c r="I758" t="s">
        <v>181</v>
      </c>
      <c r="K758">
        <v>53</v>
      </c>
      <c r="M758" s="13">
        <v>47542</v>
      </c>
      <c r="N758" s="13">
        <v>47542</v>
      </c>
      <c r="O758" s="13">
        <v>47542</v>
      </c>
      <c r="P758" s="24">
        <v>6294355553.0904541</v>
      </c>
      <c r="V758">
        <v>1</v>
      </c>
      <c r="W758" t="s">
        <v>33</v>
      </c>
      <c r="Y758" t="s">
        <v>33</v>
      </c>
      <c r="Z758" t="s">
        <v>34</v>
      </c>
      <c r="AA758">
        <v>1</v>
      </c>
    </row>
    <row r="759" spans="1:27" x14ac:dyDescent="0.35">
      <c r="A759" s="13">
        <v>45930</v>
      </c>
      <c r="B759">
        <v>1</v>
      </c>
      <c r="D759" t="s">
        <v>31</v>
      </c>
      <c r="E759" t="s">
        <v>41</v>
      </c>
      <c r="F759" t="s">
        <v>41</v>
      </c>
      <c r="H759" t="s">
        <v>180</v>
      </c>
      <c r="I759" t="s">
        <v>181</v>
      </c>
      <c r="K759">
        <v>54</v>
      </c>
      <c r="M759" s="13">
        <v>47573</v>
      </c>
      <c r="N759" s="13">
        <v>47573</v>
      </c>
      <c r="O759" s="13">
        <v>47573</v>
      </c>
      <c r="P759" s="24">
        <v>6233595467.0518799</v>
      </c>
      <c r="V759">
        <v>1</v>
      </c>
      <c r="W759" t="s">
        <v>33</v>
      </c>
      <c r="Y759" t="s">
        <v>33</v>
      </c>
      <c r="Z759" t="s">
        <v>34</v>
      </c>
      <c r="AA759">
        <v>1</v>
      </c>
    </row>
    <row r="760" spans="1:27" x14ac:dyDescent="0.35">
      <c r="A760" s="13">
        <v>45930</v>
      </c>
      <c r="B760">
        <v>1</v>
      </c>
      <c r="D760" t="s">
        <v>31</v>
      </c>
      <c r="E760" t="s">
        <v>41</v>
      </c>
      <c r="F760" t="s">
        <v>41</v>
      </c>
      <c r="H760" t="s">
        <v>180</v>
      </c>
      <c r="I760" t="s">
        <v>181</v>
      </c>
      <c r="K760">
        <v>55</v>
      </c>
      <c r="M760" s="13">
        <v>47603</v>
      </c>
      <c r="N760" s="13">
        <v>47603</v>
      </c>
      <c r="O760" s="13">
        <v>47603</v>
      </c>
      <c r="P760" s="24">
        <v>6173421904.6092529</v>
      </c>
      <c r="V760">
        <v>1</v>
      </c>
      <c r="W760" t="s">
        <v>33</v>
      </c>
      <c r="Y760" t="s">
        <v>33</v>
      </c>
      <c r="Z760" t="s">
        <v>34</v>
      </c>
      <c r="AA760">
        <v>1</v>
      </c>
    </row>
    <row r="761" spans="1:27" x14ac:dyDescent="0.35">
      <c r="A761" s="13">
        <v>45930</v>
      </c>
      <c r="B761">
        <v>1</v>
      </c>
      <c r="D761" t="s">
        <v>31</v>
      </c>
      <c r="E761" t="s">
        <v>41</v>
      </c>
      <c r="F761" t="s">
        <v>41</v>
      </c>
      <c r="H761" t="s">
        <v>180</v>
      </c>
      <c r="I761" t="s">
        <v>181</v>
      </c>
      <c r="K761">
        <v>56</v>
      </c>
      <c r="M761" s="13">
        <v>47634</v>
      </c>
      <c r="N761" s="13">
        <v>47634</v>
      </c>
      <c r="O761" s="13">
        <v>47634</v>
      </c>
      <c r="P761" s="24">
        <v>6113829203.9884033</v>
      </c>
      <c r="V761">
        <v>1</v>
      </c>
      <c r="W761" t="s">
        <v>33</v>
      </c>
      <c r="Y761" t="s">
        <v>33</v>
      </c>
      <c r="Z761" t="s">
        <v>34</v>
      </c>
      <c r="AA761">
        <v>1</v>
      </c>
    </row>
    <row r="762" spans="1:27" x14ac:dyDescent="0.35">
      <c r="A762" s="13">
        <v>45930</v>
      </c>
      <c r="B762">
        <v>1</v>
      </c>
      <c r="D762" t="s">
        <v>31</v>
      </c>
      <c r="E762" t="s">
        <v>41</v>
      </c>
      <c r="F762" t="s">
        <v>41</v>
      </c>
      <c r="H762" t="s">
        <v>180</v>
      </c>
      <c r="I762" t="s">
        <v>181</v>
      </c>
      <c r="K762">
        <v>57</v>
      </c>
      <c r="M762" s="13">
        <v>47664</v>
      </c>
      <c r="N762" s="13">
        <v>47664</v>
      </c>
      <c r="O762" s="13">
        <v>47664</v>
      </c>
      <c r="P762" s="24">
        <v>6054811758.067749</v>
      </c>
      <c r="V762">
        <v>1</v>
      </c>
      <c r="W762" t="s">
        <v>33</v>
      </c>
      <c r="Y762" t="s">
        <v>33</v>
      </c>
      <c r="Z762" t="s">
        <v>34</v>
      </c>
      <c r="AA762">
        <v>1</v>
      </c>
    </row>
    <row r="763" spans="1:27" x14ac:dyDescent="0.35">
      <c r="A763" s="13">
        <v>45930</v>
      </c>
      <c r="B763">
        <v>1</v>
      </c>
      <c r="D763" t="s">
        <v>31</v>
      </c>
      <c r="E763" t="s">
        <v>41</v>
      </c>
      <c r="F763" t="s">
        <v>41</v>
      </c>
      <c r="H763" t="s">
        <v>180</v>
      </c>
      <c r="I763" t="s">
        <v>181</v>
      </c>
      <c r="K763">
        <v>58</v>
      </c>
      <c r="M763" s="13">
        <v>47695</v>
      </c>
      <c r="N763" s="13">
        <v>47695</v>
      </c>
      <c r="O763" s="13">
        <v>47695</v>
      </c>
      <c r="P763" s="24">
        <v>5996364013.8520508</v>
      </c>
      <c r="V763">
        <v>1</v>
      </c>
      <c r="W763" t="s">
        <v>33</v>
      </c>
      <c r="Y763" t="s">
        <v>33</v>
      </c>
      <c r="Z763" t="s">
        <v>34</v>
      </c>
      <c r="AA763">
        <v>1</v>
      </c>
    </row>
    <row r="764" spans="1:27" x14ac:dyDescent="0.35">
      <c r="A764" s="13">
        <v>45930</v>
      </c>
      <c r="B764">
        <v>1</v>
      </c>
      <c r="D764" t="s">
        <v>31</v>
      </c>
      <c r="E764" t="s">
        <v>41</v>
      </c>
      <c r="F764" t="s">
        <v>41</v>
      </c>
      <c r="H764" t="s">
        <v>180</v>
      </c>
      <c r="I764" t="s">
        <v>181</v>
      </c>
      <c r="K764">
        <v>59</v>
      </c>
      <c r="M764" s="13">
        <v>47726</v>
      </c>
      <c r="N764" s="13">
        <v>47726</v>
      </c>
      <c r="O764" s="13">
        <v>47726</v>
      </c>
      <c r="P764" s="24">
        <v>5938480471.9504395</v>
      </c>
      <c r="V764">
        <v>1</v>
      </c>
      <c r="W764" t="s">
        <v>33</v>
      </c>
      <c r="Y764" t="s">
        <v>33</v>
      </c>
      <c r="Z764" t="s">
        <v>34</v>
      </c>
      <c r="AA764">
        <v>1</v>
      </c>
    </row>
    <row r="765" spans="1:27" x14ac:dyDescent="0.35">
      <c r="A765" s="13">
        <v>45930</v>
      </c>
      <c r="B765">
        <v>1</v>
      </c>
      <c r="D765" t="s">
        <v>31</v>
      </c>
      <c r="E765" t="s">
        <v>41</v>
      </c>
      <c r="F765" t="s">
        <v>41</v>
      </c>
      <c r="H765" t="s">
        <v>180</v>
      </c>
      <c r="I765" t="s">
        <v>181</v>
      </c>
      <c r="K765">
        <v>60</v>
      </c>
      <c r="M765" s="13">
        <v>47756</v>
      </c>
      <c r="N765" s="13">
        <v>47756</v>
      </c>
      <c r="O765" s="13">
        <v>47756</v>
      </c>
      <c r="P765" s="24">
        <v>5881155686.0576172</v>
      </c>
      <c r="V765">
        <v>1</v>
      </c>
      <c r="W765" t="s">
        <v>33</v>
      </c>
      <c r="Y765" t="s">
        <v>33</v>
      </c>
      <c r="Z765" t="s">
        <v>34</v>
      </c>
      <c r="AA765">
        <v>1</v>
      </c>
    </row>
    <row r="766" spans="1:27" x14ac:dyDescent="0.35">
      <c r="A766" s="13">
        <v>45930</v>
      </c>
      <c r="B766">
        <v>1</v>
      </c>
      <c r="D766" t="s">
        <v>31</v>
      </c>
      <c r="E766" t="s">
        <v>41</v>
      </c>
      <c r="F766" t="s">
        <v>41</v>
      </c>
      <c r="H766" t="s">
        <v>180</v>
      </c>
      <c r="I766" t="s">
        <v>181</v>
      </c>
      <c r="K766">
        <v>61</v>
      </c>
      <c r="M766" s="13">
        <v>47787</v>
      </c>
      <c r="N766" s="13">
        <v>47787</v>
      </c>
      <c r="O766" s="13">
        <v>47787</v>
      </c>
      <c r="P766" s="24">
        <v>5824384262.4418945</v>
      </c>
      <c r="V766">
        <v>1</v>
      </c>
      <c r="W766" t="s">
        <v>33</v>
      </c>
      <c r="Y766" t="s">
        <v>33</v>
      </c>
      <c r="Z766" t="s">
        <v>34</v>
      </c>
      <c r="AA766">
        <v>1</v>
      </c>
    </row>
    <row r="767" spans="1:27" x14ac:dyDescent="0.35">
      <c r="A767" s="13">
        <v>45930</v>
      </c>
      <c r="B767">
        <v>1</v>
      </c>
      <c r="D767" t="s">
        <v>31</v>
      </c>
      <c r="E767" t="s">
        <v>41</v>
      </c>
      <c r="F767" t="s">
        <v>41</v>
      </c>
      <c r="H767" t="s">
        <v>180</v>
      </c>
      <c r="I767" t="s">
        <v>181</v>
      </c>
      <c r="K767">
        <v>62</v>
      </c>
      <c r="M767" s="13">
        <v>47817</v>
      </c>
      <c r="N767" s="13">
        <v>47817</v>
      </c>
      <c r="O767" s="13">
        <v>47817</v>
      </c>
      <c r="P767" s="24">
        <v>5768160859.4383545</v>
      </c>
      <c r="V767">
        <v>1</v>
      </c>
      <c r="W767" t="s">
        <v>33</v>
      </c>
      <c r="Y767" t="s">
        <v>33</v>
      </c>
      <c r="Z767" t="s">
        <v>34</v>
      </c>
      <c r="AA767">
        <v>1</v>
      </c>
    </row>
    <row r="768" spans="1:27" x14ac:dyDescent="0.35">
      <c r="A768" s="13">
        <v>45930</v>
      </c>
      <c r="B768">
        <v>1</v>
      </c>
      <c r="D768" t="s">
        <v>31</v>
      </c>
      <c r="E768" t="s">
        <v>41</v>
      </c>
      <c r="F768" t="s">
        <v>41</v>
      </c>
      <c r="H768" t="s">
        <v>180</v>
      </c>
      <c r="I768" t="s">
        <v>181</v>
      </c>
      <c r="K768">
        <v>63</v>
      </c>
      <c r="M768" s="13">
        <v>47848</v>
      </c>
      <c r="N768" s="13">
        <v>47848</v>
      </c>
      <c r="O768" s="13">
        <v>47848</v>
      </c>
      <c r="P768" s="24">
        <v>5712480186.9456787</v>
      </c>
      <c r="V768">
        <v>1</v>
      </c>
      <c r="W768" t="s">
        <v>33</v>
      </c>
      <c r="Y768" t="s">
        <v>33</v>
      </c>
      <c r="Z768" t="s">
        <v>34</v>
      </c>
      <c r="AA768">
        <v>1</v>
      </c>
    </row>
    <row r="769" spans="1:27" x14ac:dyDescent="0.35">
      <c r="A769" s="13">
        <v>45930</v>
      </c>
      <c r="B769">
        <v>1</v>
      </c>
      <c r="D769" t="s">
        <v>31</v>
      </c>
      <c r="E769" t="s">
        <v>41</v>
      </c>
      <c r="F769" t="s">
        <v>41</v>
      </c>
      <c r="H769" t="s">
        <v>180</v>
      </c>
      <c r="I769" t="s">
        <v>181</v>
      </c>
      <c r="K769">
        <v>64</v>
      </c>
      <c r="M769" s="13">
        <v>47879</v>
      </c>
      <c r="N769" s="13">
        <v>47879</v>
      </c>
      <c r="O769" s="13">
        <v>47879</v>
      </c>
      <c r="P769" s="24">
        <v>5657337005.9279785</v>
      </c>
      <c r="V769">
        <v>1</v>
      </c>
      <c r="W769" t="s">
        <v>33</v>
      </c>
      <c r="Y769" t="s">
        <v>33</v>
      </c>
      <c r="Z769" t="s">
        <v>34</v>
      </c>
      <c r="AA769">
        <v>1</v>
      </c>
    </row>
    <row r="770" spans="1:27" x14ac:dyDescent="0.35">
      <c r="A770" s="13">
        <v>45930</v>
      </c>
      <c r="B770">
        <v>1</v>
      </c>
      <c r="D770" t="s">
        <v>31</v>
      </c>
      <c r="E770" t="s">
        <v>41</v>
      </c>
      <c r="F770" t="s">
        <v>41</v>
      </c>
      <c r="H770" t="s">
        <v>180</v>
      </c>
      <c r="I770" t="s">
        <v>181</v>
      </c>
      <c r="K770">
        <v>65</v>
      </c>
      <c r="M770" s="13">
        <v>47907</v>
      </c>
      <c r="N770" s="13">
        <v>47907</v>
      </c>
      <c r="O770" s="13">
        <v>47907</v>
      </c>
      <c r="P770" s="24">
        <v>5602726127.9229736</v>
      </c>
      <c r="V770">
        <v>1</v>
      </c>
      <c r="W770" t="s">
        <v>33</v>
      </c>
      <c r="Y770" t="s">
        <v>33</v>
      </c>
      <c r="Z770" t="s">
        <v>34</v>
      </c>
      <c r="AA770">
        <v>1</v>
      </c>
    </row>
    <row r="771" spans="1:27" x14ac:dyDescent="0.35">
      <c r="A771" s="13">
        <v>45930</v>
      </c>
      <c r="B771">
        <v>1</v>
      </c>
      <c r="D771" t="s">
        <v>31</v>
      </c>
      <c r="E771" t="s">
        <v>41</v>
      </c>
      <c r="F771" t="s">
        <v>41</v>
      </c>
      <c r="H771" t="s">
        <v>180</v>
      </c>
      <c r="I771" t="s">
        <v>181</v>
      </c>
      <c r="K771">
        <v>66</v>
      </c>
      <c r="M771" s="13">
        <v>47938</v>
      </c>
      <c r="N771" s="13">
        <v>47938</v>
      </c>
      <c r="O771" s="13">
        <v>47938</v>
      </c>
      <c r="P771" s="24">
        <v>5548642414.5526123</v>
      </c>
      <c r="V771">
        <v>1</v>
      </c>
      <c r="W771" t="s">
        <v>33</v>
      </c>
      <c r="Y771" t="s">
        <v>33</v>
      </c>
      <c r="Z771" t="s">
        <v>34</v>
      </c>
      <c r="AA771">
        <v>1</v>
      </c>
    </row>
    <row r="772" spans="1:27" x14ac:dyDescent="0.35">
      <c r="A772" s="13">
        <v>45930</v>
      </c>
      <c r="B772">
        <v>1</v>
      </c>
      <c r="D772" t="s">
        <v>31</v>
      </c>
      <c r="E772" t="s">
        <v>41</v>
      </c>
      <c r="F772" t="s">
        <v>41</v>
      </c>
      <c r="H772" t="s">
        <v>180</v>
      </c>
      <c r="I772" t="s">
        <v>181</v>
      </c>
      <c r="K772">
        <v>67</v>
      </c>
      <c r="M772" s="13">
        <v>47968</v>
      </c>
      <c r="N772" s="13">
        <v>47968</v>
      </c>
      <c r="O772" s="13">
        <v>47968</v>
      </c>
      <c r="P772" s="24">
        <v>5495080777.0407715</v>
      </c>
      <c r="V772">
        <v>1</v>
      </c>
      <c r="W772" t="s">
        <v>33</v>
      </c>
      <c r="Y772" t="s">
        <v>33</v>
      </c>
      <c r="Z772" t="s">
        <v>34</v>
      </c>
      <c r="AA772">
        <v>1</v>
      </c>
    </row>
    <row r="773" spans="1:27" x14ac:dyDescent="0.35">
      <c r="A773" s="13">
        <v>45930</v>
      </c>
      <c r="B773">
        <v>1</v>
      </c>
      <c r="D773" t="s">
        <v>31</v>
      </c>
      <c r="E773" t="s">
        <v>41</v>
      </c>
      <c r="F773" t="s">
        <v>41</v>
      </c>
      <c r="H773" t="s">
        <v>180</v>
      </c>
      <c r="I773" t="s">
        <v>181</v>
      </c>
      <c r="K773">
        <v>68</v>
      </c>
      <c r="M773" s="13">
        <v>47999</v>
      </c>
      <c r="N773" s="13">
        <v>47999</v>
      </c>
      <c r="O773" s="13">
        <v>47999</v>
      </c>
      <c r="P773" s="24">
        <v>5442036175.7327881</v>
      </c>
      <c r="V773">
        <v>1</v>
      </c>
      <c r="W773" t="s">
        <v>33</v>
      </c>
      <c r="Y773" t="s">
        <v>33</v>
      </c>
      <c r="Z773" t="s">
        <v>34</v>
      </c>
      <c r="AA773">
        <v>1</v>
      </c>
    </row>
    <row r="774" spans="1:27" x14ac:dyDescent="0.35">
      <c r="A774" s="13">
        <v>45930</v>
      </c>
      <c r="B774">
        <v>1</v>
      </c>
      <c r="D774" t="s">
        <v>31</v>
      </c>
      <c r="E774" t="s">
        <v>41</v>
      </c>
      <c r="F774" t="s">
        <v>41</v>
      </c>
      <c r="H774" t="s">
        <v>180</v>
      </c>
      <c r="I774" t="s">
        <v>181</v>
      </c>
      <c r="K774">
        <v>69</v>
      </c>
      <c r="M774" s="13">
        <v>48029</v>
      </c>
      <c r="N774" s="13">
        <v>48029</v>
      </c>
      <c r="O774" s="13">
        <v>48029</v>
      </c>
      <c r="P774" s="24">
        <v>5389503619.6239014</v>
      </c>
      <c r="V774">
        <v>1</v>
      </c>
      <c r="W774" t="s">
        <v>33</v>
      </c>
      <c r="Y774" t="s">
        <v>33</v>
      </c>
      <c r="Z774" t="s">
        <v>34</v>
      </c>
      <c r="AA774">
        <v>1</v>
      </c>
    </row>
    <row r="775" spans="1:27" x14ac:dyDescent="0.35">
      <c r="A775" s="13">
        <v>45930</v>
      </c>
      <c r="B775">
        <v>1</v>
      </c>
      <c r="D775" t="s">
        <v>31</v>
      </c>
      <c r="E775" t="s">
        <v>41</v>
      </c>
      <c r="F775" t="s">
        <v>41</v>
      </c>
      <c r="H775" t="s">
        <v>180</v>
      </c>
      <c r="I775" t="s">
        <v>181</v>
      </c>
      <c r="K775">
        <v>70</v>
      </c>
      <c r="M775" s="13">
        <v>48060</v>
      </c>
      <c r="N775" s="13">
        <v>48060</v>
      </c>
      <c r="O775" s="13">
        <v>48060</v>
      </c>
      <c r="P775" s="24">
        <v>5337478165.8863525</v>
      </c>
      <c r="V775">
        <v>1</v>
      </c>
      <c r="W775" t="s">
        <v>33</v>
      </c>
      <c r="Y775" t="s">
        <v>33</v>
      </c>
      <c r="Z775" t="s">
        <v>34</v>
      </c>
      <c r="AA775">
        <v>1</v>
      </c>
    </row>
    <row r="776" spans="1:27" x14ac:dyDescent="0.35">
      <c r="A776" s="13">
        <v>45930</v>
      </c>
      <c r="B776">
        <v>1</v>
      </c>
      <c r="D776" t="s">
        <v>31</v>
      </c>
      <c r="E776" t="s">
        <v>41</v>
      </c>
      <c r="F776" t="s">
        <v>41</v>
      </c>
      <c r="H776" t="s">
        <v>180</v>
      </c>
      <c r="I776" t="s">
        <v>181</v>
      </c>
      <c r="K776">
        <v>71</v>
      </c>
      <c r="M776" s="13">
        <v>48091</v>
      </c>
      <c r="N776" s="13">
        <v>48091</v>
      </c>
      <c r="O776" s="13">
        <v>48091</v>
      </c>
      <c r="P776" s="24">
        <v>5285954919.4071655</v>
      </c>
      <c r="V776">
        <v>1</v>
      </c>
      <c r="W776" t="s">
        <v>33</v>
      </c>
      <c r="Y776" t="s">
        <v>33</v>
      </c>
      <c r="Z776" t="s">
        <v>34</v>
      </c>
      <c r="AA776">
        <v>1</v>
      </c>
    </row>
    <row r="777" spans="1:27" x14ac:dyDescent="0.35">
      <c r="A777" s="13">
        <v>45930</v>
      </c>
      <c r="B777">
        <v>1</v>
      </c>
      <c r="D777" t="s">
        <v>31</v>
      </c>
      <c r="E777" t="s">
        <v>41</v>
      </c>
      <c r="F777" t="s">
        <v>41</v>
      </c>
      <c r="H777" t="s">
        <v>180</v>
      </c>
      <c r="I777" t="s">
        <v>181</v>
      </c>
      <c r="K777">
        <v>72</v>
      </c>
      <c r="M777" s="13">
        <v>48121</v>
      </c>
      <c r="N777" s="13">
        <v>48121</v>
      </c>
      <c r="O777" s="13">
        <v>48121</v>
      </c>
      <c r="P777" s="24">
        <v>5234929032.3262329</v>
      </c>
      <c r="V777">
        <v>1</v>
      </c>
      <c r="W777" t="s">
        <v>33</v>
      </c>
      <c r="Y777" t="s">
        <v>33</v>
      </c>
      <c r="Z777" t="s">
        <v>34</v>
      </c>
      <c r="AA777">
        <v>1</v>
      </c>
    </row>
    <row r="778" spans="1:27" x14ac:dyDescent="0.35">
      <c r="A778" s="13">
        <v>45930</v>
      </c>
      <c r="B778">
        <v>1</v>
      </c>
      <c r="D778" t="s">
        <v>31</v>
      </c>
      <c r="E778" t="s">
        <v>41</v>
      </c>
      <c r="F778" t="s">
        <v>41</v>
      </c>
      <c r="H778" t="s">
        <v>180</v>
      </c>
      <c r="I778" t="s">
        <v>181</v>
      </c>
      <c r="K778">
        <v>73</v>
      </c>
      <c r="M778" s="13">
        <v>48152</v>
      </c>
      <c r="N778" s="13">
        <v>48152</v>
      </c>
      <c r="O778" s="13">
        <v>48152</v>
      </c>
      <c r="P778" s="24">
        <v>5184395703.579834</v>
      </c>
      <c r="V778">
        <v>1</v>
      </c>
      <c r="W778" t="s">
        <v>33</v>
      </c>
      <c r="Y778" t="s">
        <v>33</v>
      </c>
      <c r="Z778" t="s">
        <v>34</v>
      </c>
      <c r="AA778">
        <v>1</v>
      </c>
    </row>
    <row r="779" spans="1:27" x14ac:dyDescent="0.35">
      <c r="A779" s="13">
        <v>45930</v>
      </c>
      <c r="B779">
        <v>1</v>
      </c>
      <c r="D779" t="s">
        <v>31</v>
      </c>
      <c r="E779" t="s">
        <v>41</v>
      </c>
      <c r="F779" t="s">
        <v>41</v>
      </c>
      <c r="H779" t="s">
        <v>180</v>
      </c>
      <c r="I779" t="s">
        <v>181</v>
      </c>
      <c r="K779">
        <v>74</v>
      </c>
      <c r="M779" s="13">
        <v>48182</v>
      </c>
      <c r="N779" s="13">
        <v>48182</v>
      </c>
      <c r="O779" s="13">
        <v>48182</v>
      </c>
      <c r="P779" s="24">
        <v>531885776735.70636</v>
      </c>
      <c r="V779">
        <v>1</v>
      </c>
      <c r="W779" t="s">
        <v>33</v>
      </c>
      <c r="Y779" t="s">
        <v>33</v>
      </c>
      <c r="Z779" t="s">
        <v>34</v>
      </c>
      <c r="AA779">
        <v>1</v>
      </c>
    </row>
    <row r="780" spans="1:27" x14ac:dyDescent="0.35">
      <c r="A780" s="13">
        <v>45930</v>
      </c>
      <c r="B780">
        <v>1</v>
      </c>
      <c r="D780" t="s">
        <v>31</v>
      </c>
      <c r="E780" t="s">
        <v>41</v>
      </c>
      <c r="F780" t="s">
        <v>41</v>
      </c>
      <c r="H780" t="s">
        <v>179</v>
      </c>
      <c r="I780" t="s">
        <v>177</v>
      </c>
      <c r="M780" s="13">
        <v>45931</v>
      </c>
      <c r="N780" s="13">
        <v>45931</v>
      </c>
      <c r="O780" s="13">
        <v>45931</v>
      </c>
      <c r="P780" s="24">
        <v>50974195938</v>
      </c>
      <c r="V780">
        <v>1</v>
      </c>
      <c r="W780" t="s">
        <v>33</v>
      </c>
      <c r="Y780" t="s">
        <v>33</v>
      </c>
      <c r="Z780" t="s">
        <v>34</v>
      </c>
      <c r="AA780">
        <v>1</v>
      </c>
    </row>
    <row r="781" spans="1:27" x14ac:dyDescent="0.35">
      <c r="A781" s="13">
        <v>45930</v>
      </c>
      <c r="B781">
        <v>1</v>
      </c>
      <c r="D781" t="s">
        <v>31</v>
      </c>
      <c r="E781" t="s">
        <v>41</v>
      </c>
      <c r="F781" t="s">
        <v>41</v>
      </c>
      <c r="H781" t="s">
        <v>179</v>
      </c>
      <c r="I781" t="s">
        <v>178</v>
      </c>
      <c r="K781">
        <v>1</v>
      </c>
      <c r="M781" s="13">
        <v>45961</v>
      </c>
      <c r="N781" s="13">
        <v>45961</v>
      </c>
      <c r="O781" s="13">
        <v>45961</v>
      </c>
      <c r="P781" s="24">
        <v>1829352645.0892944</v>
      </c>
      <c r="V781">
        <v>1</v>
      </c>
      <c r="W781" t="s">
        <v>33</v>
      </c>
      <c r="Y781" t="s">
        <v>33</v>
      </c>
      <c r="Z781" t="s">
        <v>34</v>
      </c>
      <c r="AA781">
        <v>1</v>
      </c>
    </row>
    <row r="782" spans="1:27" x14ac:dyDescent="0.35">
      <c r="A782" s="13">
        <v>45930</v>
      </c>
      <c r="B782">
        <v>1</v>
      </c>
      <c r="D782" t="s">
        <v>31</v>
      </c>
      <c r="E782" t="s">
        <v>41</v>
      </c>
      <c r="F782" t="s">
        <v>41</v>
      </c>
      <c r="H782" t="s">
        <v>179</v>
      </c>
      <c r="I782" t="s">
        <v>178</v>
      </c>
      <c r="K782">
        <v>2</v>
      </c>
      <c r="M782" s="13">
        <v>45991</v>
      </c>
      <c r="N782" s="13">
        <v>45991</v>
      </c>
      <c r="O782" s="13">
        <v>45991</v>
      </c>
      <c r="P782" s="24">
        <v>1801216299.0827942</v>
      </c>
      <c r="V782">
        <v>1</v>
      </c>
      <c r="W782" t="s">
        <v>33</v>
      </c>
      <c r="Y782" t="s">
        <v>33</v>
      </c>
      <c r="Z782" t="s">
        <v>34</v>
      </c>
      <c r="AA782">
        <v>1</v>
      </c>
    </row>
    <row r="783" spans="1:27" x14ac:dyDescent="0.35">
      <c r="A783" s="13">
        <v>45930</v>
      </c>
      <c r="B783">
        <v>1</v>
      </c>
      <c r="D783" t="s">
        <v>31</v>
      </c>
      <c r="E783" t="s">
        <v>41</v>
      </c>
      <c r="F783" t="s">
        <v>41</v>
      </c>
      <c r="H783" t="s">
        <v>179</v>
      </c>
      <c r="I783" t="s">
        <v>178</v>
      </c>
      <c r="K783">
        <v>3</v>
      </c>
      <c r="M783" s="13">
        <v>46022</v>
      </c>
      <c r="N783" s="13">
        <v>46022</v>
      </c>
      <c r="O783" s="13">
        <v>46022</v>
      </c>
      <c r="P783" s="24">
        <v>1773512703.9561005</v>
      </c>
      <c r="V783">
        <v>1</v>
      </c>
      <c r="W783" t="s">
        <v>33</v>
      </c>
      <c r="Y783" t="s">
        <v>33</v>
      </c>
      <c r="Z783" t="s">
        <v>34</v>
      </c>
      <c r="AA783">
        <v>1</v>
      </c>
    </row>
    <row r="784" spans="1:27" x14ac:dyDescent="0.35">
      <c r="A784" s="13">
        <v>45930</v>
      </c>
      <c r="B784">
        <v>1</v>
      </c>
      <c r="D784" t="s">
        <v>31</v>
      </c>
      <c r="E784" t="s">
        <v>41</v>
      </c>
      <c r="F784" t="s">
        <v>41</v>
      </c>
      <c r="H784" t="s">
        <v>179</v>
      </c>
      <c r="I784" t="s">
        <v>178</v>
      </c>
      <c r="K784">
        <v>4</v>
      </c>
      <c r="M784" s="13">
        <v>46053</v>
      </c>
      <c r="N784" s="13">
        <v>46053</v>
      </c>
      <c r="O784" s="13">
        <v>46053</v>
      </c>
      <c r="P784" s="24">
        <v>1746235203.7871704</v>
      </c>
      <c r="V784">
        <v>1</v>
      </c>
      <c r="W784" t="s">
        <v>33</v>
      </c>
      <c r="Y784" t="s">
        <v>33</v>
      </c>
      <c r="Z784" t="s">
        <v>34</v>
      </c>
      <c r="AA784">
        <v>1</v>
      </c>
    </row>
    <row r="785" spans="1:27" x14ac:dyDescent="0.35">
      <c r="A785" s="13">
        <v>45930</v>
      </c>
      <c r="B785">
        <v>1</v>
      </c>
      <c r="D785" t="s">
        <v>31</v>
      </c>
      <c r="E785" t="s">
        <v>41</v>
      </c>
      <c r="F785" t="s">
        <v>41</v>
      </c>
      <c r="H785" t="s">
        <v>179</v>
      </c>
      <c r="I785" t="s">
        <v>178</v>
      </c>
      <c r="K785">
        <v>5</v>
      </c>
      <c r="M785" s="13">
        <v>46081</v>
      </c>
      <c r="N785" s="13">
        <v>46081</v>
      </c>
      <c r="O785" s="13">
        <v>46081</v>
      </c>
      <c r="P785" s="24">
        <v>1719377245.0254517</v>
      </c>
      <c r="V785">
        <v>1</v>
      </c>
      <c r="W785" t="s">
        <v>33</v>
      </c>
      <c r="Y785" t="s">
        <v>33</v>
      </c>
      <c r="Z785" t="s">
        <v>34</v>
      </c>
      <c r="AA785">
        <v>1</v>
      </c>
    </row>
    <row r="786" spans="1:27" x14ac:dyDescent="0.35">
      <c r="A786" s="13">
        <v>45930</v>
      </c>
      <c r="B786">
        <v>1</v>
      </c>
      <c r="D786" t="s">
        <v>31</v>
      </c>
      <c r="E786" t="s">
        <v>41</v>
      </c>
      <c r="F786" t="s">
        <v>41</v>
      </c>
      <c r="H786" t="s">
        <v>179</v>
      </c>
      <c r="I786" t="s">
        <v>178</v>
      </c>
      <c r="K786">
        <v>6</v>
      </c>
      <c r="M786" s="13">
        <v>46112</v>
      </c>
      <c r="N786" s="13">
        <v>46112</v>
      </c>
      <c r="O786" s="13">
        <v>46112</v>
      </c>
      <c r="P786" s="24">
        <v>1692932374.917099</v>
      </c>
      <c r="V786">
        <v>1</v>
      </c>
      <c r="W786" t="s">
        <v>33</v>
      </c>
      <c r="Y786" t="s">
        <v>33</v>
      </c>
      <c r="Z786" t="s">
        <v>34</v>
      </c>
      <c r="AA786">
        <v>1</v>
      </c>
    </row>
    <row r="787" spans="1:27" x14ac:dyDescent="0.35">
      <c r="A787" s="13">
        <v>45930</v>
      </c>
      <c r="B787">
        <v>1</v>
      </c>
      <c r="D787" t="s">
        <v>31</v>
      </c>
      <c r="E787" t="s">
        <v>41</v>
      </c>
      <c r="F787" t="s">
        <v>41</v>
      </c>
      <c r="H787" t="s">
        <v>179</v>
      </c>
      <c r="I787" t="s">
        <v>178</v>
      </c>
      <c r="K787">
        <v>7</v>
      </c>
      <c r="M787" s="13">
        <v>46142</v>
      </c>
      <c r="N787" s="13">
        <v>46142</v>
      </c>
      <c r="O787" s="13">
        <v>46142</v>
      </c>
      <c r="P787" s="24">
        <v>1666894239.9549103</v>
      </c>
      <c r="V787">
        <v>1</v>
      </c>
      <c r="W787" t="s">
        <v>33</v>
      </c>
      <c r="Y787" t="s">
        <v>33</v>
      </c>
      <c r="Z787" t="s">
        <v>34</v>
      </c>
      <c r="AA787">
        <v>1</v>
      </c>
    </row>
    <row r="788" spans="1:27" x14ac:dyDescent="0.35">
      <c r="A788" s="13">
        <v>45930</v>
      </c>
      <c r="B788">
        <v>1</v>
      </c>
      <c r="D788" t="s">
        <v>31</v>
      </c>
      <c r="E788" t="s">
        <v>41</v>
      </c>
      <c r="F788" t="s">
        <v>41</v>
      </c>
      <c r="H788" t="s">
        <v>179</v>
      </c>
      <c r="I788" t="s">
        <v>178</v>
      </c>
      <c r="K788">
        <v>8</v>
      </c>
      <c r="M788" s="13">
        <v>46173</v>
      </c>
      <c r="N788" s="13">
        <v>46173</v>
      </c>
      <c r="O788" s="13">
        <v>46173</v>
      </c>
      <c r="P788" s="24">
        <v>1641256584.3517151</v>
      </c>
      <c r="V788">
        <v>1</v>
      </c>
      <c r="W788" t="s">
        <v>33</v>
      </c>
      <c r="Y788" t="s">
        <v>33</v>
      </c>
      <c r="Z788" t="s">
        <v>34</v>
      </c>
      <c r="AA788">
        <v>1</v>
      </c>
    </row>
    <row r="789" spans="1:27" x14ac:dyDescent="0.35">
      <c r="A789" s="13">
        <v>45930</v>
      </c>
      <c r="B789">
        <v>1</v>
      </c>
      <c r="D789" t="s">
        <v>31</v>
      </c>
      <c r="E789" t="s">
        <v>41</v>
      </c>
      <c r="F789" t="s">
        <v>41</v>
      </c>
      <c r="H789" t="s">
        <v>179</v>
      </c>
      <c r="I789" t="s">
        <v>178</v>
      </c>
      <c r="K789">
        <v>9</v>
      </c>
      <c r="M789" s="13">
        <v>46203</v>
      </c>
      <c r="N789" s="13">
        <v>46203</v>
      </c>
      <c r="O789" s="13">
        <v>46203</v>
      </c>
      <c r="P789" s="24">
        <v>1616013248.5374298</v>
      </c>
      <c r="V789">
        <v>1</v>
      </c>
      <c r="W789" t="s">
        <v>33</v>
      </c>
      <c r="Y789" t="s">
        <v>33</v>
      </c>
      <c r="Z789" t="s">
        <v>34</v>
      </c>
      <c r="AA789">
        <v>1</v>
      </c>
    </row>
    <row r="790" spans="1:27" x14ac:dyDescent="0.35">
      <c r="A790" s="13">
        <v>45930</v>
      </c>
      <c r="B790">
        <v>1</v>
      </c>
      <c r="D790" t="s">
        <v>31</v>
      </c>
      <c r="E790" t="s">
        <v>41</v>
      </c>
      <c r="F790" t="s">
        <v>41</v>
      </c>
      <c r="H790" t="s">
        <v>179</v>
      </c>
      <c r="I790" t="s">
        <v>178</v>
      </c>
      <c r="K790">
        <v>10</v>
      </c>
      <c r="M790" s="13">
        <v>46234</v>
      </c>
      <c r="N790" s="13">
        <v>46234</v>
      </c>
      <c r="O790" s="13">
        <v>46234</v>
      </c>
      <c r="P790" s="24">
        <v>1591158167.679184</v>
      </c>
      <c r="V790">
        <v>1</v>
      </c>
      <c r="W790" t="s">
        <v>33</v>
      </c>
      <c r="Y790" t="s">
        <v>33</v>
      </c>
      <c r="Z790" t="s">
        <v>34</v>
      </c>
      <c r="AA790">
        <v>1</v>
      </c>
    </row>
    <row r="791" spans="1:27" x14ac:dyDescent="0.35">
      <c r="A791" s="13">
        <v>45930</v>
      </c>
      <c r="B791">
        <v>1</v>
      </c>
      <c r="D791" t="s">
        <v>31</v>
      </c>
      <c r="E791" t="s">
        <v>41</v>
      </c>
      <c r="F791" t="s">
        <v>41</v>
      </c>
      <c r="H791" t="s">
        <v>179</v>
      </c>
      <c r="I791" t="s">
        <v>178</v>
      </c>
      <c r="K791">
        <v>11</v>
      </c>
      <c r="M791" s="13">
        <v>46265</v>
      </c>
      <c r="N791" s="13">
        <v>46265</v>
      </c>
      <c r="O791" s="13">
        <v>46265</v>
      </c>
      <c r="P791" s="24">
        <v>1566685370.2242584</v>
      </c>
      <c r="V791">
        <v>1</v>
      </c>
      <c r="W791" t="s">
        <v>33</v>
      </c>
      <c r="Y791" t="s">
        <v>33</v>
      </c>
      <c r="Z791" t="s">
        <v>34</v>
      </c>
      <c r="AA791">
        <v>1</v>
      </c>
    </row>
    <row r="792" spans="1:27" x14ac:dyDescent="0.35">
      <c r="A792" s="13">
        <v>45930</v>
      </c>
      <c r="B792">
        <v>1</v>
      </c>
      <c r="D792" t="s">
        <v>31</v>
      </c>
      <c r="E792" t="s">
        <v>41</v>
      </c>
      <c r="F792" t="s">
        <v>41</v>
      </c>
      <c r="H792" t="s">
        <v>179</v>
      </c>
      <c r="I792" t="s">
        <v>178</v>
      </c>
      <c r="K792">
        <v>12</v>
      </c>
      <c r="M792" s="13">
        <v>46295</v>
      </c>
      <c r="N792" s="13">
        <v>46295</v>
      </c>
      <c r="O792" s="13">
        <v>46295</v>
      </c>
      <c r="P792" s="24">
        <v>1542588976.4653778</v>
      </c>
      <c r="V792">
        <v>1</v>
      </c>
      <c r="W792" t="s">
        <v>33</v>
      </c>
      <c r="Y792" t="s">
        <v>33</v>
      </c>
      <c r="Z792" t="s">
        <v>34</v>
      </c>
      <c r="AA792">
        <v>1</v>
      </c>
    </row>
    <row r="793" spans="1:27" x14ac:dyDescent="0.35">
      <c r="A793" s="13">
        <v>45930</v>
      </c>
      <c r="B793">
        <v>1</v>
      </c>
      <c r="D793" t="s">
        <v>31</v>
      </c>
      <c r="E793" t="s">
        <v>41</v>
      </c>
      <c r="F793" t="s">
        <v>41</v>
      </c>
      <c r="H793" t="s">
        <v>179</v>
      </c>
      <c r="I793" t="s">
        <v>178</v>
      </c>
      <c r="K793">
        <v>13</v>
      </c>
      <c r="M793" s="13">
        <v>46326</v>
      </c>
      <c r="N793" s="13">
        <v>46326</v>
      </c>
      <c r="O793" s="13">
        <v>46326</v>
      </c>
      <c r="P793" s="24">
        <v>1518863197.1279907</v>
      </c>
      <c r="V793">
        <v>1</v>
      </c>
      <c r="W793" t="s">
        <v>33</v>
      </c>
      <c r="Y793" t="s">
        <v>33</v>
      </c>
      <c r="Z793" t="s">
        <v>34</v>
      </c>
      <c r="AA793">
        <v>1</v>
      </c>
    </row>
    <row r="794" spans="1:27" x14ac:dyDescent="0.35">
      <c r="A794" s="13">
        <v>45930</v>
      </c>
      <c r="B794">
        <v>1</v>
      </c>
      <c r="D794" t="s">
        <v>31</v>
      </c>
      <c r="E794" t="s">
        <v>41</v>
      </c>
      <c r="F794" t="s">
        <v>41</v>
      </c>
      <c r="H794" t="s">
        <v>179</v>
      </c>
      <c r="I794" t="s">
        <v>178</v>
      </c>
      <c r="K794">
        <v>14</v>
      </c>
      <c r="M794" s="13">
        <v>46356</v>
      </c>
      <c r="N794" s="13">
        <v>46356</v>
      </c>
      <c r="O794" s="13">
        <v>46356</v>
      </c>
      <c r="P794" s="24">
        <v>1495502331.9795227</v>
      </c>
      <c r="V794">
        <v>1</v>
      </c>
      <c r="W794" t="s">
        <v>33</v>
      </c>
      <c r="Y794" t="s">
        <v>33</v>
      </c>
      <c r="Z794" t="s">
        <v>34</v>
      </c>
      <c r="AA794">
        <v>1</v>
      </c>
    </row>
    <row r="795" spans="1:27" x14ac:dyDescent="0.35">
      <c r="A795" s="13">
        <v>45930</v>
      </c>
      <c r="B795">
        <v>1</v>
      </c>
      <c r="D795" t="s">
        <v>31</v>
      </c>
      <c r="E795" t="s">
        <v>41</v>
      </c>
      <c r="F795" t="s">
        <v>41</v>
      </c>
      <c r="H795" t="s">
        <v>179</v>
      </c>
      <c r="I795" t="s">
        <v>178</v>
      </c>
      <c r="K795">
        <v>15</v>
      </c>
      <c r="M795" s="13">
        <v>46387</v>
      </c>
      <c r="N795" s="13">
        <v>46387</v>
      </c>
      <c r="O795" s="13">
        <v>46387</v>
      </c>
      <c r="P795" s="24">
        <v>1472500768.4597473</v>
      </c>
      <c r="V795">
        <v>1</v>
      </c>
      <c r="W795" t="s">
        <v>33</v>
      </c>
      <c r="Y795" t="s">
        <v>33</v>
      </c>
      <c r="Z795" t="s">
        <v>34</v>
      </c>
      <c r="AA795">
        <v>1</v>
      </c>
    </row>
    <row r="796" spans="1:27" x14ac:dyDescent="0.35">
      <c r="A796" s="13">
        <v>45930</v>
      </c>
      <c r="B796">
        <v>1</v>
      </c>
      <c r="D796" t="s">
        <v>31</v>
      </c>
      <c r="E796" t="s">
        <v>41</v>
      </c>
      <c r="F796" t="s">
        <v>41</v>
      </c>
      <c r="H796" t="s">
        <v>179</v>
      </c>
      <c r="I796" t="s">
        <v>178</v>
      </c>
      <c r="K796">
        <v>16</v>
      </c>
      <c r="M796" s="13">
        <v>46418</v>
      </c>
      <c r="N796" s="13">
        <v>46418</v>
      </c>
      <c r="O796" s="13">
        <v>46418</v>
      </c>
      <c r="P796" s="24">
        <v>1449852980.3323975</v>
      </c>
      <c r="V796">
        <v>1</v>
      </c>
      <c r="W796" t="s">
        <v>33</v>
      </c>
      <c r="Y796" t="s">
        <v>33</v>
      </c>
      <c r="Z796" t="s">
        <v>34</v>
      </c>
      <c r="AA796">
        <v>1</v>
      </c>
    </row>
    <row r="797" spans="1:27" x14ac:dyDescent="0.35">
      <c r="A797" s="13">
        <v>45930</v>
      </c>
      <c r="B797">
        <v>1</v>
      </c>
      <c r="D797" t="s">
        <v>31</v>
      </c>
      <c r="E797" t="s">
        <v>41</v>
      </c>
      <c r="F797" t="s">
        <v>41</v>
      </c>
      <c r="H797" t="s">
        <v>179</v>
      </c>
      <c r="I797" t="s">
        <v>178</v>
      </c>
      <c r="K797">
        <v>17</v>
      </c>
      <c r="M797" s="13">
        <v>46446</v>
      </c>
      <c r="N797" s="13">
        <v>46446</v>
      </c>
      <c r="O797" s="13">
        <v>46446</v>
      </c>
      <c r="P797" s="24">
        <v>1427553526.3574066</v>
      </c>
      <c r="V797">
        <v>1</v>
      </c>
      <c r="W797" t="s">
        <v>33</v>
      </c>
      <c r="Y797" t="s">
        <v>33</v>
      </c>
      <c r="Z797" t="s">
        <v>34</v>
      </c>
      <c r="AA797">
        <v>1</v>
      </c>
    </row>
    <row r="798" spans="1:27" x14ac:dyDescent="0.35">
      <c r="A798" s="13">
        <v>45930</v>
      </c>
      <c r="B798">
        <v>1</v>
      </c>
      <c r="D798" t="s">
        <v>31</v>
      </c>
      <c r="E798" t="s">
        <v>41</v>
      </c>
      <c r="F798" t="s">
        <v>41</v>
      </c>
      <c r="H798" t="s">
        <v>179</v>
      </c>
      <c r="I798" t="s">
        <v>178</v>
      </c>
      <c r="K798">
        <v>18</v>
      </c>
      <c r="M798" s="13">
        <v>46477</v>
      </c>
      <c r="N798" s="13">
        <v>46477</v>
      </c>
      <c r="O798" s="13">
        <v>46477</v>
      </c>
      <c r="P798" s="24">
        <v>1405597048.9837189</v>
      </c>
      <c r="V798">
        <v>1</v>
      </c>
      <c r="W798" t="s">
        <v>33</v>
      </c>
      <c r="Y798" t="s">
        <v>33</v>
      </c>
      <c r="Z798" t="s">
        <v>34</v>
      </c>
      <c r="AA798">
        <v>1</v>
      </c>
    </row>
    <row r="799" spans="1:27" x14ac:dyDescent="0.35">
      <c r="A799" s="13">
        <v>45930</v>
      </c>
      <c r="B799">
        <v>1</v>
      </c>
      <c r="D799" t="s">
        <v>31</v>
      </c>
      <c r="E799" t="s">
        <v>41</v>
      </c>
      <c r="F799" t="s">
        <v>41</v>
      </c>
      <c r="H799" t="s">
        <v>179</v>
      </c>
      <c r="I799" t="s">
        <v>178</v>
      </c>
      <c r="K799">
        <v>19</v>
      </c>
      <c r="M799" s="13">
        <v>46507</v>
      </c>
      <c r="N799" s="13">
        <v>46507</v>
      </c>
      <c r="O799" s="13">
        <v>46507</v>
      </c>
      <c r="P799" s="24">
        <v>1383978273.0620575</v>
      </c>
      <c r="V799">
        <v>1</v>
      </c>
      <c r="W799" t="s">
        <v>33</v>
      </c>
      <c r="Y799" t="s">
        <v>33</v>
      </c>
      <c r="Z799" t="s">
        <v>34</v>
      </c>
      <c r="AA799">
        <v>1</v>
      </c>
    </row>
    <row r="800" spans="1:27" x14ac:dyDescent="0.35">
      <c r="A800" s="13">
        <v>45930</v>
      </c>
      <c r="B800">
        <v>1</v>
      </c>
      <c r="D800" t="s">
        <v>31</v>
      </c>
      <c r="E800" t="s">
        <v>41</v>
      </c>
      <c r="F800" t="s">
        <v>41</v>
      </c>
      <c r="H800" t="s">
        <v>179</v>
      </c>
      <c r="I800" t="s">
        <v>178</v>
      </c>
      <c r="K800">
        <v>20</v>
      </c>
      <c r="M800" s="13">
        <v>46538</v>
      </c>
      <c r="N800" s="13">
        <v>46538</v>
      </c>
      <c r="O800" s="13">
        <v>46538</v>
      </c>
      <c r="P800" s="24">
        <v>1362692004.5774536</v>
      </c>
      <c r="V800">
        <v>1</v>
      </c>
      <c r="W800" t="s">
        <v>33</v>
      </c>
      <c r="Y800" t="s">
        <v>33</v>
      </c>
      <c r="Z800" t="s">
        <v>34</v>
      </c>
      <c r="AA800">
        <v>1</v>
      </c>
    </row>
    <row r="801" spans="1:27" x14ac:dyDescent="0.35">
      <c r="A801" s="13">
        <v>45930</v>
      </c>
      <c r="B801">
        <v>1</v>
      </c>
      <c r="D801" t="s">
        <v>31</v>
      </c>
      <c r="E801" t="s">
        <v>41</v>
      </c>
      <c r="F801" t="s">
        <v>41</v>
      </c>
      <c r="H801" t="s">
        <v>179</v>
      </c>
      <c r="I801" t="s">
        <v>178</v>
      </c>
      <c r="K801">
        <v>21</v>
      </c>
      <c r="M801" s="13">
        <v>46568</v>
      </c>
      <c r="N801" s="13">
        <v>46568</v>
      </c>
      <c r="O801" s="13">
        <v>46568</v>
      </c>
      <c r="P801" s="24">
        <v>1341733129.4015961</v>
      </c>
      <c r="V801">
        <v>1</v>
      </c>
      <c r="W801" t="s">
        <v>33</v>
      </c>
      <c r="Y801" t="s">
        <v>33</v>
      </c>
      <c r="Z801" t="s">
        <v>34</v>
      </c>
      <c r="AA801">
        <v>1</v>
      </c>
    </row>
    <row r="802" spans="1:27" x14ac:dyDescent="0.35">
      <c r="A802" s="13">
        <v>45930</v>
      </c>
      <c r="B802">
        <v>1</v>
      </c>
      <c r="D802" t="s">
        <v>31</v>
      </c>
      <c r="E802" t="s">
        <v>41</v>
      </c>
      <c r="F802" t="s">
        <v>41</v>
      </c>
      <c r="H802" t="s">
        <v>179</v>
      </c>
      <c r="I802" t="s">
        <v>178</v>
      </c>
      <c r="K802">
        <v>22</v>
      </c>
      <c r="M802" s="13">
        <v>46599</v>
      </c>
      <c r="N802" s="13">
        <v>46599</v>
      </c>
      <c r="O802" s="13">
        <v>46599</v>
      </c>
      <c r="P802" s="24">
        <v>1321096612.063858</v>
      </c>
      <c r="V802">
        <v>1</v>
      </c>
      <c r="W802" t="s">
        <v>33</v>
      </c>
      <c r="Y802" t="s">
        <v>33</v>
      </c>
      <c r="Z802" t="s">
        <v>34</v>
      </c>
      <c r="AA802">
        <v>1</v>
      </c>
    </row>
    <row r="803" spans="1:27" x14ac:dyDescent="0.35">
      <c r="A803" s="13">
        <v>45930</v>
      </c>
      <c r="B803">
        <v>1</v>
      </c>
      <c r="D803" t="s">
        <v>31</v>
      </c>
      <c r="E803" t="s">
        <v>41</v>
      </c>
      <c r="F803" t="s">
        <v>41</v>
      </c>
      <c r="H803" t="s">
        <v>179</v>
      </c>
      <c r="I803" t="s">
        <v>178</v>
      </c>
      <c r="K803">
        <v>23</v>
      </c>
      <c r="M803" s="13">
        <v>46630</v>
      </c>
      <c r="N803" s="13">
        <v>46630</v>
      </c>
      <c r="O803" s="13">
        <v>46630</v>
      </c>
      <c r="P803" s="24">
        <v>1300777494.5417023</v>
      </c>
      <c r="V803">
        <v>1</v>
      </c>
      <c r="W803" t="s">
        <v>33</v>
      </c>
      <c r="Y803" t="s">
        <v>33</v>
      </c>
      <c r="Z803" t="s">
        <v>34</v>
      </c>
      <c r="AA803">
        <v>1</v>
      </c>
    </row>
    <row r="804" spans="1:27" x14ac:dyDescent="0.35">
      <c r="A804" s="13">
        <v>45930</v>
      </c>
      <c r="B804">
        <v>1</v>
      </c>
      <c r="D804" t="s">
        <v>31</v>
      </c>
      <c r="E804" t="s">
        <v>41</v>
      </c>
      <c r="F804" t="s">
        <v>41</v>
      </c>
      <c r="H804" t="s">
        <v>179</v>
      </c>
      <c r="I804" t="s">
        <v>178</v>
      </c>
      <c r="K804">
        <v>24</v>
      </c>
      <c r="M804" s="13">
        <v>46660</v>
      </c>
      <c r="N804" s="13">
        <v>46660</v>
      </c>
      <c r="O804" s="13">
        <v>46660</v>
      </c>
      <c r="P804" s="24">
        <v>1280770895.0694122</v>
      </c>
      <c r="V804">
        <v>1</v>
      </c>
      <c r="W804" t="s">
        <v>33</v>
      </c>
      <c r="Y804" t="s">
        <v>33</v>
      </c>
      <c r="Z804" t="s">
        <v>34</v>
      </c>
      <c r="AA804">
        <v>1</v>
      </c>
    </row>
    <row r="805" spans="1:27" x14ac:dyDescent="0.35">
      <c r="A805" s="13">
        <v>45930</v>
      </c>
      <c r="B805">
        <v>1</v>
      </c>
      <c r="D805" t="s">
        <v>31</v>
      </c>
      <c r="E805" t="s">
        <v>41</v>
      </c>
      <c r="F805" t="s">
        <v>41</v>
      </c>
      <c r="H805" t="s">
        <v>179</v>
      </c>
      <c r="I805" t="s">
        <v>178</v>
      </c>
      <c r="K805">
        <v>25</v>
      </c>
      <c r="M805" s="13">
        <v>46691</v>
      </c>
      <c r="N805" s="13">
        <v>46691</v>
      </c>
      <c r="O805" s="13">
        <v>46691</v>
      </c>
      <c r="P805" s="24">
        <v>1261072006.96521</v>
      </c>
      <c r="V805">
        <v>1</v>
      </c>
      <c r="W805" t="s">
        <v>33</v>
      </c>
      <c r="Y805" t="s">
        <v>33</v>
      </c>
      <c r="Z805" t="s">
        <v>34</v>
      </c>
      <c r="AA805">
        <v>1</v>
      </c>
    </row>
    <row r="806" spans="1:27" x14ac:dyDescent="0.35">
      <c r="A806" s="13">
        <v>45930</v>
      </c>
      <c r="B806">
        <v>1</v>
      </c>
      <c r="D806" t="s">
        <v>31</v>
      </c>
      <c r="E806" t="s">
        <v>41</v>
      </c>
      <c r="F806" t="s">
        <v>41</v>
      </c>
      <c r="H806" t="s">
        <v>179</v>
      </c>
      <c r="I806" t="s">
        <v>178</v>
      </c>
      <c r="K806">
        <v>26</v>
      </c>
      <c r="M806" s="13">
        <v>46721</v>
      </c>
      <c r="N806" s="13">
        <v>46721</v>
      </c>
      <c r="O806" s="13">
        <v>46721</v>
      </c>
      <c r="P806" s="24">
        <v>1241676097.4765167</v>
      </c>
      <c r="V806">
        <v>1</v>
      </c>
      <c r="W806" t="s">
        <v>33</v>
      </c>
      <c r="Y806" t="s">
        <v>33</v>
      </c>
      <c r="Z806" t="s">
        <v>34</v>
      </c>
      <c r="AA806">
        <v>1</v>
      </c>
    </row>
    <row r="807" spans="1:27" x14ac:dyDescent="0.35">
      <c r="A807" s="13">
        <v>45930</v>
      </c>
      <c r="B807">
        <v>1</v>
      </c>
      <c r="D807" t="s">
        <v>31</v>
      </c>
      <c r="E807" t="s">
        <v>41</v>
      </c>
      <c r="F807" t="s">
        <v>41</v>
      </c>
      <c r="H807" t="s">
        <v>179</v>
      </c>
      <c r="I807" t="s">
        <v>178</v>
      </c>
      <c r="K807">
        <v>27</v>
      </c>
      <c r="M807" s="13">
        <v>46752</v>
      </c>
      <c r="N807" s="13">
        <v>46752</v>
      </c>
      <c r="O807" s="13">
        <v>46752</v>
      </c>
      <c r="P807" s="24">
        <v>1222578506.6427155</v>
      </c>
      <c r="V807">
        <v>1</v>
      </c>
      <c r="W807" t="s">
        <v>33</v>
      </c>
      <c r="Y807" t="s">
        <v>33</v>
      </c>
      <c r="Z807" t="s">
        <v>34</v>
      </c>
      <c r="AA807">
        <v>1</v>
      </c>
    </row>
    <row r="808" spans="1:27" x14ac:dyDescent="0.35">
      <c r="A808" s="13">
        <v>45930</v>
      </c>
      <c r="B808">
        <v>1</v>
      </c>
      <c r="D808" t="s">
        <v>31</v>
      </c>
      <c r="E808" t="s">
        <v>41</v>
      </c>
      <c r="F808" t="s">
        <v>41</v>
      </c>
      <c r="H808" t="s">
        <v>179</v>
      </c>
      <c r="I808" t="s">
        <v>178</v>
      </c>
      <c r="K808">
        <v>28</v>
      </c>
      <c r="M808" s="13">
        <v>46783</v>
      </c>
      <c r="N808" s="13">
        <v>46783</v>
      </c>
      <c r="O808" s="13">
        <v>46783</v>
      </c>
      <c r="P808" s="24">
        <v>1203774646.1758575</v>
      </c>
      <c r="V808">
        <v>1</v>
      </c>
      <c r="W808" t="s">
        <v>33</v>
      </c>
      <c r="Y808" t="s">
        <v>33</v>
      </c>
      <c r="Z808" t="s">
        <v>34</v>
      </c>
      <c r="AA808">
        <v>1</v>
      </c>
    </row>
    <row r="809" spans="1:27" x14ac:dyDescent="0.35">
      <c r="A809" s="13">
        <v>45930</v>
      </c>
      <c r="B809">
        <v>1</v>
      </c>
      <c r="D809" t="s">
        <v>31</v>
      </c>
      <c r="E809" t="s">
        <v>41</v>
      </c>
      <c r="F809" t="s">
        <v>41</v>
      </c>
      <c r="H809" t="s">
        <v>179</v>
      </c>
      <c r="I809" t="s">
        <v>178</v>
      </c>
      <c r="K809">
        <v>29</v>
      </c>
      <c r="M809" s="13">
        <v>46812</v>
      </c>
      <c r="N809" s="13">
        <v>46812</v>
      </c>
      <c r="O809" s="13">
        <v>46812</v>
      </c>
      <c r="P809" s="24">
        <v>1185259998.3578949</v>
      </c>
      <c r="V809">
        <v>1</v>
      </c>
      <c r="W809" t="s">
        <v>33</v>
      </c>
      <c r="Y809" t="s">
        <v>33</v>
      </c>
      <c r="Z809" t="s">
        <v>34</v>
      </c>
      <c r="AA809">
        <v>1</v>
      </c>
    </row>
    <row r="810" spans="1:27" x14ac:dyDescent="0.35">
      <c r="A810" s="13">
        <v>45930</v>
      </c>
      <c r="B810">
        <v>1</v>
      </c>
      <c r="D810" t="s">
        <v>31</v>
      </c>
      <c r="E810" t="s">
        <v>41</v>
      </c>
      <c r="F810" t="s">
        <v>41</v>
      </c>
      <c r="H810" t="s">
        <v>179</v>
      </c>
      <c r="I810" t="s">
        <v>178</v>
      </c>
      <c r="K810">
        <v>30</v>
      </c>
      <c r="M810" s="13">
        <v>46843</v>
      </c>
      <c r="N810" s="13">
        <v>46843</v>
      </c>
      <c r="O810" s="13">
        <v>46843</v>
      </c>
      <c r="P810" s="24">
        <v>1167030114.9557037</v>
      </c>
      <c r="V810">
        <v>1</v>
      </c>
      <c r="W810" t="s">
        <v>33</v>
      </c>
      <c r="Y810" t="s">
        <v>33</v>
      </c>
      <c r="Z810" t="s">
        <v>34</v>
      </c>
      <c r="AA810">
        <v>1</v>
      </c>
    </row>
    <row r="811" spans="1:27" x14ac:dyDescent="0.35">
      <c r="A811" s="13">
        <v>45930</v>
      </c>
      <c r="B811">
        <v>1</v>
      </c>
      <c r="D811" t="s">
        <v>31</v>
      </c>
      <c r="E811" t="s">
        <v>41</v>
      </c>
      <c r="F811" t="s">
        <v>41</v>
      </c>
      <c r="H811" t="s">
        <v>179</v>
      </c>
      <c r="I811" t="s">
        <v>178</v>
      </c>
      <c r="K811">
        <v>31</v>
      </c>
      <c r="M811" s="13">
        <v>46873</v>
      </c>
      <c r="N811" s="13">
        <v>46873</v>
      </c>
      <c r="O811" s="13">
        <v>46873</v>
      </c>
      <c r="P811" s="24">
        <v>1149080616.1521149</v>
      </c>
      <c r="V811">
        <v>1</v>
      </c>
      <c r="W811" t="s">
        <v>33</v>
      </c>
      <c r="Y811" t="s">
        <v>33</v>
      </c>
      <c r="Z811" t="s">
        <v>34</v>
      </c>
      <c r="AA811">
        <v>1</v>
      </c>
    </row>
    <row r="812" spans="1:27" x14ac:dyDescent="0.35">
      <c r="A812" s="13">
        <v>45930</v>
      </c>
      <c r="B812">
        <v>1</v>
      </c>
      <c r="D812" t="s">
        <v>31</v>
      </c>
      <c r="E812" t="s">
        <v>41</v>
      </c>
      <c r="F812" t="s">
        <v>41</v>
      </c>
      <c r="H812" t="s">
        <v>179</v>
      </c>
      <c r="I812" t="s">
        <v>178</v>
      </c>
      <c r="K812">
        <v>32</v>
      </c>
      <c r="M812" s="13">
        <v>46904</v>
      </c>
      <c r="N812" s="13">
        <v>46904</v>
      </c>
      <c r="O812" s="13">
        <v>46904</v>
      </c>
      <c r="P812" s="24">
        <v>1131407189.4936676</v>
      </c>
      <c r="V812">
        <v>1</v>
      </c>
      <c r="W812" t="s">
        <v>33</v>
      </c>
      <c r="Y812" t="s">
        <v>33</v>
      </c>
      <c r="Z812" t="s">
        <v>34</v>
      </c>
      <c r="AA812">
        <v>1</v>
      </c>
    </row>
    <row r="813" spans="1:27" x14ac:dyDescent="0.35">
      <c r="A813" s="13">
        <v>45930</v>
      </c>
      <c r="B813">
        <v>1</v>
      </c>
      <c r="D813" t="s">
        <v>31</v>
      </c>
      <c r="E813" t="s">
        <v>41</v>
      </c>
      <c r="F813" t="s">
        <v>41</v>
      </c>
      <c r="H813" t="s">
        <v>179</v>
      </c>
      <c r="I813" t="s">
        <v>178</v>
      </c>
      <c r="K813">
        <v>33</v>
      </c>
      <c r="M813" s="13">
        <v>46934</v>
      </c>
      <c r="N813" s="13">
        <v>46934</v>
      </c>
      <c r="O813" s="13">
        <v>46934</v>
      </c>
      <c r="P813" s="24">
        <v>1114005588.8546295</v>
      </c>
      <c r="V813">
        <v>1</v>
      </c>
      <c r="W813" t="s">
        <v>33</v>
      </c>
      <c r="Y813" t="s">
        <v>33</v>
      </c>
      <c r="Z813" t="s">
        <v>34</v>
      </c>
      <c r="AA813">
        <v>1</v>
      </c>
    </row>
    <row r="814" spans="1:27" x14ac:dyDescent="0.35">
      <c r="A814" s="13">
        <v>45930</v>
      </c>
      <c r="B814">
        <v>1</v>
      </c>
      <c r="D814" t="s">
        <v>31</v>
      </c>
      <c r="E814" t="s">
        <v>41</v>
      </c>
      <c r="F814" t="s">
        <v>41</v>
      </c>
      <c r="H814" t="s">
        <v>179</v>
      </c>
      <c r="I814" t="s">
        <v>178</v>
      </c>
      <c r="K814">
        <v>34</v>
      </c>
      <c r="M814" s="13">
        <v>46965</v>
      </c>
      <c r="N814" s="13">
        <v>46965</v>
      </c>
      <c r="O814" s="13">
        <v>46965</v>
      </c>
      <c r="P814" s="24">
        <v>1096871633.4167175</v>
      </c>
      <c r="V814">
        <v>1</v>
      </c>
      <c r="W814" t="s">
        <v>33</v>
      </c>
      <c r="Y814" t="s">
        <v>33</v>
      </c>
      <c r="Z814" t="s">
        <v>34</v>
      </c>
      <c r="AA814">
        <v>1</v>
      </c>
    </row>
    <row r="815" spans="1:27" x14ac:dyDescent="0.35">
      <c r="A815" s="13">
        <v>45930</v>
      </c>
      <c r="B815">
        <v>1</v>
      </c>
      <c r="D815" t="s">
        <v>31</v>
      </c>
      <c r="E815" t="s">
        <v>41</v>
      </c>
      <c r="F815" t="s">
        <v>41</v>
      </c>
      <c r="H815" t="s">
        <v>179</v>
      </c>
      <c r="I815" t="s">
        <v>178</v>
      </c>
      <c r="K815">
        <v>35</v>
      </c>
      <c r="M815" s="13">
        <v>46996</v>
      </c>
      <c r="N815" s="13">
        <v>46996</v>
      </c>
      <c r="O815" s="13">
        <v>46996</v>
      </c>
      <c r="P815" s="24">
        <v>1080001206.6647186</v>
      </c>
      <c r="V815">
        <v>1</v>
      </c>
      <c r="W815" t="s">
        <v>33</v>
      </c>
      <c r="Y815" t="s">
        <v>33</v>
      </c>
      <c r="Z815" t="s">
        <v>34</v>
      </c>
      <c r="AA815">
        <v>1</v>
      </c>
    </row>
    <row r="816" spans="1:27" x14ac:dyDescent="0.35">
      <c r="A816" s="13">
        <v>45930</v>
      </c>
      <c r="B816">
        <v>1</v>
      </c>
      <c r="D816" t="s">
        <v>31</v>
      </c>
      <c r="E816" t="s">
        <v>41</v>
      </c>
      <c r="F816" t="s">
        <v>41</v>
      </c>
      <c r="H816" t="s">
        <v>179</v>
      </c>
      <c r="I816" t="s">
        <v>178</v>
      </c>
      <c r="K816">
        <v>36</v>
      </c>
      <c r="M816" s="13">
        <v>47026</v>
      </c>
      <c r="N816" s="13">
        <v>47026</v>
      </c>
      <c r="O816" s="13">
        <v>47026</v>
      </c>
      <c r="P816" s="24">
        <v>1063390255.3975143</v>
      </c>
      <c r="V816">
        <v>1</v>
      </c>
      <c r="W816" t="s">
        <v>33</v>
      </c>
      <c r="Y816" t="s">
        <v>33</v>
      </c>
      <c r="Z816" t="s">
        <v>34</v>
      </c>
      <c r="AA816">
        <v>1</v>
      </c>
    </row>
    <row r="817" spans="1:27" x14ac:dyDescent="0.35">
      <c r="A817" s="13">
        <v>45930</v>
      </c>
      <c r="B817">
        <v>1</v>
      </c>
      <c r="D817" t="s">
        <v>31</v>
      </c>
      <c r="E817" t="s">
        <v>41</v>
      </c>
      <c r="F817" t="s">
        <v>41</v>
      </c>
      <c r="H817" t="s">
        <v>179</v>
      </c>
      <c r="I817" t="s">
        <v>178</v>
      </c>
      <c r="K817">
        <v>37</v>
      </c>
      <c r="M817" s="13">
        <v>47057</v>
      </c>
      <c r="N817" s="13">
        <v>47057</v>
      </c>
      <c r="O817" s="13">
        <v>47057</v>
      </c>
      <c r="P817" s="24">
        <v>1047034788.7540741</v>
      </c>
      <c r="V817">
        <v>1</v>
      </c>
      <c r="W817" t="s">
        <v>33</v>
      </c>
      <c r="Y817" t="s">
        <v>33</v>
      </c>
      <c r="Z817" t="s">
        <v>34</v>
      </c>
      <c r="AA817">
        <v>1</v>
      </c>
    </row>
    <row r="818" spans="1:27" x14ac:dyDescent="0.35">
      <c r="A818" s="13">
        <v>45930</v>
      </c>
      <c r="B818">
        <v>1</v>
      </c>
      <c r="D818" t="s">
        <v>31</v>
      </c>
      <c r="E818" t="s">
        <v>41</v>
      </c>
      <c r="F818" t="s">
        <v>41</v>
      </c>
      <c r="H818" t="s">
        <v>179</v>
      </c>
      <c r="I818" t="s">
        <v>178</v>
      </c>
      <c r="K818">
        <v>38</v>
      </c>
      <c r="M818" s="13">
        <v>47087</v>
      </c>
      <c r="N818" s="13">
        <v>47087</v>
      </c>
      <c r="O818" s="13">
        <v>47087</v>
      </c>
      <c r="P818" s="24">
        <v>1030930877.2549591</v>
      </c>
      <c r="V818">
        <v>1</v>
      </c>
      <c r="W818" t="s">
        <v>33</v>
      </c>
      <c r="Y818" t="s">
        <v>33</v>
      </c>
      <c r="Z818" t="s">
        <v>34</v>
      </c>
      <c r="AA818">
        <v>1</v>
      </c>
    </row>
    <row r="819" spans="1:27" x14ac:dyDescent="0.35">
      <c r="A819" s="13">
        <v>45930</v>
      </c>
      <c r="B819">
        <v>1</v>
      </c>
      <c r="D819" t="s">
        <v>31</v>
      </c>
      <c r="E819" t="s">
        <v>41</v>
      </c>
      <c r="F819" t="s">
        <v>41</v>
      </c>
      <c r="H819" t="s">
        <v>179</v>
      </c>
      <c r="I819" t="s">
        <v>178</v>
      </c>
      <c r="K819">
        <v>39</v>
      </c>
      <c r="M819" s="13">
        <v>47118</v>
      </c>
      <c r="N819" s="13">
        <v>47118</v>
      </c>
      <c r="O819" s="13">
        <v>47118</v>
      </c>
      <c r="P819" s="24">
        <v>1015074651.8579102</v>
      </c>
      <c r="V819">
        <v>1</v>
      </c>
      <c r="W819" t="s">
        <v>33</v>
      </c>
      <c r="Y819" t="s">
        <v>33</v>
      </c>
      <c r="Z819" t="s">
        <v>34</v>
      </c>
      <c r="AA819">
        <v>1</v>
      </c>
    </row>
    <row r="820" spans="1:27" x14ac:dyDescent="0.35">
      <c r="A820" s="13">
        <v>45930</v>
      </c>
      <c r="B820">
        <v>1</v>
      </c>
      <c r="D820" t="s">
        <v>31</v>
      </c>
      <c r="E820" t="s">
        <v>41</v>
      </c>
      <c r="F820" t="s">
        <v>41</v>
      </c>
      <c r="H820" t="s">
        <v>179</v>
      </c>
      <c r="I820" t="s">
        <v>178</v>
      </c>
      <c r="K820">
        <v>40</v>
      </c>
      <c r="M820" s="13">
        <v>47149</v>
      </c>
      <c r="N820" s="13">
        <v>47149</v>
      </c>
      <c r="O820" s="13">
        <v>47149</v>
      </c>
      <c r="P820" s="24">
        <v>999462303.02851868</v>
      </c>
      <c r="V820">
        <v>1</v>
      </c>
      <c r="W820" t="s">
        <v>33</v>
      </c>
      <c r="Y820" t="s">
        <v>33</v>
      </c>
      <c r="Z820" t="s">
        <v>34</v>
      </c>
      <c r="AA820">
        <v>1</v>
      </c>
    </row>
    <row r="821" spans="1:27" x14ac:dyDescent="0.35">
      <c r="A821" s="13">
        <v>45930</v>
      </c>
      <c r="B821">
        <v>1</v>
      </c>
      <c r="D821" t="s">
        <v>31</v>
      </c>
      <c r="E821" t="s">
        <v>41</v>
      </c>
      <c r="F821" t="s">
        <v>41</v>
      </c>
      <c r="H821" t="s">
        <v>179</v>
      </c>
      <c r="I821" t="s">
        <v>178</v>
      </c>
      <c r="K821">
        <v>41</v>
      </c>
      <c r="M821" s="13">
        <v>47177</v>
      </c>
      <c r="N821" s="13">
        <v>47177</v>
      </c>
      <c r="O821" s="13">
        <v>47177</v>
      </c>
      <c r="P821" s="24">
        <v>984090079.82489014</v>
      </c>
      <c r="V821">
        <v>1</v>
      </c>
      <c r="W821" t="s">
        <v>33</v>
      </c>
      <c r="Y821" t="s">
        <v>33</v>
      </c>
      <c r="Z821" t="s">
        <v>34</v>
      </c>
      <c r="AA821">
        <v>1</v>
      </c>
    </row>
    <row r="822" spans="1:27" x14ac:dyDescent="0.35">
      <c r="A822" s="13">
        <v>45930</v>
      </c>
      <c r="B822">
        <v>1</v>
      </c>
      <c r="D822" t="s">
        <v>31</v>
      </c>
      <c r="E822" t="s">
        <v>41</v>
      </c>
      <c r="F822" t="s">
        <v>41</v>
      </c>
      <c r="H822" t="s">
        <v>179</v>
      </c>
      <c r="I822" t="s">
        <v>178</v>
      </c>
      <c r="K822">
        <v>42</v>
      </c>
      <c r="M822" s="13">
        <v>47208</v>
      </c>
      <c r="N822" s="13">
        <v>47208</v>
      </c>
      <c r="O822" s="13">
        <v>47208</v>
      </c>
      <c r="P822" s="24">
        <v>968954288.99645996</v>
      </c>
      <c r="V822">
        <v>1</v>
      </c>
      <c r="W822" t="s">
        <v>33</v>
      </c>
      <c r="Y822" t="s">
        <v>33</v>
      </c>
      <c r="Z822" t="s">
        <v>34</v>
      </c>
      <c r="AA822">
        <v>1</v>
      </c>
    </row>
    <row r="823" spans="1:27" x14ac:dyDescent="0.35">
      <c r="A823" s="13">
        <v>45930</v>
      </c>
      <c r="B823">
        <v>1</v>
      </c>
      <c r="D823" t="s">
        <v>31</v>
      </c>
      <c r="E823" t="s">
        <v>41</v>
      </c>
      <c r="F823" t="s">
        <v>41</v>
      </c>
      <c r="H823" t="s">
        <v>179</v>
      </c>
      <c r="I823" t="s">
        <v>178</v>
      </c>
      <c r="K823">
        <v>43</v>
      </c>
      <c r="M823" s="13">
        <v>47238</v>
      </c>
      <c r="N823" s="13">
        <v>47238</v>
      </c>
      <c r="O823" s="13">
        <v>47238</v>
      </c>
      <c r="P823" s="24">
        <v>954051294.09666443</v>
      </c>
      <c r="V823">
        <v>1</v>
      </c>
      <c r="W823" t="s">
        <v>33</v>
      </c>
      <c r="Y823" t="s">
        <v>33</v>
      </c>
      <c r="Z823" t="s">
        <v>34</v>
      </c>
      <c r="AA823">
        <v>1</v>
      </c>
    </row>
    <row r="824" spans="1:27" x14ac:dyDescent="0.35">
      <c r="A824" s="13">
        <v>45930</v>
      </c>
      <c r="B824">
        <v>1</v>
      </c>
      <c r="D824" t="s">
        <v>31</v>
      </c>
      <c r="E824" t="s">
        <v>41</v>
      </c>
      <c r="F824" t="s">
        <v>41</v>
      </c>
      <c r="H824" t="s">
        <v>179</v>
      </c>
      <c r="I824" t="s">
        <v>178</v>
      </c>
      <c r="K824">
        <v>44</v>
      </c>
      <c r="M824" s="13">
        <v>47269</v>
      </c>
      <c r="N824" s="13">
        <v>47269</v>
      </c>
      <c r="O824" s="13">
        <v>47269</v>
      </c>
      <c r="P824" s="24">
        <v>939377514.60931396</v>
      </c>
      <c r="V824">
        <v>1</v>
      </c>
      <c r="W824" t="s">
        <v>33</v>
      </c>
      <c r="Y824" t="s">
        <v>33</v>
      </c>
      <c r="Z824" t="s">
        <v>34</v>
      </c>
      <c r="AA824">
        <v>1</v>
      </c>
    </row>
    <row r="825" spans="1:27" x14ac:dyDescent="0.35">
      <c r="A825" s="13">
        <v>45930</v>
      </c>
      <c r="B825">
        <v>1</v>
      </c>
      <c r="D825" t="s">
        <v>31</v>
      </c>
      <c r="E825" t="s">
        <v>41</v>
      </c>
      <c r="F825" t="s">
        <v>41</v>
      </c>
      <c r="H825" t="s">
        <v>179</v>
      </c>
      <c r="I825" t="s">
        <v>178</v>
      </c>
      <c r="K825">
        <v>45</v>
      </c>
      <c r="M825" s="13">
        <v>47299</v>
      </c>
      <c r="N825" s="13">
        <v>47299</v>
      </c>
      <c r="O825" s="13">
        <v>47299</v>
      </c>
      <c r="P825" s="24">
        <v>924929425.08828735</v>
      </c>
      <c r="V825">
        <v>1</v>
      </c>
      <c r="W825" t="s">
        <v>33</v>
      </c>
      <c r="Y825" t="s">
        <v>33</v>
      </c>
      <c r="Z825" t="s">
        <v>34</v>
      </c>
      <c r="AA825">
        <v>1</v>
      </c>
    </row>
    <row r="826" spans="1:27" x14ac:dyDescent="0.35">
      <c r="A826" s="13">
        <v>45930</v>
      </c>
      <c r="B826">
        <v>1</v>
      </c>
      <c r="D826" t="s">
        <v>31</v>
      </c>
      <c r="E826" t="s">
        <v>41</v>
      </c>
      <c r="F826" t="s">
        <v>41</v>
      </c>
      <c r="H826" t="s">
        <v>179</v>
      </c>
      <c r="I826" t="s">
        <v>178</v>
      </c>
      <c r="K826">
        <v>46</v>
      </c>
      <c r="M826" s="13">
        <v>47330</v>
      </c>
      <c r="N826" s="13">
        <v>47330</v>
      </c>
      <c r="O826" s="13">
        <v>47330</v>
      </c>
      <c r="P826" s="24">
        <v>910703554.31060028</v>
      </c>
      <c r="V826">
        <v>1</v>
      </c>
      <c r="W826" t="s">
        <v>33</v>
      </c>
      <c r="Y826" t="s">
        <v>33</v>
      </c>
      <c r="Z826" t="s">
        <v>34</v>
      </c>
      <c r="AA826">
        <v>1</v>
      </c>
    </row>
    <row r="827" spans="1:27" x14ac:dyDescent="0.35">
      <c r="A827" s="13">
        <v>45930</v>
      </c>
      <c r="B827">
        <v>1</v>
      </c>
      <c r="D827" t="s">
        <v>31</v>
      </c>
      <c r="E827" t="s">
        <v>41</v>
      </c>
      <c r="F827" t="s">
        <v>41</v>
      </c>
      <c r="H827" t="s">
        <v>179</v>
      </c>
      <c r="I827" t="s">
        <v>178</v>
      </c>
      <c r="K827">
        <v>47</v>
      </c>
      <c r="M827" s="13">
        <v>47361</v>
      </c>
      <c r="N827" s="13">
        <v>47361</v>
      </c>
      <c r="O827" s="13">
        <v>47361</v>
      </c>
      <c r="P827" s="24">
        <v>896696484.44235992</v>
      </c>
      <c r="V827">
        <v>1</v>
      </c>
      <c r="W827" t="s">
        <v>33</v>
      </c>
      <c r="Y827" t="s">
        <v>33</v>
      </c>
      <c r="Z827" t="s">
        <v>34</v>
      </c>
      <c r="AA827">
        <v>1</v>
      </c>
    </row>
    <row r="828" spans="1:27" x14ac:dyDescent="0.35">
      <c r="A828" s="13">
        <v>45930</v>
      </c>
      <c r="B828">
        <v>1</v>
      </c>
      <c r="D828" t="s">
        <v>31</v>
      </c>
      <c r="E828" t="s">
        <v>41</v>
      </c>
      <c r="F828" t="s">
        <v>41</v>
      </c>
      <c r="H828" t="s">
        <v>179</v>
      </c>
      <c r="I828" t="s">
        <v>178</v>
      </c>
      <c r="K828">
        <v>48</v>
      </c>
      <c r="M828" s="13">
        <v>47391</v>
      </c>
      <c r="N828" s="13">
        <v>47391</v>
      </c>
      <c r="O828" s="13">
        <v>47391</v>
      </c>
      <c r="P828" s="24">
        <v>882904850.21763611</v>
      </c>
      <c r="V828">
        <v>1</v>
      </c>
      <c r="W828" t="s">
        <v>33</v>
      </c>
      <c r="Y828" t="s">
        <v>33</v>
      </c>
      <c r="Z828" t="s">
        <v>34</v>
      </c>
      <c r="AA828">
        <v>1</v>
      </c>
    </row>
    <row r="829" spans="1:27" x14ac:dyDescent="0.35">
      <c r="A829" s="13">
        <v>45930</v>
      </c>
      <c r="B829">
        <v>1</v>
      </c>
      <c r="D829" t="s">
        <v>31</v>
      </c>
      <c r="E829" t="s">
        <v>41</v>
      </c>
      <c r="F829" t="s">
        <v>41</v>
      </c>
      <c r="H829" t="s">
        <v>179</v>
      </c>
      <c r="I829" t="s">
        <v>178</v>
      </c>
      <c r="K829">
        <v>49</v>
      </c>
      <c r="M829" s="13">
        <v>47422</v>
      </c>
      <c r="N829" s="13">
        <v>47422</v>
      </c>
      <c r="O829" s="13">
        <v>47422</v>
      </c>
      <c r="P829" s="24">
        <v>869325338.12999725</v>
      </c>
      <c r="V829">
        <v>1</v>
      </c>
      <c r="W829" t="s">
        <v>33</v>
      </c>
      <c r="Y829" t="s">
        <v>33</v>
      </c>
      <c r="Z829" t="s">
        <v>34</v>
      </c>
      <c r="AA829">
        <v>1</v>
      </c>
    </row>
    <row r="830" spans="1:27" x14ac:dyDescent="0.35">
      <c r="A830" s="13">
        <v>45930</v>
      </c>
      <c r="B830">
        <v>1</v>
      </c>
      <c r="D830" t="s">
        <v>31</v>
      </c>
      <c r="E830" t="s">
        <v>41</v>
      </c>
      <c r="F830" t="s">
        <v>41</v>
      </c>
      <c r="H830" t="s">
        <v>179</v>
      </c>
      <c r="I830" t="s">
        <v>178</v>
      </c>
      <c r="K830">
        <v>50</v>
      </c>
      <c r="M830" s="13">
        <v>47452</v>
      </c>
      <c r="N830" s="13">
        <v>47452</v>
      </c>
      <c r="O830" s="13">
        <v>47452</v>
      </c>
      <c r="P830" s="24">
        <v>855954685.63636017</v>
      </c>
      <c r="V830">
        <v>1</v>
      </c>
      <c r="W830" t="s">
        <v>33</v>
      </c>
      <c r="Y830" t="s">
        <v>33</v>
      </c>
      <c r="Z830" t="s">
        <v>34</v>
      </c>
      <c r="AA830">
        <v>1</v>
      </c>
    </row>
    <row r="831" spans="1:27" x14ac:dyDescent="0.35">
      <c r="A831" s="13">
        <v>45930</v>
      </c>
      <c r="B831">
        <v>1</v>
      </c>
      <c r="D831" t="s">
        <v>31</v>
      </c>
      <c r="E831" t="s">
        <v>41</v>
      </c>
      <c r="F831" t="s">
        <v>41</v>
      </c>
      <c r="H831" t="s">
        <v>179</v>
      </c>
      <c r="I831" t="s">
        <v>178</v>
      </c>
      <c r="K831">
        <v>51</v>
      </c>
      <c r="M831" s="13">
        <v>47483</v>
      </c>
      <c r="N831" s="13">
        <v>47483</v>
      </c>
      <c r="O831" s="13">
        <v>47483</v>
      </c>
      <c r="P831" s="24">
        <v>842789680.37309265</v>
      </c>
      <c r="V831">
        <v>1</v>
      </c>
      <c r="W831" t="s">
        <v>33</v>
      </c>
      <c r="Y831" t="s">
        <v>33</v>
      </c>
      <c r="Z831" t="s">
        <v>34</v>
      </c>
      <c r="AA831">
        <v>1</v>
      </c>
    </row>
    <row r="832" spans="1:27" x14ac:dyDescent="0.35">
      <c r="A832" s="13">
        <v>45930</v>
      </c>
      <c r="B832">
        <v>1</v>
      </c>
      <c r="D832" t="s">
        <v>31</v>
      </c>
      <c r="E832" t="s">
        <v>41</v>
      </c>
      <c r="F832" t="s">
        <v>41</v>
      </c>
      <c r="H832" t="s">
        <v>179</v>
      </c>
      <c r="I832" t="s">
        <v>178</v>
      </c>
      <c r="K832">
        <v>52</v>
      </c>
      <c r="M832" s="13">
        <v>47514</v>
      </c>
      <c r="N832" s="13">
        <v>47514</v>
      </c>
      <c r="O832" s="13">
        <v>47514</v>
      </c>
      <c r="P832" s="24">
        <v>829827159.38441467</v>
      </c>
      <c r="V832">
        <v>1</v>
      </c>
      <c r="W832" t="s">
        <v>33</v>
      </c>
      <c r="Y832" t="s">
        <v>33</v>
      </c>
      <c r="Z832" t="s">
        <v>34</v>
      </c>
      <c r="AA832">
        <v>1</v>
      </c>
    </row>
    <row r="833" spans="1:27" x14ac:dyDescent="0.35">
      <c r="A833" s="13">
        <v>45930</v>
      </c>
      <c r="B833">
        <v>1</v>
      </c>
      <c r="D833" t="s">
        <v>31</v>
      </c>
      <c r="E833" t="s">
        <v>41</v>
      </c>
      <c r="F833" t="s">
        <v>41</v>
      </c>
      <c r="H833" t="s">
        <v>179</v>
      </c>
      <c r="I833" t="s">
        <v>178</v>
      </c>
      <c r="K833">
        <v>53</v>
      </c>
      <c r="M833" s="13">
        <v>47542</v>
      </c>
      <c r="N833" s="13">
        <v>47542</v>
      </c>
      <c r="O833" s="13">
        <v>47542</v>
      </c>
      <c r="P833" s="24">
        <v>817064008.36226654</v>
      </c>
      <c r="V833">
        <v>1</v>
      </c>
      <c r="W833" t="s">
        <v>33</v>
      </c>
      <c r="Y833" t="s">
        <v>33</v>
      </c>
      <c r="Z833" t="s">
        <v>34</v>
      </c>
      <c r="AA833">
        <v>1</v>
      </c>
    </row>
    <row r="834" spans="1:27" x14ac:dyDescent="0.35">
      <c r="A834" s="13">
        <v>45930</v>
      </c>
      <c r="B834">
        <v>1</v>
      </c>
      <c r="D834" t="s">
        <v>31</v>
      </c>
      <c r="E834" t="s">
        <v>41</v>
      </c>
      <c r="F834" t="s">
        <v>41</v>
      </c>
      <c r="H834" t="s">
        <v>179</v>
      </c>
      <c r="I834" t="s">
        <v>178</v>
      </c>
      <c r="K834">
        <v>54</v>
      </c>
      <c r="M834" s="13">
        <v>47573</v>
      </c>
      <c r="N834" s="13">
        <v>47573</v>
      </c>
      <c r="O834" s="13">
        <v>47573</v>
      </c>
      <c r="P834" s="24">
        <v>804497160.89824677</v>
      </c>
      <c r="V834">
        <v>1</v>
      </c>
      <c r="W834" t="s">
        <v>33</v>
      </c>
      <c r="Y834" t="s">
        <v>33</v>
      </c>
      <c r="Z834" t="s">
        <v>34</v>
      </c>
      <c r="AA834">
        <v>1</v>
      </c>
    </row>
    <row r="835" spans="1:27" x14ac:dyDescent="0.35">
      <c r="A835" s="13">
        <v>45930</v>
      </c>
      <c r="B835">
        <v>1</v>
      </c>
      <c r="D835" t="s">
        <v>31</v>
      </c>
      <c r="E835" t="s">
        <v>41</v>
      </c>
      <c r="F835" t="s">
        <v>41</v>
      </c>
      <c r="H835" t="s">
        <v>179</v>
      </c>
      <c r="I835" t="s">
        <v>178</v>
      </c>
      <c r="K835">
        <v>55</v>
      </c>
      <c r="M835" s="13">
        <v>47603</v>
      </c>
      <c r="N835" s="13">
        <v>47603</v>
      </c>
      <c r="O835" s="13">
        <v>47603</v>
      </c>
      <c r="P835" s="24">
        <v>792123597.74681091</v>
      </c>
      <c r="V835">
        <v>1</v>
      </c>
      <c r="W835" t="s">
        <v>33</v>
      </c>
      <c r="Y835" t="s">
        <v>33</v>
      </c>
      <c r="Z835" t="s">
        <v>34</v>
      </c>
      <c r="AA835">
        <v>1</v>
      </c>
    </row>
    <row r="836" spans="1:27" x14ac:dyDescent="0.35">
      <c r="A836" s="13">
        <v>45930</v>
      </c>
      <c r="B836">
        <v>1</v>
      </c>
      <c r="D836" t="s">
        <v>31</v>
      </c>
      <c r="E836" t="s">
        <v>41</v>
      </c>
      <c r="F836" t="s">
        <v>41</v>
      </c>
      <c r="H836" t="s">
        <v>179</v>
      </c>
      <c r="I836" t="s">
        <v>178</v>
      </c>
      <c r="K836">
        <v>56</v>
      </c>
      <c r="M836" s="13">
        <v>47634</v>
      </c>
      <c r="N836" s="13">
        <v>47634</v>
      </c>
      <c r="O836" s="13">
        <v>47634</v>
      </c>
      <c r="P836" s="24">
        <v>779940346.09986877</v>
      </c>
      <c r="V836">
        <v>1</v>
      </c>
      <c r="W836" t="s">
        <v>33</v>
      </c>
      <c r="Y836" t="s">
        <v>33</v>
      </c>
      <c r="Z836" t="s">
        <v>34</v>
      </c>
      <c r="AA836">
        <v>1</v>
      </c>
    </row>
    <row r="837" spans="1:27" x14ac:dyDescent="0.35">
      <c r="A837" s="13">
        <v>45930</v>
      </c>
      <c r="B837">
        <v>1</v>
      </c>
      <c r="D837" t="s">
        <v>31</v>
      </c>
      <c r="E837" t="s">
        <v>41</v>
      </c>
      <c r="F837" t="s">
        <v>41</v>
      </c>
      <c r="H837" t="s">
        <v>179</v>
      </c>
      <c r="I837" t="s">
        <v>178</v>
      </c>
      <c r="K837">
        <v>57</v>
      </c>
      <c r="M837" s="13">
        <v>47664</v>
      </c>
      <c r="N837" s="13">
        <v>47664</v>
      </c>
      <c r="O837" s="13">
        <v>47664</v>
      </c>
      <c r="P837" s="24">
        <v>767944478.87262726</v>
      </c>
      <c r="V837">
        <v>1</v>
      </c>
      <c r="W837" t="s">
        <v>33</v>
      </c>
      <c r="Y837" t="s">
        <v>33</v>
      </c>
      <c r="Z837" t="s">
        <v>34</v>
      </c>
      <c r="AA837">
        <v>1</v>
      </c>
    </row>
    <row r="838" spans="1:27" x14ac:dyDescent="0.35">
      <c r="A838" s="13">
        <v>45930</v>
      </c>
      <c r="B838">
        <v>1</v>
      </c>
      <c r="D838" t="s">
        <v>31</v>
      </c>
      <c r="E838" t="s">
        <v>41</v>
      </c>
      <c r="F838" t="s">
        <v>41</v>
      </c>
      <c r="H838" t="s">
        <v>179</v>
      </c>
      <c r="I838" t="s">
        <v>178</v>
      </c>
      <c r="K838">
        <v>58</v>
      </c>
      <c r="M838" s="13">
        <v>47695</v>
      </c>
      <c r="N838" s="13">
        <v>47695</v>
      </c>
      <c r="O838" s="13">
        <v>47695</v>
      </c>
      <c r="P838" s="24">
        <v>756133114.00028229</v>
      </c>
      <c r="V838">
        <v>1</v>
      </c>
      <c r="W838" t="s">
        <v>33</v>
      </c>
      <c r="Y838" t="s">
        <v>33</v>
      </c>
      <c r="Z838" t="s">
        <v>34</v>
      </c>
      <c r="AA838">
        <v>1</v>
      </c>
    </row>
    <row r="839" spans="1:27" x14ac:dyDescent="0.35">
      <c r="A839" s="13">
        <v>45930</v>
      </c>
      <c r="B839">
        <v>1</v>
      </c>
      <c r="D839" t="s">
        <v>31</v>
      </c>
      <c r="E839" t="s">
        <v>41</v>
      </c>
      <c r="F839" t="s">
        <v>41</v>
      </c>
      <c r="H839" t="s">
        <v>179</v>
      </c>
      <c r="I839" t="s">
        <v>178</v>
      </c>
      <c r="K839">
        <v>59</v>
      </c>
      <c r="M839" s="13">
        <v>47726</v>
      </c>
      <c r="N839" s="13">
        <v>47726</v>
      </c>
      <c r="O839" s="13">
        <v>47726</v>
      </c>
      <c r="P839" s="24">
        <v>744503413.7456131</v>
      </c>
      <c r="V839">
        <v>1</v>
      </c>
      <c r="W839" t="s">
        <v>33</v>
      </c>
      <c r="Y839" t="s">
        <v>33</v>
      </c>
      <c r="Z839" t="s">
        <v>34</v>
      </c>
      <c r="AA839">
        <v>1</v>
      </c>
    </row>
    <row r="840" spans="1:27" x14ac:dyDescent="0.35">
      <c r="A840" s="13">
        <v>45930</v>
      </c>
      <c r="B840">
        <v>1</v>
      </c>
      <c r="D840" t="s">
        <v>31</v>
      </c>
      <c r="E840" t="s">
        <v>41</v>
      </c>
      <c r="F840" t="s">
        <v>41</v>
      </c>
      <c r="H840" t="s">
        <v>179</v>
      </c>
      <c r="I840" t="s">
        <v>178</v>
      </c>
      <c r="K840">
        <v>60</v>
      </c>
      <c r="M840" s="13">
        <v>47756</v>
      </c>
      <c r="N840" s="13">
        <v>47756</v>
      </c>
      <c r="O840" s="13">
        <v>47756</v>
      </c>
      <c r="P840" s="24">
        <v>733052584.0171814</v>
      </c>
      <c r="V840">
        <v>1</v>
      </c>
      <c r="W840" t="s">
        <v>33</v>
      </c>
      <c r="Y840" t="s">
        <v>33</v>
      </c>
      <c r="Z840" t="s">
        <v>34</v>
      </c>
      <c r="AA840">
        <v>1</v>
      </c>
    </row>
    <row r="841" spans="1:27" x14ac:dyDescent="0.35">
      <c r="A841" s="13">
        <v>45930</v>
      </c>
      <c r="B841">
        <v>1</v>
      </c>
      <c r="D841" t="s">
        <v>31</v>
      </c>
      <c r="E841" t="s">
        <v>41</v>
      </c>
      <c r="F841" t="s">
        <v>41</v>
      </c>
      <c r="H841" t="s">
        <v>179</v>
      </c>
      <c r="I841" t="s">
        <v>178</v>
      </c>
      <c r="K841">
        <v>61</v>
      </c>
      <c r="M841" s="13">
        <v>47787</v>
      </c>
      <c r="N841" s="13">
        <v>47787</v>
      </c>
      <c r="O841" s="13">
        <v>47787</v>
      </c>
      <c r="P841" s="24">
        <v>721777873.6980896</v>
      </c>
      <c r="V841">
        <v>1</v>
      </c>
      <c r="W841" t="s">
        <v>33</v>
      </c>
      <c r="Y841" t="s">
        <v>33</v>
      </c>
      <c r="Z841" t="s">
        <v>34</v>
      </c>
      <c r="AA841">
        <v>1</v>
      </c>
    </row>
    <row r="842" spans="1:27" x14ac:dyDescent="0.35">
      <c r="A842" s="13">
        <v>45930</v>
      </c>
      <c r="B842">
        <v>1</v>
      </c>
      <c r="D842" t="s">
        <v>31</v>
      </c>
      <c r="E842" t="s">
        <v>41</v>
      </c>
      <c r="F842" t="s">
        <v>41</v>
      </c>
      <c r="H842" t="s">
        <v>179</v>
      </c>
      <c r="I842" t="s">
        <v>178</v>
      </c>
      <c r="K842">
        <v>62</v>
      </c>
      <c r="M842" s="13">
        <v>47817</v>
      </c>
      <c r="N842" s="13">
        <v>47817</v>
      </c>
      <c r="O842" s="13">
        <v>47817</v>
      </c>
      <c r="P842" s="24">
        <v>710676573.98491669</v>
      </c>
      <c r="V842">
        <v>1</v>
      </c>
      <c r="W842" t="s">
        <v>33</v>
      </c>
      <c r="Y842" t="s">
        <v>33</v>
      </c>
      <c r="Z842" t="s">
        <v>34</v>
      </c>
      <c r="AA842">
        <v>1</v>
      </c>
    </row>
    <row r="843" spans="1:27" x14ac:dyDescent="0.35">
      <c r="A843" s="13">
        <v>45930</v>
      </c>
      <c r="B843">
        <v>1</v>
      </c>
      <c r="D843" t="s">
        <v>31</v>
      </c>
      <c r="E843" t="s">
        <v>41</v>
      </c>
      <c r="F843" t="s">
        <v>41</v>
      </c>
      <c r="H843" t="s">
        <v>179</v>
      </c>
      <c r="I843" t="s">
        <v>178</v>
      </c>
      <c r="K843">
        <v>63</v>
      </c>
      <c r="M843" s="13">
        <v>47848</v>
      </c>
      <c r="N843" s="13">
        <v>47848</v>
      </c>
      <c r="O843" s="13">
        <v>47848</v>
      </c>
      <c r="P843" s="24">
        <v>699746017.73704529</v>
      </c>
      <c r="V843">
        <v>1</v>
      </c>
      <c r="W843" t="s">
        <v>33</v>
      </c>
      <c r="Y843" t="s">
        <v>33</v>
      </c>
      <c r="Z843" t="s">
        <v>34</v>
      </c>
      <c r="AA843">
        <v>1</v>
      </c>
    </row>
    <row r="844" spans="1:27" x14ac:dyDescent="0.35">
      <c r="A844" s="13">
        <v>45930</v>
      </c>
      <c r="B844">
        <v>1</v>
      </c>
      <c r="D844" t="s">
        <v>31</v>
      </c>
      <c r="E844" t="s">
        <v>41</v>
      </c>
      <c r="F844" t="s">
        <v>41</v>
      </c>
      <c r="H844" t="s">
        <v>179</v>
      </c>
      <c r="I844" t="s">
        <v>178</v>
      </c>
      <c r="K844">
        <v>64</v>
      </c>
      <c r="M844" s="13">
        <v>47879</v>
      </c>
      <c r="N844" s="13">
        <v>47879</v>
      </c>
      <c r="O844" s="13">
        <v>47879</v>
      </c>
      <c r="P844" s="24">
        <v>688983578.83574677</v>
      </c>
      <c r="V844">
        <v>1</v>
      </c>
      <c r="W844" t="s">
        <v>33</v>
      </c>
      <c r="Y844" t="s">
        <v>33</v>
      </c>
      <c r="Z844" t="s">
        <v>34</v>
      </c>
      <c r="AA844">
        <v>1</v>
      </c>
    </row>
    <row r="845" spans="1:27" x14ac:dyDescent="0.35">
      <c r="A845" s="13">
        <v>45930</v>
      </c>
      <c r="B845">
        <v>1</v>
      </c>
      <c r="D845" t="s">
        <v>31</v>
      </c>
      <c r="E845" t="s">
        <v>41</v>
      </c>
      <c r="F845" t="s">
        <v>41</v>
      </c>
      <c r="H845" t="s">
        <v>179</v>
      </c>
      <c r="I845" t="s">
        <v>178</v>
      </c>
      <c r="K845">
        <v>65</v>
      </c>
      <c r="M845" s="13">
        <v>47907</v>
      </c>
      <c r="N845" s="13">
        <v>47907</v>
      </c>
      <c r="O845" s="13">
        <v>47907</v>
      </c>
      <c r="P845" s="24">
        <v>678386671.55328369</v>
      </c>
      <c r="V845">
        <v>1</v>
      </c>
      <c r="W845" t="s">
        <v>33</v>
      </c>
      <c r="Y845" t="s">
        <v>33</v>
      </c>
      <c r="Z845" t="s">
        <v>34</v>
      </c>
      <c r="AA845">
        <v>1</v>
      </c>
    </row>
    <row r="846" spans="1:27" x14ac:dyDescent="0.35">
      <c r="A846" s="13">
        <v>45930</v>
      </c>
      <c r="B846">
        <v>1</v>
      </c>
      <c r="D846" t="s">
        <v>31</v>
      </c>
      <c r="E846" t="s">
        <v>41</v>
      </c>
      <c r="F846" t="s">
        <v>41</v>
      </c>
      <c r="H846" t="s">
        <v>179</v>
      </c>
      <c r="I846" t="s">
        <v>178</v>
      </c>
      <c r="K846">
        <v>66</v>
      </c>
      <c r="M846" s="13">
        <v>47938</v>
      </c>
      <c r="N846" s="13">
        <v>47938</v>
      </c>
      <c r="O846" s="13">
        <v>47938</v>
      </c>
      <c r="P846" s="24">
        <v>667952749.93174744</v>
      </c>
      <c r="V846">
        <v>1</v>
      </c>
      <c r="W846" t="s">
        <v>33</v>
      </c>
      <c r="Y846" t="s">
        <v>33</v>
      </c>
      <c r="Z846" t="s">
        <v>34</v>
      </c>
      <c r="AA846">
        <v>1</v>
      </c>
    </row>
    <row r="847" spans="1:27" x14ac:dyDescent="0.35">
      <c r="A847" s="13">
        <v>45930</v>
      </c>
      <c r="B847">
        <v>1</v>
      </c>
      <c r="D847" t="s">
        <v>31</v>
      </c>
      <c r="E847" t="s">
        <v>41</v>
      </c>
      <c r="F847" t="s">
        <v>41</v>
      </c>
      <c r="H847" t="s">
        <v>179</v>
      </c>
      <c r="I847" t="s">
        <v>178</v>
      </c>
      <c r="K847">
        <v>67</v>
      </c>
      <c r="M847" s="13">
        <v>47968</v>
      </c>
      <c r="N847" s="13">
        <v>47968</v>
      </c>
      <c r="O847" s="13">
        <v>47968</v>
      </c>
      <c r="P847" s="24">
        <v>657679307.17126465</v>
      </c>
      <c r="V847">
        <v>1</v>
      </c>
      <c r="W847" t="s">
        <v>33</v>
      </c>
      <c r="Y847" t="s">
        <v>33</v>
      </c>
      <c r="Z847" t="s">
        <v>34</v>
      </c>
      <c r="AA847">
        <v>1</v>
      </c>
    </row>
    <row r="848" spans="1:27" x14ac:dyDescent="0.35">
      <c r="A848" s="13">
        <v>45930</v>
      </c>
      <c r="B848">
        <v>1</v>
      </c>
      <c r="D848" t="s">
        <v>31</v>
      </c>
      <c r="E848" t="s">
        <v>41</v>
      </c>
      <c r="F848" t="s">
        <v>41</v>
      </c>
      <c r="H848" t="s">
        <v>179</v>
      </c>
      <c r="I848" t="s">
        <v>178</v>
      </c>
      <c r="K848">
        <v>68</v>
      </c>
      <c r="M848" s="13">
        <v>47999</v>
      </c>
      <c r="N848" s="13">
        <v>47999</v>
      </c>
      <c r="O848" s="13">
        <v>47999</v>
      </c>
      <c r="P848" s="24">
        <v>647563875.02779388</v>
      </c>
      <c r="V848">
        <v>1</v>
      </c>
      <c r="W848" t="s">
        <v>33</v>
      </c>
      <c r="Y848" t="s">
        <v>33</v>
      </c>
      <c r="Z848" t="s">
        <v>34</v>
      </c>
      <c r="AA848">
        <v>1</v>
      </c>
    </row>
    <row r="849" spans="1:27" x14ac:dyDescent="0.35">
      <c r="A849" s="13">
        <v>45930</v>
      </c>
      <c r="B849">
        <v>1</v>
      </c>
      <c r="D849" t="s">
        <v>31</v>
      </c>
      <c r="E849" t="s">
        <v>41</v>
      </c>
      <c r="F849" t="s">
        <v>41</v>
      </c>
      <c r="H849" t="s">
        <v>179</v>
      </c>
      <c r="I849" t="s">
        <v>178</v>
      </c>
      <c r="K849">
        <v>69</v>
      </c>
      <c r="M849" s="13">
        <v>48029</v>
      </c>
      <c r="N849" s="13">
        <v>48029</v>
      </c>
      <c r="O849" s="13">
        <v>48029</v>
      </c>
      <c r="P849" s="24">
        <v>637604023.22009277</v>
      </c>
      <c r="V849">
        <v>1</v>
      </c>
      <c r="W849" t="s">
        <v>33</v>
      </c>
      <c r="Y849" t="s">
        <v>33</v>
      </c>
      <c r="Z849" t="s">
        <v>34</v>
      </c>
      <c r="AA849">
        <v>1</v>
      </c>
    </row>
    <row r="850" spans="1:27" x14ac:dyDescent="0.35">
      <c r="A850" s="13">
        <v>45930</v>
      </c>
      <c r="B850">
        <v>1</v>
      </c>
      <c r="D850" t="s">
        <v>31</v>
      </c>
      <c r="E850" t="s">
        <v>41</v>
      </c>
      <c r="F850" t="s">
        <v>41</v>
      </c>
      <c r="H850" t="s">
        <v>179</v>
      </c>
      <c r="I850" t="s">
        <v>178</v>
      </c>
      <c r="K850">
        <v>70</v>
      </c>
      <c r="M850" s="13">
        <v>48060</v>
      </c>
      <c r="N850" s="13">
        <v>48060</v>
      </c>
      <c r="O850" s="13">
        <v>48060</v>
      </c>
      <c r="P850" s="24">
        <v>627797358.84590912</v>
      </c>
      <c r="V850">
        <v>1</v>
      </c>
      <c r="W850" t="s">
        <v>33</v>
      </c>
      <c r="Y850" t="s">
        <v>33</v>
      </c>
      <c r="Z850" t="s">
        <v>34</v>
      </c>
      <c r="AA850">
        <v>1</v>
      </c>
    </row>
    <row r="851" spans="1:27" x14ac:dyDescent="0.35">
      <c r="A851" s="13">
        <v>45930</v>
      </c>
      <c r="B851">
        <v>1</v>
      </c>
      <c r="D851" t="s">
        <v>31</v>
      </c>
      <c r="E851" t="s">
        <v>41</v>
      </c>
      <c r="F851" t="s">
        <v>41</v>
      </c>
      <c r="H851" t="s">
        <v>179</v>
      </c>
      <c r="I851" t="s">
        <v>178</v>
      </c>
      <c r="K851">
        <v>71</v>
      </c>
      <c r="M851" s="13">
        <v>48091</v>
      </c>
      <c r="N851" s="13">
        <v>48091</v>
      </c>
      <c r="O851" s="13">
        <v>48091</v>
      </c>
      <c r="P851" s="24">
        <v>618141525.8068924</v>
      </c>
      <c r="V851">
        <v>1</v>
      </c>
      <c r="W851" t="s">
        <v>33</v>
      </c>
      <c r="Y851" t="s">
        <v>33</v>
      </c>
      <c r="Z851" t="s">
        <v>34</v>
      </c>
      <c r="AA851">
        <v>1</v>
      </c>
    </row>
    <row r="852" spans="1:27" x14ac:dyDescent="0.35">
      <c r="A852" s="13">
        <v>45930</v>
      </c>
      <c r="B852">
        <v>1</v>
      </c>
      <c r="D852" t="s">
        <v>31</v>
      </c>
      <c r="E852" t="s">
        <v>41</v>
      </c>
      <c r="F852" t="s">
        <v>41</v>
      </c>
      <c r="H852" t="s">
        <v>179</v>
      </c>
      <c r="I852" t="s">
        <v>178</v>
      </c>
      <c r="K852">
        <v>72</v>
      </c>
      <c r="M852" s="13">
        <v>48121</v>
      </c>
      <c r="N852" s="13">
        <v>48121</v>
      </c>
      <c r="O852" s="13">
        <v>48121</v>
      </c>
      <c r="P852" s="24">
        <v>608634204.24274445</v>
      </c>
      <c r="V852">
        <v>1</v>
      </c>
      <c r="W852" t="s">
        <v>33</v>
      </c>
      <c r="Y852" t="s">
        <v>33</v>
      </c>
      <c r="Z852" t="s">
        <v>34</v>
      </c>
      <c r="AA852">
        <v>1</v>
      </c>
    </row>
    <row r="853" spans="1:27" x14ac:dyDescent="0.35">
      <c r="A853" s="13">
        <v>45930</v>
      </c>
      <c r="B853">
        <v>1</v>
      </c>
      <c r="D853" t="s">
        <v>31</v>
      </c>
      <c r="E853" t="s">
        <v>41</v>
      </c>
      <c r="F853" t="s">
        <v>41</v>
      </c>
      <c r="H853" t="s">
        <v>179</v>
      </c>
      <c r="I853" t="s">
        <v>178</v>
      </c>
      <c r="K853">
        <v>73</v>
      </c>
      <c r="M853" s="13">
        <v>48152</v>
      </c>
      <c r="N853" s="13">
        <v>48152</v>
      </c>
      <c r="O853" s="13">
        <v>48152</v>
      </c>
      <c r="P853" s="24">
        <v>599273109.97371674</v>
      </c>
      <c r="V853">
        <v>1</v>
      </c>
      <c r="W853" t="s">
        <v>33</v>
      </c>
      <c r="Y853" t="s">
        <v>33</v>
      </c>
      <c r="Z853" t="s">
        <v>34</v>
      </c>
      <c r="AA853">
        <v>1</v>
      </c>
    </row>
    <row r="854" spans="1:27" x14ac:dyDescent="0.35">
      <c r="A854" s="13">
        <v>45930</v>
      </c>
      <c r="B854">
        <v>1</v>
      </c>
      <c r="D854" t="s">
        <v>31</v>
      </c>
      <c r="E854" t="s">
        <v>41</v>
      </c>
      <c r="F854" t="s">
        <v>41</v>
      </c>
      <c r="H854" t="s">
        <v>179</v>
      </c>
      <c r="I854" t="s">
        <v>178</v>
      </c>
      <c r="K854">
        <v>74</v>
      </c>
      <c r="M854" s="13">
        <v>48182</v>
      </c>
      <c r="N854" s="13">
        <v>48182</v>
      </c>
      <c r="O854" s="13">
        <v>48182</v>
      </c>
      <c r="P854" s="24">
        <v>590055993.95191193</v>
      </c>
      <c r="V854">
        <v>1</v>
      </c>
      <c r="W854" t="s">
        <v>33</v>
      </c>
      <c r="Y854" t="s">
        <v>33</v>
      </c>
      <c r="Z854" t="s">
        <v>34</v>
      </c>
      <c r="AA854">
        <v>1</v>
      </c>
    </row>
    <row r="855" spans="1:27" x14ac:dyDescent="0.35">
      <c r="A855" s="13">
        <v>45930</v>
      </c>
      <c r="B855">
        <v>1</v>
      </c>
      <c r="D855" t="s">
        <v>31</v>
      </c>
      <c r="E855" t="s">
        <v>41</v>
      </c>
      <c r="F855" t="s">
        <v>41</v>
      </c>
      <c r="H855" t="s">
        <v>179</v>
      </c>
      <c r="I855" t="s">
        <v>178</v>
      </c>
      <c r="K855">
        <v>75</v>
      </c>
      <c r="M855" s="13">
        <v>48213</v>
      </c>
      <c r="N855" s="13">
        <v>48213</v>
      </c>
      <c r="O855" s="13">
        <v>48213</v>
      </c>
      <c r="P855" s="24">
        <v>580980641.72083282</v>
      </c>
      <c r="V855">
        <v>1</v>
      </c>
      <c r="W855" t="s">
        <v>33</v>
      </c>
      <c r="Y855" t="s">
        <v>33</v>
      </c>
      <c r="Z855" t="s">
        <v>34</v>
      </c>
      <c r="AA855">
        <v>1</v>
      </c>
    </row>
    <row r="856" spans="1:27" x14ac:dyDescent="0.35">
      <c r="A856" s="13">
        <v>45930</v>
      </c>
      <c r="B856">
        <v>1</v>
      </c>
      <c r="D856" t="s">
        <v>31</v>
      </c>
      <c r="E856" t="s">
        <v>41</v>
      </c>
      <c r="F856" t="s">
        <v>41</v>
      </c>
      <c r="H856" t="s">
        <v>179</v>
      </c>
      <c r="I856" t="s">
        <v>178</v>
      </c>
      <c r="K856">
        <v>76</v>
      </c>
      <c r="M856" s="13">
        <v>48244</v>
      </c>
      <c r="N856" s="13">
        <v>48244</v>
      </c>
      <c r="O856" s="13">
        <v>48244</v>
      </c>
      <c r="P856" s="24">
        <v>572044872.883461</v>
      </c>
      <c r="V856">
        <v>1</v>
      </c>
      <c r="W856" t="s">
        <v>33</v>
      </c>
      <c r="Y856" t="s">
        <v>33</v>
      </c>
      <c r="Z856" t="s">
        <v>34</v>
      </c>
      <c r="AA856">
        <v>1</v>
      </c>
    </row>
    <row r="857" spans="1:27" x14ac:dyDescent="0.35">
      <c r="A857" s="13">
        <v>45930</v>
      </c>
      <c r="B857">
        <v>1</v>
      </c>
      <c r="D857" t="s">
        <v>31</v>
      </c>
      <c r="E857" t="s">
        <v>41</v>
      </c>
      <c r="F857" t="s">
        <v>41</v>
      </c>
      <c r="H857" t="s">
        <v>179</v>
      </c>
      <c r="I857" t="s">
        <v>178</v>
      </c>
      <c r="K857">
        <v>77</v>
      </c>
      <c r="M857" s="13">
        <v>48273</v>
      </c>
      <c r="N857" s="13">
        <v>48273</v>
      </c>
      <c r="O857" s="13">
        <v>48273</v>
      </c>
      <c r="P857" s="24">
        <v>563246540.57837677</v>
      </c>
      <c r="V857">
        <v>1</v>
      </c>
      <c r="W857" t="s">
        <v>33</v>
      </c>
      <c r="Y857" t="s">
        <v>33</v>
      </c>
      <c r="Z857" t="s">
        <v>34</v>
      </c>
      <c r="AA857">
        <v>1</v>
      </c>
    </row>
    <row r="858" spans="1:27" x14ac:dyDescent="0.35">
      <c r="A858" s="13">
        <v>45930</v>
      </c>
      <c r="B858">
        <v>1</v>
      </c>
      <c r="D858" t="s">
        <v>31</v>
      </c>
      <c r="E858" t="s">
        <v>41</v>
      </c>
      <c r="F858" t="s">
        <v>41</v>
      </c>
      <c r="H858" t="s">
        <v>179</v>
      </c>
      <c r="I858" t="s">
        <v>178</v>
      </c>
      <c r="K858">
        <v>78</v>
      </c>
      <c r="M858" s="13">
        <v>48304</v>
      </c>
      <c r="N858" s="13">
        <v>48304</v>
      </c>
      <c r="O858" s="13">
        <v>48304</v>
      </c>
      <c r="P858" s="24">
        <v>554583530.96390533</v>
      </c>
      <c r="V858">
        <v>1</v>
      </c>
      <c r="W858" t="s">
        <v>33</v>
      </c>
      <c r="Y858" t="s">
        <v>33</v>
      </c>
      <c r="Z858" t="s">
        <v>34</v>
      </c>
      <c r="AA858">
        <v>1</v>
      </c>
    </row>
    <row r="859" spans="1:27" x14ac:dyDescent="0.35">
      <c r="A859" s="13">
        <v>45930</v>
      </c>
      <c r="B859">
        <v>1</v>
      </c>
      <c r="D859" t="s">
        <v>31</v>
      </c>
      <c r="E859" t="s">
        <v>41</v>
      </c>
      <c r="F859" t="s">
        <v>41</v>
      </c>
      <c r="H859" t="s">
        <v>179</v>
      </c>
      <c r="I859" t="s">
        <v>178</v>
      </c>
      <c r="K859">
        <v>79</v>
      </c>
      <c r="M859" s="13">
        <v>48334</v>
      </c>
      <c r="N859" s="13">
        <v>48334</v>
      </c>
      <c r="O859" s="13">
        <v>48334</v>
      </c>
      <c r="P859" s="24">
        <v>546053762.71030426</v>
      </c>
      <c r="V859">
        <v>1</v>
      </c>
      <c r="W859" t="s">
        <v>33</v>
      </c>
      <c r="Y859" t="s">
        <v>33</v>
      </c>
      <c r="Z859" t="s">
        <v>34</v>
      </c>
      <c r="AA859">
        <v>1</v>
      </c>
    </row>
    <row r="860" spans="1:27" x14ac:dyDescent="0.35">
      <c r="A860" s="13">
        <v>45930</v>
      </c>
      <c r="B860">
        <v>1</v>
      </c>
      <c r="D860" t="s">
        <v>31</v>
      </c>
      <c r="E860" t="s">
        <v>41</v>
      </c>
      <c r="F860" t="s">
        <v>41</v>
      </c>
      <c r="H860" t="s">
        <v>179</v>
      </c>
      <c r="I860" t="s">
        <v>178</v>
      </c>
      <c r="K860">
        <v>80</v>
      </c>
      <c r="M860" s="13">
        <v>48365</v>
      </c>
      <c r="N860" s="13">
        <v>48365</v>
      </c>
      <c r="O860" s="13">
        <v>48365</v>
      </c>
      <c r="P860" s="24">
        <v>537655186.49976349</v>
      </c>
      <c r="V860">
        <v>1</v>
      </c>
      <c r="W860" t="s">
        <v>33</v>
      </c>
      <c r="Y860" t="s">
        <v>33</v>
      </c>
      <c r="Z860" t="s">
        <v>34</v>
      </c>
      <c r="AA860">
        <v>1</v>
      </c>
    </row>
    <row r="861" spans="1:27" x14ac:dyDescent="0.35">
      <c r="A861" s="13">
        <v>45930</v>
      </c>
      <c r="B861">
        <v>1</v>
      </c>
      <c r="D861" t="s">
        <v>31</v>
      </c>
      <c r="E861" t="s">
        <v>41</v>
      </c>
      <c r="F861" t="s">
        <v>41</v>
      </c>
      <c r="H861" t="s">
        <v>179</v>
      </c>
      <c r="I861" t="s">
        <v>178</v>
      </c>
      <c r="K861">
        <v>81</v>
      </c>
      <c r="M861" s="13">
        <v>48395</v>
      </c>
      <c r="N861" s="13">
        <v>48395</v>
      </c>
      <c r="O861" s="13">
        <v>48395</v>
      </c>
      <c r="P861" s="24">
        <v>529385784.53389359</v>
      </c>
      <c r="V861">
        <v>1</v>
      </c>
      <c r="W861" t="s">
        <v>33</v>
      </c>
      <c r="Y861" t="s">
        <v>33</v>
      </c>
      <c r="Z861" t="s">
        <v>34</v>
      </c>
      <c r="AA861">
        <v>1</v>
      </c>
    </row>
    <row r="862" spans="1:27" x14ac:dyDescent="0.35">
      <c r="A862" s="13">
        <v>45930</v>
      </c>
      <c r="B862">
        <v>1</v>
      </c>
      <c r="D862" t="s">
        <v>31</v>
      </c>
      <c r="E862" t="s">
        <v>41</v>
      </c>
      <c r="F862" t="s">
        <v>41</v>
      </c>
      <c r="H862" t="s">
        <v>179</v>
      </c>
      <c r="I862" t="s">
        <v>178</v>
      </c>
      <c r="K862">
        <v>82</v>
      </c>
      <c r="M862" s="13">
        <v>48426</v>
      </c>
      <c r="N862" s="13">
        <v>48426</v>
      </c>
      <c r="O862" s="13">
        <v>48426</v>
      </c>
      <c r="P862" s="24">
        <v>521243570.04914093</v>
      </c>
      <c r="V862">
        <v>1</v>
      </c>
      <c r="W862" t="s">
        <v>33</v>
      </c>
      <c r="Y862" t="s">
        <v>33</v>
      </c>
      <c r="Z862" t="s">
        <v>34</v>
      </c>
      <c r="AA862">
        <v>1</v>
      </c>
    </row>
    <row r="863" spans="1:27" x14ac:dyDescent="0.35">
      <c r="A863" s="13">
        <v>45930</v>
      </c>
      <c r="B863">
        <v>1</v>
      </c>
      <c r="D863" t="s">
        <v>31</v>
      </c>
      <c r="E863" t="s">
        <v>41</v>
      </c>
      <c r="F863" t="s">
        <v>41</v>
      </c>
      <c r="H863" t="s">
        <v>179</v>
      </c>
      <c r="I863" t="s">
        <v>178</v>
      </c>
      <c r="K863">
        <v>83</v>
      </c>
      <c r="M863" s="13">
        <v>48457</v>
      </c>
      <c r="N863" s="13">
        <v>48457</v>
      </c>
      <c r="O863" s="13">
        <v>48457</v>
      </c>
      <c r="P863" s="24">
        <v>513226586.83930969</v>
      </c>
      <c r="V863">
        <v>1</v>
      </c>
      <c r="W863" t="s">
        <v>33</v>
      </c>
      <c r="Y863" t="s">
        <v>33</v>
      </c>
      <c r="Z863" t="s">
        <v>34</v>
      </c>
      <c r="AA863">
        <v>1</v>
      </c>
    </row>
    <row r="864" spans="1:27" x14ac:dyDescent="0.35">
      <c r="A864" s="13">
        <v>45930</v>
      </c>
      <c r="B864">
        <v>1</v>
      </c>
      <c r="D864" t="s">
        <v>31</v>
      </c>
      <c r="E864" t="s">
        <v>41</v>
      </c>
      <c r="F864" t="s">
        <v>41</v>
      </c>
      <c r="H864" t="s">
        <v>179</v>
      </c>
      <c r="I864" t="s">
        <v>178</v>
      </c>
      <c r="K864">
        <v>84</v>
      </c>
      <c r="M864" s="13">
        <v>48487</v>
      </c>
      <c r="N864" s="13">
        <v>48487</v>
      </c>
      <c r="O864" s="13">
        <v>48487</v>
      </c>
      <c r="P864" s="24">
        <v>505332908.78559494</v>
      </c>
      <c r="V864">
        <v>1</v>
      </c>
      <c r="W864" t="s">
        <v>33</v>
      </c>
      <c r="Y864" t="s">
        <v>33</v>
      </c>
      <c r="Z864" t="s">
        <v>34</v>
      </c>
      <c r="AA864">
        <v>1</v>
      </c>
    </row>
    <row r="865" spans="1:27" x14ac:dyDescent="0.35">
      <c r="A865" s="13">
        <v>45930</v>
      </c>
      <c r="B865">
        <v>1</v>
      </c>
      <c r="D865" t="s">
        <v>31</v>
      </c>
      <c r="E865" t="s">
        <v>41</v>
      </c>
      <c r="F865" t="s">
        <v>41</v>
      </c>
      <c r="H865" t="s">
        <v>179</v>
      </c>
      <c r="I865" t="s">
        <v>178</v>
      </c>
      <c r="K865">
        <v>85</v>
      </c>
      <c r="M865" s="13">
        <v>48518</v>
      </c>
      <c r="N865" s="13">
        <v>48518</v>
      </c>
      <c r="O865" s="13">
        <v>48518</v>
      </c>
      <c r="P865" s="24">
        <v>497560639.39387894</v>
      </c>
      <c r="V865">
        <v>1</v>
      </c>
      <c r="W865" t="s">
        <v>33</v>
      </c>
      <c r="Y865" t="s">
        <v>33</v>
      </c>
      <c r="Z865" t="s">
        <v>34</v>
      </c>
      <c r="AA865">
        <v>1</v>
      </c>
    </row>
    <row r="866" spans="1:27" x14ac:dyDescent="0.35">
      <c r="A866" s="13">
        <v>45930</v>
      </c>
      <c r="B866">
        <v>1</v>
      </c>
      <c r="D866" t="s">
        <v>31</v>
      </c>
      <c r="E866" t="s">
        <v>41</v>
      </c>
      <c r="F866" t="s">
        <v>41</v>
      </c>
      <c r="H866" t="s">
        <v>179</v>
      </c>
      <c r="I866" t="s">
        <v>178</v>
      </c>
      <c r="K866">
        <v>86</v>
      </c>
      <c r="M866" s="13">
        <v>48548</v>
      </c>
      <c r="N866" s="13">
        <v>48548</v>
      </c>
      <c r="O866" s="13">
        <v>48548</v>
      </c>
      <c r="P866" s="24">
        <v>489907911.33908463</v>
      </c>
      <c r="V866">
        <v>1</v>
      </c>
      <c r="W866" t="s">
        <v>33</v>
      </c>
      <c r="Y866" t="s">
        <v>33</v>
      </c>
      <c r="Z866" t="s">
        <v>34</v>
      </c>
      <c r="AA866">
        <v>1</v>
      </c>
    </row>
    <row r="867" spans="1:27" x14ac:dyDescent="0.35">
      <c r="A867" s="13">
        <v>45930</v>
      </c>
      <c r="B867">
        <v>1</v>
      </c>
      <c r="D867" t="s">
        <v>31</v>
      </c>
      <c r="E867" t="s">
        <v>41</v>
      </c>
      <c r="F867" t="s">
        <v>41</v>
      </c>
      <c r="H867" t="s">
        <v>179</v>
      </c>
      <c r="I867" t="s">
        <v>178</v>
      </c>
      <c r="K867">
        <v>87</v>
      </c>
      <c r="M867" s="13">
        <v>48579</v>
      </c>
      <c r="N867" s="13">
        <v>48579</v>
      </c>
      <c r="O867" s="13">
        <v>48579</v>
      </c>
      <c r="P867" s="24">
        <v>482372886.01646423</v>
      </c>
      <c r="V867">
        <v>1</v>
      </c>
      <c r="W867" t="s">
        <v>33</v>
      </c>
      <c r="Y867" t="s">
        <v>33</v>
      </c>
      <c r="Z867" t="s">
        <v>34</v>
      </c>
      <c r="AA867">
        <v>1</v>
      </c>
    </row>
    <row r="868" spans="1:27" x14ac:dyDescent="0.35">
      <c r="A868" s="13">
        <v>45930</v>
      </c>
      <c r="B868">
        <v>1</v>
      </c>
      <c r="D868" t="s">
        <v>31</v>
      </c>
      <c r="E868" t="s">
        <v>41</v>
      </c>
      <c r="F868" t="s">
        <v>41</v>
      </c>
      <c r="H868" t="s">
        <v>179</v>
      </c>
      <c r="I868" t="s">
        <v>178</v>
      </c>
      <c r="K868">
        <v>88</v>
      </c>
      <c r="M868" s="13">
        <v>48610</v>
      </c>
      <c r="N868" s="13">
        <v>48610</v>
      </c>
      <c r="O868" s="13">
        <v>48610</v>
      </c>
      <c r="P868" s="24">
        <v>474953753.09993744</v>
      </c>
      <c r="V868">
        <v>1</v>
      </c>
      <c r="W868" t="s">
        <v>33</v>
      </c>
      <c r="Y868" t="s">
        <v>33</v>
      </c>
      <c r="Z868" t="s">
        <v>34</v>
      </c>
      <c r="AA868">
        <v>1</v>
      </c>
    </row>
    <row r="869" spans="1:27" x14ac:dyDescent="0.35">
      <c r="A869" s="13">
        <v>45930</v>
      </c>
      <c r="B869">
        <v>1</v>
      </c>
      <c r="D869" t="s">
        <v>31</v>
      </c>
      <c r="E869" t="s">
        <v>41</v>
      </c>
      <c r="F869" t="s">
        <v>41</v>
      </c>
      <c r="H869" t="s">
        <v>179</v>
      </c>
      <c r="I869" t="s">
        <v>178</v>
      </c>
      <c r="K869">
        <v>89</v>
      </c>
      <c r="M869" s="13">
        <v>48638</v>
      </c>
      <c r="N869" s="13">
        <v>48638</v>
      </c>
      <c r="O869" s="13">
        <v>48638</v>
      </c>
      <c r="P869" s="24">
        <v>467648730.10714722</v>
      </c>
      <c r="V869">
        <v>1</v>
      </c>
      <c r="W869" t="s">
        <v>33</v>
      </c>
      <c r="Y869" t="s">
        <v>33</v>
      </c>
      <c r="Z869" t="s">
        <v>34</v>
      </c>
      <c r="AA869">
        <v>1</v>
      </c>
    </row>
    <row r="870" spans="1:27" x14ac:dyDescent="0.35">
      <c r="A870" s="13">
        <v>45930</v>
      </c>
      <c r="B870">
        <v>1</v>
      </c>
      <c r="D870" t="s">
        <v>31</v>
      </c>
      <c r="E870" t="s">
        <v>41</v>
      </c>
      <c r="F870" t="s">
        <v>41</v>
      </c>
      <c r="H870" t="s">
        <v>179</v>
      </c>
      <c r="I870" t="s">
        <v>178</v>
      </c>
      <c r="K870">
        <v>90</v>
      </c>
      <c r="M870" s="13">
        <v>48669</v>
      </c>
      <c r="N870" s="13">
        <v>48669</v>
      </c>
      <c r="O870" s="13">
        <v>48669</v>
      </c>
      <c r="P870" s="24">
        <v>460456061.97117615</v>
      </c>
      <c r="V870">
        <v>1</v>
      </c>
      <c r="W870" t="s">
        <v>33</v>
      </c>
      <c r="Y870" t="s">
        <v>33</v>
      </c>
      <c r="Z870" t="s">
        <v>34</v>
      </c>
      <c r="AA870">
        <v>1</v>
      </c>
    </row>
    <row r="871" spans="1:27" x14ac:dyDescent="0.35">
      <c r="A871" s="13">
        <v>45930</v>
      </c>
      <c r="B871">
        <v>1</v>
      </c>
      <c r="D871" t="s">
        <v>31</v>
      </c>
      <c r="E871" t="s">
        <v>41</v>
      </c>
      <c r="F871" t="s">
        <v>41</v>
      </c>
      <c r="H871" t="s">
        <v>179</v>
      </c>
      <c r="I871" t="s">
        <v>178</v>
      </c>
      <c r="K871">
        <v>91</v>
      </c>
      <c r="M871" s="13">
        <v>48699</v>
      </c>
      <c r="N871" s="13">
        <v>48699</v>
      </c>
      <c r="O871" s="13">
        <v>48699</v>
      </c>
      <c r="P871" s="24">
        <v>453374020.6189003</v>
      </c>
      <c r="V871">
        <v>1</v>
      </c>
      <c r="W871" t="s">
        <v>33</v>
      </c>
      <c r="Y871" t="s">
        <v>33</v>
      </c>
      <c r="Z871" t="s">
        <v>34</v>
      </c>
      <c r="AA871">
        <v>1</v>
      </c>
    </row>
    <row r="872" spans="1:27" x14ac:dyDescent="0.35">
      <c r="A872" s="13">
        <v>45930</v>
      </c>
      <c r="B872">
        <v>1</v>
      </c>
      <c r="D872" t="s">
        <v>31</v>
      </c>
      <c r="E872" t="s">
        <v>41</v>
      </c>
      <c r="F872" t="s">
        <v>41</v>
      </c>
      <c r="H872" t="s">
        <v>179</v>
      </c>
      <c r="I872" t="s">
        <v>178</v>
      </c>
      <c r="K872">
        <v>92</v>
      </c>
      <c r="M872" s="13">
        <v>48730</v>
      </c>
      <c r="N872" s="13">
        <v>48730</v>
      </c>
      <c r="O872" s="13">
        <v>48730</v>
      </c>
      <c r="P872" s="24">
        <v>446400904.55582809</v>
      </c>
      <c r="V872">
        <v>1</v>
      </c>
      <c r="W872" t="s">
        <v>33</v>
      </c>
      <c r="Y872" t="s">
        <v>33</v>
      </c>
      <c r="Z872" t="s">
        <v>34</v>
      </c>
      <c r="AA872">
        <v>1</v>
      </c>
    </row>
    <row r="873" spans="1:27" x14ac:dyDescent="0.35">
      <c r="A873" s="13">
        <v>45930</v>
      </c>
      <c r="B873">
        <v>1</v>
      </c>
      <c r="D873" t="s">
        <v>31</v>
      </c>
      <c r="E873" t="s">
        <v>41</v>
      </c>
      <c r="F873" t="s">
        <v>41</v>
      </c>
      <c r="H873" t="s">
        <v>179</v>
      </c>
      <c r="I873" t="s">
        <v>178</v>
      </c>
      <c r="K873">
        <v>93</v>
      </c>
      <c r="M873" s="13">
        <v>48760</v>
      </c>
      <c r="N873" s="13">
        <v>48760</v>
      </c>
      <c r="O873" s="13">
        <v>48760</v>
      </c>
      <c r="P873" s="24">
        <v>439535038.45729446</v>
      </c>
      <c r="V873">
        <v>1</v>
      </c>
      <c r="W873" t="s">
        <v>33</v>
      </c>
      <c r="Y873" t="s">
        <v>33</v>
      </c>
      <c r="Z873" t="s">
        <v>34</v>
      </c>
      <c r="AA873">
        <v>1</v>
      </c>
    </row>
    <row r="874" spans="1:27" x14ac:dyDescent="0.35">
      <c r="A874" s="13">
        <v>45930</v>
      </c>
      <c r="B874">
        <v>1</v>
      </c>
      <c r="D874" t="s">
        <v>31</v>
      </c>
      <c r="E874" t="s">
        <v>41</v>
      </c>
      <c r="F874" t="s">
        <v>41</v>
      </c>
      <c r="H874" t="s">
        <v>179</v>
      </c>
      <c r="I874" t="s">
        <v>178</v>
      </c>
      <c r="K874">
        <v>94</v>
      </c>
      <c r="M874" s="13">
        <v>48791</v>
      </c>
      <c r="N874" s="13">
        <v>48791</v>
      </c>
      <c r="O874" s="13">
        <v>48791</v>
      </c>
      <c r="P874" s="24">
        <v>432774772.76592636</v>
      </c>
      <c r="V874">
        <v>1</v>
      </c>
      <c r="W874" t="s">
        <v>33</v>
      </c>
      <c r="Y874" t="s">
        <v>33</v>
      </c>
      <c r="Z874" t="s">
        <v>34</v>
      </c>
      <c r="AA874">
        <v>1</v>
      </c>
    </row>
    <row r="875" spans="1:27" x14ac:dyDescent="0.35">
      <c r="A875" s="13">
        <v>45930</v>
      </c>
      <c r="B875">
        <v>1</v>
      </c>
      <c r="D875" t="s">
        <v>31</v>
      </c>
      <c r="E875" t="s">
        <v>41</v>
      </c>
      <c r="F875" t="s">
        <v>41</v>
      </c>
      <c r="H875" t="s">
        <v>179</v>
      </c>
      <c r="I875" t="s">
        <v>178</v>
      </c>
      <c r="K875">
        <v>95</v>
      </c>
      <c r="M875" s="13">
        <v>48822</v>
      </c>
      <c r="N875" s="13">
        <v>48822</v>
      </c>
      <c r="O875" s="13">
        <v>48822</v>
      </c>
      <c r="P875" s="24">
        <v>426118483.29537201</v>
      </c>
      <c r="V875">
        <v>1</v>
      </c>
      <c r="W875" t="s">
        <v>33</v>
      </c>
      <c r="Y875" t="s">
        <v>33</v>
      </c>
      <c r="Z875" t="s">
        <v>34</v>
      </c>
      <c r="AA875">
        <v>1</v>
      </c>
    </row>
    <row r="876" spans="1:27" x14ac:dyDescent="0.35">
      <c r="A876" s="13">
        <v>45930</v>
      </c>
      <c r="B876">
        <v>1</v>
      </c>
      <c r="D876" t="s">
        <v>31</v>
      </c>
      <c r="E876" t="s">
        <v>41</v>
      </c>
      <c r="F876" t="s">
        <v>41</v>
      </c>
      <c r="H876" t="s">
        <v>179</v>
      </c>
      <c r="I876" t="s">
        <v>178</v>
      </c>
      <c r="K876">
        <v>96</v>
      </c>
      <c r="M876" s="13">
        <v>48852</v>
      </c>
      <c r="N876" s="13">
        <v>48852</v>
      </c>
      <c r="O876" s="13">
        <v>48852</v>
      </c>
      <c r="P876" s="24">
        <v>419564570.84009171</v>
      </c>
      <c r="V876">
        <v>1</v>
      </c>
      <c r="W876" t="s">
        <v>33</v>
      </c>
      <c r="Y876" t="s">
        <v>33</v>
      </c>
      <c r="Z876" t="s">
        <v>34</v>
      </c>
      <c r="AA876">
        <v>1</v>
      </c>
    </row>
    <row r="877" spans="1:27" x14ac:dyDescent="0.35">
      <c r="A877" s="13">
        <v>45930</v>
      </c>
      <c r="B877">
        <v>1</v>
      </c>
      <c r="D877" t="s">
        <v>31</v>
      </c>
      <c r="E877" t="s">
        <v>41</v>
      </c>
      <c r="F877" t="s">
        <v>41</v>
      </c>
      <c r="H877" t="s">
        <v>179</v>
      </c>
      <c r="I877" t="s">
        <v>178</v>
      </c>
      <c r="K877">
        <v>97</v>
      </c>
      <c r="M877" s="13">
        <v>48883</v>
      </c>
      <c r="N877" s="13">
        <v>48883</v>
      </c>
      <c r="O877" s="13">
        <v>48883</v>
      </c>
      <c r="P877" s="24">
        <v>413111460.79107285</v>
      </c>
      <c r="V877">
        <v>1</v>
      </c>
      <c r="W877" t="s">
        <v>33</v>
      </c>
      <c r="Y877" t="s">
        <v>33</v>
      </c>
      <c r="Z877" t="s">
        <v>34</v>
      </c>
      <c r="AA877">
        <v>1</v>
      </c>
    </row>
    <row r="878" spans="1:27" x14ac:dyDescent="0.35">
      <c r="A878" s="13">
        <v>45930</v>
      </c>
      <c r="B878">
        <v>1</v>
      </c>
      <c r="D878" t="s">
        <v>31</v>
      </c>
      <c r="E878" t="s">
        <v>41</v>
      </c>
      <c r="F878" t="s">
        <v>41</v>
      </c>
      <c r="H878" t="s">
        <v>179</v>
      </c>
      <c r="I878" t="s">
        <v>178</v>
      </c>
      <c r="K878">
        <v>98</v>
      </c>
      <c r="M878" s="13">
        <v>48913</v>
      </c>
      <c r="N878" s="13">
        <v>48913</v>
      </c>
      <c r="O878" s="13">
        <v>48913</v>
      </c>
      <c r="P878" s="24">
        <v>406757602.75758743</v>
      </c>
      <c r="V878">
        <v>1</v>
      </c>
      <c r="W878" t="s">
        <v>33</v>
      </c>
      <c r="Y878" t="s">
        <v>33</v>
      </c>
      <c r="Z878" t="s">
        <v>34</v>
      </c>
      <c r="AA878">
        <v>1</v>
      </c>
    </row>
    <row r="879" spans="1:27" x14ac:dyDescent="0.35">
      <c r="A879" s="13">
        <v>45930</v>
      </c>
      <c r="B879">
        <v>1</v>
      </c>
      <c r="D879" t="s">
        <v>31</v>
      </c>
      <c r="E879" t="s">
        <v>41</v>
      </c>
      <c r="F879" t="s">
        <v>41</v>
      </c>
      <c r="H879" t="s">
        <v>179</v>
      </c>
      <c r="I879" t="s">
        <v>178</v>
      </c>
      <c r="K879">
        <v>99</v>
      </c>
      <c r="M879" s="13">
        <v>48944</v>
      </c>
      <c r="N879" s="13">
        <v>48944</v>
      </c>
      <c r="O879" s="13">
        <v>48944</v>
      </c>
      <c r="P879" s="24">
        <v>400501470.19470215</v>
      </c>
      <c r="V879">
        <v>1</v>
      </c>
      <c r="W879" t="s">
        <v>33</v>
      </c>
      <c r="Y879" t="s">
        <v>33</v>
      </c>
      <c r="Z879" t="s">
        <v>34</v>
      </c>
      <c r="AA879">
        <v>1</v>
      </c>
    </row>
    <row r="880" spans="1:27" x14ac:dyDescent="0.35">
      <c r="A880" s="13">
        <v>45930</v>
      </c>
      <c r="B880">
        <v>1</v>
      </c>
      <c r="D880" t="s">
        <v>31</v>
      </c>
      <c r="E880" t="s">
        <v>41</v>
      </c>
      <c r="F880" t="s">
        <v>41</v>
      </c>
      <c r="H880" t="s">
        <v>179</v>
      </c>
      <c r="I880" t="s">
        <v>178</v>
      </c>
      <c r="K880">
        <v>100</v>
      </c>
      <c r="M880" s="13">
        <v>48975</v>
      </c>
      <c r="N880" s="13">
        <v>48975</v>
      </c>
      <c r="O880" s="13">
        <v>48975</v>
      </c>
      <c r="P880" s="24">
        <v>394341560.03644943</v>
      </c>
      <c r="V880">
        <v>1</v>
      </c>
      <c r="W880" t="s">
        <v>33</v>
      </c>
      <c r="Y880" t="s">
        <v>33</v>
      </c>
      <c r="Z880" t="s">
        <v>34</v>
      </c>
      <c r="AA880">
        <v>1</v>
      </c>
    </row>
    <row r="881" spans="1:27" x14ac:dyDescent="0.35">
      <c r="A881" s="13">
        <v>45930</v>
      </c>
      <c r="B881">
        <v>1</v>
      </c>
      <c r="D881" t="s">
        <v>31</v>
      </c>
      <c r="E881" t="s">
        <v>41</v>
      </c>
      <c r="F881" t="s">
        <v>41</v>
      </c>
      <c r="H881" t="s">
        <v>179</v>
      </c>
      <c r="I881" t="s">
        <v>178</v>
      </c>
      <c r="K881">
        <v>101</v>
      </c>
      <c r="M881" s="13">
        <v>49003</v>
      </c>
      <c r="N881" s="13">
        <v>49003</v>
      </c>
      <c r="O881" s="13">
        <v>49003</v>
      </c>
      <c r="P881" s="24">
        <v>388276392.33478928</v>
      </c>
      <c r="V881">
        <v>1</v>
      </c>
      <c r="W881" t="s">
        <v>33</v>
      </c>
      <c r="Y881" t="s">
        <v>33</v>
      </c>
      <c r="Z881" t="s">
        <v>34</v>
      </c>
      <c r="AA881">
        <v>1</v>
      </c>
    </row>
    <row r="882" spans="1:27" x14ac:dyDescent="0.35">
      <c r="A882" s="13">
        <v>45930</v>
      </c>
      <c r="B882">
        <v>1</v>
      </c>
      <c r="D882" t="s">
        <v>31</v>
      </c>
      <c r="E882" t="s">
        <v>41</v>
      </c>
      <c r="F882" t="s">
        <v>41</v>
      </c>
      <c r="H882" t="s">
        <v>179</v>
      </c>
      <c r="I882" t="s">
        <v>178</v>
      </c>
      <c r="K882">
        <v>102</v>
      </c>
      <c r="M882" s="13">
        <v>49034</v>
      </c>
      <c r="N882" s="13">
        <v>49034</v>
      </c>
      <c r="O882" s="13">
        <v>49034</v>
      </c>
      <c r="P882" s="24">
        <v>382304509.90403366</v>
      </c>
      <c r="V882">
        <v>1</v>
      </c>
      <c r="W882" t="s">
        <v>33</v>
      </c>
      <c r="Y882" t="s">
        <v>33</v>
      </c>
      <c r="Z882" t="s">
        <v>34</v>
      </c>
      <c r="AA882">
        <v>1</v>
      </c>
    </row>
    <row r="883" spans="1:27" x14ac:dyDescent="0.35">
      <c r="A883" s="13">
        <v>45930</v>
      </c>
      <c r="B883">
        <v>1</v>
      </c>
      <c r="D883" t="s">
        <v>31</v>
      </c>
      <c r="E883" t="s">
        <v>41</v>
      </c>
      <c r="F883" t="s">
        <v>41</v>
      </c>
      <c r="H883" t="s">
        <v>179</v>
      </c>
      <c r="I883" t="s">
        <v>178</v>
      </c>
      <c r="K883">
        <v>103</v>
      </c>
      <c r="M883" s="13">
        <v>49064</v>
      </c>
      <c r="N883" s="13">
        <v>49064</v>
      </c>
      <c r="O883" s="13">
        <v>49064</v>
      </c>
      <c r="P883" s="24">
        <v>376424477.97066498</v>
      </c>
      <c r="V883">
        <v>1</v>
      </c>
      <c r="W883" t="s">
        <v>33</v>
      </c>
      <c r="Y883" t="s">
        <v>33</v>
      </c>
      <c r="Z883" t="s">
        <v>34</v>
      </c>
      <c r="AA883">
        <v>1</v>
      </c>
    </row>
    <row r="884" spans="1:27" x14ac:dyDescent="0.35">
      <c r="A884" s="13">
        <v>45930</v>
      </c>
      <c r="B884">
        <v>1</v>
      </c>
      <c r="D884" t="s">
        <v>31</v>
      </c>
      <c r="E884" t="s">
        <v>41</v>
      </c>
      <c r="F884" t="s">
        <v>41</v>
      </c>
      <c r="H884" t="s">
        <v>179</v>
      </c>
      <c r="I884" t="s">
        <v>178</v>
      </c>
      <c r="K884">
        <v>104</v>
      </c>
      <c r="M884" s="13">
        <v>49095</v>
      </c>
      <c r="N884" s="13">
        <v>49095</v>
      </c>
      <c r="O884" s="13">
        <v>49095</v>
      </c>
      <c r="P884" s="24">
        <v>370634883.82876205</v>
      </c>
      <c r="V884">
        <v>1</v>
      </c>
      <c r="W884" t="s">
        <v>33</v>
      </c>
      <c r="Y884" t="s">
        <v>33</v>
      </c>
      <c r="Z884" t="s">
        <v>34</v>
      </c>
      <c r="AA884">
        <v>1</v>
      </c>
    </row>
    <row r="885" spans="1:27" x14ac:dyDescent="0.35">
      <c r="A885" s="13">
        <v>45930</v>
      </c>
      <c r="B885">
        <v>1</v>
      </c>
      <c r="D885" t="s">
        <v>31</v>
      </c>
      <c r="E885" t="s">
        <v>41</v>
      </c>
      <c r="F885" t="s">
        <v>41</v>
      </c>
      <c r="H885" t="s">
        <v>179</v>
      </c>
      <c r="I885" t="s">
        <v>178</v>
      </c>
      <c r="K885">
        <v>105</v>
      </c>
      <c r="M885" s="13">
        <v>49125</v>
      </c>
      <c r="N885" s="13">
        <v>49125</v>
      </c>
      <c r="O885" s="13">
        <v>49125</v>
      </c>
      <c r="P885" s="24">
        <v>364934336.50045395</v>
      </c>
      <c r="V885">
        <v>1</v>
      </c>
      <c r="W885" t="s">
        <v>33</v>
      </c>
      <c r="Y885" t="s">
        <v>33</v>
      </c>
      <c r="Z885" t="s">
        <v>34</v>
      </c>
      <c r="AA885">
        <v>1</v>
      </c>
    </row>
    <row r="886" spans="1:27" x14ac:dyDescent="0.35">
      <c r="A886" s="13">
        <v>45930</v>
      </c>
      <c r="B886">
        <v>1</v>
      </c>
      <c r="D886" t="s">
        <v>31</v>
      </c>
      <c r="E886" t="s">
        <v>41</v>
      </c>
      <c r="F886" t="s">
        <v>41</v>
      </c>
      <c r="H886" t="s">
        <v>179</v>
      </c>
      <c r="I886" t="s">
        <v>178</v>
      </c>
      <c r="K886">
        <v>106</v>
      </c>
      <c r="M886" s="13">
        <v>49156</v>
      </c>
      <c r="N886" s="13">
        <v>49156</v>
      </c>
      <c r="O886" s="13">
        <v>49156</v>
      </c>
      <c r="P886" s="24">
        <v>359321466.40185547</v>
      </c>
      <c r="V886">
        <v>1</v>
      </c>
      <c r="W886" t="s">
        <v>33</v>
      </c>
      <c r="Y886" t="s">
        <v>33</v>
      </c>
      <c r="Z886" t="s">
        <v>34</v>
      </c>
      <c r="AA886">
        <v>1</v>
      </c>
    </row>
    <row r="887" spans="1:27" x14ac:dyDescent="0.35">
      <c r="A887" s="13">
        <v>45930</v>
      </c>
      <c r="B887">
        <v>1</v>
      </c>
      <c r="D887" t="s">
        <v>31</v>
      </c>
      <c r="E887" t="s">
        <v>41</v>
      </c>
      <c r="F887" t="s">
        <v>41</v>
      </c>
      <c r="H887" t="s">
        <v>179</v>
      </c>
      <c r="I887" t="s">
        <v>178</v>
      </c>
      <c r="K887">
        <v>107</v>
      </c>
      <c r="M887" s="13">
        <v>49187</v>
      </c>
      <c r="N887" s="13">
        <v>49187</v>
      </c>
      <c r="O887" s="13">
        <v>49187</v>
      </c>
      <c r="P887" s="24">
        <v>353794925.01390076</v>
      </c>
      <c r="V887">
        <v>1</v>
      </c>
      <c r="W887" t="s">
        <v>33</v>
      </c>
      <c r="Y887" t="s">
        <v>33</v>
      </c>
      <c r="Z887" t="s">
        <v>34</v>
      </c>
      <c r="AA887">
        <v>1</v>
      </c>
    </row>
    <row r="888" spans="1:27" x14ac:dyDescent="0.35">
      <c r="A888" s="13">
        <v>45930</v>
      </c>
      <c r="B888">
        <v>1</v>
      </c>
      <c r="D888" t="s">
        <v>31</v>
      </c>
      <c r="E888" t="s">
        <v>41</v>
      </c>
      <c r="F888" t="s">
        <v>41</v>
      </c>
      <c r="H888" t="s">
        <v>179</v>
      </c>
      <c r="I888" t="s">
        <v>178</v>
      </c>
      <c r="K888">
        <v>108</v>
      </c>
      <c r="M888" s="13">
        <v>49217</v>
      </c>
      <c r="N888" s="13">
        <v>49217</v>
      </c>
      <c r="O888" s="13">
        <v>49217</v>
      </c>
      <c r="P888" s="24">
        <v>22649038553.929489</v>
      </c>
      <c r="V888">
        <v>1</v>
      </c>
      <c r="W888" t="s">
        <v>33</v>
      </c>
      <c r="Y888" t="s">
        <v>33</v>
      </c>
      <c r="Z888" t="s">
        <v>34</v>
      </c>
      <c r="AA888">
        <v>1</v>
      </c>
    </row>
    <row r="889" spans="1:27" x14ac:dyDescent="0.35">
      <c r="A889" s="13">
        <v>45930</v>
      </c>
      <c r="B889">
        <v>1</v>
      </c>
      <c r="D889" t="s">
        <v>31</v>
      </c>
      <c r="E889" t="s">
        <v>32</v>
      </c>
      <c r="F889" t="s">
        <v>32</v>
      </c>
      <c r="H889" t="s">
        <v>172</v>
      </c>
      <c r="I889" t="s">
        <v>176</v>
      </c>
      <c r="M889" s="13">
        <v>45931</v>
      </c>
      <c r="N889" s="13">
        <v>45931</v>
      </c>
      <c r="O889" s="13">
        <v>45931</v>
      </c>
      <c r="P889" s="24">
        <v>1357075</v>
      </c>
      <c r="V889">
        <v>1</v>
      </c>
      <c r="W889" t="s">
        <v>33</v>
      </c>
      <c r="Y889" t="s">
        <v>33</v>
      </c>
      <c r="Z889" t="s">
        <v>34</v>
      </c>
      <c r="AA889">
        <v>1</v>
      </c>
    </row>
    <row r="890" spans="1:27" x14ac:dyDescent="0.35">
      <c r="A890" s="13">
        <v>45930</v>
      </c>
      <c r="B890">
        <v>1</v>
      </c>
      <c r="D890" t="s">
        <v>31</v>
      </c>
      <c r="E890" t="s">
        <v>32</v>
      </c>
      <c r="F890" t="s">
        <v>32</v>
      </c>
      <c r="H890" t="s">
        <v>172</v>
      </c>
      <c r="I890" t="s">
        <v>175</v>
      </c>
      <c r="K890">
        <v>1</v>
      </c>
      <c r="M890" s="13">
        <v>45961</v>
      </c>
      <c r="N890" s="13">
        <v>45961</v>
      </c>
      <c r="O890" s="13">
        <v>45961</v>
      </c>
      <c r="P890" s="24">
        <v>27743.013306768611</v>
      </c>
      <c r="V890">
        <v>1</v>
      </c>
      <c r="W890" t="s">
        <v>33</v>
      </c>
      <c r="Y890" t="s">
        <v>33</v>
      </c>
      <c r="Z890" t="s">
        <v>34</v>
      </c>
      <c r="AA890">
        <v>1</v>
      </c>
    </row>
    <row r="891" spans="1:27" x14ac:dyDescent="0.35">
      <c r="A891" s="13">
        <v>45930</v>
      </c>
      <c r="B891">
        <v>1</v>
      </c>
      <c r="D891" t="s">
        <v>31</v>
      </c>
      <c r="E891" t="s">
        <v>32</v>
      </c>
      <c r="F891" t="s">
        <v>32</v>
      </c>
      <c r="H891" t="s">
        <v>172</v>
      </c>
      <c r="I891" t="s">
        <v>175</v>
      </c>
      <c r="K891">
        <v>2</v>
      </c>
      <c r="M891" s="13">
        <v>45991</v>
      </c>
      <c r="N891" s="13">
        <v>45991</v>
      </c>
      <c r="O891" s="13">
        <v>45991</v>
      </c>
      <c r="P891" s="24">
        <v>27499.945855049882</v>
      </c>
      <c r="V891">
        <v>1</v>
      </c>
      <c r="W891" t="s">
        <v>33</v>
      </c>
      <c r="Y891" t="s">
        <v>33</v>
      </c>
      <c r="Z891" t="s">
        <v>34</v>
      </c>
      <c r="AA891">
        <v>1</v>
      </c>
    </row>
    <row r="892" spans="1:27" x14ac:dyDescent="0.35">
      <c r="A892" s="13">
        <v>45930</v>
      </c>
      <c r="B892">
        <v>1</v>
      </c>
      <c r="D892" t="s">
        <v>31</v>
      </c>
      <c r="E892" t="s">
        <v>32</v>
      </c>
      <c r="F892" t="s">
        <v>32</v>
      </c>
      <c r="H892" t="s">
        <v>172</v>
      </c>
      <c r="I892" t="s">
        <v>175</v>
      </c>
      <c r="K892">
        <v>3</v>
      </c>
      <c r="M892" s="13">
        <v>46022</v>
      </c>
      <c r="N892" s="13">
        <v>46022</v>
      </c>
      <c r="O892" s="13">
        <v>46022</v>
      </c>
      <c r="P892" s="24">
        <v>27259.008012881503</v>
      </c>
      <c r="V892">
        <v>1</v>
      </c>
      <c r="W892" t="s">
        <v>33</v>
      </c>
      <c r="Y892" t="s">
        <v>33</v>
      </c>
      <c r="Z892" t="s">
        <v>34</v>
      </c>
      <c r="AA892">
        <v>1</v>
      </c>
    </row>
    <row r="893" spans="1:27" x14ac:dyDescent="0.35">
      <c r="A893" s="13">
        <v>45930</v>
      </c>
      <c r="B893">
        <v>1</v>
      </c>
      <c r="D893" t="s">
        <v>31</v>
      </c>
      <c r="E893" t="s">
        <v>32</v>
      </c>
      <c r="F893" t="s">
        <v>32</v>
      </c>
      <c r="H893" t="s">
        <v>172</v>
      </c>
      <c r="I893" t="s">
        <v>175</v>
      </c>
      <c r="K893">
        <v>4</v>
      </c>
      <c r="M893" s="13">
        <v>46053</v>
      </c>
      <c r="N893" s="13">
        <v>46053</v>
      </c>
      <c r="O893" s="13">
        <v>46053</v>
      </c>
      <c r="P893" s="24">
        <v>27020.181121916045</v>
      </c>
      <c r="V893">
        <v>1</v>
      </c>
      <c r="W893" t="s">
        <v>33</v>
      </c>
      <c r="Y893" t="s">
        <v>33</v>
      </c>
      <c r="Z893" t="s">
        <v>34</v>
      </c>
      <c r="AA893">
        <v>1</v>
      </c>
    </row>
    <row r="894" spans="1:27" x14ac:dyDescent="0.35">
      <c r="A894" s="13">
        <v>45930</v>
      </c>
      <c r="B894">
        <v>1</v>
      </c>
      <c r="D894" t="s">
        <v>31</v>
      </c>
      <c r="E894" t="s">
        <v>32</v>
      </c>
      <c r="F894" t="s">
        <v>32</v>
      </c>
      <c r="H894" t="s">
        <v>172</v>
      </c>
      <c r="I894" t="s">
        <v>175</v>
      </c>
      <c r="K894">
        <v>5</v>
      </c>
      <c r="M894" s="13">
        <v>46081</v>
      </c>
      <c r="N894" s="13">
        <v>46081</v>
      </c>
      <c r="O894" s="13">
        <v>46081</v>
      </c>
      <c r="P894" s="24">
        <v>26783.446687279269</v>
      </c>
      <c r="V894">
        <v>1</v>
      </c>
      <c r="W894" t="s">
        <v>33</v>
      </c>
      <c r="Y894" t="s">
        <v>33</v>
      </c>
      <c r="Z894" t="s">
        <v>34</v>
      </c>
      <c r="AA894">
        <v>1</v>
      </c>
    </row>
    <row r="895" spans="1:27" x14ac:dyDescent="0.35">
      <c r="A895" s="13">
        <v>45930</v>
      </c>
      <c r="B895">
        <v>1</v>
      </c>
      <c r="D895" t="s">
        <v>31</v>
      </c>
      <c r="E895" t="s">
        <v>32</v>
      </c>
      <c r="F895" t="s">
        <v>32</v>
      </c>
      <c r="H895" t="s">
        <v>172</v>
      </c>
      <c r="I895" t="s">
        <v>175</v>
      </c>
      <c r="K895">
        <v>6</v>
      </c>
      <c r="M895" s="13">
        <v>46112</v>
      </c>
      <c r="N895" s="13">
        <v>46112</v>
      </c>
      <c r="O895" s="13">
        <v>46112</v>
      </c>
      <c r="P895" s="24">
        <v>26548.78637614008</v>
      </c>
      <c r="V895">
        <v>1</v>
      </c>
      <c r="W895" t="s">
        <v>33</v>
      </c>
      <c r="Y895" t="s">
        <v>33</v>
      </c>
      <c r="Z895" t="s">
        <v>34</v>
      </c>
      <c r="AA895">
        <v>1</v>
      </c>
    </row>
    <row r="896" spans="1:27" x14ac:dyDescent="0.35">
      <c r="A896" s="13">
        <v>45930</v>
      </c>
      <c r="B896">
        <v>1</v>
      </c>
      <c r="D896" t="s">
        <v>31</v>
      </c>
      <c r="E896" t="s">
        <v>32</v>
      </c>
      <c r="F896" t="s">
        <v>32</v>
      </c>
      <c r="H896" t="s">
        <v>172</v>
      </c>
      <c r="I896" t="s">
        <v>175</v>
      </c>
      <c r="K896">
        <v>7</v>
      </c>
      <c r="M896" s="13">
        <v>46142</v>
      </c>
      <c r="N896" s="13">
        <v>46142</v>
      </c>
      <c r="O896" s="13">
        <v>46142</v>
      </c>
      <c r="P896" s="24">
        <v>26316.182016284205</v>
      </c>
      <c r="V896">
        <v>1</v>
      </c>
      <c r="W896" t="s">
        <v>33</v>
      </c>
      <c r="Y896" t="s">
        <v>33</v>
      </c>
      <c r="Z896" t="s">
        <v>34</v>
      </c>
      <c r="AA896">
        <v>1</v>
      </c>
    </row>
    <row r="897" spans="1:27" x14ac:dyDescent="0.35">
      <c r="A897" s="13">
        <v>45930</v>
      </c>
      <c r="B897">
        <v>1</v>
      </c>
      <c r="D897" t="s">
        <v>31</v>
      </c>
      <c r="E897" t="s">
        <v>32</v>
      </c>
      <c r="F897" t="s">
        <v>32</v>
      </c>
      <c r="H897" t="s">
        <v>172</v>
      </c>
      <c r="I897" t="s">
        <v>175</v>
      </c>
      <c r="K897">
        <v>8</v>
      </c>
      <c r="M897" s="13">
        <v>46173</v>
      </c>
      <c r="N897" s="13">
        <v>46173</v>
      </c>
      <c r="O897" s="13">
        <v>46173</v>
      </c>
      <c r="P897" s="24">
        <v>26085.615594716277</v>
      </c>
      <c r="V897">
        <v>1</v>
      </c>
      <c r="W897" t="s">
        <v>33</v>
      </c>
      <c r="Y897" t="s">
        <v>33</v>
      </c>
      <c r="Z897" t="s">
        <v>34</v>
      </c>
      <c r="AA897">
        <v>1</v>
      </c>
    </row>
    <row r="898" spans="1:27" x14ac:dyDescent="0.35">
      <c r="A898" s="13">
        <v>45930</v>
      </c>
      <c r="B898">
        <v>1</v>
      </c>
      <c r="D898" t="s">
        <v>31</v>
      </c>
      <c r="E898" t="s">
        <v>32</v>
      </c>
      <c r="F898" t="s">
        <v>32</v>
      </c>
      <c r="H898" t="s">
        <v>172</v>
      </c>
      <c r="I898" t="s">
        <v>175</v>
      </c>
      <c r="K898">
        <v>9</v>
      </c>
      <c r="M898" s="13">
        <v>46203</v>
      </c>
      <c r="N898" s="13">
        <v>46203</v>
      </c>
      <c r="O898" s="13">
        <v>46203</v>
      </c>
      <c r="P898" s="24">
        <v>25857.069256256334</v>
      </c>
      <c r="V898">
        <v>1</v>
      </c>
      <c r="W898" t="s">
        <v>33</v>
      </c>
      <c r="Y898" t="s">
        <v>33</v>
      </c>
      <c r="Z898" t="s">
        <v>34</v>
      </c>
      <c r="AA898">
        <v>1</v>
      </c>
    </row>
    <row r="899" spans="1:27" x14ac:dyDescent="0.35">
      <c r="A899" s="13">
        <v>45930</v>
      </c>
      <c r="B899">
        <v>1</v>
      </c>
      <c r="D899" t="s">
        <v>31</v>
      </c>
      <c r="E899" t="s">
        <v>32</v>
      </c>
      <c r="F899" t="s">
        <v>32</v>
      </c>
      <c r="H899" t="s">
        <v>172</v>
      </c>
      <c r="I899" t="s">
        <v>175</v>
      </c>
      <c r="K899">
        <v>10</v>
      </c>
      <c r="M899" s="13">
        <v>46234</v>
      </c>
      <c r="N899" s="13">
        <v>46234</v>
      </c>
      <c r="O899" s="13">
        <v>46234</v>
      </c>
      <c r="P899" s="24">
        <v>25630.525302160066</v>
      </c>
      <c r="V899">
        <v>1</v>
      </c>
      <c r="W899" t="s">
        <v>33</v>
      </c>
      <c r="Y899" t="s">
        <v>33</v>
      </c>
      <c r="Z899" t="s">
        <v>34</v>
      </c>
      <c r="AA899">
        <v>1</v>
      </c>
    </row>
    <row r="900" spans="1:27" x14ac:dyDescent="0.35">
      <c r="A900" s="13">
        <v>45930</v>
      </c>
      <c r="B900">
        <v>1</v>
      </c>
      <c r="D900" t="s">
        <v>31</v>
      </c>
      <c r="E900" t="s">
        <v>32</v>
      </c>
      <c r="F900" t="s">
        <v>32</v>
      </c>
      <c r="H900" t="s">
        <v>172</v>
      </c>
      <c r="I900" t="s">
        <v>175</v>
      </c>
      <c r="K900">
        <v>11</v>
      </c>
      <c r="M900" s="13">
        <v>46265</v>
      </c>
      <c r="N900" s="13">
        <v>46265</v>
      </c>
      <c r="O900" s="13">
        <v>46265</v>
      </c>
      <c r="P900" s="24">
        <v>25405.966188753489</v>
      </c>
      <c r="V900">
        <v>1</v>
      </c>
      <c r="W900" t="s">
        <v>33</v>
      </c>
      <c r="Y900" t="s">
        <v>33</v>
      </c>
      <c r="Z900" t="s">
        <v>34</v>
      </c>
      <c r="AA900">
        <v>1</v>
      </c>
    </row>
    <row r="901" spans="1:27" x14ac:dyDescent="0.35">
      <c r="A901" s="13">
        <v>45930</v>
      </c>
      <c r="B901">
        <v>1</v>
      </c>
      <c r="D901" t="s">
        <v>31</v>
      </c>
      <c r="E901" t="s">
        <v>32</v>
      </c>
      <c r="F901" t="s">
        <v>32</v>
      </c>
      <c r="H901" t="s">
        <v>172</v>
      </c>
      <c r="I901" t="s">
        <v>175</v>
      </c>
      <c r="K901">
        <v>12</v>
      </c>
      <c r="M901" s="13">
        <v>46295</v>
      </c>
      <c r="N901" s="13">
        <v>46295</v>
      </c>
      <c r="O901" s="13">
        <v>46295</v>
      </c>
      <c r="P901" s="24">
        <v>25183.374526064843</v>
      </c>
      <c r="V901">
        <v>1</v>
      </c>
      <c r="W901" t="s">
        <v>33</v>
      </c>
      <c r="Y901" t="s">
        <v>33</v>
      </c>
      <c r="Z901" t="s">
        <v>34</v>
      </c>
      <c r="AA901">
        <v>1</v>
      </c>
    </row>
    <row r="902" spans="1:27" x14ac:dyDescent="0.35">
      <c r="A902" s="13">
        <v>45930</v>
      </c>
      <c r="B902">
        <v>1</v>
      </c>
      <c r="D902" t="s">
        <v>31</v>
      </c>
      <c r="E902" t="s">
        <v>32</v>
      </c>
      <c r="F902" t="s">
        <v>32</v>
      </c>
      <c r="H902" t="s">
        <v>172</v>
      </c>
      <c r="I902" t="s">
        <v>175</v>
      </c>
      <c r="K902">
        <v>13</v>
      </c>
      <c r="M902" s="13">
        <v>46326</v>
      </c>
      <c r="N902" s="13">
        <v>46326</v>
      </c>
      <c r="O902" s="13">
        <v>46326</v>
      </c>
      <c r="P902" s="24">
        <v>24962.733076483943</v>
      </c>
      <c r="V902">
        <v>1</v>
      </c>
      <c r="W902" t="s">
        <v>33</v>
      </c>
      <c r="Y902" t="s">
        <v>33</v>
      </c>
      <c r="Z902" t="s">
        <v>34</v>
      </c>
      <c r="AA902">
        <v>1</v>
      </c>
    </row>
    <row r="903" spans="1:27" x14ac:dyDescent="0.35">
      <c r="A903" s="13">
        <v>45930</v>
      </c>
      <c r="B903">
        <v>1</v>
      </c>
      <c r="D903" t="s">
        <v>31</v>
      </c>
      <c r="E903" t="s">
        <v>32</v>
      </c>
      <c r="F903" t="s">
        <v>32</v>
      </c>
      <c r="H903" t="s">
        <v>172</v>
      </c>
      <c r="I903" t="s">
        <v>175</v>
      </c>
      <c r="K903">
        <v>14</v>
      </c>
      <c r="M903" s="13">
        <v>46356</v>
      </c>
      <c r="N903" s="13">
        <v>46356</v>
      </c>
      <c r="O903" s="13">
        <v>46356</v>
      </c>
      <c r="P903" s="24">
        <v>24744.024753428996</v>
      </c>
      <c r="V903">
        <v>1</v>
      </c>
      <c r="W903" t="s">
        <v>33</v>
      </c>
      <c r="Y903" t="s">
        <v>33</v>
      </c>
      <c r="Z903" t="s">
        <v>34</v>
      </c>
      <c r="AA903">
        <v>1</v>
      </c>
    </row>
    <row r="904" spans="1:27" x14ac:dyDescent="0.35">
      <c r="A904" s="13">
        <v>45930</v>
      </c>
      <c r="B904">
        <v>1</v>
      </c>
      <c r="D904" t="s">
        <v>31</v>
      </c>
      <c r="E904" t="s">
        <v>32</v>
      </c>
      <c r="F904" t="s">
        <v>32</v>
      </c>
      <c r="H904" t="s">
        <v>172</v>
      </c>
      <c r="I904" t="s">
        <v>175</v>
      </c>
      <c r="K904">
        <v>15</v>
      </c>
      <c r="M904" s="13">
        <v>46387</v>
      </c>
      <c r="N904" s="13">
        <v>46387</v>
      </c>
      <c r="O904" s="13">
        <v>46387</v>
      </c>
      <c r="P904" s="24">
        <v>24527.23262001574</v>
      </c>
      <c r="V904">
        <v>1</v>
      </c>
      <c r="W904" t="s">
        <v>33</v>
      </c>
      <c r="Y904" t="s">
        <v>33</v>
      </c>
      <c r="Z904" t="s">
        <v>34</v>
      </c>
      <c r="AA904">
        <v>1</v>
      </c>
    </row>
    <row r="905" spans="1:27" x14ac:dyDescent="0.35">
      <c r="A905" s="13">
        <v>45930</v>
      </c>
      <c r="B905">
        <v>1</v>
      </c>
      <c r="D905" t="s">
        <v>31</v>
      </c>
      <c r="E905" t="s">
        <v>32</v>
      </c>
      <c r="F905" t="s">
        <v>32</v>
      </c>
      <c r="H905" t="s">
        <v>172</v>
      </c>
      <c r="I905" t="s">
        <v>175</v>
      </c>
      <c r="K905">
        <v>16</v>
      </c>
      <c r="M905" s="13">
        <v>46418</v>
      </c>
      <c r="N905" s="13">
        <v>46418</v>
      </c>
      <c r="O905" s="13">
        <v>46418</v>
      </c>
      <c r="P905" s="24">
        <v>24312.339887753595</v>
      </c>
      <c r="V905">
        <v>1</v>
      </c>
      <c r="W905" t="s">
        <v>33</v>
      </c>
      <c r="Y905" t="s">
        <v>33</v>
      </c>
      <c r="Z905" t="s">
        <v>34</v>
      </c>
      <c r="AA905">
        <v>1</v>
      </c>
    </row>
    <row r="906" spans="1:27" x14ac:dyDescent="0.35">
      <c r="A906" s="13">
        <v>45930</v>
      </c>
      <c r="B906">
        <v>1</v>
      </c>
      <c r="D906" t="s">
        <v>31</v>
      </c>
      <c r="E906" t="s">
        <v>32</v>
      </c>
      <c r="F906" t="s">
        <v>32</v>
      </c>
      <c r="H906" t="s">
        <v>172</v>
      </c>
      <c r="I906" t="s">
        <v>175</v>
      </c>
      <c r="K906">
        <v>17</v>
      </c>
      <c r="M906" s="13">
        <v>46446</v>
      </c>
      <c r="N906" s="13">
        <v>46446</v>
      </c>
      <c r="O906" s="13">
        <v>46446</v>
      </c>
      <c r="P906" s="24">
        <v>24099.329915243667</v>
      </c>
      <c r="V906">
        <v>1</v>
      </c>
      <c r="W906" t="s">
        <v>33</v>
      </c>
      <c r="Y906" t="s">
        <v>33</v>
      </c>
      <c r="Z906" t="s">
        <v>34</v>
      </c>
      <c r="AA906">
        <v>1</v>
      </c>
    </row>
    <row r="907" spans="1:27" x14ac:dyDescent="0.35">
      <c r="A907" s="13">
        <v>45930</v>
      </c>
      <c r="B907">
        <v>1</v>
      </c>
      <c r="D907" t="s">
        <v>31</v>
      </c>
      <c r="E907" t="s">
        <v>32</v>
      </c>
      <c r="F907" t="s">
        <v>32</v>
      </c>
      <c r="H907" t="s">
        <v>172</v>
      </c>
      <c r="I907" t="s">
        <v>175</v>
      </c>
      <c r="K907">
        <v>18</v>
      </c>
      <c r="M907" s="13">
        <v>46477</v>
      </c>
      <c r="N907" s="13">
        <v>46477</v>
      </c>
      <c r="O907" s="13">
        <v>46477</v>
      </c>
      <c r="P907" s="24">
        <v>23888.186206884682</v>
      </c>
      <c r="V907">
        <v>1</v>
      </c>
      <c r="W907" t="s">
        <v>33</v>
      </c>
      <c r="Y907" t="s">
        <v>33</v>
      </c>
      <c r="Z907" t="s">
        <v>34</v>
      </c>
      <c r="AA907">
        <v>1</v>
      </c>
    </row>
    <row r="908" spans="1:27" x14ac:dyDescent="0.35">
      <c r="A908" s="13">
        <v>45930</v>
      </c>
      <c r="B908">
        <v>1</v>
      </c>
      <c r="D908" t="s">
        <v>31</v>
      </c>
      <c r="E908" t="s">
        <v>32</v>
      </c>
      <c r="F908" t="s">
        <v>32</v>
      </c>
      <c r="H908" t="s">
        <v>172</v>
      </c>
      <c r="I908" t="s">
        <v>175</v>
      </c>
      <c r="K908">
        <v>19</v>
      </c>
      <c r="M908" s="13">
        <v>46507</v>
      </c>
      <c r="N908" s="13">
        <v>46507</v>
      </c>
      <c r="O908" s="13">
        <v>46507</v>
      </c>
      <c r="P908" s="24">
        <v>23678.892411604524</v>
      </c>
      <c r="V908">
        <v>1</v>
      </c>
      <c r="W908" t="s">
        <v>33</v>
      </c>
      <c r="Y908" t="s">
        <v>33</v>
      </c>
      <c r="Z908" t="s">
        <v>34</v>
      </c>
      <c r="AA908">
        <v>1</v>
      </c>
    </row>
    <row r="909" spans="1:27" x14ac:dyDescent="0.35">
      <c r="A909" s="13">
        <v>45930</v>
      </c>
      <c r="B909">
        <v>1</v>
      </c>
      <c r="D909" t="s">
        <v>31</v>
      </c>
      <c r="E909" t="s">
        <v>32</v>
      </c>
      <c r="F909" t="s">
        <v>32</v>
      </c>
      <c r="H909" t="s">
        <v>172</v>
      </c>
      <c r="I909" t="s">
        <v>175</v>
      </c>
      <c r="K909">
        <v>20</v>
      </c>
      <c r="M909" s="13">
        <v>46538</v>
      </c>
      <c r="N909" s="13">
        <v>46538</v>
      </c>
      <c r="O909" s="13">
        <v>46538</v>
      </c>
      <c r="P909" s="24">
        <v>23471.43232158618</v>
      </c>
      <c r="V909">
        <v>1</v>
      </c>
      <c r="W909" t="s">
        <v>33</v>
      </c>
      <c r="Y909" t="s">
        <v>33</v>
      </c>
      <c r="Z909" t="s">
        <v>34</v>
      </c>
      <c r="AA909">
        <v>1</v>
      </c>
    </row>
    <row r="910" spans="1:27" x14ac:dyDescent="0.35">
      <c r="A910" s="13">
        <v>45930</v>
      </c>
      <c r="B910">
        <v>1</v>
      </c>
      <c r="D910" t="s">
        <v>31</v>
      </c>
      <c r="E910" t="s">
        <v>32</v>
      </c>
      <c r="F910" t="s">
        <v>32</v>
      </c>
      <c r="H910" t="s">
        <v>172</v>
      </c>
      <c r="I910" t="s">
        <v>175</v>
      </c>
      <c r="K910">
        <v>21</v>
      </c>
      <c r="M910" s="13">
        <v>46568</v>
      </c>
      <c r="N910" s="13">
        <v>46568</v>
      </c>
      <c r="O910" s="13">
        <v>46568</v>
      </c>
      <c r="P910" s="24">
        <v>23265.789871016052</v>
      </c>
      <c r="V910">
        <v>1</v>
      </c>
      <c r="W910" t="s">
        <v>33</v>
      </c>
      <c r="Y910" t="s">
        <v>33</v>
      </c>
      <c r="Z910" t="s">
        <v>34</v>
      </c>
      <c r="AA910">
        <v>1</v>
      </c>
    </row>
    <row r="911" spans="1:27" x14ac:dyDescent="0.35">
      <c r="A911" s="13">
        <v>45930</v>
      </c>
      <c r="B911">
        <v>1</v>
      </c>
      <c r="D911" t="s">
        <v>31</v>
      </c>
      <c r="E911" t="s">
        <v>32</v>
      </c>
      <c r="F911" t="s">
        <v>32</v>
      </c>
      <c r="H911" t="s">
        <v>172</v>
      </c>
      <c r="I911" t="s">
        <v>175</v>
      </c>
      <c r="K911">
        <v>22</v>
      </c>
      <c r="M911" s="13">
        <v>46599</v>
      </c>
      <c r="N911" s="13">
        <v>46599</v>
      </c>
      <c r="O911" s="13">
        <v>46599</v>
      </c>
      <c r="P911" s="24">
        <v>23061.94913484063</v>
      </c>
      <c r="V911">
        <v>1</v>
      </c>
      <c r="W911" t="s">
        <v>33</v>
      </c>
      <c r="Y911" t="s">
        <v>33</v>
      </c>
      <c r="Z911" t="s">
        <v>34</v>
      </c>
      <c r="AA911">
        <v>1</v>
      </c>
    </row>
    <row r="912" spans="1:27" x14ac:dyDescent="0.35">
      <c r="A912" s="13">
        <v>45930</v>
      </c>
      <c r="B912">
        <v>1</v>
      </c>
      <c r="D912" t="s">
        <v>31</v>
      </c>
      <c r="E912" t="s">
        <v>32</v>
      </c>
      <c r="F912" t="s">
        <v>32</v>
      </c>
      <c r="H912" t="s">
        <v>172</v>
      </c>
      <c r="I912" t="s">
        <v>175</v>
      </c>
      <c r="K912">
        <v>23</v>
      </c>
      <c r="M912" s="13">
        <v>46630</v>
      </c>
      <c r="N912" s="13">
        <v>46630</v>
      </c>
      <c r="O912" s="13">
        <v>46630</v>
      </c>
      <c r="P912" s="24">
        <v>22859.894327531569</v>
      </c>
      <c r="V912">
        <v>1</v>
      </c>
      <c r="W912" t="s">
        <v>33</v>
      </c>
      <c r="Y912" t="s">
        <v>33</v>
      </c>
      <c r="Z912" t="s">
        <v>34</v>
      </c>
      <c r="AA912">
        <v>1</v>
      </c>
    </row>
    <row r="913" spans="1:27" x14ac:dyDescent="0.35">
      <c r="A913" s="13">
        <v>45930</v>
      </c>
      <c r="B913">
        <v>1</v>
      </c>
      <c r="D913" t="s">
        <v>31</v>
      </c>
      <c r="E913" t="s">
        <v>32</v>
      </c>
      <c r="F913" t="s">
        <v>32</v>
      </c>
      <c r="H913" t="s">
        <v>172</v>
      </c>
      <c r="I913" t="s">
        <v>175</v>
      </c>
      <c r="K913">
        <v>24</v>
      </c>
      <c r="M913" s="13">
        <v>46660</v>
      </c>
      <c r="N913" s="13">
        <v>46660</v>
      </c>
      <c r="O913" s="13">
        <v>46660</v>
      </c>
      <c r="P913" s="24">
        <v>22659.60980186332</v>
      </c>
      <c r="V913">
        <v>1</v>
      </c>
      <c r="W913" t="s">
        <v>33</v>
      </c>
      <c r="Y913" t="s">
        <v>33</v>
      </c>
      <c r="Z913" t="s">
        <v>34</v>
      </c>
      <c r="AA913">
        <v>1</v>
      </c>
    </row>
    <row r="914" spans="1:27" x14ac:dyDescent="0.35">
      <c r="A914" s="13">
        <v>45930</v>
      </c>
      <c r="B914">
        <v>1</v>
      </c>
      <c r="D914" t="s">
        <v>31</v>
      </c>
      <c r="E914" t="s">
        <v>32</v>
      </c>
      <c r="F914" t="s">
        <v>32</v>
      </c>
      <c r="H914" t="s">
        <v>172</v>
      </c>
      <c r="I914" t="s">
        <v>175</v>
      </c>
      <c r="K914">
        <v>25</v>
      </c>
      <c r="M914" s="13">
        <v>46691</v>
      </c>
      <c r="N914" s="13">
        <v>46691</v>
      </c>
      <c r="O914" s="13">
        <v>46691</v>
      </c>
      <c r="P914" s="24">
        <v>22461.080047702417</v>
      </c>
      <c r="V914">
        <v>1</v>
      </c>
      <c r="W914" t="s">
        <v>33</v>
      </c>
      <c r="Y914" t="s">
        <v>33</v>
      </c>
      <c r="Z914" t="s">
        <v>34</v>
      </c>
      <c r="AA914">
        <v>1</v>
      </c>
    </row>
    <row r="915" spans="1:27" x14ac:dyDescent="0.35">
      <c r="A915" s="13">
        <v>45930</v>
      </c>
      <c r="B915">
        <v>1</v>
      </c>
      <c r="D915" t="s">
        <v>31</v>
      </c>
      <c r="E915" t="s">
        <v>32</v>
      </c>
      <c r="F915" t="s">
        <v>32</v>
      </c>
      <c r="H915" t="s">
        <v>172</v>
      </c>
      <c r="I915" t="s">
        <v>175</v>
      </c>
      <c r="K915">
        <v>26</v>
      </c>
      <c r="M915" s="13">
        <v>46721</v>
      </c>
      <c r="N915" s="13">
        <v>46721</v>
      </c>
      <c r="O915" s="13">
        <v>46721</v>
      </c>
      <c r="P915" s="24">
        <v>22264.289690805599</v>
      </c>
      <c r="V915">
        <v>1</v>
      </c>
      <c r="W915" t="s">
        <v>33</v>
      </c>
      <c r="Y915" t="s">
        <v>33</v>
      </c>
      <c r="Z915" t="s">
        <v>34</v>
      </c>
      <c r="AA915">
        <v>1</v>
      </c>
    </row>
    <row r="916" spans="1:27" x14ac:dyDescent="0.35">
      <c r="A916" s="13">
        <v>45930</v>
      </c>
      <c r="B916">
        <v>1</v>
      </c>
      <c r="D916" t="s">
        <v>31</v>
      </c>
      <c r="E916" t="s">
        <v>32</v>
      </c>
      <c r="F916" t="s">
        <v>32</v>
      </c>
      <c r="H916" t="s">
        <v>172</v>
      </c>
      <c r="I916" t="s">
        <v>175</v>
      </c>
      <c r="K916">
        <v>27</v>
      </c>
      <c r="M916" s="13">
        <v>46752</v>
      </c>
      <c r="N916" s="13">
        <v>46752</v>
      </c>
      <c r="O916" s="13">
        <v>46752</v>
      </c>
      <c r="P916" s="24">
        <v>22069.223491627723</v>
      </c>
      <c r="V916">
        <v>1</v>
      </c>
      <c r="W916" t="s">
        <v>33</v>
      </c>
      <c r="Y916" t="s">
        <v>33</v>
      </c>
      <c r="Z916" t="s">
        <v>34</v>
      </c>
      <c r="AA916">
        <v>1</v>
      </c>
    </row>
    <row r="917" spans="1:27" x14ac:dyDescent="0.35">
      <c r="A917" s="13">
        <v>45930</v>
      </c>
      <c r="B917">
        <v>1</v>
      </c>
      <c r="D917" t="s">
        <v>31</v>
      </c>
      <c r="E917" t="s">
        <v>32</v>
      </c>
      <c r="F917" t="s">
        <v>32</v>
      </c>
      <c r="H917" t="s">
        <v>172</v>
      </c>
      <c r="I917" t="s">
        <v>175</v>
      </c>
      <c r="K917">
        <v>28</v>
      </c>
      <c r="M917" s="13">
        <v>46783</v>
      </c>
      <c r="N917" s="13">
        <v>46783</v>
      </c>
      <c r="O917" s="13">
        <v>46783</v>
      </c>
      <c r="P917" s="24">
        <v>21875.866344146896</v>
      </c>
      <c r="V917">
        <v>1</v>
      </c>
      <c r="W917" t="s">
        <v>33</v>
      </c>
      <c r="Y917" t="s">
        <v>33</v>
      </c>
      <c r="Z917" t="s">
        <v>34</v>
      </c>
      <c r="AA917">
        <v>1</v>
      </c>
    </row>
    <row r="918" spans="1:27" x14ac:dyDescent="0.35">
      <c r="A918" s="13">
        <v>45930</v>
      </c>
      <c r="B918">
        <v>1</v>
      </c>
      <c r="D918" t="s">
        <v>31</v>
      </c>
      <c r="E918" t="s">
        <v>32</v>
      </c>
      <c r="F918" t="s">
        <v>32</v>
      </c>
      <c r="H918" t="s">
        <v>172</v>
      </c>
      <c r="I918" t="s">
        <v>175</v>
      </c>
      <c r="K918">
        <v>29</v>
      </c>
      <c r="M918" s="13">
        <v>46812</v>
      </c>
      <c r="N918" s="13">
        <v>46812</v>
      </c>
      <c r="O918" s="13">
        <v>46812</v>
      </c>
      <c r="P918" s="24">
        <v>21684.203274688683</v>
      </c>
      <c r="V918">
        <v>1</v>
      </c>
      <c r="W918" t="s">
        <v>33</v>
      </c>
      <c r="Y918" t="s">
        <v>33</v>
      </c>
      <c r="Z918" t="s">
        <v>34</v>
      </c>
      <c r="AA918">
        <v>1</v>
      </c>
    </row>
    <row r="919" spans="1:27" x14ac:dyDescent="0.35">
      <c r="A919" s="13">
        <v>45930</v>
      </c>
      <c r="B919">
        <v>1</v>
      </c>
      <c r="D919" t="s">
        <v>31</v>
      </c>
      <c r="E919" t="s">
        <v>32</v>
      </c>
      <c r="F919" t="s">
        <v>32</v>
      </c>
      <c r="H919" t="s">
        <v>172</v>
      </c>
      <c r="I919" t="s">
        <v>175</v>
      </c>
      <c r="K919">
        <v>30</v>
      </c>
      <c r="M919" s="13">
        <v>46843</v>
      </c>
      <c r="N919" s="13">
        <v>46843</v>
      </c>
      <c r="O919" s="13">
        <v>46843</v>
      </c>
      <c r="P919" s="24">
        <v>21494.219440767542</v>
      </c>
      <c r="V919">
        <v>1</v>
      </c>
      <c r="W919" t="s">
        <v>33</v>
      </c>
      <c r="Y919" t="s">
        <v>33</v>
      </c>
      <c r="Z919" t="s">
        <v>34</v>
      </c>
      <c r="AA919">
        <v>1</v>
      </c>
    </row>
    <row r="920" spans="1:27" x14ac:dyDescent="0.35">
      <c r="A920" s="13">
        <v>45930</v>
      </c>
      <c r="B920">
        <v>1</v>
      </c>
      <c r="D920" t="s">
        <v>31</v>
      </c>
      <c r="E920" t="s">
        <v>32</v>
      </c>
      <c r="F920" t="s">
        <v>32</v>
      </c>
      <c r="H920" t="s">
        <v>172</v>
      </c>
      <c r="I920" t="s">
        <v>175</v>
      </c>
      <c r="K920">
        <v>31</v>
      </c>
      <c r="M920" s="13">
        <v>46873</v>
      </c>
      <c r="N920" s="13">
        <v>46873</v>
      </c>
      <c r="O920" s="13">
        <v>46873</v>
      </c>
      <c r="P920" s="24">
        <v>21305.900129942689</v>
      </c>
      <c r="V920">
        <v>1</v>
      </c>
      <c r="W920" t="s">
        <v>33</v>
      </c>
      <c r="Y920" t="s">
        <v>33</v>
      </c>
      <c r="Z920" t="s">
        <v>34</v>
      </c>
      <c r="AA920">
        <v>1</v>
      </c>
    </row>
    <row r="921" spans="1:27" x14ac:dyDescent="0.35">
      <c r="A921" s="13">
        <v>45930</v>
      </c>
      <c r="B921">
        <v>1</v>
      </c>
      <c r="D921" t="s">
        <v>31</v>
      </c>
      <c r="E921" t="s">
        <v>32</v>
      </c>
      <c r="F921" t="s">
        <v>32</v>
      </c>
      <c r="H921" t="s">
        <v>172</v>
      </c>
      <c r="I921" t="s">
        <v>175</v>
      </c>
      <c r="K921">
        <v>32</v>
      </c>
      <c r="M921" s="13">
        <v>46904</v>
      </c>
      <c r="N921" s="13">
        <v>46904</v>
      </c>
      <c r="O921" s="13">
        <v>46904</v>
      </c>
      <c r="P921" s="24">
        <v>21119.230758670252</v>
      </c>
      <c r="V921">
        <v>1</v>
      </c>
      <c r="W921" t="s">
        <v>33</v>
      </c>
      <c r="Y921" t="s">
        <v>33</v>
      </c>
      <c r="Z921" t="s">
        <v>34</v>
      </c>
      <c r="AA921">
        <v>1</v>
      </c>
    </row>
    <row r="922" spans="1:27" x14ac:dyDescent="0.35">
      <c r="A922" s="13">
        <v>45930</v>
      </c>
      <c r="B922">
        <v>1</v>
      </c>
      <c r="D922" t="s">
        <v>31</v>
      </c>
      <c r="E922" t="s">
        <v>32</v>
      </c>
      <c r="F922" t="s">
        <v>32</v>
      </c>
      <c r="H922" t="s">
        <v>172</v>
      </c>
      <c r="I922" t="s">
        <v>175</v>
      </c>
      <c r="K922">
        <v>33</v>
      </c>
      <c r="M922" s="13">
        <v>46934</v>
      </c>
      <c r="N922" s="13">
        <v>46934</v>
      </c>
      <c r="O922" s="13">
        <v>46934</v>
      </c>
      <c r="P922" s="24">
        <v>20934.196871182881</v>
      </c>
      <c r="V922">
        <v>1</v>
      </c>
      <c r="W922" t="s">
        <v>33</v>
      </c>
      <c r="Y922" t="s">
        <v>33</v>
      </c>
      <c r="Z922" t="s">
        <v>34</v>
      </c>
      <c r="AA922">
        <v>1</v>
      </c>
    </row>
    <row r="923" spans="1:27" x14ac:dyDescent="0.35">
      <c r="A923" s="13">
        <v>45930</v>
      </c>
      <c r="B923">
        <v>1</v>
      </c>
      <c r="D923" t="s">
        <v>31</v>
      </c>
      <c r="E923" t="s">
        <v>32</v>
      </c>
      <c r="F923" t="s">
        <v>32</v>
      </c>
      <c r="H923" t="s">
        <v>172</v>
      </c>
      <c r="I923" t="s">
        <v>175</v>
      </c>
      <c r="K923">
        <v>34</v>
      </c>
      <c r="M923" s="13">
        <v>46965</v>
      </c>
      <c r="N923" s="13">
        <v>46965</v>
      </c>
      <c r="O923" s="13">
        <v>46965</v>
      </c>
      <c r="P923" s="24">
        <v>20750.784138362855</v>
      </c>
      <c r="V923">
        <v>1</v>
      </c>
      <c r="W923" t="s">
        <v>33</v>
      </c>
      <c r="Y923" t="s">
        <v>33</v>
      </c>
      <c r="Z923" t="s">
        <v>34</v>
      </c>
      <c r="AA923">
        <v>1</v>
      </c>
    </row>
    <row r="924" spans="1:27" x14ac:dyDescent="0.35">
      <c r="A924" s="13">
        <v>45930</v>
      </c>
      <c r="B924">
        <v>1</v>
      </c>
      <c r="D924" t="s">
        <v>31</v>
      </c>
      <c r="E924" t="s">
        <v>32</v>
      </c>
      <c r="F924" t="s">
        <v>32</v>
      </c>
      <c r="H924" t="s">
        <v>172</v>
      </c>
      <c r="I924" t="s">
        <v>175</v>
      </c>
      <c r="K924">
        <v>35</v>
      </c>
      <c r="M924" s="13">
        <v>46996</v>
      </c>
      <c r="N924" s="13">
        <v>46996</v>
      </c>
      <c r="O924" s="13">
        <v>46996</v>
      </c>
      <c r="P924" s="24">
        <v>20568.978356636595</v>
      </c>
      <c r="V924">
        <v>1</v>
      </c>
      <c r="W924" t="s">
        <v>33</v>
      </c>
      <c r="Y924" t="s">
        <v>33</v>
      </c>
      <c r="Z924" t="s">
        <v>34</v>
      </c>
      <c r="AA924">
        <v>1</v>
      </c>
    </row>
    <row r="925" spans="1:27" x14ac:dyDescent="0.35">
      <c r="A925" s="13">
        <v>45930</v>
      </c>
      <c r="B925">
        <v>1</v>
      </c>
      <c r="D925" t="s">
        <v>31</v>
      </c>
      <c r="E925" t="s">
        <v>32</v>
      </c>
      <c r="F925" t="s">
        <v>32</v>
      </c>
      <c r="H925" t="s">
        <v>172</v>
      </c>
      <c r="I925" t="s">
        <v>175</v>
      </c>
      <c r="K925">
        <v>36</v>
      </c>
      <c r="M925" s="13">
        <v>47026</v>
      </c>
      <c r="N925" s="13">
        <v>47026</v>
      </c>
      <c r="O925" s="13">
        <v>47026</v>
      </c>
      <c r="P925" s="24">
        <v>20388.765446873847</v>
      </c>
      <c r="V925">
        <v>1</v>
      </c>
      <c r="W925" t="s">
        <v>33</v>
      </c>
      <c r="Y925" t="s">
        <v>33</v>
      </c>
      <c r="Z925" t="s">
        <v>34</v>
      </c>
      <c r="AA925">
        <v>1</v>
      </c>
    </row>
    <row r="926" spans="1:27" x14ac:dyDescent="0.35">
      <c r="A926" s="13">
        <v>45930</v>
      </c>
      <c r="B926">
        <v>1</v>
      </c>
      <c r="D926" t="s">
        <v>31</v>
      </c>
      <c r="E926" t="s">
        <v>32</v>
      </c>
      <c r="F926" t="s">
        <v>32</v>
      </c>
      <c r="H926" t="s">
        <v>172</v>
      </c>
      <c r="I926" t="s">
        <v>175</v>
      </c>
      <c r="K926">
        <v>37</v>
      </c>
      <c r="M926" s="13">
        <v>47057</v>
      </c>
      <c r="N926" s="13">
        <v>47057</v>
      </c>
      <c r="O926" s="13">
        <v>47057</v>
      </c>
      <c r="P926" s="24">
        <v>20210.131453296635</v>
      </c>
      <c r="V926">
        <v>1</v>
      </c>
      <c r="W926" t="s">
        <v>33</v>
      </c>
      <c r="Y926" t="s">
        <v>33</v>
      </c>
      <c r="Z926" t="s">
        <v>34</v>
      </c>
      <c r="AA926">
        <v>1</v>
      </c>
    </row>
    <row r="927" spans="1:27" x14ac:dyDescent="0.35">
      <c r="A927" s="13">
        <v>45930</v>
      </c>
      <c r="B927">
        <v>1</v>
      </c>
      <c r="D927" t="s">
        <v>31</v>
      </c>
      <c r="E927" t="s">
        <v>32</v>
      </c>
      <c r="F927" t="s">
        <v>32</v>
      </c>
      <c r="H927" t="s">
        <v>172</v>
      </c>
      <c r="I927" t="s">
        <v>175</v>
      </c>
      <c r="K927">
        <v>38</v>
      </c>
      <c r="M927" s="13">
        <v>47087</v>
      </c>
      <c r="N927" s="13">
        <v>47087</v>
      </c>
      <c r="O927" s="13">
        <v>47087</v>
      </c>
      <c r="P927" s="24">
        <v>20033.06254239846</v>
      </c>
      <c r="V927">
        <v>1</v>
      </c>
      <c r="W927" t="s">
        <v>33</v>
      </c>
      <c r="Y927" t="s">
        <v>33</v>
      </c>
      <c r="Z927" t="s">
        <v>34</v>
      </c>
      <c r="AA927">
        <v>1</v>
      </c>
    </row>
    <row r="928" spans="1:27" x14ac:dyDescent="0.35">
      <c r="A928" s="13">
        <v>45930</v>
      </c>
      <c r="B928">
        <v>1</v>
      </c>
      <c r="D928" t="s">
        <v>31</v>
      </c>
      <c r="E928" t="s">
        <v>32</v>
      </c>
      <c r="F928" t="s">
        <v>32</v>
      </c>
      <c r="H928" t="s">
        <v>172</v>
      </c>
      <c r="I928" t="s">
        <v>175</v>
      </c>
      <c r="K928">
        <v>39</v>
      </c>
      <c r="M928" s="13">
        <v>47118</v>
      </c>
      <c r="N928" s="13">
        <v>47118</v>
      </c>
      <c r="O928" s="13">
        <v>47118</v>
      </c>
      <c r="P928" s="24">
        <v>19857.545001875143</v>
      </c>
      <c r="V928">
        <v>1</v>
      </c>
      <c r="W928" t="s">
        <v>33</v>
      </c>
      <c r="Y928" t="s">
        <v>33</v>
      </c>
      <c r="Z928" t="s">
        <v>34</v>
      </c>
      <c r="AA928">
        <v>1</v>
      </c>
    </row>
    <row r="929" spans="1:27" x14ac:dyDescent="0.35">
      <c r="A929" s="13">
        <v>45930</v>
      </c>
      <c r="B929">
        <v>1</v>
      </c>
      <c r="D929" t="s">
        <v>31</v>
      </c>
      <c r="E929" t="s">
        <v>32</v>
      </c>
      <c r="F929" t="s">
        <v>32</v>
      </c>
      <c r="H929" t="s">
        <v>172</v>
      </c>
      <c r="I929" t="s">
        <v>175</v>
      </c>
      <c r="K929">
        <v>40</v>
      </c>
      <c r="M929" s="13">
        <v>47149</v>
      </c>
      <c r="N929" s="13">
        <v>47149</v>
      </c>
      <c r="O929" s="13">
        <v>47149</v>
      </c>
      <c r="P929" s="24">
        <v>19683.56523956079</v>
      </c>
      <c r="V929">
        <v>1</v>
      </c>
      <c r="W929" t="s">
        <v>33</v>
      </c>
      <c r="Y929" t="s">
        <v>33</v>
      </c>
      <c r="Z929" t="s">
        <v>34</v>
      </c>
      <c r="AA929">
        <v>1</v>
      </c>
    </row>
    <row r="930" spans="1:27" x14ac:dyDescent="0.35">
      <c r="A930" s="13">
        <v>45930</v>
      </c>
      <c r="B930">
        <v>1</v>
      </c>
      <c r="D930" t="s">
        <v>31</v>
      </c>
      <c r="E930" t="s">
        <v>32</v>
      </c>
      <c r="F930" t="s">
        <v>32</v>
      </c>
      <c r="H930" t="s">
        <v>172</v>
      </c>
      <c r="I930" t="s">
        <v>175</v>
      </c>
      <c r="K930">
        <v>41</v>
      </c>
      <c r="M930" s="13">
        <v>47177</v>
      </c>
      <c r="N930" s="13">
        <v>47177</v>
      </c>
      <c r="O930" s="13">
        <v>47177</v>
      </c>
      <c r="P930" s="24">
        <v>19511.109782375861</v>
      </c>
      <c r="V930">
        <v>1</v>
      </c>
      <c r="W930" t="s">
        <v>33</v>
      </c>
      <c r="Y930" t="s">
        <v>33</v>
      </c>
      <c r="Z930" t="s">
        <v>34</v>
      </c>
      <c r="AA930">
        <v>1</v>
      </c>
    </row>
    <row r="931" spans="1:27" x14ac:dyDescent="0.35">
      <c r="A931" s="13">
        <v>45930</v>
      </c>
      <c r="B931">
        <v>1</v>
      </c>
      <c r="D931" t="s">
        <v>31</v>
      </c>
      <c r="E931" t="s">
        <v>32</v>
      </c>
      <c r="F931" t="s">
        <v>32</v>
      </c>
      <c r="H931" t="s">
        <v>172</v>
      </c>
      <c r="I931" t="s">
        <v>175</v>
      </c>
      <c r="K931">
        <v>42</v>
      </c>
      <c r="M931" s="13">
        <v>47208</v>
      </c>
      <c r="N931" s="13">
        <v>47208</v>
      </c>
      <c r="O931" s="13">
        <v>47208</v>
      </c>
      <c r="P931" s="24">
        <v>19340.165275282227</v>
      </c>
      <c r="V931">
        <v>1</v>
      </c>
      <c r="W931" t="s">
        <v>33</v>
      </c>
      <c r="Y931" t="s">
        <v>33</v>
      </c>
      <c r="Z931" t="s">
        <v>34</v>
      </c>
      <c r="AA931">
        <v>1</v>
      </c>
    </row>
    <row r="932" spans="1:27" x14ac:dyDescent="0.35">
      <c r="A932" s="13">
        <v>45930</v>
      </c>
      <c r="B932">
        <v>1</v>
      </c>
      <c r="D932" t="s">
        <v>31</v>
      </c>
      <c r="E932" t="s">
        <v>32</v>
      </c>
      <c r="F932" t="s">
        <v>32</v>
      </c>
      <c r="H932" t="s">
        <v>172</v>
      </c>
      <c r="I932" t="s">
        <v>175</v>
      </c>
      <c r="K932">
        <v>43</v>
      </c>
      <c r="M932" s="13">
        <v>47238</v>
      </c>
      <c r="N932" s="13">
        <v>47238</v>
      </c>
      <c r="O932" s="13">
        <v>47238</v>
      </c>
      <c r="P932" s="24">
        <v>19170.718480253126</v>
      </c>
      <c r="V932">
        <v>1</v>
      </c>
      <c r="W932" t="s">
        <v>33</v>
      </c>
      <c r="Y932" t="s">
        <v>33</v>
      </c>
      <c r="Z932" t="s">
        <v>34</v>
      </c>
      <c r="AA932">
        <v>1</v>
      </c>
    </row>
    <row r="933" spans="1:27" x14ac:dyDescent="0.35">
      <c r="A933" s="13">
        <v>45930</v>
      </c>
      <c r="B933">
        <v>1</v>
      </c>
      <c r="D933" t="s">
        <v>31</v>
      </c>
      <c r="E933" t="s">
        <v>32</v>
      </c>
      <c r="F933" t="s">
        <v>32</v>
      </c>
      <c r="H933" t="s">
        <v>172</v>
      </c>
      <c r="I933" t="s">
        <v>175</v>
      </c>
      <c r="K933">
        <v>44</v>
      </c>
      <c r="M933" s="13">
        <v>47269</v>
      </c>
      <c r="N933" s="13">
        <v>47269</v>
      </c>
      <c r="O933" s="13">
        <v>47269</v>
      </c>
      <c r="P933" s="24">
        <v>19002.756275244057</v>
      </c>
      <c r="V933">
        <v>1</v>
      </c>
      <c r="W933" t="s">
        <v>33</v>
      </c>
      <c r="Y933" t="s">
        <v>33</v>
      </c>
      <c r="Z933" t="s">
        <v>34</v>
      </c>
      <c r="AA933">
        <v>1</v>
      </c>
    </row>
    <row r="934" spans="1:27" x14ac:dyDescent="0.35">
      <c r="A934" s="13">
        <v>45930</v>
      </c>
      <c r="B934">
        <v>1</v>
      </c>
      <c r="D934" t="s">
        <v>31</v>
      </c>
      <c r="E934" t="s">
        <v>32</v>
      </c>
      <c r="F934" t="s">
        <v>32</v>
      </c>
      <c r="H934" t="s">
        <v>172</v>
      </c>
      <c r="I934" t="s">
        <v>175</v>
      </c>
      <c r="K934">
        <v>45</v>
      </c>
      <c r="M934" s="13">
        <v>47299</v>
      </c>
      <c r="N934" s="13">
        <v>47299</v>
      </c>
      <c r="O934" s="13">
        <v>47299</v>
      </c>
      <c r="P934" s="24">
        <v>18836.265653176699</v>
      </c>
      <c r="V934">
        <v>1</v>
      </c>
      <c r="W934" t="s">
        <v>33</v>
      </c>
      <c r="Y934" t="s">
        <v>33</v>
      </c>
      <c r="Z934" t="s">
        <v>34</v>
      </c>
      <c r="AA934">
        <v>1</v>
      </c>
    </row>
    <row r="935" spans="1:27" x14ac:dyDescent="0.35">
      <c r="A935" s="13">
        <v>45930</v>
      </c>
      <c r="B935">
        <v>1</v>
      </c>
      <c r="D935" t="s">
        <v>31</v>
      </c>
      <c r="E935" t="s">
        <v>32</v>
      </c>
      <c r="F935" t="s">
        <v>32</v>
      </c>
      <c r="H935" t="s">
        <v>172</v>
      </c>
      <c r="I935" t="s">
        <v>175</v>
      </c>
      <c r="K935">
        <v>46</v>
      </c>
      <c r="M935" s="13">
        <v>47330</v>
      </c>
      <c r="N935" s="13">
        <v>47330</v>
      </c>
      <c r="O935" s="13">
        <v>47330</v>
      </c>
      <c r="P935" s="24">
        <v>18671.233720935415</v>
      </c>
      <c r="V935">
        <v>1</v>
      </c>
      <c r="W935" t="s">
        <v>33</v>
      </c>
      <c r="Y935" t="s">
        <v>33</v>
      </c>
      <c r="Z935" t="s">
        <v>34</v>
      </c>
      <c r="AA935">
        <v>1</v>
      </c>
    </row>
    <row r="936" spans="1:27" x14ac:dyDescent="0.35">
      <c r="A936" s="13">
        <v>45930</v>
      </c>
      <c r="B936">
        <v>1</v>
      </c>
      <c r="D936" t="s">
        <v>31</v>
      </c>
      <c r="E936" t="s">
        <v>32</v>
      </c>
      <c r="F936" t="s">
        <v>32</v>
      </c>
      <c r="H936" t="s">
        <v>172</v>
      </c>
      <c r="I936" t="s">
        <v>175</v>
      </c>
      <c r="K936">
        <v>47</v>
      </c>
      <c r="M936" s="13">
        <v>47361</v>
      </c>
      <c r="N936" s="13">
        <v>47361</v>
      </c>
      <c r="O936" s="13">
        <v>47361</v>
      </c>
      <c r="P936" s="24">
        <v>18507.647698363988</v>
      </c>
      <c r="V936">
        <v>1</v>
      </c>
      <c r="W936" t="s">
        <v>33</v>
      </c>
      <c r="Y936" t="s">
        <v>33</v>
      </c>
      <c r="Z936" t="s">
        <v>34</v>
      </c>
      <c r="AA936">
        <v>1</v>
      </c>
    </row>
    <row r="937" spans="1:27" x14ac:dyDescent="0.35">
      <c r="A937" s="13">
        <v>45930</v>
      </c>
      <c r="B937">
        <v>1</v>
      </c>
      <c r="D937" t="s">
        <v>31</v>
      </c>
      <c r="E937" t="s">
        <v>32</v>
      </c>
      <c r="F937" t="s">
        <v>32</v>
      </c>
      <c r="H937" t="s">
        <v>172</v>
      </c>
      <c r="I937" t="s">
        <v>175</v>
      </c>
      <c r="K937">
        <v>48</v>
      </c>
      <c r="M937" s="13">
        <v>47391</v>
      </c>
      <c r="N937" s="13">
        <v>47391</v>
      </c>
      <c r="O937" s="13">
        <v>47391</v>
      </c>
      <c r="P937" s="24">
        <v>18345.494917280041</v>
      </c>
      <c r="V937">
        <v>1</v>
      </c>
      <c r="W937" t="s">
        <v>33</v>
      </c>
      <c r="Y937" t="s">
        <v>33</v>
      </c>
      <c r="Z937" t="s">
        <v>34</v>
      </c>
      <c r="AA937">
        <v>1</v>
      </c>
    </row>
    <row r="938" spans="1:27" x14ac:dyDescent="0.35">
      <c r="A938" s="13">
        <v>45930</v>
      </c>
      <c r="B938">
        <v>1</v>
      </c>
      <c r="D938" t="s">
        <v>31</v>
      </c>
      <c r="E938" t="s">
        <v>32</v>
      </c>
      <c r="F938" t="s">
        <v>32</v>
      </c>
      <c r="H938" t="s">
        <v>172</v>
      </c>
      <c r="I938" t="s">
        <v>175</v>
      </c>
      <c r="K938">
        <v>49</v>
      </c>
      <c r="M938" s="13">
        <v>47422</v>
      </c>
      <c r="N938" s="13">
        <v>47422</v>
      </c>
      <c r="O938" s="13">
        <v>47422</v>
      </c>
      <c r="P938" s="24">
        <v>18184.76282049017</v>
      </c>
      <c r="V938">
        <v>1</v>
      </c>
      <c r="W938" t="s">
        <v>33</v>
      </c>
      <c r="Y938" t="s">
        <v>33</v>
      </c>
      <c r="Z938" t="s">
        <v>34</v>
      </c>
      <c r="AA938">
        <v>1</v>
      </c>
    </row>
    <row r="939" spans="1:27" x14ac:dyDescent="0.35">
      <c r="A939" s="13">
        <v>45930</v>
      </c>
      <c r="B939">
        <v>1</v>
      </c>
      <c r="D939" t="s">
        <v>31</v>
      </c>
      <c r="E939" t="s">
        <v>32</v>
      </c>
      <c r="F939" t="s">
        <v>32</v>
      </c>
      <c r="H939" t="s">
        <v>172</v>
      </c>
      <c r="I939" t="s">
        <v>175</v>
      </c>
      <c r="K939">
        <v>50</v>
      </c>
      <c r="M939" s="13">
        <v>47452</v>
      </c>
      <c r="N939" s="13">
        <v>47452</v>
      </c>
      <c r="O939" s="13">
        <v>47452</v>
      </c>
      <c r="P939" s="24">
        <v>18025.438960821135</v>
      </c>
      <c r="V939">
        <v>1</v>
      </c>
      <c r="W939" t="s">
        <v>33</v>
      </c>
      <c r="Y939" t="s">
        <v>33</v>
      </c>
      <c r="Z939" t="s">
        <v>34</v>
      </c>
      <c r="AA939">
        <v>1</v>
      </c>
    </row>
    <row r="940" spans="1:27" x14ac:dyDescent="0.35">
      <c r="A940" s="13">
        <v>45930</v>
      </c>
      <c r="B940">
        <v>1</v>
      </c>
      <c r="D940" t="s">
        <v>31</v>
      </c>
      <c r="E940" t="s">
        <v>32</v>
      </c>
      <c r="F940" t="s">
        <v>32</v>
      </c>
      <c r="H940" t="s">
        <v>172</v>
      </c>
      <c r="I940" t="s">
        <v>175</v>
      </c>
      <c r="K940">
        <v>51</v>
      </c>
      <c r="M940" s="13">
        <v>47483</v>
      </c>
      <c r="N940" s="13">
        <v>47483</v>
      </c>
      <c r="O940" s="13">
        <v>47483</v>
      </c>
      <c r="P940" s="24">
        <v>17867.511000153609</v>
      </c>
      <c r="V940">
        <v>1</v>
      </c>
      <c r="W940" t="s">
        <v>33</v>
      </c>
      <c r="Y940" t="s">
        <v>33</v>
      </c>
      <c r="Z940" t="s">
        <v>34</v>
      </c>
      <c r="AA940">
        <v>1</v>
      </c>
    </row>
    <row r="941" spans="1:27" x14ac:dyDescent="0.35">
      <c r="A941" s="13">
        <v>45930</v>
      </c>
      <c r="B941">
        <v>1</v>
      </c>
      <c r="D941" t="s">
        <v>31</v>
      </c>
      <c r="E941" t="s">
        <v>32</v>
      </c>
      <c r="F941" t="s">
        <v>32</v>
      </c>
      <c r="H941" t="s">
        <v>172</v>
      </c>
      <c r="I941" t="s">
        <v>175</v>
      </c>
      <c r="K941">
        <v>52</v>
      </c>
      <c r="M941" s="13">
        <v>47514</v>
      </c>
      <c r="N941" s="13">
        <v>47514</v>
      </c>
      <c r="O941" s="13">
        <v>47514</v>
      </c>
      <c r="P941" s="24">
        <v>17710.966708466411</v>
      </c>
      <c r="V941">
        <v>1</v>
      </c>
      <c r="W941" t="s">
        <v>33</v>
      </c>
      <c r="Y941" t="s">
        <v>33</v>
      </c>
      <c r="Z941" t="s">
        <v>34</v>
      </c>
      <c r="AA941">
        <v>1</v>
      </c>
    </row>
    <row r="942" spans="1:27" x14ac:dyDescent="0.35">
      <c r="A942" s="13">
        <v>45930</v>
      </c>
      <c r="B942">
        <v>1</v>
      </c>
      <c r="D942" t="s">
        <v>31</v>
      </c>
      <c r="E942" t="s">
        <v>32</v>
      </c>
      <c r="F942" t="s">
        <v>32</v>
      </c>
      <c r="H942" t="s">
        <v>172</v>
      </c>
      <c r="I942" t="s">
        <v>175</v>
      </c>
      <c r="K942">
        <v>53</v>
      </c>
      <c r="M942" s="13">
        <v>47542</v>
      </c>
      <c r="N942" s="13">
        <v>47542</v>
      </c>
      <c r="O942" s="13">
        <v>47542</v>
      </c>
      <c r="P942" s="24">
        <v>17555.793962892611</v>
      </c>
      <c r="V942">
        <v>1</v>
      </c>
      <c r="W942" t="s">
        <v>33</v>
      </c>
      <c r="Y942" t="s">
        <v>33</v>
      </c>
      <c r="Z942" t="s">
        <v>34</v>
      </c>
      <c r="AA942">
        <v>1</v>
      </c>
    </row>
    <row r="943" spans="1:27" x14ac:dyDescent="0.35">
      <c r="A943" s="13">
        <v>45930</v>
      </c>
      <c r="B943">
        <v>1</v>
      </c>
      <c r="D943" t="s">
        <v>31</v>
      </c>
      <c r="E943" t="s">
        <v>32</v>
      </c>
      <c r="F943" t="s">
        <v>32</v>
      </c>
      <c r="H943" t="s">
        <v>172</v>
      </c>
      <c r="I943" t="s">
        <v>175</v>
      </c>
      <c r="K943">
        <v>54</v>
      </c>
      <c r="M943" s="13">
        <v>47573</v>
      </c>
      <c r="N943" s="13">
        <v>47573</v>
      </c>
      <c r="O943" s="13">
        <v>47573</v>
      </c>
      <c r="P943" s="24">
        <v>17401.98074677703</v>
      </c>
      <c r="V943">
        <v>1</v>
      </c>
      <c r="W943" t="s">
        <v>33</v>
      </c>
      <c r="Y943" t="s">
        <v>33</v>
      </c>
      <c r="Z943" t="s">
        <v>34</v>
      </c>
      <c r="AA943">
        <v>1</v>
      </c>
    </row>
    <row r="944" spans="1:27" x14ac:dyDescent="0.35">
      <c r="A944" s="13">
        <v>45930</v>
      </c>
      <c r="B944">
        <v>1</v>
      </c>
      <c r="D944" t="s">
        <v>31</v>
      </c>
      <c r="E944" t="s">
        <v>32</v>
      </c>
      <c r="F944" t="s">
        <v>32</v>
      </c>
      <c r="H944" t="s">
        <v>172</v>
      </c>
      <c r="I944" t="s">
        <v>175</v>
      </c>
      <c r="K944">
        <v>55</v>
      </c>
      <c r="M944" s="13">
        <v>47603</v>
      </c>
      <c r="N944" s="13">
        <v>47603</v>
      </c>
      <c r="O944" s="13">
        <v>47603</v>
      </c>
      <c r="P944" s="24">
        <v>17249.515148746548</v>
      </c>
      <c r="V944">
        <v>1</v>
      </c>
      <c r="W944" t="s">
        <v>33</v>
      </c>
      <c r="Y944" t="s">
        <v>33</v>
      </c>
      <c r="Z944" t="s">
        <v>34</v>
      </c>
      <c r="AA944">
        <v>1</v>
      </c>
    </row>
    <row r="945" spans="1:27" x14ac:dyDescent="0.35">
      <c r="A945" s="13">
        <v>45930</v>
      </c>
      <c r="B945">
        <v>1</v>
      </c>
      <c r="D945" t="s">
        <v>31</v>
      </c>
      <c r="E945" t="s">
        <v>32</v>
      </c>
      <c r="F945" t="s">
        <v>32</v>
      </c>
      <c r="H945" t="s">
        <v>172</v>
      </c>
      <c r="I945" t="s">
        <v>175</v>
      </c>
      <c r="K945">
        <v>56</v>
      </c>
      <c r="M945" s="13">
        <v>47634</v>
      </c>
      <c r="N945" s="13">
        <v>47634</v>
      </c>
      <c r="O945" s="13">
        <v>47634</v>
      </c>
      <c r="P945" s="24">
        <v>17098.385361789959</v>
      </c>
      <c r="V945">
        <v>1</v>
      </c>
      <c r="W945" t="s">
        <v>33</v>
      </c>
      <c r="Y945" t="s">
        <v>33</v>
      </c>
      <c r="Z945" t="s">
        <v>34</v>
      </c>
      <c r="AA945">
        <v>1</v>
      </c>
    </row>
    <row r="946" spans="1:27" x14ac:dyDescent="0.35">
      <c r="A946" s="13">
        <v>45930</v>
      </c>
      <c r="B946">
        <v>1</v>
      </c>
      <c r="D946" t="s">
        <v>31</v>
      </c>
      <c r="E946" t="s">
        <v>32</v>
      </c>
      <c r="F946" t="s">
        <v>32</v>
      </c>
      <c r="H946" t="s">
        <v>172</v>
      </c>
      <c r="I946" t="s">
        <v>175</v>
      </c>
      <c r="K946">
        <v>57</v>
      </c>
      <c r="M946" s="13">
        <v>47664</v>
      </c>
      <c r="N946" s="13">
        <v>47664</v>
      </c>
      <c r="O946" s="13">
        <v>47664</v>
      </c>
      <c r="P946" s="24">
        <v>16948.57968234038</v>
      </c>
      <c r="V946">
        <v>1</v>
      </c>
      <c r="W946" t="s">
        <v>33</v>
      </c>
      <c r="Y946" t="s">
        <v>33</v>
      </c>
      <c r="Z946" t="s">
        <v>34</v>
      </c>
      <c r="AA946">
        <v>1</v>
      </c>
    </row>
    <row r="947" spans="1:27" x14ac:dyDescent="0.35">
      <c r="A947" s="13">
        <v>45930</v>
      </c>
      <c r="B947">
        <v>1</v>
      </c>
      <c r="D947" t="s">
        <v>31</v>
      </c>
      <c r="E947" t="s">
        <v>32</v>
      </c>
      <c r="F947" t="s">
        <v>32</v>
      </c>
      <c r="H947" t="s">
        <v>172</v>
      </c>
      <c r="I947" t="s">
        <v>175</v>
      </c>
      <c r="K947">
        <v>58</v>
      </c>
      <c r="M947" s="13">
        <v>47695</v>
      </c>
      <c r="N947" s="13">
        <v>47695</v>
      </c>
      <c r="O947" s="13">
        <v>47695</v>
      </c>
      <c r="P947" s="24">
        <v>16800.086509371875</v>
      </c>
      <c r="V947">
        <v>1</v>
      </c>
      <c r="W947" t="s">
        <v>33</v>
      </c>
      <c r="Y947" t="s">
        <v>33</v>
      </c>
      <c r="Z947" t="s">
        <v>34</v>
      </c>
      <c r="AA947">
        <v>1</v>
      </c>
    </row>
    <row r="948" spans="1:27" x14ac:dyDescent="0.35">
      <c r="A948" s="13">
        <v>45930</v>
      </c>
      <c r="B948">
        <v>1</v>
      </c>
      <c r="D948" t="s">
        <v>31</v>
      </c>
      <c r="E948" t="s">
        <v>32</v>
      </c>
      <c r="F948" t="s">
        <v>32</v>
      </c>
      <c r="H948" t="s">
        <v>172</v>
      </c>
      <c r="I948" t="s">
        <v>175</v>
      </c>
      <c r="K948">
        <v>59</v>
      </c>
      <c r="M948" s="13">
        <v>47726</v>
      </c>
      <c r="N948" s="13">
        <v>47726</v>
      </c>
      <c r="O948" s="13">
        <v>47726</v>
      </c>
      <c r="P948" s="24">
        <v>16652.894343497697</v>
      </c>
      <c r="V948">
        <v>1</v>
      </c>
      <c r="W948" t="s">
        <v>33</v>
      </c>
      <c r="Y948" t="s">
        <v>33</v>
      </c>
      <c r="Z948" t="s">
        <v>34</v>
      </c>
      <c r="AA948">
        <v>1</v>
      </c>
    </row>
    <row r="949" spans="1:27" x14ac:dyDescent="0.35">
      <c r="A949" s="13">
        <v>45930</v>
      </c>
      <c r="B949">
        <v>1</v>
      </c>
      <c r="D949" t="s">
        <v>31</v>
      </c>
      <c r="E949" t="s">
        <v>32</v>
      </c>
      <c r="F949" t="s">
        <v>32</v>
      </c>
      <c r="H949" t="s">
        <v>172</v>
      </c>
      <c r="I949" t="s">
        <v>175</v>
      </c>
      <c r="K949">
        <v>60</v>
      </c>
      <c r="M949" s="13">
        <v>47756</v>
      </c>
      <c r="N949" s="13">
        <v>47756</v>
      </c>
      <c r="O949" s="13">
        <v>47756</v>
      </c>
      <c r="P949" s="24">
        <v>16506.991786084604</v>
      </c>
      <c r="V949">
        <v>1</v>
      </c>
      <c r="W949" t="s">
        <v>33</v>
      </c>
      <c r="Y949" t="s">
        <v>33</v>
      </c>
      <c r="Z949" t="s">
        <v>34</v>
      </c>
      <c r="AA949">
        <v>1</v>
      </c>
    </row>
    <row r="950" spans="1:27" x14ac:dyDescent="0.35">
      <c r="A950" s="13">
        <v>45930</v>
      </c>
      <c r="B950">
        <v>1</v>
      </c>
      <c r="D950" t="s">
        <v>31</v>
      </c>
      <c r="E950" t="s">
        <v>32</v>
      </c>
      <c r="F950" t="s">
        <v>32</v>
      </c>
      <c r="H950" t="s">
        <v>172</v>
      </c>
      <c r="I950" t="s">
        <v>175</v>
      </c>
      <c r="K950">
        <v>61</v>
      </c>
      <c r="M950" s="13">
        <v>47787</v>
      </c>
      <c r="N950" s="13">
        <v>47787</v>
      </c>
      <c r="O950" s="13">
        <v>47787</v>
      </c>
      <c r="P950" s="24">
        <v>16362.367538363906</v>
      </c>
      <c r="V950">
        <v>1</v>
      </c>
      <c r="W950" t="s">
        <v>33</v>
      </c>
      <c r="Y950" t="s">
        <v>33</v>
      </c>
      <c r="Z950" t="s">
        <v>34</v>
      </c>
      <c r="AA950">
        <v>1</v>
      </c>
    </row>
    <row r="951" spans="1:27" x14ac:dyDescent="0.35">
      <c r="A951" s="13">
        <v>45930</v>
      </c>
      <c r="B951">
        <v>1</v>
      </c>
      <c r="D951" t="s">
        <v>31</v>
      </c>
      <c r="E951" t="s">
        <v>32</v>
      </c>
      <c r="F951" t="s">
        <v>32</v>
      </c>
      <c r="H951" t="s">
        <v>172</v>
      </c>
      <c r="I951" t="s">
        <v>175</v>
      </c>
      <c r="K951">
        <v>62</v>
      </c>
      <c r="M951" s="13">
        <v>47817</v>
      </c>
      <c r="N951" s="13">
        <v>47817</v>
      </c>
      <c r="O951" s="13">
        <v>47817</v>
      </c>
      <c r="P951" s="24">
        <v>16219.010400563246</v>
      </c>
      <c r="V951">
        <v>1</v>
      </c>
      <c r="W951" t="s">
        <v>33</v>
      </c>
      <c r="Y951" t="s">
        <v>33</v>
      </c>
      <c r="Z951" t="s">
        <v>34</v>
      </c>
      <c r="AA951">
        <v>1</v>
      </c>
    </row>
    <row r="952" spans="1:27" x14ac:dyDescent="0.35">
      <c r="A952" s="13">
        <v>45930</v>
      </c>
      <c r="B952">
        <v>1</v>
      </c>
      <c r="D952" t="s">
        <v>31</v>
      </c>
      <c r="E952" t="s">
        <v>32</v>
      </c>
      <c r="F952" t="s">
        <v>32</v>
      </c>
      <c r="H952" t="s">
        <v>172</v>
      </c>
      <c r="I952" t="s">
        <v>175</v>
      </c>
      <c r="K952">
        <v>63</v>
      </c>
      <c r="M952" s="13">
        <v>47848</v>
      </c>
      <c r="N952" s="13">
        <v>47848</v>
      </c>
      <c r="O952" s="13">
        <v>47848</v>
      </c>
      <c r="P952" s="24">
        <v>16076.909271032549</v>
      </c>
      <c r="V952">
        <v>1</v>
      </c>
      <c r="W952" t="s">
        <v>33</v>
      </c>
      <c r="Y952" t="s">
        <v>33</v>
      </c>
      <c r="Z952" t="s">
        <v>34</v>
      </c>
      <c r="AA952">
        <v>1</v>
      </c>
    </row>
    <row r="953" spans="1:27" x14ac:dyDescent="0.35">
      <c r="A953" s="13">
        <v>45930</v>
      </c>
      <c r="B953">
        <v>1</v>
      </c>
      <c r="D953" t="s">
        <v>31</v>
      </c>
      <c r="E953" t="s">
        <v>32</v>
      </c>
      <c r="F953" t="s">
        <v>32</v>
      </c>
      <c r="H953" t="s">
        <v>172</v>
      </c>
      <c r="I953" t="s">
        <v>175</v>
      </c>
      <c r="K953">
        <v>64</v>
      </c>
      <c r="M953" s="13">
        <v>47879</v>
      </c>
      <c r="N953" s="13">
        <v>47879</v>
      </c>
      <c r="O953" s="13">
        <v>47879</v>
      </c>
      <c r="P953" s="24">
        <v>15936.053145390935</v>
      </c>
      <c r="V953">
        <v>1</v>
      </c>
      <c r="W953" t="s">
        <v>33</v>
      </c>
      <c r="Y953" t="s">
        <v>33</v>
      </c>
      <c r="Z953" t="s">
        <v>34</v>
      </c>
      <c r="AA953">
        <v>1</v>
      </c>
    </row>
    <row r="954" spans="1:27" x14ac:dyDescent="0.35">
      <c r="A954" s="13">
        <v>45930</v>
      </c>
      <c r="B954">
        <v>1</v>
      </c>
      <c r="D954" t="s">
        <v>31</v>
      </c>
      <c r="E954" t="s">
        <v>32</v>
      </c>
      <c r="F954" t="s">
        <v>32</v>
      </c>
      <c r="H954" t="s">
        <v>172</v>
      </c>
      <c r="I954" t="s">
        <v>175</v>
      </c>
      <c r="K954">
        <v>65</v>
      </c>
      <c r="M954" s="13">
        <v>47907</v>
      </c>
      <c r="N954" s="13">
        <v>47907</v>
      </c>
      <c r="O954" s="13">
        <v>47907</v>
      </c>
      <c r="P954" s="24">
        <v>15796.4311156685</v>
      </c>
      <c r="V954">
        <v>1</v>
      </c>
      <c r="W954" t="s">
        <v>33</v>
      </c>
      <c r="Y954" t="s">
        <v>33</v>
      </c>
      <c r="Z954" t="s">
        <v>34</v>
      </c>
      <c r="AA954">
        <v>1</v>
      </c>
    </row>
    <row r="955" spans="1:27" x14ac:dyDescent="0.35">
      <c r="A955" s="13">
        <v>45930</v>
      </c>
      <c r="B955">
        <v>1</v>
      </c>
      <c r="D955" t="s">
        <v>31</v>
      </c>
      <c r="E955" t="s">
        <v>32</v>
      </c>
      <c r="F955" t="s">
        <v>32</v>
      </c>
      <c r="H955" t="s">
        <v>172</v>
      </c>
      <c r="I955" t="s">
        <v>175</v>
      </c>
      <c r="K955">
        <v>66</v>
      </c>
      <c r="M955" s="13">
        <v>47938</v>
      </c>
      <c r="N955" s="13">
        <v>47938</v>
      </c>
      <c r="O955" s="13">
        <v>47938</v>
      </c>
      <c r="P955" s="24">
        <v>15658.0323694658</v>
      </c>
      <c r="V955">
        <v>1</v>
      </c>
      <c r="W955" t="s">
        <v>33</v>
      </c>
      <c r="Y955" t="s">
        <v>33</v>
      </c>
      <c r="Z955" t="s">
        <v>34</v>
      </c>
      <c r="AA955">
        <v>1</v>
      </c>
    </row>
    <row r="956" spans="1:27" x14ac:dyDescent="0.35">
      <c r="A956" s="13">
        <v>45930</v>
      </c>
      <c r="B956">
        <v>1</v>
      </c>
      <c r="D956" t="s">
        <v>31</v>
      </c>
      <c r="E956" t="s">
        <v>32</v>
      </c>
      <c r="F956" t="s">
        <v>32</v>
      </c>
      <c r="H956" t="s">
        <v>172</v>
      </c>
      <c r="I956" t="s">
        <v>175</v>
      </c>
      <c r="K956">
        <v>67</v>
      </c>
      <c r="M956" s="13">
        <v>47968</v>
      </c>
      <c r="N956" s="13">
        <v>47968</v>
      </c>
      <c r="O956" s="13">
        <v>47968</v>
      </c>
      <c r="P956" s="24">
        <v>15520.846189115429</v>
      </c>
      <c r="V956">
        <v>1</v>
      </c>
      <c r="W956" t="s">
        <v>33</v>
      </c>
      <c r="Y956" t="s">
        <v>33</v>
      </c>
      <c r="Z956" t="s">
        <v>34</v>
      </c>
      <c r="AA956">
        <v>1</v>
      </c>
    </row>
    <row r="957" spans="1:27" x14ac:dyDescent="0.35">
      <c r="A957" s="13">
        <v>45930</v>
      </c>
      <c r="B957">
        <v>1</v>
      </c>
      <c r="D957" t="s">
        <v>31</v>
      </c>
      <c r="E957" t="s">
        <v>32</v>
      </c>
      <c r="F957" t="s">
        <v>32</v>
      </c>
      <c r="H957" t="s">
        <v>172</v>
      </c>
      <c r="I957" t="s">
        <v>175</v>
      </c>
      <c r="K957">
        <v>68</v>
      </c>
      <c r="M957" s="13">
        <v>47999</v>
      </c>
      <c r="N957" s="13">
        <v>47999</v>
      </c>
      <c r="O957" s="13">
        <v>47999</v>
      </c>
      <c r="P957" s="24">
        <v>15384.861950849649</v>
      </c>
      <c r="V957">
        <v>1</v>
      </c>
      <c r="W957" t="s">
        <v>33</v>
      </c>
      <c r="Y957" t="s">
        <v>33</v>
      </c>
      <c r="Z957" t="s">
        <v>34</v>
      </c>
      <c r="AA957">
        <v>1</v>
      </c>
    </row>
    <row r="958" spans="1:27" x14ac:dyDescent="0.35">
      <c r="A958" s="13">
        <v>45930</v>
      </c>
      <c r="B958">
        <v>1</v>
      </c>
      <c r="D958" t="s">
        <v>31</v>
      </c>
      <c r="E958" t="s">
        <v>32</v>
      </c>
      <c r="F958" t="s">
        <v>32</v>
      </c>
      <c r="H958" t="s">
        <v>172</v>
      </c>
      <c r="I958" t="s">
        <v>175</v>
      </c>
      <c r="K958">
        <v>69</v>
      </c>
      <c r="M958" s="13">
        <v>48029</v>
      </c>
      <c r="N958" s="13">
        <v>48029</v>
      </c>
      <c r="O958" s="13">
        <v>48029</v>
      </c>
      <c r="P958" s="24">
        <v>15250.069123982685</v>
      </c>
      <c r="V958">
        <v>1</v>
      </c>
      <c r="W958" t="s">
        <v>33</v>
      </c>
      <c r="Y958" t="s">
        <v>33</v>
      </c>
      <c r="Z958" t="s">
        <v>34</v>
      </c>
      <c r="AA958">
        <v>1</v>
      </c>
    </row>
    <row r="959" spans="1:27" x14ac:dyDescent="0.35">
      <c r="A959" s="13">
        <v>45930</v>
      </c>
      <c r="B959">
        <v>1</v>
      </c>
      <c r="D959" t="s">
        <v>31</v>
      </c>
      <c r="E959" t="s">
        <v>32</v>
      </c>
      <c r="F959" t="s">
        <v>32</v>
      </c>
      <c r="H959" t="s">
        <v>172</v>
      </c>
      <c r="I959" t="s">
        <v>175</v>
      </c>
      <c r="K959">
        <v>70</v>
      </c>
      <c r="M959" s="13">
        <v>48060</v>
      </c>
      <c r="N959" s="13">
        <v>48060</v>
      </c>
      <c r="O959" s="13">
        <v>48060</v>
      </c>
      <c r="P959" s="24">
        <v>1725348.5492601523</v>
      </c>
      <c r="V959">
        <v>1</v>
      </c>
      <c r="W959" t="s">
        <v>33</v>
      </c>
      <c r="Y959" t="s">
        <v>33</v>
      </c>
      <c r="Z959" t="s">
        <v>34</v>
      </c>
      <c r="AA959">
        <v>1</v>
      </c>
    </row>
    <row r="960" spans="1:27" x14ac:dyDescent="0.35">
      <c r="A960" s="13">
        <v>45930</v>
      </c>
      <c r="B960">
        <v>1</v>
      </c>
      <c r="D960" t="s">
        <v>31</v>
      </c>
      <c r="E960" t="s">
        <v>32</v>
      </c>
      <c r="F960" t="s">
        <v>32</v>
      </c>
      <c r="H960" t="s">
        <v>172</v>
      </c>
      <c r="I960" t="s">
        <v>174</v>
      </c>
      <c r="M960" s="13">
        <v>45931</v>
      </c>
      <c r="N960" s="13">
        <v>45931</v>
      </c>
      <c r="O960" s="13">
        <v>45931</v>
      </c>
      <c r="P960" s="24">
        <v>330673</v>
      </c>
      <c r="V960">
        <v>1</v>
      </c>
      <c r="W960" t="s">
        <v>33</v>
      </c>
      <c r="Y960" t="s">
        <v>33</v>
      </c>
      <c r="Z960" t="s">
        <v>34</v>
      </c>
      <c r="AA960">
        <v>1</v>
      </c>
    </row>
    <row r="961" spans="1:27" x14ac:dyDescent="0.35">
      <c r="A961" s="13">
        <v>45930</v>
      </c>
      <c r="B961">
        <v>1</v>
      </c>
      <c r="D961" t="s">
        <v>31</v>
      </c>
      <c r="E961" t="s">
        <v>32</v>
      </c>
      <c r="F961" t="s">
        <v>32</v>
      </c>
      <c r="H961" t="s">
        <v>172</v>
      </c>
      <c r="I961" t="s">
        <v>173</v>
      </c>
      <c r="K961">
        <v>1</v>
      </c>
      <c r="M961" s="13">
        <v>45961</v>
      </c>
      <c r="N961" s="13">
        <v>45961</v>
      </c>
      <c r="O961" s="13">
        <v>45961</v>
      </c>
      <c r="P961" s="24">
        <v>6836.4965637763962</v>
      </c>
      <c r="V961">
        <v>1</v>
      </c>
      <c r="W961" t="s">
        <v>33</v>
      </c>
      <c r="Y961" t="s">
        <v>33</v>
      </c>
      <c r="Z961" t="s">
        <v>34</v>
      </c>
      <c r="AA961">
        <v>1</v>
      </c>
    </row>
    <row r="962" spans="1:27" x14ac:dyDescent="0.35">
      <c r="A962" s="13">
        <v>45930</v>
      </c>
      <c r="B962">
        <v>1</v>
      </c>
      <c r="D962" t="s">
        <v>31</v>
      </c>
      <c r="E962" t="s">
        <v>32</v>
      </c>
      <c r="F962" t="s">
        <v>32</v>
      </c>
      <c r="H962" t="s">
        <v>172</v>
      </c>
      <c r="I962" t="s">
        <v>173</v>
      </c>
      <c r="K962">
        <v>2</v>
      </c>
      <c r="M962" s="13">
        <v>45991</v>
      </c>
      <c r="N962" s="13">
        <v>45991</v>
      </c>
      <c r="O962" s="13">
        <v>45991</v>
      </c>
      <c r="P962" s="24">
        <v>6775.9217023361707</v>
      </c>
      <c r="V962">
        <v>1</v>
      </c>
      <c r="W962" t="s">
        <v>33</v>
      </c>
      <c r="Y962" t="s">
        <v>33</v>
      </c>
      <c r="Z962" t="s">
        <v>34</v>
      </c>
      <c r="AA962">
        <v>1</v>
      </c>
    </row>
    <row r="963" spans="1:27" x14ac:dyDescent="0.35">
      <c r="A963" s="13">
        <v>45930</v>
      </c>
      <c r="B963">
        <v>1</v>
      </c>
      <c r="D963" t="s">
        <v>31</v>
      </c>
      <c r="E963" t="s">
        <v>32</v>
      </c>
      <c r="F963" t="s">
        <v>32</v>
      </c>
      <c r="H963" t="s">
        <v>172</v>
      </c>
      <c r="I963" t="s">
        <v>173</v>
      </c>
      <c r="K963">
        <v>3</v>
      </c>
      <c r="M963" s="13">
        <v>46022</v>
      </c>
      <c r="N963" s="13">
        <v>46022</v>
      </c>
      <c r="O963" s="13">
        <v>46022</v>
      </c>
      <c r="P963" s="24">
        <v>6715.8835651968839</v>
      </c>
      <c r="V963">
        <v>1</v>
      </c>
      <c r="W963" t="s">
        <v>33</v>
      </c>
      <c r="Y963" t="s">
        <v>33</v>
      </c>
      <c r="Z963" t="s">
        <v>34</v>
      </c>
      <c r="AA963">
        <v>1</v>
      </c>
    </row>
    <row r="964" spans="1:27" x14ac:dyDescent="0.35">
      <c r="A964" s="13">
        <v>45930</v>
      </c>
      <c r="B964">
        <v>1</v>
      </c>
      <c r="D964" t="s">
        <v>31</v>
      </c>
      <c r="E964" t="s">
        <v>32</v>
      </c>
      <c r="F964" t="s">
        <v>32</v>
      </c>
      <c r="H964" t="s">
        <v>172</v>
      </c>
      <c r="I964" t="s">
        <v>173</v>
      </c>
      <c r="K964">
        <v>4</v>
      </c>
      <c r="M964" s="13">
        <v>46053</v>
      </c>
      <c r="N964" s="13">
        <v>46053</v>
      </c>
      <c r="O964" s="13">
        <v>46053</v>
      </c>
      <c r="P964" s="24">
        <v>6656.3773967061425</v>
      </c>
      <c r="V964">
        <v>1</v>
      </c>
      <c r="W964" t="s">
        <v>33</v>
      </c>
      <c r="Y964" t="s">
        <v>33</v>
      </c>
      <c r="Z964" t="s">
        <v>34</v>
      </c>
      <c r="AA964">
        <v>1</v>
      </c>
    </row>
    <row r="965" spans="1:27" x14ac:dyDescent="0.35">
      <c r="A965" s="13">
        <v>45930</v>
      </c>
      <c r="B965">
        <v>1</v>
      </c>
      <c r="D965" t="s">
        <v>31</v>
      </c>
      <c r="E965" t="s">
        <v>32</v>
      </c>
      <c r="F965" t="s">
        <v>32</v>
      </c>
      <c r="H965" t="s">
        <v>172</v>
      </c>
      <c r="I965" t="s">
        <v>173</v>
      </c>
      <c r="K965">
        <v>5</v>
      </c>
      <c r="M965" s="13">
        <v>46081</v>
      </c>
      <c r="N965" s="13">
        <v>46081</v>
      </c>
      <c r="O965" s="13">
        <v>46081</v>
      </c>
      <c r="P965" s="24">
        <v>6597.398483349476</v>
      </c>
      <c r="V965">
        <v>1</v>
      </c>
      <c r="W965" t="s">
        <v>33</v>
      </c>
      <c r="Y965" t="s">
        <v>33</v>
      </c>
      <c r="Z965" t="s">
        <v>34</v>
      </c>
      <c r="AA965">
        <v>1</v>
      </c>
    </row>
    <row r="966" spans="1:27" x14ac:dyDescent="0.35">
      <c r="A966" s="13">
        <v>45930</v>
      </c>
      <c r="B966">
        <v>1</v>
      </c>
      <c r="D966" t="s">
        <v>31</v>
      </c>
      <c r="E966" t="s">
        <v>32</v>
      </c>
      <c r="F966" t="s">
        <v>32</v>
      </c>
      <c r="H966" t="s">
        <v>172</v>
      </c>
      <c r="I966" t="s">
        <v>173</v>
      </c>
      <c r="K966">
        <v>6</v>
      </c>
      <c r="M966" s="13">
        <v>46112</v>
      </c>
      <c r="N966" s="13">
        <v>46112</v>
      </c>
      <c r="O966" s="13">
        <v>46112</v>
      </c>
      <c r="P966" s="24">
        <v>6538.9421533760615</v>
      </c>
      <c r="V966">
        <v>1</v>
      </c>
      <c r="W966" t="s">
        <v>33</v>
      </c>
      <c r="Y966" t="s">
        <v>33</v>
      </c>
      <c r="Z966" t="s">
        <v>34</v>
      </c>
      <c r="AA966">
        <v>1</v>
      </c>
    </row>
    <row r="967" spans="1:27" x14ac:dyDescent="0.35">
      <c r="A967" s="13">
        <v>45930</v>
      </c>
      <c r="B967">
        <v>1</v>
      </c>
      <c r="D967" t="s">
        <v>31</v>
      </c>
      <c r="E967" t="s">
        <v>32</v>
      </c>
      <c r="F967" t="s">
        <v>32</v>
      </c>
      <c r="H967" t="s">
        <v>172</v>
      </c>
      <c r="I967" t="s">
        <v>173</v>
      </c>
      <c r="K967">
        <v>7</v>
      </c>
      <c r="M967" s="13">
        <v>46142</v>
      </c>
      <c r="N967" s="13">
        <v>46142</v>
      </c>
      <c r="O967" s="13">
        <v>46142</v>
      </c>
      <c r="P967" s="24">
        <v>6481.0037764293374</v>
      </c>
      <c r="V967">
        <v>1</v>
      </c>
      <c r="W967" t="s">
        <v>33</v>
      </c>
      <c r="Y967" t="s">
        <v>33</v>
      </c>
      <c r="Z967" t="s">
        <v>34</v>
      </c>
      <c r="AA967">
        <v>1</v>
      </c>
    </row>
    <row r="968" spans="1:27" x14ac:dyDescent="0.35">
      <c r="A968" s="13">
        <v>45930</v>
      </c>
      <c r="B968">
        <v>1</v>
      </c>
      <c r="D968" t="s">
        <v>31</v>
      </c>
      <c r="E968" t="s">
        <v>32</v>
      </c>
      <c r="F968" t="s">
        <v>32</v>
      </c>
      <c r="H968" t="s">
        <v>172</v>
      </c>
      <c r="I968" t="s">
        <v>173</v>
      </c>
      <c r="K968">
        <v>8</v>
      </c>
      <c r="M968" s="13">
        <v>46173</v>
      </c>
      <c r="N968" s="13">
        <v>46173</v>
      </c>
      <c r="O968" s="13">
        <v>46173</v>
      </c>
      <c r="P968" s="24">
        <v>6423.5787631806452</v>
      </c>
      <c r="V968">
        <v>1</v>
      </c>
      <c r="W968" t="s">
        <v>33</v>
      </c>
      <c r="Y968" t="s">
        <v>33</v>
      </c>
      <c r="Z968" t="s">
        <v>34</v>
      </c>
      <c r="AA968">
        <v>1</v>
      </c>
    </row>
    <row r="969" spans="1:27" x14ac:dyDescent="0.35">
      <c r="A969" s="13">
        <v>45930</v>
      </c>
      <c r="B969">
        <v>1</v>
      </c>
      <c r="D969" t="s">
        <v>31</v>
      </c>
      <c r="E969" t="s">
        <v>32</v>
      </c>
      <c r="F969" t="s">
        <v>32</v>
      </c>
      <c r="H969" t="s">
        <v>172</v>
      </c>
      <c r="I969" t="s">
        <v>173</v>
      </c>
      <c r="K969">
        <v>9</v>
      </c>
      <c r="M969" s="13">
        <v>46203</v>
      </c>
      <c r="N969" s="13">
        <v>46203</v>
      </c>
      <c r="O969" s="13">
        <v>46203</v>
      </c>
      <c r="P969" s="24">
        <v>6366.6625649641501</v>
      </c>
      <c r="V969">
        <v>1</v>
      </c>
      <c r="W969" t="s">
        <v>33</v>
      </c>
      <c r="Y969" t="s">
        <v>33</v>
      </c>
      <c r="Z969" t="s">
        <v>34</v>
      </c>
      <c r="AA969">
        <v>1</v>
      </c>
    </row>
    <row r="970" spans="1:27" x14ac:dyDescent="0.35">
      <c r="A970" s="13">
        <v>45930</v>
      </c>
      <c r="B970">
        <v>1</v>
      </c>
      <c r="D970" t="s">
        <v>31</v>
      </c>
      <c r="E970" t="s">
        <v>32</v>
      </c>
      <c r="F970" t="s">
        <v>32</v>
      </c>
      <c r="H970" t="s">
        <v>172</v>
      </c>
      <c r="I970" t="s">
        <v>173</v>
      </c>
      <c r="K970">
        <v>10</v>
      </c>
      <c r="M970" s="13">
        <v>46234</v>
      </c>
      <c r="N970" s="13">
        <v>46234</v>
      </c>
      <c r="O970" s="13">
        <v>46234</v>
      </c>
      <c r="P970" s="24">
        <v>6310.2506734183989</v>
      </c>
      <c r="V970">
        <v>1</v>
      </c>
      <c r="W970" t="s">
        <v>33</v>
      </c>
      <c r="Y970" t="s">
        <v>33</v>
      </c>
      <c r="Z970" t="s">
        <v>34</v>
      </c>
      <c r="AA970">
        <v>1</v>
      </c>
    </row>
    <row r="971" spans="1:27" x14ac:dyDescent="0.35">
      <c r="A971" s="13">
        <v>45930</v>
      </c>
      <c r="B971">
        <v>1</v>
      </c>
      <c r="D971" t="s">
        <v>31</v>
      </c>
      <c r="E971" t="s">
        <v>32</v>
      </c>
      <c r="F971" t="s">
        <v>32</v>
      </c>
      <c r="H971" t="s">
        <v>172</v>
      </c>
      <c r="I971" t="s">
        <v>173</v>
      </c>
      <c r="K971">
        <v>11</v>
      </c>
      <c r="M971" s="13">
        <v>46265</v>
      </c>
      <c r="N971" s="13">
        <v>46265</v>
      </c>
      <c r="O971" s="13">
        <v>46265</v>
      </c>
      <c r="P971" s="24">
        <v>6254.3386201277608</v>
      </c>
      <c r="V971">
        <v>1</v>
      </c>
      <c r="W971" t="s">
        <v>33</v>
      </c>
      <c r="Y971" t="s">
        <v>33</v>
      </c>
      <c r="Z971" t="s">
        <v>34</v>
      </c>
      <c r="AA971">
        <v>1</v>
      </c>
    </row>
    <row r="972" spans="1:27" x14ac:dyDescent="0.35">
      <c r="A972" s="13">
        <v>45930</v>
      </c>
      <c r="B972">
        <v>1</v>
      </c>
      <c r="D972" t="s">
        <v>31</v>
      </c>
      <c r="E972" t="s">
        <v>32</v>
      </c>
      <c r="F972" t="s">
        <v>32</v>
      </c>
      <c r="H972" t="s">
        <v>172</v>
      </c>
      <c r="I972" t="s">
        <v>173</v>
      </c>
      <c r="K972">
        <v>12</v>
      </c>
      <c r="M972" s="13">
        <v>46295</v>
      </c>
      <c r="N972" s="13">
        <v>46295</v>
      </c>
      <c r="O972" s="13">
        <v>46295</v>
      </c>
      <c r="P972" s="24">
        <v>6198.9219762693392</v>
      </c>
      <c r="V972">
        <v>1</v>
      </c>
      <c r="W972" t="s">
        <v>33</v>
      </c>
      <c r="Y972" t="s">
        <v>33</v>
      </c>
      <c r="Z972" t="s">
        <v>34</v>
      </c>
      <c r="AA972">
        <v>1</v>
      </c>
    </row>
    <row r="973" spans="1:27" x14ac:dyDescent="0.35">
      <c r="A973" s="13">
        <v>45930</v>
      </c>
      <c r="B973">
        <v>1</v>
      </c>
      <c r="D973" t="s">
        <v>31</v>
      </c>
      <c r="E973" t="s">
        <v>32</v>
      </c>
      <c r="F973" t="s">
        <v>32</v>
      </c>
      <c r="H973" t="s">
        <v>172</v>
      </c>
      <c r="I973" t="s">
        <v>173</v>
      </c>
      <c r="K973">
        <v>13</v>
      </c>
      <c r="M973" s="13">
        <v>46326</v>
      </c>
      <c r="N973" s="13">
        <v>46326</v>
      </c>
      <c r="O973" s="13">
        <v>46326</v>
      </c>
      <c r="P973" s="24">
        <v>6143.9963522617472</v>
      </c>
      <c r="V973">
        <v>1</v>
      </c>
      <c r="W973" t="s">
        <v>33</v>
      </c>
      <c r="Y973" t="s">
        <v>33</v>
      </c>
      <c r="Z973" t="s">
        <v>34</v>
      </c>
      <c r="AA973">
        <v>1</v>
      </c>
    </row>
    <row r="974" spans="1:27" x14ac:dyDescent="0.35">
      <c r="A974" s="13">
        <v>45930</v>
      </c>
      <c r="B974">
        <v>1</v>
      </c>
      <c r="D974" t="s">
        <v>31</v>
      </c>
      <c r="E974" t="s">
        <v>32</v>
      </c>
      <c r="F974" t="s">
        <v>32</v>
      </c>
      <c r="H974" t="s">
        <v>172</v>
      </c>
      <c r="I974" t="s">
        <v>173</v>
      </c>
      <c r="K974">
        <v>14</v>
      </c>
      <c r="M974" s="13">
        <v>46356</v>
      </c>
      <c r="N974" s="13">
        <v>46356</v>
      </c>
      <c r="O974" s="13">
        <v>46356</v>
      </c>
      <c r="P974" s="24">
        <v>6089.5573974177241</v>
      </c>
      <c r="V974">
        <v>1</v>
      </c>
      <c r="W974" t="s">
        <v>33</v>
      </c>
      <c r="Y974" t="s">
        <v>33</v>
      </c>
      <c r="Z974" t="s">
        <v>34</v>
      </c>
      <c r="AA974">
        <v>1</v>
      </c>
    </row>
    <row r="975" spans="1:27" x14ac:dyDescent="0.35">
      <c r="A975" s="13">
        <v>45930</v>
      </c>
      <c r="B975">
        <v>1</v>
      </c>
      <c r="D975" t="s">
        <v>31</v>
      </c>
      <c r="E975" t="s">
        <v>32</v>
      </c>
      <c r="F975" t="s">
        <v>32</v>
      </c>
      <c r="H975" t="s">
        <v>172</v>
      </c>
      <c r="I975" t="s">
        <v>173</v>
      </c>
      <c r="K975">
        <v>15</v>
      </c>
      <c r="M975" s="13">
        <v>46387</v>
      </c>
      <c r="N975" s="13">
        <v>46387</v>
      </c>
      <c r="O975" s="13">
        <v>46387</v>
      </c>
      <c r="P975" s="24">
        <v>6035.6007995990803</v>
      </c>
      <c r="V975">
        <v>1</v>
      </c>
      <c r="W975" t="s">
        <v>33</v>
      </c>
      <c r="Y975" t="s">
        <v>33</v>
      </c>
      <c r="Z975" t="s">
        <v>34</v>
      </c>
      <c r="AA975">
        <v>1</v>
      </c>
    </row>
    <row r="976" spans="1:27" x14ac:dyDescent="0.35">
      <c r="A976" s="13">
        <v>45930</v>
      </c>
      <c r="B976">
        <v>1</v>
      </c>
      <c r="D976" t="s">
        <v>31</v>
      </c>
      <c r="E976" t="s">
        <v>32</v>
      </c>
      <c r="F976" t="s">
        <v>32</v>
      </c>
      <c r="H976" t="s">
        <v>172</v>
      </c>
      <c r="I976" t="s">
        <v>173</v>
      </c>
      <c r="K976">
        <v>16</v>
      </c>
      <c r="M976" s="13">
        <v>46418</v>
      </c>
      <c r="N976" s="13">
        <v>46418</v>
      </c>
      <c r="O976" s="13">
        <v>46418</v>
      </c>
      <c r="P976" s="24">
        <v>5982.1222848753678</v>
      </c>
      <c r="V976">
        <v>1</v>
      </c>
      <c r="W976" t="s">
        <v>33</v>
      </c>
      <c r="Y976" t="s">
        <v>33</v>
      </c>
      <c r="Z976" t="s">
        <v>34</v>
      </c>
      <c r="AA976">
        <v>1</v>
      </c>
    </row>
    <row r="977" spans="1:27" x14ac:dyDescent="0.35">
      <c r="A977" s="13">
        <v>45930</v>
      </c>
      <c r="B977">
        <v>1</v>
      </c>
      <c r="D977" t="s">
        <v>31</v>
      </c>
      <c r="E977" t="s">
        <v>32</v>
      </c>
      <c r="F977" t="s">
        <v>32</v>
      </c>
      <c r="H977" t="s">
        <v>172</v>
      </c>
      <c r="I977" t="s">
        <v>173</v>
      </c>
      <c r="K977">
        <v>17</v>
      </c>
      <c r="M977" s="13">
        <v>46446</v>
      </c>
      <c r="N977" s="13">
        <v>46446</v>
      </c>
      <c r="O977" s="13">
        <v>46446</v>
      </c>
      <c r="P977" s="24">
        <v>5929.1176171858096</v>
      </c>
      <c r="V977">
        <v>1</v>
      </c>
      <c r="W977" t="s">
        <v>33</v>
      </c>
      <c r="Y977" t="s">
        <v>33</v>
      </c>
      <c r="Z977" t="s">
        <v>34</v>
      </c>
      <c r="AA977">
        <v>1</v>
      </c>
    </row>
    <row r="978" spans="1:27" x14ac:dyDescent="0.35">
      <c r="A978" s="13">
        <v>45930</v>
      </c>
      <c r="B978">
        <v>1</v>
      </c>
      <c r="D978" t="s">
        <v>31</v>
      </c>
      <c r="E978" t="s">
        <v>32</v>
      </c>
      <c r="F978" t="s">
        <v>32</v>
      </c>
      <c r="H978" t="s">
        <v>172</v>
      </c>
      <c r="I978" t="s">
        <v>173</v>
      </c>
      <c r="K978">
        <v>18</v>
      </c>
      <c r="M978" s="13">
        <v>46477</v>
      </c>
      <c r="N978" s="13">
        <v>46477</v>
      </c>
      <c r="O978" s="13">
        <v>46477</v>
      </c>
      <c r="P978" s="24">
        <v>5876.5825980025111</v>
      </c>
      <c r="V978">
        <v>1</v>
      </c>
      <c r="W978" t="s">
        <v>33</v>
      </c>
      <c r="Y978" t="s">
        <v>33</v>
      </c>
      <c r="Z978" t="s">
        <v>34</v>
      </c>
      <c r="AA978">
        <v>1</v>
      </c>
    </row>
    <row r="979" spans="1:27" x14ac:dyDescent="0.35">
      <c r="A979" s="13">
        <v>45930</v>
      </c>
      <c r="B979">
        <v>1</v>
      </c>
      <c r="D979" t="s">
        <v>31</v>
      </c>
      <c r="E979" t="s">
        <v>32</v>
      </c>
      <c r="F979" t="s">
        <v>32</v>
      </c>
      <c r="H979" t="s">
        <v>172</v>
      </c>
      <c r="I979" t="s">
        <v>173</v>
      </c>
      <c r="K979">
        <v>19</v>
      </c>
      <c r="M979" s="13">
        <v>46507</v>
      </c>
      <c r="N979" s="13">
        <v>46507</v>
      </c>
      <c r="O979" s="13">
        <v>46507</v>
      </c>
      <c r="P979" s="24">
        <v>5824.513065999723</v>
      </c>
      <c r="V979">
        <v>1</v>
      </c>
      <c r="W979" t="s">
        <v>33</v>
      </c>
      <c r="Y979" t="s">
        <v>33</v>
      </c>
      <c r="Z979" t="s">
        <v>34</v>
      </c>
      <c r="AA979">
        <v>1</v>
      </c>
    </row>
    <row r="980" spans="1:27" x14ac:dyDescent="0.35">
      <c r="A980" s="13">
        <v>45930</v>
      </c>
      <c r="B980">
        <v>1</v>
      </c>
      <c r="D980" t="s">
        <v>31</v>
      </c>
      <c r="E980" t="s">
        <v>32</v>
      </c>
      <c r="F980" t="s">
        <v>32</v>
      </c>
      <c r="H980" t="s">
        <v>172</v>
      </c>
      <c r="I980" t="s">
        <v>173</v>
      </c>
      <c r="K980">
        <v>20</v>
      </c>
      <c r="M980" s="13">
        <v>46538</v>
      </c>
      <c r="N980" s="13">
        <v>46538</v>
      </c>
      <c r="O980" s="13">
        <v>46538</v>
      </c>
      <c r="P980" s="24">
        <v>5772.9048967219424</v>
      </c>
      <c r="V980">
        <v>1</v>
      </c>
      <c r="W980" t="s">
        <v>33</v>
      </c>
      <c r="Y980" t="s">
        <v>33</v>
      </c>
      <c r="Z980" t="s">
        <v>34</v>
      </c>
      <c r="AA980">
        <v>1</v>
      </c>
    </row>
    <row r="981" spans="1:27" x14ac:dyDescent="0.35">
      <c r="A981" s="13">
        <v>45930</v>
      </c>
      <c r="B981">
        <v>1</v>
      </c>
      <c r="D981" t="s">
        <v>31</v>
      </c>
      <c r="E981" t="s">
        <v>32</v>
      </c>
      <c r="F981" t="s">
        <v>32</v>
      </c>
      <c r="H981" t="s">
        <v>172</v>
      </c>
      <c r="I981" t="s">
        <v>173</v>
      </c>
      <c r="K981">
        <v>21</v>
      </c>
      <c r="M981" s="13">
        <v>46568</v>
      </c>
      <c r="N981" s="13">
        <v>46568</v>
      </c>
      <c r="O981" s="13">
        <v>46568</v>
      </c>
      <c r="P981" s="24">
        <v>5721.754002259695</v>
      </c>
      <c r="V981">
        <v>1</v>
      </c>
      <c r="W981" t="s">
        <v>33</v>
      </c>
      <c r="Y981" t="s">
        <v>33</v>
      </c>
      <c r="Z981" t="s">
        <v>34</v>
      </c>
      <c r="AA981">
        <v>1</v>
      </c>
    </row>
    <row r="982" spans="1:27" x14ac:dyDescent="0.35">
      <c r="A982" s="13">
        <v>45930</v>
      </c>
      <c r="B982">
        <v>1</v>
      </c>
      <c r="D982" t="s">
        <v>31</v>
      </c>
      <c r="E982" t="s">
        <v>32</v>
      </c>
      <c r="F982" t="s">
        <v>32</v>
      </c>
      <c r="H982" t="s">
        <v>172</v>
      </c>
      <c r="I982" t="s">
        <v>173</v>
      </c>
      <c r="K982">
        <v>22</v>
      </c>
      <c r="M982" s="13">
        <v>46599</v>
      </c>
      <c r="N982" s="13">
        <v>46599</v>
      </c>
      <c r="O982" s="13">
        <v>46599</v>
      </c>
      <c r="P982" s="24">
        <v>5671.0563309233403</v>
      </c>
      <c r="V982">
        <v>1</v>
      </c>
      <c r="W982" t="s">
        <v>33</v>
      </c>
      <c r="Y982" t="s">
        <v>33</v>
      </c>
      <c r="Z982" t="s">
        <v>34</v>
      </c>
      <c r="AA982">
        <v>1</v>
      </c>
    </row>
    <row r="983" spans="1:27" x14ac:dyDescent="0.35">
      <c r="A983" s="13">
        <v>45930</v>
      </c>
      <c r="B983">
        <v>1</v>
      </c>
      <c r="D983" t="s">
        <v>31</v>
      </c>
      <c r="E983" t="s">
        <v>32</v>
      </c>
      <c r="F983" t="s">
        <v>32</v>
      </c>
      <c r="H983" t="s">
        <v>172</v>
      </c>
      <c r="I983" t="s">
        <v>173</v>
      </c>
      <c r="K983">
        <v>23</v>
      </c>
      <c r="M983" s="13">
        <v>46630</v>
      </c>
      <c r="N983" s="13">
        <v>46630</v>
      </c>
      <c r="O983" s="13">
        <v>46630</v>
      </c>
      <c r="P983" s="24">
        <v>5620.8078669243259</v>
      </c>
      <c r="V983">
        <v>1</v>
      </c>
      <c r="W983" t="s">
        <v>33</v>
      </c>
      <c r="Y983" t="s">
        <v>33</v>
      </c>
      <c r="Z983" t="s">
        <v>34</v>
      </c>
      <c r="AA983">
        <v>1</v>
      </c>
    </row>
    <row r="984" spans="1:27" x14ac:dyDescent="0.35">
      <c r="A984" s="13">
        <v>45930</v>
      </c>
      <c r="B984">
        <v>1</v>
      </c>
      <c r="D984" t="s">
        <v>31</v>
      </c>
      <c r="E984" t="s">
        <v>32</v>
      </c>
      <c r="F984" t="s">
        <v>32</v>
      </c>
      <c r="H984" t="s">
        <v>172</v>
      </c>
      <c r="I984" t="s">
        <v>173</v>
      </c>
      <c r="K984">
        <v>24</v>
      </c>
      <c r="M984" s="13">
        <v>46660</v>
      </c>
      <c r="N984" s="13">
        <v>46660</v>
      </c>
      <c r="O984" s="13">
        <v>46660</v>
      </c>
      <c r="P984" s="24">
        <v>5571.0046300551621</v>
      </c>
      <c r="V984">
        <v>1</v>
      </c>
      <c r="W984" t="s">
        <v>33</v>
      </c>
      <c r="Y984" t="s">
        <v>33</v>
      </c>
      <c r="Z984" t="s">
        <v>34</v>
      </c>
      <c r="AA984">
        <v>1</v>
      </c>
    </row>
    <row r="985" spans="1:27" x14ac:dyDescent="0.35">
      <c r="A985" s="13">
        <v>45930</v>
      </c>
      <c r="B985">
        <v>1</v>
      </c>
      <c r="D985" t="s">
        <v>31</v>
      </c>
      <c r="E985" t="s">
        <v>32</v>
      </c>
      <c r="F985" t="s">
        <v>32</v>
      </c>
      <c r="H985" t="s">
        <v>172</v>
      </c>
      <c r="I985" t="s">
        <v>173</v>
      </c>
      <c r="K985">
        <v>25</v>
      </c>
      <c r="M985" s="13">
        <v>46691</v>
      </c>
      <c r="N985" s="13">
        <v>46691</v>
      </c>
      <c r="O985" s="13">
        <v>46691</v>
      </c>
      <c r="P985" s="24">
        <v>5521.6426753755659</v>
      </c>
      <c r="V985">
        <v>1</v>
      </c>
      <c r="W985" t="s">
        <v>33</v>
      </c>
      <c r="Y985" t="s">
        <v>33</v>
      </c>
      <c r="Z985" t="s">
        <v>34</v>
      </c>
      <c r="AA985">
        <v>1</v>
      </c>
    </row>
    <row r="986" spans="1:27" x14ac:dyDescent="0.35">
      <c r="A986" s="13">
        <v>45930</v>
      </c>
      <c r="B986">
        <v>1</v>
      </c>
      <c r="D986" t="s">
        <v>31</v>
      </c>
      <c r="E986" t="s">
        <v>32</v>
      </c>
      <c r="F986" t="s">
        <v>32</v>
      </c>
      <c r="H986" t="s">
        <v>172</v>
      </c>
      <c r="I986" t="s">
        <v>173</v>
      </c>
      <c r="K986">
        <v>26</v>
      </c>
      <c r="M986" s="13">
        <v>46721</v>
      </c>
      <c r="N986" s="13">
        <v>46721</v>
      </c>
      <c r="O986" s="13">
        <v>46721</v>
      </c>
      <c r="P986" s="24">
        <v>5472.7180928993039</v>
      </c>
      <c r="V986">
        <v>1</v>
      </c>
      <c r="W986" t="s">
        <v>33</v>
      </c>
      <c r="Y986" t="s">
        <v>33</v>
      </c>
      <c r="Z986" t="s">
        <v>34</v>
      </c>
      <c r="AA986">
        <v>1</v>
      </c>
    </row>
    <row r="987" spans="1:27" x14ac:dyDescent="0.35">
      <c r="A987" s="13">
        <v>45930</v>
      </c>
      <c r="B987">
        <v>1</v>
      </c>
      <c r="D987" t="s">
        <v>31</v>
      </c>
      <c r="E987" t="s">
        <v>32</v>
      </c>
      <c r="F987" t="s">
        <v>32</v>
      </c>
      <c r="H987" t="s">
        <v>172</v>
      </c>
      <c r="I987" t="s">
        <v>173</v>
      </c>
      <c r="K987">
        <v>27</v>
      </c>
      <c r="M987" s="13">
        <v>46752</v>
      </c>
      <c r="N987" s="13">
        <v>46752</v>
      </c>
      <c r="O987" s="13">
        <v>46752</v>
      </c>
      <c r="P987" s="24">
        <v>5424.2270072846441</v>
      </c>
      <c r="V987">
        <v>1</v>
      </c>
      <c r="W987" t="s">
        <v>33</v>
      </c>
      <c r="Y987" t="s">
        <v>33</v>
      </c>
      <c r="Z987" t="s">
        <v>34</v>
      </c>
      <c r="AA987">
        <v>1</v>
      </c>
    </row>
    <row r="988" spans="1:27" x14ac:dyDescent="0.35">
      <c r="A988" s="13">
        <v>45930</v>
      </c>
      <c r="B988">
        <v>1</v>
      </c>
      <c r="D988" t="s">
        <v>31</v>
      </c>
      <c r="E988" t="s">
        <v>32</v>
      </c>
      <c r="F988" t="s">
        <v>32</v>
      </c>
      <c r="H988" t="s">
        <v>172</v>
      </c>
      <c r="I988" t="s">
        <v>173</v>
      </c>
      <c r="K988">
        <v>28</v>
      </c>
      <c r="M988" s="13">
        <v>46783</v>
      </c>
      <c r="N988" s="13">
        <v>46783</v>
      </c>
      <c r="O988" s="13">
        <v>46783</v>
      </c>
      <c r="P988" s="24">
        <v>5376.1655775273684</v>
      </c>
      <c r="V988">
        <v>1</v>
      </c>
      <c r="W988" t="s">
        <v>33</v>
      </c>
      <c r="Y988" t="s">
        <v>33</v>
      </c>
      <c r="Z988" t="s">
        <v>34</v>
      </c>
      <c r="AA988">
        <v>1</v>
      </c>
    </row>
    <row r="989" spans="1:27" x14ac:dyDescent="0.35">
      <c r="A989" s="13">
        <v>45930</v>
      </c>
      <c r="B989">
        <v>1</v>
      </c>
      <c r="D989" t="s">
        <v>31</v>
      </c>
      <c r="E989" t="s">
        <v>32</v>
      </c>
      <c r="F989" t="s">
        <v>32</v>
      </c>
      <c r="H989" t="s">
        <v>172</v>
      </c>
      <c r="I989" t="s">
        <v>173</v>
      </c>
      <c r="K989">
        <v>29</v>
      </c>
      <c r="M989" s="13">
        <v>46812</v>
      </c>
      <c r="N989" s="13">
        <v>46812</v>
      </c>
      <c r="O989" s="13">
        <v>46812</v>
      </c>
      <c r="P989" s="24">
        <v>5328.5299966564635</v>
      </c>
      <c r="V989">
        <v>1</v>
      </c>
      <c r="W989" t="s">
        <v>33</v>
      </c>
      <c r="Y989" t="s">
        <v>33</v>
      </c>
      <c r="Z989" t="s">
        <v>34</v>
      </c>
      <c r="AA989">
        <v>1</v>
      </c>
    </row>
    <row r="990" spans="1:27" x14ac:dyDescent="0.35">
      <c r="A990" s="13">
        <v>45930</v>
      </c>
      <c r="B990">
        <v>1</v>
      </c>
      <c r="D990" t="s">
        <v>31</v>
      </c>
      <c r="E990" t="s">
        <v>32</v>
      </c>
      <c r="F990" t="s">
        <v>32</v>
      </c>
      <c r="H990" t="s">
        <v>172</v>
      </c>
      <c r="I990" t="s">
        <v>173</v>
      </c>
      <c r="K990">
        <v>30</v>
      </c>
      <c r="M990" s="13">
        <v>46843</v>
      </c>
      <c r="N990" s="13">
        <v>46843</v>
      </c>
      <c r="O990" s="13">
        <v>46843</v>
      </c>
      <c r="P990" s="24">
        <v>5281.3164914323715</v>
      </c>
      <c r="V990">
        <v>1</v>
      </c>
      <c r="W990" t="s">
        <v>33</v>
      </c>
      <c r="Y990" t="s">
        <v>33</v>
      </c>
      <c r="Z990" t="s">
        <v>34</v>
      </c>
      <c r="AA990">
        <v>1</v>
      </c>
    </row>
    <row r="991" spans="1:27" x14ac:dyDescent="0.35">
      <c r="A991" s="13">
        <v>45930</v>
      </c>
      <c r="B991">
        <v>1</v>
      </c>
      <c r="D991" t="s">
        <v>31</v>
      </c>
      <c r="E991" t="s">
        <v>32</v>
      </c>
      <c r="F991" t="s">
        <v>32</v>
      </c>
      <c r="H991" t="s">
        <v>172</v>
      </c>
      <c r="I991" t="s">
        <v>173</v>
      </c>
      <c r="K991">
        <v>31</v>
      </c>
      <c r="M991" s="13">
        <v>46873</v>
      </c>
      <c r="N991" s="13">
        <v>46873</v>
      </c>
      <c r="O991" s="13">
        <v>46873</v>
      </c>
      <c r="P991" s="24">
        <v>5234.5213220490841</v>
      </c>
      <c r="V991">
        <v>1</v>
      </c>
      <c r="W991" t="s">
        <v>33</v>
      </c>
      <c r="Y991" t="s">
        <v>33</v>
      </c>
      <c r="Z991" t="s">
        <v>34</v>
      </c>
      <c r="AA991">
        <v>1</v>
      </c>
    </row>
    <row r="992" spans="1:27" x14ac:dyDescent="0.35">
      <c r="A992" s="13">
        <v>45930</v>
      </c>
      <c r="B992">
        <v>1</v>
      </c>
      <c r="D992" t="s">
        <v>31</v>
      </c>
      <c r="E992" t="s">
        <v>32</v>
      </c>
      <c r="F992" t="s">
        <v>32</v>
      </c>
      <c r="H992" t="s">
        <v>172</v>
      </c>
      <c r="I992" t="s">
        <v>173</v>
      </c>
      <c r="K992">
        <v>32</v>
      </c>
      <c r="M992" s="13">
        <v>46904</v>
      </c>
      <c r="N992" s="13">
        <v>46904</v>
      </c>
      <c r="O992" s="13">
        <v>46904</v>
      </c>
      <c r="P992" s="24">
        <v>5188.1407818365842</v>
      </c>
      <c r="V992">
        <v>1</v>
      </c>
      <c r="W992" t="s">
        <v>33</v>
      </c>
      <c r="Y992" t="s">
        <v>33</v>
      </c>
      <c r="Z992" t="s">
        <v>34</v>
      </c>
      <c r="AA992">
        <v>1</v>
      </c>
    </row>
    <row r="993" spans="1:27" x14ac:dyDescent="0.35">
      <c r="A993" s="13">
        <v>45930</v>
      </c>
      <c r="B993">
        <v>1</v>
      </c>
      <c r="D993" t="s">
        <v>31</v>
      </c>
      <c r="E993" t="s">
        <v>32</v>
      </c>
      <c r="F993" t="s">
        <v>32</v>
      </c>
      <c r="H993" t="s">
        <v>172</v>
      </c>
      <c r="I993" t="s">
        <v>173</v>
      </c>
      <c r="K993">
        <v>33</v>
      </c>
      <c r="M993" s="13">
        <v>46934</v>
      </c>
      <c r="N993" s="13">
        <v>46934</v>
      </c>
      <c r="O993" s="13">
        <v>46934</v>
      </c>
      <c r="P993" s="24">
        <v>5142.1711969682947</v>
      </c>
      <c r="V993">
        <v>1</v>
      </c>
      <c r="W993" t="s">
        <v>33</v>
      </c>
      <c r="Y993" t="s">
        <v>33</v>
      </c>
      <c r="Z993" t="s">
        <v>34</v>
      </c>
      <c r="AA993">
        <v>1</v>
      </c>
    </row>
    <row r="994" spans="1:27" x14ac:dyDescent="0.35">
      <c r="A994" s="13">
        <v>45930</v>
      </c>
      <c r="B994">
        <v>1</v>
      </c>
      <c r="D994" t="s">
        <v>31</v>
      </c>
      <c r="E994" t="s">
        <v>32</v>
      </c>
      <c r="F994" t="s">
        <v>32</v>
      </c>
      <c r="H994" t="s">
        <v>172</v>
      </c>
      <c r="I994" t="s">
        <v>173</v>
      </c>
      <c r="K994">
        <v>34</v>
      </c>
      <c r="M994" s="13">
        <v>46965</v>
      </c>
      <c r="N994" s="13">
        <v>46965</v>
      </c>
      <c r="O994" s="13">
        <v>46965</v>
      </c>
      <c r="P994" s="24">
        <v>5096.6089261686429</v>
      </c>
      <c r="V994">
        <v>1</v>
      </c>
      <c r="W994" t="s">
        <v>33</v>
      </c>
      <c r="Y994" t="s">
        <v>33</v>
      </c>
      <c r="Z994" t="s">
        <v>34</v>
      </c>
      <c r="AA994">
        <v>1</v>
      </c>
    </row>
    <row r="995" spans="1:27" x14ac:dyDescent="0.35">
      <c r="A995" s="13">
        <v>45930</v>
      </c>
      <c r="B995">
        <v>1</v>
      </c>
      <c r="D995" t="s">
        <v>31</v>
      </c>
      <c r="E995" t="s">
        <v>32</v>
      </c>
      <c r="F995" t="s">
        <v>32</v>
      </c>
      <c r="H995" t="s">
        <v>172</v>
      </c>
      <c r="I995" t="s">
        <v>173</v>
      </c>
      <c r="K995">
        <v>35</v>
      </c>
      <c r="M995" s="13">
        <v>46996</v>
      </c>
      <c r="N995" s="13">
        <v>46996</v>
      </c>
      <c r="O995" s="13">
        <v>46996</v>
      </c>
      <c r="P995" s="24">
        <v>5051.4503604271449</v>
      </c>
      <c r="V995">
        <v>1</v>
      </c>
      <c r="W995" t="s">
        <v>33</v>
      </c>
      <c r="Y995" t="s">
        <v>33</v>
      </c>
      <c r="Z995" t="s">
        <v>34</v>
      </c>
      <c r="AA995">
        <v>1</v>
      </c>
    </row>
    <row r="996" spans="1:27" x14ac:dyDescent="0.35">
      <c r="A996" s="13">
        <v>45930</v>
      </c>
      <c r="B996">
        <v>1</v>
      </c>
      <c r="D996" t="s">
        <v>31</v>
      </c>
      <c r="E996" t="s">
        <v>32</v>
      </c>
      <c r="F996" t="s">
        <v>32</v>
      </c>
      <c r="H996" t="s">
        <v>172</v>
      </c>
      <c r="I996" t="s">
        <v>173</v>
      </c>
      <c r="K996">
        <v>36</v>
      </c>
      <c r="M996" s="13">
        <v>47026</v>
      </c>
      <c r="N996" s="13">
        <v>47026</v>
      </c>
      <c r="O996" s="13">
        <v>47026</v>
      </c>
      <c r="P996" s="24">
        <v>5006.6919227099279</v>
      </c>
      <c r="V996">
        <v>1</v>
      </c>
      <c r="W996" t="s">
        <v>33</v>
      </c>
      <c r="Y996" t="s">
        <v>33</v>
      </c>
      <c r="Z996" t="s">
        <v>34</v>
      </c>
      <c r="AA996">
        <v>1</v>
      </c>
    </row>
    <row r="997" spans="1:27" x14ac:dyDescent="0.35">
      <c r="A997" s="13">
        <v>45930</v>
      </c>
      <c r="B997">
        <v>1</v>
      </c>
      <c r="D997" t="s">
        <v>31</v>
      </c>
      <c r="E997" t="s">
        <v>32</v>
      </c>
      <c r="F997" t="s">
        <v>32</v>
      </c>
      <c r="H997" t="s">
        <v>172</v>
      </c>
      <c r="I997" t="s">
        <v>173</v>
      </c>
      <c r="K997">
        <v>37</v>
      </c>
      <c r="M997" s="13">
        <v>47057</v>
      </c>
      <c r="N997" s="13">
        <v>47057</v>
      </c>
      <c r="O997" s="13">
        <v>47057</v>
      </c>
      <c r="P997" s="24">
        <v>4962.3300676773069</v>
      </c>
      <c r="V997">
        <v>1</v>
      </c>
      <c r="W997" t="s">
        <v>33</v>
      </c>
      <c r="Y997" t="s">
        <v>33</v>
      </c>
      <c r="Z997" t="s">
        <v>34</v>
      </c>
      <c r="AA997">
        <v>1</v>
      </c>
    </row>
    <row r="998" spans="1:27" x14ac:dyDescent="0.35">
      <c r="A998" s="13">
        <v>45930</v>
      </c>
      <c r="B998">
        <v>1</v>
      </c>
      <c r="D998" t="s">
        <v>31</v>
      </c>
      <c r="E998" t="s">
        <v>32</v>
      </c>
      <c r="F998" t="s">
        <v>32</v>
      </c>
      <c r="H998" t="s">
        <v>172</v>
      </c>
      <c r="I998" t="s">
        <v>173</v>
      </c>
      <c r="K998">
        <v>38</v>
      </c>
      <c r="M998" s="13">
        <v>47087</v>
      </c>
      <c r="N998" s="13">
        <v>47087</v>
      </c>
      <c r="O998" s="13">
        <v>47087</v>
      </c>
      <c r="P998" s="24">
        <v>4918.3612814042717</v>
      </c>
      <c r="V998">
        <v>1</v>
      </c>
      <c r="W998" t="s">
        <v>33</v>
      </c>
      <c r="Y998" t="s">
        <v>33</v>
      </c>
      <c r="Z998" t="s">
        <v>34</v>
      </c>
      <c r="AA998">
        <v>1</v>
      </c>
    </row>
    <row r="999" spans="1:27" x14ac:dyDescent="0.35">
      <c r="A999" s="13">
        <v>45930</v>
      </c>
      <c r="B999">
        <v>1</v>
      </c>
      <c r="D999" t="s">
        <v>31</v>
      </c>
      <c r="E999" t="s">
        <v>32</v>
      </c>
      <c r="F999" t="s">
        <v>32</v>
      </c>
      <c r="H999" t="s">
        <v>172</v>
      </c>
      <c r="I999" t="s">
        <v>173</v>
      </c>
      <c r="K999">
        <v>39</v>
      </c>
      <c r="M999" s="13">
        <v>47118</v>
      </c>
      <c r="N999" s="13">
        <v>47118</v>
      </c>
      <c r="O999" s="13">
        <v>47118</v>
      </c>
      <c r="P999" s="24">
        <v>4874.7820810996927</v>
      </c>
      <c r="V999">
        <v>1</v>
      </c>
      <c r="W999" t="s">
        <v>33</v>
      </c>
      <c r="Y999" t="s">
        <v>33</v>
      </c>
      <c r="Z999" t="s">
        <v>34</v>
      </c>
      <c r="AA999">
        <v>1</v>
      </c>
    </row>
    <row r="1000" spans="1:27" x14ac:dyDescent="0.35">
      <c r="A1000" s="13">
        <v>45930</v>
      </c>
      <c r="B1000">
        <v>1</v>
      </c>
      <c r="D1000" t="s">
        <v>31</v>
      </c>
      <c r="E1000" t="s">
        <v>32</v>
      </c>
      <c r="F1000" t="s">
        <v>32</v>
      </c>
      <c r="H1000" t="s">
        <v>172</v>
      </c>
      <c r="I1000" t="s">
        <v>173</v>
      </c>
      <c r="K1000">
        <v>40</v>
      </c>
      <c r="M1000" s="13">
        <v>47149</v>
      </c>
      <c r="N1000" s="13">
        <v>47149</v>
      </c>
      <c r="O1000" s="13">
        <v>47149</v>
      </c>
      <c r="P1000" s="24">
        <v>4831.5890148327453</v>
      </c>
      <c r="V1000">
        <v>1</v>
      </c>
      <c r="W1000" t="s">
        <v>33</v>
      </c>
      <c r="Y1000" t="s">
        <v>33</v>
      </c>
      <c r="Z1000" t="s">
        <v>34</v>
      </c>
      <c r="AA1000">
        <v>1</v>
      </c>
    </row>
    <row r="1001" spans="1:27" x14ac:dyDescent="0.35">
      <c r="A1001" s="13">
        <v>45930</v>
      </c>
      <c r="B1001">
        <v>1</v>
      </c>
      <c r="D1001" t="s">
        <v>31</v>
      </c>
      <c r="E1001" t="s">
        <v>32</v>
      </c>
      <c r="F1001" t="s">
        <v>32</v>
      </c>
      <c r="H1001" t="s">
        <v>172</v>
      </c>
      <c r="I1001" t="s">
        <v>173</v>
      </c>
      <c r="K1001">
        <v>41</v>
      </c>
      <c r="M1001" s="13">
        <v>47177</v>
      </c>
      <c r="N1001" s="13">
        <v>47177</v>
      </c>
      <c r="O1001" s="13">
        <v>47177</v>
      </c>
      <c r="P1001" s="24">
        <v>4788.7786612575874</v>
      </c>
      <c r="V1001">
        <v>1</v>
      </c>
      <c r="W1001" t="s">
        <v>33</v>
      </c>
      <c r="Y1001" t="s">
        <v>33</v>
      </c>
      <c r="Z1001" t="s">
        <v>34</v>
      </c>
      <c r="AA1001">
        <v>1</v>
      </c>
    </row>
    <row r="1002" spans="1:27" x14ac:dyDescent="0.35">
      <c r="A1002" s="13">
        <v>45930</v>
      </c>
      <c r="B1002">
        <v>1</v>
      </c>
      <c r="D1002" t="s">
        <v>31</v>
      </c>
      <c r="E1002" t="s">
        <v>32</v>
      </c>
      <c r="F1002" t="s">
        <v>32</v>
      </c>
      <c r="H1002" t="s">
        <v>172</v>
      </c>
      <c r="I1002" t="s">
        <v>173</v>
      </c>
      <c r="K1002">
        <v>42</v>
      </c>
      <c r="M1002" s="13">
        <v>47208</v>
      </c>
      <c r="N1002" s="13">
        <v>47208</v>
      </c>
      <c r="O1002" s="13">
        <v>47208</v>
      </c>
      <c r="P1002" s="24">
        <v>4746.3476293444401</v>
      </c>
      <c r="V1002">
        <v>1</v>
      </c>
      <c r="W1002" t="s">
        <v>33</v>
      </c>
      <c r="Y1002" t="s">
        <v>33</v>
      </c>
      <c r="Z1002" t="s">
        <v>34</v>
      </c>
      <c r="AA1002">
        <v>1</v>
      </c>
    </row>
    <row r="1003" spans="1:27" x14ac:dyDescent="0.35">
      <c r="A1003" s="13">
        <v>45930</v>
      </c>
      <c r="B1003">
        <v>1</v>
      </c>
      <c r="D1003" t="s">
        <v>31</v>
      </c>
      <c r="E1003" t="s">
        <v>32</v>
      </c>
      <c r="F1003" t="s">
        <v>32</v>
      </c>
      <c r="H1003" t="s">
        <v>172</v>
      </c>
      <c r="I1003" t="s">
        <v>173</v>
      </c>
      <c r="K1003">
        <v>43</v>
      </c>
      <c r="M1003" s="13">
        <v>47238</v>
      </c>
      <c r="N1003" s="13">
        <v>47238</v>
      </c>
      <c r="O1003" s="13">
        <v>47238</v>
      </c>
      <c r="P1003" s="24">
        <v>4704.29255810834</v>
      </c>
      <c r="V1003">
        <v>1</v>
      </c>
      <c r="W1003" t="s">
        <v>33</v>
      </c>
      <c r="Y1003" t="s">
        <v>33</v>
      </c>
      <c r="Z1003" t="s">
        <v>34</v>
      </c>
      <c r="AA1003">
        <v>1</v>
      </c>
    </row>
    <row r="1004" spans="1:27" x14ac:dyDescent="0.35">
      <c r="A1004" s="13">
        <v>45930</v>
      </c>
      <c r="B1004">
        <v>1</v>
      </c>
      <c r="D1004" t="s">
        <v>31</v>
      </c>
      <c r="E1004" t="s">
        <v>32</v>
      </c>
      <c r="F1004" t="s">
        <v>32</v>
      </c>
      <c r="H1004" t="s">
        <v>172</v>
      </c>
      <c r="I1004" t="s">
        <v>173</v>
      </c>
      <c r="K1004">
        <v>44</v>
      </c>
      <c r="M1004" s="13">
        <v>47269</v>
      </c>
      <c r="N1004" s="13">
        <v>47269</v>
      </c>
      <c r="O1004" s="13">
        <v>47269</v>
      </c>
      <c r="P1004" s="24">
        <v>4662.6101163455169</v>
      </c>
      <c r="V1004">
        <v>1</v>
      </c>
      <c r="W1004" t="s">
        <v>33</v>
      </c>
      <c r="Y1004" t="s">
        <v>33</v>
      </c>
      <c r="Z1004" t="s">
        <v>34</v>
      </c>
      <c r="AA1004">
        <v>1</v>
      </c>
    </row>
    <row r="1005" spans="1:27" x14ac:dyDescent="0.35">
      <c r="A1005" s="13">
        <v>45930</v>
      </c>
      <c r="B1005">
        <v>1</v>
      </c>
      <c r="D1005" t="s">
        <v>31</v>
      </c>
      <c r="E1005" t="s">
        <v>32</v>
      </c>
      <c r="F1005" t="s">
        <v>32</v>
      </c>
      <c r="H1005" t="s">
        <v>172</v>
      </c>
      <c r="I1005" t="s">
        <v>173</v>
      </c>
      <c r="K1005">
        <v>45</v>
      </c>
      <c r="M1005" s="13">
        <v>47299</v>
      </c>
      <c r="N1005" s="13">
        <v>47299</v>
      </c>
      <c r="O1005" s="13">
        <v>47299</v>
      </c>
      <c r="P1005" s="24">
        <v>4621.2970023678499</v>
      </c>
      <c r="V1005">
        <v>1</v>
      </c>
      <c r="W1005" t="s">
        <v>33</v>
      </c>
      <c r="Y1005" t="s">
        <v>33</v>
      </c>
      <c r="Z1005" t="s">
        <v>34</v>
      </c>
      <c r="AA1005">
        <v>1</v>
      </c>
    </row>
    <row r="1006" spans="1:27" x14ac:dyDescent="0.35">
      <c r="A1006" s="13">
        <v>45930</v>
      </c>
      <c r="B1006">
        <v>1</v>
      </c>
      <c r="D1006" t="s">
        <v>31</v>
      </c>
      <c r="E1006" t="s">
        <v>32</v>
      </c>
      <c r="F1006" t="s">
        <v>32</v>
      </c>
      <c r="H1006" t="s">
        <v>172</v>
      </c>
      <c r="I1006" t="s">
        <v>173</v>
      </c>
      <c r="K1006">
        <v>46</v>
      </c>
      <c r="M1006" s="13">
        <v>47330</v>
      </c>
      <c r="N1006" s="13">
        <v>47330</v>
      </c>
      <c r="O1006" s="13">
        <v>47330</v>
      </c>
      <c r="P1006" s="24">
        <v>4580.3499437419814</v>
      </c>
      <c r="V1006">
        <v>1</v>
      </c>
      <c r="W1006" t="s">
        <v>33</v>
      </c>
      <c r="Y1006" t="s">
        <v>33</v>
      </c>
      <c r="Z1006" t="s">
        <v>34</v>
      </c>
      <c r="AA1006">
        <v>1</v>
      </c>
    </row>
    <row r="1007" spans="1:27" x14ac:dyDescent="0.35">
      <c r="A1007" s="13">
        <v>45930</v>
      </c>
      <c r="B1007">
        <v>1</v>
      </c>
      <c r="D1007" t="s">
        <v>31</v>
      </c>
      <c r="E1007" t="s">
        <v>32</v>
      </c>
      <c r="F1007" t="s">
        <v>32</v>
      </c>
      <c r="H1007" t="s">
        <v>172</v>
      </c>
      <c r="I1007" t="s">
        <v>173</v>
      </c>
      <c r="K1007">
        <v>47</v>
      </c>
      <c r="M1007" s="13">
        <v>47361</v>
      </c>
      <c r="N1007" s="13">
        <v>47361</v>
      </c>
      <c r="O1007" s="13">
        <v>47361</v>
      </c>
      <c r="P1007" s="24">
        <v>4539.7656970301177</v>
      </c>
      <c r="V1007">
        <v>1</v>
      </c>
      <c r="W1007" t="s">
        <v>33</v>
      </c>
      <c r="Y1007" t="s">
        <v>33</v>
      </c>
      <c r="Z1007" t="s">
        <v>34</v>
      </c>
      <c r="AA1007">
        <v>1</v>
      </c>
    </row>
    <row r="1008" spans="1:27" x14ac:dyDescent="0.35">
      <c r="A1008" s="13">
        <v>45930</v>
      </c>
      <c r="B1008">
        <v>1</v>
      </c>
      <c r="D1008" t="s">
        <v>31</v>
      </c>
      <c r="E1008" t="s">
        <v>32</v>
      </c>
      <c r="F1008" t="s">
        <v>32</v>
      </c>
      <c r="H1008" t="s">
        <v>172</v>
      </c>
      <c r="I1008" t="s">
        <v>173</v>
      </c>
      <c r="K1008">
        <v>48</v>
      </c>
      <c r="M1008" s="13">
        <v>47391</v>
      </c>
      <c r="N1008" s="13">
        <v>47391</v>
      </c>
      <c r="O1008" s="13">
        <v>47391</v>
      </c>
      <c r="P1008" s="24">
        <v>4499.5410475325771</v>
      </c>
      <c r="V1008">
        <v>1</v>
      </c>
      <c r="W1008" t="s">
        <v>33</v>
      </c>
      <c r="Y1008" t="s">
        <v>33</v>
      </c>
      <c r="Z1008" t="s">
        <v>34</v>
      </c>
      <c r="AA1008">
        <v>1</v>
      </c>
    </row>
    <row r="1009" spans="1:27" x14ac:dyDescent="0.35">
      <c r="A1009" s="13">
        <v>45930</v>
      </c>
      <c r="B1009">
        <v>1</v>
      </c>
      <c r="D1009" t="s">
        <v>31</v>
      </c>
      <c r="E1009" t="s">
        <v>32</v>
      </c>
      <c r="F1009" t="s">
        <v>32</v>
      </c>
      <c r="H1009" t="s">
        <v>172</v>
      </c>
      <c r="I1009" t="s">
        <v>173</v>
      </c>
      <c r="K1009">
        <v>49</v>
      </c>
      <c r="M1009" s="13">
        <v>47422</v>
      </c>
      <c r="N1009" s="13">
        <v>47422</v>
      </c>
      <c r="O1009" s="13">
        <v>47422</v>
      </c>
      <c r="P1009" s="24">
        <v>4459.6728090341785</v>
      </c>
      <c r="V1009">
        <v>1</v>
      </c>
      <c r="W1009" t="s">
        <v>33</v>
      </c>
      <c r="Y1009" t="s">
        <v>33</v>
      </c>
      <c r="Z1009" t="s">
        <v>34</v>
      </c>
      <c r="AA1009">
        <v>1</v>
      </c>
    </row>
    <row r="1010" spans="1:27" x14ac:dyDescent="0.35">
      <c r="A1010" s="13">
        <v>45930</v>
      </c>
      <c r="B1010">
        <v>1</v>
      </c>
      <c r="D1010" t="s">
        <v>31</v>
      </c>
      <c r="E1010" t="s">
        <v>32</v>
      </c>
      <c r="F1010" t="s">
        <v>32</v>
      </c>
      <c r="H1010" t="s">
        <v>172</v>
      </c>
      <c r="I1010" t="s">
        <v>173</v>
      </c>
      <c r="K1010">
        <v>50</v>
      </c>
      <c r="M1010" s="13">
        <v>47452</v>
      </c>
      <c r="N1010" s="13">
        <v>47452</v>
      </c>
      <c r="O1010" s="13">
        <v>47452</v>
      </c>
      <c r="P1010" s="24">
        <v>4420.1578235506895</v>
      </c>
      <c r="V1010">
        <v>1</v>
      </c>
      <c r="W1010" t="s">
        <v>33</v>
      </c>
      <c r="Y1010" t="s">
        <v>33</v>
      </c>
      <c r="Z1010" t="s">
        <v>34</v>
      </c>
      <c r="AA1010">
        <v>1</v>
      </c>
    </row>
    <row r="1011" spans="1:27" x14ac:dyDescent="0.35">
      <c r="A1011" s="13">
        <v>45930</v>
      </c>
      <c r="B1011">
        <v>1</v>
      </c>
      <c r="D1011" t="s">
        <v>31</v>
      </c>
      <c r="E1011" t="s">
        <v>32</v>
      </c>
      <c r="F1011" t="s">
        <v>32</v>
      </c>
      <c r="H1011" t="s">
        <v>172</v>
      </c>
      <c r="I1011" t="s">
        <v>173</v>
      </c>
      <c r="K1011">
        <v>51</v>
      </c>
      <c r="M1011" s="13">
        <v>47483</v>
      </c>
      <c r="N1011" s="13">
        <v>47483</v>
      </c>
      <c r="O1011" s="13">
        <v>47483</v>
      </c>
      <c r="P1011" s="24">
        <v>4380.9929610793479</v>
      </c>
      <c r="V1011">
        <v>1</v>
      </c>
      <c r="W1011" t="s">
        <v>33</v>
      </c>
      <c r="Y1011" t="s">
        <v>33</v>
      </c>
      <c r="Z1011" t="s">
        <v>34</v>
      </c>
      <c r="AA1011">
        <v>1</v>
      </c>
    </row>
    <row r="1012" spans="1:27" x14ac:dyDescent="0.35">
      <c r="A1012" s="13">
        <v>45930</v>
      </c>
      <c r="B1012">
        <v>1</v>
      </c>
      <c r="D1012" t="s">
        <v>31</v>
      </c>
      <c r="E1012" t="s">
        <v>32</v>
      </c>
      <c r="F1012" t="s">
        <v>32</v>
      </c>
      <c r="H1012" t="s">
        <v>172</v>
      </c>
      <c r="I1012" t="s">
        <v>173</v>
      </c>
      <c r="K1012">
        <v>52</v>
      </c>
      <c r="M1012" s="13">
        <v>47514</v>
      </c>
      <c r="N1012" s="13">
        <v>47514</v>
      </c>
      <c r="O1012" s="13">
        <v>47514</v>
      </c>
      <c r="P1012" s="24">
        <v>4342.1751193513046</v>
      </c>
      <c r="V1012">
        <v>1</v>
      </c>
      <c r="W1012" t="s">
        <v>33</v>
      </c>
      <c r="Y1012" t="s">
        <v>33</v>
      </c>
      <c r="Z1012" t="s">
        <v>34</v>
      </c>
      <c r="AA1012">
        <v>1</v>
      </c>
    </row>
    <row r="1013" spans="1:27" x14ac:dyDescent="0.35">
      <c r="A1013" s="13">
        <v>45930</v>
      </c>
      <c r="B1013">
        <v>1</v>
      </c>
      <c r="D1013" t="s">
        <v>31</v>
      </c>
      <c r="E1013" t="s">
        <v>32</v>
      </c>
      <c r="F1013" t="s">
        <v>32</v>
      </c>
      <c r="H1013" t="s">
        <v>172</v>
      </c>
      <c r="I1013" t="s">
        <v>173</v>
      </c>
      <c r="K1013">
        <v>53</v>
      </c>
      <c r="M1013" s="13">
        <v>47542</v>
      </c>
      <c r="N1013" s="13">
        <v>47542</v>
      </c>
      <c r="O1013" s="13">
        <v>47542</v>
      </c>
      <c r="P1013" s="24">
        <v>4303.7012235846487</v>
      </c>
      <c r="V1013">
        <v>1</v>
      </c>
      <c r="W1013" t="s">
        <v>33</v>
      </c>
      <c r="Y1013" t="s">
        <v>33</v>
      </c>
      <c r="Z1013" t="s">
        <v>34</v>
      </c>
      <c r="AA1013">
        <v>1</v>
      </c>
    </row>
    <row r="1014" spans="1:27" x14ac:dyDescent="0.35">
      <c r="A1014" s="13">
        <v>45930</v>
      </c>
      <c r="B1014">
        <v>1</v>
      </c>
      <c r="D1014" t="s">
        <v>31</v>
      </c>
      <c r="E1014" t="s">
        <v>32</v>
      </c>
      <c r="F1014" t="s">
        <v>32</v>
      </c>
      <c r="H1014" t="s">
        <v>172</v>
      </c>
      <c r="I1014" t="s">
        <v>173</v>
      </c>
      <c r="K1014">
        <v>54</v>
      </c>
      <c r="M1014" s="13">
        <v>47573</v>
      </c>
      <c r="N1014" s="13">
        <v>47573</v>
      </c>
      <c r="O1014" s="13">
        <v>47573</v>
      </c>
      <c r="P1014" s="24">
        <v>4265.5682262420887</v>
      </c>
      <c r="V1014">
        <v>1</v>
      </c>
      <c r="W1014" t="s">
        <v>33</v>
      </c>
      <c r="Y1014" t="s">
        <v>33</v>
      </c>
      <c r="Z1014" t="s">
        <v>34</v>
      </c>
      <c r="AA1014">
        <v>1</v>
      </c>
    </row>
    <row r="1015" spans="1:27" x14ac:dyDescent="0.35">
      <c r="A1015" s="13">
        <v>45930</v>
      </c>
      <c r="B1015">
        <v>1</v>
      </c>
      <c r="D1015" t="s">
        <v>31</v>
      </c>
      <c r="E1015" t="s">
        <v>32</v>
      </c>
      <c r="F1015" t="s">
        <v>32</v>
      </c>
      <c r="H1015" t="s">
        <v>172</v>
      </c>
      <c r="I1015" t="s">
        <v>173</v>
      </c>
      <c r="K1015">
        <v>55</v>
      </c>
      <c r="M1015" s="13">
        <v>47603</v>
      </c>
      <c r="N1015" s="13">
        <v>47603</v>
      </c>
      <c r="O1015" s="13">
        <v>47603</v>
      </c>
      <c r="P1015" s="24">
        <v>4227.7731067891582</v>
      </c>
      <c r="V1015">
        <v>1</v>
      </c>
      <c r="W1015" t="s">
        <v>33</v>
      </c>
      <c r="Y1015" t="s">
        <v>33</v>
      </c>
      <c r="Z1015" t="s">
        <v>34</v>
      </c>
      <c r="AA1015">
        <v>1</v>
      </c>
    </row>
    <row r="1016" spans="1:27" x14ac:dyDescent="0.35">
      <c r="A1016" s="13">
        <v>45930</v>
      </c>
      <c r="B1016">
        <v>1</v>
      </c>
      <c r="D1016" t="s">
        <v>31</v>
      </c>
      <c r="E1016" t="s">
        <v>32</v>
      </c>
      <c r="F1016" t="s">
        <v>32</v>
      </c>
      <c r="H1016" t="s">
        <v>172</v>
      </c>
      <c r="I1016" t="s">
        <v>173</v>
      </c>
      <c r="K1016">
        <v>56</v>
      </c>
      <c r="M1016" s="13">
        <v>47634</v>
      </c>
      <c r="N1016" s="13">
        <v>47634</v>
      </c>
      <c r="O1016" s="13">
        <v>47634</v>
      </c>
      <c r="P1016" s="24">
        <v>4190.3128714544</v>
      </c>
      <c r="V1016">
        <v>1</v>
      </c>
      <c r="W1016" t="s">
        <v>33</v>
      </c>
      <c r="Y1016" t="s">
        <v>33</v>
      </c>
      <c r="Z1016" t="s">
        <v>34</v>
      </c>
      <c r="AA1016">
        <v>1</v>
      </c>
    </row>
    <row r="1017" spans="1:27" x14ac:dyDescent="0.35">
      <c r="A1017" s="13">
        <v>45930</v>
      </c>
      <c r="B1017">
        <v>1</v>
      </c>
      <c r="D1017" t="s">
        <v>31</v>
      </c>
      <c r="E1017" t="s">
        <v>32</v>
      </c>
      <c r="F1017" t="s">
        <v>32</v>
      </c>
      <c r="H1017" t="s">
        <v>172</v>
      </c>
      <c r="I1017" t="s">
        <v>173</v>
      </c>
      <c r="K1017">
        <v>57</v>
      </c>
      <c r="M1017" s="13">
        <v>47664</v>
      </c>
      <c r="N1017" s="13">
        <v>47664</v>
      </c>
      <c r="O1017" s="13">
        <v>47664</v>
      </c>
      <c r="P1017" s="24">
        <v>4153.1845529930433</v>
      </c>
      <c r="V1017">
        <v>1</v>
      </c>
      <c r="W1017" t="s">
        <v>33</v>
      </c>
      <c r="Y1017" t="s">
        <v>33</v>
      </c>
      <c r="Z1017" t="s">
        <v>34</v>
      </c>
      <c r="AA1017">
        <v>1</v>
      </c>
    </row>
    <row r="1018" spans="1:27" x14ac:dyDescent="0.35">
      <c r="A1018" s="13">
        <v>45930</v>
      </c>
      <c r="B1018">
        <v>1</v>
      </c>
      <c r="D1018" t="s">
        <v>31</v>
      </c>
      <c r="E1018" t="s">
        <v>32</v>
      </c>
      <c r="F1018" t="s">
        <v>32</v>
      </c>
      <c r="H1018" t="s">
        <v>172</v>
      </c>
      <c r="I1018" t="s">
        <v>173</v>
      </c>
      <c r="K1018">
        <v>58</v>
      </c>
      <c r="M1018" s="13">
        <v>47695</v>
      </c>
      <c r="N1018" s="13">
        <v>47695</v>
      </c>
      <c r="O1018" s="13">
        <v>47695</v>
      </c>
      <c r="P1018" s="24">
        <v>4116.3852104518446</v>
      </c>
      <c r="V1018">
        <v>1</v>
      </c>
      <c r="W1018" t="s">
        <v>33</v>
      </c>
      <c r="Y1018" t="s">
        <v>33</v>
      </c>
      <c r="Z1018" t="s">
        <v>34</v>
      </c>
      <c r="AA1018">
        <v>1</v>
      </c>
    </row>
    <row r="1019" spans="1:27" x14ac:dyDescent="0.35">
      <c r="A1019" s="13">
        <v>45930</v>
      </c>
      <c r="B1019">
        <v>1</v>
      </c>
      <c r="D1019" t="s">
        <v>31</v>
      </c>
      <c r="E1019" t="s">
        <v>32</v>
      </c>
      <c r="F1019" t="s">
        <v>32</v>
      </c>
      <c r="H1019" t="s">
        <v>172</v>
      </c>
      <c r="I1019" t="s">
        <v>173</v>
      </c>
      <c r="K1019">
        <v>59</v>
      </c>
      <c r="M1019" s="13">
        <v>47726</v>
      </c>
      <c r="N1019" s="13">
        <v>47726</v>
      </c>
      <c r="O1019" s="13">
        <v>47726</v>
      </c>
      <c r="P1019" s="24">
        <v>4079.9119289352093</v>
      </c>
      <c r="V1019">
        <v>1</v>
      </c>
      <c r="W1019" t="s">
        <v>33</v>
      </c>
      <c r="Y1019" t="s">
        <v>33</v>
      </c>
      <c r="Z1019" t="s">
        <v>34</v>
      </c>
      <c r="AA1019">
        <v>1</v>
      </c>
    </row>
    <row r="1020" spans="1:27" x14ac:dyDescent="0.35">
      <c r="A1020" s="13">
        <v>45930</v>
      </c>
      <c r="B1020">
        <v>1</v>
      </c>
      <c r="D1020" t="s">
        <v>31</v>
      </c>
      <c r="E1020" t="s">
        <v>32</v>
      </c>
      <c r="F1020" t="s">
        <v>32</v>
      </c>
      <c r="H1020" t="s">
        <v>172</v>
      </c>
      <c r="I1020" t="s">
        <v>173</v>
      </c>
      <c r="K1020">
        <v>60</v>
      </c>
      <c r="M1020" s="13">
        <v>47756</v>
      </c>
      <c r="N1020" s="13">
        <v>47756</v>
      </c>
      <c r="O1020" s="13">
        <v>47756</v>
      </c>
      <c r="P1020" s="24">
        <v>4043.7618193757953</v>
      </c>
      <c r="V1020">
        <v>1</v>
      </c>
      <c r="W1020" t="s">
        <v>33</v>
      </c>
      <c r="Y1020" t="s">
        <v>33</v>
      </c>
      <c r="Z1020" t="s">
        <v>34</v>
      </c>
      <c r="AA1020">
        <v>1</v>
      </c>
    </row>
    <row r="1021" spans="1:27" x14ac:dyDescent="0.35">
      <c r="A1021" s="13">
        <v>45930</v>
      </c>
      <c r="B1021">
        <v>1</v>
      </c>
      <c r="D1021" t="s">
        <v>31</v>
      </c>
      <c r="E1021" t="s">
        <v>32</v>
      </c>
      <c r="F1021" t="s">
        <v>32</v>
      </c>
      <c r="H1021" t="s">
        <v>172</v>
      </c>
      <c r="I1021" t="s">
        <v>173</v>
      </c>
      <c r="K1021">
        <v>61</v>
      </c>
      <c r="M1021" s="13">
        <v>47787</v>
      </c>
      <c r="N1021" s="13">
        <v>47787</v>
      </c>
      <c r="O1021" s="13">
        <v>47787</v>
      </c>
      <c r="P1021" s="24">
        <v>4007.9320183043601</v>
      </c>
      <c r="V1021">
        <v>1</v>
      </c>
      <c r="W1021" t="s">
        <v>33</v>
      </c>
      <c r="Y1021" t="s">
        <v>33</v>
      </c>
      <c r="Z1021" t="s">
        <v>34</v>
      </c>
      <c r="AA1021">
        <v>1</v>
      </c>
    </row>
    <row r="1022" spans="1:27" x14ac:dyDescent="0.35">
      <c r="A1022" s="13">
        <v>45930</v>
      </c>
      <c r="B1022">
        <v>1</v>
      </c>
      <c r="D1022" t="s">
        <v>31</v>
      </c>
      <c r="E1022" t="s">
        <v>32</v>
      </c>
      <c r="F1022" t="s">
        <v>32</v>
      </c>
      <c r="H1022" t="s">
        <v>172</v>
      </c>
      <c r="I1022" t="s">
        <v>173</v>
      </c>
      <c r="K1022">
        <v>62</v>
      </c>
      <c r="M1022" s="13">
        <v>47817</v>
      </c>
      <c r="N1022" s="13">
        <v>47817</v>
      </c>
      <c r="O1022" s="13">
        <v>47817</v>
      </c>
      <c r="P1022" s="24">
        <v>3972.4196876236238</v>
      </c>
      <c r="V1022">
        <v>1</v>
      </c>
      <c r="W1022" t="s">
        <v>33</v>
      </c>
      <c r="Y1022" t="s">
        <v>33</v>
      </c>
      <c r="Z1022" t="s">
        <v>34</v>
      </c>
      <c r="AA1022">
        <v>1</v>
      </c>
    </row>
    <row r="1023" spans="1:27" x14ac:dyDescent="0.35">
      <c r="A1023" s="13">
        <v>45930</v>
      </c>
      <c r="B1023">
        <v>1</v>
      </c>
      <c r="D1023" t="s">
        <v>31</v>
      </c>
      <c r="E1023" t="s">
        <v>32</v>
      </c>
      <c r="F1023" t="s">
        <v>32</v>
      </c>
      <c r="H1023" t="s">
        <v>172</v>
      </c>
      <c r="I1023" t="s">
        <v>173</v>
      </c>
      <c r="K1023">
        <v>63</v>
      </c>
      <c r="M1023" s="13">
        <v>47848</v>
      </c>
      <c r="N1023" s="13">
        <v>47848</v>
      </c>
      <c r="O1023" s="13">
        <v>47848</v>
      </c>
      <c r="P1023" s="24">
        <v>3937.2220143832965</v>
      </c>
      <c r="V1023">
        <v>1</v>
      </c>
      <c r="W1023" t="s">
        <v>33</v>
      </c>
      <c r="Y1023" t="s">
        <v>33</v>
      </c>
      <c r="Z1023" t="s">
        <v>34</v>
      </c>
      <c r="AA1023">
        <v>1</v>
      </c>
    </row>
    <row r="1024" spans="1:27" x14ac:dyDescent="0.35">
      <c r="A1024" s="13">
        <v>45930</v>
      </c>
      <c r="B1024">
        <v>1</v>
      </c>
      <c r="D1024" t="s">
        <v>31</v>
      </c>
      <c r="E1024" t="s">
        <v>32</v>
      </c>
      <c r="F1024" t="s">
        <v>32</v>
      </c>
      <c r="H1024" t="s">
        <v>172</v>
      </c>
      <c r="I1024" t="s">
        <v>173</v>
      </c>
      <c r="K1024">
        <v>64</v>
      </c>
      <c r="M1024" s="13">
        <v>47879</v>
      </c>
      <c r="N1024" s="13">
        <v>47879</v>
      </c>
      <c r="O1024" s="13">
        <v>47879</v>
      </c>
      <c r="P1024" s="24">
        <v>3902.3362105574924</v>
      </c>
      <c r="V1024">
        <v>1</v>
      </c>
      <c r="W1024" t="s">
        <v>33</v>
      </c>
      <c r="Y1024" t="s">
        <v>33</v>
      </c>
      <c r="Z1024" t="s">
        <v>34</v>
      </c>
      <c r="AA1024">
        <v>1</v>
      </c>
    </row>
    <row r="1025" spans="1:27" x14ac:dyDescent="0.35">
      <c r="A1025" s="13">
        <v>45930</v>
      </c>
      <c r="B1025">
        <v>1</v>
      </c>
      <c r="D1025" t="s">
        <v>31</v>
      </c>
      <c r="E1025" t="s">
        <v>32</v>
      </c>
      <c r="F1025" t="s">
        <v>32</v>
      </c>
      <c r="H1025" t="s">
        <v>172</v>
      </c>
      <c r="I1025" t="s">
        <v>173</v>
      </c>
      <c r="K1025">
        <v>65</v>
      </c>
      <c r="M1025" s="13">
        <v>47907</v>
      </c>
      <c r="N1025" s="13">
        <v>47907</v>
      </c>
      <c r="O1025" s="13">
        <v>47907</v>
      </c>
      <c r="P1025" s="24">
        <v>3867.7595128231333</v>
      </c>
      <c r="V1025">
        <v>1</v>
      </c>
      <c r="W1025" t="s">
        <v>33</v>
      </c>
      <c r="Y1025" t="s">
        <v>33</v>
      </c>
      <c r="Z1025" t="s">
        <v>34</v>
      </c>
      <c r="AA1025">
        <v>1</v>
      </c>
    </row>
    <row r="1026" spans="1:27" x14ac:dyDescent="0.35">
      <c r="A1026" s="13">
        <v>45930</v>
      </c>
      <c r="B1026">
        <v>1</v>
      </c>
      <c r="D1026" t="s">
        <v>31</v>
      </c>
      <c r="E1026" t="s">
        <v>32</v>
      </c>
      <c r="F1026" t="s">
        <v>32</v>
      </c>
      <c r="H1026" t="s">
        <v>172</v>
      </c>
      <c r="I1026" t="s">
        <v>173</v>
      </c>
      <c r="K1026">
        <v>66</v>
      </c>
      <c r="M1026" s="13">
        <v>47938</v>
      </c>
      <c r="N1026" s="13">
        <v>47938</v>
      </c>
      <c r="O1026" s="13">
        <v>47938</v>
      </c>
      <c r="P1026" s="24">
        <v>3833.4891823421349</v>
      </c>
      <c r="V1026">
        <v>1</v>
      </c>
      <c r="W1026" t="s">
        <v>33</v>
      </c>
      <c r="Y1026" t="s">
        <v>33</v>
      </c>
      <c r="Z1026" t="s">
        <v>34</v>
      </c>
      <c r="AA1026">
        <v>1</v>
      </c>
    </row>
    <row r="1027" spans="1:27" x14ac:dyDescent="0.35">
      <c r="A1027" s="13">
        <v>45930</v>
      </c>
      <c r="B1027">
        <v>1</v>
      </c>
      <c r="D1027" t="s">
        <v>31</v>
      </c>
      <c r="E1027" t="s">
        <v>32</v>
      </c>
      <c r="F1027" t="s">
        <v>32</v>
      </c>
      <c r="H1027" t="s">
        <v>172</v>
      </c>
      <c r="I1027" t="s">
        <v>173</v>
      </c>
      <c r="K1027">
        <v>67</v>
      </c>
      <c r="M1027" s="13">
        <v>47968</v>
      </c>
      <c r="N1027" s="13">
        <v>47968</v>
      </c>
      <c r="O1027" s="13">
        <v>47968</v>
      </c>
      <c r="P1027" s="24">
        <v>3799.5225045434781</v>
      </c>
      <c r="V1027">
        <v>1</v>
      </c>
      <c r="W1027" t="s">
        <v>33</v>
      </c>
      <c r="Y1027" t="s">
        <v>33</v>
      </c>
      <c r="Z1027" t="s">
        <v>34</v>
      </c>
      <c r="AA1027">
        <v>1</v>
      </c>
    </row>
    <row r="1028" spans="1:27" x14ac:dyDescent="0.35">
      <c r="A1028" s="13">
        <v>45930</v>
      </c>
      <c r="B1028">
        <v>1</v>
      </c>
      <c r="D1028" t="s">
        <v>31</v>
      </c>
      <c r="E1028" t="s">
        <v>32</v>
      </c>
      <c r="F1028" t="s">
        <v>32</v>
      </c>
      <c r="H1028" t="s">
        <v>172</v>
      </c>
      <c r="I1028" t="s">
        <v>173</v>
      </c>
      <c r="K1028">
        <v>68</v>
      </c>
      <c r="M1028" s="13">
        <v>47999</v>
      </c>
      <c r="N1028" s="13">
        <v>47999</v>
      </c>
      <c r="O1028" s="13">
        <v>47999</v>
      </c>
      <c r="P1028" s="24">
        <v>3765.8567889091792</v>
      </c>
      <c r="V1028">
        <v>1</v>
      </c>
      <c r="W1028" t="s">
        <v>33</v>
      </c>
      <c r="Y1028" t="s">
        <v>33</v>
      </c>
      <c r="Z1028" t="s">
        <v>34</v>
      </c>
      <c r="AA1028">
        <v>1</v>
      </c>
    </row>
    <row r="1029" spans="1:27" x14ac:dyDescent="0.35">
      <c r="A1029" s="13">
        <v>45930</v>
      </c>
      <c r="B1029">
        <v>1</v>
      </c>
      <c r="D1029" t="s">
        <v>31</v>
      </c>
      <c r="E1029" t="s">
        <v>32</v>
      </c>
      <c r="F1029" t="s">
        <v>32</v>
      </c>
      <c r="H1029" t="s">
        <v>172</v>
      </c>
      <c r="I1029" t="s">
        <v>173</v>
      </c>
      <c r="K1029">
        <v>69</v>
      </c>
      <c r="M1029" s="13">
        <v>48029</v>
      </c>
      <c r="N1029" s="13">
        <v>48029</v>
      </c>
      <c r="O1029" s="13">
        <v>48029</v>
      </c>
      <c r="P1029" s="24">
        <v>3732.489368760027</v>
      </c>
      <c r="V1029">
        <v>1</v>
      </c>
      <c r="W1029" t="s">
        <v>33</v>
      </c>
      <c r="Y1029" t="s">
        <v>33</v>
      </c>
      <c r="Z1029" t="s">
        <v>34</v>
      </c>
      <c r="AA1029">
        <v>1</v>
      </c>
    </row>
    <row r="1030" spans="1:27" x14ac:dyDescent="0.35">
      <c r="A1030" s="13">
        <v>45930</v>
      </c>
      <c r="B1030">
        <v>1</v>
      </c>
      <c r="D1030" t="s">
        <v>31</v>
      </c>
      <c r="E1030" t="s">
        <v>32</v>
      </c>
      <c r="F1030" t="s">
        <v>32</v>
      </c>
      <c r="H1030" t="s">
        <v>172</v>
      </c>
      <c r="I1030" t="s">
        <v>173</v>
      </c>
      <c r="K1030">
        <v>70</v>
      </c>
      <c r="M1030" s="13">
        <v>48060</v>
      </c>
      <c r="N1030" s="13">
        <v>48060</v>
      </c>
      <c r="O1030" s="13">
        <v>48060</v>
      </c>
      <c r="P1030" s="24">
        <v>417517.35152176116</v>
      </c>
      <c r="V1030">
        <v>1</v>
      </c>
      <c r="W1030" t="s">
        <v>33</v>
      </c>
      <c r="Y1030" t="s">
        <v>33</v>
      </c>
      <c r="Z1030" t="s">
        <v>34</v>
      </c>
      <c r="AA1030">
        <v>1</v>
      </c>
    </row>
    <row r="1031" spans="1:27" x14ac:dyDescent="0.35">
      <c r="A1031" s="13">
        <v>45930</v>
      </c>
      <c r="B1031">
        <v>1</v>
      </c>
      <c r="D1031" t="s">
        <v>31</v>
      </c>
      <c r="E1031" t="s">
        <v>41</v>
      </c>
      <c r="F1031" t="s">
        <v>41</v>
      </c>
      <c r="H1031" t="s">
        <v>182</v>
      </c>
      <c r="I1031" t="s">
        <v>182</v>
      </c>
      <c r="M1031" s="13">
        <v>45931</v>
      </c>
      <c r="N1031" s="13">
        <v>45931</v>
      </c>
      <c r="O1031" s="13">
        <v>45931</v>
      </c>
      <c r="P1031" s="24">
        <v>462770337877</v>
      </c>
      <c r="V1031">
        <v>1</v>
      </c>
      <c r="W1031" t="s">
        <v>33</v>
      </c>
      <c r="Y1031" t="s">
        <v>33</v>
      </c>
      <c r="Z1031" t="s">
        <v>34</v>
      </c>
      <c r="AA1031">
        <v>1</v>
      </c>
    </row>
    <row r="1032" spans="1:27" x14ac:dyDescent="0.35">
      <c r="A1032" s="13">
        <v>45930</v>
      </c>
      <c r="B1032">
        <v>1</v>
      </c>
      <c r="D1032" t="s">
        <v>31</v>
      </c>
      <c r="E1032" t="s">
        <v>41</v>
      </c>
      <c r="F1032" t="s">
        <v>41</v>
      </c>
      <c r="H1032" t="s">
        <v>181</v>
      </c>
      <c r="I1032" t="s">
        <v>181</v>
      </c>
      <c r="M1032" s="13">
        <v>45931</v>
      </c>
      <c r="N1032" s="13">
        <v>45931</v>
      </c>
      <c r="O1032" s="13">
        <v>45931</v>
      </c>
      <c r="P1032" s="24">
        <v>1079797455044.9985</v>
      </c>
      <c r="V1032">
        <v>1</v>
      </c>
      <c r="W1032" t="s">
        <v>33</v>
      </c>
      <c r="Y1032" t="s">
        <v>33</v>
      </c>
      <c r="Z1032" t="s">
        <v>34</v>
      </c>
      <c r="AA1032">
        <v>1</v>
      </c>
    </row>
    <row r="1033" spans="1:27" x14ac:dyDescent="0.35">
      <c r="A1033" s="13">
        <v>45930</v>
      </c>
      <c r="B1033">
        <v>1</v>
      </c>
      <c r="D1033" t="s">
        <v>31</v>
      </c>
      <c r="E1033" t="s">
        <v>41</v>
      </c>
      <c r="F1033" t="s">
        <v>41</v>
      </c>
      <c r="H1033" t="s">
        <v>177</v>
      </c>
      <c r="I1033" t="s">
        <v>177</v>
      </c>
      <c r="M1033" s="13">
        <v>45931</v>
      </c>
      <c r="N1033" s="13">
        <v>45931</v>
      </c>
      <c r="O1033" s="13">
        <v>45931</v>
      </c>
      <c r="P1033" s="24">
        <v>50974195938</v>
      </c>
      <c r="V1033">
        <v>1</v>
      </c>
      <c r="W1033" t="s">
        <v>33</v>
      </c>
      <c r="Y1033" t="s">
        <v>33</v>
      </c>
      <c r="Z1033" t="s">
        <v>34</v>
      </c>
      <c r="AA1033">
        <v>1</v>
      </c>
    </row>
    <row r="1034" spans="1:27" x14ac:dyDescent="0.35">
      <c r="A1034" s="13">
        <v>45930</v>
      </c>
      <c r="B1034">
        <v>1</v>
      </c>
      <c r="D1034" t="s">
        <v>31</v>
      </c>
      <c r="E1034" t="s">
        <v>41</v>
      </c>
      <c r="F1034" t="s">
        <v>41</v>
      </c>
      <c r="H1034" t="s">
        <v>178</v>
      </c>
      <c r="I1034" t="s">
        <v>178</v>
      </c>
      <c r="M1034" s="13">
        <v>45931</v>
      </c>
      <c r="N1034" s="13">
        <v>45931</v>
      </c>
      <c r="O1034" s="13">
        <v>45931</v>
      </c>
      <c r="P1034" s="24">
        <v>118939790522.99988</v>
      </c>
      <c r="V1034">
        <v>1</v>
      </c>
      <c r="W1034" t="s">
        <v>33</v>
      </c>
      <c r="Y1034" t="s">
        <v>33</v>
      </c>
      <c r="Z1034" t="s">
        <v>34</v>
      </c>
      <c r="AA1034">
        <v>1</v>
      </c>
    </row>
    <row r="1035" spans="1:27" x14ac:dyDescent="0.35">
      <c r="A1035" s="13">
        <v>45930</v>
      </c>
      <c r="B1035">
        <v>1</v>
      </c>
      <c r="D1035" t="s">
        <v>31</v>
      </c>
      <c r="E1035" t="s">
        <v>32</v>
      </c>
      <c r="F1035" t="s">
        <v>32</v>
      </c>
      <c r="H1035" t="s">
        <v>176</v>
      </c>
      <c r="I1035" t="s">
        <v>176</v>
      </c>
      <c r="M1035" s="13">
        <v>45931</v>
      </c>
      <c r="N1035" s="13">
        <v>45931</v>
      </c>
      <c r="O1035" s="13">
        <v>45931</v>
      </c>
      <c r="P1035" s="24">
        <v>1357075</v>
      </c>
      <c r="V1035">
        <v>1</v>
      </c>
      <c r="W1035" t="s">
        <v>33</v>
      </c>
      <c r="Y1035" t="s">
        <v>33</v>
      </c>
      <c r="Z1035" t="s">
        <v>34</v>
      </c>
      <c r="AA1035">
        <v>1</v>
      </c>
    </row>
    <row r="1036" spans="1:27" x14ac:dyDescent="0.35">
      <c r="A1036" s="13">
        <v>45930</v>
      </c>
      <c r="B1036">
        <v>1</v>
      </c>
      <c r="D1036" t="s">
        <v>31</v>
      </c>
      <c r="E1036" t="s">
        <v>32</v>
      </c>
      <c r="F1036" t="s">
        <v>32</v>
      </c>
      <c r="H1036" t="s">
        <v>175</v>
      </c>
      <c r="I1036" t="s">
        <v>175</v>
      </c>
      <c r="M1036" s="13">
        <v>45931</v>
      </c>
      <c r="N1036" s="13">
        <v>45931</v>
      </c>
      <c r="O1036" s="13">
        <v>45931</v>
      </c>
      <c r="P1036" s="24">
        <v>3166506.9999999907</v>
      </c>
      <c r="V1036">
        <v>1</v>
      </c>
      <c r="W1036" t="s">
        <v>33</v>
      </c>
      <c r="Y1036" t="s">
        <v>33</v>
      </c>
      <c r="Z1036" t="s">
        <v>34</v>
      </c>
      <c r="AA1036">
        <v>1</v>
      </c>
    </row>
    <row r="1037" spans="1:27" x14ac:dyDescent="0.35">
      <c r="A1037" s="13">
        <v>45930</v>
      </c>
      <c r="B1037">
        <v>1</v>
      </c>
      <c r="D1037" t="s">
        <v>31</v>
      </c>
      <c r="E1037" t="s">
        <v>32</v>
      </c>
      <c r="F1037" t="s">
        <v>32</v>
      </c>
      <c r="H1037" t="s">
        <v>174</v>
      </c>
      <c r="I1037" t="s">
        <v>174</v>
      </c>
      <c r="M1037" s="13">
        <v>45931</v>
      </c>
      <c r="N1037" s="13">
        <v>45931</v>
      </c>
      <c r="O1037" s="13">
        <v>45931</v>
      </c>
      <c r="P1037" s="24">
        <v>330673</v>
      </c>
      <c r="V1037">
        <v>1</v>
      </c>
      <c r="W1037" t="s">
        <v>33</v>
      </c>
      <c r="Y1037" t="s">
        <v>33</v>
      </c>
      <c r="Z1037" t="s">
        <v>34</v>
      </c>
      <c r="AA1037">
        <v>1</v>
      </c>
    </row>
    <row r="1038" spans="1:27" x14ac:dyDescent="0.35">
      <c r="A1038" s="13">
        <v>45930</v>
      </c>
      <c r="B1038">
        <v>1</v>
      </c>
      <c r="D1038" t="s">
        <v>31</v>
      </c>
      <c r="E1038" t="s">
        <v>32</v>
      </c>
      <c r="F1038" t="s">
        <v>32</v>
      </c>
      <c r="H1038" t="s">
        <v>173</v>
      </c>
      <c r="I1038" t="s">
        <v>173</v>
      </c>
      <c r="M1038" s="13">
        <v>45931</v>
      </c>
      <c r="N1038" s="13">
        <v>45931</v>
      </c>
      <c r="O1038" s="13">
        <v>45931</v>
      </c>
      <c r="P1038" s="24">
        <v>771568.99999628461</v>
      </c>
      <c r="V1038">
        <v>1</v>
      </c>
      <c r="W1038" t="s">
        <v>33</v>
      </c>
      <c r="Y1038" t="s">
        <v>33</v>
      </c>
      <c r="Z1038" t="s">
        <v>34</v>
      </c>
      <c r="AA1038">
        <v>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4"/>
  <dimension ref="A1:V114"/>
  <sheetViews>
    <sheetView zoomScale="80" zoomScaleNormal="80" workbookViewId="0">
      <selection activeCell="H4" sqref="H4:K31"/>
    </sheetView>
  </sheetViews>
  <sheetFormatPr baseColWidth="10" defaultRowHeight="14.5" x14ac:dyDescent="0.35"/>
  <cols>
    <col min="1" max="1" width="22.7265625" bestFit="1" customWidth="1"/>
    <col min="2" max="2" width="23.453125" bestFit="1" customWidth="1"/>
    <col min="3" max="3" width="18.54296875" bestFit="1" customWidth="1"/>
    <col min="4" max="4" width="21.26953125" bestFit="1" customWidth="1"/>
    <col min="5" max="5" width="18" bestFit="1" customWidth="1"/>
    <col min="6" max="7" width="2.1796875" customWidth="1"/>
    <col min="8" max="8" width="13" bestFit="1" customWidth="1"/>
    <col min="9" max="9" width="46.1796875" bestFit="1" customWidth="1"/>
    <col min="10" max="11" width="41.54296875" customWidth="1"/>
    <col min="12" max="12" width="3.453125" customWidth="1"/>
    <col min="13" max="13" width="13" bestFit="1" customWidth="1"/>
    <col min="14" max="15" width="12.81640625" customWidth="1"/>
    <col min="16" max="18" width="31.81640625" customWidth="1"/>
    <col min="19" max="19" width="2.1796875" customWidth="1"/>
    <col min="20" max="20" width="24.81640625" bestFit="1" customWidth="1"/>
    <col min="21" max="21" width="27.453125" customWidth="1"/>
    <col min="22" max="22" width="24.54296875" customWidth="1"/>
  </cols>
  <sheetData>
    <row r="1" spans="1:22" x14ac:dyDescent="0.35">
      <c r="A1" s="37" t="s">
        <v>0</v>
      </c>
      <c r="B1" s="108">
        <v>45930</v>
      </c>
      <c r="D1" s="52">
        <f>Tabla_Consulta_desde_MS_Access_Database_2[Precio_Mid]</f>
        <v>39485.65</v>
      </c>
      <c r="E1">
        <v>1</v>
      </c>
      <c r="I1" s="25"/>
      <c r="J1" s="25"/>
      <c r="K1" s="25"/>
      <c r="L1" s="25"/>
      <c r="M1" s="13">
        <f>CartAdcnl!$A$8</f>
        <v>45930</v>
      </c>
    </row>
    <row r="2" spans="1:22" ht="15" thickBot="1" x14ac:dyDescent="0.4"/>
    <row r="3" spans="1:22" ht="16" thickBot="1" x14ac:dyDescent="0.4">
      <c r="A3" s="37" t="s">
        <v>68</v>
      </c>
      <c r="B3" s="37" t="s">
        <v>140</v>
      </c>
      <c r="H3" s="72"/>
      <c r="I3" s="72"/>
      <c r="M3" s="53" t="str">
        <f>TEXT(B1,"dd-mm-aaaa")</f>
        <v>30-09-martes</v>
      </c>
      <c r="N3" s="54" t="s">
        <v>141</v>
      </c>
      <c r="O3" s="55"/>
      <c r="P3" s="54"/>
      <c r="Q3" s="55"/>
      <c r="R3" s="56"/>
    </row>
    <row r="4" spans="1:22" ht="16" thickBot="1" x14ac:dyDescent="0.4">
      <c r="A4" s="37" t="s">
        <v>66</v>
      </c>
      <c r="B4" t="s">
        <v>180</v>
      </c>
      <c r="C4" t="s">
        <v>179</v>
      </c>
      <c r="D4" t="s">
        <v>172</v>
      </c>
      <c r="E4" t="s">
        <v>67</v>
      </c>
      <c r="H4" s="76" t="s">
        <v>148</v>
      </c>
      <c r="I4" s="78" t="str">
        <f>CONCATENATE("Variación Modelo SSV entre el ",TEXT(B1,"dd-mm-aaaa"),"  y ",TEXT(T4,"dd-mm-aaaa"),".")</f>
        <v>Variación Modelo SSV entre el 30-09-martes  y 29-09-lunes.</v>
      </c>
      <c r="J4" s="79"/>
      <c r="K4" s="80"/>
      <c r="M4" s="57" t="s">
        <v>142</v>
      </c>
      <c r="N4" s="58" t="s">
        <v>195</v>
      </c>
      <c r="O4" s="59"/>
      <c r="P4" s="177" t="s">
        <v>143</v>
      </c>
      <c r="Q4" s="177" t="s">
        <v>143</v>
      </c>
      <c r="R4" s="178" t="s">
        <v>143</v>
      </c>
      <c r="T4" s="74">
        <v>45929</v>
      </c>
      <c r="U4" s="55"/>
      <c r="V4" s="56"/>
    </row>
    <row r="5" spans="1:22" ht="26.5" thickBot="1" x14ac:dyDescent="0.4">
      <c r="A5" s="108">
        <v>45931</v>
      </c>
      <c r="B5" s="25">
        <v>462770337877</v>
      </c>
      <c r="C5" s="25">
        <v>50974195938</v>
      </c>
      <c r="D5" s="25">
        <v>1687748</v>
      </c>
      <c r="E5" s="25">
        <v>513746221563</v>
      </c>
      <c r="H5" s="71" t="s">
        <v>142</v>
      </c>
      <c r="I5" s="77" t="s">
        <v>180</v>
      </c>
      <c r="J5" s="77" t="s">
        <v>179</v>
      </c>
      <c r="K5" s="77" t="s">
        <v>172</v>
      </c>
      <c r="M5" s="71" t="s">
        <v>142</v>
      </c>
      <c r="N5" s="175" t="s">
        <v>144</v>
      </c>
      <c r="O5" s="176" t="s">
        <v>145</v>
      </c>
      <c r="P5" s="60" t="s">
        <v>180</v>
      </c>
      <c r="Q5" s="61" t="s">
        <v>179</v>
      </c>
      <c r="R5" s="69" t="s">
        <v>172</v>
      </c>
      <c r="T5" s="70" t="s">
        <v>180</v>
      </c>
      <c r="U5" s="70" t="s">
        <v>179</v>
      </c>
      <c r="V5" s="70" t="s">
        <v>172</v>
      </c>
    </row>
    <row r="6" spans="1:22" ht="15" thickBot="1" x14ac:dyDescent="0.4">
      <c r="A6" s="108">
        <v>45961</v>
      </c>
      <c r="B6" s="25">
        <v>10423400095.45874</v>
      </c>
      <c r="C6" s="25">
        <v>1829352645.0892944</v>
      </c>
      <c r="D6" s="25">
        <v>34579.509870545007</v>
      </c>
      <c r="E6" s="25">
        <v>12252787320.057905</v>
      </c>
      <c r="H6" s="170">
        <v>1</v>
      </c>
      <c r="I6" s="73">
        <f>IFERROR((P6-T6)/T6,"NA")</f>
        <v>0.10566670633668582</v>
      </c>
      <c r="J6" s="73">
        <f t="shared" ref="J6:K6" si="0">IFERROR((Q6-U6)/U6,"NA")</f>
        <v>2.7777252863811788E-2</v>
      </c>
      <c r="K6" s="73">
        <f t="shared" si="0"/>
        <v>-1.3047495409517794E-2</v>
      </c>
      <c r="M6" s="170">
        <v>1</v>
      </c>
      <c r="N6" s="171">
        <v>0</v>
      </c>
      <c r="O6" s="174">
        <v>3.3333333333333333E-2</v>
      </c>
      <c r="P6" s="62">
        <f>ROUND(SUMIFS(B$5:B$700,$A$5:$A$700,"&lt;="&amp;O29,$A$5:$A$700,"&gt;"&amp;N29)*$E$1,0)</f>
        <v>462770337877</v>
      </c>
      <c r="Q6" s="62">
        <f t="shared" ref="Q6:Q18" si="1">ROUND(SUMIFS(C$5:C$700,$A$5:$A$700,"&lt;="&amp;O29,$A$5:$A$700,"&gt;"&amp;N29),0)</f>
        <v>50974195938</v>
      </c>
      <c r="R6" s="63">
        <f>ROUND(SUMIFS(D$5:D$700,$A$5:$A$700,"&lt;="&amp;O29,$A$5:$A$700,"&gt;"&amp;N29),0)</f>
        <v>1687748</v>
      </c>
      <c r="T6" s="62">
        <v>418544155508</v>
      </c>
      <c r="U6" s="62">
        <v>49596540297</v>
      </c>
      <c r="V6" s="63">
        <v>1710060</v>
      </c>
    </row>
    <row r="7" spans="1:22" ht="15" thickBot="1" x14ac:dyDescent="0.4">
      <c r="A7" s="108">
        <v>45991</v>
      </c>
      <c r="B7" s="25">
        <v>10322781901.701904</v>
      </c>
      <c r="C7" s="25">
        <v>1801216299.0827942</v>
      </c>
      <c r="D7" s="25">
        <v>34275.867557386053</v>
      </c>
      <c r="E7" s="25">
        <v>12124032476.652256</v>
      </c>
      <c r="H7" s="170">
        <v>2</v>
      </c>
      <c r="I7" s="73" t="str">
        <f>IFERROR((P7-T7)/T7,"NA")</f>
        <v>NA</v>
      </c>
      <c r="J7" s="73" t="str">
        <f t="shared" ref="J7:J24" si="2">IFERROR((Q7-U7)/U7,"NA")</f>
        <v>NA</v>
      </c>
      <c r="K7" s="73" t="str">
        <f t="shared" ref="K7:K24" si="3">IFERROR((R7-V7)/V7,"NA")</f>
        <v>NA</v>
      </c>
      <c r="M7" s="170">
        <v>2</v>
      </c>
      <c r="N7" s="172">
        <v>3.3333333333333333E-2</v>
      </c>
      <c r="O7" s="174">
        <v>1</v>
      </c>
      <c r="P7" s="62">
        <f t="shared" ref="P7:P18" si="4">ROUND(SUMIFS(B$5:B$700,$A$5:$A$700,"&lt;="&amp;O30,$A$5:$A$700,"&gt;"&amp;N30)*$E$1,0)</f>
        <v>10423400095</v>
      </c>
      <c r="Q7" s="62">
        <f t="shared" si="1"/>
        <v>1829352645</v>
      </c>
      <c r="R7" s="63">
        <f t="shared" ref="R7:R23" si="5">ROUND(SUMIFS(D$5:D$700,$A$5:$A$700,"&lt;="&amp;O30,$A$5:$A$700,"&gt;"&amp;N30),0)</f>
        <v>34580</v>
      </c>
      <c r="T7" s="62">
        <v>0</v>
      </c>
      <c r="U7" s="62">
        <v>0</v>
      </c>
      <c r="V7" s="63">
        <v>0</v>
      </c>
    </row>
    <row r="8" spans="1:22" ht="15" thickBot="1" x14ac:dyDescent="0.4">
      <c r="A8" s="108">
        <v>46022</v>
      </c>
      <c r="B8" s="25">
        <v>10223134986.109375</v>
      </c>
      <c r="C8" s="25">
        <v>1773512703.9561005</v>
      </c>
      <c r="D8" s="25">
        <v>33974.891578078386</v>
      </c>
      <c r="E8" s="25">
        <v>11996681664.957054</v>
      </c>
      <c r="H8" s="170">
        <v>3</v>
      </c>
      <c r="I8" s="73">
        <f t="shared" ref="I8:I24" si="6">IFERROR((P8-T8)/T8,"NA")</f>
        <v>0.13057065008034024</v>
      </c>
      <c r="J8" s="73">
        <f t="shared" si="2"/>
        <v>6.4661935279349297E-2</v>
      </c>
      <c r="K8" s="73">
        <f t="shared" si="3"/>
        <v>7.1718438722054162E-3</v>
      </c>
      <c r="M8" s="170">
        <v>3</v>
      </c>
      <c r="N8" s="172">
        <v>1</v>
      </c>
      <c r="O8" s="174">
        <v>3</v>
      </c>
      <c r="P8" s="62">
        <f t="shared" si="4"/>
        <v>20545916888</v>
      </c>
      <c r="Q8" s="62">
        <f t="shared" si="1"/>
        <v>3574729003</v>
      </c>
      <c r="R8" s="63">
        <f t="shared" si="5"/>
        <v>68251</v>
      </c>
      <c r="T8" s="62">
        <v>18173049943</v>
      </c>
      <c r="U8" s="62">
        <v>3357618869</v>
      </c>
      <c r="V8" s="63">
        <v>67765</v>
      </c>
    </row>
    <row r="9" spans="1:22" ht="15" thickBot="1" x14ac:dyDescent="0.4">
      <c r="A9" s="108">
        <v>46053</v>
      </c>
      <c r="B9" s="25">
        <v>10124449972.830322</v>
      </c>
      <c r="C9" s="25">
        <v>1746235203.7871704</v>
      </c>
      <c r="D9" s="25">
        <v>33676.558518622187</v>
      </c>
      <c r="E9" s="25">
        <v>11870718853.176012</v>
      </c>
      <c r="H9" s="170">
        <v>4</v>
      </c>
      <c r="I9" s="73">
        <f t="shared" si="6"/>
        <v>0.1305706500595322</v>
      </c>
      <c r="J9" s="73">
        <f>IFERROR((Q9-U9)/U9,"NA")</f>
        <v>6.4661935575375168E-2</v>
      </c>
      <c r="K9" s="73">
        <f t="shared" si="3"/>
        <v>7.1606006054328042E-3</v>
      </c>
      <c r="M9" s="170">
        <v>4</v>
      </c>
      <c r="N9" s="172">
        <v>3</v>
      </c>
      <c r="O9" s="174">
        <v>6</v>
      </c>
      <c r="P9" s="62">
        <f t="shared" si="4"/>
        <v>30081096151</v>
      </c>
      <c r="Q9" s="62">
        <f t="shared" si="1"/>
        <v>5158544824</v>
      </c>
      <c r="R9" s="63">
        <f t="shared" si="5"/>
        <v>100145</v>
      </c>
      <c r="T9" s="62">
        <v>26607002534</v>
      </c>
      <c r="U9" s="62">
        <v>4845242092</v>
      </c>
      <c r="V9" s="63">
        <v>99433</v>
      </c>
    </row>
    <row r="10" spans="1:22" ht="15" thickBot="1" x14ac:dyDescent="0.4">
      <c r="A10" s="108">
        <v>46081</v>
      </c>
      <c r="B10" s="25">
        <v>10026717576.518188</v>
      </c>
      <c r="C10" s="25">
        <v>1719377245.0254517</v>
      </c>
      <c r="D10" s="25">
        <v>33380.845170628745</v>
      </c>
      <c r="E10" s="25">
        <v>11746128202.388811</v>
      </c>
      <c r="H10" s="170">
        <v>5</v>
      </c>
      <c r="I10" s="73">
        <f t="shared" si="6"/>
        <v>-0.14797295484277148</v>
      </c>
      <c r="J10" s="73">
        <f t="shared" si="2"/>
        <v>-0.19534754244574479</v>
      </c>
      <c r="K10" s="73">
        <f t="shared" si="3"/>
        <v>-0.2413068844807468</v>
      </c>
      <c r="M10" s="170">
        <v>5</v>
      </c>
      <c r="N10" s="172">
        <v>6</v>
      </c>
      <c r="O10" s="174">
        <v>9</v>
      </c>
      <c r="P10" s="62">
        <f t="shared" si="4"/>
        <v>29218350089</v>
      </c>
      <c r="Q10" s="62">
        <f t="shared" si="1"/>
        <v>4924164073</v>
      </c>
      <c r="R10" s="63">
        <f t="shared" si="5"/>
        <v>97530</v>
      </c>
      <c r="T10" s="62">
        <v>34292749573</v>
      </c>
      <c r="U10" s="62">
        <v>6119616024</v>
      </c>
      <c r="V10" s="63">
        <v>128550</v>
      </c>
    </row>
    <row r="11" spans="1:22" ht="15" thickBot="1" x14ac:dyDescent="0.4">
      <c r="A11" s="108">
        <v>46112</v>
      </c>
      <c r="B11" s="25">
        <v>9929928601.4598389</v>
      </c>
      <c r="C11" s="25">
        <v>1692932374.917099</v>
      </c>
      <c r="D11" s="25">
        <v>33087.728529516142</v>
      </c>
      <c r="E11" s="25">
        <v>11622894064.105467</v>
      </c>
      <c r="H11" s="170">
        <v>6</v>
      </c>
      <c r="I11" s="73">
        <f t="shared" si="6"/>
        <v>0.14159054544626026</v>
      </c>
      <c r="J11" s="73">
        <f t="shared" si="2"/>
        <v>8.1292751103060612E-2</v>
      </c>
      <c r="K11" s="73">
        <f t="shared" si="3"/>
        <v>1.6078305519897303E-2</v>
      </c>
      <c r="M11" s="170">
        <v>6</v>
      </c>
      <c r="N11" s="172">
        <v>9</v>
      </c>
      <c r="O11" s="174">
        <v>12</v>
      </c>
      <c r="P11" s="62">
        <f t="shared" si="4"/>
        <v>28380348164</v>
      </c>
      <c r="Q11" s="62">
        <f t="shared" si="1"/>
        <v>4700432514</v>
      </c>
      <c r="R11" s="63">
        <f t="shared" si="5"/>
        <v>94983</v>
      </c>
      <c r="T11" s="62">
        <v>24860356699</v>
      </c>
      <c r="U11" s="62">
        <v>4347048946</v>
      </c>
      <c r="V11" s="63">
        <v>93480</v>
      </c>
    </row>
    <row r="12" spans="1:22" ht="15" thickBot="1" x14ac:dyDescent="0.4">
      <c r="A12" s="108">
        <v>46142</v>
      </c>
      <c r="B12" s="25">
        <v>9834073940.7095947</v>
      </c>
      <c r="C12" s="25">
        <v>1666894239.9549103</v>
      </c>
      <c r="D12" s="25">
        <v>32797.185792713542</v>
      </c>
      <c r="E12" s="25">
        <v>11501000977.850298</v>
      </c>
      <c r="H12" s="170">
        <v>7</v>
      </c>
      <c r="I12" s="73">
        <f>IFERROR((P12-T12)/T12,"NA")</f>
        <v>0.36333947276385575</v>
      </c>
      <c r="J12" s="73">
        <f t="shared" si="2"/>
        <v>0.2876759123601399</v>
      </c>
      <c r="K12" s="73">
        <f t="shared" si="3"/>
        <v>0.2139794025544024</v>
      </c>
      <c r="M12" s="170">
        <v>7</v>
      </c>
      <c r="N12" s="172">
        <v>12</v>
      </c>
      <c r="O12" s="174">
        <v>18</v>
      </c>
      <c r="P12" s="62">
        <f t="shared" si="4"/>
        <v>54342139064</v>
      </c>
      <c r="Q12" s="62">
        <f t="shared" si="1"/>
        <v>8769869853</v>
      </c>
      <c r="R12" s="63">
        <f t="shared" si="5"/>
        <v>182591</v>
      </c>
      <c r="T12" s="62">
        <v>39859580207</v>
      </c>
      <c r="U12" s="62">
        <v>6810618859</v>
      </c>
      <c r="V12" s="63">
        <v>150407</v>
      </c>
    </row>
    <row r="13" spans="1:22" ht="15" thickBot="1" x14ac:dyDescent="0.4">
      <c r="A13" s="108">
        <v>46173</v>
      </c>
      <c r="B13" s="25">
        <v>9739144575.2315674</v>
      </c>
      <c r="C13" s="25">
        <v>1641256584.3517151</v>
      </c>
      <c r="D13" s="25">
        <v>32509.194357896922</v>
      </c>
      <c r="E13" s="25">
        <v>11380433668.777641</v>
      </c>
      <c r="H13" s="170">
        <v>8</v>
      </c>
      <c r="I13" s="73">
        <f t="shared" si="6"/>
        <v>-2.6277707413371622E-2</v>
      </c>
      <c r="J13" s="73">
        <f t="shared" si="2"/>
        <v>-8.045240625673783E-2</v>
      </c>
      <c r="K13" s="73">
        <f t="shared" si="3"/>
        <v>-0.13293379595556024</v>
      </c>
      <c r="M13" s="170">
        <v>8</v>
      </c>
      <c r="N13" s="172">
        <v>18</v>
      </c>
      <c r="O13" s="174">
        <v>24</v>
      </c>
      <c r="P13" s="62">
        <f t="shared" si="4"/>
        <v>51269701706</v>
      </c>
      <c r="Q13" s="62">
        <f t="shared" si="1"/>
        <v>7991048409</v>
      </c>
      <c r="R13" s="63">
        <f t="shared" si="5"/>
        <v>173180</v>
      </c>
      <c r="T13" s="62">
        <v>52653309980</v>
      </c>
      <c r="U13" s="62">
        <v>8690195552</v>
      </c>
      <c r="V13" s="63">
        <v>199731</v>
      </c>
    </row>
    <row r="14" spans="1:22" ht="15" thickBot="1" x14ac:dyDescent="0.4">
      <c r="A14" s="108">
        <v>46203</v>
      </c>
      <c r="B14" s="25">
        <v>9645131573.0513916</v>
      </c>
      <c r="C14" s="25">
        <v>1616013248.5374298</v>
      </c>
      <c r="D14" s="25">
        <v>32223.731821220485</v>
      </c>
      <c r="E14" s="25">
        <v>11261177045.320642</v>
      </c>
      <c r="H14" s="170">
        <v>9</v>
      </c>
      <c r="I14" s="73">
        <f t="shared" si="6"/>
        <v>0.14159054545305383</v>
      </c>
      <c r="J14" s="73">
        <f t="shared" si="2"/>
        <v>8.1292751355080115E-2</v>
      </c>
      <c r="K14" s="73">
        <f t="shared" si="3"/>
        <v>1.6087042105062638E-2</v>
      </c>
      <c r="M14" s="170">
        <v>9</v>
      </c>
      <c r="N14" s="172">
        <v>24</v>
      </c>
      <c r="O14" s="174">
        <v>36</v>
      </c>
      <c r="P14" s="62">
        <f t="shared" si="4"/>
        <v>94007117124</v>
      </c>
      <c r="Q14" s="62">
        <f t="shared" si="1"/>
        <v>13916147861</v>
      </c>
      <c r="R14" s="63">
        <f t="shared" si="5"/>
        <v>320041</v>
      </c>
      <c r="T14" s="62">
        <v>82347490962</v>
      </c>
      <c r="U14" s="62">
        <v>12869916906</v>
      </c>
      <c r="V14" s="63">
        <v>314974</v>
      </c>
    </row>
    <row r="15" spans="1:22" ht="15" thickBot="1" x14ac:dyDescent="0.4">
      <c r="A15" s="108">
        <v>46234</v>
      </c>
      <c r="B15" s="25">
        <v>9552026088.416748</v>
      </c>
      <c r="C15" s="25">
        <v>1591158167.679184</v>
      </c>
      <c r="D15" s="25">
        <v>31940.775975578465</v>
      </c>
      <c r="E15" s="25">
        <v>11143216196.871908</v>
      </c>
      <c r="H15" s="170">
        <v>10</v>
      </c>
      <c r="I15" s="73">
        <f t="shared" si="6"/>
        <v>0.14159054544721514</v>
      </c>
      <c r="J15" s="73">
        <f t="shared" si="2"/>
        <v>8.1292751241225814E-2</v>
      </c>
      <c r="K15" s="73">
        <f t="shared" si="3"/>
        <v>1.6090152854687463E-2</v>
      </c>
      <c r="M15" s="170">
        <v>10</v>
      </c>
      <c r="N15" s="172">
        <v>36</v>
      </c>
      <c r="O15" s="174">
        <v>48</v>
      </c>
      <c r="P15" s="62">
        <f t="shared" si="4"/>
        <v>83677530905</v>
      </c>
      <c r="Q15" s="62">
        <f t="shared" si="1"/>
        <v>11554210112</v>
      </c>
      <c r="R15" s="63">
        <f t="shared" si="5"/>
        <v>287900</v>
      </c>
      <c r="T15" s="62">
        <v>73299074908</v>
      </c>
      <c r="U15" s="62">
        <v>10685552177</v>
      </c>
      <c r="V15" s="63">
        <v>283341</v>
      </c>
    </row>
    <row r="16" spans="1:22" ht="15" thickBot="1" x14ac:dyDescent="0.4">
      <c r="A16" s="108">
        <v>46265</v>
      </c>
      <c r="B16" s="25">
        <v>9459819360.9638672</v>
      </c>
      <c r="C16" s="25">
        <v>1566685370.2242584</v>
      </c>
      <c r="D16" s="25">
        <v>31660.30480888125</v>
      </c>
      <c r="E16" s="25">
        <v>11026536391.492935</v>
      </c>
      <c r="H16" s="170">
        <v>11</v>
      </c>
      <c r="I16" s="73">
        <f t="shared" si="6"/>
        <v>0.14159054545542349</v>
      </c>
      <c r="J16" s="73">
        <f t="shared" si="2"/>
        <v>8.1292751300696992E-2</v>
      </c>
      <c r="K16" s="73">
        <f t="shared" si="3"/>
        <v>1.6093532377346648E-2</v>
      </c>
      <c r="M16" s="170">
        <v>11</v>
      </c>
      <c r="N16" s="172">
        <v>48</v>
      </c>
      <c r="O16" s="174">
        <v>60</v>
      </c>
      <c r="P16" s="62">
        <f t="shared" si="4"/>
        <v>74482968871</v>
      </c>
      <c r="Q16" s="62">
        <f t="shared" si="1"/>
        <v>9593155567</v>
      </c>
      <c r="R16" s="63">
        <f t="shared" si="5"/>
        <v>258987</v>
      </c>
      <c r="T16" s="62">
        <v>65244906913</v>
      </c>
      <c r="U16" s="62">
        <v>8871931820</v>
      </c>
      <c r="V16" s="63">
        <v>254885</v>
      </c>
    </row>
    <row r="17" spans="1:22" ht="15" thickBot="1" x14ac:dyDescent="0.4">
      <c r="A17" s="108">
        <v>46295</v>
      </c>
      <c r="B17" s="25">
        <v>9368502714.8933105</v>
      </c>
      <c r="C17" s="25">
        <v>1542588976.4653778</v>
      </c>
      <c r="D17" s="25">
        <v>31382.296502334182</v>
      </c>
      <c r="E17" s="25">
        <v>10911123073.655191</v>
      </c>
      <c r="H17" s="170">
        <v>12</v>
      </c>
      <c r="I17" s="73">
        <f t="shared" si="6"/>
        <v>0.14159054544056676</v>
      </c>
      <c r="J17" s="73">
        <f t="shared" si="2"/>
        <v>8.129275126832812E-2</v>
      </c>
      <c r="K17" s="73">
        <f t="shared" si="3"/>
        <v>1.610203900177257E-2</v>
      </c>
      <c r="M17" s="170">
        <v>12</v>
      </c>
      <c r="N17" s="172">
        <v>60</v>
      </c>
      <c r="O17" s="174">
        <v>72</v>
      </c>
      <c r="P17" s="62">
        <f>ROUND(SUMIFS(B$5:B$700,$A$5:$A$700,"&lt;="&amp;O40,$A$5:$A$700,"&gt;"&amp;N40)*$E$1,0)</f>
        <v>66298713547</v>
      </c>
      <c r="Q17" s="62">
        <f t="shared" si="1"/>
        <v>7964943760</v>
      </c>
      <c r="R17" s="63">
        <f t="shared" si="5"/>
        <v>2319890</v>
      </c>
      <c r="T17" s="62">
        <v>58075738111</v>
      </c>
      <c r="U17" s="62">
        <v>7366130727</v>
      </c>
      <c r="V17" s="63">
        <v>2283127</v>
      </c>
    </row>
    <row r="18" spans="1:22" ht="15" thickBot="1" x14ac:dyDescent="0.4">
      <c r="A18" s="108">
        <v>46326</v>
      </c>
      <c r="B18" s="25">
        <v>9278067558.1549072</v>
      </c>
      <c r="C18" s="25">
        <v>1518863197.1279907</v>
      </c>
      <c r="D18" s="25">
        <v>31106.72942874569</v>
      </c>
      <c r="E18" s="25">
        <v>10796961862.012327</v>
      </c>
      <c r="H18" s="170">
        <v>13</v>
      </c>
      <c r="I18" s="73">
        <f t="shared" si="6"/>
        <v>0.14159054545270214</v>
      </c>
      <c r="J18" s="73">
        <f t="shared" si="2"/>
        <v>8.1292751162680157E-2</v>
      </c>
      <c r="K18" s="73" t="str">
        <f t="shared" si="3"/>
        <v>NA</v>
      </c>
      <c r="M18" s="170">
        <v>13</v>
      </c>
      <c r="N18" s="172">
        <v>72</v>
      </c>
      <c r="O18" s="174">
        <v>84</v>
      </c>
      <c r="P18" s="62">
        <f t="shared" si="4"/>
        <v>537070172439</v>
      </c>
      <c r="Q18" s="62">
        <f t="shared" si="1"/>
        <v>6613082489</v>
      </c>
      <c r="R18" s="63">
        <f t="shared" si="5"/>
        <v>0</v>
      </c>
      <c r="T18" s="62">
        <v>470457796430</v>
      </c>
      <c r="U18" s="62">
        <v>6115903840</v>
      </c>
      <c r="V18" s="63">
        <v>0</v>
      </c>
    </row>
    <row r="19" spans="1:22" ht="15" thickBot="1" x14ac:dyDescent="0.4">
      <c r="A19" s="108">
        <v>46356</v>
      </c>
      <c r="B19" s="25">
        <v>9188505381.6379395</v>
      </c>
      <c r="C19" s="25">
        <v>1495502331.9795227</v>
      </c>
      <c r="D19" s="25">
        <v>30833.58215084672</v>
      </c>
      <c r="E19" s="25">
        <v>10684038547.199614</v>
      </c>
      <c r="H19" s="170">
        <v>14</v>
      </c>
      <c r="I19" s="73" t="str">
        <f t="shared" si="6"/>
        <v>NA</v>
      </c>
      <c r="J19" s="73">
        <f t="shared" si="2"/>
        <v>8.1292751322509474E-2</v>
      </c>
      <c r="K19" s="73" t="str">
        <f t="shared" si="3"/>
        <v>NA</v>
      </c>
      <c r="M19" s="170">
        <v>14</v>
      </c>
      <c r="N19" s="172">
        <v>84</v>
      </c>
      <c r="O19" s="174">
        <v>96</v>
      </c>
      <c r="P19" s="62">
        <f t="shared" ref="P19:P23" si="7">ROUND(SUMIFS(B$5:B$700,$A$5:$A$700,"&lt;="&amp;O42,$A$5:$A$700,"&gt;"&amp;N42)*$E$1,0)</f>
        <v>0</v>
      </c>
      <c r="Q19" s="62">
        <f t="shared" ref="Q19:Q23" si="8">ROUND(SUMIFS(C$5:C$700,$A$5:$A$700,"&lt;="&amp;O42,$A$5:$A$700,"&gt;"&amp;N42),0)</f>
        <v>5490667772</v>
      </c>
      <c r="R19" s="63">
        <f t="shared" si="5"/>
        <v>0</v>
      </c>
      <c r="T19" s="64">
        <v>0</v>
      </c>
      <c r="U19" s="64">
        <v>5077873467</v>
      </c>
      <c r="V19" s="64">
        <v>0</v>
      </c>
    </row>
    <row r="20" spans="1:22" ht="15" thickBot="1" x14ac:dyDescent="0.4">
      <c r="A20" s="108">
        <v>46387</v>
      </c>
      <c r="B20" s="25">
        <v>9099807758.3709717</v>
      </c>
      <c r="C20" s="25">
        <v>1472500768.4597473</v>
      </c>
      <c r="D20" s="25">
        <v>30562.833419614821</v>
      </c>
      <c r="E20" s="25">
        <v>10572339089.664139</v>
      </c>
      <c r="H20" s="170">
        <v>15</v>
      </c>
      <c r="I20" s="73" t="str">
        <f t="shared" si="6"/>
        <v>NA</v>
      </c>
      <c r="J20" s="73">
        <f t="shared" si="2"/>
        <v>8.1292751338955235E-2</v>
      </c>
      <c r="K20" s="73" t="str">
        <f t="shared" si="3"/>
        <v>NA</v>
      </c>
      <c r="M20" s="170">
        <v>15</v>
      </c>
      <c r="N20" s="172">
        <v>96</v>
      </c>
      <c r="O20" s="174">
        <v>108</v>
      </c>
      <c r="P20" s="62">
        <f t="shared" si="7"/>
        <v>0</v>
      </c>
      <c r="Q20" s="62">
        <f t="shared" si="8"/>
        <v>26859441640</v>
      </c>
      <c r="R20" s="63">
        <f t="shared" si="5"/>
        <v>0</v>
      </c>
      <c r="T20" s="64">
        <v>0</v>
      </c>
      <c r="U20" s="64">
        <v>24840119946</v>
      </c>
      <c r="V20" s="64">
        <v>0</v>
      </c>
    </row>
    <row r="21" spans="1:22" ht="15" thickBot="1" x14ac:dyDescent="0.4">
      <c r="A21" s="108">
        <v>46418</v>
      </c>
      <c r="B21" s="25">
        <v>9011966342.7294922</v>
      </c>
      <c r="C21" s="25">
        <v>1449852980.3323975</v>
      </c>
      <c r="D21" s="25">
        <v>30294.462172628962</v>
      </c>
      <c r="E21" s="25">
        <v>10461849617.524063</v>
      </c>
      <c r="H21" s="170">
        <v>16</v>
      </c>
      <c r="I21" s="73" t="str">
        <f t="shared" si="6"/>
        <v>NA</v>
      </c>
      <c r="J21" s="73" t="str">
        <f t="shared" si="2"/>
        <v>NA</v>
      </c>
      <c r="K21" s="73" t="str">
        <f t="shared" si="3"/>
        <v>NA</v>
      </c>
      <c r="M21" s="170">
        <v>16</v>
      </c>
      <c r="N21" s="172">
        <v>108</v>
      </c>
      <c r="O21" s="174">
        <v>120</v>
      </c>
      <c r="P21" s="62">
        <f t="shared" si="7"/>
        <v>0</v>
      </c>
      <c r="Q21" s="62">
        <f t="shared" si="8"/>
        <v>0</v>
      </c>
      <c r="R21" s="63">
        <f t="shared" si="5"/>
        <v>0</v>
      </c>
      <c r="T21" s="64">
        <v>0</v>
      </c>
      <c r="U21" s="64">
        <v>0</v>
      </c>
      <c r="V21" s="64">
        <v>0</v>
      </c>
    </row>
    <row r="22" spans="1:22" ht="15" thickBot="1" x14ac:dyDescent="0.4">
      <c r="A22" s="108">
        <v>46446</v>
      </c>
      <c r="B22" s="25">
        <v>8924972869.6499023</v>
      </c>
      <c r="C22" s="25">
        <v>1427553526.3574066</v>
      </c>
      <c r="D22" s="25">
        <v>30028.447532429476</v>
      </c>
      <c r="E22" s="25">
        <v>10352556424.454842</v>
      </c>
      <c r="H22" s="170">
        <v>17</v>
      </c>
      <c r="I22" s="73" t="str">
        <f t="shared" si="6"/>
        <v>NA</v>
      </c>
      <c r="J22" s="73" t="str">
        <f t="shared" si="2"/>
        <v>NA</v>
      </c>
      <c r="K22" s="73" t="str">
        <f t="shared" si="3"/>
        <v>NA</v>
      </c>
      <c r="L22" s="68"/>
      <c r="M22" s="170">
        <v>17</v>
      </c>
      <c r="N22" s="172">
        <v>120</v>
      </c>
      <c r="O22" s="174">
        <v>180</v>
      </c>
      <c r="P22" s="62">
        <f t="shared" si="7"/>
        <v>0</v>
      </c>
      <c r="Q22" s="62">
        <f t="shared" si="8"/>
        <v>0</v>
      </c>
      <c r="R22" s="63">
        <f t="shared" si="5"/>
        <v>0</v>
      </c>
      <c r="T22" s="64">
        <v>0</v>
      </c>
      <c r="U22" s="64">
        <v>0</v>
      </c>
      <c r="V22" s="64">
        <v>0</v>
      </c>
    </row>
    <row r="23" spans="1:22" ht="15" thickBot="1" x14ac:dyDescent="0.4">
      <c r="A23" s="108">
        <v>46477</v>
      </c>
      <c r="B23" s="25">
        <v>8838819153.8515625</v>
      </c>
      <c r="C23" s="25">
        <v>1405597048.9837189</v>
      </c>
      <c r="D23" s="25">
        <v>29764.768804887193</v>
      </c>
      <c r="E23" s="25">
        <v>10244445967.604086</v>
      </c>
      <c r="H23" s="170">
        <v>18</v>
      </c>
      <c r="I23" s="73" t="str">
        <f t="shared" si="6"/>
        <v>NA</v>
      </c>
      <c r="J23" s="73" t="str">
        <f t="shared" si="2"/>
        <v>NA</v>
      </c>
      <c r="K23" s="73" t="str">
        <f t="shared" si="3"/>
        <v>NA</v>
      </c>
      <c r="M23" s="170">
        <v>18</v>
      </c>
      <c r="N23" s="172">
        <v>180</v>
      </c>
      <c r="O23" s="174">
        <v>240</v>
      </c>
      <c r="P23" s="62">
        <f t="shared" si="7"/>
        <v>0</v>
      </c>
      <c r="Q23" s="62">
        <f t="shared" si="8"/>
        <v>0</v>
      </c>
      <c r="R23" s="63">
        <f t="shared" si="5"/>
        <v>0</v>
      </c>
      <c r="T23" s="64">
        <v>0</v>
      </c>
      <c r="U23" s="64">
        <v>0</v>
      </c>
      <c r="V23" s="64">
        <v>0</v>
      </c>
    </row>
    <row r="24" spans="1:22" ht="15" thickBot="1" x14ac:dyDescent="0.4">
      <c r="A24" s="108">
        <v>46507</v>
      </c>
      <c r="B24" s="25">
        <v>8753497089.0684814</v>
      </c>
      <c r="C24" s="25">
        <v>1383978273.0620575</v>
      </c>
      <c r="D24" s="25">
        <v>29503.405477604247</v>
      </c>
      <c r="E24" s="25">
        <v>10137504865.536016</v>
      </c>
      <c r="H24" s="170">
        <v>19</v>
      </c>
      <c r="I24" s="73" t="str">
        <f t="shared" si="6"/>
        <v>NA</v>
      </c>
      <c r="J24" s="73" t="str">
        <f t="shared" si="2"/>
        <v>NA</v>
      </c>
      <c r="K24" s="73" t="str">
        <f t="shared" si="3"/>
        <v>NA</v>
      </c>
      <c r="M24" s="170">
        <v>19</v>
      </c>
      <c r="N24" s="173">
        <v>240</v>
      </c>
      <c r="O24" s="174" t="s">
        <v>194</v>
      </c>
      <c r="P24" s="62">
        <f>ROUND(SUMIFS(B$5:B$700,$A$5:$A$700,"&gt;"&amp;N47)*$E$1,0)</f>
        <v>0</v>
      </c>
      <c r="Q24" s="62">
        <f>ROUND(SUMIFS(C$5:C$700,$A$5:$A$700,"&gt;"&amp;N47),0)</f>
        <v>0</v>
      </c>
      <c r="R24" s="63">
        <f>ROUND(SUMIFS(D$5:D$700,$A$5:$A$700,"&gt;"&amp;N47),0)</f>
        <v>0</v>
      </c>
      <c r="T24" s="64">
        <v>0</v>
      </c>
      <c r="U24" s="64">
        <v>0</v>
      </c>
      <c r="V24" s="64">
        <v>0</v>
      </c>
    </row>
    <row r="25" spans="1:22" ht="19" thickBot="1" x14ac:dyDescent="0.5">
      <c r="A25" s="108">
        <v>46538</v>
      </c>
      <c r="B25" s="25">
        <v>8668998647.2843018</v>
      </c>
      <c r="C25" s="25">
        <v>1362692004.5774536</v>
      </c>
      <c r="D25" s="25">
        <v>29244.337218308123</v>
      </c>
      <c r="E25" s="25">
        <v>10031719896.198975</v>
      </c>
      <c r="H25" s="65" t="s">
        <v>146</v>
      </c>
      <c r="I25" s="75">
        <f>P25-T25</f>
        <v>178152581152</v>
      </c>
      <c r="J25" s="75">
        <f t="shared" ref="I25:K26" si="9">Q25-U25</f>
        <v>10319676938</v>
      </c>
      <c r="K25" s="75">
        <f t="shared" si="9"/>
        <v>40073</v>
      </c>
      <c r="M25" s="65" t="s">
        <v>146</v>
      </c>
      <c r="N25" s="66"/>
      <c r="O25" s="66"/>
      <c r="P25" s="67">
        <f>SUM(P6:P24)</f>
        <v>1542567792920</v>
      </c>
      <c r="Q25" s="67">
        <f>SUM(Q6:Q24)</f>
        <v>169913986460</v>
      </c>
      <c r="R25" s="67">
        <f>SUM(R6:R24)</f>
        <v>5625826</v>
      </c>
      <c r="T25" s="67">
        <v>1364415211768</v>
      </c>
      <c r="U25" s="67">
        <v>159594309522</v>
      </c>
      <c r="V25" s="67">
        <v>5585753</v>
      </c>
    </row>
    <row r="26" spans="1:22" ht="19" thickBot="1" x14ac:dyDescent="0.5">
      <c r="A26" s="108">
        <v>46568</v>
      </c>
      <c r="B26" s="25">
        <v>8585315877.9785156</v>
      </c>
      <c r="C26" s="25">
        <v>1341733129.4015961</v>
      </c>
      <c r="D26" s="25">
        <v>28987.543873275747</v>
      </c>
      <c r="E26" s="25">
        <v>9927077994.9239845</v>
      </c>
      <c r="H26" s="65" t="s">
        <v>147</v>
      </c>
      <c r="I26" s="75">
        <f t="shared" si="9"/>
        <v>178152.581152</v>
      </c>
      <c r="J26" s="75">
        <f t="shared" si="9"/>
        <v>10319.67693799999</v>
      </c>
      <c r="K26" s="75">
        <f>(R26-V26)*$D$1</f>
        <v>1582308452.45</v>
      </c>
      <c r="M26" s="65" t="s">
        <v>147</v>
      </c>
      <c r="N26" s="66"/>
      <c r="O26" s="66"/>
      <c r="P26" s="67">
        <f>P25/1000000</f>
        <v>1542567.7929199999</v>
      </c>
      <c r="Q26" s="67">
        <f t="shared" ref="Q26" si="10">Q25/1000000</f>
        <v>169913.98645999999</v>
      </c>
      <c r="R26" s="67">
        <f>R25</f>
        <v>5625826</v>
      </c>
      <c r="T26" s="67">
        <v>1364415.2117679999</v>
      </c>
      <c r="U26" s="67">
        <v>159594.309522</v>
      </c>
      <c r="V26" s="67">
        <v>5585753</v>
      </c>
    </row>
    <row r="27" spans="1:22" x14ac:dyDescent="0.35">
      <c r="A27" s="108">
        <v>46599</v>
      </c>
      <c r="B27" s="25">
        <v>8502440907.3773193</v>
      </c>
      <c r="C27" s="25">
        <v>1321096612.063858</v>
      </c>
      <c r="D27" s="25">
        <v>28733.00546576397</v>
      </c>
      <c r="E27" s="25">
        <v>9823566252.4466438</v>
      </c>
      <c r="M27" s="68"/>
      <c r="N27" s="68"/>
    </row>
    <row r="28" spans="1:22" x14ac:dyDescent="0.35">
      <c r="A28" s="108">
        <v>46630</v>
      </c>
      <c r="B28" s="25">
        <v>8420365937.7137451</v>
      </c>
      <c r="C28" s="25">
        <v>1300777494.5417023</v>
      </c>
      <c r="D28" s="25">
        <v>28480.702194455895</v>
      </c>
      <c r="E28" s="25">
        <v>9721171912.9576416</v>
      </c>
      <c r="I28" s="153" t="s">
        <v>186</v>
      </c>
      <c r="J28" s="152" t="s">
        <v>184</v>
      </c>
      <c r="N28" t="s">
        <v>191</v>
      </c>
      <c r="O28" t="s">
        <v>192</v>
      </c>
    </row>
    <row r="29" spans="1:22" ht="15.5" x14ac:dyDescent="0.35">
      <c r="A29" s="108">
        <v>46660</v>
      </c>
      <c r="B29" s="25">
        <v>8339083246.4934082</v>
      </c>
      <c r="C29" s="25">
        <v>1280770895.0694122</v>
      </c>
      <c r="D29" s="25">
        <v>28230.614431918482</v>
      </c>
      <c r="E29" s="25">
        <v>9619882372.1772518</v>
      </c>
      <c r="I29" s="2" t="s">
        <v>43</v>
      </c>
      <c r="J29" s="154">
        <f>P25-Montos!B3</f>
        <v>-2</v>
      </c>
      <c r="N29" s="13">
        <f>EDATE($B$1,$N6)*$E$1</f>
        <v>45930</v>
      </c>
      <c r="O29" s="13">
        <f t="shared" ref="O29:O42" si="11">EDATE($B$1+1,$O6)</f>
        <v>45931</v>
      </c>
      <c r="P29" s="24"/>
    </row>
    <row r="30" spans="1:22" ht="15.5" x14ac:dyDescent="0.35">
      <c r="A30" s="108">
        <v>46691</v>
      </c>
      <c r="B30" s="25">
        <v>8258585185.7678223</v>
      </c>
      <c r="C30" s="25">
        <v>1261072006.96521</v>
      </c>
      <c r="D30" s="25">
        <v>27982.722723077983</v>
      </c>
      <c r="E30" s="25">
        <v>9519685175.4557552</v>
      </c>
      <c r="I30" s="2" t="s">
        <v>42</v>
      </c>
      <c r="J30" s="154">
        <f>P25-Montos!B2</f>
        <v>1542567792920</v>
      </c>
      <c r="N30" s="13">
        <f>O29</f>
        <v>45931</v>
      </c>
      <c r="O30" s="13">
        <f t="shared" si="11"/>
        <v>45962</v>
      </c>
      <c r="P30" s="24"/>
    </row>
    <row r="31" spans="1:22" ht="15.5" x14ac:dyDescent="0.35">
      <c r="A31" s="108">
        <v>46721</v>
      </c>
      <c r="B31" s="25">
        <v>8178864181.4150391</v>
      </c>
      <c r="C31" s="25">
        <v>1241676097.4765167</v>
      </c>
      <c r="D31" s="25">
        <v>27737.007783704903</v>
      </c>
      <c r="E31" s="25">
        <v>9420568015.8993397</v>
      </c>
      <c r="I31" s="2" t="s">
        <v>44</v>
      </c>
      <c r="J31" s="154">
        <f>Q25</f>
        <v>169913986460</v>
      </c>
      <c r="N31" s="13">
        <f>O30</f>
        <v>45962</v>
      </c>
      <c r="O31" s="13">
        <f t="shared" si="11"/>
        <v>46023</v>
      </c>
      <c r="P31" s="24"/>
      <c r="T31" s="13">
        <v>45881</v>
      </c>
    </row>
    <row r="32" spans="1:22" x14ac:dyDescent="0.35">
      <c r="A32" s="108">
        <v>46752</v>
      </c>
      <c r="B32" s="25">
        <v>8099912732.427124</v>
      </c>
      <c r="C32" s="25">
        <v>1222578506.6427155</v>
      </c>
      <c r="D32" s="25">
        <v>27493.450498912367</v>
      </c>
      <c r="E32" s="25">
        <v>9322518732.5203381</v>
      </c>
      <c r="N32" s="13">
        <f t="shared" ref="N32:N41" si="12">O31</f>
        <v>46023</v>
      </c>
      <c r="O32" s="13">
        <f t="shared" si="11"/>
        <v>46113</v>
      </c>
      <c r="P32" s="24"/>
      <c r="T32" t="s">
        <v>180</v>
      </c>
      <c r="U32" t="s">
        <v>179</v>
      </c>
      <c r="V32" t="s">
        <v>172</v>
      </c>
    </row>
    <row r="33" spans="1:22" x14ac:dyDescent="0.35">
      <c r="A33" s="108">
        <v>46783</v>
      </c>
      <c r="B33" s="25">
        <v>8021723410.2039795</v>
      </c>
      <c r="C33" s="25">
        <v>1203774646.1758575</v>
      </c>
      <c r="D33" s="25">
        <v>27252.031921674265</v>
      </c>
      <c r="E33" s="25">
        <v>9225525308.4117584</v>
      </c>
      <c r="N33" s="13">
        <f t="shared" si="12"/>
        <v>46113</v>
      </c>
      <c r="O33" s="13">
        <f t="shared" si="11"/>
        <v>46204</v>
      </c>
      <c r="P33" s="24"/>
      <c r="T33">
        <v>392251886588</v>
      </c>
      <c r="U33">
        <v>46296586308</v>
      </c>
      <c r="V33">
        <v>1581699</v>
      </c>
    </row>
    <row r="34" spans="1:22" x14ac:dyDescent="0.35">
      <c r="A34" s="108">
        <v>46812</v>
      </c>
      <c r="B34" s="25">
        <v>7944288857.854248</v>
      </c>
      <c r="C34" s="25">
        <v>1185259998.3578949</v>
      </c>
      <c r="D34" s="25">
        <v>27012.733271345147</v>
      </c>
      <c r="E34" s="25">
        <v>9129575868.9454136</v>
      </c>
      <c r="N34" s="13">
        <f t="shared" si="12"/>
        <v>46204</v>
      </c>
      <c r="O34" s="13">
        <f t="shared" si="11"/>
        <v>46296</v>
      </c>
      <c r="P34" s="24"/>
      <c r="T34">
        <v>8835048441</v>
      </c>
      <c r="U34">
        <v>1661483444</v>
      </c>
      <c r="V34">
        <v>32411</v>
      </c>
    </row>
    <row r="35" spans="1:22" x14ac:dyDescent="0.35">
      <c r="A35" s="108">
        <v>46843</v>
      </c>
      <c r="B35" s="25">
        <v>7867601789.5041504</v>
      </c>
      <c r="C35" s="25">
        <v>1167030114.9557037</v>
      </c>
      <c r="D35" s="25">
        <v>26775.535932199913</v>
      </c>
      <c r="E35" s="25">
        <v>9034658679.9957867</v>
      </c>
      <c r="N35" s="13">
        <f t="shared" si="12"/>
        <v>46296</v>
      </c>
      <c r="O35" s="13">
        <f t="shared" si="11"/>
        <v>46478</v>
      </c>
      <c r="P35" s="24"/>
      <c r="T35">
        <v>17415063156</v>
      </c>
      <c r="U35">
        <v>3246696623</v>
      </c>
      <c r="V35">
        <v>63970</v>
      </c>
    </row>
    <row r="36" spans="1:22" x14ac:dyDescent="0.35">
      <c r="A36" s="108">
        <v>46873</v>
      </c>
      <c r="B36" s="25">
        <v>7791654989.6107178</v>
      </c>
      <c r="C36" s="25">
        <v>1149080616.1521149</v>
      </c>
      <c r="D36" s="25">
        <v>26540.421451991773</v>
      </c>
      <c r="E36" s="25">
        <v>8940762146.1842842</v>
      </c>
      <c r="N36" s="13">
        <f t="shared" si="12"/>
        <v>46478</v>
      </c>
      <c r="O36" s="13">
        <f t="shared" si="11"/>
        <v>46661</v>
      </c>
      <c r="P36" s="24"/>
      <c r="T36">
        <v>25497240748</v>
      </c>
      <c r="U36">
        <v>4685174749</v>
      </c>
      <c r="V36">
        <v>93864</v>
      </c>
    </row>
    <row r="37" spans="1:22" x14ac:dyDescent="0.35">
      <c r="A37" s="108">
        <v>46904</v>
      </c>
      <c r="B37" s="25">
        <v>7716441312.2834473</v>
      </c>
      <c r="C37" s="25">
        <v>1131407189.4936676</v>
      </c>
      <c r="D37" s="25">
        <v>26307.371540506836</v>
      </c>
      <c r="E37" s="25">
        <v>8847874809.1486549</v>
      </c>
      <c r="N37" s="13">
        <f t="shared" si="12"/>
        <v>46661</v>
      </c>
      <c r="O37" s="13">
        <f t="shared" si="11"/>
        <v>47027</v>
      </c>
      <c r="P37" s="24"/>
      <c r="T37">
        <v>24765962741</v>
      </c>
      <c r="U37">
        <v>4472301775</v>
      </c>
      <c r="V37">
        <v>91413</v>
      </c>
    </row>
    <row r="38" spans="1:22" x14ac:dyDescent="0.35">
      <c r="A38" s="108">
        <v>46934</v>
      </c>
      <c r="B38" s="25">
        <v>7641953680.6120605</v>
      </c>
      <c r="C38" s="25">
        <v>1114005588.8546295</v>
      </c>
      <c r="D38" s="25">
        <v>26076.368068151176</v>
      </c>
      <c r="E38" s="25">
        <v>8755985345.8347588</v>
      </c>
      <c r="N38" s="13">
        <f t="shared" si="12"/>
        <v>47027</v>
      </c>
      <c r="O38" s="13">
        <f t="shared" si="11"/>
        <v>47392</v>
      </c>
      <c r="P38" s="24"/>
      <c r="T38">
        <v>24055658279</v>
      </c>
      <c r="U38">
        <v>4269100779</v>
      </c>
      <c r="V38">
        <v>89026</v>
      </c>
    </row>
    <row r="39" spans="1:22" x14ac:dyDescent="0.35">
      <c r="A39" s="108">
        <v>46965</v>
      </c>
      <c r="B39" s="25">
        <v>7568185086.0003662</v>
      </c>
      <c r="C39" s="25">
        <v>1096871633.4167175</v>
      </c>
      <c r="D39" s="25">
        <v>25847.393064531498</v>
      </c>
      <c r="E39" s="25">
        <v>8665082566.8101482</v>
      </c>
      <c r="N39" s="13">
        <f t="shared" si="12"/>
        <v>47392</v>
      </c>
      <c r="O39" s="13">
        <f t="shared" si="11"/>
        <v>47757</v>
      </c>
      <c r="T39">
        <v>46061306926</v>
      </c>
      <c r="U39">
        <v>7965109191</v>
      </c>
      <c r="V39">
        <v>171137</v>
      </c>
    </row>
    <row r="40" spans="1:22" x14ac:dyDescent="0.35">
      <c r="A40" s="108">
        <v>46996</v>
      </c>
      <c r="B40" s="25">
        <v>7495128587.506958</v>
      </c>
      <c r="C40" s="25">
        <v>1080001206.6647186</v>
      </c>
      <c r="D40" s="25">
        <v>25620.42871706374</v>
      </c>
      <c r="E40" s="25">
        <v>8575155414.6003933</v>
      </c>
      <c r="N40" s="13">
        <f t="shared" si="12"/>
        <v>47757</v>
      </c>
      <c r="O40" s="13">
        <f t="shared" si="11"/>
        <v>48122</v>
      </c>
      <c r="T40">
        <v>43457057579</v>
      </c>
      <c r="U40">
        <v>7257755724</v>
      </c>
      <c r="V40">
        <v>162315</v>
      </c>
    </row>
    <row r="41" spans="1:22" x14ac:dyDescent="0.35">
      <c r="A41" s="108">
        <v>47026</v>
      </c>
      <c r="B41" s="25">
        <v>7422777311.1915283</v>
      </c>
      <c r="C41" s="25">
        <v>1063390255.3975143</v>
      </c>
      <c r="D41" s="25">
        <v>25395.457369583775</v>
      </c>
      <c r="E41" s="25">
        <v>8486192962.0464125</v>
      </c>
      <c r="N41" s="13">
        <f t="shared" si="12"/>
        <v>48122</v>
      </c>
      <c r="O41" s="13">
        <f t="shared" si="11"/>
        <v>48488</v>
      </c>
      <c r="T41">
        <v>79682006444</v>
      </c>
      <c r="U41">
        <v>12639142779</v>
      </c>
      <c r="V41">
        <v>299960</v>
      </c>
    </row>
    <row r="42" spans="1:22" x14ac:dyDescent="0.35">
      <c r="A42" s="108">
        <v>47057</v>
      </c>
      <c r="B42" s="25">
        <v>7351124449.4696045</v>
      </c>
      <c r="C42" s="25">
        <v>1047034788.7540741</v>
      </c>
      <c r="D42" s="25">
        <v>25172.461520973942</v>
      </c>
      <c r="E42" s="25">
        <v>8398184410.6851997</v>
      </c>
      <c r="N42" s="13">
        <f>O41</f>
        <v>48488</v>
      </c>
      <c r="O42" s="13">
        <f t="shared" si="11"/>
        <v>48853</v>
      </c>
      <c r="T42">
        <v>70926476216</v>
      </c>
      <c r="U42">
        <v>10493946513</v>
      </c>
      <c r="V42">
        <v>269832</v>
      </c>
    </row>
    <row r="43" spans="1:22" x14ac:dyDescent="0.35">
      <c r="A43" s="108">
        <v>47087</v>
      </c>
      <c r="B43" s="25">
        <v>7280163260.470459</v>
      </c>
      <c r="C43" s="25">
        <v>1030930877.2549591</v>
      </c>
      <c r="D43" s="25">
        <v>24951.423823802732</v>
      </c>
      <c r="E43" s="25">
        <v>8311119089.1492414</v>
      </c>
      <c r="N43" s="13">
        <f t="shared" ref="N43:N47" si="13">O42</f>
        <v>48853</v>
      </c>
      <c r="O43" s="13">
        <f t="shared" ref="O43:O45" si="14">EDATE($B$1+1,$O20)</f>
        <v>49218</v>
      </c>
      <c r="T43">
        <v>63133011490</v>
      </c>
      <c r="U43">
        <v>8712846697</v>
      </c>
      <c r="V43">
        <v>242730</v>
      </c>
    </row>
    <row r="44" spans="1:22" x14ac:dyDescent="0.35">
      <c r="A44" s="108">
        <v>47118</v>
      </c>
      <c r="B44" s="25">
        <v>7209887067.4031982</v>
      </c>
      <c r="C44" s="25">
        <v>1015074651.8579102</v>
      </c>
      <c r="D44" s="25">
        <v>24732.327082974836</v>
      </c>
      <c r="E44" s="25">
        <v>8224986451.588191</v>
      </c>
      <c r="N44" s="13">
        <f t="shared" si="13"/>
        <v>49218</v>
      </c>
      <c r="O44" s="13">
        <f t="shared" si="14"/>
        <v>49583</v>
      </c>
      <c r="T44">
        <v>56195899648</v>
      </c>
      <c r="U44">
        <v>7234046549</v>
      </c>
      <c r="V44">
        <v>2173974</v>
      </c>
    </row>
    <row r="45" spans="1:22" x14ac:dyDescent="0.35">
      <c r="A45" s="108">
        <v>47149</v>
      </c>
      <c r="B45" s="25">
        <v>7140289257.9294434</v>
      </c>
      <c r="C45" s="25">
        <v>999462303.02851868</v>
      </c>
      <c r="D45" s="25">
        <v>24515.154254393536</v>
      </c>
      <c r="E45" s="25">
        <v>8139776076.112216</v>
      </c>
      <c r="N45" s="13">
        <f t="shared" si="13"/>
        <v>49583</v>
      </c>
      <c r="O45" s="13">
        <f t="shared" si="14"/>
        <v>51410</v>
      </c>
      <c r="T45">
        <v>455229670372</v>
      </c>
      <c r="U45">
        <v>6006237835</v>
      </c>
      <c r="V45">
        <v>0</v>
      </c>
    </row>
    <row r="46" spans="1:22" x14ac:dyDescent="0.35">
      <c r="A46" s="108">
        <v>47177</v>
      </c>
      <c r="B46" s="25">
        <v>7071363283.5394287</v>
      </c>
      <c r="C46" s="25">
        <v>984090079.82489014</v>
      </c>
      <c r="D46" s="25">
        <v>24299.888443633448</v>
      </c>
      <c r="E46" s="25">
        <v>8055477663.2527628</v>
      </c>
      <c r="N46" s="13">
        <f t="shared" si="13"/>
        <v>51410</v>
      </c>
      <c r="O46" s="13">
        <f>EDATE($B$1+1,$O23)</f>
        <v>53236</v>
      </c>
      <c r="T46">
        <v>0</v>
      </c>
      <c r="U46">
        <v>4986820679</v>
      </c>
      <c r="V46">
        <v>0</v>
      </c>
    </row>
    <row r="47" spans="1:22" x14ac:dyDescent="0.35">
      <c r="A47" s="108">
        <v>47208</v>
      </c>
      <c r="B47" s="25">
        <v>7003102658.9377441</v>
      </c>
      <c r="C47" s="25">
        <v>968954288.99645996</v>
      </c>
      <c r="D47" s="25">
        <v>24086.512904626667</v>
      </c>
      <c r="E47" s="25">
        <v>7972081034.4471083</v>
      </c>
      <c r="N47" s="13">
        <f t="shared" si="13"/>
        <v>53236</v>
      </c>
      <c r="O47" s="13"/>
      <c r="T47">
        <v>0</v>
      </c>
      <c r="U47">
        <v>24394704716</v>
      </c>
      <c r="V47">
        <v>0</v>
      </c>
    </row>
    <row r="48" spans="1:22" x14ac:dyDescent="0.35">
      <c r="A48" s="108">
        <v>47238</v>
      </c>
      <c r="B48" s="25">
        <v>6935500961.4318848</v>
      </c>
      <c r="C48" s="25">
        <v>954051294.09666443</v>
      </c>
      <c r="D48" s="25">
        <v>23875.011038361466</v>
      </c>
      <c r="E48" s="25">
        <v>7889576130.539588</v>
      </c>
      <c r="N48" s="13"/>
      <c r="O48" s="13"/>
      <c r="T48">
        <v>0</v>
      </c>
      <c r="U48">
        <v>0</v>
      </c>
      <c r="V48">
        <v>0</v>
      </c>
    </row>
    <row r="49" spans="1:22" x14ac:dyDescent="0.35">
      <c r="A49" s="108">
        <v>47269</v>
      </c>
      <c r="B49" s="25">
        <v>6868551830.3280029</v>
      </c>
      <c r="C49" s="25">
        <v>939377514.60931396</v>
      </c>
      <c r="D49" s="25">
        <v>23665.366391589574</v>
      </c>
      <c r="E49" s="25">
        <v>7807953010.3037081</v>
      </c>
      <c r="N49" s="13"/>
      <c r="O49" s="13"/>
      <c r="T49">
        <v>0</v>
      </c>
      <c r="U49">
        <v>0</v>
      </c>
      <c r="V49">
        <v>0</v>
      </c>
    </row>
    <row r="50" spans="1:22" x14ac:dyDescent="0.35">
      <c r="A50" s="108">
        <v>47299</v>
      </c>
      <c r="B50" s="25">
        <v>6802248966.3328857</v>
      </c>
      <c r="C50" s="25">
        <v>924929425.08828735</v>
      </c>
      <c r="D50" s="25">
        <v>23457.562655544549</v>
      </c>
      <c r="E50" s="25">
        <v>7727201848.9838285</v>
      </c>
      <c r="N50" s="13"/>
      <c r="O50" s="13"/>
      <c r="T50">
        <v>0</v>
      </c>
      <c r="U50">
        <v>0</v>
      </c>
      <c r="V50">
        <v>0</v>
      </c>
    </row>
    <row r="51" spans="1:22" x14ac:dyDescent="0.35">
      <c r="A51" s="108">
        <v>47330</v>
      </c>
      <c r="B51" s="25">
        <v>6736586130.9616699</v>
      </c>
      <c r="C51" s="25">
        <v>910703554.31060028</v>
      </c>
      <c r="D51" s="25">
        <v>23251.583664677397</v>
      </c>
      <c r="E51" s="25">
        <v>7647312936.8559351</v>
      </c>
      <c r="N51" s="13"/>
      <c r="O51" s="13"/>
      <c r="T51">
        <v>0</v>
      </c>
      <c r="U51">
        <v>0</v>
      </c>
      <c r="V51">
        <v>0</v>
      </c>
    </row>
    <row r="52" spans="1:22" x14ac:dyDescent="0.35">
      <c r="A52" s="108">
        <v>47361</v>
      </c>
      <c r="B52" s="25">
        <v>6671557145.9493408</v>
      </c>
      <c r="C52" s="25">
        <v>896696484.44235992</v>
      </c>
      <c r="D52" s="25">
        <v>23047.413395394105</v>
      </c>
      <c r="E52" s="25">
        <v>7568276677.8050957</v>
      </c>
      <c r="N52" s="13"/>
      <c r="O52" s="13"/>
      <c r="T52">
        <v>1307506288628</v>
      </c>
      <c r="U52">
        <v>154321954361</v>
      </c>
      <c r="V52">
        <v>5272331</v>
      </c>
    </row>
    <row r="53" spans="1:22" x14ac:dyDescent="0.35">
      <c r="A53" s="108">
        <v>47391</v>
      </c>
      <c r="B53" s="25">
        <v>6607155892.6707764</v>
      </c>
      <c r="C53" s="25">
        <v>882904850.21763611</v>
      </c>
      <c r="D53" s="25">
        <v>22845.035964812618</v>
      </c>
      <c r="E53" s="25">
        <v>7490083587.9243774</v>
      </c>
      <c r="N53" s="13"/>
      <c r="O53" s="13"/>
      <c r="T53">
        <v>1307506.2886280001</v>
      </c>
      <c r="U53">
        <v>154321.95436100001</v>
      </c>
      <c r="V53">
        <v>5272331</v>
      </c>
    </row>
    <row r="54" spans="1:22" x14ac:dyDescent="0.35">
      <c r="A54" s="108">
        <v>47422</v>
      </c>
      <c r="B54" s="25">
        <v>6543376311.5643311</v>
      </c>
      <c r="C54" s="25">
        <v>869325338.12999725</v>
      </c>
      <c r="D54" s="25">
        <v>22644.435629524349</v>
      </c>
      <c r="E54" s="25">
        <v>7412724294.1299582</v>
      </c>
      <c r="N54" s="13"/>
      <c r="O54" s="13"/>
    </row>
    <row r="55" spans="1:22" x14ac:dyDescent="0.35">
      <c r="A55" s="108">
        <v>47452</v>
      </c>
      <c r="B55" s="25">
        <v>6480212401.5627441</v>
      </c>
      <c r="C55" s="25">
        <v>855954685.63636017</v>
      </c>
      <c r="D55" s="25">
        <v>22445.596784371824</v>
      </c>
      <c r="E55" s="25">
        <v>7336189532.7958889</v>
      </c>
    </row>
    <row r="56" spans="1:22" x14ac:dyDescent="0.35">
      <c r="A56" s="108">
        <v>47483</v>
      </c>
      <c r="B56" s="25">
        <v>6417658219.5264893</v>
      </c>
      <c r="C56" s="25">
        <v>842789680.37309265</v>
      </c>
      <c r="D56" s="25">
        <v>22248.503961232956</v>
      </c>
      <c r="E56" s="25">
        <v>7260470148.4035435</v>
      </c>
    </row>
    <row r="57" spans="1:22" x14ac:dyDescent="0.35">
      <c r="A57" s="108">
        <v>47514</v>
      </c>
      <c r="B57" s="25">
        <v>6355707879.6870117</v>
      </c>
      <c r="C57" s="25">
        <v>829827159.38441467</v>
      </c>
      <c r="D57" s="25">
        <v>22053.141827817715</v>
      </c>
      <c r="E57" s="25">
        <v>7185557092.213254</v>
      </c>
    </row>
    <row r="58" spans="1:22" x14ac:dyDescent="0.35">
      <c r="A58" s="108">
        <v>47542</v>
      </c>
      <c r="B58" s="25">
        <v>6294355553.0904541</v>
      </c>
      <c r="C58" s="25">
        <v>817064008.36226654</v>
      </c>
      <c r="D58" s="25">
        <v>21859.495186477259</v>
      </c>
      <c r="E58" s="25">
        <v>7111441420.9479074</v>
      </c>
    </row>
    <row r="59" spans="1:22" x14ac:dyDescent="0.35">
      <c r="A59" s="108">
        <v>47573</v>
      </c>
      <c r="B59" s="25">
        <v>6233595467.0518799</v>
      </c>
      <c r="C59" s="25">
        <v>804497160.89824677</v>
      </c>
      <c r="D59" s="25">
        <v>21667.548973019118</v>
      </c>
      <c r="E59" s="25">
        <v>7038114295.4990997</v>
      </c>
    </row>
    <row r="60" spans="1:22" x14ac:dyDescent="0.35">
      <c r="A60" s="108">
        <v>47603</v>
      </c>
      <c r="B60" s="25">
        <v>6173421904.6092529</v>
      </c>
      <c r="C60" s="25">
        <v>792123597.74681091</v>
      </c>
      <c r="D60" s="25">
        <v>21477.288255535706</v>
      </c>
      <c r="E60" s="25">
        <v>6965566979.6443195</v>
      </c>
    </row>
    <row r="61" spans="1:22" x14ac:dyDescent="0.35">
      <c r="A61" s="108">
        <v>47634</v>
      </c>
      <c r="B61" s="25">
        <v>6113829203.9884033</v>
      </c>
      <c r="C61" s="25">
        <v>779940346.09986877</v>
      </c>
      <c r="D61" s="25">
        <v>21288.698233244359</v>
      </c>
      <c r="E61" s="25">
        <v>6893790838.7865057</v>
      </c>
    </row>
    <row r="62" spans="1:22" x14ac:dyDescent="0.35">
      <c r="A62" s="108">
        <v>47664</v>
      </c>
      <c r="B62" s="25">
        <v>6054811758.067749</v>
      </c>
      <c r="C62" s="25">
        <v>767944478.87262726</v>
      </c>
      <c r="D62" s="25">
        <v>21101.764235333423</v>
      </c>
      <c r="E62" s="25">
        <v>6822777338.7046118</v>
      </c>
    </row>
    <row r="63" spans="1:22" x14ac:dyDescent="0.35">
      <c r="A63" s="108">
        <v>47695</v>
      </c>
      <c r="B63" s="25">
        <v>5996364013.8520508</v>
      </c>
      <c r="C63" s="25">
        <v>756133114.00028229</v>
      </c>
      <c r="D63" s="25">
        <v>20916.471719823719</v>
      </c>
      <c r="E63" s="25">
        <v>6752518044.3240528</v>
      </c>
    </row>
    <row r="64" spans="1:22" x14ac:dyDescent="0.35">
      <c r="A64" s="108">
        <v>47726</v>
      </c>
      <c r="B64" s="25">
        <v>5938480471.9504395</v>
      </c>
      <c r="C64" s="25">
        <v>744503413.7456131</v>
      </c>
      <c r="D64" s="25">
        <v>20732.806272432907</v>
      </c>
      <c r="E64" s="25">
        <v>6683004618.5023251</v>
      </c>
    </row>
    <row r="65" spans="1:5" x14ac:dyDescent="0.35">
      <c r="A65" s="108">
        <v>47756</v>
      </c>
      <c r="B65" s="25">
        <v>5881155686.0576172</v>
      </c>
      <c r="C65" s="25">
        <v>733052584.0171814</v>
      </c>
      <c r="D65" s="25">
        <v>20550.753605460399</v>
      </c>
      <c r="E65" s="25">
        <v>6614228820.8284044</v>
      </c>
    </row>
    <row r="66" spans="1:5" x14ac:dyDescent="0.35">
      <c r="A66" s="108">
        <v>47787</v>
      </c>
      <c r="B66" s="25">
        <v>5824384262.4418945</v>
      </c>
      <c r="C66" s="25">
        <v>721777873.6980896</v>
      </c>
      <c r="D66" s="25">
        <v>20370.299556668266</v>
      </c>
      <c r="E66" s="25">
        <v>6546182506.4395409</v>
      </c>
    </row>
    <row r="67" spans="1:5" x14ac:dyDescent="0.35">
      <c r="A67" s="108">
        <v>47817</v>
      </c>
      <c r="B67" s="25">
        <v>5768160859.4383545</v>
      </c>
      <c r="C67" s="25">
        <v>710676573.98491669</v>
      </c>
      <c r="D67" s="25">
        <v>20191.430088186869</v>
      </c>
      <c r="E67" s="25">
        <v>6478857624.8533592</v>
      </c>
    </row>
    <row r="68" spans="1:5" x14ac:dyDescent="0.35">
      <c r="A68" s="108">
        <v>47848</v>
      </c>
      <c r="B68" s="25">
        <v>5712480186.9456787</v>
      </c>
      <c r="C68" s="25">
        <v>699746017.73704529</v>
      </c>
      <c r="D68" s="25">
        <v>20014.131285415846</v>
      </c>
      <c r="E68" s="25">
        <v>6412246218.8140097</v>
      </c>
    </row>
    <row r="69" spans="1:5" x14ac:dyDescent="0.35">
      <c r="A69" s="108">
        <v>47879</v>
      </c>
      <c r="B69" s="25">
        <v>5657337005.9279785</v>
      </c>
      <c r="C69" s="25">
        <v>688983578.83574677</v>
      </c>
      <c r="D69" s="25">
        <v>19838.389355948428</v>
      </c>
      <c r="E69" s="25">
        <v>6346340423.1530809</v>
      </c>
    </row>
    <row r="70" spans="1:5" x14ac:dyDescent="0.35">
      <c r="A70" s="108">
        <v>47907</v>
      </c>
      <c r="B70" s="25">
        <v>5602726127.9229736</v>
      </c>
      <c r="C70" s="25">
        <v>678386671.55328369</v>
      </c>
      <c r="D70" s="25">
        <v>19664.190628491633</v>
      </c>
      <c r="E70" s="25">
        <v>6281132463.6668854</v>
      </c>
    </row>
    <row r="71" spans="1:5" x14ac:dyDescent="0.35">
      <c r="A71" s="108">
        <v>47938</v>
      </c>
      <c r="B71" s="25">
        <v>5548642414.5526123</v>
      </c>
      <c r="C71" s="25">
        <v>667952749.93174744</v>
      </c>
      <c r="D71" s="25">
        <v>19491.521551807935</v>
      </c>
      <c r="E71" s="25">
        <v>6216614656.0059118</v>
      </c>
    </row>
    <row r="72" spans="1:5" x14ac:dyDescent="0.35">
      <c r="A72" s="108">
        <v>47968</v>
      </c>
      <c r="B72" s="25">
        <v>5495080777.0407715</v>
      </c>
      <c r="C72" s="25">
        <v>657679307.17126465</v>
      </c>
      <c r="D72" s="25">
        <v>19320.368693658907</v>
      </c>
      <c r="E72" s="25">
        <v>6152779404.5807295</v>
      </c>
    </row>
    <row r="73" spans="1:5" x14ac:dyDescent="0.35">
      <c r="A73" s="108">
        <v>47999</v>
      </c>
      <c r="B73" s="25">
        <v>5442036175.7327881</v>
      </c>
      <c r="C73" s="25">
        <v>647563875.02779388</v>
      </c>
      <c r="D73" s="25">
        <v>19150.718739758828</v>
      </c>
      <c r="E73" s="25">
        <v>6089619201.4793215</v>
      </c>
    </row>
    <row r="74" spans="1:5" x14ac:dyDescent="0.35">
      <c r="A74" s="108">
        <v>48029</v>
      </c>
      <c r="B74" s="25">
        <v>5389503619.6239014</v>
      </c>
      <c r="C74" s="25">
        <v>637604023.22009277</v>
      </c>
      <c r="D74" s="25">
        <v>18982.558492742712</v>
      </c>
      <c r="E74" s="25">
        <v>6027126625.4024868</v>
      </c>
    </row>
    <row r="75" spans="1:5" x14ac:dyDescent="0.35">
      <c r="A75" s="108">
        <v>48060</v>
      </c>
      <c r="B75" s="25">
        <v>5337478165.8863525</v>
      </c>
      <c r="C75" s="25">
        <v>627797358.84590912</v>
      </c>
      <c r="D75" s="25">
        <v>2142865.9007819137</v>
      </c>
      <c r="E75" s="25">
        <v>5967418390.6330433</v>
      </c>
    </row>
    <row r="76" spans="1:5" x14ac:dyDescent="0.35">
      <c r="A76" s="108">
        <v>48091</v>
      </c>
      <c r="B76" s="25">
        <v>5285954919.4071655</v>
      </c>
      <c r="C76" s="25">
        <v>618141525.8068924</v>
      </c>
      <c r="D76" s="25"/>
      <c r="E76" s="25">
        <v>5904096445.2140579</v>
      </c>
    </row>
    <row r="77" spans="1:5" x14ac:dyDescent="0.35">
      <c r="A77" s="108">
        <v>48121</v>
      </c>
      <c r="B77" s="25">
        <v>5234929032.3262329</v>
      </c>
      <c r="C77" s="25">
        <v>608634204.24274445</v>
      </c>
      <c r="D77" s="25"/>
      <c r="E77" s="25">
        <v>5843563236.5689774</v>
      </c>
    </row>
    <row r="78" spans="1:5" x14ac:dyDescent="0.35">
      <c r="A78" s="108">
        <v>48152</v>
      </c>
      <c r="B78" s="25">
        <v>5184395703.579834</v>
      </c>
      <c r="C78" s="25">
        <v>599273109.97371674</v>
      </c>
      <c r="D78" s="25"/>
      <c r="E78" s="25">
        <v>5783668813.5535507</v>
      </c>
    </row>
    <row r="79" spans="1:5" x14ac:dyDescent="0.35">
      <c r="A79" s="108">
        <v>48182</v>
      </c>
      <c r="B79" s="25">
        <v>531885776735.70636</v>
      </c>
      <c r="C79" s="25">
        <v>590055993.95191193</v>
      </c>
      <c r="D79" s="25"/>
      <c r="E79" s="25">
        <v>532475832729.65826</v>
      </c>
    </row>
    <row r="80" spans="1:5" x14ac:dyDescent="0.35">
      <c r="A80" s="108">
        <v>48213</v>
      </c>
      <c r="B80" s="25"/>
      <c r="C80" s="25">
        <v>580980641.72083282</v>
      </c>
      <c r="D80" s="25"/>
      <c r="E80" s="25">
        <v>580980641.72083282</v>
      </c>
    </row>
    <row r="81" spans="1:5" x14ac:dyDescent="0.35">
      <c r="A81" s="108">
        <v>48244</v>
      </c>
      <c r="B81" s="25"/>
      <c r="C81" s="25">
        <v>572044872.883461</v>
      </c>
      <c r="D81" s="25"/>
      <c r="E81" s="25">
        <v>572044872.883461</v>
      </c>
    </row>
    <row r="82" spans="1:5" x14ac:dyDescent="0.35">
      <c r="A82" s="108">
        <v>48273</v>
      </c>
      <c r="B82" s="25"/>
      <c r="C82" s="25">
        <v>563246540.57837677</v>
      </c>
      <c r="D82" s="25"/>
      <c r="E82" s="25">
        <v>563246540.57837677</v>
      </c>
    </row>
    <row r="83" spans="1:5" x14ac:dyDescent="0.35">
      <c r="A83" s="108">
        <v>48304</v>
      </c>
      <c r="B83" s="25"/>
      <c r="C83" s="25">
        <v>554583530.96390533</v>
      </c>
      <c r="D83" s="25"/>
      <c r="E83" s="25">
        <v>554583530.96390533</v>
      </c>
    </row>
    <row r="84" spans="1:5" x14ac:dyDescent="0.35">
      <c r="A84" s="108">
        <v>48334</v>
      </c>
      <c r="B84" s="25"/>
      <c r="C84" s="25">
        <v>546053762.71030426</v>
      </c>
      <c r="D84" s="25"/>
      <c r="E84" s="25">
        <v>546053762.71030426</v>
      </c>
    </row>
    <row r="85" spans="1:5" x14ac:dyDescent="0.35">
      <c r="A85" s="108">
        <v>48365</v>
      </c>
      <c r="B85" s="25"/>
      <c r="C85" s="25">
        <v>537655186.49976349</v>
      </c>
      <c r="D85" s="25"/>
      <c r="E85" s="25">
        <v>537655186.49976349</v>
      </c>
    </row>
    <row r="86" spans="1:5" x14ac:dyDescent="0.35">
      <c r="A86" s="108">
        <v>48395</v>
      </c>
      <c r="B86" s="25"/>
      <c r="C86" s="25">
        <v>529385784.53389359</v>
      </c>
      <c r="D86" s="25"/>
      <c r="E86" s="25">
        <v>529385784.53389359</v>
      </c>
    </row>
    <row r="87" spans="1:5" x14ac:dyDescent="0.35">
      <c r="A87" s="108">
        <v>48426</v>
      </c>
      <c r="B87" s="25"/>
      <c r="C87" s="25">
        <v>521243570.04914093</v>
      </c>
      <c r="D87" s="25"/>
      <c r="E87" s="25">
        <v>521243570.04914093</v>
      </c>
    </row>
    <row r="88" spans="1:5" x14ac:dyDescent="0.35">
      <c r="A88" s="108">
        <v>48457</v>
      </c>
      <c r="B88" s="25"/>
      <c r="C88" s="25">
        <v>513226586.83930969</v>
      </c>
      <c r="D88" s="25"/>
      <c r="E88" s="25">
        <v>513226586.83930969</v>
      </c>
    </row>
    <row r="89" spans="1:5" x14ac:dyDescent="0.35">
      <c r="A89" s="108">
        <v>48487</v>
      </c>
      <c r="B89" s="25"/>
      <c r="C89" s="25">
        <v>505332908.78559494</v>
      </c>
      <c r="D89" s="25"/>
      <c r="E89" s="25">
        <v>505332908.78559494</v>
      </c>
    </row>
    <row r="90" spans="1:5" x14ac:dyDescent="0.35">
      <c r="A90" s="108">
        <v>48518</v>
      </c>
      <c r="B90" s="25"/>
      <c r="C90" s="25">
        <v>497560639.39387894</v>
      </c>
      <c r="D90" s="25"/>
      <c r="E90" s="25">
        <v>497560639.39387894</v>
      </c>
    </row>
    <row r="91" spans="1:5" x14ac:dyDescent="0.35">
      <c r="A91" s="108">
        <v>48548</v>
      </c>
      <c r="B91" s="25"/>
      <c r="C91" s="25">
        <v>489907911.33908463</v>
      </c>
      <c r="D91" s="25"/>
      <c r="E91" s="25">
        <v>489907911.33908463</v>
      </c>
    </row>
    <row r="92" spans="1:5" x14ac:dyDescent="0.35">
      <c r="A92" s="108">
        <v>48579</v>
      </c>
      <c r="B92" s="25"/>
      <c r="C92" s="25">
        <v>482372886.01646423</v>
      </c>
      <c r="D92" s="25"/>
      <c r="E92" s="25">
        <v>482372886.01646423</v>
      </c>
    </row>
    <row r="93" spans="1:5" x14ac:dyDescent="0.35">
      <c r="A93" s="108">
        <v>48610</v>
      </c>
      <c r="B93" s="25"/>
      <c r="C93" s="25">
        <v>474953753.09993744</v>
      </c>
      <c r="D93" s="25"/>
      <c r="E93" s="25">
        <v>474953753.09993744</v>
      </c>
    </row>
    <row r="94" spans="1:5" x14ac:dyDescent="0.35">
      <c r="A94" s="108">
        <v>48638</v>
      </c>
      <c r="B94" s="25"/>
      <c r="C94" s="25">
        <v>467648730.10714722</v>
      </c>
      <c r="D94" s="25"/>
      <c r="E94" s="25">
        <v>467648730.10714722</v>
      </c>
    </row>
    <row r="95" spans="1:5" x14ac:dyDescent="0.35">
      <c r="A95" s="108">
        <v>48669</v>
      </c>
      <c r="B95" s="25"/>
      <c r="C95" s="25">
        <v>460456061.97117615</v>
      </c>
      <c r="D95" s="25"/>
      <c r="E95" s="25">
        <v>460456061.97117615</v>
      </c>
    </row>
    <row r="96" spans="1:5" x14ac:dyDescent="0.35">
      <c r="A96" s="108">
        <v>48699</v>
      </c>
      <c r="B96" s="25"/>
      <c r="C96" s="25">
        <v>453374020.6189003</v>
      </c>
      <c r="D96" s="25"/>
      <c r="E96" s="25">
        <v>453374020.6189003</v>
      </c>
    </row>
    <row r="97" spans="1:5" x14ac:dyDescent="0.35">
      <c r="A97" s="108">
        <v>48730</v>
      </c>
      <c r="B97" s="25"/>
      <c r="C97" s="25">
        <v>446400904.55582809</v>
      </c>
      <c r="D97" s="25"/>
      <c r="E97" s="25">
        <v>446400904.55582809</v>
      </c>
    </row>
    <row r="98" spans="1:5" x14ac:dyDescent="0.35">
      <c r="A98" s="108">
        <v>48760</v>
      </c>
      <c r="B98" s="25"/>
      <c r="C98" s="25">
        <v>439535038.45729446</v>
      </c>
      <c r="D98" s="25"/>
      <c r="E98" s="25">
        <v>439535038.45729446</v>
      </c>
    </row>
    <row r="99" spans="1:5" x14ac:dyDescent="0.35">
      <c r="A99" s="108">
        <v>48791</v>
      </c>
      <c r="B99" s="25"/>
      <c r="C99" s="25">
        <v>432774772.76592636</v>
      </c>
      <c r="D99" s="25"/>
      <c r="E99" s="25">
        <v>432774772.76592636</v>
      </c>
    </row>
    <row r="100" spans="1:5" x14ac:dyDescent="0.35">
      <c r="A100" s="108">
        <v>48822</v>
      </c>
      <c r="B100" s="25"/>
      <c r="C100" s="25">
        <v>426118483.29537201</v>
      </c>
      <c r="D100" s="25"/>
      <c r="E100" s="25">
        <v>426118483.29537201</v>
      </c>
    </row>
    <row r="101" spans="1:5" x14ac:dyDescent="0.35">
      <c r="A101" s="108">
        <v>48852</v>
      </c>
      <c r="B101" s="25"/>
      <c r="C101" s="25">
        <v>419564570.84009171</v>
      </c>
      <c r="D101" s="25"/>
      <c r="E101" s="25">
        <v>419564570.84009171</v>
      </c>
    </row>
    <row r="102" spans="1:5" x14ac:dyDescent="0.35">
      <c r="A102" s="108">
        <v>48883</v>
      </c>
      <c r="B102" s="25"/>
      <c r="C102" s="25">
        <v>413111460.79107285</v>
      </c>
      <c r="D102" s="25"/>
      <c r="E102" s="25">
        <v>413111460.79107285</v>
      </c>
    </row>
    <row r="103" spans="1:5" x14ac:dyDescent="0.35">
      <c r="A103" s="108">
        <v>48913</v>
      </c>
      <c r="B103" s="25"/>
      <c r="C103" s="25">
        <v>406757602.75758743</v>
      </c>
      <c r="D103" s="25"/>
      <c r="E103" s="25">
        <v>406757602.75758743</v>
      </c>
    </row>
    <row r="104" spans="1:5" x14ac:dyDescent="0.35">
      <c r="A104" s="108">
        <v>48944</v>
      </c>
      <c r="B104" s="25"/>
      <c r="C104" s="25">
        <v>400501470.19470215</v>
      </c>
      <c r="D104" s="25"/>
      <c r="E104" s="25">
        <v>400501470.19470215</v>
      </c>
    </row>
    <row r="105" spans="1:5" x14ac:dyDescent="0.35">
      <c r="A105" s="108">
        <v>48975</v>
      </c>
      <c r="B105" s="25"/>
      <c r="C105" s="25">
        <v>394341560.03644943</v>
      </c>
      <c r="D105" s="25"/>
      <c r="E105" s="25">
        <v>394341560.03644943</v>
      </c>
    </row>
    <row r="106" spans="1:5" x14ac:dyDescent="0.35">
      <c r="A106" s="108">
        <v>49003</v>
      </c>
      <c r="B106" s="25"/>
      <c r="C106" s="25">
        <v>388276392.33478928</v>
      </c>
      <c r="D106" s="25"/>
      <c r="E106" s="25">
        <v>388276392.33478928</v>
      </c>
    </row>
    <row r="107" spans="1:5" x14ac:dyDescent="0.35">
      <c r="A107" s="108">
        <v>49034</v>
      </c>
      <c r="B107" s="25"/>
      <c r="C107" s="25">
        <v>382304509.90403366</v>
      </c>
      <c r="D107" s="25"/>
      <c r="E107" s="25">
        <v>382304509.90403366</v>
      </c>
    </row>
    <row r="108" spans="1:5" x14ac:dyDescent="0.35">
      <c r="A108" s="108">
        <v>49064</v>
      </c>
      <c r="B108" s="25"/>
      <c r="C108" s="25">
        <v>376424477.97066498</v>
      </c>
      <c r="D108" s="25"/>
      <c r="E108" s="25">
        <v>376424477.97066498</v>
      </c>
    </row>
    <row r="109" spans="1:5" x14ac:dyDescent="0.35">
      <c r="A109" s="108">
        <v>49095</v>
      </c>
      <c r="B109" s="25"/>
      <c r="C109" s="25">
        <v>370634883.82876205</v>
      </c>
      <c r="D109" s="25"/>
      <c r="E109" s="25">
        <v>370634883.82876205</v>
      </c>
    </row>
    <row r="110" spans="1:5" x14ac:dyDescent="0.35">
      <c r="A110" s="108">
        <v>49125</v>
      </c>
      <c r="B110" s="25"/>
      <c r="C110" s="25">
        <v>364934336.50045395</v>
      </c>
      <c r="D110" s="25"/>
      <c r="E110" s="25">
        <v>364934336.50045395</v>
      </c>
    </row>
    <row r="111" spans="1:5" x14ac:dyDescent="0.35">
      <c r="A111" s="108">
        <v>49156</v>
      </c>
      <c r="B111" s="25"/>
      <c r="C111" s="25">
        <v>359321466.40185547</v>
      </c>
      <c r="D111" s="25"/>
      <c r="E111" s="25">
        <v>359321466.40185547</v>
      </c>
    </row>
    <row r="112" spans="1:5" x14ac:dyDescent="0.35">
      <c r="A112" s="108">
        <v>49187</v>
      </c>
      <c r="B112" s="25"/>
      <c r="C112" s="25">
        <v>353794925.01390076</v>
      </c>
      <c r="D112" s="25"/>
      <c r="E112" s="25">
        <v>353794925.01390076</v>
      </c>
    </row>
    <row r="113" spans="1:5" x14ac:dyDescent="0.35">
      <c r="A113" s="108">
        <v>49217</v>
      </c>
      <c r="B113" s="25"/>
      <c r="C113" s="25">
        <v>22649038553.929489</v>
      </c>
      <c r="D113" s="25"/>
      <c r="E113" s="25">
        <v>22649038553.929489</v>
      </c>
    </row>
    <row r="114" spans="1:5" x14ac:dyDescent="0.35">
      <c r="A114" s="38" t="s">
        <v>67</v>
      </c>
      <c r="B114" s="25">
        <v>1542567792921.9985</v>
      </c>
      <c r="C114" s="25">
        <v>169913986460.99994</v>
      </c>
      <c r="D114" s="25">
        <v>5625823.9999962766</v>
      </c>
      <c r="E114" s="25">
        <v>1712487405206.9985</v>
      </c>
    </row>
  </sheetData>
  <conditionalFormatting sqref="I6:I24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6:J24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6:K2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FFC32-70FD-4BE3-A914-5C160DD861C5}">
  <sheetPr codeName="Hoja21"/>
  <dimension ref="A1:I42"/>
  <sheetViews>
    <sheetView workbookViewId="0"/>
  </sheetViews>
  <sheetFormatPr baseColWidth="10" defaultRowHeight="14.5" x14ac:dyDescent="0.35"/>
  <cols>
    <col min="1" max="1" width="16.1796875" customWidth="1"/>
    <col min="2" max="2" width="20.453125" bestFit="1" customWidth="1"/>
    <col min="3" max="3" width="18.81640625" bestFit="1" customWidth="1"/>
    <col min="4" max="4" width="17.81640625" bestFit="1" customWidth="1"/>
    <col min="5" max="5" width="18.81640625" bestFit="1" customWidth="1"/>
    <col min="6" max="6" width="21.54296875" bestFit="1" customWidth="1"/>
    <col min="7" max="7" width="18.81640625" bestFit="1" customWidth="1"/>
    <col min="8" max="8" width="15.54296875" bestFit="1" customWidth="1"/>
    <col min="9" max="9" width="16.453125" bestFit="1" customWidth="1"/>
  </cols>
  <sheetData>
    <row r="1" spans="1:9" x14ac:dyDescent="0.35">
      <c r="A1" t="s">
        <v>48</v>
      </c>
      <c r="B1" t="s">
        <v>202</v>
      </c>
      <c r="C1" t="s">
        <v>203</v>
      </c>
      <c r="D1" t="s">
        <v>205</v>
      </c>
      <c r="E1" t="s">
        <v>204</v>
      </c>
      <c r="F1" t="str">
        <f>_xlfn.CONCAT("Core ",B1)</f>
        <v>Core  Cuenta Corriente</v>
      </c>
      <c r="G1" t="str">
        <f t="shared" ref="G1:I1" si="0">_xlfn.CONCAT("Core ",C1)</f>
        <v>Core Cuenta Vista</v>
      </c>
      <c r="H1" t="str">
        <f t="shared" si="0"/>
        <v>Core Cuenta AGD</v>
      </c>
      <c r="I1" t="str">
        <f t="shared" si="0"/>
        <v>Core Cuenta AGI</v>
      </c>
    </row>
    <row r="2" spans="1:9" x14ac:dyDescent="0.35">
      <c r="A2" s="13">
        <v>45870</v>
      </c>
      <c r="B2" s="168">
        <v>1523635331450</v>
      </c>
      <c r="C2" s="168">
        <v>169499611709</v>
      </c>
      <c r="D2" s="168">
        <v>4054641.0591221978</v>
      </c>
      <c r="E2" s="168">
        <v>1092314.8407551448</v>
      </c>
      <c r="F2" s="168">
        <f>Montos!D3</f>
        <v>1184757000000</v>
      </c>
      <c r="G2" s="168">
        <f>Montos!D4</f>
        <v>125122000000</v>
      </c>
      <c r="H2" s="168">
        <f>Montos!D5</f>
        <v>3549440</v>
      </c>
      <c r="I2" s="168">
        <f>Montos!D6</f>
        <v>1065518</v>
      </c>
    </row>
    <row r="3" spans="1:9" x14ac:dyDescent="0.35">
      <c r="A3" s="13">
        <v>45873</v>
      </c>
      <c r="B3" s="168">
        <v>1421149348870</v>
      </c>
      <c r="C3" s="168">
        <v>162713820478</v>
      </c>
      <c r="D3" s="168">
        <v>4093030.7736074314</v>
      </c>
      <c r="E3" s="168">
        <v>1091862.8759089604</v>
      </c>
      <c r="F3" s="168">
        <f>F2</f>
        <v>1184757000000</v>
      </c>
      <c r="G3" s="168">
        <f t="shared" ref="G3:G21" si="1">G2</f>
        <v>125122000000</v>
      </c>
      <c r="H3" s="168">
        <f t="shared" ref="H3:H21" si="2">H2</f>
        <v>3549440</v>
      </c>
      <c r="I3" s="168">
        <f t="shared" ref="I3:I21" si="3">I2</f>
        <v>1065518</v>
      </c>
    </row>
    <row r="4" spans="1:9" x14ac:dyDescent="0.35">
      <c r="A4" s="13">
        <v>45874</v>
      </c>
      <c r="B4" s="168">
        <v>1410144063354</v>
      </c>
      <c r="C4" s="168">
        <v>161911504040</v>
      </c>
      <c r="D4" s="168">
        <v>4139033.2506335927</v>
      </c>
      <c r="E4" s="168">
        <v>1092608.7612176528</v>
      </c>
      <c r="F4" s="168">
        <f t="shared" ref="F4:F21" si="4">F3</f>
        <v>1184757000000</v>
      </c>
      <c r="G4" s="168">
        <f t="shared" si="1"/>
        <v>125122000000</v>
      </c>
      <c r="H4" s="168">
        <f t="shared" si="2"/>
        <v>3549440</v>
      </c>
      <c r="I4" s="168">
        <f t="shared" si="3"/>
        <v>1065518</v>
      </c>
    </row>
    <row r="5" spans="1:9" x14ac:dyDescent="0.35">
      <c r="A5" s="13">
        <v>45875</v>
      </c>
      <c r="B5" s="168">
        <v>1402432747098</v>
      </c>
      <c r="C5" s="168">
        <v>160773926018</v>
      </c>
      <c r="D5" s="168">
        <v>4154717.6648582597</v>
      </c>
      <c r="E5" s="168">
        <v>1094668.6815860479</v>
      </c>
      <c r="F5" s="168">
        <f t="shared" si="4"/>
        <v>1184757000000</v>
      </c>
      <c r="G5" s="168">
        <f t="shared" si="1"/>
        <v>125122000000</v>
      </c>
      <c r="H5" s="168">
        <f t="shared" si="2"/>
        <v>3549440</v>
      </c>
      <c r="I5" s="168">
        <f t="shared" si="3"/>
        <v>1065518</v>
      </c>
    </row>
    <row r="6" spans="1:9" x14ac:dyDescent="0.35">
      <c r="A6" s="13">
        <v>45876</v>
      </c>
      <c r="B6" s="168">
        <v>1387664561523</v>
      </c>
      <c r="C6" s="168">
        <v>159539778309</v>
      </c>
      <c r="D6" s="168">
        <v>4160330.2777697588</v>
      </c>
      <c r="E6" s="168">
        <v>1092853.0568111187</v>
      </c>
      <c r="F6" s="168">
        <f t="shared" si="4"/>
        <v>1184757000000</v>
      </c>
      <c r="G6" s="168">
        <f t="shared" si="1"/>
        <v>125122000000</v>
      </c>
      <c r="H6" s="168">
        <f t="shared" si="2"/>
        <v>3549440</v>
      </c>
      <c r="I6" s="168">
        <f t="shared" si="3"/>
        <v>1065518</v>
      </c>
    </row>
    <row r="7" spans="1:9" x14ac:dyDescent="0.35">
      <c r="A7" s="13">
        <v>45877</v>
      </c>
      <c r="B7" s="168">
        <v>1384862231063</v>
      </c>
      <c r="C7" s="168">
        <v>159901915177</v>
      </c>
      <c r="D7" s="168">
        <v>4164169.2919582273</v>
      </c>
      <c r="E7" s="168">
        <v>1093579.5550980351</v>
      </c>
      <c r="F7" s="168">
        <f t="shared" si="4"/>
        <v>1184757000000</v>
      </c>
      <c r="G7" s="168">
        <f t="shared" si="1"/>
        <v>125122000000</v>
      </c>
      <c r="H7" s="168">
        <f t="shared" si="2"/>
        <v>3549440</v>
      </c>
      <c r="I7" s="168">
        <f t="shared" si="3"/>
        <v>1065518</v>
      </c>
    </row>
    <row r="8" spans="1:9" x14ac:dyDescent="0.35">
      <c r="A8" s="13">
        <v>45880</v>
      </c>
      <c r="B8" s="168">
        <v>1320853683180</v>
      </c>
      <c r="C8" s="168">
        <v>155803996630</v>
      </c>
      <c r="D8" s="168">
        <v>4178816.5589609579</v>
      </c>
      <c r="E8" s="168">
        <v>1092120.7377755893</v>
      </c>
      <c r="F8" s="168">
        <f t="shared" si="4"/>
        <v>1184757000000</v>
      </c>
      <c r="G8" s="168">
        <f t="shared" si="1"/>
        <v>125122000000</v>
      </c>
      <c r="H8" s="168">
        <f t="shared" si="2"/>
        <v>3549440</v>
      </c>
      <c r="I8" s="168">
        <f t="shared" si="3"/>
        <v>1065518</v>
      </c>
    </row>
    <row r="9" spans="1:9" x14ac:dyDescent="0.35">
      <c r="A9" s="13">
        <v>45881</v>
      </c>
      <c r="B9" s="168">
        <v>1311840839400</v>
      </c>
      <c r="C9" s="168">
        <v>154794323807</v>
      </c>
      <c r="D9" s="168">
        <v>4180486.1814672407</v>
      </c>
      <c r="E9" s="168">
        <v>1093078.273589771</v>
      </c>
      <c r="F9" s="168">
        <f t="shared" si="4"/>
        <v>1184757000000</v>
      </c>
      <c r="G9" s="168">
        <f t="shared" si="1"/>
        <v>125122000000</v>
      </c>
      <c r="H9" s="168">
        <f t="shared" si="2"/>
        <v>3549440</v>
      </c>
      <c r="I9" s="168">
        <f t="shared" si="3"/>
        <v>1065518</v>
      </c>
    </row>
    <row r="10" spans="1:9" x14ac:dyDescent="0.35">
      <c r="A10" s="13">
        <v>45882</v>
      </c>
      <c r="B10" s="168">
        <v>1305286339780</v>
      </c>
      <c r="C10" s="168">
        <v>154321954361</v>
      </c>
      <c r="D10" s="168">
        <v>4179460.7501725424</v>
      </c>
      <c r="E10" s="168">
        <v>1092869.7493435212</v>
      </c>
      <c r="F10" s="168">
        <f t="shared" si="4"/>
        <v>1184757000000</v>
      </c>
      <c r="G10" s="168">
        <f t="shared" si="1"/>
        <v>125122000000</v>
      </c>
      <c r="H10" s="168">
        <f t="shared" si="2"/>
        <v>3549440</v>
      </c>
      <c r="I10" s="168">
        <f t="shared" si="3"/>
        <v>1065518</v>
      </c>
    </row>
    <row r="11" spans="1:9" x14ac:dyDescent="0.35">
      <c r="A11" s="13">
        <v>45883</v>
      </c>
      <c r="B11" s="168">
        <v>1331289747872</v>
      </c>
      <c r="C11" s="168">
        <v>156336386820</v>
      </c>
      <c r="D11" s="168">
        <v>4185779.8152795965</v>
      </c>
      <c r="E11" s="168">
        <v>1092425.4019388598</v>
      </c>
      <c r="F11" s="168">
        <f t="shared" si="4"/>
        <v>1184757000000</v>
      </c>
      <c r="G11" s="168">
        <f t="shared" si="1"/>
        <v>125122000000</v>
      </c>
      <c r="H11" s="168">
        <f t="shared" si="2"/>
        <v>3549440</v>
      </c>
      <c r="I11" s="168">
        <f t="shared" si="3"/>
        <v>1065518</v>
      </c>
    </row>
    <row r="12" spans="1:9" x14ac:dyDescent="0.35">
      <c r="A12" s="13">
        <v>45887</v>
      </c>
      <c r="B12" s="168">
        <v>1281647551773</v>
      </c>
      <c r="C12" s="168">
        <v>152410118371</v>
      </c>
      <c r="D12" s="168">
        <v>4192469.9357059882</v>
      </c>
      <c r="E12" s="168">
        <v>1091853.6068466778</v>
      </c>
      <c r="F12" s="168">
        <f t="shared" si="4"/>
        <v>1184757000000</v>
      </c>
      <c r="G12" s="168">
        <f t="shared" si="1"/>
        <v>125122000000</v>
      </c>
      <c r="H12" s="168">
        <f t="shared" si="2"/>
        <v>3549440</v>
      </c>
      <c r="I12" s="168">
        <f t="shared" si="3"/>
        <v>1065518</v>
      </c>
    </row>
    <row r="13" spans="1:9" x14ac:dyDescent="0.35">
      <c r="A13" s="13">
        <v>45888</v>
      </c>
      <c r="B13" s="168">
        <v>1292002279174</v>
      </c>
      <c r="C13" s="168">
        <v>152547237064</v>
      </c>
      <c r="D13" s="168">
        <v>4191962.0444460069</v>
      </c>
      <c r="E13" s="168">
        <v>1093164.0654047013</v>
      </c>
      <c r="F13" s="168">
        <f t="shared" si="4"/>
        <v>1184757000000</v>
      </c>
      <c r="G13" s="168">
        <f t="shared" si="1"/>
        <v>125122000000</v>
      </c>
      <c r="H13" s="168">
        <f t="shared" si="2"/>
        <v>3549440</v>
      </c>
      <c r="I13" s="168">
        <f t="shared" si="3"/>
        <v>1065518</v>
      </c>
    </row>
    <row r="14" spans="1:9" x14ac:dyDescent="0.35">
      <c r="A14" s="13">
        <v>45889</v>
      </c>
      <c r="B14" s="168">
        <v>1291785542386</v>
      </c>
      <c r="C14" s="168">
        <v>152601889694</v>
      </c>
      <c r="D14" s="168">
        <v>4191565.2507281308</v>
      </c>
      <c r="E14" s="168">
        <v>1093230.8806904876</v>
      </c>
      <c r="F14" s="168">
        <f t="shared" si="4"/>
        <v>1184757000000</v>
      </c>
      <c r="G14" s="168">
        <f t="shared" si="1"/>
        <v>125122000000</v>
      </c>
      <c r="H14" s="168">
        <f t="shared" si="2"/>
        <v>3549440</v>
      </c>
      <c r="I14" s="168">
        <f t="shared" si="3"/>
        <v>1065518</v>
      </c>
    </row>
    <row r="15" spans="1:9" x14ac:dyDescent="0.35">
      <c r="A15" s="13">
        <v>45890</v>
      </c>
      <c r="B15" s="168">
        <v>1289101692401</v>
      </c>
      <c r="C15" s="168">
        <v>152118282621</v>
      </c>
      <c r="D15" s="168">
        <v>4191022.1889761006</v>
      </c>
      <c r="E15" s="168">
        <v>1093610.0397739613</v>
      </c>
      <c r="F15" s="168">
        <f t="shared" si="4"/>
        <v>1184757000000</v>
      </c>
      <c r="G15" s="168">
        <f t="shared" si="1"/>
        <v>125122000000</v>
      </c>
      <c r="H15" s="168">
        <f t="shared" si="2"/>
        <v>3549440</v>
      </c>
      <c r="I15" s="168">
        <f t="shared" si="3"/>
        <v>1065518</v>
      </c>
    </row>
    <row r="16" spans="1:9" x14ac:dyDescent="0.35">
      <c r="A16" s="13">
        <v>45891</v>
      </c>
      <c r="B16" s="168">
        <v>1299070091338</v>
      </c>
      <c r="C16" s="168">
        <v>153245629511</v>
      </c>
      <c r="D16" s="168">
        <v>4195558.2650386598</v>
      </c>
      <c r="E16" s="168">
        <v>1094058.0471202696</v>
      </c>
      <c r="F16" s="168">
        <f t="shared" si="4"/>
        <v>1184757000000</v>
      </c>
      <c r="G16" s="168">
        <f t="shared" si="1"/>
        <v>125122000000</v>
      </c>
      <c r="H16" s="168">
        <f t="shared" si="2"/>
        <v>3549440</v>
      </c>
      <c r="I16" s="168">
        <f t="shared" si="3"/>
        <v>1065518</v>
      </c>
    </row>
    <row r="17" spans="1:9" x14ac:dyDescent="0.35">
      <c r="A17" s="13">
        <v>45894</v>
      </c>
      <c r="B17" s="168">
        <v>1282191247790</v>
      </c>
      <c r="C17" s="168">
        <v>152388898039</v>
      </c>
      <c r="D17" s="168">
        <v>4200517.8485528622</v>
      </c>
      <c r="E17" s="168">
        <v>1092749.3583847729</v>
      </c>
      <c r="F17" s="168">
        <f t="shared" si="4"/>
        <v>1184757000000</v>
      </c>
      <c r="G17" s="168">
        <f t="shared" si="1"/>
        <v>125122000000</v>
      </c>
      <c r="H17" s="168">
        <f t="shared" si="2"/>
        <v>3549440</v>
      </c>
      <c r="I17" s="168">
        <f t="shared" si="3"/>
        <v>1065518</v>
      </c>
    </row>
    <row r="18" spans="1:9" x14ac:dyDescent="0.35">
      <c r="A18" s="13">
        <v>45895</v>
      </c>
      <c r="B18" s="168">
        <v>1283221707798</v>
      </c>
      <c r="C18" s="168">
        <v>151667266347</v>
      </c>
      <c r="D18" s="168">
        <v>4200174</v>
      </c>
      <c r="E18" s="168">
        <v>1092462</v>
      </c>
      <c r="F18" s="168">
        <f t="shared" si="4"/>
        <v>1184757000000</v>
      </c>
      <c r="G18" s="168">
        <f t="shared" si="1"/>
        <v>125122000000</v>
      </c>
      <c r="H18" s="168">
        <f t="shared" si="2"/>
        <v>3549440</v>
      </c>
      <c r="I18" s="168">
        <f t="shared" si="3"/>
        <v>1065518</v>
      </c>
    </row>
    <row r="19" spans="1:9" x14ac:dyDescent="0.35">
      <c r="A19" s="13">
        <v>45896</v>
      </c>
      <c r="B19" s="168">
        <v>1291743278335</v>
      </c>
      <c r="C19" s="168">
        <v>154648422640</v>
      </c>
      <c r="D19" s="168">
        <v>4197981</v>
      </c>
      <c r="E19" s="168">
        <v>1090996</v>
      </c>
      <c r="F19" s="168">
        <f t="shared" si="4"/>
        <v>1184757000000</v>
      </c>
      <c r="G19" s="168">
        <f t="shared" si="1"/>
        <v>125122000000</v>
      </c>
      <c r="H19" s="168">
        <f t="shared" si="2"/>
        <v>3549440</v>
      </c>
      <c r="I19" s="168">
        <f t="shared" si="3"/>
        <v>1065518</v>
      </c>
    </row>
    <row r="20" spans="1:9" x14ac:dyDescent="0.35">
      <c r="A20" s="13">
        <v>45897</v>
      </c>
      <c r="B20" s="168">
        <v>1366138750607</v>
      </c>
      <c r="C20" s="168">
        <v>160504620459</v>
      </c>
      <c r="D20" s="168">
        <v>4216864</v>
      </c>
      <c r="E20" s="168">
        <v>1091583</v>
      </c>
      <c r="F20" s="168">
        <f t="shared" si="4"/>
        <v>1184757000000</v>
      </c>
      <c r="G20" s="168">
        <f t="shared" si="1"/>
        <v>125122000000</v>
      </c>
      <c r="H20" s="168">
        <f t="shared" si="2"/>
        <v>3549440</v>
      </c>
      <c r="I20" s="168">
        <f t="shared" si="3"/>
        <v>1065518</v>
      </c>
    </row>
    <row r="21" spans="1:9" x14ac:dyDescent="0.35">
      <c r="A21" s="13">
        <v>45898</v>
      </c>
      <c r="B21" s="168">
        <v>1551535077845</v>
      </c>
      <c r="C21" s="168">
        <v>171479775387</v>
      </c>
      <c r="D21" s="168">
        <v>4260606</v>
      </c>
      <c r="E21" s="168">
        <v>1092444</v>
      </c>
      <c r="F21" s="168">
        <f t="shared" si="4"/>
        <v>1184757000000</v>
      </c>
      <c r="G21" s="168">
        <f t="shared" si="1"/>
        <v>125122000000</v>
      </c>
      <c r="H21" s="168">
        <f t="shared" si="2"/>
        <v>3549440</v>
      </c>
      <c r="I21" s="168">
        <f t="shared" si="3"/>
        <v>1065518</v>
      </c>
    </row>
    <row r="22" spans="1:9" x14ac:dyDescent="0.35">
      <c r="A22" s="13"/>
      <c r="B22">
        <v>1482744301353</v>
      </c>
      <c r="C22">
        <v>166288188875</v>
      </c>
      <c r="D22">
        <v>4313847</v>
      </c>
      <c r="E22">
        <v>1092825</v>
      </c>
      <c r="F22" s="168"/>
      <c r="G22" s="168"/>
      <c r="H22" s="168"/>
      <c r="I22" s="168"/>
    </row>
    <row r="23" spans="1:9" x14ac:dyDescent="0.35">
      <c r="A23" s="13"/>
      <c r="B23">
        <v>1460658936879</v>
      </c>
      <c r="C23">
        <v>164310427006</v>
      </c>
      <c r="D23">
        <v>4325094</v>
      </c>
      <c r="E23">
        <v>1093901</v>
      </c>
      <c r="F23" s="168"/>
      <c r="G23" s="168"/>
      <c r="H23" s="168"/>
      <c r="I23" s="168"/>
    </row>
    <row r="24" spans="1:9" x14ac:dyDescent="0.35">
      <c r="A24" s="13"/>
      <c r="B24">
        <v>1455490864877</v>
      </c>
      <c r="C24">
        <v>163439216485</v>
      </c>
      <c r="D24">
        <v>4329727</v>
      </c>
      <c r="E24">
        <v>1094102</v>
      </c>
      <c r="F24" s="168"/>
      <c r="G24" s="168"/>
      <c r="H24" s="168"/>
      <c r="I24" s="168"/>
    </row>
    <row r="25" spans="1:9" x14ac:dyDescent="0.35">
      <c r="A25" s="13"/>
      <c r="B25">
        <v>1436760414634</v>
      </c>
      <c r="C25">
        <v>162017906163</v>
      </c>
      <c r="D25">
        <v>4335403</v>
      </c>
      <c r="E25">
        <v>1093107</v>
      </c>
      <c r="F25" s="168"/>
      <c r="G25" s="168"/>
      <c r="H25" s="168"/>
      <c r="I25" s="168"/>
    </row>
    <row r="26" spans="1:9" x14ac:dyDescent="0.35">
      <c r="A26" s="13"/>
      <c r="B26">
        <v>1446264515623</v>
      </c>
      <c r="C26">
        <v>162879772044</v>
      </c>
      <c r="D26">
        <v>4389775</v>
      </c>
      <c r="E26">
        <v>1093609</v>
      </c>
      <c r="F26" s="168"/>
      <c r="G26" s="168"/>
      <c r="H26" s="168"/>
      <c r="I26" s="168"/>
    </row>
    <row r="27" spans="1:9" x14ac:dyDescent="0.35">
      <c r="A27" s="13"/>
      <c r="B27">
        <v>1379903270007</v>
      </c>
      <c r="C27">
        <v>158072926661</v>
      </c>
      <c r="D27">
        <v>4403456</v>
      </c>
      <c r="E27">
        <v>1095076</v>
      </c>
      <c r="F27" s="168"/>
      <c r="G27" s="168"/>
      <c r="H27" s="168"/>
      <c r="I27" s="168"/>
    </row>
    <row r="28" spans="1:9" x14ac:dyDescent="0.35">
      <c r="A28" s="13"/>
      <c r="B28">
        <v>1363186567712</v>
      </c>
      <c r="C28">
        <v>156292337277</v>
      </c>
      <c r="D28">
        <v>4398316</v>
      </c>
      <c r="E28">
        <v>1093670</v>
      </c>
      <c r="F28" s="168"/>
      <c r="G28" s="168"/>
      <c r="H28" s="168"/>
      <c r="I28" s="168"/>
    </row>
    <row r="29" spans="1:9" x14ac:dyDescent="0.35">
      <c r="A29" s="13"/>
      <c r="B29">
        <v>1358669927469</v>
      </c>
      <c r="C29">
        <v>156321056580</v>
      </c>
      <c r="D29">
        <v>4404157</v>
      </c>
      <c r="E29">
        <v>1093102</v>
      </c>
      <c r="F29" s="168"/>
      <c r="G29" s="168"/>
      <c r="H29" s="168"/>
      <c r="I29" s="168"/>
    </row>
    <row r="30" spans="1:9" x14ac:dyDescent="0.35">
      <c r="A30" s="13"/>
      <c r="B30">
        <v>1352330740449</v>
      </c>
      <c r="C30">
        <v>156126494096</v>
      </c>
      <c r="D30">
        <v>4404157</v>
      </c>
      <c r="E30">
        <v>1093102</v>
      </c>
      <c r="F30" s="168"/>
      <c r="G30" s="168"/>
      <c r="H30" s="168"/>
      <c r="I30" s="168"/>
    </row>
    <row r="31" spans="1:9" x14ac:dyDescent="0.35">
      <c r="A31" s="13"/>
      <c r="B31">
        <v>1368744242819</v>
      </c>
      <c r="C31">
        <v>157845455545</v>
      </c>
      <c r="D31">
        <v>4416409</v>
      </c>
      <c r="E31">
        <v>1095313</v>
      </c>
      <c r="F31" s="168"/>
      <c r="G31" s="168"/>
      <c r="H31" s="168"/>
      <c r="I31" s="168"/>
    </row>
    <row r="32" spans="1:9" x14ac:dyDescent="0.35">
      <c r="A32" s="13"/>
      <c r="B32">
        <v>1360166951323</v>
      </c>
      <c r="C32">
        <v>156492989580</v>
      </c>
      <c r="D32">
        <v>4437784</v>
      </c>
      <c r="E32">
        <v>1096180</v>
      </c>
      <c r="F32" s="168"/>
      <c r="G32" s="168"/>
      <c r="H32" s="168"/>
      <c r="I32" s="168"/>
    </row>
    <row r="33" spans="1:5" x14ac:dyDescent="0.35">
      <c r="A33" s="13"/>
      <c r="B33">
        <v>1410525496117</v>
      </c>
      <c r="C33">
        <v>159532731785</v>
      </c>
      <c r="D33">
        <v>4456898</v>
      </c>
      <c r="E33">
        <v>1096555</v>
      </c>
    </row>
    <row r="34" spans="1:5" x14ac:dyDescent="0.35">
      <c r="A34" s="13"/>
      <c r="B34">
        <v>1429845160210</v>
      </c>
      <c r="C34">
        <v>161429069057</v>
      </c>
      <c r="D34">
        <v>4473796</v>
      </c>
      <c r="E34">
        <v>1095959</v>
      </c>
    </row>
    <row r="35" spans="1:5" x14ac:dyDescent="0.35">
      <c r="A35" s="13"/>
      <c r="B35">
        <v>1344862613265</v>
      </c>
      <c r="C35">
        <v>156620605932</v>
      </c>
      <c r="D35">
        <v>4477199</v>
      </c>
      <c r="E35">
        <v>1098083</v>
      </c>
    </row>
    <row r="36" spans="1:5" x14ac:dyDescent="0.35">
      <c r="A36" s="13"/>
      <c r="B36">
        <v>1329814889309</v>
      </c>
      <c r="C36">
        <v>154824828042</v>
      </c>
      <c r="D36">
        <v>4473624</v>
      </c>
      <c r="E36">
        <v>1098249</v>
      </c>
    </row>
    <row r="37" spans="1:5" x14ac:dyDescent="0.35">
      <c r="A37" s="13"/>
      <c r="B37">
        <v>1323798917748</v>
      </c>
      <c r="C37">
        <v>154304017342</v>
      </c>
      <c r="D37">
        <v>4469925</v>
      </c>
      <c r="E37">
        <v>1096900</v>
      </c>
    </row>
    <row r="38" spans="1:5" x14ac:dyDescent="0.35">
      <c r="B38">
        <v>1329741202534</v>
      </c>
      <c r="C38">
        <v>154649871154</v>
      </c>
      <c r="D38">
        <v>4471435</v>
      </c>
      <c r="E38">
        <v>1098494</v>
      </c>
    </row>
    <row r="39" spans="1:5" x14ac:dyDescent="0.35">
      <c r="B39">
        <v>1359913274445</v>
      </c>
      <c r="C39">
        <v>158763710291</v>
      </c>
      <c r="D39">
        <v>4476812</v>
      </c>
      <c r="E39">
        <v>1098886</v>
      </c>
    </row>
    <row r="40" spans="1:5" x14ac:dyDescent="0.35">
      <c r="B40">
        <v>1364415211768</v>
      </c>
      <c r="C40">
        <v>159594309522</v>
      </c>
      <c r="D40">
        <v>4485675</v>
      </c>
      <c r="E40">
        <v>1100077</v>
      </c>
    </row>
    <row r="41" spans="1:5" x14ac:dyDescent="0.35">
      <c r="B41">
        <v>1364415211768</v>
      </c>
      <c r="C41">
        <v>159594309522</v>
      </c>
      <c r="D41">
        <v>4485675</v>
      </c>
      <c r="E41">
        <v>1100077</v>
      </c>
    </row>
    <row r="42" spans="1:5" x14ac:dyDescent="0.35">
      <c r="B42">
        <v>1542567792922</v>
      </c>
      <c r="C42">
        <v>169913986461</v>
      </c>
      <c r="D42">
        <v>4523582</v>
      </c>
      <c r="E42">
        <v>1102242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15"/>
  <dimension ref="A1:BB1956"/>
  <sheetViews>
    <sheetView workbookViewId="0">
      <selection activeCell="A2" sqref="A2:BB1581"/>
    </sheetView>
  </sheetViews>
  <sheetFormatPr baseColWidth="10" defaultColWidth="11.453125" defaultRowHeight="14.5" x14ac:dyDescent="0.35"/>
  <cols>
    <col min="1" max="7" width="11.453125" style="48"/>
    <col min="8" max="8" width="41.81640625" style="48" bestFit="1" customWidth="1"/>
    <col min="9" max="26" width="11.453125" style="48"/>
    <col min="27" max="27" width="18.81640625" style="48" bestFit="1" customWidth="1"/>
    <col min="28" max="16384" width="11.453125" style="48"/>
  </cols>
  <sheetData>
    <row r="1" spans="1:54" x14ac:dyDescent="0.35">
      <c r="A1" s="48" t="s">
        <v>87</v>
      </c>
      <c r="B1" s="48" t="s">
        <v>88</v>
      </c>
      <c r="C1" s="48" t="s">
        <v>39</v>
      </c>
      <c r="D1" s="48" t="s">
        <v>89</v>
      </c>
      <c r="E1" s="48" t="s">
        <v>90</v>
      </c>
      <c r="F1" s="48" t="s">
        <v>91</v>
      </c>
      <c r="G1" s="48" t="s">
        <v>37</v>
      </c>
      <c r="H1" s="48" t="s">
        <v>38</v>
      </c>
      <c r="I1" s="48" t="s">
        <v>92</v>
      </c>
      <c r="J1" s="48" t="s">
        <v>93</v>
      </c>
      <c r="K1" s="48" t="s">
        <v>94</v>
      </c>
      <c r="L1" s="48" t="s">
        <v>95</v>
      </c>
      <c r="M1" s="48" t="s">
        <v>96</v>
      </c>
      <c r="N1" s="48" t="s">
        <v>97</v>
      </c>
      <c r="O1" s="48" t="s">
        <v>98</v>
      </c>
      <c r="P1" s="48" t="s">
        <v>99</v>
      </c>
      <c r="Q1" s="48" t="s">
        <v>100</v>
      </c>
      <c r="R1" s="48" t="s">
        <v>101</v>
      </c>
      <c r="S1" s="48" t="s">
        <v>102</v>
      </c>
      <c r="T1" s="48" t="s">
        <v>103</v>
      </c>
      <c r="U1" s="48" t="s">
        <v>104</v>
      </c>
      <c r="V1" s="48" t="s">
        <v>105</v>
      </c>
      <c r="W1" s="48" t="s">
        <v>106</v>
      </c>
      <c r="X1" s="48" t="s">
        <v>107</v>
      </c>
      <c r="Y1" s="48" t="s">
        <v>108</v>
      </c>
      <c r="Z1" s="48" t="s">
        <v>109</v>
      </c>
      <c r="AA1" s="48" t="s">
        <v>110</v>
      </c>
      <c r="AB1" s="48" t="s">
        <v>111</v>
      </c>
      <c r="AC1" s="48" t="s">
        <v>112</v>
      </c>
      <c r="AD1" s="48" t="s">
        <v>113</v>
      </c>
      <c r="AE1" s="48" t="s">
        <v>114</v>
      </c>
      <c r="AF1" s="48" t="s">
        <v>115</v>
      </c>
      <c r="AG1" s="48" t="s">
        <v>116</v>
      </c>
      <c r="AH1" s="48" t="s">
        <v>117</v>
      </c>
      <c r="AI1" s="48" t="s">
        <v>118</v>
      </c>
      <c r="AJ1" s="48" t="s">
        <v>119</v>
      </c>
      <c r="AK1" s="48" t="s">
        <v>120</v>
      </c>
      <c r="AL1" s="48" t="s">
        <v>121</v>
      </c>
      <c r="AM1" s="48" t="s">
        <v>122</v>
      </c>
      <c r="AN1" s="48" t="s">
        <v>123</v>
      </c>
      <c r="AO1" s="48" t="s">
        <v>124</v>
      </c>
      <c r="AP1" s="48" t="s">
        <v>125</v>
      </c>
      <c r="AQ1" s="48" t="s">
        <v>126</v>
      </c>
      <c r="AR1" s="48" t="s">
        <v>127</v>
      </c>
      <c r="AS1" s="48" t="s">
        <v>128</v>
      </c>
      <c r="AT1" s="48" t="s">
        <v>129</v>
      </c>
      <c r="AU1" s="48" t="s">
        <v>130</v>
      </c>
      <c r="AV1" s="48" t="s">
        <v>131</v>
      </c>
      <c r="AW1" s="48" t="s">
        <v>132</v>
      </c>
      <c r="AX1" s="48" t="s">
        <v>133</v>
      </c>
      <c r="AY1" s="48" t="s">
        <v>134</v>
      </c>
      <c r="AZ1" s="48" t="s">
        <v>135</v>
      </c>
      <c r="BA1" s="48" t="s">
        <v>136</v>
      </c>
      <c r="BB1" s="48" t="s">
        <v>137</v>
      </c>
    </row>
    <row r="2" spans="1:54" x14ac:dyDescent="0.35">
      <c r="A2" s="49">
        <v>45930</v>
      </c>
      <c r="B2" s="48">
        <v>1</v>
      </c>
      <c r="C2" s="50" t="s">
        <v>41</v>
      </c>
      <c r="D2" s="48" t="s">
        <v>31</v>
      </c>
      <c r="E2" s="48" t="s">
        <v>138</v>
      </c>
      <c r="F2" s="48" t="s">
        <v>139</v>
      </c>
      <c r="G2" s="49" t="s">
        <v>56</v>
      </c>
      <c r="H2" s="48" t="s">
        <v>57</v>
      </c>
      <c r="I2" s="48">
        <v>1</v>
      </c>
      <c r="K2" s="48">
        <v>1</v>
      </c>
      <c r="N2" s="48">
        <v>0</v>
      </c>
      <c r="R2" s="49"/>
      <c r="S2" s="49"/>
      <c r="T2" s="49">
        <v>45931</v>
      </c>
      <c r="U2" s="49">
        <v>45931</v>
      </c>
      <c r="V2" s="49">
        <v>45931</v>
      </c>
      <c r="W2" s="49">
        <v>45931</v>
      </c>
      <c r="X2" s="48">
        <v>1</v>
      </c>
      <c r="Y2" s="48">
        <v>1</v>
      </c>
      <c r="Z2" s="48">
        <v>1</v>
      </c>
      <c r="AA2" s="156">
        <v>357810792922</v>
      </c>
      <c r="AF2" s="48">
        <v>0</v>
      </c>
      <c r="AG2" s="49" t="s">
        <v>41</v>
      </c>
      <c r="AH2" s="48">
        <v>1</v>
      </c>
      <c r="AI2" s="48" t="s">
        <v>33</v>
      </c>
      <c r="AJ2" s="48" t="s">
        <v>33</v>
      </c>
      <c r="AK2" s="48" t="s">
        <v>33</v>
      </c>
      <c r="AL2" s="48" t="s">
        <v>34</v>
      </c>
      <c r="AN2" s="48">
        <v>0</v>
      </c>
      <c r="AO2" s="48">
        <v>0</v>
      </c>
      <c r="AP2" s="48">
        <v>0</v>
      </c>
      <c r="AQ2" s="48">
        <v>0</v>
      </c>
      <c r="AR2" s="48">
        <v>0</v>
      </c>
      <c r="AS2" s="48">
        <v>0</v>
      </c>
      <c r="AT2" s="48">
        <v>0</v>
      </c>
      <c r="AU2" s="48">
        <v>0</v>
      </c>
      <c r="AV2" s="48">
        <v>0</v>
      </c>
      <c r="AW2" s="48">
        <v>0</v>
      </c>
      <c r="AX2" s="48">
        <v>0</v>
      </c>
      <c r="AY2" s="48">
        <v>0</v>
      </c>
      <c r="AZ2" s="48">
        <v>0</v>
      </c>
      <c r="BA2" s="48">
        <v>0</v>
      </c>
      <c r="BB2" s="48">
        <v>0</v>
      </c>
    </row>
    <row r="3" spans="1:54" x14ac:dyDescent="0.35">
      <c r="A3" s="49">
        <v>45930</v>
      </c>
      <c r="B3" s="48">
        <v>1</v>
      </c>
      <c r="C3" s="50" t="s">
        <v>41</v>
      </c>
      <c r="D3" s="48" t="s">
        <v>31</v>
      </c>
      <c r="E3" s="48" t="s">
        <v>138</v>
      </c>
      <c r="F3" s="48" t="s">
        <v>139</v>
      </c>
      <c r="G3" s="49" t="s">
        <v>56</v>
      </c>
      <c r="H3" s="48" t="s">
        <v>149</v>
      </c>
      <c r="I3" s="48">
        <v>1</v>
      </c>
      <c r="J3" s="48">
        <v>1</v>
      </c>
      <c r="K3" s="48">
        <v>1</v>
      </c>
      <c r="N3" s="48">
        <v>0</v>
      </c>
      <c r="R3" s="49"/>
      <c r="S3" s="49"/>
      <c r="T3" s="49">
        <v>45961</v>
      </c>
      <c r="U3" s="49">
        <v>45961</v>
      </c>
      <c r="V3" s="49">
        <v>45961</v>
      </c>
      <c r="W3" s="49">
        <v>45961</v>
      </c>
      <c r="X3" s="48">
        <v>1</v>
      </c>
      <c r="Y3" s="48">
        <v>1</v>
      </c>
      <c r="Z3" s="48">
        <v>1</v>
      </c>
      <c r="AA3" s="156">
        <v>36011519040.949715</v>
      </c>
      <c r="AF3" s="48">
        <v>0</v>
      </c>
      <c r="AG3" s="49" t="s">
        <v>41</v>
      </c>
      <c r="AH3" s="48">
        <v>1</v>
      </c>
      <c r="AI3" s="48" t="s">
        <v>33</v>
      </c>
      <c r="AJ3" s="48" t="s">
        <v>33</v>
      </c>
      <c r="AK3" s="48" t="s">
        <v>33</v>
      </c>
      <c r="AL3" s="48" t="s">
        <v>34</v>
      </c>
      <c r="AN3" s="48">
        <v>0</v>
      </c>
      <c r="AO3" s="48">
        <v>0</v>
      </c>
      <c r="AP3" s="48">
        <v>0</v>
      </c>
      <c r="AQ3" s="48">
        <v>0</v>
      </c>
      <c r="AR3" s="48">
        <v>0</v>
      </c>
      <c r="AS3" s="48">
        <v>0</v>
      </c>
      <c r="AT3" s="48">
        <v>0</v>
      </c>
      <c r="AU3" s="48">
        <v>0</v>
      </c>
      <c r="AV3" s="48">
        <v>0</v>
      </c>
      <c r="AW3" s="48">
        <v>0</v>
      </c>
      <c r="AX3" s="48">
        <v>0</v>
      </c>
      <c r="AY3" s="48">
        <v>0</v>
      </c>
      <c r="AZ3" s="48">
        <v>0</v>
      </c>
      <c r="BA3" s="48">
        <v>0</v>
      </c>
      <c r="BB3" s="48">
        <v>0</v>
      </c>
    </row>
    <row r="4" spans="1:54" x14ac:dyDescent="0.35">
      <c r="A4" s="49">
        <v>45930</v>
      </c>
      <c r="B4" s="48">
        <v>1</v>
      </c>
      <c r="C4" s="50" t="s">
        <v>41</v>
      </c>
      <c r="D4" s="48" t="s">
        <v>31</v>
      </c>
      <c r="E4" s="48" t="s">
        <v>138</v>
      </c>
      <c r="F4" s="48" t="s">
        <v>139</v>
      </c>
      <c r="G4" s="49" t="s">
        <v>56</v>
      </c>
      <c r="H4" s="48" t="s">
        <v>149</v>
      </c>
      <c r="I4" s="48">
        <v>1</v>
      </c>
      <c r="J4" s="48">
        <v>2</v>
      </c>
      <c r="K4" s="48">
        <v>1</v>
      </c>
      <c r="N4" s="48">
        <v>0</v>
      </c>
      <c r="R4" s="49"/>
      <c r="S4" s="49"/>
      <c r="T4" s="49">
        <v>45991</v>
      </c>
      <c r="U4" s="49">
        <v>45991</v>
      </c>
      <c r="V4" s="49">
        <v>45991</v>
      </c>
      <c r="W4" s="49">
        <v>45991</v>
      </c>
      <c r="X4" s="48">
        <v>1</v>
      </c>
      <c r="Y4" s="48">
        <v>1</v>
      </c>
      <c r="Z4" s="48">
        <v>1</v>
      </c>
      <c r="AA4" s="156">
        <v>36011519040.949715</v>
      </c>
      <c r="AF4" s="48">
        <v>0</v>
      </c>
      <c r="AG4" s="49" t="s">
        <v>41</v>
      </c>
      <c r="AH4" s="48">
        <v>1</v>
      </c>
      <c r="AI4" s="48" t="s">
        <v>33</v>
      </c>
      <c r="AJ4" s="48" t="s">
        <v>33</v>
      </c>
      <c r="AK4" s="48" t="s">
        <v>33</v>
      </c>
      <c r="AL4" s="48" t="s">
        <v>34</v>
      </c>
      <c r="AN4" s="48">
        <v>0</v>
      </c>
      <c r="AO4" s="48">
        <v>0</v>
      </c>
      <c r="AP4" s="48">
        <v>0</v>
      </c>
      <c r="AQ4" s="48">
        <v>0</v>
      </c>
      <c r="AR4" s="48">
        <v>0</v>
      </c>
      <c r="AS4" s="48">
        <v>0</v>
      </c>
      <c r="AT4" s="48">
        <v>0</v>
      </c>
      <c r="AU4" s="48">
        <v>0</v>
      </c>
      <c r="AV4" s="48">
        <v>0</v>
      </c>
      <c r="AW4" s="48">
        <v>0</v>
      </c>
      <c r="AX4" s="48">
        <v>0</v>
      </c>
      <c r="AY4" s="48">
        <v>0</v>
      </c>
      <c r="AZ4" s="48">
        <v>0</v>
      </c>
      <c r="BA4" s="48">
        <v>0</v>
      </c>
      <c r="BB4" s="48">
        <v>0</v>
      </c>
    </row>
    <row r="5" spans="1:54" x14ac:dyDescent="0.35">
      <c r="A5" s="49">
        <v>45930</v>
      </c>
      <c r="B5" s="48">
        <v>1</v>
      </c>
      <c r="C5" s="50" t="s">
        <v>41</v>
      </c>
      <c r="D5" s="48" t="s">
        <v>31</v>
      </c>
      <c r="E5" s="48" t="s">
        <v>138</v>
      </c>
      <c r="F5" s="48" t="s">
        <v>139</v>
      </c>
      <c r="G5" s="49" t="s">
        <v>56</v>
      </c>
      <c r="H5" s="48" t="s">
        <v>149</v>
      </c>
      <c r="I5" s="48">
        <v>1</v>
      </c>
      <c r="J5" s="48">
        <v>3</v>
      </c>
      <c r="K5" s="48">
        <v>1</v>
      </c>
      <c r="N5" s="48">
        <v>0</v>
      </c>
      <c r="R5" s="49"/>
      <c r="S5" s="49"/>
      <c r="T5" s="49">
        <v>46022</v>
      </c>
      <c r="U5" s="49">
        <v>46022</v>
      </c>
      <c r="V5" s="49">
        <v>46022</v>
      </c>
      <c r="W5" s="49">
        <v>46022</v>
      </c>
      <c r="X5" s="48">
        <v>1</v>
      </c>
      <c r="Y5" s="48">
        <v>1</v>
      </c>
      <c r="Z5" s="48">
        <v>1</v>
      </c>
      <c r="AA5" s="156">
        <v>36011519040.949715</v>
      </c>
      <c r="AF5" s="48">
        <v>0</v>
      </c>
      <c r="AG5" s="49" t="s">
        <v>41</v>
      </c>
      <c r="AH5" s="48">
        <v>1</v>
      </c>
      <c r="AI5" s="48" t="s">
        <v>33</v>
      </c>
      <c r="AJ5" s="48" t="s">
        <v>33</v>
      </c>
      <c r="AK5" s="48" t="s">
        <v>33</v>
      </c>
      <c r="AL5" s="48" t="s">
        <v>34</v>
      </c>
      <c r="AN5" s="48">
        <v>0</v>
      </c>
      <c r="AO5" s="48">
        <v>0</v>
      </c>
      <c r="AP5" s="48">
        <v>0</v>
      </c>
      <c r="AQ5" s="48">
        <v>0</v>
      </c>
      <c r="AR5" s="48">
        <v>0</v>
      </c>
      <c r="AS5" s="48">
        <v>0</v>
      </c>
      <c r="AT5" s="48">
        <v>0</v>
      </c>
      <c r="AU5" s="48">
        <v>0</v>
      </c>
      <c r="AV5" s="48">
        <v>0</v>
      </c>
      <c r="AW5" s="48">
        <v>0</v>
      </c>
      <c r="AX5" s="48">
        <v>0</v>
      </c>
      <c r="AY5" s="48">
        <v>0</v>
      </c>
      <c r="AZ5" s="48">
        <v>0</v>
      </c>
      <c r="BA5" s="48">
        <v>0</v>
      </c>
      <c r="BB5" s="48">
        <v>0</v>
      </c>
    </row>
    <row r="6" spans="1:54" x14ac:dyDescent="0.35">
      <c r="A6" s="49">
        <v>45930</v>
      </c>
      <c r="B6" s="48">
        <v>1</v>
      </c>
      <c r="C6" s="50" t="s">
        <v>41</v>
      </c>
      <c r="D6" s="48" t="s">
        <v>31</v>
      </c>
      <c r="E6" s="48" t="s">
        <v>138</v>
      </c>
      <c r="F6" s="48" t="s">
        <v>139</v>
      </c>
      <c r="G6" s="49" t="s">
        <v>56</v>
      </c>
      <c r="H6" s="48" t="s">
        <v>149</v>
      </c>
      <c r="I6" s="48">
        <v>1</v>
      </c>
      <c r="J6" s="48">
        <v>4</v>
      </c>
      <c r="K6" s="48">
        <v>1</v>
      </c>
      <c r="N6" s="48">
        <v>0</v>
      </c>
      <c r="R6" s="49"/>
      <c r="S6" s="49"/>
      <c r="T6" s="49">
        <v>46053</v>
      </c>
      <c r="U6" s="49">
        <v>46053</v>
      </c>
      <c r="V6" s="49">
        <v>46053</v>
      </c>
      <c r="W6" s="49">
        <v>46053</v>
      </c>
      <c r="X6" s="48">
        <v>1</v>
      </c>
      <c r="Y6" s="48">
        <v>1</v>
      </c>
      <c r="Z6" s="48">
        <v>1</v>
      </c>
      <c r="AA6" s="156">
        <v>36011519040.949715</v>
      </c>
      <c r="AF6" s="48">
        <v>0</v>
      </c>
      <c r="AG6" s="49" t="s">
        <v>41</v>
      </c>
      <c r="AH6" s="48">
        <v>1</v>
      </c>
      <c r="AI6" s="48" t="s">
        <v>33</v>
      </c>
      <c r="AJ6" s="48" t="s">
        <v>33</v>
      </c>
      <c r="AK6" s="48" t="s">
        <v>33</v>
      </c>
      <c r="AL6" s="48" t="s">
        <v>34</v>
      </c>
      <c r="AN6" s="48">
        <v>0</v>
      </c>
      <c r="AO6" s="48">
        <v>0</v>
      </c>
      <c r="AP6" s="48">
        <v>0</v>
      </c>
      <c r="AQ6" s="48">
        <v>0</v>
      </c>
      <c r="AR6" s="48">
        <v>0</v>
      </c>
      <c r="AS6" s="48">
        <v>0</v>
      </c>
      <c r="AT6" s="48">
        <v>0</v>
      </c>
      <c r="AU6" s="48">
        <v>0</v>
      </c>
      <c r="AV6" s="48">
        <v>0</v>
      </c>
      <c r="AW6" s="48">
        <v>0</v>
      </c>
      <c r="AX6" s="48">
        <v>0</v>
      </c>
      <c r="AY6" s="48">
        <v>0</v>
      </c>
      <c r="AZ6" s="48">
        <v>0</v>
      </c>
      <c r="BA6" s="48">
        <v>0</v>
      </c>
      <c r="BB6" s="48">
        <v>0</v>
      </c>
    </row>
    <row r="7" spans="1:54" x14ac:dyDescent="0.35">
      <c r="A7" s="49">
        <v>45930</v>
      </c>
      <c r="B7" s="48">
        <v>1</v>
      </c>
      <c r="C7" s="50" t="s">
        <v>41</v>
      </c>
      <c r="D7" s="48" t="s">
        <v>31</v>
      </c>
      <c r="E7" s="48" t="s">
        <v>138</v>
      </c>
      <c r="F7" s="48" t="s">
        <v>139</v>
      </c>
      <c r="G7" s="49" t="s">
        <v>56</v>
      </c>
      <c r="H7" s="48" t="s">
        <v>149</v>
      </c>
      <c r="I7" s="48">
        <v>1</v>
      </c>
      <c r="J7" s="48">
        <v>5</v>
      </c>
      <c r="K7" s="48">
        <v>1</v>
      </c>
      <c r="N7" s="48">
        <v>0</v>
      </c>
      <c r="R7" s="49"/>
      <c r="S7" s="49"/>
      <c r="T7" s="49">
        <v>46081</v>
      </c>
      <c r="U7" s="49">
        <v>46081</v>
      </c>
      <c r="V7" s="49">
        <v>46081</v>
      </c>
      <c r="W7" s="49">
        <v>46081</v>
      </c>
      <c r="X7" s="48">
        <v>1</v>
      </c>
      <c r="Y7" s="48">
        <v>1</v>
      </c>
      <c r="Z7" s="48">
        <v>1</v>
      </c>
      <c r="AA7" s="156">
        <v>36011519040.949715</v>
      </c>
      <c r="AF7" s="48">
        <v>0</v>
      </c>
      <c r="AG7" s="49" t="s">
        <v>41</v>
      </c>
      <c r="AH7" s="48">
        <v>1</v>
      </c>
      <c r="AI7" s="48" t="s">
        <v>33</v>
      </c>
      <c r="AJ7" s="48" t="s">
        <v>33</v>
      </c>
      <c r="AK7" s="48" t="s">
        <v>33</v>
      </c>
      <c r="AL7" s="48" t="s">
        <v>34</v>
      </c>
      <c r="AN7" s="48">
        <v>0</v>
      </c>
      <c r="AO7" s="48">
        <v>0</v>
      </c>
      <c r="AP7" s="48">
        <v>0</v>
      </c>
      <c r="AQ7" s="48">
        <v>0</v>
      </c>
      <c r="AR7" s="48">
        <v>0</v>
      </c>
      <c r="AS7" s="48">
        <v>0</v>
      </c>
      <c r="AT7" s="48">
        <v>0</v>
      </c>
      <c r="AU7" s="48">
        <v>0</v>
      </c>
      <c r="AV7" s="48">
        <v>0</v>
      </c>
      <c r="AW7" s="48">
        <v>0</v>
      </c>
      <c r="AX7" s="48">
        <v>0</v>
      </c>
      <c r="AY7" s="48">
        <v>0</v>
      </c>
      <c r="AZ7" s="48">
        <v>0</v>
      </c>
      <c r="BA7" s="48">
        <v>0</v>
      </c>
      <c r="BB7" s="48">
        <v>0</v>
      </c>
    </row>
    <row r="8" spans="1:54" x14ac:dyDescent="0.35">
      <c r="A8" s="49">
        <v>45930</v>
      </c>
      <c r="B8" s="48">
        <v>1</v>
      </c>
      <c r="C8" s="50" t="s">
        <v>41</v>
      </c>
      <c r="D8" s="48" t="s">
        <v>31</v>
      </c>
      <c r="E8" s="48" t="s">
        <v>138</v>
      </c>
      <c r="F8" s="48" t="s">
        <v>139</v>
      </c>
      <c r="G8" s="49" t="s">
        <v>56</v>
      </c>
      <c r="H8" s="48" t="s">
        <v>149</v>
      </c>
      <c r="I8" s="48">
        <v>1</v>
      </c>
      <c r="J8" s="48">
        <v>6</v>
      </c>
      <c r="K8" s="48">
        <v>1</v>
      </c>
      <c r="N8" s="48">
        <v>0</v>
      </c>
      <c r="R8" s="49"/>
      <c r="S8" s="49"/>
      <c r="T8" s="49">
        <v>46112</v>
      </c>
      <c r="U8" s="49">
        <v>46112</v>
      </c>
      <c r="V8" s="49">
        <v>46112</v>
      </c>
      <c r="W8" s="49">
        <v>46112</v>
      </c>
      <c r="X8" s="48">
        <v>1</v>
      </c>
      <c r="Y8" s="48">
        <v>1</v>
      </c>
      <c r="Z8" s="48">
        <v>1</v>
      </c>
      <c r="AA8" s="156">
        <v>36011519040.949715</v>
      </c>
      <c r="AF8" s="48">
        <v>0</v>
      </c>
      <c r="AG8" s="49" t="s">
        <v>41</v>
      </c>
      <c r="AH8" s="48">
        <v>1</v>
      </c>
      <c r="AI8" s="48" t="s">
        <v>33</v>
      </c>
      <c r="AJ8" s="48" t="s">
        <v>33</v>
      </c>
      <c r="AK8" s="48" t="s">
        <v>33</v>
      </c>
      <c r="AL8" s="48" t="s">
        <v>34</v>
      </c>
      <c r="AN8" s="48">
        <v>0</v>
      </c>
      <c r="AO8" s="48">
        <v>0</v>
      </c>
      <c r="AP8" s="48">
        <v>0</v>
      </c>
      <c r="AQ8" s="48">
        <v>0</v>
      </c>
      <c r="AR8" s="48">
        <v>0</v>
      </c>
      <c r="AS8" s="48">
        <v>0</v>
      </c>
      <c r="AT8" s="48">
        <v>0</v>
      </c>
      <c r="AU8" s="48">
        <v>0</v>
      </c>
      <c r="AV8" s="48">
        <v>0</v>
      </c>
      <c r="AW8" s="48">
        <v>0</v>
      </c>
      <c r="AX8" s="48">
        <v>0</v>
      </c>
      <c r="AY8" s="48">
        <v>0</v>
      </c>
      <c r="AZ8" s="48">
        <v>0</v>
      </c>
      <c r="BA8" s="48">
        <v>0</v>
      </c>
      <c r="BB8" s="48">
        <v>0</v>
      </c>
    </row>
    <row r="9" spans="1:54" x14ac:dyDescent="0.35">
      <c r="A9" s="49">
        <v>45930</v>
      </c>
      <c r="B9" s="48">
        <v>1</v>
      </c>
      <c r="C9" s="50" t="s">
        <v>41</v>
      </c>
      <c r="D9" s="48" t="s">
        <v>31</v>
      </c>
      <c r="E9" s="48" t="s">
        <v>138</v>
      </c>
      <c r="F9" s="48" t="s">
        <v>139</v>
      </c>
      <c r="G9" s="49" t="s">
        <v>56</v>
      </c>
      <c r="H9" s="48" t="s">
        <v>149</v>
      </c>
      <c r="I9" s="48">
        <v>1</v>
      </c>
      <c r="J9" s="48">
        <v>7</v>
      </c>
      <c r="K9" s="48">
        <v>1</v>
      </c>
      <c r="N9" s="48">
        <v>0</v>
      </c>
      <c r="R9" s="49"/>
      <c r="S9" s="49"/>
      <c r="T9" s="49">
        <v>46142</v>
      </c>
      <c r="U9" s="49">
        <v>46142</v>
      </c>
      <c r="V9" s="49">
        <v>46142</v>
      </c>
      <c r="W9" s="49">
        <v>46142</v>
      </c>
      <c r="X9" s="48">
        <v>1</v>
      </c>
      <c r="Y9" s="48">
        <v>1</v>
      </c>
      <c r="Z9" s="48">
        <v>1</v>
      </c>
      <c r="AA9" s="156">
        <v>36011519040.949715</v>
      </c>
      <c r="AF9" s="48">
        <v>0</v>
      </c>
      <c r="AG9" s="49" t="s">
        <v>41</v>
      </c>
      <c r="AH9" s="48">
        <v>1</v>
      </c>
      <c r="AI9" s="48" t="s">
        <v>33</v>
      </c>
      <c r="AJ9" s="48" t="s">
        <v>33</v>
      </c>
      <c r="AK9" s="48" t="s">
        <v>33</v>
      </c>
      <c r="AL9" s="48" t="s">
        <v>34</v>
      </c>
      <c r="AN9" s="48">
        <v>0</v>
      </c>
      <c r="AO9" s="48">
        <v>0</v>
      </c>
      <c r="AP9" s="48">
        <v>0</v>
      </c>
      <c r="AQ9" s="48">
        <v>0</v>
      </c>
      <c r="AR9" s="48">
        <v>0</v>
      </c>
      <c r="AS9" s="48">
        <v>0</v>
      </c>
      <c r="AT9" s="48">
        <v>0</v>
      </c>
      <c r="AU9" s="48">
        <v>0</v>
      </c>
      <c r="AV9" s="48">
        <v>0</v>
      </c>
      <c r="AW9" s="48">
        <v>0</v>
      </c>
      <c r="AX9" s="48">
        <v>0</v>
      </c>
      <c r="AY9" s="48">
        <v>0</v>
      </c>
      <c r="AZ9" s="48">
        <v>0</v>
      </c>
      <c r="BA9" s="48">
        <v>0</v>
      </c>
      <c r="BB9" s="48">
        <v>0</v>
      </c>
    </row>
    <row r="10" spans="1:54" x14ac:dyDescent="0.35">
      <c r="A10" s="49">
        <v>45930</v>
      </c>
      <c r="B10" s="48">
        <v>1</v>
      </c>
      <c r="C10" s="50" t="s">
        <v>41</v>
      </c>
      <c r="D10" s="48" t="s">
        <v>31</v>
      </c>
      <c r="E10" s="48" t="s">
        <v>138</v>
      </c>
      <c r="F10" s="48" t="s">
        <v>139</v>
      </c>
      <c r="G10" s="49" t="s">
        <v>56</v>
      </c>
      <c r="H10" s="48" t="s">
        <v>149</v>
      </c>
      <c r="I10" s="48">
        <v>1</v>
      </c>
      <c r="J10" s="48">
        <v>8</v>
      </c>
      <c r="K10" s="48">
        <v>1</v>
      </c>
      <c r="N10" s="48">
        <v>0</v>
      </c>
      <c r="R10" s="49"/>
      <c r="S10" s="49"/>
      <c r="T10" s="49">
        <v>46173</v>
      </c>
      <c r="U10" s="49">
        <v>46173</v>
      </c>
      <c r="V10" s="49">
        <v>46173</v>
      </c>
      <c r="W10" s="49">
        <v>46173</v>
      </c>
      <c r="X10" s="48">
        <v>1</v>
      </c>
      <c r="Y10" s="48">
        <v>1</v>
      </c>
      <c r="Z10" s="48">
        <v>1</v>
      </c>
      <c r="AA10" s="156">
        <v>36011519040.949715</v>
      </c>
      <c r="AF10" s="48">
        <v>0</v>
      </c>
      <c r="AG10" s="49" t="s">
        <v>41</v>
      </c>
      <c r="AH10" s="48">
        <v>1</v>
      </c>
      <c r="AI10" s="48" t="s">
        <v>33</v>
      </c>
      <c r="AJ10" s="48" t="s">
        <v>33</v>
      </c>
      <c r="AK10" s="48" t="s">
        <v>33</v>
      </c>
      <c r="AL10" s="48" t="s">
        <v>34</v>
      </c>
      <c r="AN10" s="48">
        <v>0</v>
      </c>
      <c r="AO10" s="48">
        <v>0</v>
      </c>
      <c r="AP10" s="48">
        <v>0</v>
      </c>
      <c r="AQ10" s="48">
        <v>0</v>
      </c>
      <c r="AR10" s="48">
        <v>0</v>
      </c>
      <c r="AS10" s="48">
        <v>0</v>
      </c>
      <c r="AT10" s="48">
        <v>0</v>
      </c>
      <c r="AU10" s="48">
        <v>0</v>
      </c>
      <c r="AV10" s="48">
        <v>0</v>
      </c>
      <c r="AW10" s="48">
        <v>0</v>
      </c>
      <c r="AX10" s="48">
        <v>0</v>
      </c>
      <c r="AY10" s="48">
        <v>0</v>
      </c>
      <c r="AZ10" s="48">
        <v>0</v>
      </c>
      <c r="BA10" s="48">
        <v>0</v>
      </c>
      <c r="BB10" s="48">
        <v>0</v>
      </c>
    </row>
    <row r="11" spans="1:54" x14ac:dyDescent="0.35">
      <c r="A11" s="49">
        <v>45930</v>
      </c>
      <c r="B11" s="48">
        <v>1</v>
      </c>
      <c r="C11" s="50" t="s">
        <v>41</v>
      </c>
      <c r="D11" s="48" t="s">
        <v>31</v>
      </c>
      <c r="E11" s="48" t="s">
        <v>138</v>
      </c>
      <c r="F11" s="48" t="s">
        <v>139</v>
      </c>
      <c r="G11" s="49" t="s">
        <v>56</v>
      </c>
      <c r="H11" s="48" t="s">
        <v>149</v>
      </c>
      <c r="I11" s="48">
        <v>1</v>
      </c>
      <c r="J11" s="48">
        <v>9</v>
      </c>
      <c r="K11" s="48">
        <v>1</v>
      </c>
      <c r="N11" s="48">
        <v>0</v>
      </c>
      <c r="R11" s="49"/>
      <c r="S11" s="49"/>
      <c r="T11" s="49">
        <v>46203</v>
      </c>
      <c r="U11" s="49">
        <v>46203</v>
      </c>
      <c r="V11" s="49">
        <v>46203</v>
      </c>
      <c r="W11" s="49">
        <v>46203</v>
      </c>
      <c r="X11" s="48">
        <v>1</v>
      </c>
      <c r="Y11" s="48">
        <v>1</v>
      </c>
      <c r="Z11" s="48">
        <v>1</v>
      </c>
      <c r="AA11" s="156">
        <v>36011519040.949715</v>
      </c>
      <c r="AF11" s="48">
        <v>0</v>
      </c>
      <c r="AG11" s="49" t="s">
        <v>41</v>
      </c>
      <c r="AH11" s="48">
        <v>1</v>
      </c>
      <c r="AI11" s="48" t="s">
        <v>33</v>
      </c>
      <c r="AJ11" s="48" t="s">
        <v>33</v>
      </c>
      <c r="AK11" s="48" t="s">
        <v>33</v>
      </c>
      <c r="AL11" s="48" t="s">
        <v>34</v>
      </c>
      <c r="AN11" s="48">
        <v>0</v>
      </c>
      <c r="AO11" s="48">
        <v>0</v>
      </c>
      <c r="AP11" s="48">
        <v>0</v>
      </c>
      <c r="AQ11" s="48">
        <v>0</v>
      </c>
      <c r="AR11" s="48">
        <v>0</v>
      </c>
      <c r="AS11" s="48">
        <v>0</v>
      </c>
      <c r="AT11" s="48">
        <v>0</v>
      </c>
      <c r="AU11" s="48">
        <v>0</v>
      </c>
      <c r="AV11" s="48">
        <v>0</v>
      </c>
      <c r="AW11" s="48">
        <v>0</v>
      </c>
      <c r="AX11" s="48">
        <v>0</v>
      </c>
      <c r="AY11" s="48">
        <v>0</v>
      </c>
      <c r="AZ11" s="48">
        <v>0</v>
      </c>
      <c r="BA11" s="48">
        <v>0</v>
      </c>
      <c r="BB11" s="48">
        <v>0</v>
      </c>
    </row>
    <row r="12" spans="1:54" x14ac:dyDescent="0.35">
      <c r="A12" s="49">
        <v>45930</v>
      </c>
      <c r="B12" s="48">
        <v>1</v>
      </c>
      <c r="C12" s="50" t="s">
        <v>41</v>
      </c>
      <c r="D12" s="48" t="s">
        <v>31</v>
      </c>
      <c r="E12" s="48" t="s">
        <v>138</v>
      </c>
      <c r="F12" s="48" t="s">
        <v>139</v>
      </c>
      <c r="G12" s="49" t="s">
        <v>56</v>
      </c>
      <c r="H12" s="48" t="s">
        <v>149</v>
      </c>
      <c r="I12" s="48">
        <v>1</v>
      </c>
      <c r="J12" s="48">
        <v>10</v>
      </c>
      <c r="K12" s="48">
        <v>1</v>
      </c>
      <c r="N12" s="48">
        <v>0</v>
      </c>
      <c r="R12" s="49"/>
      <c r="S12" s="49"/>
      <c r="T12" s="49">
        <v>46234</v>
      </c>
      <c r="U12" s="49">
        <v>46234</v>
      </c>
      <c r="V12" s="49">
        <v>46234</v>
      </c>
      <c r="W12" s="49">
        <v>46234</v>
      </c>
      <c r="X12" s="48">
        <v>1</v>
      </c>
      <c r="Y12" s="48">
        <v>1</v>
      </c>
      <c r="Z12" s="48">
        <v>1</v>
      </c>
      <c r="AA12" s="156">
        <v>36011519040.949715</v>
      </c>
      <c r="AF12" s="48">
        <v>0</v>
      </c>
      <c r="AG12" s="49" t="s">
        <v>41</v>
      </c>
      <c r="AH12" s="48">
        <v>1</v>
      </c>
      <c r="AI12" s="48" t="s">
        <v>33</v>
      </c>
      <c r="AJ12" s="48" t="s">
        <v>33</v>
      </c>
      <c r="AK12" s="48" t="s">
        <v>33</v>
      </c>
      <c r="AL12" s="48" t="s">
        <v>34</v>
      </c>
      <c r="AN12" s="48">
        <v>0</v>
      </c>
      <c r="AO12" s="48">
        <v>0</v>
      </c>
      <c r="AP12" s="48">
        <v>0</v>
      </c>
      <c r="AQ12" s="48">
        <v>0</v>
      </c>
      <c r="AR12" s="48">
        <v>0</v>
      </c>
      <c r="AS12" s="48">
        <v>0</v>
      </c>
      <c r="AT12" s="48">
        <v>0</v>
      </c>
      <c r="AU12" s="48">
        <v>0</v>
      </c>
      <c r="AV12" s="48">
        <v>0</v>
      </c>
      <c r="AW12" s="48">
        <v>0</v>
      </c>
      <c r="AX12" s="48">
        <v>0</v>
      </c>
      <c r="AY12" s="48">
        <v>0</v>
      </c>
      <c r="AZ12" s="48">
        <v>0</v>
      </c>
      <c r="BA12" s="48">
        <v>0</v>
      </c>
      <c r="BB12" s="48">
        <v>0</v>
      </c>
    </row>
    <row r="13" spans="1:54" x14ac:dyDescent="0.35">
      <c r="A13" s="49">
        <v>45930</v>
      </c>
      <c r="B13" s="48">
        <v>1</v>
      </c>
      <c r="C13" s="50" t="s">
        <v>41</v>
      </c>
      <c r="D13" s="48" t="s">
        <v>31</v>
      </c>
      <c r="E13" s="48" t="s">
        <v>138</v>
      </c>
      <c r="F13" s="48" t="s">
        <v>139</v>
      </c>
      <c r="G13" s="49" t="s">
        <v>56</v>
      </c>
      <c r="H13" s="48" t="s">
        <v>149</v>
      </c>
      <c r="I13" s="48">
        <v>1</v>
      </c>
      <c r="J13" s="48">
        <v>11</v>
      </c>
      <c r="K13" s="48">
        <v>1</v>
      </c>
      <c r="N13" s="48">
        <v>0</v>
      </c>
      <c r="R13" s="49"/>
      <c r="S13" s="49"/>
      <c r="T13" s="49">
        <v>46265</v>
      </c>
      <c r="U13" s="49">
        <v>46265</v>
      </c>
      <c r="V13" s="49">
        <v>46265</v>
      </c>
      <c r="W13" s="49">
        <v>46265</v>
      </c>
      <c r="X13" s="48">
        <v>1</v>
      </c>
      <c r="Y13" s="48">
        <v>1</v>
      </c>
      <c r="Z13" s="48">
        <v>1</v>
      </c>
      <c r="AA13" s="156">
        <v>36011519040.949715</v>
      </c>
      <c r="AF13" s="48">
        <v>0</v>
      </c>
      <c r="AG13" s="49" t="s">
        <v>41</v>
      </c>
      <c r="AH13" s="48">
        <v>1</v>
      </c>
      <c r="AI13" s="48" t="s">
        <v>33</v>
      </c>
      <c r="AJ13" s="48" t="s">
        <v>33</v>
      </c>
      <c r="AK13" s="48" t="s">
        <v>33</v>
      </c>
      <c r="AL13" s="48" t="s">
        <v>34</v>
      </c>
      <c r="AN13" s="48">
        <v>0</v>
      </c>
      <c r="AO13" s="48">
        <v>0</v>
      </c>
      <c r="AP13" s="48">
        <v>0</v>
      </c>
      <c r="AQ13" s="48">
        <v>0</v>
      </c>
      <c r="AR13" s="48">
        <v>0</v>
      </c>
      <c r="AS13" s="48">
        <v>0</v>
      </c>
      <c r="AT13" s="48">
        <v>0</v>
      </c>
      <c r="AU13" s="48">
        <v>0</v>
      </c>
      <c r="AV13" s="48">
        <v>0</v>
      </c>
      <c r="AW13" s="48">
        <v>0</v>
      </c>
      <c r="AX13" s="48">
        <v>0</v>
      </c>
      <c r="AY13" s="48">
        <v>0</v>
      </c>
      <c r="AZ13" s="48">
        <v>0</v>
      </c>
      <c r="BA13" s="48">
        <v>0</v>
      </c>
      <c r="BB13" s="48">
        <v>0</v>
      </c>
    </row>
    <row r="14" spans="1:54" x14ac:dyDescent="0.35">
      <c r="A14" s="49">
        <v>45930</v>
      </c>
      <c r="B14" s="48">
        <v>1</v>
      </c>
      <c r="C14" s="50" t="s">
        <v>41</v>
      </c>
      <c r="D14" s="48" t="s">
        <v>31</v>
      </c>
      <c r="E14" s="48" t="s">
        <v>138</v>
      </c>
      <c r="F14" s="48" t="s">
        <v>139</v>
      </c>
      <c r="G14" s="49" t="s">
        <v>56</v>
      </c>
      <c r="H14" s="48" t="s">
        <v>149</v>
      </c>
      <c r="I14" s="48">
        <v>1</v>
      </c>
      <c r="J14" s="48">
        <v>12</v>
      </c>
      <c r="K14" s="48">
        <v>1</v>
      </c>
      <c r="N14" s="48">
        <v>0</v>
      </c>
      <c r="R14" s="49"/>
      <c r="S14" s="49"/>
      <c r="T14" s="49">
        <v>46295</v>
      </c>
      <c r="U14" s="49">
        <v>46295</v>
      </c>
      <c r="V14" s="49">
        <v>46295</v>
      </c>
      <c r="W14" s="49">
        <v>46295</v>
      </c>
      <c r="X14" s="48">
        <v>1</v>
      </c>
      <c r="Y14" s="48">
        <v>1</v>
      </c>
      <c r="Z14" s="48">
        <v>1</v>
      </c>
      <c r="AA14" s="156">
        <v>36011519040.949715</v>
      </c>
      <c r="AF14" s="48">
        <v>0</v>
      </c>
      <c r="AG14" s="49" t="s">
        <v>41</v>
      </c>
      <c r="AH14" s="48">
        <v>1</v>
      </c>
      <c r="AI14" s="48" t="s">
        <v>33</v>
      </c>
      <c r="AJ14" s="48" t="s">
        <v>33</v>
      </c>
      <c r="AK14" s="48" t="s">
        <v>33</v>
      </c>
      <c r="AL14" s="48" t="s">
        <v>34</v>
      </c>
      <c r="AN14" s="48">
        <v>0</v>
      </c>
      <c r="AO14" s="48">
        <v>0</v>
      </c>
      <c r="AP14" s="48">
        <v>0</v>
      </c>
      <c r="AQ14" s="48">
        <v>0</v>
      </c>
      <c r="AR14" s="48">
        <v>0</v>
      </c>
      <c r="AS14" s="48">
        <v>0</v>
      </c>
      <c r="AT14" s="48">
        <v>0</v>
      </c>
      <c r="AU14" s="48">
        <v>0</v>
      </c>
      <c r="AV14" s="48">
        <v>0</v>
      </c>
      <c r="AW14" s="48">
        <v>0</v>
      </c>
      <c r="AX14" s="48">
        <v>0</v>
      </c>
      <c r="AY14" s="48">
        <v>0</v>
      </c>
      <c r="AZ14" s="48">
        <v>0</v>
      </c>
      <c r="BA14" s="48">
        <v>0</v>
      </c>
      <c r="BB14" s="48">
        <v>0</v>
      </c>
    </row>
    <row r="15" spans="1:54" x14ac:dyDescent="0.35">
      <c r="A15" s="49">
        <v>45930</v>
      </c>
      <c r="B15" s="48">
        <v>1</v>
      </c>
      <c r="C15" s="50" t="s">
        <v>41</v>
      </c>
      <c r="D15" s="48" t="s">
        <v>31</v>
      </c>
      <c r="E15" s="48" t="s">
        <v>138</v>
      </c>
      <c r="F15" s="48" t="s">
        <v>139</v>
      </c>
      <c r="G15" s="49" t="s">
        <v>56</v>
      </c>
      <c r="H15" s="48" t="s">
        <v>149</v>
      </c>
      <c r="I15" s="48">
        <v>1</v>
      </c>
      <c r="J15" s="48">
        <v>13</v>
      </c>
      <c r="K15" s="48">
        <v>1</v>
      </c>
      <c r="N15" s="48">
        <v>0</v>
      </c>
      <c r="R15" s="49"/>
      <c r="S15" s="49"/>
      <c r="T15" s="49">
        <v>46326</v>
      </c>
      <c r="U15" s="49">
        <v>46326</v>
      </c>
      <c r="V15" s="49">
        <v>46326</v>
      </c>
      <c r="W15" s="49">
        <v>46326</v>
      </c>
      <c r="X15" s="48">
        <v>1</v>
      </c>
      <c r="Y15" s="48">
        <v>1</v>
      </c>
      <c r="Z15" s="48">
        <v>1</v>
      </c>
      <c r="AA15" s="156">
        <v>36011519040.949715</v>
      </c>
      <c r="AF15" s="48">
        <v>0</v>
      </c>
      <c r="AG15" s="49" t="s">
        <v>41</v>
      </c>
      <c r="AH15" s="48">
        <v>1</v>
      </c>
      <c r="AI15" s="48" t="s">
        <v>33</v>
      </c>
      <c r="AJ15" s="48" t="s">
        <v>33</v>
      </c>
      <c r="AK15" s="48" t="s">
        <v>33</v>
      </c>
      <c r="AL15" s="48" t="s">
        <v>34</v>
      </c>
      <c r="AN15" s="48">
        <v>0</v>
      </c>
      <c r="AO15" s="48">
        <v>0</v>
      </c>
      <c r="AP15" s="48">
        <v>0</v>
      </c>
      <c r="AQ15" s="48">
        <v>0</v>
      </c>
      <c r="AR15" s="48">
        <v>0</v>
      </c>
      <c r="AS15" s="48">
        <v>0</v>
      </c>
      <c r="AT15" s="48">
        <v>0</v>
      </c>
      <c r="AU15" s="48">
        <v>0</v>
      </c>
      <c r="AV15" s="48">
        <v>0</v>
      </c>
      <c r="AW15" s="48">
        <v>0</v>
      </c>
      <c r="AX15" s="48">
        <v>0</v>
      </c>
      <c r="AY15" s="48">
        <v>0</v>
      </c>
      <c r="AZ15" s="48">
        <v>0</v>
      </c>
      <c r="BA15" s="48">
        <v>0</v>
      </c>
      <c r="BB15" s="48">
        <v>0</v>
      </c>
    </row>
    <row r="16" spans="1:54" x14ac:dyDescent="0.35">
      <c r="A16" s="49">
        <v>45930</v>
      </c>
      <c r="B16" s="48">
        <v>1</v>
      </c>
      <c r="C16" s="50" t="s">
        <v>41</v>
      </c>
      <c r="D16" s="48" t="s">
        <v>31</v>
      </c>
      <c r="E16" s="48" t="s">
        <v>138</v>
      </c>
      <c r="F16" s="48" t="s">
        <v>139</v>
      </c>
      <c r="G16" s="49" t="s">
        <v>56</v>
      </c>
      <c r="H16" s="48" t="s">
        <v>149</v>
      </c>
      <c r="I16" s="48">
        <v>1</v>
      </c>
      <c r="J16" s="48">
        <v>14</v>
      </c>
      <c r="K16" s="48">
        <v>1</v>
      </c>
      <c r="N16" s="48">
        <v>0</v>
      </c>
      <c r="R16" s="49"/>
      <c r="S16" s="49"/>
      <c r="T16" s="49">
        <v>46356</v>
      </c>
      <c r="U16" s="49">
        <v>46356</v>
      </c>
      <c r="V16" s="49">
        <v>46356</v>
      </c>
      <c r="W16" s="49">
        <v>46356</v>
      </c>
      <c r="X16" s="48">
        <v>1</v>
      </c>
      <c r="Y16" s="48">
        <v>1</v>
      </c>
      <c r="Z16" s="48">
        <v>1</v>
      </c>
      <c r="AA16" s="156">
        <v>36011519040.949715</v>
      </c>
      <c r="AF16" s="48">
        <v>0</v>
      </c>
      <c r="AG16" s="49" t="s">
        <v>41</v>
      </c>
      <c r="AH16" s="48">
        <v>1</v>
      </c>
      <c r="AI16" s="48" t="s">
        <v>33</v>
      </c>
      <c r="AJ16" s="48" t="s">
        <v>33</v>
      </c>
      <c r="AK16" s="48" t="s">
        <v>33</v>
      </c>
      <c r="AL16" s="48" t="s">
        <v>34</v>
      </c>
      <c r="AN16" s="48">
        <v>0</v>
      </c>
      <c r="AO16" s="48">
        <v>0</v>
      </c>
      <c r="AP16" s="48">
        <v>0</v>
      </c>
      <c r="AQ16" s="48">
        <v>0</v>
      </c>
      <c r="AR16" s="48">
        <v>0</v>
      </c>
      <c r="AS16" s="48">
        <v>0</v>
      </c>
      <c r="AT16" s="48">
        <v>0</v>
      </c>
      <c r="AU16" s="48">
        <v>0</v>
      </c>
      <c r="AV16" s="48">
        <v>0</v>
      </c>
      <c r="AW16" s="48">
        <v>0</v>
      </c>
      <c r="AX16" s="48">
        <v>0</v>
      </c>
      <c r="AY16" s="48">
        <v>0</v>
      </c>
      <c r="AZ16" s="48">
        <v>0</v>
      </c>
      <c r="BA16" s="48">
        <v>0</v>
      </c>
      <c r="BB16" s="48">
        <v>0</v>
      </c>
    </row>
    <row r="17" spans="1:54" x14ac:dyDescent="0.35">
      <c r="A17" s="49">
        <v>45930</v>
      </c>
      <c r="B17" s="48">
        <v>1</v>
      </c>
      <c r="C17" s="50" t="s">
        <v>41</v>
      </c>
      <c r="D17" s="48" t="s">
        <v>31</v>
      </c>
      <c r="E17" s="48" t="s">
        <v>138</v>
      </c>
      <c r="F17" s="48" t="s">
        <v>139</v>
      </c>
      <c r="G17" s="49" t="s">
        <v>56</v>
      </c>
      <c r="H17" s="48" t="s">
        <v>149</v>
      </c>
      <c r="I17" s="48">
        <v>1</v>
      </c>
      <c r="J17" s="48">
        <v>15</v>
      </c>
      <c r="K17" s="48">
        <v>1</v>
      </c>
      <c r="N17" s="48">
        <v>0</v>
      </c>
      <c r="R17" s="49"/>
      <c r="S17" s="49"/>
      <c r="T17" s="49">
        <v>46387</v>
      </c>
      <c r="U17" s="49">
        <v>46387</v>
      </c>
      <c r="V17" s="49">
        <v>46387</v>
      </c>
      <c r="W17" s="49">
        <v>46387</v>
      </c>
      <c r="X17" s="48">
        <v>1</v>
      </c>
      <c r="Y17" s="48">
        <v>1</v>
      </c>
      <c r="Z17" s="48">
        <v>1</v>
      </c>
      <c r="AA17" s="156">
        <v>36011519040.949715</v>
      </c>
      <c r="AF17" s="48">
        <v>0</v>
      </c>
      <c r="AG17" s="49" t="s">
        <v>41</v>
      </c>
      <c r="AH17" s="48">
        <v>1</v>
      </c>
      <c r="AI17" s="48" t="s">
        <v>33</v>
      </c>
      <c r="AJ17" s="48" t="s">
        <v>33</v>
      </c>
      <c r="AK17" s="48" t="s">
        <v>33</v>
      </c>
      <c r="AL17" s="48" t="s">
        <v>34</v>
      </c>
      <c r="AN17" s="48">
        <v>0</v>
      </c>
      <c r="AO17" s="48">
        <v>0</v>
      </c>
      <c r="AP17" s="48">
        <v>0</v>
      </c>
      <c r="AQ17" s="48">
        <v>0</v>
      </c>
      <c r="AR17" s="48">
        <v>0</v>
      </c>
      <c r="AS17" s="48">
        <v>0</v>
      </c>
      <c r="AT17" s="48">
        <v>0</v>
      </c>
      <c r="AU17" s="48">
        <v>0</v>
      </c>
      <c r="AV17" s="48">
        <v>0</v>
      </c>
      <c r="AW17" s="48">
        <v>0</v>
      </c>
      <c r="AX17" s="48">
        <v>0</v>
      </c>
      <c r="AY17" s="48">
        <v>0</v>
      </c>
      <c r="AZ17" s="48">
        <v>0</v>
      </c>
      <c r="BA17" s="48">
        <v>0</v>
      </c>
      <c r="BB17" s="48">
        <v>0</v>
      </c>
    </row>
    <row r="18" spans="1:54" x14ac:dyDescent="0.35">
      <c r="A18" s="49">
        <v>45930</v>
      </c>
      <c r="B18" s="48">
        <v>1</v>
      </c>
      <c r="C18" s="50" t="s">
        <v>41</v>
      </c>
      <c r="D18" s="48" t="s">
        <v>31</v>
      </c>
      <c r="E18" s="48" t="s">
        <v>138</v>
      </c>
      <c r="F18" s="48" t="s">
        <v>139</v>
      </c>
      <c r="G18" s="49" t="s">
        <v>56</v>
      </c>
      <c r="H18" s="48" t="s">
        <v>149</v>
      </c>
      <c r="I18" s="48">
        <v>1</v>
      </c>
      <c r="J18" s="48">
        <v>16</v>
      </c>
      <c r="K18" s="48">
        <v>1</v>
      </c>
      <c r="N18" s="48">
        <v>0</v>
      </c>
      <c r="R18" s="49"/>
      <c r="S18" s="49"/>
      <c r="T18" s="49">
        <v>46418</v>
      </c>
      <c r="U18" s="49">
        <v>46418</v>
      </c>
      <c r="V18" s="49">
        <v>46418</v>
      </c>
      <c r="W18" s="49">
        <v>46418</v>
      </c>
      <c r="X18" s="48">
        <v>1</v>
      </c>
      <c r="Y18" s="48">
        <v>1</v>
      </c>
      <c r="Z18" s="48">
        <v>1</v>
      </c>
      <c r="AA18" s="156">
        <v>36011519040.949715</v>
      </c>
      <c r="AF18" s="48">
        <v>0</v>
      </c>
      <c r="AG18" s="49" t="s">
        <v>41</v>
      </c>
      <c r="AH18" s="48">
        <v>1</v>
      </c>
      <c r="AI18" s="48" t="s">
        <v>33</v>
      </c>
      <c r="AJ18" s="48" t="s">
        <v>33</v>
      </c>
      <c r="AK18" s="48" t="s">
        <v>33</v>
      </c>
      <c r="AL18" s="48" t="s">
        <v>34</v>
      </c>
      <c r="AN18" s="48">
        <v>0</v>
      </c>
      <c r="AO18" s="48">
        <v>0</v>
      </c>
      <c r="AP18" s="48">
        <v>0</v>
      </c>
      <c r="AQ18" s="48">
        <v>0</v>
      </c>
      <c r="AR18" s="48">
        <v>0</v>
      </c>
      <c r="AS18" s="48">
        <v>0</v>
      </c>
      <c r="AT18" s="48">
        <v>0</v>
      </c>
      <c r="AU18" s="48">
        <v>0</v>
      </c>
      <c r="AV18" s="48">
        <v>0</v>
      </c>
      <c r="AW18" s="48">
        <v>0</v>
      </c>
      <c r="AX18" s="48">
        <v>0</v>
      </c>
      <c r="AY18" s="48">
        <v>0</v>
      </c>
      <c r="AZ18" s="48">
        <v>0</v>
      </c>
      <c r="BA18" s="48">
        <v>0</v>
      </c>
      <c r="BB18" s="48">
        <v>0</v>
      </c>
    </row>
    <row r="19" spans="1:54" x14ac:dyDescent="0.35">
      <c r="A19" s="49">
        <v>45930</v>
      </c>
      <c r="B19" s="48">
        <v>1</v>
      </c>
      <c r="C19" s="50" t="s">
        <v>41</v>
      </c>
      <c r="D19" s="48" t="s">
        <v>31</v>
      </c>
      <c r="E19" s="48" t="s">
        <v>138</v>
      </c>
      <c r="F19" s="48" t="s">
        <v>139</v>
      </c>
      <c r="G19" s="49" t="s">
        <v>56</v>
      </c>
      <c r="H19" s="48" t="s">
        <v>149</v>
      </c>
      <c r="I19" s="48">
        <v>1</v>
      </c>
      <c r="J19" s="48">
        <v>17</v>
      </c>
      <c r="K19" s="48">
        <v>1</v>
      </c>
      <c r="N19" s="48">
        <v>0</v>
      </c>
      <c r="R19" s="49"/>
      <c r="S19" s="49"/>
      <c r="T19" s="49">
        <v>46446</v>
      </c>
      <c r="U19" s="49">
        <v>46446</v>
      </c>
      <c r="V19" s="49">
        <v>46446</v>
      </c>
      <c r="W19" s="49">
        <v>46446</v>
      </c>
      <c r="X19" s="48">
        <v>1</v>
      </c>
      <c r="Y19" s="48">
        <v>1</v>
      </c>
      <c r="Z19" s="48">
        <v>1</v>
      </c>
      <c r="AA19" s="156">
        <v>36011519040.949715</v>
      </c>
      <c r="AF19" s="48">
        <v>0</v>
      </c>
      <c r="AG19" s="49" t="s">
        <v>41</v>
      </c>
      <c r="AH19" s="48">
        <v>1</v>
      </c>
      <c r="AI19" s="48" t="s">
        <v>33</v>
      </c>
      <c r="AJ19" s="48" t="s">
        <v>33</v>
      </c>
      <c r="AK19" s="48" t="s">
        <v>33</v>
      </c>
      <c r="AL19" s="48" t="s">
        <v>34</v>
      </c>
      <c r="AN19" s="48">
        <v>0</v>
      </c>
      <c r="AO19" s="48">
        <v>0</v>
      </c>
      <c r="AP19" s="48">
        <v>0</v>
      </c>
      <c r="AQ19" s="48">
        <v>0</v>
      </c>
      <c r="AR19" s="48">
        <v>0</v>
      </c>
      <c r="AS19" s="48">
        <v>0</v>
      </c>
      <c r="AT19" s="48">
        <v>0</v>
      </c>
      <c r="AU19" s="48">
        <v>0</v>
      </c>
      <c r="AV19" s="48">
        <v>0</v>
      </c>
      <c r="AW19" s="48">
        <v>0</v>
      </c>
      <c r="AX19" s="48">
        <v>0</v>
      </c>
      <c r="AY19" s="48">
        <v>0</v>
      </c>
      <c r="AZ19" s="48">
        <v>0</v>
      </c>
      <c r="BA19" s="48">
        <v>0</v>
      </c>
      <c r="BB19" s="48">
        <v>0</v>
      </c>
    </row>
    <row r="20" spans="1:54" x14ac:dyDescent="0.35">
      <c r="A20" s="49">
        <v>45930</v>
      </c>
      <c r="B20" s="48">
        <v>1</v>
      </c>
      <c r="C20" s="50" t="s">
        <v>41</v>
      </c>
      <c r="D20" s="48" t="s">
        <v>31</v>
      </c>
      <c r="E20" s="48" t="s">
        <v>138</v>
      </c>
      <c r="F20" s="48" t="s">
        <v>139</v>
      </c>
      <c r="G20" s="49" t="s">
        <v>56</v>
      </c>
      <c r="H20" s="48" t="s">
        <v>149</v>
      </c>
      <c r="I20" s="48">
        <v>1</v>
      </c>
      <c r="J20" s="48">
        <v>18</v>
      </c>
      <c r="K20" s="48">
        <v>1</v>
      </c>
      <c r="N20" s="48">
        <v>0</v>
      </c>
      <c r="R20" s="49"/>
      <c r="S20" s="49"/>
      <c r="T20" s="49">
        <v>46477</v>
      </c>
      <c r="U20" s="49">
        <v>46477</v>
      </c>
      <c r="V20" s="49">
        <v>46477</v>
      </c>
      <c r="W20" s="49">
        <v>46477</v>
      </c>
      <c r="X20" s="48">
        <v>1</v>
      </c>
      <c r="Y20" s="48">
        <v>1</v>
      </c>
      <c r="Z20" s="48">
        <v>1</v>
      </c>
      <c r="AA20" s="156">
        <v>36011519040.949715</v>
      </c>
      <c r="AF20" s="48">
        <v>0</v>
      </c>
      <c r="AG20" s="49" t="s">
        <v>41</v>
      </c>
      <c r="AH20" s="48">
        <v>1</v>
      </c>
      <c r="AI20" s="48" t="s">
        <v>33</v>
      </c>
      <c r="AJ20" s="48" t="s">
        <v>33</v>
      </c>
      <c r="AK20" s="48" t="s">
        <v>33</v>
      </c>
      <c r="AL20" s="48" t="s">
        <v>34</v>
      </c>
      <c r="AN20" s="48">
        <v>0</v>
      </c>
      <c r="AO20" s="48">
        <v>0</v>
      </c>
      <c r="AP20" s="48">
        <v>0</v>
      </c>
      <c r="AQ20" s="48">
        <v>0</v>
      </c>
      <c r="AR20" s="48">
        <v>0</v>
      </c>
      <c r="AS20" s="48">
        <v>0</v>
      </c>
      <c r="AT20" s="48">
        <v>0</v>
      </c>
      <c r="AU20" s="48">
        <v>0</v>
      </c>
      <c r="AV20" s="48">
        <v>0</v>
      </c>
      <c r="AW20" s="48">
        <v>0</v>
      </c>
      <c r="AX20" s="48">
        <v>0</v>
      </c>
      <c r="AY20" s="48">
        <v>0</v>
      </c>
      <c r="AZ20" s="48">
        <v>0</v>
      </c>
      <c r="BA20" s="48">
        <v>0</v>
      </c>
      <c r="BB20" s="48">
        <v>0</v>
      </c>
    </row>
    <row r="21" spans="1:54" x14ac:dyDescent="0.35">
      <c r="A21" s="49">
        <v>45930</v>
      </c>
      <c r="B21" s="48">
        <v>1</v>
      </c>
      <c r="C21" s="50" t="s">
        <v>41</v>
      </c>
      <c r="D21" s="48" t="s">
        <v>31</v>
      </c>
      <c r="E21" s="48" t="s">
        <v>138</v>
      </c>
      <c r="F21" s="48" t="s">
        <v>139</v>
      </c>
      <c r="G21" s="49" t="s">
        <v>56</v>
      </c>
      <c r="H21" s="48" t="s">
        <v>149</v>
      </c>
      <c r="I21" s="48">
        <v>1</v>
      </c>
      <c r="J21" s="48">
        <v>19</v>
      </c>
      <c r="K21" s="48">
        <v>1</v>
      </c>
      <c r="N21" s="48">
        <v>0</v>
      </c>
      <c r="R21" s="49"/>
      <c r="S21" s="49"/>
      <c r="T21" s="49">
        <v>46507</v>
      </c>
      <c r="U21" s="49">
        <v>46507</v>
      </c>
      <c r="V21" s="49">
        <v>46507</v>
      </c>
      <c r="W21" s="49">
        <v>46507</v>
      </c>
      <c r="X21" s="48">
        <v>1</v>
      </c>
      <c r="Y21" s="48">
        <v>1</v>
      </c>
      <c r="Z21" s="48">
        <v>1</v>
      </c>
      <c r="AA21" s="156">
        <v>36011519040.949715</v>
      </c>
      <c r="AF21" s="48">
        <v>0</v>
      </c>
      <c r="AG21" s="49" t="s">
        <v>41</v>
      </c>
      <c r="AH21" s="48">
        <v>1</v>
      </c>
      <c r="AI21" s="48" t="s">
        <v>33</v>
      </c>
      <c r="AJ21" s="48" t="s">
        <v>33</v>
      </c>
      <c r="AK21" s="48" t="s">
        <v>33</v>
      </c>
      <c r="AL21" s="48" t="s">
        <v>34</v>
      </c>
      <c r="AN21" s="48">
        <v>0</v>
      </c>
      <c r="AO21" s="48">
        <v>0</v>
      </c>
      <c r="AP21" s="48">
        <v>0</v>
      </c>
      <c r="AQ21" s="48">
        <v>0</v>
      </c>
      <c r="AR21" s="48">
        <v>0</v>
      </c>
      <c r="AS21" s="48">
        <v>0</v>
      </c>
      <c r="AT21" s="48">
        <v>0</v>
      </c>
      <c r="AU21" s="48">
        <v>0</v>
      </c>
      <c r="AV21" s="48">
        <v>0</v>
      </c>
      <c r="AW21" s="48">
        <v>0</v>
      </c>
      <c r="AX21" s="48">
        <v>0</v>
      </c>
      <c r="AY21" s="48">
        <v>0</v>
      </c>
      <c r="AZ21" s="48">
        <v>0</v>
      </c>
      <c r="BA21" s="48">
        <v>0</v>
      </c>
      <c r="BB21" s="48">
        <v>0</v>
      </c>
    </row>
    <row r="22" spans="1:54" x14ac:dyDescent="0.35">
      <c r="A22" s="49">
        <v>45930</v>
      </c>
      <c r="B22" s="48">
        <v>1</v>
      </c>
      <c r="C22" s="50" t="s">
        <v>41</v>
      </c>
      <c r="D22" s="48" t="s">
        <v>31</v>
      </c>
      <c r="E22" s="48" t="s">
        <v>138</v>
      </c>
      <c r="F22" s="48" t="s">
        <v>139</v>
      </c>
      <c r="G22" s="49" t="s">
        <v>56</v>
      </c>
      <c r="H22" s="48" t="s">
        <v>149</v>
      </c>
      <c r="I22" s="48">
        <v>1</v>
      </c>
      <c r="J22" s="48">
        <v>20</v>
      </c>
      <c r="K22" s="48">
        <v>1</v>
      </c>
      <c r="N22" s="48">
        <v>0</v>
      </c>
      <c r="R22" s="49"/>
      <c r="S22" s="49"/>
      <c r="T22" s="49">
        <v>46538</v>
      </c>
      <c r="U22" s="49">
        <v>46538</v>
      </c>
      <c r="V22" s="49">
        <v>46538</v>
      </c>
      <c r="W22" s="49">
        <v>46538</v>
      </c>
      <c r="X22" s="48">
        <v>1</v>
      </c>
      <c r="Y22" s="48">
        <v>1</v>
      </c>
      <c r="Z22" s="48">
        <v>1</v>
      </c>
      <c r="AA22" s="156">
        <v>36011519040.949715</v>
      </c>
      <c r="AF22" s="48">
        <v>0</v>
      </c>
      <c r="AG22" s="49" t="s">
        <v>41</v>
      </c>
      <c r="AH22" s="48">
        <v>1</v>
      </c>
      <c r="AI22" s="48" t="s">
        <v>33</v>
      </c>
      <c r="AJ22" s="48" t="s">
        <v>33</v>
      </c>
      <c r="AK22" s="48" t="s">
        <v>33</v>
      </c>
      <c r="AL22" s="48" t="s">
        <v>34</v>
      </c>
      <c r="AN22" s="48">
        <v>0</v>
      </c>
      <c r="AO22" s="48">
        <v>0</v>
      </c>
      <c r="AP22" s="48">
        <v>0</v>
      </c>
      <c r="AQ22" s="48">
        <v>0</v>
      </c>
      <c r="AR22" s="48">
        <v>0</v>
      </c>
      <c r="AS22" s="48">
        <v>0</v>
      </c>
      <c r="AT22" s="48">
        <v>0</v>
      </c>
      <c r="AU22" s="48">
        <v>0</v>
      </c>
      <c r="AV22" s="48">
        <v>0</v>
      </c>
      <c r="AW22" s="48">
        <v>0</v>
      </c>
      <c r="AX22" s="48">
        <v>0</v>
      </c>
      <c r="AY22" s="48">
        <v>0</v>
      </c>
      <c r="AZ22" s="48">
        <v>0</v>
      </c>
      <c r="BA22" s="48">
        <v>0</v>
      </c>
      <c r="BB22" s="48">
        <v>0</v>
      </c>
    </row>
    <row r="23" spans="1:54" x14ac:dyDescent="0.35">
      <c r="A23" s="49">
        <v>45930</v>
      </c>
      <c r="B23" s="48">
        <v>1</v>
      </c>
      <c r="C23" s="50" t="s">
        <v>41</v>
      </c>
      <c r="D23" s="48" t="s">
        <v>31</v>
      </c>
      <c r="E23" s="48" t="s">
        <v>138</v>
      </c>
      <c r="F23" s="48" t="s">
        <v>139</v>
      </c>
      <c r="G23" s="49" t="s">
        <v>56</v>
      </c>
      <c r="H23" s="48" t="s">
        <v>149</v>
      </c>
      <c r="I23" s="48">
        <v>1</v>
      </c>
      <c r="J23" s="48">
        <v>21</v>
      </c>
      <c r="K23" s="48">
        <v>1</v>
      </c>
      <c r="N23" s="48">
        <v>0</v>
      </c>
      <c r="R23" s="49"/>
      <c r="S23" s="49"/>
      <c r="T23" s="49">
        <v>46568</v>
      </c>
      <c r="U23" s="49">
        <v>46568</v>
      </c>
      <c r="V23" s="49">
        <v>46568</v>
      </c>
      <c r="W23" s="49">
        <v>46568</v>
      </c>
      <c r="X23" s="48">
        <v>1</v>
      </c>
      <c r="Y23" s="48">
        <v>1</v>
      </c>
      <c r="Z23" s="48">
        <v>1</v>
      </c>
      <c r="AA23" s="156">
        <v>36011519040.949715</v>
      </c>
      <c r="AF23" s="48">
        <v>0</v>
      </c>
      <c r="AG23" s="49" t="s">
        <v>41</v>
      </c>
      <c r="AH23" s="48">
        <v>1</v>
      </c>
      <c r="AI23" s="48" t="s">
        <v>33</v>
      </c>
      <c r="AJ23" s="48" t="s">
        <v>33</v>
      </c>
      <c r="AK23" s="48" t="s">
        <v>33</v>
      </c>
      <c r="AL23" s="48" t="s">
        <v>34</v>
      </c>
      <c r="AN23" s="48">
        <v>0</v>
      </c>
      <c r="AO23" s="48">
        <v>0</v>
      </c>
      <c r="AP23" s="48">
        <v>0</v>
      </c>
      <c r="AQ23" s="48">
        <v>0</v>
      </c>
      <c r="AR23" s="48">
        <v>0</v>
      </c>
      <c r="AS23" s="48">
        <v>0</v>
      </c>
      <c r="AT23" s="48">
        <v>0</v>
      </c>
      <c r="AU23" s="48">
        <v>0</v>
      </c>
      <c r="AV23" s="48">
        <v>0</v>
      </c>
      <c r="AW23" s="48">
        <v>0</v>
      </c>
      <c r="AX23" s="48">
        <v>0</v>
      </c>
      <c r="AY23" s="48">
        <v>0</v>
      </c>
      <c r="AZ23" s="48">
        <v>0</v>
      </c>
      <c r="BA23" s="48">
        <v>0</v>
      </c>
      <c r="BB23" s="48">
        <v>0</v>
      </c>
    </row>
    <row r="24" spans="1:54" x14ac:dyDescent="0.35">
      <c r="A24" s="49">
        <v>45930</v>
      </c>
      <c r="B24" s="48">
        <v>1</v>
      </c>
      <c r="C24" s="50" t="s">
        <v>41</v>
      </c>
      <c r="D24" s="48" t="s">
        <v>31</v>
      </c>
      <c r="E24" s="48" t="s">
        <v>138</v>
      </c>
      <c r="F24" s="48" t="s">
        <v>139</v>
      </c>
      <c r="G24" s="49" t="s">
        <v>56</v>
      </c>
      <c r="H24" s="48" t="s">
        <v>149</v>
      </c>
      <c r="I24" s="48">
        <v>1</v>
      </c>
      <c r="J24" s="48">
        <v>22</v>
      </c>
      <c r="K24" s="48">
        <v>1</v>
      </c>
      <c r="N24" s="48">
        <v>0</v>
      </c>
      <c r="R24" s="49"/>
      <c r="S24" s="49"/>
      <c r="T24" s="49">
        <v>46599</v>
      </c>
      <c r="U24" s="49">
        <v>46599</v>
      </c>
      <c r="V24" s="49">
        <v>46599</v>
      </c>
      <c r="W24" s="49">
        <v>46599</v>
      </c>
      <c r="X24" s="48">
        <v>1</v>
      </c>
      <c r="Y24" s="48">
        <v>1</v>
      </c>
      <c r="Z24" s="48">
        <v>1</v>
      </c>
      <c r="AA24" s="156">
        <v>36011519040.949715</v>
      </c>
      <c r="AF24" s="48">
        <v>0</v>
      </c>
      <c r="AG24" s="49" t="s">
        <v>41</v>
      </c>
      <c r="AH24" s="48">
        <v>1</v>
      </c>
      <c r="AI24" s="48" t="s">
        <v>33</v>
      </c>
      <c r="AJ24" s="48" t="s">
        <v>33</v>
      </c>
      <c r="AK24" s="48" t="s">
        <v>33</v>
      </c>
      <c r="AL24" s="48" t="s">
        <v>34</v>
      </c>
      <c r="AN24" s="48">
        <v>0</v>
      </c>
      <c r="AO24" s="48">
        <v>0</v>
      </c>
      <c r="AP24" s="48">
        <v>0</v>
      </c>
      <c r="AQ24" s="48">
        <v>0</v>
      </c>
      <c r="AR24" s="48">
        <v>0</v>
      </c>
      <c r="AS24" s="48">
        <v>0</v>
      </c>
      <c r="AT24" s="48">
        <v>0</v>
      </c>
      <c r="AU24" s="48">
        <v>0</v>
      </c>
      <c r="AV24" s="48">
        <v>0</v>
      </c>
      <c r="AW24" s="48">
        <v>0</v>
      </c>
      <c r="AX24" s="48">
        <v>0</v>
      </c>
      <c r="AY24" s="48">
        <v>0</v>
      </c>
      <c r="AZ24" s="48">
        <v>0</v>
      </c>
      <c r="BA24" s="48">
        <v>0</v>
      </c>
      <c r="BB24" s="48">
        <v>0</v>
      </c>
    </row>
    <row r="25" spans="1:54" x14ac:dyDescent="0.35">
      <c r="A25" s="49">
        <v>45930</v>
      </c>
      <c r="B25" s="48">
        <v>1</v>
      </c>
      <c r="C25" s="50" t="s">
        <v>41</v>
      </c>
      <c r="D25" s="48" t="s">
        <v>31</v>
      </c>
      <c r="E25" s="48" t="s">
        <v>138</v>
      </c>
      <c r="F25" s="48" t="s">
        <v>139</v>
      </c>
      <c r="G25" s="49" t="s">
        <v>56</v>
      </c>
      <c r="H25" s="48" t="s">
        <v>149</v>
      </c>
      <c r="I25" s="48">
        <v>1</v>
      </c>
      <c r="J25" s="48">
        <v>23</v>
      </c>
      <c r="K25" s="48">
        <v>1</v>
      </c>
      <c r="N25" s="48">
        <v>0</v>
      </c>
      <c r="R25" s="49"/>
      <c r="S25" s="49"/>
      <c r="T25" s="49">
        <v>46630</v>
      </c>
      <c r="U25" s="49">
        <v>46630</v>
      </c>
      <c r="V25" s="49">
        <v>46630</v>
      </c>
      <c r="W25" s="49">
        <v>46630</v>
      </c>
      <c r="X25" s="48">
        <v>1</v>
      </c>
      <c r="Y25" s="48">
        <v>1</v>
      </c>
      <c r="Z25" s="48">
        <v>1</v>
      </c>
      <c r="AA25" s="156">
        <v>36011519040.949715</v>
      </c>
      <c r="AF25" s="48">
        <v>0</v>
      </c>
      <c r="AG25" s="49" t="s">
        <v>41</v>
      </c>
      <c r="AH25" s="48">
        <v>1</v>
      </c>
      <c r="AI25" s="48" t="s">
        <v>33</v>
      </c>
      <c r="AJ25" s="48" t="s">
        <v>33</v>
      </c>
      <c r="AK25" s="48" t="s">
        <v>33</v>
      </c>
      <c r="AL25" s="48" t="s">
        <v>34</v>
      </c>
      <c r="AN25" s="48">
        <v>0</v>
      </c>
      <c r="AO25" s="48">
        <v>0</v>
      </c>
      <c r="AP25" s="48">
        <v>0</v>
      </c>
      <c r="AQ25" s="48">
        <v>0</v>
      </c>
      <c r="AR25" s="48">
        <v>0</v>
      </c>
      <c r="AS25" s="48">
        <v>0</v>
      </c>
      <c r="AT25" s="48">
        <v>0</v>
      </c>
      <c r="AU25" s="48">
        <v>0</v>
      </c>
      <c r="AV25" s="48">
        <v>0</v>
      </c>
      <c r="AW25" s="48">
        <v>0</v>
      </c>
      <c r="AX25" s="48">
        <v>0</v>
      </c>
      <c r="AY25" s="48">
        <v>0</v>
      </c>
      <c r="AZ25" s="48">
        <v>0</v>
      </c>
      <c r="BA25" s="48">
        <v>0</v>
      </c>
      <c r="BB25" s="48">
        <v>0</v>
      </c>
    </row>
    <row r="26" spans="1:54" x14ac:dyDescent="0.35">
      <c r="A26" s="49">
        <v>45930</v>
      </c>
      <c r="B26" s="48">
        <v>1</v>
      </c>
      <c r="C26" s="50" t="s">
        <v>41</v>
      </c>
      <c r="D26" s="48" t="s">
        <v>31</v>
      </c>
      <c r="E26" s="48" t="s">
        <v>138</v>
      </c>
      <c r="F26" s="48" t="s">
        <v>139</v>
      </c>
      <c r="G26" s="49" t="s">
        <v>56</v>
      </c>
      <c r="H26" s="48" t="s">
        <v>149</v>
      </c>
      <c r="I26" s="48">
        <v>1</v>
      </c>
      <c r="J26" s="48">
        <v>24</v>
      </c>
      <c r="K26" s="48">
        <v>1</v>
      </c>
      <c r="N26" s="48">
        <v>0</v>
      </c>
      <c r="R26" s="49"/>
      <c r="S26" s="49"/>
      <c r="T26" s="49">
        <v>46660</v>
      </c>
      <c r="U26" s="49">
        <v>46660</v>
      </c>
      <c r="V26" s="49">
        <v>46660</v>
      </c>
      <c r="W26" s="49">
        <v>46660</v>
      </c>
      <c r="X26" s="48">
        <v>1</v>
      </c>
      <c r="Y26" s="48">
        <v>1</v>
      </c>
      <c r="Z26" s="48">
        <v>1</v>
      </c>
      <c r="AA26" s="156">
        <v>36011519040.949715</v>
      </c>
      <c r="AF26" s="48">
        <v>0</v>
      </c>
      <c r="AG26" s="49" t="s">
        <v>41</v>
      </c>
      <c r="AH26" s="48">
        <v>1</v>
      </c>
      <c r="AI26" s="48" t="s">
        <v>33</v>
      </c>
      <c r="AJ26" s="48" t="s">
        <v>33</v>
      </c>
      <c r="AK26" s="48" t="s">
        <v>33</v>
      </c>
      <c r="AL26" s="48" t="s">
        <v>34</v>
      </c>
      <c r="AN26" s="48">
        <v>0</v>
      </c>
      <c r="AO26" s="48">
        <v>0</v>
      </c>
      <c r="AP26" s="48">
        <v>0</v>
      </c>
      <c r="AQ26" s="48">
        <v>0</v>
      </c>
      <c r="AR26" s="48">
        <v>0</v>
      </c>
      <c r="AS26" s="48">
        <v>0</v>
      </c>
      <c r="AT26" s="48">
        <v>0</v>
      </c>
      <c r="AU26" s="48">
        <v>0</v>
      </c>
      <c r="AV26" s="48">
        <v>0</v>
      </c>
      <c r="AW26" s="48">
        <v>0</v>
      </c>
      <c r="AX26" s="48">
        <v>0</v>
      </c>
      <c r="AY26" s="48">
        <v>0</v>
      </c>
      <c r="AZ26" s="48">
        <v>0</v>
      </c>
      <c r="BA26" s="48">
        <v>0</v>
      </c>
      <c r="BB26" s="48">
        <v>0</v>
      </c>
    </row>
    <row r="27" spans="1:54" x14ac:dyDescent="0.35">
      <c r="A27" s="49">
        <v>45930</v>
      </c>
      <c r="B27" s="48">
        <v>1</v>
      </c>
      <c r="C27" s="50" t="s">
        <v>41</v>
      </c>
      <c r="D27" s="48" t="s">
        <v>31</v>
      </c>
      <c r="E27" s="48" t="s">
        <v>138</v>
      </c>
      <c r="F27" s="48" t="s">
        <v>139</v>
      </c>
      <c r="G27" s="49" t="s">
        <v>56</v>
      </c>
      <c r="H27" s="48" t="s">
        <v>149</v>
      </c>
      <c r="I27" s="48">
        <v>1</v>
      </c>
      <c r="J27" s="48">
        <v>25</v>
      </c>
      <c r="K27" s="48">
        <v>1</v>
      </c>
      <c r="N27" s="48">
        <v>0</v>
      </c>
      <c r="R27" s="49"/>
      <c r="S27" s="49"/>
      <c r="T27" s="49">
        <v>46691</v>
      </c>
      <c r="U27" s="49">
        <v>46691</v>
      </c>
      <c r="V27" s="49">
        <v>46691</v>
      </c>
      <c r="W27" s="49">
        <v>46691</v>
      </c>
      <c r="X27" s="48">
        <v>1</v>
      </c>
      <c r="Y27" s="48">
        <v>1</v>
      </c>
      <c r="Z27" s="48">
        <v>1</v>
      </c>
      <c r="AA27" s="156">
        <v>36011519040.949715</v>
      </c>
      <c r="AF27" s="48">
        <v>0</v>
      </c>
      <c r="AG27" s="49" t="s">
        <v>41</v>
      </c>
      <c r="AH27" s="48">
        <v>1</v>
      </c>
      <c r="AI27" s="48" t="s">
        <v>33</v>
      </c>
      <c r="AJ27" s="48" t="s">
        <v>33</v>
      </c>
      <c r="AK27" s="48" t="s">
        <v>33</v>
      </c>
      <c r="AL27" s="48" t="s">
        <v>34</v>
      </c>
      <c r="AN27" s="48">
        <v>0</v>
      </c>
      <c r="AO27" s="48">
        <v>0</v>
      </c>
      <c r="AP27" s="48">
        <v>0</v>
      </c>
      <c r="AQ27" s="48">
        <v>0</v>
      </c>
      <c r="AR27" s="48">
        <v>0</v>
      </c>
      <c r="AS27" s="48">
        <v>0</v>
      </c>
      <c r="AT27" s="48">
        <v>0</v>
      </c>
      <c r="AU27" s="48">
        <v>0</v>
      </c>
      <c r="AV27" s="48">
        <v>0</v>
      </c>
      <c r="AW27" s="48">
        <v>0</v>
      </c>
      <c r="AX27" s="48">
        <v>0</v>
      </c>
      <c r="AY27" s="48">
        <v>0</v>
      </c>
      <c r="AZ27" s="48">
        <v>0</v>
      </c>
      <c r="BA27" s="48">
        <v>0</v>
      </c>
      <c r="BB27" s="48">
        <v>0</v>
      </c>
    </row>
    <row r="28" spans="1:54" x14ac:dyDescent="0.35">
      <c r="A28" s="49">
        <v>45930</v>
      </c>
      <c r="B28" s="48">
        <v>1</v>
      </c>
      <c r="C28" s="50" t="s">
        <v>41</v>
      </c>
      <c r="D28" s="48" t="s">
        <v>31</v>
      </c>
      <c r="E28" s="48" t="s">
        <v>138</v>
      </c>
      <c r="F28" s="48" t="s">
        <v>139</v>
      </c>
      <c r="G28" s="49" t="s">
        <v>56</v>
      </c>
      <c r="H28" s="48" t="s">
        <v>149</v>
      </c>
      <c r="I28" s="48">
        <v>1</v>
      </c>
      <c r="J28" s="48">
        <v>26</v>
      </c>
      <c r="K28" s="48">
        <v>1</v>
      </c>
      <c r="N28" s="48">
        <v>0</v>
      </c>
      <c r="R28" s="49"/>
      <c r="S28" s="49"/>
      <c r="T28" s="49">
        <v>46721</v>
      </c>
      <c r="U28" s="49">
        <v>46721</v>
      </c>
      <c r="V28" s="49">
        <v>46721</v>
      </c>
      <c r="W28" s="49">
        <v>46721</v>
      </c>
      <c r="X28" s="48">
        <v>1</v>
      </c>
      <c r="Y28" s="48">
        <v>1</v>
      </c>
      <c r="Z28" s="48">
        <v>1</v>
      </c>
      <c r="AA28" s="156">
        <v>36011519040.949715</v>
      </c>
      <c r="AF28" s="48">
        <v>0</v>
      </c>
      <c r="AG28" s="49" t="s">
        <v>41</v>
      </c>
      <c r="AH28" s="48">
        <v>1</v>
      </c>
      <c r="AI28" s="48" t="s">
        <v>33</v>
      </c>
      <c r="AJ28" s="48" t="s">
        <v>33</v>
      </c>
      <c r="AK28" s="48" t="s">
        <v>33</v>
      </c>
      <c r="AL28" s="48" t="s">
        <v>34</v>
      </c>
      <c r="AN28" s="48">
        <v>0</v>
      </c>
      <c r="AO28" s="48">
        <v>0</v>
      </c>
      <c r="AP28" s="48">
        <v>0</v>
      </c>
      <c r="AQ28" s="48">
        <v>0</v>
      </c>
      <c r="AR28" s="48">
        <v>0</v>
      </c>
      <c r="AS28" s="48">
        <v>0</v>
      </c>
      <c r="AT28" s="48">
        <v>0</v>
      </c>
      <c r="AU28" s="48">
        <v>0</v>
      </c>
      <c r="AV28" s="48">
        <v>0</v>
      </c>
      <c r="AW28" s="48">
        <v>0</v>
      </c>
      <c r="AX28" s="48">
        <v>0</v>
      </c>
      <c r="AY28" s="48">
        <v>0</v>
      </c>
      <c r="AZ28" s="48">
        <v>0</v>
      </c>
      <c r="BA28" s="48">
        <v>0</v>
      </c>
      <c r="BB28" s="48">
        <v>0</v>
      </c>
    </row>
    <row r="29" spans="1:54" x14ac:dyDescent="0.35">
      <c r="A29" s="49">
        <v>45930</v>
      </c>
      <c r="B29" s="48">
        <v>1</v>
      </c>
      <c r="C29" s="50" t="s">
        <v>41</v>
      </c>
      <c r="D29" s="48" t="s">
        <v>31</v>
      </c>
      <c r="E29" s="48" t="s">
        <v>138</v>
      </c>
      <c r="F29" s="48" t="s">
        <v>139</v>
      </c>
      <c r="G29" s="49" t="s">
        <v>56</v>
      </c>
      <c r="H29" s="48" t="s">
        <v>149</v>
      </c>
      <c r="I29" s="48">
        <v>1</v>
      </c>
      <c r="J29" s="48">
        <v>27</v>
      </c>
      <c r="K29" s="48">
        <v>1</v>
      </c>
      <c r="N29" s="48">
        <v>0</v>
      </c>
      <c r="R29" s="49"/>
      <c r="S29" s="49"/>
      <c r="T29" s="49">
        <v>46752</v>
      </c>
      <c r="U29" s="49">
        <v>46752</v>
      </c>
      <c r="V29" s="49">
        <v>46752</v>
      </c>
      <c r="W29" s="49">
        <v>46752</v>
      </c>
      <c r="X29" s="48">
        <v>1</v>
      </c>
      <c r="Y29" s="48">
        <v>1</v>
      </c>
      <c r="Z29" s="48">
        <v>1</v>
      </c>
      <c r="AA29" s="156">
        <v>36011519040.949715</v>
      </c>
      <c r="AF29" s="48">
        <v>0</v>
      </c>
      <c r="AG29" s="49" t="s">
        <v>41</v>
      </c>
      <c r="AH29" s="48">
        <v>1</v>
      </c>
      <c r="AI29" s="48" t="s">
        <v>33</v>
      </c>
      <c r="AJ29" s="48" t="s">
        <v>33</v>
      </c>
      <c r="AK29" s="48" t="s">
        <v>33</v>
      </c>
      <c r="AL29" s="48" t="s">
        <v>34</v>
      </c>
      <c r="AN29" s="48">
        <v>0</v>
      </c>
      <c r="AO29" s="48">
        <v>0</v>
      </c>
      <c r="AP29" s="48">
        <v>0</v>
      </c>
      <c r="AQ29" s="48">
        <v>0</v>
      </c>
      <c r="AR29" s="48">
        <v>0</v>
      </c>
      <c r="AS29" s="48">
        <v>0</v>
      </c>
      <c r="AT29" s="48">
        <v>0</v>
      </c>
      <c r="AU29" s="48">
        <v>0</v>
      </c>
      <c r="AV29" s="48">
        <v>0</v>
      </c>
      <c r="AW29" s="48">
        <v>0</v>
      </c>
      <c r="AX29" s="48">
        <v>0</v>
      </c>
      <c r="AY29" s="48">
        <v>0</v>
      </c>
      <c r="AZ29" s="48">
        <v>0</v>
      </c>
      <c r="BA29" s="48">
        <v>0</v>
      </c>
      <c r="BB29" s="48">
        <v>0</v>
      </c>
    </row>
    <row r="30" spans="1:54" x14ac:dyDescent="0.35">
      <c r="A30" s="49">
        <v>45930</v>
      </c>
      <c r="B30" s="48">
        <v>1</v>
      </c>
      <c r="C30" s="50" t="s">
        <v>41</v>
      </c>
      <c r="D30" s="48" t="s">
        <v>31</v>
      </c>
      <c r="E30" s="48" t="s">
        <v>138</v>
      </c>
      <c r="F30" s="48" t="s">
        <v>139</v>
      </c>
      <c r="G30" s="49" t="s">
        <v>56</v>
      </c>
      <c r="H30" s="48" t="s">
        <v>149</v>
      </c>
      <c r="I30" s="48">
        <v>1</v>
      </c>
      <c r="J30" s="48">
        <v>28</v>
      </c>
      <c r="K30" s="48">
        <v>1</v>
      </c>
      <c r="N30" s="48">
        <v>0</v>
      </c>
      <c r="R30" s="49"/>
      <c r="S30" s="49"/>
      <c r="T30" s="49">
        <v>46783</v>
      </c>
      <c r="U30" s="49">
        <v>46783</v>
      </c>
      <c r="V30" s="49">
        <v>46783</v>
      </c>
      <c r="W30" s="49">
        <v>46783</v>
      </c>
      <c r="X30" s="48">
        <v>1</v>
      </c>
      <c r="Y30" s="48">
        <v>1</v>
      </c>
      <c r="Z30" s="48">
        <v>1</v>
      </c>
      <c r="AA30" s="156">
        <v>36011519040.949715</v>
      </c>
      <c r="AF30" s="48">
        <v>0</v>
      </c>
      <c r="AG30" s="49" t="s">
        <v>41</v>
      </c>
      <c r="AH30" s="48">
        <v>1</v>
      </c>
      <c r="AI30" s="48" t="s">
        <v>33</v>
      </c>
      <c r="AJ30" s="48" t="s">
        <v>33</v>
      </c>
      <c r="AK30" s="48" t="s">
        <v>33</v>
      </c>
      <c r="AL30" s="48" t="s">
        <v>34</v>
      </c>
      <c r="AN30" s="48">
        <v>0</v>
      </c>
      <c r="AO30" s="48">
        <v>0</v>
      </c>
      <c r="AP30" s="48">
        <v>0</v>
      </c>
      <c r="AQ30" s="48">
        <v>0</v>
      </c>
      <c r="AR30" s="48">
        <v>0</v>
      </c>
      <c r="AS30" s="48">
        <v>0</v>
      </c>
      <c r="AT30" s="48">
        <v>0</v>
      </c>
      <c r="AU30" s="48">
        <v>0</v>
      </c>
      <c r="AV30" s="48">
        <v>0</v>
      </c>
      <c r="AW30" s="48">
        <v>0</v>
      </c>
      <c r="AX30" s="48">
        <v>0</v>
      </c>
      <c r="AY30" s="48">
        <v>0</v>
      </c>
      <c r="AZ30" s="48">
        <v>0</v>
      </c>
      <c r="BA30" s="48">
        <v>0</v>
      </c>
      <c r="BB30" s="48">
        <v>0</v>
      </c>
    </row>
    <row r="31" spans="1:54" x14ac:dyDescent="0.35">
      <c r="A31" s="49">
        <v>45930</v>
      </c>
      <c r="B31" s="48">
        <v>1</v>
      </c>
      <c r="C31" s="50" t="s">
        <v>41</v>
      </c>
      <c r="D31" s="48" t="s">
        <v>31</v>
      </c>
      <c r="E31" s="48" t="s">
        <v>138</v>
      </c>
      <c r="F31" s="48" t="s">
        <v>139</v>
      </c>
      <c r="G31" s="49" t="s">
        <v>56</v>
      </c>
      <c r="H31" s="48" t="s">
        <v>149</v>
      </c>
      <c r="I31" s="48">
        <v>1</v>
      </c>
      <c r="J31" s="48">
        <v>29</v>
      </c>
      <c r="K31" s="48">
        <v>1</v>
      </c>
      <c r="N31" s="48">
        <v>0</v>
      </c>
      <c r="R31" s="49"/>
      <c r="S31" s="49"/>
      <c r="T31" s="49">
        <v>46812</v>
      </c>
      <c r="U31" s="49">
        <v>46812</v>
      </c>
      <c r="V31" s="49">
        <v>46812</v>
      </c>
      <c r="W31" s="49">
        <v>46812</v>
      </c>
      <c r="X31" s="48">
        <v>1</v>
      </c>
      <c r="Y31" s="48">
        <v>1</v>
      </c>
      <c r="Z31" s="48">
        <v>1</v>
      </c>
      <c r="AA31" s="156">
        <v>36011519040.949715</v>
      </c>
      <c r="AF31" s="48">
        <v>0</v>
      </c>
      <c r="AG31" s="49" t="s">
        <v>41</v>
      </c>
      <c r="AH31" s="48">
        <v>1</v>
      </c>
      <c r="AI31" s="48" t="s">
        <v>33</v>
      </c>
      <c r="AJ31" s="48" t="s">
        <v>33</v>
      </c>
      <c r="AK31" s="48" t="s">
        <v>33</v>
      </c>
      <c r="AL31" s="48" t="s">
        <v>34</v>
      </c>
      <c r="AN31" s="48">
        <v>0</v>
      </c>
      <c r="AO31" s="48">
        <v>0</v>
      </c>
      <c r="AP31" s="48">
        <v>0</v>
      </c>
      <c r="AQ31" s="48">
        <v>0</v>
      </c>
      <c r="AR31" s="48">
        <v>0</v>
      </c>
      <c r="AS31" s="48">
        <v>0</v>
      </c>
      <c r="AT31" s="48">
        <v>0</v>
      </c>
      <c r="AU31" s="48">
        <v>0</v>
      </c>
      <c r="AV31" s="48">
        <v>0</v>
      </c>
      <c r="AW31" s="48">
        <v>0</v>
      </c>
      <c r="AX31" s="48">
        <v>0</v>
      </c>
      <c r="AY31" s="48">
        <v>0</v>
      </c>
      <c r="AZ31" s="48">
        <v>0</v>
      </c>
      <c r="BA31" s="48">
        <v>0</v>
      </c>
      <c r="BB31" s="48">
        <v>0</v>
      </c>
    </row>
    <row r="32" spans="1:54" x14ac:dyDescent="0.35">
      <c r="A32" s="49">
        <v>45930</v>
      </c>
      <c r="B32" s="48">
        <v>1</v>
      </c>
      <c r="C32" s="50" t="s">
        <v>41</v>
      </c>
      <c r="D32" s="48" t="s">
        <v>31</v>
      </c>
      <c r="E32" s="48" t="s">
        <v>138</v>
      </c>
      <c r="F32" s="48" t="s">
        <v>139</v>
      </c>
      <c r="G32" s="49" t="s">
        <v>56</v>
      </c>
      <c r="H32" s="48" t="s">
        <v>149</v>
      </c>
      <c r="I32" s="48">
        <v>1</v>
      </c>
      <c r="J32" s="48">
        <v>30</v>
      </c>
      <c r="K32" s="48">
        <v>1</v>
      </c>
      <c r="N32" s="48">
        <v>0</v>
      </c>
      <c r="R32" s="49"/>
      <c r="S32" s="49"/>
      <c r="T32" s="49">
        <v>46843</v>
      </c>
      <c r="U32" s="49">
        <v>46843</v>
      </c>
      <c r="V32" s="49">
        <v>46843</v>
      </c>
      <c r="W32" s="49">
        <v>46843</v>
      </c>
      <c r="X32" s="48">
        <v>1</v>
      </c>
      <c r="Y32" s="48">
        <v>1</v>
      </c>
      <c r="Z32" s="48">
        <v>1</v>
      </c>
      <c r="AA32" s="156">
        <v>36011519040.949715</v>
      </c>
      <c r="AF32" s="48">
        <v>0</v>
      </c>
      <c r="AG32" s="49" t="s">
        <v>41</v>
      </c>
      <c r="AH32" s="48">
        <v>1</v>
      </c>
      <c r="AI32" s="48" t="s">
        <v>33</v>
      </c>
      <c r="AJ32" s="48" t="s">
        <v>33</v>
      </c>
      <c r="AK32" s="48" t="s">
        <v>33</v>
      </c>
      <c r="AL32" s="48" t="s">
        <v>34</v>
      </c>
      <c r="AN32" s="48">
        <v>0</v>
      </c>
      <c r="AO32" s="48">
        <v>0</v>
      </c>
      <c r="AP32" s="48">
        <v>0</v>
      </c>
      <c r="AQ32" s="48">
        <v>0</v>
      </c>
      <c r="AR32" s="48">
        <v>0</v>
      </c>
      <c r="AS32" s="48">
        <v>0</v>
      </c>
      <c r="AT32" s="48">
        <v>0</v>
      </c>
      <c r="AU32" s="48">
        <v>0</v>
      </c>
      <c r="AV32" s="48">
        <v>0</v>
      </c>
      <c r="AW32" s="48">
        <v>0</v>
      </c>
      <c r="AX32" s="48">
        <v>0</v>
      </c>
      <c r="AY32" s="48">
        <v>0</v>
      </c>
      <c r="AZ32" s="48">
        <v>0</v>
      </c>
      <c r="BA32" s="48">
        <v>0</v>
      </c>
      <c r="BB32" s="48">
        <v>0</v>
      </c>
    </row>
    <row r="33" spans="1:54" x14ac:dyDescent="0.35">
      <c r="A33" s="49">
        <v>45930</v>
      </c>
      <c r="B33" s="48">
        <v>1</v>
      </c>
      <c r="C33" s="50" t="s">
        <v>41</v>
      </c>
      <c r="D33" s="48" t="s">
        <v>31</v>
      </c>
      <c r="E33" s="48" t="s">
        <v>138</v>
      </c>
      <c r="F33" s="48" t="s">
        <v>139</v>
      </c>
      <c r="G33" s="49" t="s">
        <v>56</v>
      </c>
      <c r="H33" s="48" t="s">
        <v>149</v>
      </c>
      <c r="I33" s="48">
        <v>1</v>
      </c>
      <c r="J33" s="48">
        <v>31</v>
      </c>
      <c r="K33" s="48">
        <v>1</v>
      </c>
      <c r="N33" s="48">
        <v>0</v>
      </c>
      <c r="R33" s="49"/>
      <c r="S33" s="49"/>
      <c r="T33" s="49">
        <v>46873</v>
      </c>
      <c r="U33" s="49">
        <v>46873</v>
      </c>
      <c r="V33" s="49">
        <v>46873</v>
      </c>
      <c r="W33" s="49">
        <v>46873</v>
      </c>
      <c r="X33" s="48">
        <v>1</v>
      </c>
      <c r="Y33" s="48">
        <v>1</v>
      </c>
      <c r="Z33" s="48">
        <v>1</v>
      </c>
      <c r="AA33" s="156">
        <v>36011519040.949715</v>
      </c>
      <c r="AF33" s="48">
        <v>0</v>
      </c>
      <c r="AG33" s="49" t="s">
        <v>41</v>
      </c>
      <c r="AH33" s="48">
        <v>1</v>
      </c>
      <c r="AI33" s="48" t="s">
        <v>33</v>
      </c>
      <c r="AJ33" s="48" t="s">
        <v>33</v>
      </c>
      <c r="AK33" s="48" t="s">
        <v>33</v>
      </c>
      <c r="AL33" s="48" t="s">
        <v>34</v>
      </c>
      <c r="AN33" s="48">
        <v>0</v>
      </c>
      <c r="AO33" s="48">
        <v>0</v>
      </c>
      <c r="AP33" s="48">
        <v>0</v>
      </c>
      <c r="AQ33" s="48">
        <v>0</v>
      </c>
      <c r="AR33" s="48">
        <v>0</v>
      </c>
      <c r="AS33" s="48">
        <v>0</v>
      </c>
      <c r="AT33" s="48">
        <v>0</v>
      </c>
      <c r="AU33" s="48">
        <v>0</v>
      </c>
      <c r="AV33" s="48">
        <v>0</v>
      </c>
      <c r="AW33" s="48">
        <v>0</v>
      </c>
      <c r="AX33" s="48">
        <v>0</v>
      </c>
      <c r="AY33" s="48">
        <v>0</v>
      </c>
      <c r="AZ33" s="48">
        <v>0</v>
      </c>
      <c r="BA33" s="48">
        <v>0</v>
      </c>
      <c r="BB33" s="48">
        <v>0</v>
      </c>
    </row>
    <row r="34" spans="1:54" x14ac:dyDescent="0.35">
      <c r="A34" s="49">
        <v>45930</v>
      </c>
      <c r="B34" s="48">
        <v>1</v>
      </c>
      <c r="C34" s="50" t="s">
        <v>41</v>
      </c>
      <c r="D34" s="48" t="s">
        <v>31</v>
      </c>
      <c r="E34" s="48" t="s">
        <v>138</v>
      </c>
      <c r="F34" s="48" t="s">
        <v>139</v>
      </c>
      <c r="G34" s="49" t="s">
        <v>56</v>
      </c>
      <c r="H34" s="48" t="s">
        <v>149</v>
      </c>
      <c r="I34" s="48">
        <v>1</v>
      </c>
      <c r="J34" s="48">
        <v>32</v>
      </c>
      <c r="K34" s="48">
        <v>1</v>
      </c>
      <c r="N34" s="48">
        <v>0</v>
      </c>
      <c r="R34" s="49"/>
      <c r="S34" s="49"/>
      <c r="T34" s="49">
        <v>46904</v>
      </c>
      <c r="U34" s="49">
        <v>46904</v>
      </c>
      <c r="V34" s="49">
        <v>46904</v>
      </c>
      <c r="W34" s="49">
        <v>46904</v>
      </c>
      <c r="X34" s="48">
        <v>1</v>
      </c>
      <c r="Y34" s="48">
        <v>1</v>
      </c>
      <c r="Z34" s="48">
        <v>1</v>
      </c>
      <c r="AA34" s="156">
        <v>36011519040.949715</v>
      </c>
      <c r="AF34" s="48">
        <v>0</v>
      </c>
      <c r="AG34" s="49" t="s">
        <v>41</v>
      </c>
      <c r="AH34" s="48">
        <v>1</v>
      </c>
      <c r="AI34" s="48" t="s">
        <v>33</v>
      </c>
      <c r="AJ34" s="48" t="s">
        <v>33</v>
      </c>
      <c r="AK34" s="48" t="s">
        <v>33</v>
      </c>
      <c r="AL34" s="48" t="s">
        <v>34</v>
      </c>
      <c r="AN34" s="48">
        <v>0</v>
      </c>
      <c r="AO34" s="48">
        <v>0</v>
      </c>
      <c r="AP34" s="48">
        <v>0</v>
      </c>
      <c r="AQ34" s="48">
        <v>0</v>
      </c>
      <c r="AR34" s="48">
        <v>0</v>
      </c>
      <c r="AS34" s="48">
        <v>0</v>
      </c>
      <c r="AT34" s="48">
        <v>0</v>
      </c>
      <c r="AU34" s="48">
        <v>0</v>
      </c>
      <c r="AV34" s="48">
        <v>0</v>
      </c>
      <c r="AW34" s="48">
        <v>0</v>
      </c>
      <c r="AX34" s="48">
        <v>0</v>
      </c>
      <c r="AY34" s="48">
        <v>0</v>
      </c>
      <c r="AZ34" s="48">
        <v>0</v>
      </c>
      <c r="BA34" s="48">
        <v>0</v>
      </c>
      <c r="BB34" s="48">
        <v>0</v>
      </c>
    </row>
    <row r="35" spans="1:54" x14ac:dyDescent="0.35">
      <c r="A35" s="49">
        <v>45930</v>
      </c>
      <c r="B35" s="48">
        <v>1</v>
      </c>
      <c r="C35" s="50" t="s">
        <v>41</v>
      </c>
      <c r="D35" s="48" t="s">
        <v>31</v>
      </c>
      <c r="E35" s="48" t="s">
        <v>138</v>
      </c>
      <c r="F35" s="48" t="s">
        <v>139</v>
      </c>
      <c r="G35" s="49" t="s">
        <v>56</v>
      </c>
      <c r="H35" s="48" t="s">
        <v>149</v>
      </c>
      <c r="I35" s="48">
        <v>1</v>
      </c>
      <c r="J35" s="48">
        <v>33</v>
      </c>
      <c r="K35" s="48">
        <v>1</v>
      </c>
      <c r="N35" s="48">
        <v>0</v>
      </c>
      <c r="R35" s="49"/>
      <c r="S35" s="49"/>
      <c r="T35" s="49">
        <v>46934</v>
      </c>
      <c r="U35" s="49">
        <v>46934</v>
      </c>
      <c r="V35" s="49">
        <v>46934</v>
      </c>
      <c r="W35" s="49">
        <v>46934</v>
      </c>
      <c r="X35" s="48">
        <v>1</v>
      </c>
      <c r="Y35" s="48">
        <v>1</v>
      </c>
      <c r="Z35" s="48">
        <v>1</v>
      </c>
      <c r="AA35" s="156">
        <v>3459166099.7732425</v>
      </c>
      <c r="AF35" s="48">
        <v>0</v>
      </c>
      <c r="AG35" s="49" t="s">
        <v>41</v>
      </c>
      <c r="AH35" s="48">
        <v>1</v>
      </c>
      <c r="AI35" s="48" t="s">
        <v>33</v>
      </c>
      <c r="AJ35" s="48" t="s">
        <v>33</v>
      </c>
      <c r="AK35" s="48" t="s">
        <v>33</v>
      </c>
      <c r="AL35" s="48" t="s">
        <v>34</v>
      </c>
      <c r="AN35" s="48">
        <v>0</v>
      </c>
      <c r="AO35" s="48">
        <v>0</v>
      </c>
      <c r="AP35" s="48">
        <v>0</v>
      </c>
      <c r="AQ35" s="48">
        <v>0</v>
      </c>
      <c r="AR35" s="48">
        <v>0</v>
      </c>
      <c r="AS35" s="48">
        <v>0</v>
      </c>
      <c r="AT35" s="48">
        <v>0</v>
      </c>
      <c r="AU35" s="48">
        <v>0</v>
      </c>
      <c r="AV35" s="48">
        <v>0</v>
      </c>
      <c r="AW35" s="48">
        <v>0</v>
      </c>
      <c r="AX35" s="48">
        <v>0</v>
      </c>
      <c r="AY35" s="48">
        <v>0</v>
      </c>
      <c r="AZ35" s="48">
        <v>0</v>
      </c>
      <c r="BA35" s="48">
        <v>0</v>
      </c>
      <c r="BB35" s="48">
        <v>0</v>
      </c>
    </row>
    <row r="36" spans="1:54" x14ac:dyDescent="0.35">
      <c r="A36" s="49">
        <v>45930</v>
      </c>
      <c r="B36" s="48">
        <v>1</v>
      </c>
      <c r="C36" s="50" t="s">
        <v>41</v>
      </c>
      <c r="D36" s="48" t="s">
        <v>31</v>
      </c>
      <c r="E36" s="48" t="s">
        <v>138</v>
      </c>
      <c r="F36" s="48" t="s">
        <v>139</v>
      </c>
      <c r="G36" s="49" t="s">
        <v>56</v>
      </c>
      <c r="H36" s="48" t="s">
        <v>149</v>
      </c>
      <c r="I36" s="48">
        <v>1</v>
      </c>
      <c r="J36" s="48">
        <v>34</v>
      </c>
      <c r="K36" s="48">
        <v>1</v>
      </c>
      <c r="N36" s="48">
        <v>0</v>
      </c>
      <c r="R36" s="49"/>
      <c r="S36" s="49"/>
      <c r="T36" s="49">
        <v>46965</v>
      </c>
      <c r="U36" s="49">
        <v>46965</v>
      </c>
      <c r="V36" s="49">
        <v>46965</v>
      </c>
      <c r="W36" s="49">
        <v>46965</v>
      </c>
      <c r="X36" s="48">
        <v>1</v>
      </c>
      <c r="Y36" s="48">
        <v>1</v>
      </c>
      <c r="Z36" s="48">
        <v>1</v>
      </c>
      <c r="AA36" s="156">
        <v>3459166099.7732425</v>
      </c>
      <c r="AF36" s="48">
        <v>0</v>
      </c>
      <c r="AG36" s="49" t="s">
        <v>41</v>
      </c>
      <c r="AH36" s="48">
        <v>1</v>
      </c>
      <c r="AI36" s="48" t="s">
        <v>33</v>
      </c>
      <c r="AJ36" s="48" t="s">
        <v>33</v>
      </c>
      <c r="AK36" s="48" t="s">
        <v>33</v>
      </c>
      <c r="AL36" s="48" t="s">
        <v>34</v>
      </c>
      <c r="AN36" s="48">
        <v>0</v>
      </c>
      <c r="AO36" s="48">
        <v>0</v>
      </c>
      <c r="AP36" s="48">
        <v>0</v>
      </c>
      <c r="AQ36" s="48">
        <v>0</v>
      </c>
      <c r="AR36" s="48">
        <v>0</v>
      </c>
      <c r="AS36" s="48">
        <v>0</v>
      </c>
      <c r="AT36" s="48">
        <v>0</v>
      </c>
      <c r="AU36" s="48">
        <v>0</v>
      </c>
      <c r="AV36" s="48">
        <v>0</v>
      </c>
      <c r="AW36" s="48">
        <v>0</v>
      </c>
      <c r="AX36" s="48">
        <v>0</v>
      </c>
      <c r="AY36" s="48">
        <v>0</v>
      </c>
      <c r="AZ36" s="48">
        <v>0</v>
      </c>
      <c r="BA36" s="48">
        <v>0</v>
      </c>
      <c r="BB36" s="48">
        <v>0</v>
      </c>
    </row>
    <row r="37" spans="1:54" x14ac:dyDescent="0.35">
      <c r="A37" s="49">
        <v>45930</v>
      </c>
      <c r="B37" s="48">
        <v>1</v>
      </c>
      <c r="C37" s="50" t="s">
        <v>41</v>
      </c>
      <c r="D37" s="48" t="s">
        <v>31</v>
      </c>
      <c r="E37" s="48" t="s">
        <v>138</v>
      </c>
      <c r="F37" s="48" t="s">
        <v>139</v>
      </c>
      <c r="G37" s="49" t="s">
        <v>56</v>
      </c>
      <c r="H37" s="48" t="s">
        <v>149</v>
      </c>
      <c r="I37" s="48">
        <v>1</v>
      </c>
      <c r="J37" s="48">
        <v>35</v>
      </c>
      <c r="K37" s="48">
        <v>1</v>
      </c>
      <c r="N37" s="48">
        <v>0</v>
      </c>
      <c r="R37" s="49"/>
      <c r="S37" s="49"/>
      <c r="T37" s="49">
        <v>45961</v>
      </c>
      <c r="U37" s="49">
        <v>45961</v>
      </c>
      <c r="V37" s="49">
        <v>45961</v>
      </c>
      <c r="W37" s="49">
        <v>45961</v>
      </c>
      <c r="X37" s="48">
        <v>1</v>
      </c>
      <c r="Y37" s="48">
        <v>1</v>
      </c>
      <c r="Z37" s="48">
        <v>1</v>
      </c>
      <c r="AA37" s="156">
        <v>3459166099.7732425</v>
      </c>
      <c r="AF37" s="48">
        <v>0</v>
      </c>
      <c r="AG37" s="49" t="s">
        <v>41</v>
      </c>
      <c r="AH37" s="48">
        <v>1</v>
      </c>
      <c r="AI37" s="48" t="s">
        <v>33</v>
      </c>
      <c r="AJ37" s="48" t="s">
        <v>33</v>
      </c>
      <c r="AK37" s="48" t="s">
        <v>33</v>
      </c>
      <c r="AL37" s="48" t="s">
        <v>34</v>
      </c>
      <c r="AN37" s="48">
        <v>0</v>
      </c>
      <c r="AO37" s="48">
        <v>0</v>
      </c>
      <c r="AP37" s="48">
        <v>0</v>
      </c>
      <c r="AQ37" s="48">
        <v>0</v>
      </c>
      <c r="AR37" s="48">
        <v>0</v>
      </c>
      <c r="AS37" s="48">
        <v>0</v>
      </c>
      <c r="AT37" s="48">
        <v>0</v>
      </c>
      <c r="AU37" s="48">
        <v>0</v>
      </c>
      <c r="AV37" s="48">
        <v>0</v>
      </c>
      <c r="AW37" s="48">
        <v>0</v>
      </c>
      <c r="AX37" s="48">
        <v>0</v>
      </c>
      <c r="AY37" s="48">
        <v>0</v>
      </c>
      <c r="AZ37" s="48">
        <v>0</v>
      </c>
      <c r="BA37" s="48">
        <v>0</v>
      </c>
      <c r="BB37" s="48">
        <v>0</v>
      </c>
    </row>
    <row r="38" spans="1:54" x14ac:dyDescent="0.35">
      <c r="A38" s="49">
        <v>45930</v>
      </c>
      <c r="B38" s="48">
        <v>1</v>
      </c>
      <c r="C38" s="50" t="s">
        <v>41</v>
      </c>
      <c r="D38" s="48" t="s">
        <v>31</v>
      </c>
      <c r="E38" s="48" t="s">
        <v>138</v>
      </c>
      <c r="F38" s="48" t="s">
        <v>139</v>
      </c>
      <c r="G38" s="49" t="s">
        <v>56</v>
      </c>
      <c r="H38" s="48" t="s">
        <v>149</v>
      </c>
      <c r="I38" s="48">
        <v>1</v>
      </c>
      <c r="J38" s="48">
        <v>36</v>
      </c>
      <c r="K38" s="48">
        <v>1</v>
      </c>
      <c r="N38" s="48">
        <v>0</v>
      </c>
      <c r="R38" s="49"/>
      <c r="S38" s="49"/>
      <c r="T38" s="49">
        <v>45991</v>
      </c>
      <c r="U38" s="49">
        <v>45991</v>
      </c>
      <c r="V38" s="49">
        <v>45991</v>
      </c>
      <c r="W38" s="49">
        <v>45991</v>
      </c>
      <c r="X38" s="48">
        <v>1</v>
      </c>
      <c r="Y38" s="48">
        <v>1</v>
      </c>
      <c r="Z38" s="48">
        <v>1</v>
      </c>
      <c r="AA38" s="156">
        <v>3459166099.7732425</v>
      </c>
      <c r="AF38" s="48">
        <v>0</v>
      </c>
      <c r="AG38" s="49" t="s">
        <v>41</v>
      </c>
      <c r="AH38" s="48">
        <v>1</v>
      </c>
      <c r="AI38" s="48" t="s">
        <v>33</v>
      </c>
      <c r="AJ38" s="48" t="s">
        <v>33</v>
      </c>
      <c r="AK38" s="48" t="s">
        <v>33</v>
      </c>
      <c r="AL38" s="48" t="s">
        <v>34</v>
      </c>
      <c r="AN38" s="48">
        <v>0</v>
      </c>
      <c r="AO38" s="48">
        <v>0</v>
      </c>
      <c r="AP38" s="48">
        <v>0</v>
      </c>
      <c r="AQ38" s="48">
        <v>0</v>
      </c>
      <c r="AR38" s="48">
        <v>0</v>
      </c>
      <c r="AS38" s="48">
        <v>0</v>
      </c>
      <c r="AT38" s="48">
        <v>0</v>
      </c>
      <c r="AU38" s="48">
        <v>0</v>
      </c>
      <c r="AV38" s="48">
        <v>0</v>
      </c>
      <c r="AW38" s="48">
        <v>0</v>
      </c>
      <c r="AX38" s="48">
        <v>0</v>
      </c>
      <c r="AY38" s="48">
        <v>0</v>
      </c>
      <c r="AZ38" s="48">
        <v>0</v>
      </c>
      <c r="BA38" s="48">
        <v>0</v>
      </c>
      <c r="BB38" s="48">
        <v>0</v>
      </c>
    </row>
    <row r="39" spans="1:54" x14ac:dyDescent="0.35">
      <c r="A39" s="49">
        <v>45930</v>
      </c>
      <c r="B39" s="48">
        <v>1</v>
      </c>
      <c r="C39" s="50" t="s">
        <v>41</v>
      </c>
      <c r="D39" s="48" t="s">
        <v>31</v>
      </c>
      <c r="E39" s="48" t="s">
        <v>138</v>
      </c>
      <c r="F39" s="48" t="s">
        <v>139</v>
      </c>
      <c r="G39" s="49" t="s">
        <v>56</v>
      </c>
      <c r="H39" s="48" t="s">
        <v>149</v>
      </c>
      <c r="I39" s="48">
        <v>1</v>
      </c>
      <c r="J39" s="48">
        <v>37</v>
      </c>
      <c r="K39" s="48">
        <v>1</v>
      </c>
      <c r="N39" s="48">
        <v>0</v>
      </c>
      <c r="R39" s="49"/>
      <c r="S39" s="49"/>
      <c r="T39" s="49">
        <v>46022</v>
      </c>
      <c r="U39" s="49">
        <v>46022</v>
      </c>
      <c r="V39" s="49">
        <v>46022</v>
      </c>
      <c r="W39" s="49">
        <v>46022</v>
      </c>
      <c r="X39" s="48">
        <v>1</v>
      </c>
      <c r="Y39" s="48">
        <v>1</v>
      </c>
      <c r="Z39" s="48">
        <v>1</v>
      </c>
      <c r="AA39" s="156">
        <v>3459166099.7732425</v>
      </c>
      <c r="AF39" s="48">
        <v>0</v>
      </c>
      <c r="AG39" s="49" t="s">
        <v>41</v>
      </c>
      <c r="AH39" s="48">
        <v>1</v>
      </c>
      <c r="AI39" s="48" t="s">
        <v>33</v>
      </c>
      <c r="AJ39" s="48" t="s">
        <v>33</v>
      </c>
      <c r="AK39" s="48" t="s">
        <v>33</v>
      </c>
      <c r="AL39" s="48" t="s">
        <v>34</v>
      </c>
      <c r="AN39" s="48">
        <v>0</v>
      </c>
      <c r="AO39" s="48">
        <v>0</v>
      </c>
      <c r="AP39" s="48">
        <v>0</v>
      </c>
      <c r="AQ39" s="48">
        <v>0</v>
      </c>
      <c r="AR39" s="48">
        <v>0</v>
      </c>
      <c r="AS39" s="48">
        <v>0</v>
      </c>
      <c r="AT39" s="48">
        <v>0</v>
      </c>
      <c r="AU39" s="48">
        <v>0</v>
      </c>
      <c r="AV39" s="48">
        <v>0</v>
      </c>
      <c r="AW39" s="48">
        <v>0</v>
      </c>
      <c r="AX39" s="48">
        <v>0</v>
      </c>
      <c r="AY39" s="48">
        <v>0</v>
      </c>
      <c r="AZ39" s="48">
        <v>0</v>
      </c>
      <c r="BA39" s="48">
        <v>0</v>
      </c>
      <c r="BB39" s="48">
        <v>0</v>
      </c>
    </row>
    <row r="40" spans="1:54" x14ac:dyDescent="0.35">
      <c r="A40" s="49">
        <v>45930</v>
      </c>
      <c r="B40" s="48">
        <v>1</v>
      </c>
      <c r="C40" s="50" t="s">
        <v>41</v>
      </c>
      <c r="D40" s="48" t="s">
        <v>31</v>
      </c>
      <c r="E40" s="48" t="s">
        <v>138</v>
      </c>
      <c r="F40" s="48" t="s">
        <v>139</v>
      </c>
      <c r="G40" s="49" t="s">
        <v>56</v>
      </c>
      <c r="H40" s="48" t="s">
        <v>149</v>
      </c>
      <c r="I40" s="48">
        <v>1</v>
      </c>
      <c r="J40" s="48">
        <v>38</v>
      </c>
      <c r="K40" s="48">
        <v>1</v>
      </c>
      <c r="N40" s="48">
        <v>0</v>
      </c>
      <c r="R40" s="49"/>
      <c r="S40" s="49"/>
      <c r="T40" s="49">
        <v>46053</v>
      </c>
      <c r="U40" s="49">
        <v>46053</v>
      </c>
      <c r="V40" s="49">
        <v>46053</v>
      </c>
      <c r="W40" s="49">
        <v>46053</v>
      </c>
      <c r="X40" s="48">
        <v>1</v>
      </c>
      <c r="Y40" s="48">
        <v>1</v>
      </c>
      <c r="Z40" s="48">
        <v>1</v>
      </c>
      <c r="AA40" s="156">
        <v>3459166099.7732425</v>
      </c>
      <c r="AF40" s="48">
        <v>0</v>
      </c>
      <c r="AG40" s="49" t="s">
        <v>41</v>
      </c>
      <c r="AH40" s="48">
        <v>1</v>
      </c>
      <c r="AI40" s="48" t="s">
        <v>33</v>
      </c>
      <c r="AJ40" s="48" t="s">
        <v>33</v>
      </c>
      <c r="AK40" s="48" t="s">
        <v>33</v>
      </c>
      <c r="AL40" s="48" t="s">
        <v>34</v>
      </c>
      <c r="AN40" s="48">
        <v>0</v>
      </c>
      <c r="AO40" s="48">
        <v>0</v>
      </c>
      <c r="AP40" s="48">
        <v>0</v>
      </c>
      <c r="AQ40" s="48">
        <v>0</v>
      </c>
      <c r="AR40" s="48">
        <v>0</v>
      </c>
      <c r="AS40" s="48">
        <v>0</v>
      </c>
      <c r="AT40" s="48">
        <v>0</v>
      </c>
      <c r="AU40" s="48">
        <v>0</v>
      </c>
      <c r="AV40" s="48">
        <v>0</v>
      </c>
      <c r="AW40" s="48">
        <v>0</v>
      </c>
      <c r="AX40" s="48">
        <v>0</v>
      </c>
      <c r="AY40" s="48">
        <v>0</v>
      </c>
      <c r="AZ40" s="48">
        <v>0</v>
      </c>
      <c r="BA40" s="48">
        <v>0</v>
      </c>
      <c r="BB40" s="48">
        <v>0</v>
      </c>
    </row>
    <row r="41" spans="1:54" x14ac:dyDescent="0.35">
      <c r="A41" s="49">
        <v>45930</v>
      </c>
      <c r="B41" s="48">
        <v>1</v>
      </c>
      <c r="C41" s="50" t="s">
        <v>41</v>
      </c>
      <c r="D41" s="48" t="s">
        <v>31</v>
      </c>
      <c r="E41" s="48" t="s">
        <v>138</v>
      </c>
      <c r="F41" s="48" t="s">
        <v>139</v>
      </c>
      <c r="G41" s="49" t="s">
        <v>56</v>
      </c>
      <c r="H41" s="48" t="s">
        <v>149</v>
      </c>
      <c r="I41" s="48">
        <v>1</v>
      </c>
      <c r="J41" s="48">
        <v>39</v>
      </c>
      <c r="K41" s="48">
        <v>1</v>
      </c>
      <c r="N41" s="48">
        <v>0</v>
      </c>
      <c r="R41" s="49"/>
      <c r="S41" s="49"/>
      <c r="T41" s="49">
        <v>46081</v>
      </c>
      <c r="U41" s="49">
        <v>46081</v>
      </c>
      <c r="V41" s="49">
        <v>46081</v>
      </c>
      <c r="W41" s="49">
        <v>46081</v>
      </c>
      <c r="X41" s="48">
        <v>1</v>
      </c>
      <c r="Y41" s="48">
        <v>1</v>
      </c>
      <c r="Z41" s="48">
        <v>1</v>
      </c>
      <c r="AA41" s="156">
        <v>3459166099.7732425</v>
      </c>
      <c r="AF41" s="48">
        <v>0</v>
      </c>
      <c r="AG41" s="49" t="s">
        <v>41</v>
      </c>
      <c r="AH41" s="48">
        <v>1</v>
      </c>
      <c r="AI41" s="48" t="s">
        <v>33</v>
      </c>
      <c r="AJ41" s="48" t="s">
        <v>33</v>
      </c>
      <c r="AK41" s="48" t="s">
        <v>33</v>
      </c>
      <c r="AL41" s="48" t="s">
        <v>34</v>
      </c>
      <c r="AN41" s="48">
        <v>0</v>
      </c>
      <c r="AO41" s="48">
        <v>0</v>
      </c>
      <c r="AP41" s="48">
        <v>0</v>
      </c>
      <c r="AQ41" s="48">
        <v>0</v>
      </c>
      <c r="AR41" s="48">
        <v>0</v>
      </c>
      <c r="AS41" s="48">
        <v>0</v>
      </c>
      <c r="AT41" s="48">
        <v>0</v>
      </c>
      <c r="AU41" s="48">
        <v>0</v>
      </c>
      <c r="AV41" s="48">
        <v>0</v>
      </c>
      <c r="AW41" s="48">
        <v>0</v>
      </c>
      <c r="AX41" s="48">
        <v>0</v>
      </c>
      <c r="AY41" s="48">
        <v>0</v>
      </c>
      <c r="AZ41" s="48">
        <v>0</v>
      </c>
      <c r="BA41" s="48">
        <v>0</v>
      </c>
      <c r="BB41" s="48">
        <v>0</v>
      </c>
    </row>
    <row r="42" spans="1:54" x14ac:dyDescent="0.35">
      <c r="A42" s="49">
        <v>45930</v>
      </c>
      <c r="B42" s="48">
        <v>1</v>
      </c>
      <c r="C42" s="50" t="s">
        <v>41</v>
      </c>
      <c r="D42" s="48" t="s">
        <v>31</v>
      </c>
      <c r="E42" s="48" t="s">
        <v>138</v>
      </c>
      <c r="F42" s="48" t="s">
        <v>139</v>
      </c>
      <c r="G42" s="49" t="s">
        <v>56</v>
      </c>
      <c r="H42" s="48" t="s">
        <v>149</v>
      </c>
      <c r="I42" s="48">
        <v>1</v>
      </c>
      <c r="J42" s="48">
        <v>40</v>
      </c>
      <c r="K42" s="48">
        <v>1</v>
      </c>
      <c r="N42" s="48">
        <v>0</v>
      </c>
      <c r="R42" s="49"/>
      <c r="S42" s="49"/>
      <c r="T42" s="49">
        <v>46112</v>
      </c>
      <c r="U42" s="49">
        <v>46112</v>
      </c>
      <c r="V42" s="49">
        <v>46112</v>
      </c>
      <c r="W42" s="49">
        <v>46112</v>
      </c>
      <c r="X42" s="48">
        <v>1</v>
      </c>
      <c r="Y42" s="48">
        <v>1</v>
      </c>
      <c r="Z42" s="48">
        <v>1</v>
      </c>
      <c r="AA42" s="156">
        <v>3459166099.7732425</v>
      </c>
      <c r="AF42" s="48">
        <v>0</v>
      </c>
      <c r="AG42" s="49" t="s">
        <v>41</v>
      </c>
      <c r="AH42" s="48">
        <v>1</v>
      </c>
      <c r="AI42" s="48" t="s">
        <v>33</v>
      </c>
      <c r="AJ42" s="48" t="s">
        <v>33</v>
      </c>
      <c r="AK42" s="48" t="s">
        <v>33</v>
      </c>
      <c r="AL42" s="48" t="s">
        <v>34</v>
      </c>
      <c r="AN42" s="48">
        <v>0</v>
      </c>
      <c r="AO42" s="48">
        <v>0</v>
      </c>
      <c r="AP42" s="48">
        <v>0</v>
      </c>
      <c r="AQ42" s="48">
        <v>0</v>
      </c>
      <c r="AR42" s="48">
        <v>0</v>
      </c>
      <c r="AS42" s="48">
        <v>0</v>
      </c>
      <c r="AT42" s="48">
        <v>0</v>
      </c>
      <c r="AU42" s="48">
        <v>0</v>
      </c>
      <c r="AV42" s="48">
        <v>0</v>
      </c>
      <c r="AW42" s="48">
        <v>0</v>
      </c>
      <c r="AX42" s="48">
        <v>0</v>
      </c>
      <c r="AY42" s="48">
        <v>0</v>
      </c>
      <c r="AZ42" s="48">
        <v>0</v>
      </c>
      <c r="BA42" s="48">
        <v>0</v>
      </c>
      <c r="BB42" s="48">
        <v>0</v>
      </c>
    </row>
    <row r="43" spans="1:54" x14ac:dyDescent="0.35">
      <c r="A43" s="49">
        <v>45930</v>
      </c>
      <c r="B43" s="48">
        <v>1</v>
      </c>
      <c r="C43" s="50" t="s">
        <v>41</v>
      </c>
      <c r="D43" s="48" t="s">
        <v>31</v>
      </c>
      <c r="E43" s="48" t="s">
        <v>138</v>
      </c>
      <c r="F43" s="48" t="s">
        <v>139</v>
      </c>
      <c r="G43" s="49" t="s">
        <v>56</v>
      </c>
      <c r="H43" s="48" t="s">
        <v>149</v>
      </c>
      <c r="I43" s="48">
        <v>1</v>
      </c>
      <c r="J43" s="48">
        <v>41</v>
      </c>
      <c r="K43" s="48">
        <v>1</v>
      </c>
      <c r="N43" s="48">
        <v>0</v>
      </c>
      <c r="R43" s="49"/>
      <c r="S43" s="49"/>
      <c r="T43" s="49">
        <v>46142</v>
      </c>
      <c r="U43" s="49">
        <v>46142</v>
      </c>
      <c r="V43" s="49">
        <v>46142</v>
      </c>
      <c r="W43" s="49">
        <v>46142</v>
      </c>
      <c r="X43" s="48">
        <v>1</v>
      </c>
      <c r="Y43" s="48">
        <v>1</v>
      </c>
      <c r="Z43" s="48">
        <v>1</v>
      </c>
      <c r="AA43" s="156">
        <v>3459166099.7732425</v>
      </c>
      <c r="AF43" s="48">
        <v>0</v>
      </c>
      <c r="AG43" s="49" t="s">
        <v>41</v>
      </c>
      <c r="AH43" s="48">
        <v>1</v>
      </c>
      <c r="AI43" s="48" t="s">
        <v>33</v>
      </c>
      <c r="AJ43" s="48" t="s">
        <v>33</v>
      </c>
      <c r="AK43" s="48" t="s">
        <v>33</v>
      </c>
      <c r="AL43" s="48" t="s">
        <v>34</v>
      </c>
      <c r="AN43" s="48">
        <v>0</v>
      </c>
      <c r="AO43" s="48">
        <v>0</v>
      </c>
      <c r="AP43" s="48">
        <v>0</v>
      </c>
      <c r="AQ43" s="48">
        <v>0</v>
      </c>
      <c r="AR43" s="48">
        <v>0</v>
      </c>
      <c r="AS43" s="48">
        <v>0</v>
      </c>
      <c r="AT43" s="48">
        <v>0</v>
      </c>
      <c r="AU43" s="48">
        <v>0</v>
      </c>
      <c r="AV43" s="48">
        <v>0</v>
      </c>
      <c r="AW43" s="48">
        <v>0</v>
      </c>
      <c r="AX43" s="48">
        <v>0</v>
      </c>
      <c r="AY43" s="48">
        <v>0</v>
      </c>
      <c r="AZ43" s="48">
        <v>0</v>
      </c>
      <c r="BA43" s="48">
        <v>0</v>
      </c>
      <c r="BB43" s="48">
        <v>0</v>
      </c>
    </row>
    <row r="44" spans="1:54" x14ac:dyDescent="0.35">
      <c r="A44" s="49">
        <v>45930</v>
      </c>
      <c r="B44" s="48">
        <v>1</v>
      </c>
      <c r="C44" s="50" t="s">
        <v>41</v>
      </c>
      <c r="D44" s="48" t="s">
        <v>31</v>
      </c>
      <c r="E44" s="48" t="s">
        <v>138</v>
      </c>
      <c r="F44" s="48" t="s">
        <v>139</v>
      </c>
      <c r="G44" s="49" t="s">
        <v>56</v>
      </c>
      <c r="H44" s="48" t="s">
        <v>149</v>
      </c>
      <c r="I44" s="48">
        <v>1</v>
      </c>
      <c r="J44" s="48">
        <v>42</v>
      </c>
      <c r="K44" s="48">
        <v>1</v>
      </c>
      <c r="N44" s="48">
        <v>0</v>
      </c>
      <c r="R44" s="49"/>
      <c r="S44" s="49"/>
      <c r="T44" s="49">
        <v>46173</v>
      </c>
      <c r="U44" s="49">
        <v>46173</v>
      </c>
      <c r="V44" s="49">
        <v>46173</v>
      </c>
      <c r="W44" s="49">
        <v>46173</v>
      </c>
      <c r="X44" s="48">
        <v>1</v>
      </c>
      <c r="Y44" s="48">
        <v>1</v>
      </c>
      <c r="Z44" s="48">
        <v>1</v>
      </c>
      <c r="AA44" s="156">
        <v>1255895791.6499934</v>
      </c>
      <c r="AF44" s="48">
        <v>0</v>
      </c>
      <c r="AG44" s="49" t="s">
        <v>41</v>
      </c>
      <c r="AH44" s="48">
        <v>1</v>
      </c>
      <c r="AI44" s="48" t="s">
        <v>33</v>
      </c>
      <c r="AJ44" s="48" t="s">
        <v>33</v>
      </c>
      <c r="AK44" s="48" t="s">
        <v>33</v>
      </c>
      <c r="AL44" s="48" t="s">
        <v>34</v>
      </c>
      <c r="AN44" s="48">
        <v>0</v>
      </c>
      <c r="AO44" s="48">
        <v>0</v>
      </c>
      <c r="AP44" s="48">
        <v>0</v>
      </c>
      <c r="AQ44" s="48">
        <v>0</v>
      </c>
      <c r="AR44" s="48">
        <v>0</v>
      </c>
      <c r="AS44" s="48">
        <v>0</v>
      </c>
      <c r="AT44" s="48">
        <v>0</v>
      </c>
      <c r="AU44" s="48">
        <v>0</v>
      </c>
      <c r="AV44" s="48">
        <v>0</v>
      </c>
      <c r="AW44" s="48">
        <v>0</v>
      </c>
      <c r="AX44" s="48">
        <v>0</v>
      </c>
      <c r="AY44" s="48">
        <v>0</v>
      </c>
      <c r="AZ44" s="48">
        <v>0</v>
      </c>
      <c r="BA44" s="48">
        <v>0</v>
      </c>
      <c r="BB44" s="48">
        <v>0</v>
      </c>
    </row>
    <row r="45" spans="1:54" x14ac:dyDescent="0.35">
      <c r="A45" s="49">
        <v>45930</v>
      </c>
      <c r="B45" s="48">
        <v>1</v>
      </c>
      <c r="C45" s="50" t="s">
        <v>41</v>
      </c>
      <c r="D45" s="48" t="s">
        <v>31</v>
      </c>
      <c r="E45" s="48" t="s">
        <v>138</v>
      </c>
      <c r="F45" s="48" t="s">
        <v>139</v>
      </c>
      <c r="G45" s="49" t="s">
        <v>56</v>
      </c>
      <c r="H45" s="48" t="s">
        <v>149</v>
      </c>
      <c r="I45" s="48">
        <v>1</v>
      </c>
      <c r="J45" s="48">
        <v>43</v>
      </c>
      <c r="K45" s="48">
        <v>1</v>
      </c>
      <c r="N45" s="48">
        <v>0</v>
      </c>
      <c r="R45" s="49"/>
      <c r="S45" s="49"/>
      <c r="T45" s="49">
        <v>46203</v>
      </c>
      <c r="U45" s="49">
        <v>46203</v>
      </c>
      <c r="V45" s="49">
        <v>46203</v>
      </c>
      <c r="W45" s="49">
        <v>46203</v>
      </c>
      <c r="X45" s="48">
        <v>1</v>
      </c>
      <c r="Y45" s="48">
        <v>1</v>
      </c>
      <c r="Z45" s="48">
        <v>1</v>
      </c>
      <c r="AA45" s="156">
        <v>0</v>
      </c>
      <c r="AF45" s="48">
        <v>0</v>
      </c>
      <c r="AG45" s="49" t="s">
        <v>41</v>
      </c>
      <c r="AH45" s="48">
        <v>1</v>
      </c>
      <c r="AI45" s="48" t="s">
        <v>33</v>
      </c>
      <c r="AJ45" s="48" t="s">
        <v>33</v>
      </c>
      <c r="AK45" s="48" t="s">
        <v>33</v>
      </c>
      <c r="AL45" s="48" t="s">
        <v>34</v>
      </c>
      <c r="AN45" s="48">
        <v>0</v>
      </c>
      <c r="AO45" s="48">
        <v>0</v>
      </c>
      <c r="AP45" s="48">
        <v>0</v>
      </c>
      <c r="AQ45" s="48">
        <v>0</v>
      </c>
      <c r="AR45" s="48">
        <v>0</v>
      </c>
      <c r="AS45" s="48">
        <v>0</v>
      </c>
      <c r="AT45" s="48">
        <v>0</v>
      </c>
      <c r="AU45" s="48">
        <v>0</v>
      </c>
      <c r="AV45" s="48">
        <v>0</v>
      </c>
      <c r="AW45" s="48">
        <v>0</v>
      </c>
      <c r="AX45" s="48">
        <v>0</v>
      </c>
      <c r="AY45" s="48">
        <v>0</v>
      </c>
      <c r="AZ45" s="48">
        <v>0</v>
      </c>
      <c r="BA45" s="48">
        <v>0</v>
      </c>
      <c r="BB45" s="48">
        <v>0</v>
      </c>
    </row>
    <row r="46" spans="1:54" x14ac:dyDescent="0.35">
      <c r="A46" s="49">
        <v>45930</v>
      </c>
      <c r="B46" s="48">
        <v>1</v>
      </c>
      <c r="C46" s="50" t="s">
        <v>41</v>
      </c>
      <c r="D46" s="48" t="s">
        <v>31</v>
      </c>
      <c r="E46" s="48" t="s">
        <v>138</v>
      </c>
      <c r="F46" s="48" t="s">
        <v>139</v>
      </c>
      <c r="G46" s="49" t="s">
        <v>56</v>
      </c>
      <c r="H46" s="48" t="s">
        <v>149</v>
      </c>
      <c r="I46" s="48">
        <v>1</v>
      </c>
      <c r="J46" s="48">
        <v>44</v>
      </c>
      <c r="K46" s="48">
        <v>1</v>
      </c>
      <c r="N46" s="48">
        <v>0</v>
      </c>
      <c r="R46" s="49"/>
      <c r="S46" s="49"/>
      <c r="T46" s="49">
        <v>46234</v>
      </c>
      <c r="U46" s="49">
        <v>46234</v>
      </c>
      <c r="V46" s="49">
        <v>46234</v>
      </c>
      <c r="W46" s="49">
        <v>46234</v>
      </c>
      <c r="X46" s="48">
        <v>1</v>
      </c>
      <c r="Y46" s="48">
        <v>1</v>
      </c>
      <c r="Z46" s="48">
        <v>1</v>
      </c>
      <c r="AA46" s="156">
        <v>0</v>
      </c>
      <c r="AF46" s="48">
        <v>0</v>
      </c>
      <c r="AG46" s="49" t="s">
        <v>41</v>
      </c>
      <c r="AH46" s="48">
        <v>1</v>
      </c>
      <c r="AI46" s="48" t="s">
        <v>33</v>
      </c>
      <c r="AJ46" s="48" t="s">
        <v>33</v>
      </c>
      <c r="AK46" s="48" t="s">
        <v>33</v>
      </c>
      <c r="AL46" s="48" t="s">
        <v>34</v>
      </c>
      <c r="AN46" s="48">
        <v>0</v>
      </c>
      <c r="AO46" s="48">
        <v>0</v>
      </c>
      <c r="AP46" s="48">
        <v>0</v>
      </c>
      <c r="AQ46" s="48">
        <v>0</v>
      </c>
      <c r="AR46" s="48">
        <v>0</v>
      </c>
      <c r="AS46" s="48">
        <v>0</v>
      </c>
      <c r="AT46" s="48">
        <v>0</v>
      </c>
      <c r="AU46" s="48">
        <v>0</v>
      </c>
      <c r="AV46" s="48">
        <v>0</v>
      </c>
      <c r="AW46" s="48">
        <v>0</v>
      </c>
      <c r="AX46" s="48">
        <v>0</v>
      </c>
      <c r="AY46" s="48">
        <v>0</v>
      </c>
      <c r="AZ46" s="48">
        <v>0</v>
      </c>
      <c r="BA46" s="48">
        <v>0</v>
      </c>
      <c r="BB46" s="48">
        <v>0</v>
      </c>
    </row>
    <row r="47" spans="1:54" x14ac:dyDescent="0.35">
      <c r="A47" s="49">
        <v>45930</v>
      </c>
      <c r="B47" s="48">
        <v>1</v>
      </c>
      <c r="C47" s="50" t="s">
        <v>41</v>
      </c>
      <c r="D47" s="48" t="s">
        <v>31</v>
      </c>
      <c r="E47" s="48" t="s">
        <v>138</v>
      </c>
      <c r="F47" s="48" t="s">
        <v>139</v>
      </c>
      <c r="G47" s="49" t="s">
        <v>56</v>
      </c>
      <c r="H47" s="48" t="s">
        <v>149</v>
      </c>
      <c r="I47" s="48">
        <v>1</v>
      </c>
      <c r="J47" s="48">
        <v>45</v>
      </c>
      <c r="K47" s="48">
        <v>1</v>
      </c>
      <c r="N47" s="48">
        <v>0</v>
      </c>
      <c r="R47" s="49"/>
      <c r="S47" s="49"/>
      <c r="T47" s="49">
        <v>46265</v>
      </c>
      <c r="U47" s="49">
        <v>46265</v>
      </c>
      <c r="V47" s="49">
        <v>46265</v>
      </c>
      <c r="W47" s="49">
        <v>46265</v>
      </c>
      <c r="X47" s="48">
        <v>1</v>
      </c>
      <c r="Y47" s="48">
        <v>1</v>
      </c>
      <c r="Z47" s="48">
        <v>1</v>
      </c>
      <c r="AA47" s="156">
        <v>0</v>
      </c>
      <c r="AF47" s="48">
        <v>0</v>
      </c>
      <c r="AG47" s="49" t="s">
        <v>41</v>
      </c>
      <c r="AH47" s="48">
        <v>1</v>
      </c>
      <c r="AI47" s="48" t="s">
        <v>33</v>
      </c>
      <c r="AJ47" s="48" t="s">
        <v>33</v>
      </c>
      <c r="AK47" s="48" t="s">
        <v>33</v>
      </c>
      <c r="AL47" s="48" t="s">
        <v>34</v>
      </c>
      <c r="AN47" s="48">
        <v>0</v>
      </c>
      <c r="AO47" s="48">
        <v>0</v>
      </c>
      <c r="AP47" s="48">
        <v>0</v>
      </c>
      <c r="AQ47" s="48">
        <v>0</v>
      </c>
      <c r="AR47" s="48">
        <v>0</v>
      </c>
      <c r="AS47" s="48">
        <v>0</v>
      </c>
      <c r="AT47" s="48">
        <v>0</v>
      </c>
      <c r="AU47" s="48">
        <v>0</v>
      </c>
      <c r="AV47" s="48">
        <v>0</v>
      </c>
      <c r="AW47" s="48">
        <v>0</v>
      </c>
      <c r="AX47" s="48">
        <v>0</v>
      </c>
      <c r="AY47" s="48">
        <v>0</v>
      </c>
      <c r="AZ47" s="48">
        <v>0</v>
      </c>
      <c r="BA47" s="48">
        <v>0</v>
      </c>
      <c r="BB47" s="48">
        <v>0</v>
      </c>
    </row>
    <row r="48" spans="1:54" x14ac:dyDescent="0.35">
      <c r="A48" s="49">
        <v>45930</v>
      </c>
      <c r="B48" s="48">
        <v>1</v>
      </c>
      <c r="C48" s="50" t="s">
        <v>41</v>
      </c>
      <c r="D48" s="48" t="s">
        <v>31</v>
      </c>
      <c r="E48" s="48" t="s">
        <v>138</v>
      </c>
      <c r="F48" s="48" t="s">
        <v>139</v>
      </c>
      <c r="G48" s="49" t="s">
        <v>56</v>
      </c>
      <c r="H48" s="48" t="s">
        <v>149</v>
      </c>
      <c r="I48" s="48">
        <v>1</v>
      </c>
      <c r="J48" s="48">
        <v>46</v>
      </c>
      <c r="K48" s="48">
        <v>1</v>
      </c>
      <c r="N48" s="48">
        <v>0</v>
      </c>
      <c r="R48" s="49"/>
      <c r="S48" s="49"/>
      <c r="T48" s="49">
        <v>46295</v>
      </c>
      <c r="U48" s="49">
        <v>46295</v>
      </c>
      <c r="V48" s="49">
        <v>46295</v>
      </c>
      <c r="W48" s="49">
        <v>46295</v>
      </c>
      <c r="X48" s="48">
        <v>1</v>
      </c>
      <c r="Y48" s="48">
        <v>1</v>
      </c>
      <c r="Z48" s="48">
        <v>1</v>
      </c>
      <c r="AA48" s="156">
        <v>0</v>
      </c>
      <c r="AF48" s="48">
        <v>0</v>
      </c>
      <c r="AG48" s="49" t="s">
        <v>41</v>
      </c>
      <c r="AH48" s="48">
        <v>1</v>
      </c>
      <c r="AI48" s="48" t="s">
        <v>33</v>
      </c>
      <c r="AJ48" s="48" t="s">
        <v>33</v>
      </c>
      <c r="AK48" s="48" t="s">
        <v>33</v>
      </c>
      <c r="AL48" s="48" t="s">
        <v>34</v>
      </c>
      <c r="AN48" s="48">
        <v>0</v>
      </c>
      <c r="AO48" s="48">
        <v>0</v>
      </c>
      <c r="AP48" s="48">
        <v>0</v>
      </c>
      <c r="AQ48" s="48">
        <v>0</v>
      </c>
      <c r="AR48" s="48">
        <v>0</v>
      </c>
      <c r="AS48" s="48">
        <v>0</v>
      </c>
      <c r="AT48" s="48">
        <v>0</v>
      </c>
      <c r="AU48" s="48">
        <v>0</v>
      </c>
      <c r="AV48" s="48">
        <v>0</v>
      </c>
      <c r="AW48" s="48">
        <v>0</v>
      </c>
      <c r="AX48" s="48">
        <v>0</v>
      </c>
      <c r="AY48" s="48">
        <v>0</v>
      </c>
      <c r="AZ48" s="48">
        <v>0</v>
      </c>
      <c r="BA48" s="48">
        <v>0</v>
      </c>
      <c r="BB48" s="48">
        <v>0</v>
      </c>
    </row>
    <row r="49" spans="1:54" x14ac:dyDescent="0.35">
      <c r="A49" s="49">
        <v>45930</v>
      </c>
      <c r="B49" s="48">
        <v>1</v>
      </c>
      <c r="C49" s="50" t="s">
        <v>41</v>
      </c>
      <c r="D49" s="48" t="s">
        <v>31</v>
      </c>
      <c r="E49" s="48" t="s">
        <v>138</v>
      </c>
      <c r="F49" s="48" t="s">
        <v>139</v>
      </c>
      <c r="G49" s="49" t="s">
        <v>56</v>
      </c>
      <c r="H49" s="48" t="s">
        <v>149</v>
      </c>
      <c r="I49" s="48">
        <v>1</v>
      </c>
      <c r="J49" s="48">
        <v>47</v>
      </c>
      <c r="K49" s="48">
        <v>1</v>
      </c>
      <c r="N49" s="48">
        <v>0</v>
      </c>
      <c r="R49" s="49"/>
      <c r="S49" s="49"/>
      <c r="T49" s="49">
        <v>46326</v>
      </c>
      <c r="U49" s="49">
        <v>46326</v>
      </c>
      <c r="V49" s="49">
        <v>46326</v>
      </c>
      <c r="W49" s="49">
        <v>46326</v>
      </c>
      <c r="X49" s="48">
        <v>1</v>
      </c>
      <c r="Y49" s="48">
        <v>1</v>
      </c>
      <c r="Z49" s="48">
        <v>1</v>
      </c>
      <c r="AA49" s="156">
        <v>0</v>
      </c>
      <c r="AF49" s="48">
        <v>0</v>
      </c>
      <c r="AG49" s="49" t="s">
        <v>41</v>
      </c>
      <c r="AH49" s="48">
        <v>1</v>
      </c>
      <c r="AI49" s="48" t="s">
        <v>33</v>
      </c>
      <c r="AJ49" s="48" t="s">
        <v>33</v>
      </c>
      <c r="AK49" s="48" t="s">
        <v>33</v>
      </c>
      <c r="AL49" s="48" t="s">
        <v>34</v>
      </c>
      <c r="AN49" s="48">
        <v>0</v>
      </c>
      <c r="AO49" s="48">
        <v>0</v>
      </c>
      <c r="AP49" s="48">
        <v>0</v>
      </c>
      <c r="AQ49" s="48">
        <v>0</v>
      </c>
      <c r="AR49" s="48">
        <v>0</v>
      </c>
      <c r="AS49" s="48">
        <v>0</v>
      </c>
      <c r="AT49" s="48">
        <v>0</v>
      </c>
      <c r="AU49" s="48">
        <v>0</v>
      </c>
      <c r="AV49" s="48">
        <v>0</v>
      </c>
      <c r="AW49" s="48">
        <v>0</v>
      </c>
      <c r="AX49" s="48">
        <v>0</v>
      </c>
      <c r="AY49" s="48">
        <v>0</v>
      </c>
      <c r="AZ49" s="48">
        <v>0</v>
      </c>
      <c r="BA49" s="48">
        <v>0</v>
      </c>
      <c r="BB49" s="48">
        <v>0</v>
      </c>
    </row>
    <row r="50" spans="1:54" x14ac:dyDescent="0.35">
      <c r="A50" s="49">
        <v>45930</v>
      </c>
      <c r="B50" s="48">
        <v>1</v>
      </c>
      <c r="C50" s="50" t="s">
        <v>41</v>
      </c>
      <c r="D50" s="48" t="s">
        <v>31</v>
      </c>
      <c r="E50" s="48" t="s">
        <v>138</v>
      </c>
      <c r="F50" s="48" t="s">
        <v>139</v>
      </c>
      <c r="G50" s="49" t="s">
        <v>56</v>
      </c>
      <c r="H50" s="48" t="s">
        <v>149</v>
      </c>
      <c r="I50" s="48">
        <v>1</v>
      </c>
      <c r="J50" s="48">
        <v>48</v>
      </c>
      <c r="K50" s="48">
        <v>1</v>
      </c>
      <c r="N50" s="48">
        <v>0</v>
      </c>
      <c r="R50" s="49"/>
      <c r="S50" s="49"/>
      <c r="T50" s="49">
        <v>46356</v>
      </c>
      <c r="U50" s="49">
        <v>46356</v>
      </c>
      <c r="V50" s="49">
        <v>46356</v>
      </c>
      <c r="W50" s="49">
        <v>46356</v>
      </c>
      <c r="X50" s="48">
        <v>1</v>
      </c>
      <c r="Y50" s="48">
        <v>1</v>
      </c>
      <c r="Z50" s="48">
        <v>1</v>
      </c>
      <c r="AA50" s="156">
        <v>0</v>
      </c>
      <c r="AF50" s="48">
        <v>0</v>
      </c>
      <c r="AG50" s="49" t="s">
        <v>41</v>
      </c>
      <c r="AH50" s="48">
        <v>1</v>
      </c>
      <c r="AI50" s="48" t="s">
        <v>33</v>
      </c>
      <c r="AJ50" s="48" t="s">
        <v>33</v>
      </c>
      <c r="AK50" s="48" t="s">
        <v>33</v>
      </c>
      <c r="AL50" s="48" t="s">
        <v>34</v>
      </c>
      <c r="AN50" s="48">
        <v>0</v>
      </c>
      <c r="AO50" s="48">
        <v>0</v>
      </c>
      <c r="AP50" s="48">
        <v>0</v>
      </c>
      <c r="AQ50" s="48">
        <v>0</v>
      </c>
      <c r="AR50" s="48">
        <v>0</v>
      </c>
      <c r="AS50" s="48">
        <v>0</v>
      </c>
      <c r="AT50" s="48">
        <v>0</v>
      </c>
      <c r="AU50" s="48">
        <v>0</v>
      </c>
      <c r="AV50" s="48">
        <v>0</v>
      </c>
      <c r="AW50" s="48">
        <v>0</v>
      </c>
      <c r="AX50" s="48">
        <v>0</v>
      </c>
      <c r="AY50" s="48">
        <v>0</v>
      </c>
      <c r="AZ50" s="48">
        <v>0</v>
      </c>
      <c r="BA50" s="48">
        <v>0</v>
      </c>
      <c r="BB50" s="48">
        <v>0</v>
      </c>
    </row>
    <row r="51" spans="1:54" x14ac:dyDescent="0.35">
      <c r="A51" s="49">
        <v>45930</v>
      </c>
      <c r="B51" s="48">
        <v>1</v>
      </c>
      <c r="C51" s="50" t="s">
        <v>41</v>
      </c>
      <c r="D51" s="48" t="s">
        <v>31</v>
      </c>
      <c r="E51" s="48" t="s">
        <v>138</v>
      </c>
      <c r="F51" s="48" t="s">
        <v>139</v>
      </c>
      <c r="G51" s="49" t="s">
        <v>56</v>
      </c>
      <c r="H51" s="48" t="s">
        <v>149</v>
      </c>
      <c r="I51" s="48">
        <v>1</v>
      </c>
      <c r="J51" s="48">
        <v>49</v>
      </c>
      <c r="K51" s="48">
        <v>1</v>
      </c>
      <c r="N51" s="48">
        <v>0</v>
      </c>
      <c r="R51" s="49"/>
      <c r="S51" s="49"/>
      <c r="T51" s="49">
        <v>46387</v>
      </c>
      <c r="U51" s="49">
        <v>46387</v>
      </c>
      <c r="V51" s="49">
        <v>46387</v>
      </c>
      <c r="W51" s="49">
        <v>46387</v>
      </c>
      <c r="X51" s="48">
        <v>1</v>
      </c>
      <c r="Y51" s="48">
        <v>1</v>
      </c>
      <c r="Z51" s="48">
        <v>1</v>
      </c>
      <c r="AA51" s="156">
        <v>0</v>
      </c>
      <c r="AF51" s="48">
        <v>0</v>
      </c>
      <c r="AG51" s="49" t="s">
        <v>41</v>
      </c>
      <c r="AH51" s="48">
        <v>1</v>
      </c>
      <c r="AI51" s="48" t="s">
        <v>33</v>
      </c>
      <c r="AJ51" s="48" t="s">
        <v>33</v>
      </c>
      <c r="AK51" s="48" t="s">
        <v>33</v>
      </c>
      <c r="AL51" s="48" t="s">
        <v>34</v>
      </c>
      <c r="AN51" s="48">
        <v>0</v>
      </c>
      <c r="AO51" s="48">
        <v>0</v>
      </c>
      <c r="AP51" s="48">
        <v>0</v>
      </c>
      <c r="AQ51" s="48">
        <v>0</v>
      </c>
      <c r="AR51" s="48">
        <v>0</v>
      </c>
      <c r="AS51" s="48">
        <v>0</v>
      </c>
      <c r="AT51" s="48">
        <v>0</v>
      </c>
      <c r="AU51" s="48">
        <v>0</v>
      </c>
      <c r="AV51" s="48">
        <v>0</v>
      </c>
      <c r="AW51" s="48">
        <v>0</v>
      </c>
      <c r="AX51" s="48">
        <v>0</v>
      </c>
      <c r="AY51" s="48">
        <v>0</v>
      </c>
      <c r="AZ51" s="48">
        <v>0</v>
      </c>
      <c r="BA51" s="48">
        <v>0</v>
      </c>
      <c r="BB51" s="48">
        <v>0</v>
      </c>
    </row>
    <row r="52" spans="1:54" x14ac:dyDescent="0.35">
      <c r="A52" s="49">
        <v>45930</v>
      </c>
      <c r="B52" s="48">
        <v>1</v>
      </c>
      <c r="C52" s="50" t="s">
        <v>41</v>
      </c>
      <c r="D52" s="48" t="s">
        <v>31</v>
      </c>
      <c r="E52" s="48" t="s">
        <v>138</v>
      </c>
      <c r="F52" s="48" t="s">
        <v>139</v>
      </c>
      <c r="G52" s="49" t="s">
        <v>56</v>
      </c>
      <c r="H52" s="48" t="s">
        <v>149</v>
      </c>
      <c r="I52" s="48">
        <v>1</v>
      </c>
      <c r="J52" s="48">
        <v>50</v>
      </c>
      <c r="K52" s="48">
        <v>1</v>
      </c>
      <c r="N52" s="48">
        <v>0</v>
      </c>
      <c r="R52" s="49"/>
      <c r="S52" s="49"/>
      <c r="T52" s="49">
        <v>46418</v>
      </c>
      <c r="U52" s="49">
        <v>46418</v>
      </c>
      <c r="V52" s="49">
        <v>46418</v>
      </c>
      <c r="W52" s="49">
        <v>46418</v>
      </c>
      <c r="X52" s="48">
        <v>1</v>
      </c>
      <c r="Y52" s="48">
        <v>1</v>
      </c>
      <c r="Z52" s="48">
        <v>1</v>
      </c>
      <c r="AA52" s="156">
        <v>0</v>
      </c>
      <c r="AF52" s="48">
        <v>0</v>
      </c>
      <c r="AG52" s="49" t="s">
        <v>41</v>
      </c>
      <c r="AH52" s="48">
        <v>1</v>
      </c>
      <c r="AI52" s="48" t="s">
        <v>33</v>
      </c>
      <c r="AJ52" s="48" t="s">
        <v>33</v>
      </c>
      <c r="AK52" s="48" t="s">
        <v>33</v>
      </c>
      <c r="AL52" s="48" t="s">
        <v>34</v>
      </c>
      <c r="AN52" s="48">
        <v>0</v>
      </c>
      <c r="AO52" s="48">
        <v>0</v>
      </c>
      <c r="AP52" s="48">
        <v>0</v>
      </c>
      <c r="AQ52" s="48">
        <v>0</v>
      </c>
      <c r="AR52" s="48">
        <v>0</v>
      </c>
      <c r="AS52" s="48">
        <v>0</v>
      </c>
      <c r="AT52" s="48">
        <v>0</v>
      </c>
      <c r="AU52" s="48">
        <v>0</v>
      </c>
      <c r="AV52" s="48">
        <v>0</v>
      </c>
      <c r="AW52" s="48">
        <v>0</v>
      </c>
      <c r="AX52" s="48">
        <v>0</v>
      </c>
      <c r="AY52" s="48">
        <v>0</v>
      </c>
      <c r="AZ52" s="48">
        <v>0</v>
      </c>
      <c r="BA52" s="48">
        <v>0</v>
      </c>
      <c r="BB52" s="48">
        <v>0</v>
      </c>
    </row>
    <row r="53" spans="1:54" x14ac:dyDescent="0.35">
      <c r="A53" s="49">
        <v>45930</v>
      </c>
      <c r="B53" s="48">
        <v>1</v>
      </c>
      <c r="C53" s="50" t="s">
        <v>41</v>
      </c>
      <c r="D53" s="48" t="s">
        <v>31</v>
      </c>
      <c r="E53" s="48" t="s">
        <v>138</v>
      </c>
      <c r="F53" s="48" t="s">
        <v>139</v>
      </c>
      <c r="G53" s="49" t="s">
        <v>56</v>
      </c>
      <c r="H53" s="48" t="s">
        <v>149</v>
      </c>
      <c r="I53" s="48">
        <v>1</v>
      </c>
      <c r="J53" s="48">
        <v>51</v>
      </c>
      <c r="K53" s="48">
        <v>1</v>
      </c>
      <c r="N53" s="48">
        <v>0</v>
      </c>
      <c r="R53" s="49"/>
      <c r="S53" s="49"/>
      <c r="T53" s="49">
        <v>46446</v>
      </c>
      <c r="U53" s="49">
        <v>46446</v>
      </c>
      <c r="V53" s="49">
        <v>46446</v>
      </c>
      <c r="W53" s="49">
        <v>46446</v>
      </c>
      <c r="X53" s="48">
        <v>1</v>
      </c>
      <c r="Y53" s="48">
        <v>1</v>
      </c>
      <c r="Z53" s="48">
        <v>1</v>
      </c>
      <c r="AA53" s="156">
        <v>0</v>
      </c>
      <c r="AF53" s="48">
        <v>0</v>
      </c>
      <c r="AG53" s="49" t="s">
        <v>41</v>
      </c>
      <c r="AH53" s="48">
        <v>1</v>
      </c>
      <c r="AI53" s="48" t="s">
        <v>33</v>
      </c>
      <c r="AJ53" s="48" t="s">
        <v>33</v>
      </c>
      <c r="AK53" s="48" t="s">
        <v>33</v>
      </c>
      <c r="AL53" s="48" t="s">
        <v>34</v>
      </c>
      <c r="AN53" s="48">
        <v>0</v>
      </c>
      <c r="AO53" s="48">
        <v>0</v>
      </c>
      <c r="AP53" s="48">
        <v>0</v>
      </c>
      <c r="AQ53" s="48">
        <v>0</v>
      </c>
      <c r="AR53" s="48">
        <v>0</v>
      </c>
      <c r="AS53" s="48">
        <v>0</v>
      </c>
      <c r="AT53" s="48">
        <v>0</v>
      </c>
      <c r="AU53" s="48">
        <v>0</v>
      </c>
      <c r="AV53" s="48">
        <v>0</v>
      </c>
      <c r="AW53" s="48">
        <v>0</v>
      </c>
      <c r="AX53" s="48">
        <v>0</v>
      </c>
      <c r="AY53" s="48">
        <v>0</v>
      </c>
      <c r="AZ53" s="48">
        <v>0</v>
      </c>
      <c r="BA53" s="48">
        <v>0</v>
      </c>
      <c r="BB53" s="48">
        <v>0</v>
      </c>
    </row>
    <row r="54" spans="1:54" x14ac:dyDescent="0.35">
      <c r="A54" s="49">
        <v>45930</v>
      </c>
      <c r="B54" s="48">
        <v>1</v>
      </c>
      <c r="C54" s="50" t="s">
        <v>41</v>
      </c>
      <c r="D54" s="48" t="s">
        <v>31</v>
      </c>
      <c r="E54" s="48" t="s">
        <v>138</v>
      </c>
      <c r="F54" s="48" t="s">
        <v>139</v>
      </c>
      <c r="G54" s="49" t="s">
        <v>56</v>
      </c>
      <c r="H54" s="48" t="s">
        <v>150</v>
      </c>
      <c r="I54" s="48">
        <v>1</v>
      </c>
      <c r="J54" s="48">
        <v>52</v>
      </c>
      <c r="K54" s="48">
        <v>1</v>
      </c>
      <c r="N54" s="48">
        <v>0</v>
      </c>
      <c r="R54" s="49"/>
      <c r="S54" s="49"/>
      <c r="T54" s="49">
        <v>46477</v>
      </c>
      <c r="U54" s="49">
        <v>46477</v>
      </c>
      <c r="V54" s="49">
        <v>46477</v>
      </c>
      <c r="W54" s="49">
        <v>46477</v>
      </c>
      <c r="X54" s="48">
        <v>1</v>
      </c>
      <c r="Y54" s="48">
        <v>1</v>
      </c>
      <c r="Z54" s="48">
        <v>1</v>
      </c>
      <c r="AA54" s="156">
        <v>0</v>
      </c>
      <c r="AF54" s="48">
        <v>0</v>
      </c>
      <c r="AG54" s="49" t="s">
        <v>41</v>
      </c>
      <c r="AH54" s="48">
        <v>1</v>
      </c>
      <c r="AI54" s="48" t="s">
        <v>33</v>
      </c>
      <c r="AJ54" s="48" t="s">
        <v>33</v>
      </c>
      <c r="AK54" s="48" t="s">
        <v>33</v>
      </c>
      <c r="AL54" s="48" t="s">
        <v>34</v>
      </c>
      <c r="AN54" s="48">
        <v>0</v>
      </c>
      <c r="AO54" s="48">
        <v>0</v>
      </c>
      <c r="AP54" s="48">
        <v>0</v>
      </c>
      <c r="AQ54" s="48">
        <v>0</v>
      </c>
      <c r="AR54" s="48">
        <v>0</v>
      </c>
      <c r="AS54" s="48">
        <v>0</v>
      </c>
      <c r="AT54" s="48">
        <v>0</v>
      </c>
      <c r="AU54" s="48">
        <v>0</v>
      </c>
      <c r="AV54" s="48">
        <v>0</v>
      </c>
      <c r="AW54" s="48">
        <v>0</v>
      </c>
      <c r="AX54" s="48">
        <v>0</v>
      </c>
      <c r="AY54" s="48">
        <v>0</v>
      </c>
      <c r="AZ54" s="48">
        <v>0</v>
      </c>
      <c r="BA54" s="48">
        <v>0</v>
      </c>
      <c r="BB54" s="48">
        <v>0</v>
      </c>
    </row>
    <row r="55" spans="1:54" x14ac:dyDescent="0.35">
      <c r="A55" s="49">
        <v>45930</v>
      </c>
      <c r="B55" s="48">
        <v>1</v>
      </c>
      <c r="C55" s="50" t="s">
        <v>41</v>
      </c>
      <c r="D55" s="48" t="s">
        <v>31</v>
      </c>
      <c r="E55" s="48" t="s">
        <v>138</v>
      </c>
      <c r="F55" s="48" t="s">
        <v>139</v>
      </c>
      <c r="G55" s="49" t="s">
        <v>56</v>
      </c>
      <c r="H55" s="48" t="s">
        <v>150</v>
      </c>
      <c r="I55" s="48">
        <v>1</v>
      </c>
      <c r="J55" s="48">
        <v>53</v>
      </c>
      <c r="K55" s="48">
        <v>1</v>
      </c>
      <c r="N55" s="48">
        <v>0</v>
      </c>
      <c r="R55" s="49"/>
      <c r="S55" s="49"/>
      <c r="T55" s="49">
        <v>46507</v>
      </c>
      <c r="U55" s="49">
        <v>46507</v>
      </c>
      <c r="V55" s="49">
        <v>46507</v>
      </c>
      <c r="W55" s="49">
        <v>46507</v>
      </c>
      <c r="X55" s="48">
        <v>1</v>
      </c>
      <c r="Y55" s="48">
        <v>1</v>
      </c>
      <c r="Z55" s="48">
        <v>1</v>
      </c>
      <c r="AA55" s="156">
        <v>0</v>
      </c>
      <c r="AF55" s="48">
        <v>0</v>
      </c>
      <c r="AG55" s="49" t="s">
        <v>41</v>
      </c>
      <c r="AH55" s="48">
        <v>1</v>
      </c>
      <c r="AI55" s="48" t="s">
        <v>33</v>
      </c>
      <c r="AJ55" s="48" t="s">
        <v>33</v>
      </c>
      <c r="AK55" s="48" t="s">
        <v>33</v>
      </c>
      <c r="AL55" s="48" t="s">
        <v>34</v>
      </c>
      <c r="AN55" s="48">
        <v>0</v>
      </c>
      <c r="AO55" s="48">
        <v>0</v>
      </c>
      <c r="AP55" s="48">
        <v>0</v>
      </c>
      <c r="AQ55" s="48">
        <v>0</v>
      </c>
      <c r="AR55" s="48">
        <v>0</v>
      </c>
      <c r="AS55" s="48">
        <v>0</v>
      </c>
      <c r="AT55" s="48">
        <v>0</v>
      </c>
      <c r="AU55" s="48">
        <v>0</v>
      </c>
      <c r="AV55" s="48">
        <v>0</v>
      </c>
      <c r="AW55" s="48">
        <v>0</v>
      </c>
      <c r="AX55" s="48">
        <v>0</v>
      </c>
      <c r="AY55" s="48">
        <v>0</v>
      </c>
      <c r="AZ55" s="48">
        <v>0</v>
      </c>
      <c r="BA55" s="48">
        <v>0</v>
      </c>
      <c r="BB55" s="48">
        <v>0</v>
      </c>
    </row>
    <row r="56" spans="1:54" x14ac:dyDescent="0.35">
      <c r="A56" s="49">
        <v>45930</v>
      </c>
      <c r="B56" s="48">
        <v>1</v>
      </c>
      <c r="C56" s="50" t="s">
        <v>41</v>
      </c>
      <c r="D56" s="48" t="s">
        <v>31</v>
      </c>
      <c r="E56" s="48" t="s">
        <v>138</v>
      </c>
      <c r="F56" s="48" t="s">
        <v>139</v>
      </c>
      <c r="G56" s="49" t="s">
        <v>56</v>
      </c>
      <c r="H56" s="48" t="s">
        <v>150</v>
      </c>
      <c r="I56" s="48">
        <v>1</v>
      </c>
      <c r="J56" s="48">
        <v>54</v>
      </c>
      <c r="K56" s="48">
        <v>1</v>
      </c>
      <c r="N56" s="48">
        <v>0</v>
      </c>
      <c r="R56" s="49"/>
      <c r="S56" s="49"/>
      <c r="T56" s="49">
        <v>46538</v>
      </c>
      <c r="U56" s="49">
        <v>46538</v>
      </c>
      <c r="V56" s="49">
        <v>46538</v>
      </c>
      <c r="W56" s="49">
        <v>46538</v>
      </c>
      <c r="X56" s="48">
        <v>1</v>
      </c>
      <c r="Y56" s="48">
        <v>1</v>
      </c>
      <c r="Z56" s="48">
        <v>1</v>
      </c>
      <c r="AA56" s="156">
        <v>0</v>
      </c>
      <c r="AF56" s="48">
        <v>0</v>
      </c>
      <c r="AG56" s="49" t="s">
        <v>41</v>
      </c>
      <c r="AH56" s="48">
        <v>1</v>
      </c>
      <c r="AI56" s="48" t="s">
        <v>33</v>
      </c>
      <c r="AJ56" s="48" t="s">
        <v>33</v>
      </c>
      <c r="AK56" s="48" t="s">
        <v>33</v>
      </c>
      <c r="AL56" s="48" t="s">
        <v>34</v>
      </c>
      <c r="AN56" s="48">
        <v>0</v>
      </c>
      <c r="AO56" s="48">
        <v>0</v>
      </c>
      <c r="AP56" s="48">
        <v>0</v>
      </c>
      <c r="AQ56" s="48">
        <v>0</v>
      </c>
      <c r="AR56" s="48">
        <v>0</v>
      </c>
      <c r="AS56" s="48">
        <v>0</v>
      </c>
      <c r="AT56" s="48">
        <v>0</v>
      </c>
      <c r="AU56" s="48">
        <v>0</v>
      </c>
      <c r="AV56" s="48">
        <v>0</v>
      </c>
      <c r="AW56" s="48">
        <v>0</v>
      </c>
      <c r="AX56" s="48">
        <v>0</v>
      </c>
      <c r="AY56" s="48">
        <v>0</v>
      </c>
      <c r="AZ56" s="48">
        <v>0</v>
      </c>
      <c r="BA56" s="48">
        <v>0</v>
      </c>
      <c r="BB56" s="48">
        <v>0</v>
      </c>
    </row>
    <row r="57" spans="1:54" x14ac:dyDescent="0.35">
      <c r="A57" s="49">
        <v>45930</v>
      </c>
      <c r="B57" s="48">
        <v>1</v>
      </c>
      <c r="C57" s="50" t="s">
        <v>41</v>
      </c>
      <c r="D57" s="48" t="s">
        <v>31</v>
      </c>
      <c r="E57" s="48" t="s">
        <v>138</v>
      </c>
      <c r="F57" s="48" t="s">
        <v>139</v>
      </c>
      <c r="G57" s="49" t="s">
        <v>56</v>
      </c>
      <c r="H57" s="48" t="s">
        <v>150</v>
      </c>
      <c r="I57" s="48">
        <v>1</v>
      </c>
      <c r="J57" s="48">
        <v>55</v>
      </c>
      <c r="K57" s="48">
        <v>1</v>
      </c>
      <c r="N57" s="48">
        <v>0</v>
      </c>
      <c r="R57" s="49"/>
      <c r="S57" s="49"/>
      <c r="T57" s="49">
        <v>46568</v>
      </c>
      <c r="U57" s="49">
        <v>46568</v>
      </c>
      <c r="V57" s="49">
        <v>46568</v>
      </c>
      <c r="W57" s="49">
        <v>46568</v>
      </c>
      <c r="X57" s="48">
        <v>1</v>
      </c>
      <c r="Y57" s="48">
        <v>1</v>
      </c>
      <c r="Z57" s="48">
        <v>1</v>
      </c>
      <c r="AA57" s="156">
        <v>0</v>
      </c>
      <c r="AF57" s="48">
        <v>0</v>
      </c>
      <c r="AG57" s="49" t="s">
        <v>41</v>
      </c>
      <c r="AH57" s="48">
        <v>1</v>
      </c>
      <c r="AI57" s="48" t="s">
        <v>33</v>
      </c>
      <c r="AJ57" s="48" t="s">
        <v>33</v>
      </c>
      <c r="AK57" s="48" t="s">
        <v>33</v>
      </c>
      <c r="AL57" s="48" t="s">
        <v>34</v>
      </c>
      <c r="AN57" s="48">
        <v>0</v>
      </c>
      <c r="AO57" s="48">
        <v>0</v>
      </c>
      <c r="AP57" s="48">
        <v>0</v>
      </c>
      <c r="AQ57" s="48">
        <v>0</v>
      </c>
      <c r="AR57" s="48">
        <v>0</v>
      </c>
      <c r="AS57" s="48">
        <v>0</v>
      </c>
      <c r="AT57" s="48">
        <v>0</v>
      </c>
      <c r="AU57" s="48">
        <v>0</v>
      </c>
      <c r="AV57" s="48">
        <v>0</v>
      </c>
      <c r="AW57" s="48">
        <v>0</v>
      </c>
      <c r="AX57" s="48">
        <v>0</v>
      </c>
      <c r="AY57" s="48">
        <v>0</v>
      </c>
      <c r="AZ57" s="48">
        <v>0</v>
      </c>
      <c r="BA57" s="48">
        <v>0</v>
      </c>
      <c r="BB57" s="48">
        <v>0</v>
      </c>
    </row>
    <row r="58" spans="1:54" x14ac:dyDescent="0.35">
      <c r="A58" s="49">
        <v>45930</v>
      </c>
      <c r="B58" s="48">
        <v>1</v>
      </c>
      <c r="C58" s="50" t="s">
        <v>41</v>
      </c>
      <c r="D58" s="48" t="s">
        <v>31</v>
      </c>
      <c r="E58" s="48" t="s">
        <v>138</v>
      </c>
      <c r="F58" s="48" t="s">
        <v>139</v>
      </c>
      <c r="G58" s="49" t="s">
        <v>56</v>
      </c>
      <c r="H58" s="48" t="s">
        <v>150</v>
      </c>
      <c r="I58" s="48">
        <v>1</v>
      </c>
      <c r="J58" s="48">
        <v>56</v>
      </c>
      <c r="K58" s="48">
        <v>1</v>
      </c>
      <c r="N58" s="48">
        <v>0</v>
      </c>
      <c r="R58" s="49"/>
      <c r="S58" s="49"/>
      <c r="T58" s="49">
        <v>46599</v>
      </c>
      <c r="U58" s="49">
        <v>46599</v>
      </c>
      <c r="V58" s="49">
        <v>46599</v>
      </c>
      <c r="W58" s="49">
        <v>46599</v>
      </c>
      <c r="X58" s="48">
        <v>1</v>
      </c>
      <c r="Y58" s="48">
        <v>1</v>
      </c>
      <c r="Z58" s="48">
        <v>1</v>
      </c>
      <c r="AA58" s="156">
        <v>0</v>
      </c>
      <c r="AF58" s="48">
        <v>0</v>
      </c>
      <c r="AG58" s="49" t="s">
        <v>41</v>
      </c>
      <c r="AH58" s="48">
        <v>1</v>
      </c>
      <c r="AI58" s="48" t="s">
        <v>33</v>
      </c>
      <c r="AJ58" s="48" t="s">
        <v>33</v>
      </c>
      <c r="AK58" s="48" t="s">
        <v>33</v>
      </c>
      <c r="AL58" s="48" t="s">
        <v>34</v>
      </c>
      <c r="AN58" s="48">
        <v>0</v>
      </c>
      <c r="AO58" s="48">
        <v>0</v>
      </c>
      <c r="AP58" s="48">
        <v>0</v>
      </c>
      <c r="AQ58" s="48">
        <v>0</v>
      </c>
      <c r="AR58" s="48">
        <v>0</v>
      </c>
      <c r="AS58" s="48">
        <v>0</v>
      </c>
      <c r="AT58" s="48">
        <v>0</v>
      </c>
      <c r="AU58" s="48">
        <v>0</v>
      </c>
      <c r="AV58" s="48">
        <v>0</v>
      </c>
      <c r="AW58" s="48">
        <v>0</v>
      </c>
      <c r="AX58" s="48">
        <v>0</v>
      </c>
      <c r="AY58" s="48">
        <v>0</v>
      </c>
      <c r="AZ58" s="48">
        <v>0</v>
      </c>
      <c r="BA58" s="48">
        <v>0</v>
      </c>
      <c r="BB58" s="48">
        <v>0</v>
      </c>
    </row>
    <row r="59" spans="1:54" x14ac:dyDescent="0.35">
      <c r="A59" s="49">
        <v>45930</v>
      </c>
      <c r="B59" s="48">
        <v>1</v>
      </c>
      <c r="C59" s="50" t="s">
        <v>41</v>
      </c>
      <c r="D59" s="48" t="s">
        <v>31</v>
      </c>
      <c r="E59" s="48" t="s">
        <v>138</v>
      </c>
      <c r="F59" s="48" t="s">
        <v>139</v>
      </c>
      <c r="G59" s="49" t="s">
        <v>56</v>
      </c>
      <c r="H59" s="48" t="s">
        <v>150</v>
      </c>
      <c r="I59" s="48">
        <v>1</v>
      </c>
      <c r="J59" s="48">
        <v>57</v>
      </c>
      <c r="K59" s="48">
        <v>1</v>
      </c>
      <c r="N59" s="48">
        <v>0</v>
      </c>
      <c r="R59" s="49"/>
      <c r="S59" s="49"/>
      <c r="T59" s="49">
        <v>46630</v>
      </c>
      <c r="U59" s="49">
        <v>46630</v>
      </c>
      <c r="V59" s="49">
        <v>46630</v>
      </c>
      <c r="W59" s="49">
        <v>46630</v>
      </c>
      <c r="X59" s="48">
        <v>1</v>
      </c>
      <c r="Y59" s="48">
        <v>1</v>
      </c>
      <c r="Z59" s="48">
        <v>1</v>
      </c>
      <c r="AA59" s="156">
        <v>0</v>
      </c>
      <c r="AF59" s="48">
        <v>0</v>
      </c>
      <c r="AG59" s="49" t="s">
        <v>41</v>
      </c>
      <c r="AH59" s="48">
        <v>1</v>
      </c>
      <c r="AI59" s="48" t="s">
        <v>33</v>
      </c>
      <c r="AJ59" s="48" t="s">
        <v>33</v>
      </c>
      <c r="AK59" s="48" t="s">
        <v>33</v>
      </c>
      <c r="AL59" s="48" t="s">
        <v>34</v>
      </c>
      <c r="AN59" s="48">
        <v>0</v>
      </c>
      <c r="AO59" s="48">
        <v>0</v>
      </c>
      <c r="AP59" s="48">
        <v>0</v>
      </c>
      <c r="AQ59" s="48">
        <v>0</v>
      </c>
      <c r="AR59" s="48">
        <v>0</v>
      </c>
      <c r="AS59" s="48">
        <v>0</v>
      </c>
      <c r="AT59" s="48">
        <v>0</v>
      </c>
      <c r="AU59" s="48">
        <v>0</v>
      </c>
      <c r="AV59" s="48">
        <v>0</v>
      </c>
      <c r="AW59" s="48">
        <v>0</v>
      </c>
      <c r="AX59" s="48">
        <v>0</v>
      </c>
      <c r="AY59" s="48">
        <v>0</v>
      </c>
      <c r="AZ59" s="48">
        <v>0</v>
      </c>
      <c r="BA59" s="48">
        <v>0</v>
      </c>
      <c r="BB59" s="48">
        <v>0</v>
      </c>
    </row>
    <row r="60" spans="1:54" x14ac:dyDescent="0.35">
      <c r="A60" s="49">
        <v>45930</v>
      </c>
      <c r="B60" s="48">
        <v>1</v>
      </c>
      <c r="C60" s="50" t="s">
        <v>41</v>
      </c>
      <c r="D60" s="48" t="s">
        <v>31</v>
      </c>
      <c r="E60" s="48" t="s">
        <v>138</v>
      </c>
      <c r="F60" s="48" t="s">
        <v>139</v>
      </c>
      <c r="G60" s="49" t="s">
        <v>56</v>
      </c>
      <c r="H60" s="48" t="s">
        <v>150</v>
      </c>
      <c r="I60" s="48">
        <v>1</v>
      </c>
      <c r="J60" s="48">
        <v>58</v>
      </c>
      <c r="K60" s="48">
        <v>1</v>
      </c>
      <c r="N60" s="48">
        <v>0</v>
      </c>
      <c r="R60" s="49"/>
      <c r="S60" s="49"/>
      <c r="T60" s="49">
        <v>46660</v>
      </c>
      <c r="U60" s="49">
        <v>46660</v>
      </c>
      <c r="V60" s="49">
        <v>46660</v>
      </c>
      <c r="W60" s="49">
        <v>46660</v>
      </c>
      <c r="X60" s="48">
        <v>1</v>
      </c>
      <c r="Y60" s="48">
        <v>1</v>
      </c>
      <c r="Z60" s="48">
        <v>1</v>
      </c>
      <c r="AA60" s="156">
        <v>0</v>
      </c>
      <c r="AF60" s="48">
        <v>0</v>
      </c>
      <c r="AG60" s="49" t="s">
        <v>41</v>
      </c>
      <c r="AH60" s="48">
        <v>1</v>
      </c>
      <c r="AI60" s="48" t="s">
        <v>33</v>
      </c>
      <c r="AJ60" s="48" t="s">
        <v>33</v>
      </c>
      <c r="AK60" s="48" t="s">
        <v>33</v>
      </c>
      <c r="AL60" s="48" t="s">
        <v>34</v>
      </c>
      <c r="AN60" s="48">
        <v>0</v>
      </c>
      <c r="AO60" s="48">
        <v>0</v>
      </c>
      <c r="AP60" s="48">
        <v>0</v>
      </c>
      <c r="AQ60" s="48">
        <v>0</v>
      </c>
      <c r="AR60" s="48">
        <v>0</v>
      </c>
      <c r="AS60" s="48">
        <v>0</v>
      </c>
      <c r="AT60" s="48">
        <v>0</v>
      </c>
      <c r="AU60" s="48">
        <v>0</v>
      </c>
      <c r="AV60" s="48">
        <v>0</v>
      </c>
      <c r="AW60" s="48">
        <v>0</v>
      </c>
      <c r="AX60" s="48">
        <v>0</v>
      </c>
      <c r="AY60" s="48">
        <v>0</v>
      </c>
      <c r="AZ60" s="48">
        <v>0</v>
      </c>
      <c r="BA60" s="48">
        <v>0</v>
      </c>
      <c r="BB60" s="48">
        <v>0</v>
      </c>
    </row>
    <row r="61" spans="1:54" x14ac:dyDescent="0.35">
      <c r="A61" s="49">
        <v>45930</v>
      </c>
      <c r="B61" s="48">
        <v>1</v>
      </c>
      <c r="C61" s="50" t="s">
        <v>41</v>
      </c>
      <c r="D61" s="48" t="s">
        <v>31</v>
      </c>
      <c r="E61" s="48" t="s">
        <v>138</v>
      </c>
      <c r="F61" s="48" t="s">
        <v>139</v>
      </c>
      <c r="G61" s="49" t="s">
        <v>56</v>
      </c>
      <c r="H61" s="48" t="s">
        <v>150</v>
      </c>
      <c r="I61" s="48">
        <v>1</v>
      </c>
      <c r="J61" s="48">
        <v>59</v>
      </c>
      <c r="K61" s="48">
        <v>1</v>
      </c>
      <c r="N61" s="48">
        <v>0</v>
      </c>
      <c r="R61" s="49"/>
      <c r="S61" s="49"/>
      <c r="T61" s="49">
        <v>46691</v>
      </c>
      <c r="U61" s="49">
        <v>46691</v>
      </c>
      <c r="V61" s="49">
        <v>46691</v>
      </c>
      <c r="W61" s="49">
        <v>46691</v>
      </c>
      <c r="X61" s="48">
        <v>1</v>
      </c>
      <c r="Y61" s="48">
        <v>1</v>
      </c>
      <c r="Z61" s="48">
        <v>1</v>
      </c>
      <c r="AA61" s="156">
        <v>0</v>
      </c>
      <c r="AF61" s="48">
        <v>0</v>
      </c>
      <c r="AG61" s="49" t="s">
        <v>41</v>
      </c>
      <c r="AH61" s="48">
        <v>1</v>
      </c>
      <c r="AI61" s="48" t="s">
        <v>33</v>
      </c>
      <c r="AJ61" s="48" t="s">
        <v>33</v>
      </c>
      <c r="AK61" s="48" t="s">
        <v>33</v>
      </c>
      <c r="AL61" s="48" t="s">
        <v>34</v>
      </c>
      <c r="AN61" s="48">
        <v>0</v>
      </c>
      <c r="AO61" s="48">
        <v>0</v>
      </c>
      <c r="AP61" s="48">
        <v>0</v>
      </c>
      <c r="AQ61" s="48">
        <v>0</v>
      </c>
      <c r="AR61" s="48">
        <v>0</v>
      </c>
      <c r="AS61" s="48">
        <v>0</v>
      </c>
      <c r="AT61" s="48">
        <v>0</v>
      </c>
      <c r="AU61" s="48">
        <v>0</v>
      </c>
      <c r="AV61" s="48">
        <v>0</v>
      </c>
      <c r="AW61" s="48">
        <v>0</v>
      </c>
      <c r="AX61" s="48">
        <v>0</v>
      </c>
      <c r="AY61" s="48">
        <v>0</v>
      </c>
      <c r="AZ61" s="48">
        <v>0</v>
      </c>
      <c r="BA61" s="48">
        <v>0</v>
      </c>
      <c r="BB61" s="48">
        <v>0</v>
      </c>
    </row>
    <row r="62" spans="1:54" x14ac:dyDescent="0.35">
      <c r="A62" s="49">
        <v>45930</v>
      </c>
      <c r="B62" s="48">
        <v>1</v>
      </c>
      <c r="C62" s="50" t="s">
        <v>41</v>
      </c>
      <c r="D62" s="48" t="s">
        <v>31</v>
      </c>
      <c r="E62" s="48" t="s">
        <v>138</v>
      </c>
      <c r="F62" s="48" t="s">
        <v>139</v>
      </c>
      <c r="G62" s="49" t="s">
        <v>56</v>
      </c>
      <c r="H62" s="48" t="s">
        <v>150</v>
      </c>
      <c r="I62" s="48">
        <v>1</v>
      </c>
      <c r="J62" s="48">
        <v>60</v>
      </c>
      <c r="K62" s="48">
        <v>1</v>
      </c>
      <c r="N62" s="48">
        <v>0</v>
      </c>
      <c r="R62" s="49"/>
      <c r="S62" s="49"/>
      <c r="T62" s="49">
        <v>46721</v>
      </c>
      <c r="U62" s="49">
        <v>46721</v>
      </c>
      <c r="V62" s="49">
        <v>46721</v>
      </c>
      <c r="W62" s="49">
        <v>46721</v>
      </c>
      <c r="X62" s="48">
        <v>1</v>
      </c>
      <c r="Y62" s="48">
        <v>1</v>
      </c>
      <c r="Z62" s="48">
        <v>1</v>
      </c>
      <c r="AA62" s="156">
        <v>0</v>
      </c>
      <c r="AF62" s="48">
        <v>0</v>
      </c>
      <c r="AG62" s="49" t="s">
        <v>41</v>
      </c>
      <c r="AH62" s="48">
        <v>1</v>
      </c>
      <c r="AI62" s="48" t="s">
        <v>33</v>
      </c>
      <c r="AJ62" s="48" t="s">
        <v>33</v>
      </c>
      <c r="AK62" s="48" t="s">
        <v>33</v>
      </c>
      <c r="AL62" s="48" t="s">
        <v>34</v>
      </c>
      <c r="AN62" s="48">
        <v>0</v>
      </c>
      <c r="AO62" s="48">
        <v>0</v>
      </c>
      <c r="AP62" s="48">
        <v>0</v>
      </c>
      <c r="AQ62" s="48">
        <v>0</v>
      </c>
      <c r="AR62" s="48">
        <v>0</v>
      </c>
      <c r="AS62" s="48">
        <v>0</v>
      </c>
      <c r="AT62" s="48">
        <v>0</v>
      </c>
      <c r="AU62" s="48">
        <v>0</v>
      </c>
      <c r="AV62" s="48">
        <v>0</v>
      </c>
      <c r="AW62" s="48">
        <v>0</v>
      </c>
      <c r="AX62" s="48">
        <v>0</v>
      </c>
      <c r="AY62" s="48">
        <v>0</v>
      </c>
      <c r="AZ62" s="48">
        <v>0</v>
      </c>
      <c r="BA62" s="48">
        <v>0</v>
      </c>
      <c r="BB62" s="48">
        <v>0</v>
      </c>
    </row>
    <row r="63" spans="1:54" x14ac:dyDescent="0.35">
      <c r="A63" s="49">
        <v>45930</v>
      </c>
      <c r="B63" s="48">
        <v>1</v>
      </c>
      <c r="C63" s="50" t="s">
        <v>41</v>
      </c>
      <c r="D63" s="48" t="s">
        <v>31</v>
      </c>
      <c r="E63" s="48" t="s">
        <v>138</v>
      </c>
      <c r="F63" s="48" t="s">
        <v>139</v>
      </c>
      <c r="G63" s="49" t="s">
        <v>58</v>
      </c>
      <c r="H63" s="48" t="s">
        <v>44</v>
      </c>
      <c r="I63" s="48">
        <v>1</v>
      </c>
      <c r="K63" s="48">
        <v>1</v>
      </c>
      <c r="N63" s="48">
        <v>0</v>
      </c>
      <c r="R63" s="49"/>
      <c r="S63" s="49"/>
      <c r="T63" s="49">
        <v>45931</v>
      </c>
      <c r="U63" s="49">
        <v>45931</v>
      </c>
      <c r="V63" s="49">
        <v>45931</v>
      </c>
      <c r="W63" s="49">
        <v>45931</v>
      </c>
      <c r="X63" s="48">
        <v>1</v>
      </c>
      <c r="Y63" s="48">
        <v>1</v>
      </c>
      <c r="Z63" s="48">
        <v>1</v>
      </c>
      <c r="AA63" s="156">
        <v>44791986461</v>
      </c>
      <c r="AF63" s="48">
        <v>0</v>
      </c>
      <c r="AG63" s="49" t="s">
        <v>41</v>
      </c>
      <c r="AH63" s="48">
        <v>1</v>
      </c>
      <c r="AI63" s="48" t="s">
        <v>33</v>
      </c>
      <c r="AJ63" s="48" t="s">
        <v>33</v>
      </c>
      <c r="AK63" s="48" t="s">
        <v>33</v>
      </c>
      <c r="AL63" s="48" t="s">
        <v>34</v>
      </c>
      <c r="AN63" s="48">
        <v>0</v>
      </c>
      <c r="AO63" s="48">
        <v>0</v>
      </c>
      <c r="AP63" s="48">
        <v>0</v>
      </c>
      <c r="AQ63" s="48">
        <v>0</v>
      </c>
      <c r="AR63" s="48">
        <v>0</v>
      </c>
      <c r="AS63" s="48">
        <v>0</v>
      </c>
      <c r="AT63" s="48">
        <v>0</v>
      </c>
      <c r="AU63" s="48">
        <v>0</v>
      </c>
      <c r="AV63" s="48">
        <v>0</v>
      </c>
      <c r="AW63" s="48">
        <v>0</v>
      </c>
      <c r="AX63" s="48">
        <v>0</v>
      </c>
      <c r="AY63" s="48">
        <v>0</v>
      </c>
      <c r="AZ63" s="48">
        <v>0</v>
      </c>
      <c r="BA63" s="48">
        <v>0</v>
      </c>
      <c r="BB63" s="48">
        <v>0</v>
      </c>
    </row>
    <row r="64" spans="1:54" x14ac:dyDescent="0.35">
      <c r="A64" s="49">
        <v>45930</v>
      </c>
      <c r="B64" s="48">
        <v>1</v>
      </c>
      <c r="C64" s="50" t="s">
        <v>41</v>
      </c>
      <c r="D64" s="48" t="s">
        <v>31</v>
      </c>
      <c r="E64" s="48" t="s">
        <v>138</v>
      </c>
      <c r="F64" s="48" t="s">
        <v>139</v>
      </c>
      <c r="G64" s="49" t="s">
        <v>58</v>
      </c>
      <c r="H64" s="48" t="s">
        <v>157</v>
      </c>
      <c r="I64" s="48">
        <v>1</v>
      </c>
      <c r="J64" s="48">
        <v>1</v>
      </c>
      <c r="K64" s="48">
        <v>1</v>
      </c>
      <c r="N64" s="48">
        <v>0</v>
      </c>
      <c r="R64" s="49"/>
      <c r="S64" s="49"/>
      <c r="T64" s="49">
        <v>45961</v>
      </c>
      <c r="U64" s="49">
        <v>45961</v>
      </c>
      <c r="V64" s="49">
        <v>45961</v>
      </c>
      <c r="W64" s="49">
        <v>45961</v>
      </c>
      <c r="X64" s="48">
        <v>1</v>
      </c>
      <c r="Y64" s="48">
        <v>1</v>
      </c>
      <c r="Z64" s="48">
        <v>1</v>
      </c>
      <c r="AA64" s="156">
        <v>3833994024.2763772</v>
      </c>
      <c r="AF64" s="48">
        <v>0</v>
      </c>
      <c r="AG64" s="49" t="s">
        <v>41</v>
      </c>
      <c r="AH64" s="48">
        <v>1</v>
      </c>
      <c r="AI64" s="48" t="s">
        <v>33</v>
      </c>
      <c r="AJ64" s="48" t="s">
        <v>33</v>
      </c>
      <c r="AK64" s="48" t="s">
        <v>33</v>
      </c>
      <c r="AL64" s="48" t="s">
        <v>34</v>
      </c>
      <c r="AN64" s="48">
        <v>0</v>
      </c>
      <c r="AO64" s="48">
        <v>0</v>
      </c>
      <c r="AP64" s="48">
        <v>0</v>
      </c>
      <c r="AQ64" s="48">
        <v>0</v>
      </c>
      <c r="AR64" s="48">
        <v>0</v>
      </c>
      <c r="AS64" s="48">
        <v>0</v>
      </c>
      <c r="AT64" s="48">
        <v>0</v>
      </c>
      <c r="AU64" s="48">
        <v>0</v>
      </c>
      <c r="AV64" s="48">
        <v>0</v>
      </c>
      <c r="AW64" s="48">
        <v>0</v>
      </c>
      <c r="AX64" s="48">
        <v>0</v>
      </c>
      <c r="AY64" s="48">
        <v>0</v>
      </c>
      <c r="AZ64" s="48">
        <v>0</v>
      </c>
      <c r="BA64" s="48">
        <v>0</v>
      </c>
      <c r="BB64" s="48">
        <v>0</v>
      </c>
    </row>
    <row r="65" spans="1:54" x14ac:dyDescent="0.35">
      <c r="A65" s="49">
        <v>45930</v>
      </c>
      <c r="B65" s="48">
        <v>1</v>
      </c>
      <c r="C65" s="50" t="s">
        <v>41</v>
      </c>
      <c r="D65" s="48" t="s">
        <v>31</v>
      </c>
      <c r="E65" s="48" t="s">
        <v>138</v>
      </c>
      <c r="F65" s="48" t="s">
        <v>139</v>
      </c>
      <c r="G65" s="49" t="s">
        <v>58</v>
      </c>
      <c r="H65" s="48" t="s">
        <v>157</v>
      </c>
      <c r="I65" s="48">
        <v>1</v>
      </c>
      <c r="J65" s="48">
        <v>2</v>
      </c>
      <c r="K65" s="48">
        <v>1</v>
      </c>
      <c r="N65" s="48">
        <v>0</v>
      </c>
      <c r="R65" s="49"/>
      <c r="S65" s="49"/>
      <c r="T65" s="49">
        <v>45991</v>
      </c>
      <c r="U65" s="49">
        <v>45991</v>
      </c>
      <c r="V65" s="49">
        <v>45991</v>
      </c>
      <c r="W65" s="49">
        <v>45991</v>
      </c>
      <c r="X65" s="48">
        <v>1</v>
      </c>
      <c r="Y65" s="48">
        <v>1</v>
      </c>
      <c r="Z65" s="48">
        <v>1</v>
      </c>
      <c r="AA65" s="156">
        <v>3833994024.2763772</v>
      </c>
      <c r="AF65" s="48">
        <v>0</v>
      </c>
      <c r="AG65" s="49" t="s">
        <v>41</v>
      </c>
      <c r="AH65" s="48">
        <v>1</v>
      </c>
      <c r="AI65" s="48" t="s">
        <v>33</v>
      </c>
      <c r="AJ65" s="48" t="s">
        <v>33</v>
      </c>
      <c r="AK65" s="48" t="s">
        <v>33</v>
      </c>
      <c r="AL65" s="48" t="s">
        <v>34</v>
      </c>
      <c r="AN65" s="48">
        <v>0</v>
      </c>
      <c r="AO65" s="48">
        <v>0</v>
      </c>
      <c r="AP65" s="48">
        <v>0</v>
      </c>
      <c r="AQ65" s="48">
        <v>0</v>
      </c>
      <c r="AR65" s="48">
        <v>0</v>
      </c>
      <c r="AS65" s="48">
        <v>0</v>
      </c>
      <c r="AT65" s="48">
        <v>0</v>
      </c>
      <c r="AU65" s="48">
        <v>0</v>
      </c>
      <c r="AV65" s="48">
        <v>0</v>
      </c>
      <c r="AW65" s="48">
        <v>0</v>
      </c>
      <c r="AX65" s="48">
        <v>0</v>
      </c>
      <c r="AY65" s="48">
        <v>0</v>
      </c>
      <c r="AZ65" s="48">
        <v>0</v>
      </c>
      <c r="BA65" s="48">
        <v>0</v>
      </c>
      <c r="BB65" s="48">
        <v>0</v>
      </c>
    </row>
    <row r="66" spans="1:54" x14ac:dyDescent="0.35">
      <c r="A66" s="49">
        <v>45930</v>
      </c>
      <c r="B66" s="48">
        <v>1</v>
      </c>
      <c r="C66" s="50" t="s">
        <v>41</v>
      </c>
      <c r="D66" s="48" t="s">
        <v>31</v>
      </c>
      <c r="E66" s="48" t="s">
        <v>138</v>
      </c>
      <c r="F66" s="48" t="s">
        <v>139</v>
      </c>
      <c r="G66" s="49" t="s">
        <v>58</v>
      </c>
      <c r="H66" s="48" t="s">
        <v>157</v>
      </c>
      <c r="I66" s="48">
        <v>1</v>
      </c>
      <c r="J66" s="48">
        <v>3</v>
      </c>
      <c r="K66" s="48">
        <v>1</v>
      </c>
      <c r="N66" s="48">
        <v>0</v>
      </c>
      <c r="R66" s="49"/>
      <c r="S66" s="49"/>
      <c r="T66" s="49">
        <v>46022</v>
      </c>
      <c r="U66" s="49">
        <v>46022</v>
      </c>
      <c r="V66" s="49">
        <v>46022</v>
      </c>
      <c r="W66" s="49">
        <v>46022</v>
      </c>
      <c r="X66" s="48">
        <v>1</v>
      </c>
      <c r="Y66" s="48">
        <v>1</v>
      </c>
      <c r="Z66" s="48">
        <v>1</v>
      </c>
      <c r="AA66" s="156">
        <v>3833994024.2763772</v>
      </c>
      <c r="AF66" s="48">
        <v>0</v>
      </c>
      <c r="AG66" s="49" t="s">
        <v>41</v>
      </c>
      <c r="AH66" s="48">
        <v>1</v>
      </c>
      <c r="AI66" s="48" t="s">
        <v>33</v>
      </c>
      <c r="AJ66" s="48" t="s">
        <v>33</v>
      </c>
      <c r="AK66" s="48" t="s">
        <v>33</v>
      </c>
      <c r="AL66" s="48" t="s">
        <v>34</v>
      </c>
      <c r="AN66" s="48">
        <v>0</v>
      </c>
      <c r="AO66" s="48">
        <v>0</v>
      </c>
      <c r="AP66" s="48">
        <v>0</v>
      </c>
      <c r="AQ66" s="48">
        <v>0</v>
      </c>
      <c r="AR66" s="48">
        <v>0</v>
      </c>
      <c r="AS66" s="48">
        <v>0</v>
      </c>
      <c r="AT66" s="48">
        <v>0</v>
      </c>
      <c r="AU66" s="48">
        <v>0</v>
      </c>
      <c r="AV66" s="48">
        <v>0</v>
      </c>
      <c r="AW66" s="48">
        <v>0</v>
      </c>
      <c r="AX66" s="48">
        <v>0</v>
      </c>
      <c r="AY66" s="48">
        <v>0</v>
      </c>
      <c r="AZ66" s="48">
        <v>0</v>
      </c>
      <c r="BA66" s="48">
        <v>0</v>
      </c>
      <c r="BB66" s="48">
        <v>0</v>
      </c>
    </row>
    <row r="67" spans="1:54" x14ac:dyDescent="0.35">
      <c r="A67" s="49">
        <v>45930</v>
      </c>
      <c r="B67" s="48">
        <v>1</v>
      </c>
      <c r="C67" s="50" t="s">
        <v>41</v>
      </c>
      <c r="D67" s="48" t="s">
        <v>31</v>
      </c>
      <c r="E67" s="48" t="s">
        <v>138</v>
      </c>
      <c r="F67" s="48" t="s">
        <v>139</v>
      </c>
      <c r="G67" s="49" t="s">
        <v>58</v>
      </c>
      <c r="H67" s="48" t="s">
        <v>157</v>
      </c>
      <c r="I67" s="48">
        <v>1</v>
      </c>
      <c r="J67" s="48">
        <v>4</v>
      </c>
      <c r="K67" s="48">
        <v>1</v>
      </c>
      <c r="N67" s="48">
        <v>0</v>
      </c>
      <c r="R67" s="49"/>
      <c r="S67" s="49"/>
      <c r="T67" s="49">
        <v>46053</v>
      </c>
      <c r="U67" s="49">
        <v>46053</v>
      </c>
      <c r="V67" s="49">
        <v>46053</v>
      </c>
      <c r="W67" s="49">
        <v>46053</v>
      </c>
      <c r="X67" s="48">
        <v>1</v>
      </c>
      <c r="Y67" s="48">
        <v>1</v>
      </c>
      <c r="Z67" s="48">
        <v>1</v>
      </c>
      <c r="AA67" s="156">
        <v>3833994024.2763772</v>
      </c>
      <c r="AF67" s="48">
        <v>0</v>
      </c>
      <c r="AG67" s="49" t="s">
        <v>41</v>
      </c>
      <c r="AH67" s="48">
        <v>1</v>
      </c>
      <c r="AI67" s="48" t="s">
        <v>33</v>
      </c>
      <c r="AJ67" s="48" t="s">
        <v>33</v>
      </c>
      <c r="AK67" s="48" t="s">
        <v>33</v>
      </c>
      <c r="AL67" s="48" t="s">
        <v>34</v>
      </c>
      <c r="AN67" s="48">
        <v>0</v>
      </c>
      <c r="AO67" s="48">
        <v>0</v>
      </c>
      <c r="AP67" s="48">
        <v>0</v>
      </c>
      <c r="AQ67" s="48">
        <v>0</v>
      </c>
      <c r="AR67" s="48">
        <v>0</v>
      </c>
      <c r="AS67" s="48">
        <v>0</v>
      </c>
      <c r="AT67" s="48">
        <v>0</v>
      </c>
      <c r="AU67" s="48">
        <v>0</v>
      </c>
      <c r="AV67" s="48">
        <v>0</v>
      </c>
      <c r="AW67" s="48">
        <v>0</v>
      </c>
      <c r="AX67" s="48">
        <v>0</v>
      </c>
      <c r="AY67" s="48">
        <v>0</v>
      </c>
      <c r="AZ67" s="48">
        <v>0</v>
      </c>
      <c r="BA67" s="48">
        <v>0</v>
      </c>
      <c r="BB67" s="48">
        <v>0</v>
      </c>
    </row>
    <row r="68" spans="1:54" x14ac:dyDescent="0.35">
      <c r="A68" s="49">
        <v>45930</v>
      </c>
      <c r="B68" s="48">
        <v>1</v>
      </c>
      <c r="C68" s="50" t="s">
        <v>41</v>
      </c>
      <c r="D68" s="48" t="s">
        <v>31</v>
      </c>
      <c r="E68" s="48" t="s">
        <v>138</v>
      </c>
      <c r="F68" s="48" t="s">
        <v>139</v>
      </c>
      <c r="G68" s="49" t="s">
        <v>58</v>
      </c>
      <c r="H68" s="48" t="s">
        <v>157</v>
      </c>
      <c r="I68" s="48">
        <v>1</v>
      </c>
      <c r="J68" s="48">
        <v>5</v>
      </c>
      <c r="K68" s="48">
        <v>1</v>
      </c>
      <c r="N68" s="48">
        <v>0</v>
      </c>
      <c r="R68" s="49"/>
      <c r="S68" s="49"/>
      <c r="T68" s="49">
        <v>46081</v>
      </c>
      <c r="U68" s="49">
        <v>46081</v>
      </c>
      <c r="V68" s="49">
        <v>46081</v>
      </c>
      <c r="W68" s="49">
        <v>46081</v>
      </c>
      <c r="X68" s="48">
        <v>1</v>
      </c>
      <c r="Y68" s="48">
        <v>1</v>
      </c>
      <c r="Z68" s="48">
        <v>1</v>
      </c>
      <c r="AA68" s="156">
        <v>3833994024.2763772</v>
      </c>
      <c r="AF68" s="48">
        <v>0</v>
      </c>
      <c r="AG68" s="49" t="s">
        <v>41</v>
      </c>
      <c r="AH68" s="48">
        <v>1</v>
      </c>
      <c r="AI68" s="48" t="s">
        <v>33</v>
      </c>
      <c r="AJ68" s="48" t="s">
        <v>33</v>
      </c>
      <c r="AK68" s="48" t="s">
        <v>33</v>
      </c>
      <c r="AL68" s="48" t="s">
        <v>34</v>
      </c>
      <c r="AN68" s="48">
        <v>0</v>
      </c>
      <c r="AO68" s="48">
        <v>0</v>
      </c>
      <c r="AP68" s="48">
        <v>0</v>
      </c>
      <c r="AQ68" s="48">
        <v>0</v>
      </c>
      <c r="AR68" s="48">
        <v>0</v>
      </c>
      <c r="AS68" s="48">
        <v>0</v>
      </c>
      <c r="AT68" s="48">
        <v>0</v>
      </c>
      <c r="AU68" s="48">
        <v>0</v>
      </c>
      <c r="AV68" s="48">
        <v>0</v>
      </c>
      <c r="AW68" s="48">
        <v>0</v>
      </c>
      <c r="AX68" s="48">
        <v>0</v>
      </c>
      <c r="AY68" s="48">
        <v>0</v>
      </c>
      <c r="AZ68" s="48">
        <v>0</v>
      </c>
      <c r="BA68" s="48">
        <v>0</v>
      </c>
      <c r="BB68" s="48">
        <v>0</v>
      </c>
    </row>
    <row r="69" spans="1:54" x14ac:dyDescent="0.35">
      <c r="A69" s="49">
        <v>45930</v>
      </c>
      <c r="B69" s="48">
        <v>1</v>
      </c>
      <c r="C69" s="50" t="s">
        <v>41</v>
      </c>
      <c r="D69" s="48" t="s">
        <v>31</v>
      </c>
      <c r="E69" s="48" t="s">
        <v>138</v>
      </c>
      <c r="F69" s="48" t="s">
        <v>139</v>
      </c>
      <c r="G69" s="49" t="s">
        <v>58</v>
      </c>
      <c r="H69" s="48" t="s">
        <v>157</v>
      </c>
      <c r="I69" s="48">
        <v>1</v>
      </c>
      <c r="J69" s="48">
        <v>6</v>
      </c>
      <c r="K69" s="48">
        <v>1</v>
      </c>
      <c r="N69" s="48">
        <v>0</v>
      </c>
      <c r="R69" s="49"/>
      <c r="S69" s="49"/>
      <c r="T69" s="49">
        <v>46112</v>
      </c>
      <c r="U69" s="49">
        <v>46112</v>
      </c>
      <c r="V69" s="49">
        <v>46112</v>
      </c>
      <c r="W69" s="49">
        <v>46112</v>
      </c>
      <c r="X69" s="48">
        <v>1</v>
      </c>
      <c r="Y69" s="48">
        <v>1</v>
      </c>
      <c r="Z69" s="48">
        <v>1</v>
      </c>
      <c r="AA69" s="156">
        <v>3833994024.2763772</v>
      </c>
      <c r="AF69" s="48">
        <v>0</v>
      </c>
      <c r="AG69" s="49" t="s">
        <v>41</v>
      </c>
      <c r="AH69" s="48">
        <v>1</v>
      </c>
      <c r="AI69" s="48" t="s">
        <v>33</v>
      </c>
      <c r="AJ69" s="48" t="s">
        <v>33</v>
      </c>
      <c r="AK69" s="48" t="s">
        <v>33</v>
      </c>
      <c r="AL69" s="48" t="s">
        <v>34</v>
      </c>
      <c r="AN69" s="48">
        <v>0</v>
      </c>
      <c r="AO69" s="48">
        <v>0</v>
      </c>
      <c r="AP69" s="48">
        <v>0</v>
      </c>
      <c r="AQ69" s="48">
        <v>0</v>
      </c>
      <c r="AR69" s="48">
        <v>0</v>
      </c>
      <c r="AS69" s="48">
        <v>0</v>
      </c>
      <c r="AT69" s="48">
        <v>0</v>
      </c>
      <c r="AU69" s="48">
        <v>0</v>
      </c>
      <c r="AV69" s="48">
        <v>0</v>
      </c>
      <c r="AW69" s="48">
        <v>0</v>
      </c>
      <c r="AX69" s="48">
        <v>0</v>
      </c>
      <c r="AY69" s="48">
        <v>0</v>
      </c>
      <c r="AZ69" s="48">
        <v>0</v>
      </c>
      <c r="BA69" s="48">
        <v>0</v>
      </c>
      <c r="BB69" s="48">
        <v>0</v>
      </c>
    </row>
    <row r="70" spans="1:54" x14ac:dyDescent="0.35">
      <c r="A70" s="49">
        <v>45930</v>
      </c>
      <c r="B70" s="48">
        <v>1</v>
      </c>
      <c r="C70" s="50" t="s">
        <v>41</v>
      </c>
      <c r="D70" s="48" t="s">
        <v>31</v>
      </c>
      <c r="E70" s="48" t="s">
        <v>138</v>
      </c>
      <c r="F70" s="48" t="s">
        <v>139</v>
      </c>
      <c r="G70" s="49" t="s">
        <v>58</v>
      </c>
      <c r="H70" s="48" t="s">
        <v>157</v>
      </c>
      <c r="I70" s="48">
        <v>1</v>
      </c>
      <c r="J70" s="48">
        <v>7</v>
      </c>
      <c r="K70" s="48">
        <v>1</v>
      </c>
      <c r="N70" s="48">
        <v>0</v>
      </c>
      <c r="R70" s="49"/>
      <c r="S70" s="49"/>
      <c r="T70" s="49">
        <v>46142</v>
      </c>
      <c r="U70" s="49">
        <v>46142</v>
      </c>
      <c r="V70" s="49">
        <v>46142</v>
      </c>
      <c r="W70" s="49">
        <v>46142</v>
      </c>
      <c r="X70" s="48">
        <v>1</v>
      </c>
      <c r="Y70" s="48">
        <v>1</v>
      </c>
      <c r="Z70" s="48">
        <v>1</v>
      </c>
      <c r="AA70" s="156">
        <v>3833994024.2763772</v>
      </c>
      <c r="AF70" s="48">
        <v>0</v>
      </c>
      <c r="AG70" s="49" t="s">
        <v>41</v>
      </c>
      <c r="AH70" s="48">
        <v>1</v>
      </c>
      <c r="AI70" s="48" t="s">
        <v>33</v>
      </c>
      <c r="AJ70" s="48" t="s">
        <v>33</v>
      </c>
      <c r="AK70" s="48" t="s">
        <v>33</v>
      </c>
      <c r="AL70" s="48" t="s">
        <v>34</v>
      </c>
      <c r="AN70" s="48">
        <v>0</v>
      </c>
      <c r="AO70" s="48">
        <v>0</v>
      </c>
      <c r="AP70" s="48">
        <v>0</v>
      </c>
      <c r="AQ70" s="48">
        <v>0</v>
      </c>
      <c r="AR70" s="48">
        <v>0</v>
      </c>
      <c r="AS70" s="48">
        <v>0</v>
      </c>
      <c r="AT70" s="48">
        <v>0</v>
      </c>
      <c r="AU70" s="48">
        <v>0</v>
      </c>
      <c r="AV70" s="48">
        <v>0</v>
      </c>
      <c r="AW70" s="48">
        <v>0</v>
      </c>
      <c r="AX70" s="48">
        <v>0</v>
      </c>
      <c r="AY70" s="48">
        <v>0</v>
      </c>
      <c r="AZ70" s="48">
        <v>0</v>
      </c>
      <c r="BA70" s="48">
        <v>0</v>
      </c>
      <c r="BB70" s="48">
        <v>0</v>
      </c>
    </row>
    <row r="71" spans="1:54" x14ac:dyDescent="0.35">
      <c r="A71" s="49">
        <v>45930</v>
      </c>
      <c r="B71" s="48">
        <v>1</v>
      </c>
      <c r="C71" s="50" t="s">
        <v>41</v>
      </c>
      <c r="D71" s="48" t="s">
        <v>31</v>
      </c>
      <c r="E71" s="48" t="s">
        <v>138</v>
      </c>
      <c r="F71" s="48" t="s">
        <v>139</v>
      </c>
      <c r="G71" s="49" t="s">
        <v>58</v>
      </c>
      <c r="H71" s="48" t="s">
        <v>157</v>
      </c>
      <c r="I71" s="48">
        <v>1</v>
      </c>
      <c r="J71" s="48">
        <v>8</v>
      </c>
      <c r="K71" s="48">
        <v>1</v>
      </c>
      <c r="N71" s="48">
        <v>0</v>
      </c>
      <c r="R71" s="49"/>
      <c r="S71" s="49"/>
      <c r="T71" s="49">
        <v>46173</v>
      </c>
      <c r="U71" s="49">
        <v>46173</v>
      </c>
      <c r="V71" s="49">
        <v>46173</v>
      </c>
      <c r="W71" s="49">
        <v>46173</v>
      </c>
      <c r="X71" s="48">
        <v>1</v>
      </c>
      <c r="Y71" s="48">
        <v>1</v>
      </c>
      <c r="Z71" s="48">
        <v>1</v>
      </c>
      <c r="AA71" s="156">
        <v>3833994024.2763772</v>
      </c>
      <c r="AF71" s="48">
        <v>0</v>
      </c>
      <c r="AG71" s="49" t="s">
        <v>41</v>
      </c>
      <c r="AH71" s="48">
        <v>1</v>
      </c>
      <c r="AI71" s="48" t="s">
        <v>33</v>
      </c>
      <c r="AJ71" s="48" t="s">
        <v>33</v>
      </c>
      <c r="AK71" s="48" t="s">
        <v>33</v>
      </c>
      <c r="AL71" s="48" t="s">
        <v>34</v>
      </c>
      <c r="AN71" s="48">
        <v>0</v>
      </c>
      <c r="AO71" s="48">
        <v>0</v>
      </c>
      <c r="AP71" s="48">
        <v>0</v>
      </c>
      <c r="AQ71" s="48">
        <v>0</v>
      </c>
      <c r="AR71" s="48">
        <v>0</v>
      </c>
      <c r="AS71" s="48">
        <v>0</v>
      </c>
      <c r="AT71" s="48">
        <v>0</v>
      </c>
      <c r="AU71" s="48">
        <v>0</v>
      </c>
      <c r="AV71" s="48">
        <v>0</v>
      </c>
      <c r="AW71" s="48">
        <v>0</v>
      </c>
      <c r="AX71" s="48">
        <v>0</v>
      </c>
      <c r="AY71" s="48">
        <v>0</v>
      </c>
      <c r="AZ71" s="48">
        <v>0</v>
      </c>
      <c r="BA71" s="48">
        <v>0</v>
      </c>
      <c r="BB71" s="48">
        <v>0</v>
      </c>
    </row>
    <row r="72" spans="1:54" x14ac:dyDescent="0.35">
      <c r="A72" s="49">
        <v>45930</v>
      </c>
      <c r="B72" s="48">
        <v>1</v>
      </c>
      <c r="C72" s="50" t="s">
        <v>41</v>
      </c>
      <c r="D72" s="48" t="s">
        <v>31</v>
      </c>
      <c r="E72" s="48" t="s">
        <v>138</v>
      </c>
      <c r="F72" s="48" t="s">
        <v>139</v>
      </c>
      <c r="G72" s="49" t="s">
        <v>58</v>
      </c>
      <c r="H72" s="48" t="s">
        <v>157</v>
      </c>
      <c r="I72" s="48">
        <v>1</v>
      </c>
      <c r="J72" s="48">
        <v>9</v>
      </c>
      <c r="K72" s="48">
        <v>1</v>
      </c>
      <c r="N72" s="48">
        <v>0</v>
      </c>
      <c r="R72" s="49"/>
      <c r="S72" s="49"/>
      <c r="T72" s="49">
        <v>46203</v>
      </c>
      <c r="U72" s="49">
        <v>46203</v>
      </c>
      <c r="V72" s="49">
        <v>46203</v>
      </c>
      <c r="W72" s="49">
        <v>46203</v>
      </c>
      <c r="X72" s="48">
        <v>1</v>
      </c>
      <c r="Y72" s="48">
        <v>1</v>
      </c>
      <c r="Z72" s="48">
        <v>1</v>
      </c>
      <c r="AA72" s="156">
        <v>3833994024.2763772</v>
      </c>
      <c r="AF72" s="48">
        <v>0</v>
      </c>
      <c r="AG72" s="49" t="s">
        <v>41</v>
      </c>
      <c r="AH72" s="48">
        <v>1</v>
      </c>
      <c r="AI72" s="48" t="s">
        <v>33</v>
      </c>
      <c r="AJ72" s="48" t="s">
        <v>33</v>
      </c>
      <c r="AK72" s="48" t="s">
        <v>33</v>
      </c>
      <c r="AL72" s="48" t="s">
        <v>34</v>
      </c>
      <c r="AN72" s="48">
        <v>0</v>
      </c>
      <c r="AO72" s="48">
        <v>0</v>
      </c>
      <c r="AP72" s="48">
        <v>0</v>
      </c>
      <c r="AQ72" s="48">
        <v>0</v>
      </c>
      <c r="AR72" s="48">
        <v>0</v>
      </c>
      <c r="AS72" s="48">
        <v>0</v>
      </c>
      <c r="AT72" s="48">
        <v>0</v>
      </c>
      <c r="AU72" s="48">
        <v>0</v>
      </c>
      <c r="AV72" s="48">
        <v>0</v>
      </c>
      <c r="AW72" s="48">
        <v>0</v>
      </c>
      <c r="AX72" s="48">
        <v>0</v>
      </c>
      <c r="AY72" s="48">
        <v>0</v>
      </c>
      <c r="AZ72" s="48">
        <v>0</v>
      </c>
      <c r="BA72" s="48">
        <v>0</v>
      </c>
      <c r="BB72" s="48">
        <v>0</v>
      </c>
    </row>
    <row r="73" spans="1:54" x14ac:dyDescent="0.35">
      <c r="A73" s="49">
        <v>45930</v>
      </c>
      <c r="B73" s="48">
        <v>1</v>
      </c>
      <c r="C73" s="50" t="s">
        <v>41</v>
      </c>
      <c r="D73" s="48" t="s">
        <v>31</v>
      </c>
      <c r="E73" s="48" t="s">
        <v>138</v>
      </c>
      <c r="F73" s="48" t="s">
        <v>139</v>
      </c>
      <c r="G73" s="49" t="s">
        <v>58</v>
      </c>
      <c r="H73" s="48" t="s">
        <v>157</v>
      </c>
      <c r="I73" s="48">
        <v>1</v>
      </c>
      <c r="J73" s="48">
        <v>10</v>
      </c>
      <c r="K73" s="48">
        <v>1</v>
      </c>
      <c r="N73" s="48">
        <v>0</v>
      </c>
      <c r="R73" s="49"/>
      <c r="S73" s="49"/>
      <c r="T73" s="49">
        <v>46234</v>
      </c>
      <c r="U73" s="49">
        <v>46234</v>
      </c>
      <c r="V73" s="49">
        <v>46234</v>
      </c>
      <c r="W73" s="49">
        <v>46234</v>
      </c>
      <c r="X73" s="48">
        <v>1</v>
      </c>
      <c r="Y73" s="48">
        <v>1</v>
      </c>
      <c r="Z73" s="48">
        <v>1</v>
      </c>
      <c r="AA73" s="156">
        <v>3833994024.2763772</v>
      </c>
      <c r="AF73" s="48">
        <v>0</v>
      </c>
      <c r="AG73" s="49" t="s">
        <v>41</v>
      </c>
      <c r="AH73" s="48">
        <v>1</v>
      </c>
      <c r="AI73" s="48" t="s">
        <v>33</v>
      </c>
      <c r="AJ73" s="48" t="s">
        <v>33</v>
      </c>
      <c r="AK73" s="48" t="s">
        <v>33</v>
      </c>
      <c r="AL73" s="48" t="s">
        <v>34</v>
      </c>
      <c r="AN73" s="48">
        <v>0</v>
      </c>
      <c r="AO73" s="48">
        <v>0</v>
      </c>
      <c r="AP73" s="48">
        <v>0</v>
      </c>
      <c r="AQ73" s="48">
        <v>0</v>
      </c>
      <c r="AR73" s="48">
        <v>0</v>
      </c>
      <c r="AS73" s="48">
        <v>0</v>
      </c>
      <c r="AT73" s="48">
        <v>0</v>
      </c>
      <c r="AU73" s="48">
        <v>0</v>
      </c>
      <c r="AV73" s="48">
        <v>0</v>
      </c>
      <c r="AW73" s="48">
        <v>0</v>
      </c>
      <c r="AX73" s="48">
        <v>0</v>
      </c>
      <c r="AY73" s="48">
        <v>0</v>
      </c>
      <c r="AZ73" s="48">
        <v>0</v>
      </c>
      <c r="BA73" s="48">
        <v>0</v>
      </c>
      <c r="BB73" s="48">
        <v>0</v>
      </c>
    </row>
    <row r="74" spans="1:54" x14ac:dyDescent="0.35">
      <c r="A74" s="49">
        <v>45930</v>
      </c>
      <c r="B74" s="48">
        <v>1</v>
      </c>
      <c r="C74" s="50" t="s">
        <v>41</v>
      </c>
      <c r="D74" s="48" t="s">
        <v>31</v>
      </c>
      <c r="E74" s="48" t="s">
        <v>138</v>
      </c>
      <c r="F74" s="48" t="s">
        <v>139</v>
      </c>
      <c r="G74" s="49" t="s">
        <v>58</v>
      </c>
      <c r="H74" s="48" t="s">
        <v>157</v>
      </c>
      <c r="I74" s="48">
        <v>1</v>
      </c>
      <c r="J74" s="48">
        <v>11</v>
      </c>
      <c r="K74" s="48">
        <v>1</v>
      </c>
      <c r="N74" s="48">
        <v>0</v>
      </c>
      <c r="R74" s="49"/>
      <c r="S74" s="49"/>
      <c r="T74" s="49">
        <v>46265</v>
      </c>
      <c r="U74" s="49">
        <v>46265</v>
      </c>
      <c r="V74" s="49">
        <v>46265</v>
      </c>
      <c r="W74" s="49">
        <v>46265</v>
      </c>
      <c r="X74" s="48">
        <v>1</v>
      </c>
      <c r="Y74" s="48">
        <v>1</v>
      </c>
      <c r="Z74" s="48">
        <v>1</v>
      </c>
      <c r="AA74" s="156">
        <v>3833994024.2763772</v>
      </c>
      <c r="AF74" s="48">
        <v>0</v>
      </c>
      <c r="AG74" s="49" t="s">
        <v>41</v>
      </c>
      <c r="AH74" s="48">
        <v>1</v>
      </c>
      <c r="AI74" s="48" t="s">
        <v>33</v>
      </c>
      <c r="AJ74" s="48" t="s">
        <v>33</v>
      </c>
      <c r="AK74" s="48" t="s">
        <v>33</v>
      </c>
      <c r="AL74" s="48" t="s">
        <v>34</v>
      </c>
      <c r="AN74" s="48">
        <v>0</v>
      </c>
      <c r="AO74" s="48">
        <v>0</v>
      </c>
      <c r="AP74" s="48">
        <v>0</v>
      </c>
      <c r="AQ74" s="48">
        <v>0</v>
      </c>
      <c r="AR74" s="48">
        <v>0</v>
      </c>
      <c r="AS74" s="48">
        <v>0</v>
      </c>
      <c r="AT74" s="48">
        <v>0</v>
      </c>
      <c r="AU74" s="48">
        <v>0</v>
      </c>
      <c r="AV74" s="48">
        <v>0</v>
      </c>
      <c r="AW74" s="48">
        <v>0</v>
      </c>
      <c r="AX74" s="48">
        <v>0</v>
      </c>
      <c r="AY74" s="48">
        <v>0</v>
      </c>
      <c r="AZ74" s="48">
        <v>0</v>
      </c>
      <c r="BA74" s="48">
        <v>0</v>
      </c>
      <c r="BB74" s="48">
        <v>0</v>
      </c>
    </row>
    <row r="75" spans="1:54" x14ac:dyDescent="0.35">
      <c r="A75" s="49">
        <v>45930</v>
      </c>
      <c r="B75" s="48">
        <v>1</v>
      </c>
      <c r="C75" s="50" t="s">
        <v>41</v>
      </c>
      <c r="D75" s="48" t="s">
        <v>31</v>
      </c>
      <c r="E75" s="48" t="s">
        <v>138</v>
      </c>
      <c r="F75" s="48" t="s">
        <v>139</v>
      </c>
      <c r="G75" s="49" t="s">
        <v>58</v>
      </c>
      <c r="H75" s="48" t="s">
        <v>157</v>
      </c>
      <c r="I75" s="48">
        <v>1</v>
      </c>
      <c r="J75" s="48">
        <v>12</v>
      </c>
      <c r="K75" s="48">
        <v>1</v>
      </c>
      <c r="N75" s="48">
        <v>0</v>
      </c>
      <c r="R75" s="49"/>
      <c r="S75" s="49"/>
      <c r="T75" s="49">
        <v>46295</v>
      </c>
      <c r="U75" s="49">
        <v>46295</v>
      </c>
      <c r="V75" s="49">
        <v>46295</v>
      </c>
      <c r="W75" s="49">
        <v>46295</v>
      </c>
      <c r="X75" s="48">
        <v>1</v>
      </c>
      <c r="Y75" s="48">
        <v>1</v>
      </c>
      <c r="Z75" s="48">
        <v>1</v>
      </c>
      <c r="AA75" s="156">
        <v>3833994024.2763772</v>
      </c>
      <c r="AF75" s="48">
        <v>0</v>
      </c>
      <c r="AG75" s="49" t="s">
        <v>41</v>
      </c>
      <c r="AH75" s="48">
        <v>1</v>
      </c>
      <c r="AI75" s="48" t="s">
        <v>33</v>
      </c>
      <c r="AJ75" s="48" t="s">
        <v>33</v>
      </c>
      <c r="AK75" s="48" t="s">
        <v>33</v>
      </c>
      <c r="AL75" s="48" t="s">
        <v>34</v>
      </c>
      <c r="AN75" s="48">
        <v>0</v>
      </c>
      <c r="AO75" s="48">
        <v>0</v>
      </c>
      <c r="AP75" s="48">
        <v>0</v>
      </c>
      <c r="AQ75" s="48">
        <v>0</v>
      </c>
      <c r="AR75" s="48">
        <v>0</v>
      </c>
      <c r="AS75" s="48">
        <v>0</v>
      </c>
      <c r="AT75" s="48">
        <v>0</v>
      </c>
      <c r="AU75" s="48">
        <v>0</v>
      </c>
      <c r="AV75" s="48">
        <v>0</v>
      </c>
      <c r="AW75" s="48">
        <v>0</v>
      </c>
      <c r="AX75" s="48">
        <v>0</v>
      </c>
      <c r="AY75" s="48">
        <v>0</v>
      </c>
      <c r="AZ75" s="48">
        <v>0</v>
      </c>
      <c r="BA75" s="48">
        <v>0</v>
      </c>
      <c r="BB75" s="48">
        <v>0</v>
      </c>
    </row>
    <row r="76" spans="1:54" x14ac:dyDescent="0.35">
      <c r="A76" s="49">
        <v>45930</v>
      </c>
      <c r="B76" s="48">
        <v>1</v>
      </c>
      <c r="C76" s="50" t="s">
        <v>41</v>
      </c>
      <c r="D76" s="48" t="s">
        <v>31</v>
      </c>
      <c r="E76" s="48" t="s">
        <v>138</v>
      </c>
      <c r="F76" s="48" t="s">
        <v>139</v>
      </c>
      <c r="G76" s="49" t="s">
        <v>58</v>
      </c>
      <c r="H76" s="48" t="s">
        <v>157</v>
      </c>
      <c r="I76" s="48">
        <v>1</v>
      </c>
      <c r="J76" s="48">
        <v>13</v>
      </c>
      <c r="K76" s="48">
        <v>1</v>
      </c>
      <c r="N76" s="48">
        <v>0</v>
      </c>
      <c r="R76" s="49"/>
      <c r="S76" s="49"/>
      <c r="T76" s="49">
        <v>46326</v>
      </c>
      <c r="U76" s="49">
        <v>46326</v>
      </c>
      <c r="V76" s="49">
        <v>46326</v>
      </c>
      <c r="W76" s="49">
        <v>46326</v>
      </c>
      <c r="X76" s="48">
        <v>1</v>
      </c>
      <c r="Y76" s="48">
        <v>1</v>
      </c>
      <c r="Z76" s="48">
        <v>1</v>
      </c>
      <c r="AA76" s="156">
        <v>3833994024.2763772</v>
      </c>
      <c r="AF76" s="48">
        <v>0</v>
      </c>
      <c r="AG76" s="49" t="s">
        <v>41</v>
      </c>
      <c r="AH76" s="48">
        <v>1</v>
      </c>
      <c r="AI76" s="48" t="s">
        <v>33</v>
      </c>
      <c r="AJ76" s="48" t="s">
        <v>33</v>
      </c>
      <c r="AK76" s="48" t="s">
        <v>33</v>
      </c>
      <c r="AL76" s="48" t="s">
        <v>34</v>
      </c>
      <c r="AN76" s="48">
        <v>0</v>
      </c>
      <c r="AO76" s="48">
        <v>0</v>
      </c>
      <c r="AP76" s="48">
        <v>0</v>
      </c>
      <c r="AQ76" s="48">
        <v>0</v>
      </c>
      <c r="AR76" s="48">
        <v>0</v>
      </c>
      <c r="AS76" s="48">
        <v>0</v>
      </c>
      <c r="AT76" s="48">
        <v>0</v>
      </c>
      <c r="AU76" s="48">
        <v>0</v>
      </c>
      <c r="AV76" s="48">
        <v>0</v>
      </c>
      <c r="AW76" s="48">
        <v>0</v>
      </c>
      <c r="AX76" s="48">
        <v>0</v>
      </c>
      <c r="AY76" s="48">
        <v>0</v>
      </c>
      <c r="AZ76" s="48">
        <v>0</v>
      </c>
      <c r="BA76" s="48">
        <v>0</v>
      </c>
      <c r="BB76" s="48">
        <v>0</v>
      </c>
    </row>
    <row r="77" spans="1:54" x14ac:dyDescent="0.35">
      <c r="A77" s="49">
        <v>45930</v>
      </c>
      <c r="B77" s="48">
        <v>1</v>
      </c>
      <c r="C77" s="50" t="s">
        <v>41</v>
      </c>
      <c r="D77" s="48" t="s">
        <v>31</v>
      </c>
      <c r="E77" s="48" t="s">
        <v>138</v>
      </c>
      <c r="F77" s="48" t="s">
        <v>139</v>
      </c>
      <c r="G77" s="49" t="s">
        <v>58</v>
      </c>
      <c r="H77" s="48" t="s">
        <v>157</v>
      </c>
      <c r="I77" s="48">
        <v>1</v>
      </c>
      <c r="J77" s="48">
        <v>14</v>
      </c>
      <c r="K77" s="48">
        <v>1</v>
      </c>
      <c r="N77" s="48">
        <v>0</v>
      </c>
      <c r="R77" s="49"/>
      <c r="S77" s="49"/>
      <c r="T77" s="49">
        <v>46356</v>
      </c>
      <c r="U77" s="49">
        <v>46356</v>
      </c>
      <c r="V77" s="49">
        <v>46356</v>
      </c>
      <c r="W77" s="49">
        <v>46356</v>
      </c>
      <c r="X77" s="48">
        <v>1</v>
      </c>
      <c r="Y77" s="48">
        <v>1</v>
      </c>
      <c r="Z77" s="48">
        <v>1</v>
      </c>
      <c r="AA77" s="156">
        <v>3833994024.2763772</v>
      </c>
      <c r="AF77" s="48">
        <v>0</v>
      </c>
      <c r="AG77" s="49" t="s">
        <v>41</v>
      </c>
      <c r="AH77" s="48">
        <v>1</v>
      </c>
      <c r="AI77" s="48" t="s">
        <v>33</v>
      </c>
      <c r="AJ77" s="48" t="s">
        <v>33</v>
      </c>
      <c r="AK77" s="48" t="s">
        <v>33</v>
      </c>
      <c r="AL77" s="48" t="s">
        <v>34</v>
      </c>
      <c r="AN77" s="48">
        <v>0</v>
      </c>
      <c r="AO77" s="48">
        <v>0</v>
      </c>
      <c r="AP77" s="48">
        <v>0</v>
      </c>
      <c r="AQ77" s="48">
        <v>0</v>
      </c>
      <c r="AR77" s="48">
        <v>0</v>
      </c>
      <c r="AS77" s="48">
        <v>0</v>
      </c>
      <c r="AT77" s="48">
        <v>0</v>
      </c>
      <c r="AU77" s="48">
        <v>0</v>
      </c>
      <c r="AV77" s="48">
        <v>0</v>
      </c>
      <c r="AW77" s="48">
        <v>0</v>
      </c>
      <c r="AX77" s="48">
        <v>0</v>
      </c>
      <c r="AY77" s="48">
        <v>0</v>
      </c>
      <c r="AZ77" s="48">
        <v>0</v>
      </c>
      <c r="BA77" s="48">
        <v>0</v>
      </c>
      <c r="BB77" s="48">
        <v>0</v>
      </c>
    </row>
    <row r="78" spans="1:54" x14ac:dyDescent="0.35">
      <c r="A78" s="49">
        <v>45930</v>
      </c>
      <c r="B78" s="48">
        <v>1</v>
      </c>
      <c r="C78" s="50" t="s">
        <v>41</v>
      </c>
      <c r="D78" s="48" t="s">
        <v>31</v>
      </c>
      <c r="E78" s="48" t="s">
        <v>138</v>
      </c>
      <c r="F78" s="48" t="s">
        <v>139</v>
      </c>
      <c r="G78" s="49" t="s">
        <v>58</v>
      </c>
      <c r="H78" s="48" t="s">
        <v>157</v>
      </c>
      <c r="I78" s="48">
        <v>1</v>
      </c>
      <c r="J78" s="48">
        <v>15</v>
      </c>
      <c r="K78" s="48">
        <v>1</v>
      </c>
      <c r="N78" s="48">
        <v>0</v>
      </c>
      <c r="R78" s="49"/>
      <c r="S78" s="49"/>
      <c r="T78" s="49">
        <v>46387</v>
      </c>
      <c r="U78" s="49">
        <v>46387</v>
      </c>
      <c r="V78" s="49">
        <v>46387</v>
      </c>
      <c r="W78" s="49">
        <v>46387</v>
      </c>
      <c r="X78" s="48">
        <v>1</v>
      </c>
      <c r="Y78" s="48">
        <v>1</v>
      </c>
      <c r="Z78" s="48">
        <v>1</v>
      </c>
      <c r="AA78" s="156">
        <v>3833994024.2763772</v>
      </c>
      <c r="AF78" s="48">
        <v>0</v>
      </c>
      <c r="AG78" s="49" t="s">
        <v>41</v>
      </c>
      <c r="AH78" s="48">
        <v>1</v>
      </c>
      <c r="AI78" s="48" t="s">
        <v>33</v>
      </c>
      <c r="AJ78" s="48" t="s">
        <v>33</v>
      </c>
      <c r="AK78" s="48" t="s">
        <v>33</v>
      </c>
      <c r="AL78" s="48" t="s">
        <v>34</v>
      </c>
      <c r="AN78" s="48">
        <v>0</v>
      </c>
      <c r="AO78" s="48">
        <v>0</v>
      </c>
      <c r="AP78" s="48">
        <v>0</v>
      </c>
      <c r="AQ78" s="48">
        <v>0</v>
      </c>
      <c r="AR78" s="48">
        <v>0</v>
      </c>
      <c r="AS78" s="48">
        <v>0</v>
      </c>
      <c r="AT78" s="48">
        <v>0</v>
      </c>
      <c r="AU78" s="48">
        <v>0</v>
      </c>
      <c r="AV78" s="48">
        <v>0</v>
      </c>
      <c r="AW78" s="48">
        <v>0</v>
      </c>
      <c r="AX78" s="48">
        <v>0</v>
      </c>
      <c r="AY78" s="48">
        <v>0</v>
      </c>
      <c r="AZ78" s="48">
        <v>0</v>
      </c>
      <c r="BA78" s="48">
        <v>0</v>
      </c>
      <c r="BB78" s="48">
        <v>0</v>
      </c>
    </row>
    <row r="79" spans="1:54" x14ac:dyDescent="0.35">
      <c r="A79" s="49">
        <v>45930</v>
      </c>
      <c r="B79" s="48">
        <v>1</v>
      </c>
      <c r="C79" s="50" t="s">
        <v>41</v>
      </c>
      <c r="D79" s="48" t="s">
        <v>31</v>
      </c>
      <c r="E79" s="48" t="s">
        <v>138</v>
      </c>
      <c r="F79" s="48" t="s">
        <v>139</v>
      </c>
      <c r="G79" s="49" t="s">
        <v>58</v>
      </c>
      <c r="H79" s="48" t="s">
        <v>157</v>
      </c>
      <c r="I79" s="48">
        <v>1</v>
      </c>
      <c r="J79" s="48">
        <v>16</v>
      </c>
      <c r="K79" s="48">
        <v>1</v>
      </c>
      <c r="N79" s="48">
        <v>0</v>
      </c>
      <c r="R79" s="49"/>
      <c r="S79" s="49"/>
      <c r="T79" s="49">
        <v>46418</v>
      </c>
      <c r="U79" s="49">
        <v>46418</v>
      </c>
      <c r="V79" s="49">
        <v>46418</v>
      </c>
      <c r="W79" s="49">
        <v>46418</v>
      </c>
      <c r="X79" s="48">
        <v>1</v>
      </c>
      <c r="Y79" s="48">
        <v>1</v>
      </c>
      <c r="Z79" s="48">
        <v>1</v>
      </c>
      <c r="AA79" s="156">
        <v>3833994024.2763772</v>
      </c>
      <c r="AF79" s="48">
        <v>0</v>
      </c>
      <c r="AG79" s="49" t="s">
        <v>41</v>
      </c>
      <c r="AH79" s="48">
        <v>1</v>
      </c>
      <c r="AI79" s="48" t="s">
        <v>33</v>
      </c>
      <c r="AJ79" s="48" t="s">
        <v>33</v>
      </c>
      <c r="AK79" s="48" t="s">
        <v>33</v>
      </c>
      <c r="AL79" s="48" t="s">
        <v>34</v>
      </c>
      <c r="AN79" s="48">
        <v>0</v>
      </c>
      <c r="AO79" s="48">
        <v>0</v>
      </c>
      <c r="AP79" s="48">
        <v>0</v>
      </c>
      <c r="AQ79" s="48">
        <v>0</v>
      </c>
      <c r="AR79" s="48">
        <v>0</v>
      </c>
      <c r="AS79" s="48">
        <v>0</v>
      </c>
      <c r="AT79" s="48">
        <v>0</v>
      </c>
      <c r="AU79" s="48">
        <v>0</v>
      </c>
      <c r="AV79" s="48">
        <v>0</v>
      </c>
      <c r="AW79" s="48">
        <v>0</v>
      </c>
      <c r="AX79" s="48">
        <v>0</v>
      </c>
      <c r="AY79" s="48">
        <v>0</v>
      </c>
      <c r="AZ79" s="48">
        <v>0</v>
      </c>
      <c r="BA79" s="48">
        <v>0</v>
      </c>
      <c r="BB79" s="48">
        <v>0</v>
      </c>
    </row>
    <row r="80" spans="1:54" x14ac:dyDescent="0.35">
      <c r="A80" s="49">
        <v>45930</v>
      </c>
      <c r="B80" s="48">
        <v>1</v>
      </c>
      <c r="C80" s="50" t="s">
        <v>41</v>
      </c>
      <c r="D80" s="48" t="s">
        <v>31</v>
      </c>
      <c r="E80" s="48" t="s">
        <v>138</v>
      </c>
      <c r="F80" s="48" t="s">
        <v>139</v>
      </c>
      <c r="G80" s="49" t="s">
        <v>58</v>
      </c>
      <c r="H80" s="48" t="s">
        <v>157</v>
      </c>
      <c r="I80" s="48">
        <v>1</v>
      </c>
      <c r="J80" s="48">
        <v>17</v>
      </c>
      <c r="K80" s="48">
        <v>1</v>
      </c>
      <c r="N80" s="48">
        <v>0</v>
      </c>
      <c r="R80" s="49"/>
      <c r="S80" s="49"/>
      <c r="T80" s="49">
        <v>46446</v>
      </c>
      <c r="U80" s="49">
        <v>46446</v>
      </c>
      <c r="V80" s="49">
        <v>46446</v>
      </c>
      <c r="W80" s="49">
        <v>46446</v>
      </c>
      <c r="X80" s="48">
        <v>1</v>
      </c>
      <c r="Y80" s="48">
        <v>1</v>
      </c>
      <c r="Z80" s="48">
        <v>1</v>
      </c>
      <c r="AA80" s="156">
        <v>3833994024.2763772</v>
      </c>
      <c r="AF80" s="48">
        <v>0</v>
      </c>
      <c r="AG80" s="49" t="s">
        <v>41</v>
      </c>
      <c r="AH80" s="48">
        <v>1</v>
      </c>
      <c r="AI80" s="48" t="s">
        <v>33</v>
      </c>
      <c r="AJ80" s="48" t="s">
        <v>33</v>
      </c>
      <c r="AK80" s="48" t="s">
        <v>33</v>
      </c>
      <c r="AL80" s="48" t="s">
        <v>34</v>
      </c>
      <c r="AN80" s="48">
        <v>0</v>
      </c>
      <c r="AO80" s="48">
        <v>0</v>
      </c>
      <c r="AP80" s="48">
        <v>0</v>
      </c>
      <c r="AQ80" s="48">
        <v>0</v>
      </c>
      <c r="AR80" s="48">
        <v>0</v>
      </c>
      <c r="AS80" s="48">
        <v>0</v>
      </c>
      <c r="AT80" s="48">
        <v>0</v>
      </c>
      <c r="AU80" s="48">
        <v>0</v>
      </c>
      <c r="AV80" s="48">
        <v>0</v>
      </c>
      <c r="AW80" s="48">
        <v>0</v>
      </c>
      <c r="AX80" s="48">
        <v>0</v>
      </c>
      <c r="AY80" s="48">
        <v>0</v>
      </c>
      <c r="AZ80" s="48">
        <v>0</v>
      </c>
      <c r="BA80" s="48">
        <v>0</v>
      </c>
      <c r="BB80" s="48">
        <v>0</v>
      </c>
    </row>
    <row r="81" spans="1:54" x14ac:dyDescent="0.35">
      <c r="A81" s="49">
        <v>45930</v>
      </c>
      <c r="B81" s="48">
        <v>1</v>
      </c>
      <c r="C81" s="50" t="s">
        <v>41</v>
      </c>
      <c r="D81" s="48" t="s">
        <v>31</v>
      </c>
      <c r="E81" s="48" t="s">
        <v>138</v>
      </c>
      <c r="F81" s="48" t="s">
        <v>139</v>
      </c>
      <c r="G81" s="49" t="s">
        <v>58</v>
      </c>
      <c r="H81" s="48" t="s">
        <v>157</v>
      </c>
      <c r="I81" s="48">
        <v>1</v>
      </c>
      <c r="J81" s="48">
        <v>18</v>
      </c>
      <c r="K81" s="48">
        <v>1</v>
      </c>
      <c r="N81" s="48">
        <v>0</v>
      </c>
      <c r="R81" s="49"/>
      <c r="S81" s="49"/>
      <c r="T81" s="49">
        <v>46477</v>
      </c>
      <c r="U81" s="49">
        <v>46477</v>
      </c>
      <c r="V81" s="49">
        <v>46477</v>
      </c>
      <c r="W81" s="49">
        <v>46477</v>
      </c>
      <c r="X81" s="48">
        <v>1</v>
      </c>
      <c r="Y81" s="48">
        <v>1</v>
      </c>
      <c r="Z81" s="48">
        <v>1</v>
      </c>
      <c r="AA81" s="156">
        <v>3833994024.2763772</v>
      </c>
      <c r="AF81" s="48">
        <v>0</v>
      </c>
      <c r="AG81" s="49" t="s">
        <v>41</v>
      </c>
      <c r="AH81" s="48">
        <v>1</v>
      </c>
      <c r="AI81" s="48" t="s">
        <v>33</v>
      </c>
      <c r="AJ81" s="48" t="s">
        <v>33</v>
      </c>
      <c r="AK81" s="48" t="s">
        <v>33</v>
      </c>
      <c r="AL81" s="48" t="s">
        <v>34</v>
      </c>
      <c r="AN81" s="48">
        <v>0</v>
      </c>
      <c r="AO81" s="48">
        <v>0</v>
      </c>
      <c r="AP81" s="48">
        <v>0</v>
      </c>
      <c r="AQ81" s="48">
        <v>0</v>
      </c>
      <c r="AR81" s="48">
        <v>0</v>
      </c>
      <c r="AS81" s="48">
        <v>0</v>
      </c>
      <c r="AT81" s="48">
        <v>0</v>
      </c>
      <c r="AU81" s="48">
        <v>0</v>
      </c>
      <c r="AV81" s="48">
        <v>0</v>
      </c>
      <c r="AW81" s="48">
        <v>0</v>
      </c>
      <c r="AX81" s="48">
        <v>0</v>
      </c>
      <c r="AY81" s="48">
        <v>0</v>
      </c>
      <c r="AZ81" s="48">
        <v>0</v>
      </c>
      <c r="BA81" s="48">
        <v>0</v>
      </c>
      <c r="BB81" s="48">
        <v>0</v>
      </c>
    </row>
    <row r="82" spans="1:54" x14ac:dyDescent="0.35">
      <c r="A82" s="49">
        <v>45930</v>
      </c>
      <c r="B82" s="48">
        <v>1</v>
      </c>
      <c r="C82" s="50" t="s">
        <v>41</v>
      </c>
      <c r="D82" s="48" t="s">
        <v>31</v>
      </c>
      <c r="E82" s="48" t="s">
        <v>138</v>
      </c>
      <c r="F82" s="48" t="s">
        <v>139</v>
      </c>
      <c r="G82" s="49" t="s">
        <v>58</v>
      </c>
      <c r="H82" s="48" t="s">
        <v>157</v>
      </c>
      <c r="I82" s="48">
        <v>1</v>
      </c>
      <c r="J82" s="48">
        <v>19</v>
      </c>
      <c r="K82" s="48">
        <v>1</v>
      </c>
      <c r="N82" s="48">
        <v>0</v>
      </c>
      <c r="R82" s="49"/>
      <c r="S82" s="49"/>
      <c r="T82" s="49">
        <v>46507</v>
      </c>
      <c r="U82" s="49">
        <v>46507</v>
      </c>
      <c r="V82" s="49">
        <v>46507</v>
      </c>
      <c r="W82" s="49">
        <v>46507</v>
      </c>
      <c r="X82" s="48">
        <v>1</v>
      </c>
      <c r="Y82" s="48">
        <v>1</v>
      </c>
      <c r="Z82" s="48">
        <v>1</v>
      </c>
      <c r="AA82" s="156">
        <v>3833994024.2763772</v>
      </c>
      <c r="AF82" s="48">
        <v>0</v>
      </c>
      <c r="AG82" s="49" t="s">
        <v>41</v>
      </c>
      <c r="AH82" s="48">
        <v>1</v>
      </c>
      <c r="AI82" s="48" t="s">
        <v>33</v>
      </c>
      <c r="AJ82" s="48" t="s">
        <v>33</v>
      </c>
      <c r="AK82" s="48" t="s">
        <v>33</v>
      </c>
      <c r="AL82" s="48" t="s">
        <v>34</v>
      </c>
      <c r="AN82" s="48">
        <v>0</v>
      </c>
      <c r="AO82" s="48">
        <v>0</v>
      </c>
      <c r="AP82" s="48">
        <v>0</v>
      </c>
      <c r="AQ82" s="48">
        <v>0</v>
      </c>
      <c r="AR82" s="48">
        <v>0</v>
      </c>
      <c r="AS82" s="48">
        <v>0</v>
      </c>
      <c r="AT82" s="48">
        <v>0</v>
      </c>
      <c r="AU82" s="48">
        <v>0</v>
      </c>
      <c r="AV82" s="48">
        <v>0</v>
      </c>
      <c r="AW82" s="48">
        <v>0</v>
      </c>
      <c r="AX82" s="48">
        <v>0</v>
      </c>
      <c r="AY82" s="48">
        <v>0</v>
      </c>
      <c r="AZ82" s="48">
        <v>0</v>
      </c>
      <c r="BA82" s="48">
        <v>0</v>
      </c>
      <c r="BB82" s="48">
        <v>0</v>
      </c>
    </row>
    <row r="83" spans="1:54" x14ac:dyDescent="0.35">
      <c r="A83" s="49">
        <v>45930</v>
      </c>
      <c r="B83" s="48">
        <v>1</v>
      </c>
      <c r="C83" s="50" t="s">
        <v>41</v>
      </c>
      <c r="D83" s="48" t="s">
        <v>31</v>
      </c>
      <c r="E83" s="48" t="s">
        <v>138</v>
      </c>
      <c r="F83" s="48" t="s">
        <v>139</v>
      </c>
      <c r="G83" s="49" t="s">
        <v>58</v>
      </c>
      <c r="H83" s="48" t="s">
        <v>157</v>
      </c>
      <c r="I83" s="48">
        <v>1</v>
      </c>
      <c r="J83" s="48">
        <v>20</v>
      </c>
      <c r="K83" s="48">
        <v>1</v>
      </c>
      <c r="N83" s="48">
        <v>0</v>
      </c>
      <c r="R83" s="49"/>
      <c r="S83" s="49"/>
      <c r="T83" s="49">
        <v>46538</v>
      </c>
      <c r="U83" s="49">
        <v>46538</v>
      </c>
      <c r="V83" s="49">
        <v>46538</v>
      </c>
      <c r="W83" s="49">
        <v>46538</v>
      </c>
      <c r="X83" s="48">
        <v>1</v>
      </c>
      <c r="Y83" s="48">
        <v>1</v>
      </c>
      <c r="Z83" s="48">
        <v>1</v>
      </c>
      <c r="AA83" s="156">
        <v>3833994024.2763772</v>
      </c>
      <c r="AF83" s="48">
        <v>0</v>
      </c>
      <c r="AG83" s="49" t="s">
        <v>41</v>
      </c>
      <c r="AH83" s="48">
        <v>1</v>
      </c>
      <c r="AI83" s="48" t="s">
        <v>33</v>
      </c>
      <c r="AJ83" s="48" t="s">
        <v>33</v>
      </c>
      <c r="AK83" s="48" t="s">
        <v>33</v>
      </c>
      <c r="AL83" s="48" t="s">
        <v>34</v>
      </c>
      <c r="AN83" s="48">
        <v>0</v>
      </c>
      <c r="AO83" s="48">
        <v>0</v>
      </c>
      <c r="AP83" s="48">
        <v>0</v>
      </c>
      <c r="AQ83" s="48">
        <v>0</v>
      </c>
      <c r="AR83" s="48">
        <v>0</v>
      </c>
      <c r="AS83" s="48">
        <v>0</v>
      </c>
      <c r="AT83" s="48">
        <v>0</v>
      </c>
      <c r="AU83" s="48">
        <v>0</v>
      </c>
      <c r="AV83" s="48">
        <v>0</v>
      </c>
      <c r="AW83" s="48">
        <v>0</v>
      </c>
      <c r="AX83" s="48">
        <v>0</v>
      </c>
      <c r="AY83" s="48">
        <v>0</v>
      </c>
      <c r="AZ83" s="48">
        <v>0</v>
      </c>
      <c r="BA83" s="48">
        <v>0</v>
      </c>
      <c r="BB83" s="48">
        <v>0</v>
      </c>
    </row>
    <row r="84" spans="1:54" x14ac:dyDescent="0.35">
      <c r="A84" s="49">
        <v>45930</v>
      </c>
      <c r="B84" s="48">
        <v>1</v>
      </c>
      <c r="C84" s="50" t="s">
        <v>41</v>
      </c>
      <c r="D84" s="48" t="s">
        <v>31</v>
      </c>
      <c r="E84" s="48" t="s">
        <v>138</v>
      </c>
      <c r="F84" s="48" t="s">
        <v>139</v>
      </c>
      <c r="G84" s="49" t="s">
        <v>58</v>
      </c>
      <c r="H84" s="48" t="s">
        <v>157</v>
      </c>
      <c r="I84" s="48">
        <v>1</v>
      </c>
      <c r="J84" s="48">
        <v>21</v>
      </c>
      <c r="K84" s="48">
        <v>1</v>
      </c>
      <c r="N84" s="48">
        <v>0</v>
      </c>
      <c r="R84" s="49"/>
      <c r="S84" s="49"/>
      <c r="T84" s="49">
        <v>46568</v>
      </c>
      <c r="U84" s="49">
        <v>46568</v>
      </c>
      <c r="V84" s="49">
        <v>46568</v>
      </c>
      <c r="W84" s="49">
        <v>46568</v>
      </c>
      <c r="X84" s="48">
        <v>1</v>
      </c>
      <c r="Y84" s="48">
        <v>1</v>
      </c>
      <c r="Z84" s="48">
        <v>1</v>
      </c>
      <c r="AA84" s="156">
        <v>3833994024.2763772</v>
      </c>
      <c r="AF84" s="48">
        <v>0</v>
      </c>
      <c r="AG84" s="49" t="s">
        <v>41</v>
      </c>
      <c r="AH84" s="48">
        <v>1</v>
      </c>
      <c r="AI84" s="48" t="s">
        <v>33</v>
      </c>
      <c r="AJ84" s="48" t="s">
        <v>33</v>
      </c>
      <c r="AK84" s="48" t="s">
        <v>33</v>
      </c>
      <c r="AL84" s="48" t="s">
        <v>34</v>
      </c>
      <c r="AN84" s="48">
        <v>0</v>
      </c>
      <c r="AO84" s="48">
        <v>0</v>
      </c>
      <c r="AP84" s="48">
        <v>0</v>
      </c>
      <c r="AQ84" s="48">
        <v>0</v>
      </c>
      <c r="AR84" s="48">
        <v>0</v>
      </c>
      <c r="AS84" s="48">
        <v>0</v>
      </c>
      <c r="AT84" s="48">
        <v>0</v>
      </c>
      <c r="AU84" s="48">
        <v>0</v>
      </c>
      <c r="AV84" s="48">
        <v>0</v>
      </c>
      <c r="AW84" s="48">
        <v>0</v>
      </c>
      <c r="AX84" s="48">
        <v>0</v>
      </c>
      <c r="AY84" s="48">
        <v>0</v>
      </c>
      <c r="AZ84" s="48">
        <v>0</v>
      </c>
      <c r="BA84" s="48">
        <v>0</v>
      </c>
      <c r="BB84" s="48">
        <v>0</v>
      </c>
    </row>
    <row r="85" spans="1:54" x14ac:dyDescent="0.35">
      <c r="A85" s="49">
        <v>45930</v>
      </c>
      <c r="B85" s="48">
        <v>1</v>
      </c>
      <c r="C85" s="50" t="s">
        <v>41</v>
      </c>
      <c r="D85" s="48" t="s">
        <v>31</v>
      </c>
      <c r="E85" s="48" t="s">
        <v>138</v>
      </c>
      <c r="F85" s="48" t="s">
        <v>139</v>
      </c>
      <c r="G85" s="49" t="s">
        <v>58</v>
      </c>
      <c r="H85" s="48" t="s">
        <v>157</v>
      </c>
      <c r="I85" s="48">
        <v>1</v>
      </c>
      <c r="J85" s="48">
        <v>22</v>
      </c>
      <c r="K85" s="48">
        <v>1</v>
      </c>
      <c r="N85" s="48">
        <v>0</v>
      </c>
      <c r="R85" s="49"/>
      <c r="S85" s="49"/>
      <c r="T85" s="49">
        <v>46599</v>
      </c>
      <c r="U85" s="49">
        <v>46599</v>
      </c>
      <c r="V85" s="49">
        <v>46599</v>
      </c>
      <c r="W85" s="49">
        <v>46599</v>
      </c>
      <c r="X85" s="48">
        <v>1</v>
      </c>
      <c r="Y85" s="48">
        <v>1</v>
      </c>
      <c r="Z85" s="48">
        <v>1</v>
      </c>
      <c r="AA85" s="156">
        <v>3833994024.2763772</v>
      </c>
      <c r="AF85" s="48">
        <v>0</v>
      </c>
      <c r="AG85" s="49" t="s">
        <v>41</v>
      </c>
      <c r="AH85" s="48">
        <v>1</v>
      </c>
      <c r="AI85" s="48" t="s">
        <v>33</v>
      </c>
      <c r="AJ85" s="48" t="s">
        <v>33</v>
      </c>
      <c r="AK85" s="48" t="s">
        <v>33</v>
      </c>
      <c r="AL85" s="48" t="s">
        <v>34</v>
      </c>
      <c r="AN85" s="48">
        <v>0</v>
      </c>
      <c r="AO85" s="48">
        <v>0</v>
      </c>
      <c r="AP85" s="48">
        <v>0</v>
      </c>
      <c r="AQ85" s="48">
        <v>0</v>
      </c>
      <c r="AR85" s="48">
        <v>0</v>
      </c>
      <c r="AS85" s="48">
        <v>0</v>
      </c>
      <c r="AT85" s="48">
        <v>0</v>
      </c>
      <c r="AU85" s="48">
        <v>0</v>
      </c>
      <c r="AV85" s="48">
        <v>0</v>
      </c>
      <c r="AW85" s="48">
        <v>0</v>
      </c>
      <c r="AX85" s="48">
        <v>0</v>
      </c>
      <c r="AY85" s="48">
        <v>0</v>
      </c>
      <c r="AZ85" s="48">
        <v>0</v>
      </c>
      <c r="BA85" s="48">
        <v>0</v>
      </c>
      <c r="BB85" s="48">
        <v>0</v>
      </c>
    </row>
    <row r="86" spans="1:54" x14ac:dyDescent="0.35">
      <c r="A86" s="49">
        <v>45930</v>
      </c>
      <c r="B86" s="48">
        <v>1</v>
      </c>
      <c r="C86" s="50" t="s">
        <v>41</v>
      </c>
      <c r="D86" s="48" t="s">
        <v>31</v>
      </c>
      <c r="E86" s="48" t="s">
        <v>138</v>
      </c>
      <c r="F86" s="48" t="s">
        <v>139</v>
      </c>
      <c r="G86" s="49" t="s">
        <v>58</v>
      </c>
      <c r="H86" s="48" t="s">
        <v>157</v>
      </c>
      <c r="I86" s="48">
        <v>1</v>
      </c>
      <c r="J86" s="48">
        <v>23</v>
      </c>
      <c r="K86" s="48">
        <v>1</v>
      </c>
      <c r="N86" s="48">
        <v>0</v>
      </c>
      <c r="R86" s="49"/>
      <c r="S86" s="49"/>
      <c r="T86" s="49">
        <v>46630</v>
      </c>
      <c r="U86" s="49">
        <v>46630</v>
      </c>
      <c r="V86" s="49">
        <v>46630</v>
      </c>
      <c r="W86" s="49">
        <v>46630</v>
      </c>
      <c r="X86" s="48">
        <v>1</v>
      </c>
      <c r="Y86" s="48">
        <v>1</v>
      </c>
      <c r="Z86" s="48">
        <v>1</v>
      </c>
      <c r="AA86" s="156">
        <v>3833994024.2763772</v>
      </c>
      <c r="AF86" s="48">
        <v>0</v>
      </c>
      <c r="AG86" s="49" t="s">
        <v>41</v>
      </c>
      <c r="AH86" s="48">
        <v>1</v>
      </c>
      <c r="AI86" s="48" t="s">
        <v>33</v>
      </c>
      <c r="AJ86" s="48" t="s">
        <v>33</v>
      </c>
      <c r="AK86" s="48" t="s">
        <v>33</v>
      </c>
      <c r="AL86" s="48" t="s">
        <v>34</v>
      </c>
      <c r="AN86" s="48">
        <v>0</v>
      </c>
      <c r="AO86" s="48">
        <v>0</v>
      </c>
      <c r="AP86" s="48">
        <v>0</v>
      </c>
      <c r="AQ86" s="48">
        <v>0</v>
      </c>
      <c r="AR86" s="48">
        <v>0</v>
      </c>
      <c r="AS86" s="48">
        <v>0</v>
      </c>
      <c r="AT86" s="48">
        <v>0</v>
      </c>
      <c r="AU86" s="48">
        <v>0</v>
      </c>
      <c r="AV86" s="48">
        <v>0</v>
      </c>
      <c r="AW86" s="48">
        <v>0</v>
      </c>
      <c r="AX86" s="48">
        <v>0</v>
      </c>
      <c r="AY86" s="48">
        <v>0</v>
      </c>
      <c r="AZ86" s="48">
        <v>0</v>
      </c>
      <c r="BA86" s="48">
        <v>0</v>
      </c>
      <c r="BB86" s="48">
        <v>0</v>
      </c>
    </row>
    <row r="87" spans="1:54" x14ac:dyDescent="0.35">
      <c r="A87" s="49">
        <v>45930</v>
      </c>
      <c r="B87" s="48">
        <v>1</v>
      </c>
      <c r="C87" s="50" t="s">
        <v>41</v>
      </c>
      <c r="D87" s="48" t="s">
        <v>31</v>
      </c>
      <c r="E87" s="48" t="s">
        <v>138</v>
      </c>
      <c r="F87" s="48" t="s">
        <v>139</v>
      </c>
      <c r="G87" s="49" t="s">
        <v>58</v>
      </c>
      <c r="H87" s="48" t="s">
        <v>157</v>
      </c>
      <c r="I87" s="48">
        <v>1</v>
      </c>
      <c r="J87" s="48">
        <v>24</v>
      </c>
      <c r="K87" s="48">
        <v>1</v>
      </c>
      <c r="N87" s="48">
        <v>0</v>
      </c>
      <c r="R87" s="49"/>
      <c r="S87" s="49"/>
      <c r="T87" s="49">
        <v>46660</v>
      </c>
      <c r="U87" s="49">
        <v>46660</v>
      </c>
      <c r="V87" s="49">
        <v>46660</v>
      </c>
      <c r="W87" s="49">
        <v>46660</v>
      </c>
      <c r="X87" s="48">
        <v>1</v>
      </c>
      <c r="Y87" s="48">
        <v>1</v>
      </c>
      <c r="Z87" s="48">
        <v>1</v>
      </c>
      <c r="AA87" s="156">
        <v>3833994024.2763772</v>
      </c>
      <c r="AF87" s="48">
        <v>0</v>
      </c>
      <c r="AG87" s="49" t="s">
        <v>41</v>
      </c>
      <c r="AH87" s="48">
        <v>1</v>
      </c>
      <c r="AI87" s="48" t="s">
        <v>33</v>
      </c>
      <c r="AJ87" s="48" t="s">
        <v>33</v>
      </c>
      <c r="AK87" s="48" t="s">
        <v>33</v>
      </c>
      <c r="AL87" s="48" t="s">
        <v>34</v>
      </c>
      <c r="AN87" s="48">
        <v>0</v>
      </c>
      <c r="AO87" s="48">
        <v>0</v>
      </c>
      <c r="AP87" s="48">
        <v>0</v>
      </c>
      <c r="AQ87" s="48">
        <v>0</v>
      </c>
      <c r="AR87" s="48">
        <v>0</v>
      </c>
      <c r="AS87" s="48">
        <v>0</v>
      </c>
      <c r="AT87" s="48">
        <v>0</v>
      </c>
      <c r="AU87" s="48">
        <v>0</v>
      </c>
      <c r="AV87" s="48">
        <v>0</v>
      </c>
      <c r="AW87" s="48">
        <v>0</v>
      </c>
      <c r="AX87" s="48">
        <v>0</v>
      </c>
      <c r="AY87" s="48">
        <v>0</v>
      </c>
      <c r="AZ87" s="48">
        <v>0</v>
      </c>
      <c r="BA87" s="48">
        <v>0</v>
      </c>
      <c r="BB87" s="48">
        <v>0</v>
      </c>
    </row>
    <row r="88" spans="1:54" x14ac:dyDescent="0.35">
      <c r="A88" s="49">
        <v>45930</v>
      </c>
      <c r="B88" s="48">
        <v>1</v>
      </c>
      <c r="C88" s="50" t="s">
        <v>41</v>
      </c>
      <c r="D88" s="48" t="s">
        <v>31</v>
      </c>
      <c r="E88" s="48" t="s">
        <v>138</v>
      </c>
      <c r="F88" s="48" t="s">
        <v>139</v>
      </c>
      <c r="G88" s="49" t="s">
        <v>58</v>
      </c>
      <c r="H88" s="48" t="s">
        <v>157</v>
      </c>
      <c r="I88" s="48">
        <v>1</v>
      </c>
      <c r="J88" s="48">
        <v>25</v>
      </c>
      <c r="K88" s="48">
        <v>1</v>
      </c>
      <c r="N88" s="48">
        <v>0</v>
      </c>
      <c r="R88" s="49"/>
      <c r="S88" s="49"/>
      <c r="T88" s="49">
        <v>46691</v>
      </c>
      <c r="U88" s="49">
        <v>46691</v>
      </c>
      <c r="V88" s="49">
        <v>46691</v>
      </c>
      <c r="W88" s="49">
        <v>46691</v>
      </c>
      <c r="X88" s="48">
        <v>1</v>
      </c>
      <c r="Y88" s="48">
        <v>1</v>
      </c>
      <c r="Z88" s="48">
        <v>1</v>
      </c>
      <c r="AA88" s="156">
        <v>3833994024.2763772</v>
      </c>
      <c r="AF88" s="48">
        <v>0</v>
      </c>
      <c r="AG88" s="49" t="s">
        <v>41</v>
      </c>
      <c r="AH88" s="48">
        <v>1</v>
      </c>
      <c r="AI88" s="48" t="s">
        <v>33</v>
      </c>
      <c r="AJ88" s="48" t="s">
        <v>33</v>
      </c>
      <c r="AK88" s="48" t="s">
        <v>33</v>
      </c>
      <c r="AL88" s="48" t="s">
        <v>34</v>
      </c>
      <c r="AN88" s="48">
        <v>0</v>
      </c>
      <c r="AO88" s="48">
        <v>0</v>
      </c>
      <c r="AP88" s="48">
        <v>0</v>
      </c>
      <c r="AQ88" s="48">
        <v>0</v>
      </c>
      <c r="AR88" s="48">
        <v>0</v>
      </c>
      <c r="AS88" s="48">
        <v>0</v>
      </c>
      <c r="AT88" s="48">
        <v>0</v>
      </c>
      <c r="AU88" s="48">
        <v>0</v>
      </c>
      <c r="AV88" s="48">
        <v>0</v>
      </c>
      <c r="AW88" s="48">
        <v>0</v>
      </c>
      <c r="AX88" s="48">
        <v>0</v>
      </c>
      <c r="AY88" s="48">
        <v>0</v>
      </c>
      <c r="AZ88" s="48">
        <v>0</v>
      </c>
      <c r="BA88" s="48">
        <v>0</v>
      </c>
      <c r="BB88" s="48">
        <v>0</v>
      </c>
    </row>
    <row r="89" spans="1:54" x14ac:dyDescent="0.35">
      <c r="A89" s="49">
        <v>45930</v>
      </c>
      <c r="B89" s="48">
        <v>1</v>
      </c>
      <c r="C89" s="50" t="s">
        <v>41</v>
      </c>
      <c r="D89" s="48" t="s">
        <v>31</v>
      </c>
      <c r="E89" s="48" t="s">
        <v>138</v>
      </c>
      <c r="F89" s="48" t="s">
        <v>139</v>
      </c>
      <c r="G89" s="49" t="s">
        <v>58</v>
      </c>
      <c r="H89" s="48" t="s">
        <v>157</v>
      </c>
      <c r="I89" s="48">
        <v>1</v>
      </c>
      <c r="J89" s="48">
        <v>26</v>
      </c>
      <c r="K89" s="48">
        <v>1</v>
      </c>
      <c r="N89" s="48">
        <v>0</v>
      </c>
      <c r="R89" s="49"/>
      <c r="S89" s="49"/>
      <c r="T89" s="49">
        <v>46721</v>
      </c>
      <c r="U89" s="49">
        <v>46721</v>
      </c>
      <c r="V89" s="49">
        <v>46721</v>
      </c>
      <c r="W89" s="49">
        <v>46721</v>
      </c>
      <c r="X89" s="48">
        <v>1</v>
      </c>
      <c r="Y89" s="48">
        <v>1</v>
      </c>
      <c r="Z89" s="48">
        <v>1</v>
      </c>
      <c r="AA89" s="156">
        <v>3833994024.2763772</v>
      </c>
      <c r="AF89" s="48">
        <v>0</v>
      </c>
      <c r="AG89" s="49" t="s">
        <v>41</v>
      </c>
      <c r="AH89" s="48">
        <v>1</v>
      </c>
      <c r="AI89" s="48" t="s">
        <v>33</v>
      </c>
      <c r="AJ89" s="48" t="s">
        <v>33</v>
      </c>
      <c r="AK89" s="48" t="s">
        <v>33</v>
      </c>
      <c r="AL89" s="48" t="s">
        <v>34</v>
      </c>
      <c r="AN89" s="48">
        <v>0</v>
      </c>
      <c r="AO89" s="48">
        <v>0</v>
      </c>
      <c r="AP89" s="48">
        <v>0</v>
      </c>
      <c r="AQ89" s="48">
        <v>0</v>
      </c>
      <c r="AR89" s="48">
        <v>0</v>
      </c>
      <c r="AS89" s="48">
        <v>0</v>
      </c>
      <c r="AT89" s="48">
        <v>0</v>
      </c>
      <c r="AU89" s="48">
        <v>0</v>
      </c>
      <c r="AV89" s="48">
        <v>0</v>
      </c>
      <c r="AW89" s="48">
        <v>0</v>
      </c>
      <c r="AX89" s="48">
        <v>0</v>
      </c>
      <c r="AY89" s="48">
        <v>0</v>
      </c>
      <c r="AZ89" s="48">
        <v>0</v>
      </c>
      <c r="BA89" s="48">
        <v>0</v>
      </c>
      <c r="BB89" s="48">
        <v>0</v>
      </c>
    </row>
    <row r="90" spans="1:54" x14ac:dyDescent="0.35">
      <c r="A90" s="49">
        <v>45930</v>
      </c>
      <c r="B90" s="48">
        <v>1</v>
      </c>
      <c r="C90" s="50" t="s">
        <v>41</v>
      </c>
      <c r="D90" s="48" t="s">
        <v>31</v>
      </c>
      <c r="E90" s="48" t="s">
        <v>138</v>
      </c>
      <c r="F90" s="48" t="s">
        <v>139</v>
      </c>
      <c r="G90" s="49" t="s">
        <v>58</v>
      </c>
      <c r="H90" s="48" t="s">
        <v>157</v>
      </c>
      <c r="I90" s="48">
        <v>1</v>
      </c>
      <c r="J90" s="48">
        <v>27</v>
      </c>
      <c r="K90" s="48">
        <v>1</v>
      </c>
      <c r="N90" s="48">
        <v>0</v>
      </c>
      <c r="R90" s="49"/>
      <c r="S90" s="49"/>
      <c r="T90" s="49">
        <v>46752</v>
      </c>
      <c r="U90" s="49">
        <v>46752</v>
      </c>
      <c r="V90" s="49">
        <v>46752</v>
      </c>
      <c r="W90" s="49">
        <v>46752</v>
      </c>
      <c r="X90" s="48">
        <v>1</v>
      </c>
      <c r="Y90" s="48">
        <v>1</v>
      </c>
      <c r="Z90" s="48">
        <v>1</v>
      </c>
      <c r="AA90" s="156">
        <v>3833994024.2763772</v>
      </c>
      <c r="AF90" s="48">
        <v>0</v>
      </c>
      <c r="AG90" s="49" t="s">
        <v>41</v>
      </c>
      <c r="AH90" s="48">
        <v>1</v>
      </c>
      <c r="AI90" s="48" t="s">
        <v>33</v>
      </c>
      <c r="AJ90" s="48" t="s">
        <v>33</v>
      </c>
      <c r="AK90" s="48" t="s">
        <v>33</v>
      </c>
      <c r="AL90" s="48" t="s">
        <v>34</v>
      </c>
      <c r="AN90" s="48">
        <v>0</v>
      </c>
      <c r="AO90" s="48">
        <v>0</v>
      </c>
      <c r="AP90" s="48">
        <v>0</v>
      </c>
      <c r="AQ90" s="48">
        <v>0</v>
      </c>
      <c r="AR90" s="48">
        <v>0</v>
      </c>
      <c r="AS90" s="48">
        <v>0</v>
      </c>
      <c r="AT90" s="48">
        <v>0</v>
      </c>
      <c r="AU90" s="48">
        <v>0</v>
      </c>
      <c r="AV90" s="48">
        <v>0</v>
      </c>
      <c r="AW90" s="48">
        <v>0</v>
      </c>
      <c r="AX90" s="48">
        <v>0</v>
      </c>
      <c r="AY90" s="48">
        <v>0</v>
      </c>
      <c r="AZ90" s="48">
        <v>0</v>
      </c>
      <c r="BA90" s="48">
        <v>0</v>
      </c>
      <c r="BB90" s="48">
        <v>0</v>
      </c>
    </row>
    <row r="91" spans="1:54" x14ac:dyDescent="0.35">
      <c r="A91" s="49">
        <v>45930</v>
      </c>
      <c r="B91" s="48">
        <v>1</v>
      </c>
      <c r="C91" s="50" t="s">
        <v>41</v>
      </c>
      <c r="D91" s="48" t="s">
        <v>31</v>
      </c>
      <c r="E91" s="48" t="s">
        <v>138</v>
      </c>
      <c r="F91" s="48" t="s">
        <v>139</v>
      </c>
      <c r="G91" s="49" t="s">
        <v>58</v>
      </c>
      <c r="H91" s="48" t="s">
        <v>157</v>
      </c>
      <c r="I91" s="48">
        <v>1</v>
      </c>
      <c r="J91" s="48">
        <v>28</v>
      </c>
      <c r="K91" s="48">
        <v>1</v>
      </c>
      <c r="N91" s="48">
        <v>0</v>
      </c>
      <c r="R91" s="49"/>
      <c r="S91" s="49"/>
      <c r="T91" s="49">
        <v>46783</v>
      </c>
      <c r="U91" s="49">
        <v>46783</v>
      </c>
      <c r="V91" s="49">
        <v>46783</v>
      </c>
      <c r="W91" s="49">
        <v>46783</v>
      </c>
      <c r="X91" s="48">
        <v>1</v>
      </c>
      <c r="Y91" s="48">
        <v>1</v>
      </c>
      <c r="Z91" s="48">
        <v>1</v>
      </c>
      <c r="AA91" s="156">
        <v>3833994024.2763772</v>
      </c>
      <c r="AF91" s="48">
        <v>0</v>
      </c>
      <c r="AG91" s="49" t="s">
        <v>41</v>
      </c>
      <c r="AH91" s="48">
        <v>1</v>
      </c>
      <c r="AI91" s="48" t="s">
        <v>33</v>
      </c>
      <c r="AJ91" s="48" t="s">
        <v>33</v>
      </c>
      <c r="AK91" s="48" t="s">
        <v>33</v>
      </c>
      <c r="AL91" s="48" t="s">
        <v>34</v>
      </c>
      <c r="AN91" s="48">
        <v>0</v>
      </c>
      <c r="AO91" s="48">
        <v>0</v>
      </c>
      <c r="AP91" s="48">
        <v>0</v>
      </c>
      <c r="AQ91" s="48">
        <v>0</v>
      </c>
      <c r="AR91" s="48">
        <v>0</v>
      </c>
      <c r="AS91" s="48">
        <v>0</v>
      </c>
      <c r="AT91" s="48">
        <v>0</v>
      </c>
      <c r="AU91" s="48">
        <v>0</v>
      </c>
      <c r="AV91" s="48">
        <v>0</v>
      </c>
      <c r="AW91" s="48">
        <v>0</v>
      </c>
      <c r="AX91" s="48">
        <v>0</v>
      </c>
      <c r="AY91" s="48">
        <v>0</v>
      </c>
      <c r="AZ91" s="48">
        <v>0</v>
      </c>
      <c r="BA91" s="48">
        <v>0</v>
      </c>
      <c r="BB91" s="48">
        <v>0</v>
      </c>
    </row>
    <row r="92" spans="1:54" x14ac:dyDescent="0.35">
      <c r="A92" s="49">
        <v>45930</v>
      </c>
      <c r="B92" s="48">
        <v>1</v>
      </c>
      <c r="C92" s="50" t="s">
        <v>41</v>
      </c>
      <c r="D92" s="48" t="s">
        <v>31</v>
      </c>
      <c r="E92" s="48" t="s">
        <v>138</v>
      </c>
      <c r="F92" s="48" t="s">
        <v>139</v>
      </c>
      <c r="G92" s="49" t="s">
        <v>58</v>
      </c>
      <c r="H92" s="48" t="s">
        <v>157</v>
      </c>
      <c r="I92" s="48">
        <v>1</v>
      </c>
      <c r="J92" s="48">
        <v>29</v>
      </c>
      <c r="K92" s="48">
        <v>1</v>
      </c>
      <c r="N92" s="48">
        <v>0</v>
      </c>
      <c r="R92" s="49"/>
      <c r="S92" s="49"/>
      <c r="T92" s="49">
        <v>46812</v>
      </c>
      <c r="U92" s="49">
        <v>46812</v>
      </c>
      <c r="V92" s="49">
        <v>46812</v>
      </c>
      <c r="W92" s="49">
        <v>46812</v>
      </c>
      <c r="X92" s="48">
        <v>1</v>
      </c>
      <c r="Y92" s="48">
        <v>1</v>
      </c>
      <c r="Z92" s="48">
        <v>1</v>
      </c>
      <c r="AA92" s="156">
        <v>3833994024.2763772</v>
      </c>
      <c r="AF92" s="48">
        <v>0</v>
      </c>
      <c r="AG92" s="49" t="s">
        <v>41</v>
      </c>
      <c r="AH92" s="48">
        <v>1</v>
      </c>
      <c r="AI92" s="48" t="s">
        <v>33</v>
      </c>
      <c r="AJ92" s="48" t="s">
        <v>33</v>
      </c>
      <c r="AK92" s="48" t="s">
        <v>33</v>
      </c>
      <c r="AL92" s="48" t="s">
        <v>34</v>
      </c>
      <c r="AN92" s="48">
        <v>0</v>
      </c>
      <c r="AO92" s="48">
        <v>0</v>
      </c>
      <c r="AP92" s="48">
        <v>0</v>
      </c>
      <c r="AQ92" s="48">
        <v>0</v>
      </c>
      <c r="AR92" s="48">
        <v>0</v>
      </c>
      <c r="AS92" s="48">
        <v>0</v>
      </c>
      <c r="AT92" s="48">
        <v>0</v>
      </c>
      <c r="AU92" s="48">
        <v>0</v>
      </c>
      <c r="AV92" s="48">
        <v>0</v>
      </c>
      <c r="AW92" s="48">
        <v>0</v>
      </c>
      <c r="AX92" s="48">
        <v>0</v>
      </c>
      <c r="AY92" s="48">
        <v>0</v>
      </c>
      <c r="AZ92" s="48">
        <v>0</v>
      </c>
      <c r="BA92" s="48">
        <v>0</v>
      </c>
      <c r="BB92" s="48">
        <v>0</v>
      </c>
    </row>
    <row r="93" spans="1:54" x14ac:dyDescent="0.35">
      <c r="A93" s="49">
        <v>45930</v>
      </c>
      <c r="B93" s="48">
        <v>1</v>
      </c>
      <c r="C93" s="50" t="s">
        <v>41</v>
      </c>
      <c r="D93" s="48" t="s">
        <v>31</v>
      </c>
      <c r="E93" s="48" t="s">
        <v>138</v>
      </c>
      <c r="F93" s="48" t="s">
        <v>139</v>
      </c>
      <c r="G93" s="49" t="s">
        <v>58</v>
      </c>
      <c r="H93" s="48" t="s">
        <v>157</v>
      </c>
      <c r="I93" s="48">
        <v>1</v>
      </c>
      <c r="J93" s="48">
        <v>30</v>
      </c>
      <c r="K93" s="48">
        <v>1</v>
      </c>
      <c r="N93" s="48">
        <v>0</v>
      </c>
      <c r="R93" s="49"/>
      <c r="S93" s="49"/>
      <c r="T93" s="49">
        <v>46843</v>
      </c>
      <c r="U93" s="49">
        <v>46843</v>
      </c>
      <c r="V93" s="49">
        <v>46843</v>
      </c>
      <c r="W93" s="49">
        <v>46843</v>
      </c>
      <c r="X93" s="48">
        <v>1</v>
      </c>
      <c r="Y93" s="48">
        <v>1</v>
      </c>
      <c r="Z93" s="48">
        <v>1</v>
      </c>
      <c r="AA93" s="156">
        <v>3833994024.2763772</v>
      </c>
      <c r="AF93" s="48">
        <v>0</v>
      </c>
      <c r="AG93" s="49" t="s">
        <v>41</v>
      </c>
      <c r="AH93" s="48">
        <v>1</v>
      </c>
      <c r="AI93" s="48" t="s">
        <v>33</v>
      </c>
      <c r="AJ93" s="48" t="s">
        <v>33</v>
      </c>
      <c r="AK93" s="48" t="s">
        <v>33</v>
      </c>
      <c r="AL93" s="48" t="s">
        <v>34</v>
      </c>
      <c r="AN93" s="48">
        <v>0</v>
      </c>
      <c r="AO93" s="48">
        <v>0</v>
      </c>
      <c r="AP93" s="48">
        <v>0</v>
      </c>
      <c r="AQ93" s="48">
        <v>0</v>
      </c>
      <c r="AR93" s="48">
        <v>0</v>
      </c>
      <c r="AS93" s="48">
        <v>0</v>
      </c>
      <c r="AT93" s="48">
        <v>0</v>
      </c>
      <c r="AU93" s="48">
        <v>0</v>
      </c>
      <c r="AV93" s="48">
        <v>0</v>
      </c>
      <c r="AW93" s="48">
        <v>0</v>
      </c>
      <c r="AX93" s="48">
        <v>0</v>
      </c>
      <c r="AY93" s="48">
        <v>0</v>
      </c>
      <c r="AZ93" s="48">
        <v>0</v>
      </c>
      <c r="BA93" s="48">
        <v>0</v>
      </c>
      <c r="BB93" s="48">
        <v>0</v>
      </c>
    </row>
    <row r="94" spans="1:54" x14ac:dyDescent="0.35">
      <c r="A94" s="49">
        <v>45930</v>
      </c>
      <c r="B94" s="48">
        <v>1</v>
      </c>
      <c r="C94" s="50" t="s">
        <v>41</v>
      </c>
      <c r="D94" s="48" t="s">
        <v>31</v>
      </c>
      <c r="E94" s="48" t="s">
        <v>138</v>
      </c>
      <c r="F94" s="48" t="s">
        <v>139</v>
      </c>
      <c r="G94" s="49" t="s">
        <v>58</v>
      </c>
      <c r="H94" s="48" t="s">
        <v>157</v>
      </c>
      <c r="I94" s="48">
        <v>1</v>
      </c>
      <c r="J94" s="48">
        <v>31</v>
      </c>
      <c r="K94" s="48">
        <v>1</v>
      </c>
      <c r="N94" s="48">
        <v>0</v>
      </c>
      <c r="R94" s="49"/>
      <c r="S94" s="49"/>
      <c r="T94" s="49">
        <v>46873</v>
      </c>
      <c r="U94" s="49">
        <v>46873</v>
      </c>
      <c r="V94" s="49">
        <v>46873</v>
      </c>
      <c r="W94" s="49">
        <v>46873</v>
      </c>
      <c r="X94" s="48">
        <v>1</v>
      </c>
      <c r="Y94" s="48">
        <v>1</v>
      </c>
      <c r="Z94" s="48">
        <v>1</v>
      </c>
      <c r="AA94" s="156">
        <v>3833994024.2763772</v>
      </c>
      <c r="AF94" s="48">
        <v>0</v>
      </c>
      <c r="AG94" s="49" t="s">
        <v>41</v>
      </c>
      <c r="AH94" s="48">
        <v>1</v>
      </c>
      <c r="AI94" s="48" t="s">
        <v>33</v>
      </c>
      <c r="AJ94" s="48" t="s">
        <v>33</v>
      </c>
      <c r="AK94" s="48" t="s">
        <v>33</v>
      </c>
      <c r="AL94" s="48" t="s">
        <v>34</v>
      </c>
      <c r="AN94" s="48">
        <v>0</v>
      </c>
      <c r="AO94" s="48">
        <v>0</v>
      </c>
      <c r="AP94" s="48">
        <v>0</v>
      </c>
      <c r="AQ94" s="48">
        <v>0</v>
      </c>
      <c r="AR94" s="48">
        <v>0</v>
      </c>
      <c r="AS94" s="48">
        <v>0</v>
      </c>
      <c r="AT94" s="48">
        <v>0</v>
      </c>
      <c r="AU94" s="48">
        <v>0</v>
      </c>
      <c r="AV94" s="48">
        <v>0</v>
      </c>
      <c r="AW94" s="48">
        <v>0</v>
      </c>
      <c r="AX94" s="48">
        <v>0</v>
      </c>
      <c r="AY94" s="48">
        <v>0</v>
      </c>
      <c r="AZ94" s="48">
        <v>0</v>
      </c>
      <c r="BA94" s="48">
        <v>0</v>
      </c>
      <c r="BB94" s="48">
        <v>0</v>
      </c>
    </row>
    <row r="95" spans="1:54" x14ac:dyDescent="0.35">
      <c r="A95" s="49">
        <v>45930</v>
      </c>
      <c r="B95" s="48">
        <v>1</v>
      </c>
      <c r="C95" s="50" t="s">
        <v>41</v>
      </c>
      <c r="D95" s="48" t="s">
        <v>31</v>
      </c>
      <c r="E95" s="48" t="s">
        <v>138</v>
      </c>
      <c r="F95" s="48" t="s">
        <v>139</v>
      </c>
      <c r="G95" s="49" t="s">
        <v>58</v>
      </c>
      <c r="H95" s="48" t="s">
        <v>157</v>
      </c>
      <c r="I95" s="48">
        <v>1</v>
      </c>
      <c r="J95" s="48">
        <v>32</v>
      </c>
      <c r="K95" s="48">
        <v>1</v>
      </c>
      <c r="N95" s="48">
        <v>0</v>
      </c>
      <c r="R95" s="49"/>
      <c r="S95" s="49"/>
      <c r="T95" s="49">
        <v>46904</v>
      </c>
      <c r="U95" s="49">
        <v>46904</v>
      </c>
      <c r="V95" s="49">
        <v>46904</v>
      </c>
      <c r="W95" s="49">
        <v>46904</v>
      </c>
      <c r="X95" s="48">
        <v>1</v>
      </c>
      <c r="Y95" s="48">
        <v>1</v>
      </c>
      <c r="Z95" s="48">
        <v>1</v>
      </c>
      <c r="AA95" s="156">
        <v>3833994024.2763772</v>
      </c>
      <c r="AF95" s="48">
        <v>0</v>
      </c>
      <c r="AG95" s="49" t="s">
        <v>41</v>
      </c>
      <c r="AH95" s="48">
        <v>1</v>
      </c>
      <c r="AI95" s="48" t="s">
        <v>33</v>
      </c>
      <c r="AJ95" s="48" t="s">
        <v>33</v>
      </c>
      <c r="AK95" s="48" t="s">
        <v>33</v>
      </c>
      <c r="AL95" s="48" t="s">
        <v>34</v>
      </c>
      <c r="AN95" s="48">
        <v>0</v>
      </c>
      <c r="AO95" s="48">
        <v>0</v>
      </c>
      <c r="AP95" s="48">
        <v>0</v>
      </c>
      <c r="AQ95" s="48">
        <v>0</v>
      </c>
      <c r="AR95" s="48">
        <v>0</v>
      </c>
      <c r="AS95" s="48">
        <v>0</v>
      </c>
      <c r="AT95" s="48">
        <v>0</v>
      </c>
      <c r="AU95" s="48">
        <v>0</v>
      </c>
      <c r="AV95" s="48">
        <v>0</v>
      </c>
      <c r="AW95" s="48">
        <v>0</v>
      </c>
      <c r="AX95" s="48">
        <v>0</v>
      </c>
      <c r="AY95" s="48">
        <v>0</v>
      </c>
      <c r="AZ95" s="48">
        <v>0</v>
      </c>
      <c r="BA95" s="48">
        <v>0</v>
      </c>
      <c r="BB95" s="48">
        <v>0</v>
      </c>
    </row>
    <row r="96" spans="1:54" x14ac:dyDescent="0.35">
      <c r="A96" s="49">
        <v>45930</v>
      </c>
      <c r="B96" s="48">
        <v>1</v>
      </c>
      <c r="C96" s="50" t="s">
        <v>41</v>
      </c>
      <c r="D96" s="48" t="s">
        <v>31</v>
      </c>
      <c r="E96" s="48" t="s">
        <v>138</v>
      </c>
      <c r="F96" s="48" t="s">
        <v>139</v>
      </c>
      <c r="G96" s="49" t="s">
        <v>58</v>
      </c>
      <c r="H96" s="48" t="s">
        <v>157</v>
      </c>
      <c r="I96" s="48">
        <v>1</v>
      </c>
      <c r="J96" s="48">
        <v>33</v>
      </c>
      <c r="K96" s="48">
        <v>1</v>
      </c>
      <c r="N96" s="48">
        <v>0</v>
      </c>
      <c r="R96" s="49"/>
      <c r="S96" s="49"/>
      <c r="T96" s="49">
        <v>46934</v>
      </c>
      <c r="U96" s="49">
        <v>46934</v>
      </c>
      <c r="V96" s="49">
        <v>46934</v>
      </c>
      <c r="W96" s="49">
        <v>46934</v>
      </c>
      <c r="X96" s="48">
        <v>1</v>
      </c>
      <c r="Y96" s="48">
        <v>1</v>
      </c>
      <c r="Z96" s="48">
        <v>1</v>
      </c>
      <c r="AA96" s="156">
        <v>260558730.15873015</v>
      </c>
      <c r="AF96" s="48">
        <v>0</v>
      </c>
      <c r="AG96" s="49" t="s">
        <v>41</v>
      </c>
      <c r="AH96" s="48">
        <v>1</v>
      </c>
      <c r="AI96" s="48" t="s">
        <v>33</v>
      </c>
      <c r="AJ96" s="48" t="s">
        <v>33</v>
      </c>
      <c r="AK96" s="48" t="s">
        <v>33</v>
      </c>
      <c r="AL96" s="48" t="s">
        <v>34</v>
      </c>
      <c r="AN96" s="48">
        <v>0</v>
      </c>
      <c r="AO96" s="48">
        <v>0</v>
      </c>
      <c r="AP96" s="48">
        <v>0</v>
      </c>
      <c r="AQ96" s="48">
        <v>0</v>
      </c>
      <c r="AR96" s="48">
        <v>0</v>
      </c>
      <c r="AS96" s="48">
        <v>0</v>
      </c>
      <c r="AT96" s="48">
        <v>0</v>
      </c>
      <c r="AU96" s="48">
        <v>0</v>
      </c>
      <c r="AV96" s="48">
        <v>0</v>
      </c>
      <c r="AW96" s="48">
        <v>0</v>
      </c>
      <c r="AX96" s="48">
        <v>0</v>
      </c>
      <c r="AY96" s="48">
        <v>0</v>
      </c>
      <c r="AZ96" s="48">
        <v>0</v>
      </c>
      <c r="BA96" s="48">
        <v>0</v>
      </c>
      <c r="BB96" s="48">
        <v>0</v>
      </c>
    </row>
    <row r="97" spans="1:54" x14ac:dyDescent="0.35">
      <c r="A97" s="49">
        <v>45930</v>
      </c>
      <c r="B97" s="48">
        <v>1</v>
      </c>
      <c r="C97" s="50" t="s">
        <v>41</v>
      </c>
      <c r="D97" s="48" t="s">
        <v>31</v>
      </c>
      <c r="E97" s="48" t="s">
        <v>138</v>
      </c>
      <c r="F97" s="48" t="s">
        <v>139</v>
      </c>
      <c r="G97" s="49" t="s">
        <v>58</v>
      </c>
      <c r="H97" s="48" t="s">
        <v>157</v>
      </c>
      <c r="I97" s="48">
        <v>1</v>
      </c>
      <c r="J97" s="48">
        <v>34</v>
      </c>
      <c r="K97" s="48">
        <v>1</v>
      </c>
      <c r="N97" s="48">
        <v>0</v>
      </c>
      <c r="R97" s="49"/>
      <c r="S97" s="49"/>
      <c r="T97" s="49">
        <v>46965</v>
      </c>
      <c r="U97" s="49">
        <v>46965</v>
      </c>
      <c r="V97" s="49">
        <v>46965</v>
      </c>
      <c r="W97" s="49">
        <v>46965</v>
      </c>
      <c r="X97" s="48">
        <v>1</v>
      </c>
      <c r="Y97" s="48">
        <v>1</v>
      </c>
      <c r="Z97" s="48">
        <v>1</v>
      </c>
      <c r="AA97" s="156">
        <v>260558730.15873015</v>
      </c>
      <c r="AF97" s="48">
        <v>0</v>
      </c>
      <c r="AG97" s="49" t="s">
        <v>41</v>
      </c>
      <c r="AH97" s="48">
        <v>1</v>
      </c>
      <c r="AI97" s="48" t="s">
        <v>33</v>
      </c>
      <c r="AJ97" s="48" t="s">
        <v>33</v>
      </c>
      <c r="AK97" s="48" t="s">
        <v>33</v>
      </c>
      <c r="AL97" s="48" t="s">
        <v>34</v>
      </c>
      <c r="AN97" s="48">
        <v>0</v>
      </c>
      <c r="AO97" s="48">
        <v>0</v>
      </c>
      <c r="AP97" s="48">
        <v>0</v>
      </c>
      <c r="AQ97" s="48">
        <v>0</v>
      </c>
      <c r="AR97" s="48">
        <v>0</v>
      </c>
      <c r="AS97" s="48">
        <v>0</v>
      </c>
      <c r="AT97" s="48">
        <v>0</v>
      </c>
      <c r="AU97" s="48">
        <v>0</v>
      </c>
      <c r="AV97" s="48">
        <v>0</v>
      </c>
      <c r="AW97" s="48">
        <v>0</v>
      </c>
      <c r="AX97" s="48">
        <v>0</v>
      </c>
      <c r="AY97" s="48">
        <v>0</v>
      </c>
      <c r="AZ97" s="48">
        <v>0</v>
      </c>
      <c r="BA97" s="48">
        <v>0</v>
      </c>
      <c r="BB97" s="48">
        <v>0</v>
      </c>
    </row>
    <row r="98" spans="1:54" x14ac:dyDescent="0.35">
      <c r="A98" s="49">
        <v>45930</v>
      </c>
      <c r="B98" s="48">
        <v>1</v>
      </c>
      <c r="C98" s="50" t="s">
        <v>41</v>
      </c>
      <c r="D98" s="48" t="s">
        <v>31</v>
      </c>
      <c r="E98" s="48" t="s">
        <v>138</v>
      </c>
      <c r="F98" s="48" t="s">
        <v>139</v>
      </c>
      <c r="G98" s="49" t="s">
        <v>58</v>
      </c>
      <c r="H98" s="48" t="s">
        <v>157</v>
      </c>
      <c r="I98" s="48">
        <v>1</v>
      </c>
      <c r="J98" s="48">
        <v>35</v>
      </c>
      <c r="K98" s="48">
        <v>1</v>
      </c>
      <c r="N98" s="48">
        <v>0</v>
      </c>
      <c r="R98" s="49"/>
      <c r="S98" s="49"/>
      <c r="T98" s="49">
        <v>45961</v>
      </c>
      <c r="U98" s="49">
        <v>45961</v>
      </c>
      <c r="V98" s="49">
        <v>45961</v>
      </c>
      <c r="W98" s="49">
        <v>45961</v>
      </c>
      <c r="X98" s="48">
        <v>1</v>
      </c>
      <c r="Y98" s="48">
        <v>1</v>
      </c>
      <c r="Z98" s="48">
        <v>1</v>
      </c>
      <c r="AA98" s="156">
        <v>260558730.15873015</v>
      </c>
      <c r="AF98" s="48">
        <v>0</v>
      </c>
      <c r="AG98" s="49" t="s">
        <v>41</v>
      </c>
      <c r="AH98" s="48">
        <v>1</v>
      </c>
      <c r="AI98" s="48" t="s">
        <v>33</v>
      </c>
      <c r="AJ98" s="48" t="s">
        <v>33</v>
      </c>
      <c r="AK98" s="48" t="s">
        <v>33</v>
      </c>
      <c r="AL98" s="48" t="s">
        <v>34</v>
      </c>
      <c r="AN98" s="48">
        <v>0</v>
      </c>
      <c r="AO98" s="48">
        <v>0</v>
      </c>
      <c r="AP98" s="48">
        <v>0</v>
      </c>
      <c r="AQ98" s="48">
        <v>0</v>
      </c>
      <c r="AR98" s="48">
        <v>0</v>
      </c>
      <c r="AS98" s="48">
        <v>0</v>
      </c>
      <c r="AT98" s="48">
        <v>0</v>
      </c>
      <c r="AU98" s="48">
        <v>0</v>
      </c>
      <c r="AV98" s="48">
        <v>0</v>
      </c>
      <c r="AW98" s="48">
        <v>0</v>
      </c>
      <c r="AX98" s="48">
        <v>0</v>
      </c>
      <c r="AY98" s="48">
        <v>0</v>
      </c>
      <c r="AZ98" s="48">
        <v>0</v>
      </c>
      <c r="BA98" s="48">
        <v>0</v>
      </c>
      <c r="BB98" s="48">
        <v>0</v>
      </c>
    </row>
    <row r="99" spans="1:54" x14ac:dyDescent="0.35">
      <c r="A99" s="49">
        <v>45930</v>
      </c>
      <c r="B99" s="48">
        <v>1</v>
      </c>
      <c r="C99" s="50" t="s">
        <v>41</v>
      </c>
      <c r="D99" s="48" t="s">
        <v>31</v>
      </c>
      <c r="E99" s="48" t="s">
        <v>138</v>
      </c>
      <c r="F99" s="48" t="s">
        <v>139</v>
      </c>
      <c r="G99" s="49" t="s">
        <v>58</v>
      </c>
      <c r="H99" s="48" t="s">
        <v>157</v>
      </c>
      <c r="I99" s="48">
        <v>1</v>
      </c>
      <c r="J99" s="48">
        <v>36</v>
      </c>
      <c r="K99" s="48">
        <v>1</v>
      </c>
      <c r="N99" s="48">
        <v>0</v>
      </c>
      <c r="R99" s="49"/>
      <c r="S99" s="49"/>
      <c r="T99" s="49">
        <v>45991</v>
      </c>
      <c r="U99" s="49">
        <v>45991</v>
      </c>
      <c r="V99" s="49">
        <v>45991</v>
      </c>
      <c r="W99" s="49">
        <v>45991</v>
      </c>
      <c r="X99" s="48">
        <v>1</v>
      </c>
      <c r="Y99" s="48">
        <v>1</v>
      </c>
      <c r="Z99" s="48">
        <v>1</v>
      </c>
      <c r="AA99" s="156">
        <v>260558730.15873015</v>
      </c>
      <c r="AF99" s="48">
        <v>0</v>
      </c>
      <c r="AG99" s="49" t="s">
        <v>41</v>
      </c>
      <c r="AH99" s="48">
        <v>1</v>
      </c>
      <c r="AI99" s="48" t="s">
        <v>33</v>
      </c>
      <c r="AJ99" s="48" t="s">
        <v>33</v>
      </c>
      <c r="AK99" s="48" t="s">
        <v>33</v>
      </c>
      <c r="AL99" s="48" t="s">
        <v>34</v>
      </c>
      <c r="AN99" s="48">
        <v>0</v>
      </c>
      <c r="AO99" s="48">
        <v>0</v>
      </c>
      <c r="AP99" s="48">
        <v>0</v>
      </c>
      <c r="AQ99" s="48">
        <v>0</v>
      </c>
      <c r="AR99" s="48">
        <v>0</v>
      </c>
      <c r="AS99" s="48">
        <v>0</v>
      </c>
      <c r="AT99" s="48">
        <v>0</v>
      </c>
      <c r="AU99" s="48">
        <v>0</v>
      </c>
      <c r="AV99" s="48">
        <v>0</v>
      </c>
      <c r="AW99" s="48">
        <v>0</v>
      </c>
      <c r="AX99" s="48">
        <v>0</v>
      </c>
      <c r="AY99" s="48">
        <v>0</v>
      </c>
      <c r="AZ99" s="48">
        <v>0</v>
      </c>
      <c r="BA99" s="48">
        <v>0</v>
      </c>
      <c r="BB99" s="48">
        <v>0</v>
      </c>
    </row>
    <row r="100" spans="1:54" x14ac:dyDescent="0.35">
      <c r="A100" s="49">
        <v>45930</v>
      </c>
      <c r="B100" s="48">
        <v>1</v>
      </c>
      <c r="C100" s="50" t="s">
        <v>41</v>
      </c>
      <c r="D100" s="48" t="s">
        <v>31</v>
      </c>
      <c r="E100" s="48" t="s">
        <v>138</v>
      </c>
      <c r="F100" s="48" t="s">
        <v>139</v>
      </c>
      <c r="G100" s="49" t="s">
        <v>58</v>
      </c>
      <c r="H100" s="48" t="s">
        <v>157</v>
      </c>
      <c r="I100" s="48">
        <v>1</v>
      </c>
      <c r="J100" s="48">
        <v>37</v>
      </c>
      <c r="K100" s="48">
        <v>1</v>
      </c>
      <c r="N100" s="48">
        <v>0</v>
      </c>
      <c r="R100" s="49"/>
      <c r="S100" s="49"/>
      <c r="T100" s="49">
        <v>46022</v>
      </c>
      <c r="U100" s="49">
        <v>46022</v>
      </c>
      <c r="V100" s="49">
        <v>46022</v>
      </c>
      <c r="W100" s="49">
        <v>46022</v>
      </c>
      <c r="X100" s="48">
        <v>1</v>
      </c>
      <c r="Y100" s="48">
        <v>1</v>
      </c>
      <c r="Z100" s="48">
        <v>1</v>
      </c>
      <c r="AA100" s="156">
        <v>260558730.15873015</v>
      </c>
      <c r="AF100" s="48">
        <v>0</v>
      </c>
      <c r="AG100" s="49" t="s">
        <v>41</v>
      </c>
      <c r="AH100" s="48">
        <v>1</v>
      </c>
      <c r="AI100" s="48" t="s">
        <v>33</v>
      </c>
      <c r="AJ100" s="48" t="s">
        <v>33</v>
      </c>
      <c r="AK100" s="48" t="s">
        <v>33</v>
      </c>
      <c r="AL100" s="48" t="s">
        <v>34</v>
      </c>
      <c r="AN100" s="48">
        <v>0</v>
      </c>
      <c r="AO100" s="48">
        <v>0</v>
      </c>
      <c r="AP100" s="48">
        <v>0</v>
      </c>
      <c r="AQ100" s="48">
        <v>0</v>
      </c>
      <c r="AR100" s="48">
        <v>0</v>
      </c>
      <c r="AS100" s="48">
        <v>0</v>
      </c>
      <c r="AT100" s="48">
        <v>0</v>
      </c>
      <c r="AU100" s="48">
        <v>0</v>
      </c>
      <c r="AV100" s="48">
        <v>0</v>
      </c>
      <c r="AW100" s="48">
        <v>0</v>
      </c>
      <c r="AX100" s="48">
        <v>0</v>
      </c>
      <c r="AY100" s="48">
        <v>0</v>
      </c>
      <c r="AZ100" s="48">
        <v>0</v>
      </c>
      <c r="BA100" s="48">
        <v>0</v>
      </c>
      <c r="BB100" s="48">
        <v>0</v>
      </c>
    </row>
    <row r="101" spans="1:54" x14ac:dyDescent="0.35">
      <c r="A101" s="49">
        <v>45930</v>
      </c>
      <c r="B101" s="48">
        <v>1</v>
      </c>
      <c r="C101" s="50" t="s">
        <v>41</v>
      </c>
      <c r="D101" s="48" t="s">
        <v>31</v>
      </c>
      <c r="E101" s="48" t="s">
        <v>138</v>
      </c>
      <c r="F101" s="48" t="s">
        <v>139</v>
      </c>
      <c r="G101" s="49" t="s">
        <v>58</v>
      </c>
      <c r="H101" s="48" t="s">
        <v>157</v>
      </c>
      <c r="I101" s="48">
        <v>1</v>
      </c>
      <c r="J101" s="48">
        <v>38</v>
      </c>
      <c r="K101" s="48">
        <v>1</v>
      </c>
      <c r="N101" s="48">
        <v>0</v>
      </c>
      <c r="R101" s="49"/>
      <c r="S101" s="49"/>
      <c r="T101" s="49">
        <v>46053</v>
      </c>
      <c r="U101" s="49">
        <v>46053</v>
      </c>
      <c r="V101" s="49">
        <v>46053</v>
      </c>
      <c r="W101" s="49">
        <v>46053</v>
      </c>
      <c r="X101" s="48">
        <v>1</v>
      </c>
      <c r="Y101" s="48">
        <v>1</v>
      </c>
      <c r="Z101" s="48">
        <v>1</v>
      </c>
      <c r="AA101" s="156">
        <v>260558730.15873015</v>
      </c>
      <c r="AF101" s="48">
        <v>0</v>
      </c>
      <c r="AG101" s="49" t="s">
        <v>41</v>
      </c>
      <c r="AH101" s="48">
        <v>1</v>
      </c>
      <c r="AI101" s="48" t="s">
        <v>33</v>
      </c>
      <c r="AJ101" s="48" t="s">
        <v>33</v>
      </c>
      <c r="AK101" s="48" t="s">
        <v>33</v>
      </c>
      <c r="AL101" s="48" t="s">
        <v>34</v>
      </c>
      <c r="AN101" s="48">
        <v>0</v>
      </c>
      <c r="AO101" s="48">
        <v>0</v>
      </c>
      <c r="AP101" s="48">
        <v>0</v>
      </c>
      <c r="AQ101" s="48">
        <v>0</v>
      </c>
      <c r="AR101" s="48">
        <v>0</v>
      </c>
      <c r="AS101" s="48">
        <v>0</v>
      </c>
      <c r="AT101" s="48">
        <v>0</v>
      </c>
      <c r="AU101" s="48">
        <v>0</v>
      </c>
      <c r="AV101" s="48">
        <v>0</v>
      </c>
      <c r="AW101" s="48">
        <v>0</v>
      </c>
      <c r="AX101" s="48">
        <v>0</v>
      </c>
      <c r="AY101" s="48">
        <v>0</v>
      </c>
      <c r="AZ101" s="48">
        <v>0</v>
      </c>
      <c r="BA101" s="48">
        <v>0</v>
      </c>
      <c r="BB101" s="48">
        <v>0</v>
      </c>
    </row>
    <row r="102" spans="1:54" x14ac:dyDescent="0.35">
      <c r="A102" s="49">
        <v>45930</v>
      </c>
      <c r="B102" s="48">
        <v>1</v>
      </c>
      <c r="C102" s="50" t="s">
        <v>41</v>
      </c>
      <c r="D102" s="48" t="s">
        <v>31</v>
      </c>
      <c r="E102" s="48" t="s">
        <v>138</v>
      </c>
      <c r="F102" s="48" t="s">
        <v>139</v>
      </c>
      <c r="G102" s="49" t="s">
        <v>58</v>
      </c>
      <c r="H102" s="48" t="s">
        <v>157</v>
      </c>
      <c r="I102" s="48">
        <v>1</v>
      </c>
      <c r="J102" s="48">
        <v>39</v>
      </c>
      <c r="K102" s="48">
        <v>1</v>
      </c>
      <c r="N102" s="48">
        <v>0</v>
      </c>
      <c r="R102" s="49"/>
      <c r="S102" s="49"/>
      <c r="T102" s="49">
        <v>46081</v>
      </c>
      <c r="U102" s="49">
        <v>46081</v>
      </c>
      <c r="V102" s="49">
        <v>46081</v>
      </c>
      <c r="W102" s="49">
        <v>46081</v>
      </c>
      <c r="X102" s="48">
        <v>1</v>
      </c>
      <c r="Y102" s="48">
        <v>1</v>
      </c>
      <c r="Z102" s="48">
        <v>1</v>
      </c>
      <c r="AA102" s="156">
        <v>260558730.15873015</v>
      </c>
      <c r="AF102" s="48">
        <v>0</v>
      </c>
      <c r="AG102" s="49" t="s">
        <v>41</v>
      </c>
      <c r="AH102" s="48">
        <v>1</v>
      </c>
      <c r="AI102" s="48" t="s">
        <v>33</v>
      </c>
      <c r="AJ102" s="48" t="s">
        <v>33</v>
      </c>
      <c r="AK102" s="48" t="s">
        <v>33</v>
      </c>
      <c r="AL102" s="48" t="s">
        <v>34</v>
      </c>
      <c r="AN102" s="48">
        <v>0</v>
      </c>
      <c r="AO102" s="48">
        <v>0</v>
      </c>
      <c r="AP102" s="48">
        <v>0</v>
      </c>
      <c r="AQ102" s="48">
        <v>0</v>
      </c>
      <c r="AR102" s="48">
        <v>0</v>
      </c>
      <c r="AS102" s="48">
        <v>0</v>
      </c>
      <c r="AT102" s="48">
        <v>0</v>
      </c>
      <c r="AU102" s="48">
        <v>0</v>
      </c>
      <c r="AV102" s="48">
        <v>0</v>
      </c>
      <c r="AW102" s="48">
        <v>0</v>
      </c>
      <c r="AX102" s="48">
        <v>0</v>
      </c>
      <c r="AY102" s="48">
        <v>0</v>
      </c>
      <c r="AZ102" s="48">
        <v>0</v>
      </c>
      <c r="BA102" s="48">
        <v>0</v>
      </c>
      <c r="BB102" s="48">
        <v>0</v>
      </c>
    </row>
    <row r="103" spans="1:54" x14ac:dyDescent="0.35">
      <c r="A103" s="49">
        <v>45930</v>
      </c>
      <c r="B103" s="48">
        <v>1</v>
      </c>
      <c r="C103" s="50" t="s">
        <v>41</v>
      </c>
      <c r="D103" s="48" t="s">
        <v>31</v>
      </c>
      <c r="E103" s="48" t="s">
        <v>138</v>
      </c>
      <c r="F103" s="48" t="s">
        <v>139</v>
      </c>
      <c r="G103" s="49" t="s">
        <v>58</v>
      </c>
      <c r="H103" s="48" t="s">
        <v>157</v>
      </c>
      <c r="I103" s="48">
        <v>1</v>
      </c>
      <c r="J103" s="48">
        <v>40</v>
      </c>
      <c r="K103" s="48">
        <v>1</v>
      </c>
      <c r="N103" s="48">
        <v>0</v>
      </c>
      <c r="R103" s="49"/>
      <c r="S103" s="49"/>
      <c r="T103" s="49">
        <v>46112</v>
      </c>
      <c r="U103" s="49">
        <v>46112</v>
      </c>
      <c r="V103" s="49">
        <v>46112</v>
      </c>
      <c r="W103" s="49">
        <v>46112</v>
      </c>
      <c r="X103" s="48">
        <v>1</v>
      </c>
      <c r="Y103" s="48">
        <v>1</v>
      </c>
      <c r="Z103" s="48">
        <v>1</v>
      </c>
      <c r="AA103" s="156">
        <v>260558730.15873015</v>
      </c>
      <c r="AF103" s="48">
        <v>0</v>
      </c>
      <c r="AG103" s="49" t="s">
        <v>41</v>
      </c>
      <c r="AH103" s="48">
        <v>1</v>
      </c>
      <c r="AI103" s="48" t="s">
        <v>33</v>
      </c>
      <c r="AJ103" s="48" t="s">
        <v>33</v>
      </c>
      <c r="AK103" s="48" t="s">
        <v>33</v>
      </c>
      <c r="AL103" s="48" t="s">
        <v>34</v>
      </c>
      <c r="AN103" s="48">
        <v>0</v>
      </c>
      <c r="AO103" s="48">
        <v>0</v>
      </c>
      <c r="AP103" s="48">
        <v>0</v>
      </c>
      <c r="AQ103" s="48">
        <v>0</v>
      </c>
      <c r="AR103" s="48">
        <v>0</v>
      </c>
      <c r="AS103" s="48">
        <v>0</v>
      </c>
      <c r="AT103" s="48">
        <v>0</v>
      </c>
      <c r="AU103" s="48">
        <v>0</v>
      </c>
      <c r="AV103" s="48">
        <v>0</v>
      </c>
      <c r="AW103" s="48">
        <v>0</v>
      </c>
      <c r="AX103" s="48">
        <v>0</v>
      </c>
      <c r="AY103" s="48">
        <v>0</v>
      </c>
      <c r="AZ103" s="48">
        <v>0</v>
      </c>
      <c r="BA103" s="48">
        <v>0</v>
      </c>
      <c r="BB103" s="48">
        <v>0</v>
      </c>
    </row>
    <row r="104" spans="1:54" x14ac:dyDescent="0.35">
      <c r="A104" s="49">
        <v>45930</v>
      </c>
      <c r="B104" s="48">
        <v>1</v>
      </c>
      <c r="C104" s="50" t="s">
        <v>41</v>
      </c>
      <c r="D104" s="48" t="s">
        <v>31</v>
      </c>
      <c r="E104" s="48" t="s">
        <v>138</v>
      </c>
      <c r="F104" s="48" t="s">
        <v>139</v>
      </c>
      <c r="G104" s="49" t="s">
        <v>58</v>
      </c>
      <c r="H104" s="48" t="s">
        <v>157</v>
      </c>
      <c r="I104" s="48">
        <v>1</v>
      </c>
      <c r="J104" s="48">
        <v>41</v>
      </c>
      <c r="K104" s="48">
        <v>1</v>
      </c>
      <c r="N104" s="48">
        <v>0</v>
      </c>
      <c r="R104" s="49"/>
      <c r="S104" s="49"/>
      <c r="T104" s="49">
        <v>46142</v>
      </c>
      <c r="U104" s="49">
        <v>46142</v>
      </c>
      <c r="V104" s="49">
        <v>46142</v>
      </c>
      <c r="W104" s="49">
        <v>46142</v>
      </c>
      <c r="X104" s="48">
        <v>1</v>
      </c>
      <c r="Y104" s="48">
        <v>1</v>
      </c>
      <c r="Z104" s="48">
        <v>1</v>
      </c>
      <c r="AA104" s="156">
        <v>260558730.15873015</v>
      </c>
      <c r="AF104" s="48">
        <v>0</v>
      </c>
      <c r="AG104" s="49" t="s">
        <v>41</v>
      </c>
      <c r="AH104" s="48">
        <v>1</v>
      </c>
      <c r="AI104" s="48" t="s">
        <v>33</v>
      </c>
      <c r="AJ104" s="48" t="s">
        <v>33</v>
      </c>
      <c r="AK104" s="48" t="s">
        <v>33</v>
      </c>
      <c r="AL104" s="48" t="s">
        <v>34</v>
      </c>
      <c r="AN104" s="48">
        <v>0</v>
      </c>
      <c r="AO104" s="48">
        <v>0</v>
      </c>
      <c r="AP104" s="48">
        <v>0</v>
      </c>
      <c r="AQ104" s="48">
        <v>0</v>
      </c>
      <c r="AR104" s="48">
        <v>0</v>
      </c>
      <c r="AS104" s="48">
        <v>0</v>
      </c>
      <c r="AT104" s="48">
        <v>0</v>
      </c>
      <c r="AU104" s="48">
        <v>0</v>
      </c>
      <c r="AV104" s="48">
        <v>0</v>
      </c>
      <c r="AW104" s="48">
        <v>0</v>
      </c>
      <c r="AX104" s="48">
        <v>0</v>
      </c>
      <c r="AY104" s="48">
        <v>0</v>
      </c>
      <c r="AZ104" s="48">
        <v>0</v>
      </c>
      <c r="BA104" s="48">
        <v>0</v>
      </c>
      <c r="BB104" s="48">
        <v>0</v>
      </c>
    </row>
    <row r="105" spans="1:54" x14ac:dyDescent="0.35">
      <c r="A105" s="49">
        <v>45930</v>
      </c>
      <c r="B105" s="48">
        <v>1</v>
      </c>
      <c r="C105" s="50" t="s">
        <v>41</v>
      </c>
      <c r="D105" s="48" t="s">
        <v>31</v>
      </c>
      <c r="E105" s="48" t="s">
        <v>138</v>
      </c>
      <c r="F105" s="48" t="s">
        <v>139</v>
      </c>
      <c r="G105" s="49" t="s">
        <v>58</v>
      </c>
      <c r="H105" s="48" t="s">
        <v>157</v>
      </c>
      <c r="I105" s="48">
        <v>1</v>
      </c>
      <c r="J105" s="48">
        <v>42</v>
      </c>
      <c r="K105" s="48">
        <v>1</v>
      </c>
      <c r="N105" s="48">
        <v>0</v>
      </c>
      <c r="R105" s="49"/>
      <c r="S105" s="49"/>
      <c r="T105" s="49">
        <v>46173</v>
      </c>
      <c r="U105" s="49">
        <v>46173</v>
      </c>
      <c r="V105" s="49">
        <v>46173</v>
      </c>
      <c r="W105" s="49">
        <v>46173</v>
      </c>
      <c r="X105" s="48">
        <v>1</v>
      </c>
      <c r="Y105" s="48">
        <v>1</v>
      </c>
      <c r="Z105" s="48">
        <v>1</v>
      </c>
      <c r="AA105" s="156">
        <v>89162651.727357611</v>
      </c>
      <c r="AF105" s="48">
        <v>0</v>
      </c>
      <c r="AG105" s="49" t="s">
        <v>41</v>
      </c>
      <c r="AH105" s="48">
        <v>1</v>
      </c>
      <c r="AI105" s="48" t="s">
        <v>33</v>
      </c>
      <c r="AJ105" s="48" t="s">
        <v>33</v>
      </c>
      <c r="AK105" s="48" t="s">
        <v>33</v>
      </c>
      <c r="AL105" s="48" t="s">
        <v>34</v>
      </c>
      <c r="AN105" s="48">
        <v>0</v>
      </c>
      <c r="AO105" s="48">
        <v>0</v>
      </c>
      <c r="AP105" s="48">
        <v>0</v>
      </c>
      <c r="AQ105" s="48">
        <v>0</v>
      </c>
      <c r="AR105" s="48">
        <v>0</v>
      </c>
      <c r="AS105" s="48">
        <v>0</v>
      </c>
      <c r="AT105" s="48">
        <v>0</v>
      </c>
      <c r="AU105" s="48">
        <v>0</v>
      </c>
      <c r="AV105" s="48">
        <v>0</v>
      </c>
      <c r="AW105" s="48">
        <v>0</v>
      </c>
      <c r="AX105" s="48">
        <v>0</v>
      </c>
      <c r="AY105" s="48">
        <v>0</v>
      </c>
      <c r="AZ105" s="48">
        <v>0</v>
      </c>
      <c r="BA105" s="48">
        <v>0</v>
      </c>
      <c r="BB105" s="48">
        <v>0</v>
      </c>
    </row>
    <row r="106" spans="1:54" x14ac:dyDescent="0.35">
      <c r="A106" s="49">
        <v>45930</v>
      </c>
      <c r="B106" s="48">
        <v>1</v>
      </c>
      <c r="C106" s="50" t="s">
        <v>41</v>
      </c>
      <c r="D106" s="48" t="s">
        <v>31</v>
      </c>
      <c r="E106" s="48" t="s">
        <v>138</v>
      </c>
      <c r="F106" s="48" t="s">
        <v>139</v>
      </c>
      <c r="G106" s="49" t="s">
        <v>58</v>
      </c>
      <c r="H106" s="48" t="s">
        <v>157</v>
      </c>
      <c r="I106" s="48">
        <v>1</v>
      </c>
      <c r="J106" s="48">
        <v>43</v>
      </c>
      <c r="K106" s="48">
        <v>1</v>
      </c>
      <c r="N106" s="48">
        <v>0</v>
      </c>
      <c r="R106" s="49"/>
      <c r="S106" s="49"/>
      <c r="T106" s="49">
        <v>46203</v>
      </c>
      <c r="U106" s="49">
        <v>46203</v>
      </c>
      <c r="V106" s="49">
        <v>46203</v>
      </c>
      <c r="W106" s="49">
        <v>46203</v>
      </c>
      <c r="X106" s="48">
        <v>1</v>
      </c>
      <c r="Y106" s="48">
        <v>1</v>
      </c>
      <c r="Z106" s="48">
        <v>1</v>
      </c>
      <c r="AA106" s="156">
        <v>0</v>
      </c>
      <c r="AF106" s="48">
        <v>0</v>
      </c>
      <c r="AG106" s="49" t="s">
        <v>41</v>
      </c>
      <c r="AH106" s="48">
        <v>1</v>
      </c>
      <c r="AI106" s="48" t="s">
        <v>33</v>
      </c>
      <c r="AJ106" s="48" t="s">
        <v>33</v>
      </c>
      <c r="AK106" s="48" t="s">
        <v>33</v>
      </c>
      <c r="AL106" s="48" t="s">
        <v>34</v>
      </c>
      <c r="AN106" s="48">
        <v>0</v>
      </c>
      <c r="AO106" s="48">
        <v>0</v>
      </c>
      <c r="AP106" s="48">
        <v>0</v>
      </c>
      <c r="AQ106" s="48">
        <v>0</v>
      </c>
      <c r="AR106" s="48">
        <v>0</v>
      </c>
      <c r="AS106" s="48">
        <v>0</v>
      </c>
      <c r="AT106" s="48">
        <v>0</v>
      </c>
      <c r="AU106" s="48">
        <v>0</v>
      </c>
      <c r="AV106" s="48">
        <v>0</v>
      </c>
      <c r="AW106" s="48">
        <v>0</v>
      </c>
      <c r="AX106" s="48">
        <v>0</v>
      </c>
      <c r="AY106" s="48">
        <v>0</v>
      </c>
      <c r="AZ106" s="48">
        <v>0</v>
      </c>
      <c r="BA106" s="48">
        <v>0</v>
      </c>
      <c r="BB106" s="48">
        <v>0</v>
      </c>
    </row>
    <row r="107" spans="1:54" x14ac:dyDescent="0.35">
      <c r="A107" s="49">
        <v>45930</v>
      </c>
      <c r="B107" s="48">
        <v>1</v>
      </c>
      <c r="C107" s="50" t="s">
        <v>41</v>
      </c>
      <c r="D107" s="48" t="s">
        <v>31</v>
      </c>
      <c r="E107" s="48" t="s">
        <v>138</v>
      </c>
      <c r="F107" s="48" t="s">
        <v>139</v>
      </c>
      <c r="G107" s="49" t="s">
        <v>58</v>
      </c>
      <c r="H107" s="48" t="s">
        <v>157</v>
      </c>
      <c r="I107" s="48">
        <v>1</v>
      </c>
      <c r="J107" s="48">
        <v>44</v>
      </c>
      <c r="K107" s="48">
        <v>1</v>
      </c>
      <c r="N107" s="48">
        <v>0</v>
      </c>
      <c r="R107" s="49"/>
      <c r="S107" s="49"/>
      <c r="T107" s="49">
        <v>46234</v>
      </c>
      <c r="U107" s="49">
        <v>46234</v>
      </c>
      <c r="V107" s="49">
        <v>46234</v>
      </c>
      <c r="W107" s="49">
        <v>46234</v>
      </c>
      <c r="X107" s="48">
        <v>1</v>
      </c>
      <c r="Y107" s="48">
        <v>1</v>
      </c>
      <c r="Z107" s="48">
        <v>1</v>
      </c>
      <c r="AA107" s="156">
        <v>0</v>
      </c>
      <c r="AF107" s="48">
        <v>0</v>
      </c>
      <c r="AG107" s="49" t="s">
        <v>41</v>
      </c>
      <c r="AH107" s="48">
        <v>1</v>
      </c>
      <c r="AI107" s="48" t="s">
        <v>33</v>
      </c>
      <c r="AJ107" s="48" t="s">
        <v>33</v>
      </c>
      <c r="AK107" s="48" t="s">
        <v>33</v>
      </c>
      <c r="AL107" s="48" t="s">
        <v>34</v>
      </c>
      <c r="AN107" s="48">
        <v>0</v>
      </c>
      <c r="AO107" s="48">
        <v>0</v>
      </c>
      <c r="AP107" s="48">
        <v>0</v>
      </c>
      <c r="AQ107" s="48">
        <v>0</v>
      </c>
      <c r="AR107" s="48">
        <v>0</v>
      </c>
      <c r="AS107" s="48">
        <v>0</v>
      </c>
      <c r="AT107" s="48">
        <v>0</v>
      </c>
      <c r="AU107" s="48">
        <v>0</v>
      </c>
      <c r="AV107" s="48">
        <v>0</v>
      </c>
      <c r="AW107" s="48">
        <v>0</v>
      </c>
      <c r="AX107" s="48">
        <v>0</v>
      </c>
      <c r="AY107" s="48">
        <v>0</v>
      </c>
      <c r="AZ107" s="48">
        <v>0</v>
      </c>
      <c r="BA107" s="48">
        <v>0</v>
      </c>
      <c r="BB107" s="48">
        <v>0</v>
      </c>
    </row>
    <row r="108" spans="1:54" x14ac:dyDescent="0.35">
      <c r="A108" s="49">
        <v>45930</v>
      </c>
      <c r="B108" s="48">
        <v>1</v>
      </c>
      <c r="C108" s="50" t="s">
        <v>41</v>
      </c>
      <c r="D108" s="48" t="s">
        <v>31</v>
      </c>
      <c r="E108" s="48" t="s">
        <v>138</v>
      </c>
      <c r="F108" s="48" t="s">
        <v>139</v>
      </c>
      <c r="G108" s="49" t="s">
        <v>58</v>
      </c>
      <c r="H108" s="48" t="s">
        <v>157</v>
      </c>
      <c r="I108" s="48">
        <v>1</v>
      </c>
      <c r="J108" s="48">
        <v>45</v>
      </c>
      <c r="K108" s="48">
        <v>1</v>
      </c>
      <c r="N108" s="48">
        <v>0</v>
      </c>
      <c r="R108" s="49"/>
      <c r="S108" s="49"/>
      <c r="T108" s="49">
        <v>46265</v>
      </c>
      <c r="U108" s="49">
        <v>46265</v>
      </c>
      <c r="V108" s="49">
        <v>46265</v>
      </c>
      <c r="W108" s="49">
        <v>46265</v>
      </c>
      <c r="X108" s="48">
        <v>1</v>
      </c>
      <c r="Y108" s="48">
        <v>1</v>
      </c>
      <c r="Z108" s="48">
        <v>1</v>
      </c>
      <c r="AA108" s="156">
        <v>0</v>
      </c>
      <c r="AF108" s="48">
        <v>0</v>
      </c>
      <c r="AG108" s="49" t="s">
        <v>41</v>
      </c>
      <c r="AH108" s="48">
        <v>1</v>
      </c>
      <c r="AI108" s="48" t="s">
        <v>33</v>
      </c>
      <c r="AJ108" s="48" t="s">
        <v>33</v>
      </c>
      <c r="AK108" s="48" t="s">
        <v>33</v>
      </c>
      <c r="AL108" s="48" t="s">
        <v>34</v>
      </c>
      <c r="AN108" s="48">
        <v>0</v>
      </c>
      <c r="AO108" s="48">
        <v>0</v>
      </c>
      <c r="AP108" s="48">
        <v>0</v>
      </c>
      <c r="AQ108" s="48">
        <v>0</v>
      </c>
      <c r="AR108" s="48">
        <v>0</v>
      </c>
      <c r="AS108" s="48">
        <v>0</v>
      </c>
      <c r="AT108" s="48">
        <v>0</v>
      </c>
      <c r="AU108" s="48">
        <v>0</v>
      </c>
      <c r="AV108" s="48">
        <v>0</v>
      </c>
      <c r="AW108" s="48">
        <v>0</v>
      </c>
      <c r="AX108" s="48">
        <v>0</v>
      </c>
      <c r="AY108" s="48">
        <v>0</v>
      </c>
      <c r="AZ108" s="48">
        <v>0</v>
      </c>
      <c r="BA108" s="48">
        <v>0</v>
      </c>
      <c r="BB108" s="48">
        <v>0</v>
      </c>
    </row>
    <row r="109" spans="1:54" x14ac:dyDescent="0.35">
      <c r="A109" s="49">
        <v>45930</v>
      </c>
      <c r="B109" s="48">
        <v>1</v>
      </c>
      <c r="C109" s="50" t="s">
        <v>41</v>
      </c>
      <c r="D109" s="48" t="s">
        <v>31</v>
      </c>
      <c r="E109" s="48" t="s">
        <v>138</v>
      </c>
      <c r="F109" s="48" t="s">
        <v>139</v>
      </c>
      <c r="G109" s="49" t="s">
        <v>58</v>
      </c>
      <c r="H109" s="48" t="s">
        <v>157</v>
      </c>
      <c r="I109" s="48">
        <v>1</v>
      </c>
      <c r="J109" s="48">
        <v>46</v>
      </c>
      <c r="K109" s="48">
        <v>1</v>
      </c>
      <c r="N109" s="48">
        <v>0</v>
      </c>
      <c r="R109" s="49"/>
      <c r="S109" s="49"/>
      <c r="T109" s="49">
        <v>46295</v>
      </c>
      <c r="U109" s="49">
        <v>46295</v>
      </c>
      <c r="V109" s="49">
        <v>46295</v>
      </c>
      <c r="W109" s="49">
        <v>46295</v>
      </c>
      <c r="X109" s="48">
        <v>1</v>
      </c>
      <c r="Y109" s="48">
        <v>1</v>
      </c>
      <c r="Z109" s="48">
        <v>1</v>
      </c>
      <c r="AA109" s="156">
        <v>0</v>
      </c>
      <c r="AF109" s="48">
        <v>0</v>
      </c>
      <c r="AG109" s="49" t="s">
        <v>41</v>
      </c>
      <c r="AH109" s="48">
        <v>1</v>
      </c>
      <c r="AI109" s="48" t="s">
        <v>33</v>
      </c>
      <c r="AJ109" s="48" t="s">
        <v>33</v>
      </c>
      <c r="AK109" s="48" t="s">
        <v>33</v>
      </c>
      <c r="AL109" s="48" t="s">
        <v>34</v>
      </c>
      <c r="AN109" s="48">
        <v>0</v>
      </c>
      <c r="AO109" s="48">
        <v>0</v>
      </c>
      <c r="AP109" s="48">
        <v>0</v>
      </c>
      <c r="AQ109" s="48">
        <v>0</v>
      </c>
      <c r="AR109" s="48">
        <v>0</v>
      </c>
      <c r="AS109" s="48">
        <v>0</v>
      </c>
      <c r="AT109" s="48">
        <v>0</v>
      </c>
      <c r="AU109" s="48">
        <v>0</v>
      </c>
      <c r="AV109" s="48">
        <v>0</v>
      </c>
      <c r="AW109" s="48">
        <v>0</v>
      </c>
      <c r="AX109" s="48">
        <v>0</v>
      </c>
      <c r="AY109" s="48">
        <v>0</v>
      </c>
      <c r="AZ109" s="48">
        <v>0</v>
      </c>
      <c r="BA109" s="48">
        <v>0</v>
      </c>
      <c r="BB109" s="48">
        <v>0</v>
      </c>
    </row>
    <row r="110" spans="1:54" x14ac:dyDescent="0.35">
      <c r="A110" s="49">
        <v>45930</v>
      </c>
      <c r="B110" s="48">
        <v>1</v>
      </c>
      <c r="C110" s="50" t="s">
        <v>41</v>
      </c>
      <c r="D110" s="48" t="s">
        <v>31</v>
      </c>
      <c r="E110" s="48" t="s">
        <v>138</v>
      </c>
      <c r="F110" s="48" t="s">
        <v>139</v>
      </c>
      <c r="G110" s="49" t="s">
        <v>58</v>
      </c>
      <c r="H110" s="48" t="s">
        <v>157</v>
      </c>
      <c r="I110" s="48">
        <v>1</v>
      </c>
      <c r="J110" s="48">
        <v>47</v>
      </c>
      <c r="K110" s="48">
        <v>1</v>
      </c>
      <c r="N110" s="48">
        <v>0</v>
      </c>
      <c r="R110" s="49"/>
      <c r="S110" s="49"/>
      <c r="T110" s="49">
        <v>46326</v>
      </c>
      <c r="U110" s="49">
        <v>46326</v>
      </c>
      <c r="V110" s="49">
        <v>46326</v>
      </c>
      <c r="W110" s="49">
        <v>46326</v>
      </c>
      <c r="X110" s="48">
        <v>1</v>
      </c>
      <c r="Y110" s="48">
        <v>1</v>
      </c>
      <c r="Z110" s="48">
        <v>1</v>
      </c>
      <c r="AA110" s="156">
        <v>0</v>
      </c>
      <c r="AF110" s="48">
        <v>0</v>
      </c>
      <c r="AG110" s="49" t="s">
        <v>41</v>
      </c>
      <c r="AH110" s="48">
        <v>1</v>
      </c>
      <c r="AI110" s="48" t="s">
        <v>33</v>
      </c>
      <c r="AJ110" s="48" t="s">
        <v>33</v>
      </c>
      <c r="AK110" s="48" t="s">
        <v>33</v>
      </c>
      <c r="AL110" s="48" t="s">
        <v>34</v>
      </c>
      <c r="AN110" s="48">
        <v>0</v>
      </c>
      <c r="AO110" s="48">
        <v>0</v>
      </c>
      <c r="AP110" s="48">
        <v>0</v>
      </c>
      <c r="AQ110" s="48">
        <v>0</v>
      </c>
      <c r="AR110" s="48">
        <v>0</v>
      </c>
      <c r="AS110" s="48">
        <v>0</v>
      </c>
      <c r="AT110" s="48">
        <v>0</v>
      </c>
      <c r="AU110" s="48">
        <v>0</v>
      </c>
      <c r="AV110" s="48">
        <v>0</v>
      </c>
      <c r="AW110" s="48">
        <v>0</v>
      </c>
      <c r="AX110" s="48">
        <v>0</v>
      </c>
      <c r="AY110" s="48">
        <v>0</v>
      </c>
      <c r="AZ110" s="48">
        <v>0</v>
      </c>
      <c r="BA110" s="48">
        <v>0</v>
      </c>
      <c r="BB110" s="48">
        <v>0</v>
      </c>
    </row>
    <row r="111" spans="1:54" x14ac:dyDescent="0.35">
      <c r="A111" s="49">
        <v>45930</v>
      </c>
      <c r="B111" s="48">
        <v>1</v>
      </c>
      <c r="C111" s="50" t="s">
        <v>41</v>
      </c>
      <c r="D111" s="48" t="s">
        <v>31</v>
      </c>
      <c r="E111" s="48" t="s">
        <v>138</v>
      </c>
      <c r="F111" s="48" t="s">
        <v>139</v>
      </c>
      <c r="G111" s="49" t="s">
        <v>58</v>
      </c>
      <c r="H111" s="48" t="s">
        <v>156</v>
      </c>
      <c r="I111" s="48">
        <v>1</v>
      </c>
      <c r="J111" s="48">
        <v>48</v>
      </c>
      <c r="K111" s="48">
        <v>1</v>
      </c>
      <c r="N111" s="48">
        <v>0</v>
      </c>
      <c r="R111" s="49"/>
      <c r="S111" s="49"/>
      <c r="T111" s="49">
        <v>46356</v>
      </c>
      <c r="U111" s="49">
        <v>46356</v>
      </c>
      <c r="V111" s="49">
        <v>46356</v>
      </c>
      <c r="W111" s="49">
        <v>46356</v>
      </c>
      <c r="X111" s="48">
        <v>1</v>
      </c>
      <c r="Y111" s="48">
        <v>1</v>
      </c>
      <c r="Z111" s="48">
        <v>1</v>
      </c>
      <c r="AA111" s="156">
        <v>0</v>
      </c>
      <c r="AF111" s="48">
        <v>0</v>
      </c>
      <c r="AG111" s="49" t="s">
        <v>41</v>
      </c>
      <c r="AH111" s="48">
        <v>1</v>
      </c>
      <c r="AI111" s="48" t="s">
        <v>33</v>
      </c>
      <c r="AJ111" s="48" t="s">
        <v>33</v>
      </c>
      <c r="AK111" s="48" t="s">
        <v>33</v>
      </c>
      <c r="AL111" s="48" t="s">
        <v>34</v>
      </c>
      <c r="AN111" s="48">
        <v>0</v>
      </c>
      <c r="AO111" s="48">
        <v>0</v>
      </c>
      <c r="AP111" s="48">
        <v>0</v>
      </c>
      <c r="AQ111" s="48">
        <v>0</v>
      </c>
      <c r="AR111" s="48">
        <v>0</v>
      </c>
      <c r="AS111" s="48">
        <v>0</v>
      </c>
      <c r="AT111" s="48">
        <v>0</v>
      </c>
      <c r="AU111" s="48">
        <v>0</v>
      </c>
      <c r="AV111" s="48">
        <v>0</v>
      </c>
      <c r="AW111" s="48">
        <v>0</v>
      </c>
      <c r="AX111" s="48">
        <v>0</v>
      </c>
      <c r="AY111" s="48">
        <v>0</v>
      </c>
      <c r="AZ111" s="48">
        <v>0</v>
      </c>
      <c r="BA111" s="48">
        <v>0</v>
      </c>
      <c r="BB111" s="48">
        <v>0</v>
      </c>
    </row>
    <row r="112" spans="1:54" x14ac:dyDescent="0.35">
      <c r="A112" s="49">
        <v>45930</v>
      </c>
      <c r="B112" s="48">
        <v>1</v>
      </c>
      <c r="C112" s="50" t="s">
        <v>41</v>
      </c>
      <c r="D112" s="48" t="s">
        <v>31</v>
      </c>
      <c r="E112" s="48" t="s">
        <v>138</v>
      </c>
      <c r="F112" s="48" t="s">
        <v>139</v>
      </c>
      <c r="G112" s="49" t="s">
        <v>58</v>
      </c>
      <c r="H112" s="48" t="s">
        <v>156</v>
      </c>
      <c r="I112" s="48">
        <v>1</v>
      </c>
      <c r="J112" s="48">
        <v>49</v>
      </c>
      <c r="K112" s="48">
        <v>1</v>
      </c>
      <c r="N112" s="48">
        <v>0</v>
      </c>
      <c r="R112" s="49"/>
      <c r="S112" s="49"/>
      <c r="T112" s="49">
        <v>46387</v>
      </c>
      <c r="U112" s="49">
        <v>46387</v>
      </c>
      <c r="V112" s="49">
        <v>46387</v>
      </c>
      <c r="W112" s="49">
        <v>46387</v>
      </c>
      <c r="X112" s="48">
        <v>1</v>
      </c>
      <c r="Y112" s="48">
        <v>1</v>
      </c>
      <c r="Z112" s="48">
        <v>1</v>
      </c>
      <c r="AA112" s="156">
        <v>0</v>
      </c>
      <c r="AF112" s="48">
        <v>0</v>
      </c>
      <c r="AG112" s="49" t="s">
        <v>41</v>
      </c>
      <c r="AH112" s="48">
        <v>1</v>
      </c>
      <c r="AI112" s="48" t="s">
        <v>33</v>
      </c>
      <c r="AJ112" s="48" t="s">
        <v>33</v>
      </c>
      <c r="AK112" s="48" t="s">
        <v>33</v>
      </c>
      <c r="AL112" s="48" t="s">
        <v>34</v>
      </c>
      <c r="AN112" s="48">
        <v>0</v>
      </c>
      <c r="AO112" s="48">
        <v>0</v>
      </c>
      <c r="AP112" s="48">
        <v>0</v>
      </c>
      <c r="AQ112" s="48">
        <v>0</v>
      </c>
      <c r="AR112" s="48">
        <v>0</v>
      </c>
      <c r="AS112" s="48">
        <v>0</v>
      </c>
      <c r="AT112" s="48">
        <v>0</v>
      </c>
      <c r="AU112" s="48">
        <v>0</v>
      </c>
      <c r="AV112" s="48">
        <v>0</v>
      </c>
      <c r="AW112" s="48">
        <v>0</v>
      </c>
      <c r="AX112" s="48">
        <v>0</v>
      </c>
      <c r="AY112" s="48">
        <v>0</v>
      </c>
      <c r="AZ112" s="48">
        <v>0</v>
      </c>
      <c r="BA112" s="48">
        <v>0</v>
      </c>
      <c r="BB112" s="48">
        <v>0</v>
      </c>
    </row>
    <row r="113" spans="1:54" x14ac:dyDescent="0.35">
      <c r="A113" s="49">
        <v>45930</v>
      </c>
      <c r="B113" s="48">
        <v>1</v>
      </c>
      <c r="C113" s="50" t="s">
        <v>32</v>
      </c>
      <c r="D113" s="48" t="s">
        <v>31</v>
      </c>
      <c r="E113" s="48" t="s">
        <v>138</v>
      </c>
      <c r="F113" s="48" t="s">
        <v>139</v>
      </c>
      <c r="G113" s="49" t="s">
        <v>59</v>
      </c>
      <c r="H113" s="48" t="s">
        <v>60</v>
      </c>
      <c r="I113" s="48">
        <v>1</v>
      </c>
      <c r="K113" s="48">
        <v>1</v>
      </c>
      <c r="N113" s="48">
        <v>0</v>
      </c>
      <c r="R113" s="49"/>
      <c r="S113" s="49"/>
      <c r="T113" s="49">
        <v>45931</v>
      </c>
      <c r="U113" s="49">
        <v>45931</v>
      </c>
      <c r="V113" s="49">
        <v>45931</v>
      </c>
      <c r="W113" s="49">
        <v>45931</v>
      </c>
      <c r="X113" s="48">
        <v>1</v>
      </c>
      <c r="Y113" s="48">
        <v>1</v>
      </c>
      <c r="Z113" s="48">
        <v>1</v>
      </c>
      <c r="AA113" s="156">
        <v>974142</v>
      </c>
      <c r="AF113" s="48">
        <v>0</v>
      </c>
      <c r="AG113" s="49" t="s">
        <v>32</v>
      </c>
      <c r="AH113" s="48">
        <v>1</v>
      </c>
      <c r="AI113" s="48" t="s">
        <v>33</v>
      </c>
      <c r="AJ113" s="48" t="s">
        <v>33</v>
      </c>
      <c r="AK113" s="48" t="s">
        <v>33</v>
      </c>
      <c r="AL113" s="48" t="s">
        <v>34</v>
      </c>
      <c r="AN113" s="48">
        <v>0</v>
      </c>
      <c r="AO113" s="48">
        <v>0</v>
      </c>
      <c r="AP113" s="48">
        <v>0</v>
      </c>
      <c r="AQ113" s="48">
        <v>0</v>
      </c>
      <c r="AR113" s="48">
        <v>0</v>
      </c>
      <c r="AS113" s="48">
        <v>0</v>
      </c>
      <c r="AT113" s="48">
        <v>0</v>
      </c>
      <c r="AU113" s="48">
        <v>0</v>
      </c>
      <c r="AV113" s="48">
        <v>0</v>
      </c>
      <c r="AW113" s="48">
        <v>0</v>
      </c>
      <c r="AX113" s="48">
        <v>0</v>
      </c>
      <c r="AY113" s="48">
        <v>0</v>
      </c>
      <c r="AZ113" s="48">
        <v>0</v>
      </c>
      <c r="BA113" s="48">
        <v>0</v>
      </c>
      <c r="BB113" s="48">
        <v>0</v>
      </c>
    </row>
    <row r="114" spans="1:54" x14ac:dyDescent="0.35">
      <c r="A114" s="49">
        <v>45930</v>
      </c>
      <c r="B114" s="48">
        <v>1</v>
      </c>
      <c r="C114" s="50" t="s">
        <v>32</v>
      </c>
      <c r="D114" s="48" t="s">
        <v>31</v>
      </c>
      <c r="E114" s="48" t="s">
        <v>138</v>
      </c>
      <c r="F114" s="48" t="s">
        <v>139</v>
      </c>
      <c r="G114" s="49" t="s">
        <v>59</v>
      </c>
      <c r="H114" s="48" t="s">
        <v>159</v>
      </c>
      <c r="I114" s="48">
        <v>1</v>
      </c>
      <c r="J114" s="48">
        <v>1</v>
      </c>
      <c r="K114" s="48">
        <v>1</v>
      </c>
      <c r="N114" s="48">
        <v>0</v>
      </c>
      <c r="R114" s="49"/>
      <c r="S114" s="49"/>
      <c r="T114" s="49">
        <v>45961</v>
      </c>
      <c r="U114" s="49">
        <v>45961</v>
      </c>
      <c r="V114" s="49">
        <v>45961</v>
      </c>
      <c r="W114" s="49">
        <v>45961</v>
      </c>
      <c r="X114" s="48">
        <v>1</v>
      </c>
      <c r="Y114" s="48">
        <v>1</v>
      </c>
      <c r="Z114" s="48">
        <v>1</v>
      </c>
      <c r="AA114" s="156">
        <v>26803.587027067224</v>
      </c>
      <c r="AF114" s="48">
        <v>0</v>
      </c>
      <c r="AG114" s="49" t="s">
        <v>32</v>
      </c>
      <c r="AH114" s="48">
        <v>1</v>
      </c>
      <c r="AI114" s="48" t="s">
        <v>33</v>
      </c>
      <c r="AJ114" s="48" t="s">
        <v>33</v>
      </c>
      <c r="AK114" s="48" t="s">
        <v>33</v>
      </c>
      <c r="AL114" s="48" t="s">
        <v>34</v>
      </c>
      <c r="AN114" s="48">
        <v>0</v>
      </c>
      <c r="AO114" s="48">
        <v>0</v>
      </c>
      <c r="AP114" s="48">
        <v>0</v>
      </c>
      <c r="AQ114" s="48">
        <v>0</v>
      </c>
      <c r="AR114" s="48">
        <v>0</v>
      </c>
      <c r="AS114" s="48">
        <v>0</v>
      </c>
      <c r="AT114" s="48">
        <v>0</v>
      </c>
      <c r="AU114" s="48">
        <v>0</v>
      </c>
      <c r="AV114" s="48">
        <v>0</v>
      </c>
      <c r="AW114" s="48">
        <v>0</v>
      </c>
      <c r="AX114" s="48">
        <v>0</v>
      </c>
      <c r="AY114" s="48">
        <v>0</v>
      </c>
      <c r="AZ114" s="48">
        <v>0</v>
      </c>
      <c r="BA114" s="48">
        <v>0</v>
      </c>
      <c r="BB114" s="48">
        <v>0</v>
      </c>
    </row>
    <row r="115" spans="1:54" x14ac:dyDescent="0.35">
      <c r="A115" s="49">
        <v>45930</v>
      </c>
      <c r="B115" s="48">
        <v>1</v>
      </c>
      <c r="C115" s="50" t="s">
        <v>32</v>
      </c>
      <c r="D115" s="48" t="s">
        <v>31</v>
      </c>
      <c r="E115" s="48" t="s">
        <v>138</v>
      </c>
      <c r="F115" s="48" t="s">
        <v>139</v>
      </c>
      <c r="G115" s="49" t="s">
        <v>59</v>
      </c>
      <c r="H115" s="48" t="s">
        <v>159</v>
      </c>
      <c r="I115" s="48">
        <v>1</v>
      </c>
      <c r="J115" s="48">
        <v>2</v>
      </c>
      <c r="K115" s="48">
        <v>1</v>
      </c>
      <c r="N115" s="48">
        <v>0</v>
      </c>
      <c r="R115" s="49"/>
      <c r="S115" s="49"/>
      <c r="T115" s="49">
        <v>45991</v>
      </c>
      <c r="U115" s="49">
        <v>45991</v>
      </c>
      <c r="V115" s="49">
        <v>45991</v>
      </c>
      <c r="W115" s="49">
        <v>45991</v>
      </c>
      <c r="X115" s="48">
        <v>1</v>
      </c>
      <c r="Y115" s="48">
        <v>1</v>
      </c>
      <c r="Z115" s="48">
        <v>1</v>
      </c>
      <c r="AA115" s="156">
        <v>26803.587027067224</v>
      </c>
      <c r="AF115" s="48">
        <v>0</v>
      </c>
      <c r="AG115" s="49" t="s">
        <v>32</v>
      </c>
      <c r="AH115" s="48">
        <v>1</v>
      </c>
      <c r="AI115" s="48" t="s">
        <v>33</v>
      </c>
      <c r="AJ115" s="48" t="s">
        <v>33</v>
      </c>
      <c r="AK115" s="48" t="s">
        <v>33</v>
      </c>
      <c r="AL115" s="48" t="s">
        <v>34</v>
      </c>
      <c r="AN115" s="48">
        <v>0</v>
      </c>
      <c r="AO115" s="48">
        <v>0</v>
      </c>
      <c r="AP115" s="48">
        <v>0</v>
      </c>
      <c r="AQ115" s="48">
        <v>0</v>
      </c>
      <c r="AR115" s="48">
        <v>0</v>
      </c>
      <c r="AS115" s="48">
        <v>0</v>
      </c>
      <c r="AT115" s="48">
        <v>0</v>
      </c>
      <c r="AU115" s="48">
        <v>0</v>
      </c>
      <c r="AV115" s="48">
        <v>0</v>
      </c>
      <c r="AW115" s="48">
        <v>0</v>
      </c>
      <c r="AX115" s="48">
        <v>0</v>
      </c>
      <c r="AY115" s="48">
        <v>0</v>
      </c>
      <c r="AZ115" s="48">
        <v>0</v>
      </c>
      <c r="BA115" s="48">
        <v>0</v>
      </c>
      <c r="BB115" s="48">
        <v>0</v>
      </c>
    </row>
    <row r="116" spans="1:54" x14ac:dyDescent="0.35">
      <c r="A116" s="49">
        <v>45930</v>
      </c>
      <c r="B116" s="48">
        <v>1</v>
      </c>
      <c r="C116" s="50" t="s">
        <v>32</v>
      </c>
      <c r="D116" s="48" t="s">
        <v>31</v>
      </c>
      <c r="E116" s="48" t="s">
        <v>138</v>
      </c>
      <c r="F116" s="48" t="s">
        <v>139</v>
      </c>
      <c r="G116" s="49" t="s">
        <v>59</v>
      </c>
      <c r="H116" s="48" t="s">
        <v>159</v>
      </c>
      <c r="I116" s="48">
        <v>1</v>
      </c>
      <c r="J116" s="48">
        <v>3</v>
      </c>
      <c r="K116" s="48">
        <v>1</v>
      </c>
      <c r="N116" s="48">
        <v>0</v>
      </c>
      <c r="R116" s="49"/>
      <c r="S116" s="49"/>
      <c r="T116" s="49">
        <v>46022</v>
      </c>
      <c r="U116" s="49">
        <v>46022</v>
      </c>
      <c r="V116" s="49">
        <v>46022</v>
      </c>
      <c r="W116" s="49">
        <v>46022</v>
      </c>
      <c r="X116" s="48">
        <v>1</v>
      </c>
      <c r="Y116" s="48">
        <v>1</v>
      </c>
      <c r="Z116" s="48">
        <v>1</v>
      </c>
      <c r="AA116" s="156">
        <v>26803.587027067224</v>
      </c>
      <c r="AF116" s="48">
        <v>0</v>
      </c>
      <c r="AG116" s="49" t="s">
        <v>32</v>
      </c>
      <c r="AH116" s="48">
        <v>1</v>
      </c>
      <c r="AI116" s="48" t="s">
        <v>33</v>
      </c>
      <c r="AJ116" s="48" t="s">
        <v>33</v>
      </c>
      <c r="AK116" s="48" t="s">
        <v>33</v>
      </c>
      <c r="AL116" s="48" t="s">
        <v>34</v>
      </c>
      <c r="AN116" s="48">
        <v>0</v>
      </c>
      <c r="AO116" s="48">
        <v>0</v>
      </c>
      <c r="AP116" s="48">
        <v>0</v>
      </c>
      <c r="AQ116" s="48">
        <v>0</v>
      </c>
      <c r="AR116" s="48">
        <v>0</v>
      </c>
      <c r="AS116" s="48">
        <v>0</v>
      </c>
      <c r="AT116" s="48">
        <v>0</v>
      </c>
      <c r="AU116" s="48">
        <v>0</v>
      </c>
      <c r="AV116" s="48">
        <v>0</v>
      </c>
      <c r="AW116" s="48">
        <v>0</v>
      </c>
      <c r="AX116" s="48">
        <v>0</v>
      </c>
      <c r="AY116" s="48">
        <v>0</v>
      </c>
      <c r="AZ116" s="48">
        <v>0</v>
      </c>
      <c r="BA116" s="48">
        <v>0</v>
      </c>
      <c r="BB116" s="48">
        <v>0</v>
      </c>
    </row>
    <row r="117" spans="1:54" x14ac:dyDescent="0.35">
      <c r="A117" s="49">
        <v>45930</v>
      </c>
      <c r="B117" s="48">
        <v>1</v>
      </c>
      <c r="C117" s="50" t="s">
        <v>32</v>
      </c>
      <c r="D117" s="48" t="s">
        <v>31</v>
      </c>
      <c r="E117" s="48" t="s">
        <v>138</v>
      </c>
      <c r="F117" s="48" t="s">
        <v>139</v>
      </c>
      <c r="G117" s="49" t="s">
        <v>59</v>
      </c>
      <c r="H117" s="48" t="s">
        <v>159</v>
      </c>
      <c r="I117" s="48">
        <v>1</v>
      </c>
      <c r="J117" s="48">
        <v>4</v>
      </c>
      <c r="K117" s="48">
        <v>1</v>
      </c>
      <c r="N117" s="48">
        <v>0</v>
      </c>
      <c r="R117" s="49"/>
      <c r="S117" s="49"/>
      <c r="T117" s="49">
        <v>46053</v>
      </c>
      <c r="U117" s="49">
        <v>46053</v>
      </c>
      <c r="V117" s="49">
        <v>46053</v>
      </c>
      <c r="W117" s="49">
        <v>46053</v>
      </c>
      <c r="X117" s="48">
        <v>1</v>
      </c>
      <c r="Y117" s="48">
        <v>1</v>
      </c>
      <c r="Z117" s="48">
        <v>1</v>
      </c>
      <c r="AA117" s="156">
        <v>26803.587027067224</v>
      </c>
      <c r="AF117" s="48">
        <v>0</v>
      </c>
      <c r="AG117" s="49" t="s">
        <v>32</v>
      </c>
      <c r="AH117" s="48">
        <v>1</v>
      </c>
      <c r="AI117" s="48" t="s">
        <v>33</v>
      </c>
      <c r="AJ117" s="48" t="s">
        <v>33</v>
      </c>
      <c r="AK117" s="48" t="s">
        <v>33</v>
      </c>
      <c r="AL117" s="48" t="s">
        <v>34</v>
      </c>
      <c r="AN117" s="48">
        <v>0</v>
      </c>
      <c r="AO117" s="48">
        <v>0</v>
      </c>
      <c r="AP117" s="48">
        <v>0</v>
      </c>
      <c r="AQ117" s="48">
        <v>0</v>
      </c>
      <c r="AR117" s="48">
        <v>0</v>
      </c>
      <c r="AS117" s="48">
        <v>0</v>
      </c>
      <c r="AT117" s="48">
        <v>0</v>
      </c>
      <c r="AU117" s="48">
        <v>0</v>
      </c>
      <c r="AV117" s="48">
        <v>0</v>
      </c>
      <c r="AW117" s="48">
        <v>0</v>
      </c>
      <c r="AX117" s="48">
        <v>0</v>
      </c>
      <c r="AY117" s="48">
        <v>0</v>
      </c>
      <c r="AZ117" s="48">
        <v>0</v>
      </c>
      <c r="BA117" s="48">
        <v>0</v>
      </c>
      <c r="BB117" s="48">
        <v>0</v>
      </c>
    </row>
    <row r="118" spans="1:54" x14ac:dyDescent="0.35">
      <c r="A118" s="49">
        <v>45930</v>
      </c>
      <c r="B118" s="48">
        <v>1</v>
      </c>
      <c r="C118" s="50" t="s">
        <v>32</v>
      </c>
      <c r="D118" s="48" t="s">
        <v>31</v>
      </c>
      <c r="E118" s="48" t="s">
        <v>138</v>
      </c>
      <c r="F118" s="48" t="s">
        <v>139</v>
      </c>
      <c r="G118" s="49" t="s">
        <v>59</v>
      </c>
      <c r="H118" s="48" t="s">
        <v>159</v>
      </c>
      <c r="I118" s="48">
        <v>1</v>
      </c>
      <c r="J118" s="48">
        <v>5</v>
      </c>
      <c r="K118" s="48">
        <v>1</v>
      </c>
      <c r="N118" s="48">
        <v>0</v>
      </c>
      <c r="R118" s="49"/>
      <c r="S118" s="49"/>
      <c r="T118" s="49">
        <v>46081</v>
      </c>
      <c r="U118" s="49">
        <v>46081</v>
      </c>
      <c r="V118" s="49">
        <v>46081</v>
      </c>
      <c r="W118" s="49">
        <v>46081</v>
      </c>
      <c r="X118" s="48">
        <v>1</v>
      </c>
      <c r="Y118" s="48">
        <v>1</v>
      </c>
      <c r="Z118" s="48">
        <v>1</v>
      </c>
      <c r="AA118" s="156">
        <v>26803.587027067224</v>
      </c>
      <c r="AF118" s="48">
        <v>0</v>
      </c>
      <c r="AG118" s="49" t="s">
        <v>32</v>
      </c>
      <c r="AH118" s="48">
        <v>1</v>
      </c>
      <c r="AI118" s="48" t="s">
        <v>33</v>
      </c>
      <c r="AJ118" s="48" t="s">
        <v>33</v>
      </c>
      <c r="AK118" s="48" t="s">
        <v>33</v>
      </c>
      <c r="AL118" s="48" t="s">
        <v>34</v>
      </c>
      <c r="AN118" s="48">
        <v>0</v>
      </c>
      <c r="AO118" s="48">
        <v>0</v>
      </c>
      <c r="AP118" s="48">
        <v>0</v>
      </c>
      <c r="AQ118" s="48">
        <v>0</v>
      </c>
      <c r="AR118" s="48">
        <v>0</v>
      </c>
      <c r="AS118" s="48">
        <v>0</v>
      </c>
      <c r="AT118" s="48">
        <v>0</v>
      </c>
      <c r="AU118" s="48">
        <v>0</v>
      </c>
      <c r="AV118" s="48">
        <v>0</v>
      </c>
      <c r="AW118" s="48">
        <v>0</v>
      </c>
      <c r="AX118" s="48">
        <v>0</v>
      </c>
      <c r="AY118" s="48">
        <v>0</v>
      </c>
      <c r="AZ118" s="48">
        <v>0</v>
      </c>
      <c r="BA118" s="48">
        <v>0</v>
      </c>
      <c r="BB118" s="48">
        <v>0</v>
      </c>
    </row>
    <row r="119" spans="1:54" x14ac:dyDescent="0.35">
      <c r="A119" s="49">
        <v>45930</v>
      </c>
      <c r="B119" s="48">
        <v>1</v>
      </c>
      <c r="C119" s="50" t="s">
        <v>32</v>
      </c>
      <c r="D119" s="48" t="s">
        <v>31</v>
      </c>
      <c r="E119" s="48" t="s">
        <v>138</v>
      </c>
      <c r="F119" s="48" t="s">
        <v>139</v>
      </c>
      <c r="G119" s="49" t="s">
        <v>59</v>
      </c>
      <c r="H119" s="48" t="s">
        <v>159</v>
      </c>
      <c r="I119" s="48">
        <v>1</v>
      </c>
      <c r="J119" s="48">
        <v>6</v>
      </c>
      <c r="K119" s="48">
        <v>1</v>
      </c>
      <c r="N119" s="48">
        <v>0</v>
      </c>
      <c r="R119" s="49"/>
      <c r="S119" s="49"/>
      <c r="T119" s="49">
        <v>46112</v>
      </c>
      <c r="U119" s="49">
        <v>46112</v>
      </c>
      <c r="V119" s="49">
        <v>46112</v>
      </c>
      <c r="W119" s="49">
        <v>46112</v>
      </c>
      <c r="X119" s="48">
        <v>1</v>
      </c>
      <c r="Y119" s="48">
        <v>1</v>
      </c>
      <c r="Z119" s="48">
        <v>1</v>
      </c>
      <c r="AA119" s="156">
        <v>26803.587027067224</v>
      </c>
      <c r="AF119" s="48">
        <v>0</v>
      </c>
      <c r="AG119" s="49" t="s">
        <v>32</v>
      </c>
      <c r="AH119" s="48">
        <v>1</v>
      </c>
      <c r="AI119" s="48" t="s">
        <v>33</v>
      </c>
      <c r="AJ119" s="48" t="s">
        <v>33</v>
      </c>
      <c r="AK119" s="48" t="s">
        <v>33</v>
      </c>
      <c r="AL119" s="48" t="s">
        <v>34</v>
      </c>
      <c r="AN119" s="48">
        <v>0</v>
      </c>
      <c r="AO119" s="48">
        <v>0</v>
      </c>
      <c r="AP119" s="48">
        <v>0</v>
      </c>
      <c r="AQ119" s="48">
        <v>0</v>
      </c>
      <c r="AR119" s="48">
        <v>0</v>
      </c>
      <c r="AS119" s="48">
        <v>0</v>
      </c>
      <c r="AT119" s="48">
        <v>0</v>
      </c>
      <c r="AU119" s="48">
        <v>0</v>
      </c>
      <c r="AV119" s="48">
        <v>0</v>
      </c>
      <c r="AW119" s="48">
        <v>0</v>
      </c>
      <c r="AX119" s="48">
        <v>0</v>
      </c>
      <c r="AY119" s="48">
        <v>0</v>
      </c>
      <c r="AZ119" s="48">
        <v>0</v>
      </c>
      <c r="BA119" s="48">
        <v>0</v>
      </c>
      <c r="BB119" s="48">
        <v>0</v>
      </c>
    </row>
    <row r="120" spans="1:54" x14ac:dyDescent="0.35">
      <c r="A120" s="49">
        <v>45930</v>
      </c>
      <c r="B120" s="48">
        <v>1</v>
      </c>
      <c r="C120" s="50" t="s">
        <v>32</v>
      </c>
      <c r="D120" s="48" t="s">
        <v>31</v>
      </c>
      <c r="E120" s="48" t="s">
        <v>138</v>
      </c>
      <c r="F120" s="48" t="s">
        <v>139</v>
      </c>
      <c r="G120" s="49" t="s">
        <v>59</v>
      </c>
      <c r="H120" s="48" t="s">
        <v>159</v>
      </c>
      <c r="I120" s="48">
        <v>1</v>
      </c>
      <c r="J120" s="48">
        <v>7</v>
      </c>
      <c r="K120" s="48">
        <v>1</v>
      </c>
      <c r="N120" s="48">
        <v>0</v>
      </c>
      <c r="R120" s="49"/>
      <c r="S120" s="49"/>
      <c r="T120" s="49">
        <v>46142</v>
      </c>
      <c r="U120" s="49">
        <v>46142</v>
      </c>
      <c r="V120" s="49">
        <v>46142</v>
      </c>
      <c r="W120" s="49">
        <v>46142</v>
      </c>
      <c r="X120" s="48">
        <v>1</v>
      </c>
      <c r="Y120" s="48">
        <v>1</v>
      </c>
      <c r="Z120" s="48">
        <v>1</v>
      </c>
      <c r="AA120" s="156">
        <v>26803.587027067224</v>
      </c>
      <c r="AF120" s="48">
        <v>0</v>
      </c>
      <c r="AG120" s="49" t="s">
        <v>32</v>
      </c>
      <c r="AH120" s="48">
        <v>1</v>
      </c>
      <c r="AI120" s="48" t="s">
        <v>33</v>
      </c>
      <c r="AJ120" s="48" t="s">
        <v>33</v>
      </c>
      <c r="AK120" s="48" t="s">
        <v>33</v>
      </c>
      <c r="AL120" s="48" t="s">
        <v>34</v>
      </c>
      <c r="AN120" s="48">
        <v>0</v>
      </c>
      <c r="AO120" s="48">
        <v>0</v>
      </c>
      <c r="AP120" s="48">
        <v>0</v>
      </c>
      <c r="AQ120" s="48">
        <v>0</v>
      </c>
      <c r="AR120" s="48">
        <v>0</v>
      </c>
      <c r="AS120" s="48">
        <v>0</v>
      </c>
      <c r="AT120" s="48">
        <v>0</v>
      </c>
      <c r="AU120" s="48">
        <v>0</v>
      </c>
      <c r="AV120" s="48">
        <v>0</v>
      </c>
      <c r="AW120" s="48">
        <v>0</v>
      </c>
      <c r="AX120" s="48">
        <v>0</v>
      </c>
      <c r="AY120" s="48">
        <v>0</v>
      </c>
      <c r="AZ120" s="48">
        <v>0</v>
      </c>
      <c r="BA120" s="48">
        <v>0</v>
      </c>
      <c r="BB120" s="48">
        <v>0</v>
      </c>
    </row>
    <row r="121" spans="1:54" x14ac:dyDescent="0.35">
      <c r="A121" s="49">
        <v>45930</v>
      </c>
      <c r="B121" s="48">
        <v>1</v>
      </c>
      <c r="C121" s="50" t="s">
        <v>32</v>
      </c>
      <c r="D121" s="48" t="s">
        <v>31</v>
      </c>
      <c r="E121" s="48" t="s">
        <v>138</v>
      </c>
      <c r="F121" s="48" t="s">
        <v>139</v>
      </c>
      <c r="G121" s="49" t="s">
        <v>59</v>
      </c>
      <c r="H121" s="48" t="s">
        <v>159</v>
      </c>
      <c r="I121" s="48">
        <v>1</v>
      </c>
      <c r="J121" s="48">
        <v>8</v>
      </c>
      <c r="K121" s="48">
        <v>1</v>
      </c>
      <c r="N121" s="48">
        <v>0</v>
      </c>
      <c r="R121" s="49"/>
      <c r="S121" s="49"/>
      <c r="T121" s="49">
        <v>46173</v>
      </c>
      <c r="U121" s="49">
        <v>46173</v>
      </c>
      <c r="V121" s="49">
        <v>46173</v>
      </c>
      <c r="W121" s="49">
        <v>46173</v>
      </c>
      <c r="X121" s="48">
        <v>1</v>
      </c>
      <c r="Y121" s="48">
        <v>1</v>
      </c>
      <c r="Z121" s="48">
        <v>1</v>
      </c>
      <c r="AA121" s="156">
        <v>26803.587027067224</v>
      </c>
      <c r="AF121" s="48">
        <v>0</v>
      </c>
      <c r="AG121" s="49" t="s">
        <v>32</v>
      </c>
      <c r="AH121" s="48">
        <v>1</v>
      </c>
      <c r="AI121" s="48" t="s">
        <v>33</v>
      </c>
      <c r="AJ121" s="48" t="s">
        <v>33</v>
      </c>
      <c r="AK121" s="48" t="s">
        <v>33</v>
      </c>
      <c r="AL121" s="48" t="s">
        <v>34</v>
      </c>
      <c r="AN121" s="48">
        <v>0</v>
      </c>
      <c r="AO121" s="48">
        <v>0</v>
      </c>
      <c r="AP121" s="48">
        <v>0</v>
      </c>
      <c r="AQ121" s="48">
        <v>0</v>
      </c>
      <c r="AR121" s="48">
        <v>0</v>
      </c>
      <c r="AS121" s="48">
        <v>0</v>
      </c>
      <c r="AT121" s="48">
        <v>0</v>
      </c>
      <c r="AU121" s="48">
        <v>0</v>
      </c>
      <c r="AV121" s="48">
        <v>0</v>
      </c>
      <c r="AW121" s="48">
        <v>0</v>
      </c>
      <c r="AX121" s="48">
        <v>0</v>
      </c>
      <c r="AY121" s="48">
        <v>0</v>
      </c>
      <c r="AZ121" s="48">
        <v>0</v>
      </c>
      <c r="BA121" s="48">
        <v>0</v>
      </c>
      <c r="BB121" s="48">
        <v>0</v>
      </c>
    </row>
    <row r="122" spans="1:54" x14ac:dyDescent="0.35">
      <c r="A122" s="49">
        <v>45930</v>
      </c>
      <c r="B122" s="48">
        <v>1</v>
      </c>
      <c r="C122" s="50" t="s">
        <v>32</v>
      </c>
      <c r="D122" s="48" t="s">
        <v>31</v>
      </c>
      <c r="E122" s="48" t="s">
        <v>138</v>
      </c>
      <c r="F122" s="48" t="s">
        <v>139</v>
      </c>
      <c r="G122" s="49" t="s">
        <v>59</v>
      </c>
      <c r="H122" s="48" t="s">
        <v>159</v>
      </c>
      <c r="I122" s="48">
        <v>1</v>
      </c>
      <c r="J122" s="48">
        <v>9</v>
      </c>
      <c r="K122" s="48">
        <v>1</v>
      </c>
      <c r="N122" s="48">
        <v>0</v>
      </c>
      <c r="R122" s="49"/>
      <c r="S122" s="49"/>
      <c r="T122" s="49">
        <v>46203</v>
      </c>
      <c r="U122" s="49">
        <v>46203</v>
      </c>
      <c r="V122" s="49">
        <v>46203</v>
      </c>
      <c r="W122" s="49">
        <v>46203</v>
      </c>
      <c r="X122" s="48">
        <v>1</v>
      </c>
      <c r="Y122" s="48">
        <v>1</v>
      </c>
      <c r="Z122" s="48">
        <v>1</v>
      </c>
      <c r="AA122" s="156">
        <v>26803.587027067224</v>
      </c>
      <c r="AF122" s="48">
        <v>0</v>
      </c>
      <c r="AG122" s="49" t="s">
        <v>32</v>
      </c>
      <c r="AH122" s="48">
        <v>1</v>
      </c>
      <c r="AI122" s="48" t="s">
        <v>33</v>
      </c>
      <c r="AJ122" s="48" t="s">
        <v>33</v>
      </c>
      <c r="AK122" s="48" t="s">
        <v>33</v>
      </c>
      <c r="AL122" s="48" t="s">
        <v>34</v>
      </c>
      <c r="AN122" s="48">
        <v>0</v>
      </c>
      <c r="AO122" s="48">
        <v>0</v>
      </c>
      <c r="AP122" s="48">
        <v>0</v>
      </c>
      <c r="AQ122" s="48">
        <v>0</v>
      </c>
      <c r="AR122" s="48">
        <v>0</v>
      </c>
      <c r="AS122" s="48">
        <v>0</v>
      </c>
      <c r="AT122" s="48">
        <v>0</v>
      </c>
      <c r="AU122" s="48">
        <v>0</v>
      </c>
      <c r="AV122" s="48">
        <v>0</v>
      </c>
      <c r="AW122" s="48">
        <v>0</v>
      </c>
      <c r="AX122" s="48">
        <v>0</v>
      </c>
      <c r="AY122" s="48">
        <v>0</v>
      </c>
      <c r="AZ122" s="48">
        <v>0</v>
      </c>
      <c r="BA122" s="48">
        <v>0</v>
      </c>
      <c r="BB122" s="48">
        <v>0</v>
      </c>
    </row>
    <row r="123" spans="1:54" x14ac:dyDescent="0.35">
      <c r="A123" s="49">
        <v>45930</v>
      </c>
      <c r="B123" s="48">
        <v>1</v>
      </c>
      <c r="C123" s="50" t="s">
        <v>32</v>
      </c>
      <c r="D123" s="48" t="s">
        <v>31</v>
      </c>
      <c r="E123" s="48" t="s">
        <v>138</v>
      </c>
      <c r="F123" s="48" t="s">
        <v>139</v>
      </c>
      <c r="G123" s="49" t="s">
        <v>59</v>
      </c>
      <c r="H123" s="48" t="s">
        <v>159</v>
      </c>
      <c r="I123" s="48">
        <v>1</v>
      </c>
      <c r="J123" s="48">
        <v>10</v>
      </c>
      <c r="K123" s="48">
        <v>1</v>
      </c>
      <c r="N123" s="48">
        <v>0</v>
      </c>
      <c r="R123" s="49"/>
      <c r="S123" s="49"/>
      <c r="T123" s="49">
        <v>46234</v>
      </c>
      <c r="U123" s="49">
        <v>46234</v>
      </c>
      <c r="V123" s="49">
        <v>46234</v>
      </c>
      <c r="W123" s="49">
        <v>46234</v>
      </c>
      <c r="X123" s="48">
        <v>1</v>
      </c>
      <c r="Y123" s="48">
        <v>1</v>
      </c>
      <c r="Z123" s="48">
        <v>1</v>
      </c>
      <c r="AA123" s="156">
        <v>26803.587027067224</v>
      </c>
      <c r="AF123" s="48">
        <v>0</v>
      </c>
      <c r="AG123" s="49" t="s">
        <v>32</v>
      </c>
      <c r="AH123" s="48">
        <v>1</v>
      </c>
      <c r="AI123" s="48" t="s">
        <v>33</v>
      </c>
      <c r="AJ123" s="48" t="s">
        <v>33</v>
      </c>
      <c r="AK123" s="48" t="s">
        <v>33</v>
      </c>
      <c r="AL123" s="48" t="s">
        <v>34</v>
      </c>
      <c r="AN123" s="48">
        <v>0</v>
      </c>
      <c r="AO123" s="48">
        <v>0</v>
      </c>
      <c r="AP123" s="48">
        <v>0</v>
      </c>
      <c r="AQ123" s="48">
        <v>0</v>
      </c>
      <c r="AR123" s="48">
        <v>0</v>
      </c>
      <c r="AS123" s="48">
        <v>0</v>
      </c>
      <c r="AT123" s="48">
        <v>0</v>
      </c>
      <c r="AU123" s="48">
        <v>0</v>
      </c>
      <c r="AV123" s="48">
        <v>0</v>
      </c>
      <c r="AW123" s="48">
        <v>0</v>
      </c>
      <c r="AX123" s="48">
        <v>0</v>
      </c>
      <c r="AY123" s="48">
        <v>0</v>
      </c>
      <c r="AZ123" s="48">
        <v>0</v>
      </c>
      <c r="BA123" s="48">
        <v>0</v>
      </c>
      <c r="BB123" s="48">
        <v>0</v>
      </c>
    </row>
    <row r="124" spans="1:54" x14ac:dyDescent="0.35">
      <c r="A124" s="49">
        <v>45930</v>
      </c>
      <c r="B124" s="48">
        <v>1</v>
      </c>
      <c r="C124" s="50" t="s">
        <v>32</v>
      </c>
      <c r="D124" s="48" t="s">
        <v>31</v>
      </c>
      <c r="E124" s="48" t="s">
        <v>138</v>
      </c>
      <c r="F124" s="48" t="s">
        <v>139</v>
      </c>
      <c r="G124" s="49" t="s">
        <v>59</v>
      </c>
      <c r="H124" s="48" t="s">
        <v>159</v>
      </c>
      <c r="I124" s="48">
        <v>1</v>
      </c>
      <c r="J124" s="48">
        <v>11</v>
      </c>
      <c r="K124" s="48">
        <v>1</v>
      </c>
      <c r="N124" s="48">
        <v>0</v>
      </c>
      <c r="R124" s="49"/>
      <c r="S124" s="49"/>
      <c r="T124" s="49">
        <v>46265</v>
      </c>
      <c r="U124" s="49">
        <v>46265</v>
      </c>
      <c r="V124" s="49">
        <v>46265</v>
      </c>
      <c r="W124" s="49">
        <v>46265</v>
      </c>
      <c r="X124" s="48">
        <v>1</v>
      </c>
      <c r="Y124" s="48">
        <v>1</v>
      </c>
      <c r="Z124" s="48">
        <v>1</v>
      </c>
      <c r="AA124" s="156">
        <v>26803.587027067224</v>
      </c>
      <c r="AF124" s="48">
        <v>0</v>
      </c>
      <c r="AG124" s="49" t="s">
        <v>32</v>
      </c>
      <c r="AH124" s="48">
        <v>1</v>
      </c>
      <c r="AI124" s="48" t="s">
        <v>33</v>
      </c>
      <c r="AJ124" s="48" t="s">
        <v>33</v>
      </c>
      <c r="AK124" s="48" t="s">
        <v>33</v>
      </c>
      <c r="AL124" s="48" t="s">
        <v>34</v>
      </c>
      <c r="AN124" s="48">
        <v>0</v>
      </c>
      <c r="AO124" s="48">
        <v>0</v>
      </c>
      <c r="AP124" s="48">
        <v>0</v>
      </c>
      <c r="AQ124" s="48">
        <v>0</v>
      </c>
      <c r="AR124" s="48">
        <v>0</v>
      </c>
      <c r="AS124" s="48">
        <v>0</v>
      </c>
      <c r="AT124" s="48">
        <v>0</v>
      </c>
      <c r="AU124" s="48">
        <v>0</v>
      </c>
      <c r="AV124" s="48">
        <v>0</v>
      </c>
      <c r="AW124" s="48">
        <v>0</v>
      </c>
      <c r="AX124" s="48">
        <v>0</v>
      </c>
      <c r="AY124" s="48">
        <v>0</v>
      </c>
      <c r="AZ124" s="48">
        <v>0</v>
      </c>
      <c r="BA124" s="48">
        <v>0</v>
      </c>
      <c r="BB124" s="48">
        <v>0</v>
      </c>
    </row>
    <row r="125" spans="1:54" x14ac:dyDescent="0.35">
      <c r="A125" s="49">
        <v>45930</v>
      </c>
      <c r="B125" s="48">
        <v>1</v>
      </c>
      <c r="C125" s="50" t="s">
        <v>32</v>
      </c>
      <c r="D125" s="48" t="s">
        <v>31</v>
      </c>
      <c r="E125" s="48" t="s">
        <v>138</v>
      </c>
      <c r="F125" s="48" t="s">
        <v>139</v>
      </c>
      <c r="G125" s="49" t="s">
        <v>59</v>
      </c>
      <c r="H125" s="48" t="s">
        <v>159</v>
      </c>
      <c r="I125" s="48">
        <v>1</v>
      </c>
      <c r="J125" s="48">
        <v>12</v>
      </c>
      <c r="K125" s="48">
        <v>1</v>
      </c>
      <c r="N125" s="48">
        <v>0</v>
      </c>
      <c r="R125" s="49"/>
      <c r="S125" s="49"/>
      <c r="T125" s="49">
        <v>46295</v>
      </c>
      <c r="U125" s="49">
        <v>46295</v>
      </c>
      <c r="V125" s="49">
        <v>46295</v>
      </c>
      <c r="W125" s="49">
        <v>46295</v>
      </c>
      <c r="X125" s="48">
        <v>1</v>
      </c>
      <c r="Y125" s="48">
        <v>1</v>
      </c>
      <c r="Z125" s="48">
        <v>1</v>
      </c>
      <c r="AA125" s="156">
        <v>26803.587027067224</v>
      </c>
      <c r="AF125" s="48">
        <v>0</v>
      </c>
      <c r="AG125" s="49" t="s">
        <v>32</v>
      </c>
      <c r="AH125" s="48">
        <v>1</v>
      </c>
      <c r="AI125" s="48" t="s">
        <v>33</v>
      </c>
      <c r="AJ125" s="48" t="s">
        <v>33</v>
      </c>
      <c r="AK125" s="48" t="s">
        <v>33</v>
      </c>
      <c r="AL125" s="48" t="s">
        <v>34</v>
      </c>
      <c r="AN125" s="48">
        <v>0</v>
      </c>
      <c r="AO125" s="48">
        <v>0</v>
      </c>
      <c r="AP125" s="48">
        <v>0</v>
      </c>
      <c r="AQ125" s="48">
        <v>0</v>
      </c>
      <c r="AR125" s="48">
        <v>0</v>
      </c>
      <c r="AS125" s="48">
        <v>0</v>
      </c>
      <c r="AT125" s="48">
        <v>0</v>
      </c>
      <c r="AU125" s="48">
        <v>0</v>
      </c>
      <c r="AV125" s="48">
        <v>0</v>
      </c>
      <c r="AW125" s="48">
        <v>0</v>
      </c>
      <c r="AX125" s="48">
        <v>0</v>
      </c>
      <c r="AY125" s="48">
        <v>0</v>
      </c>
      <c r="AZ125" s="48">
        <v>0</v>
      </c>
      <c r="BA125" s="48">
        <v>0</v>
      </c>
      <c r="BB125" s="48">
        <v>0</v>
      </c>
    </row>
    <row r="126" spans="1:54" x14ac:dyDescent="0.35">
      <c r="A126" s="49">
        <v>45930</v>
      </c>
      <c r="B126" s="48">
        <v>1</v>
      </c>
      <c r="C126" s="50" t="s">
        <v>32</v>
      </c>
      <c r="D126" s="48" t="s">
        <v>31</v>
      </c>
      <c r="E126" s="48" t="s">
        <v>138</v>
      </c>
      <c r="F126" s="48" t="s">
        <v>139</v>
      </c>
      <c r="G126" s="49" t="s">
        <v>59</v>
      </c>
      <c r="H126" s="48" t="s">
        <v>159</v>
      </c>
      <c r="I126" s="48">
        <v>1</v>
      </c>
      <c r="J126" s="48">
        <v>13</v>
      </c>
      <c r="K126" s="48">
        <v>1</v>
      </c>
      <c r="N126" s="48">
        <v>0</v>
      </c>
      <c r="R126" s="49"/>
      <c r="S126" s="49"/>
      <c r="T126" s="49">
        <v>46326</v>
      </c>
      <c r="U126" s="49">
        <v>46326</v>
      </c>
      <c r="V126" s="49">
        <v>46326</v>
      </c>
      <c r="W126" s="49">
        <v>46326</v>
      </c>
      <c r="X126" s="48">
        <v>1</v>
      </c>
      <c r="Y126" s="48">
        <v>1</v>
      </c>
      <c r="Z126" s="48">
        <v>1</v>
      </c>
      <c r="AA126" s="156">
        <v>26803.587027067224</v>
      </c>
      <c r="AF126" s="48">
        <v>0</v>
      </c>
      <c r="AG126" s="49" t="s">
        <v>32</v>
      </c>
      <c r="AH126" s="48">
        <v>1</v>
      </c>
      <c r="AI126" s="48" t="s">
        <v>33</v>
      </c>
      <c r="AJ126" s="48" t="s">
        <v>33</v>
      </c>
      <c r="AK126" s="48" t="s">
        <v>33</v>
      </c>
      <c r="AL126" s="48" t="s">
        <v>34</v>
      </c>
      <c r="AN126" s="48">
        <v>0</v>
      </c>
      <c r="AO126" s="48">
        <v>0</v>
      </c>
      <c r="AP126" s="48">
        <v>0</v>
      </c>
      <c r="AQ126" s="48">
        <v>0</v>
      </c>
      <c r="AR126" s="48">
        <v>0</v>
      </c>
      <c r="AS126" s="48">
        <v>0</v>
      </c>
      <c r="AT126" s="48">
        <v>0</v>
      </c>
      <c r="AU126" s="48">
        <v>0</v>
      </c>
      <c r="AV126" s="48">
        <v>0</v>
      </c>
      <c r="AW126" s="48">
        <v>0</v>
      </c>
      <c r="AX126" s="48">
        <v>0</v>
      </c>
      <c r="AY126" s="48">
        <v>0</v>
      </c>
      <c r="AZ126" s="48">
        <v>0</v>
      </c>
      <c r="BA126" s="48">
        <v>0</v>
      </c>
      <c r="BB126" s="48">
        <v>0</v>
      </c>
    </row>
    <row r="127" spans="1:54" x14ac:dyDescent="0.35">
      <c r="A127" s="49">
        <v>45930</v>
      </c>
      <c r="B127" s="48">
        <v>1</v>
      </c>
      <c r="C127" s="50" t="s">
        <v>32</v>
      </c>
      <c r="D127" s="48" t="s">
        <v>31</v>
      </c>
      <c r="E127" s="48" t="s">
        <v>138</v>
      </c>
      <c r="F127" s="48" t="s">
        <v>139</v>
      </c>
      <c r="G127" s="49" t="s">
        <v>59</v>
      </c>
      <c r="H127" s="48" t="s">
        <v>159</v>
      </c>
      <c r="I127" s="48">
        <v>1</v>
      </c>
      <c r="J127" s="48">
        <v>14</v>
      </c>
      <c r="K127" s="48">
        <v>1</v>
      </c>
      <c r="N127" s="48">
        <v>0</v>
      </c>
      <c r="R127" s="49"/>
      <c r="S127" s="49"/>
      <c r="T127" s="49">
        <v>46356</v>
      </c>
      <c r="U127" s="49">
        <v>46356</v>
      </c>
      <c r="V127" s="49">
        <v>46356</v>
      </c>
      <c r="W127" s="49">
        <v>46356</v>
      </c>
      <c r="X127" s="48">
        <v>1</v>
      </c>
      <c r="Y127" s="48">
        <v>1</v>
      </c>
      <c r="Z127" s="48">
        <v>1</v>
      </c>
      <c r="AA127" s="156">
        <v>26803.587027067224</v>
      </c>
      <c r="AF127" s="48">
        <v>0</v>
      </c>
      <c r="AG127" s="49" t="s">
        <v>32</v>
      </c>
      <c r="AH127" s="48">
        <v>1</v>
      </c>
      <c r="AI127" s="48" t="s">
        <v>33</v>
      </c>
      <c r="AJ127" s="48" t="s">
        <v>33</v>
      </c>
      <c r="AK127" s="48" t="s">
        <v>33</v>
      </c>
      <c r="AL127" s="48" t="s">
        <v>34</v>
      </c>
      <c r="AN127" s="48">
        <v>0</v>
      </c>
      <c r="AO127" s="48">
        <v>0</v>
      </c>
      <c r="AP127" s="48">
        <v>0</v>
      </c>
      <c r="AQ127" s="48">
        <v>0</v>
      </c>
      <c r="AR127" s="48">
        <v>0</v>
      </c>
      <c r="AS127" s="48">
        <v>0</v>
      </c>
      <c r="AT127" s="48">
        <v>0</v>
      </c>
      <c r="AU127" s="48">
        <v>0</v>
      </c>
      <c r="AV127" s="48">
        <v>0</v>
      </c>
      <c r="AW127" s="48">
        <v>0</v>
      </c>
      <c r="AX127" s="48">
        <v>0</v>
      </c>
      <c r="AY127" s="48">
        <v>0</v>
      </c>
      <c r="AZ127" s="48">
        <v>0</v>
      </c>
      <c r="BA127" s="48">
        <v>0</v>
      </c>
      <c r="BB127" s="48">
        <v>0</v>
      </c>
    </row>
    <row r="128" spans="1:54" x14ac:dyDescent="0.35">
      <c r="A128" s="49">
        <v>45930</v>
      </c>
      <c r="B128" s="48">
        <v>1</v>
      </c>
      <c r="C128" s="50" t="s">
        <v>32</v>
      </c>
      <c r="D128" s="48" t="s">
        <v>31</v>
      </c>
      <c r="E128" s="48" t="s">
        <v>138</v>
      </c>
      <c r="F128" s="48" t="s">
        <v>139</v>
      </c>
      <c r="G128" s="49" t="s">
        <v>59</v>
      </c>
      <c r="H128" s="48" t="s">
        <v>159</v>
      </c>
      <c r="I128" s="48">
        <v>1</v>
      </c>
      <c r="J128" s="48">
        <v>15</v>
      </c>
      <c r="K128" s="48">
        <v>1</v>
      </c>
      <c r="N128" s="48">
        <v>0</v>
      </c>
      <c r="R128" s="49"/>
      <c r="S128" s="49"/>
      <c r="T128" s="49">
        <v>46387</v>
      </c>
      <c r="U128" s="49">
        <v>46387</v>
      </c>
      <c r="V128" s="49">
        <v>46387</v>
      </c>
      <c r="W128" s="49">
        <v>46387</v>
      </c>
      <c r="X128" s="48">
        <v>1</v>
      </c>
      <c r="Y128" s="48">
        <v>1</v>
      </c>
      <c r="Z128" s="48">
        <v>1</v>
      </c>
      <c r="AA128" s="156">
        <v>26803.587027067224</v>
      </c>
      <c r="AF128" s="48">
        <v>0</v>
      </c>
      <c r="AG128" s="49" t="s">
        <v>32</v>
      </c>
      <c r="AH128" s="48">
        <v>1</v>
      </c>
      <c r="AI128" s="48" t="s">
        <v>33</v>
      </c>
      <c r="AJ128" s="48" t="s">
        <v>33</v>
      </c>
      <c r="AK128" s="48" t="s">
        <v>33</v>
      </c>
      <c r="AL128" s="48" t="s">
        <v>34</v>
      </c>
      <c r="AN128" s="48">
        <v>0</v>
      </c>
      <c r="AO128" s="48">
        <v>0</v>
      </c>
      <c r="AP128" s="48">
        <v>0</v>
      </c>
      <c r="AQ128" s="48">
        <v>0</v>
      </c>
      <c r="AR128" s="48">
        <v>0</v>
      </c>
      <c r="AS128" s="48">
        <v>0</v>
      </c>
      <c r="AT128" s="48">
        <v>0</v>
      </c>
      <c r="AU128" s="48">
        <v>0</v>
      </c>
      <c r="AV128" s="48">
        <v>0</v>
      </c>
      <c r="AW128" s="48">
        <v>0</v>
      </c>
      <c r="AX128" s="48">
        <v>0</v>
      </c>
      <c r="AY128" s="48">
        <v>0</v>
      </c>
      <c r="AZ128" s="48">
        <v>0</v>
      </c>
      <c r="BA128" s="48">
        <v>0</v>
      </c>
      <c r="BB128" s="48">
        <v>0</v>
      </c>
    </row>
    <row r="129" spans="1:54" x14ac:dyDescent="0.35">
      <c r="A129" s="49">
        <v>45930</v>
      </c>
      <c r="B129" s="48">
        <v>1</v>
      </c>
      <c r="C129" s="50" t="s">
        <v>32</v>
      </c>
      <c r="D129" s="48" t="s">
        <v>31</v>
      </c>
      <c r="E129" s="48" t="s">
        <v>138</v>
      </c>
      <c r="F129" s="48" t="s">
        <v>139</v>
      </c>
      <c r="G129" s="49" t="s">
        <v>59</v>
      </c>
      <c r="H129" s="48" t="s">
        <v>159</v>
      </c>
      <c r="I129" s="48">
        <v>1</v>
      </c>
      <c r="J129" s="48">
        <v>16</v>
      </c>
      <c r="K129" s="48">
        <v>1</v>
      </c>
      <c r="N129" s="48">
        <v>0</v>
      </c>
      <c r="R129" s="49"/>
      <c r="S129" s="49"/>
      <c r="T129" s="49">
        <v>46418</v>
      </c>
      <c r="U129" s="49">
        <v>46418</v>
      </c>
      <c r="V129" s="49">
        <v>46418</v>
      </c>
      <c r="W129" s="49">
        <v>46418</v>
      </c>
      <c r="X129" s="48">
        <v>1</v>
      </c>
      <c r="Y129" s="48">
        <v>1</v>
      </c>
      <c r="Z129" s="48">
        <v>1</v>
      </c>
      <c r="AA129" s="156">
        <v>26803.587027067224</v>
      </c>
      <c r="AF129" s="48">
        <v>0</v>
      </c>
      <c r="AG129" s="49" t="s">
        <v>32</v>
      </c>
      <c r="AH129" s="48">
        <v>1</v>
      </c>
      <c r="AI129" s="48" t="s">
        <v>33</v>
      </c>
      <c r="AJ129" s="48" t="s">
        <v>33</v>
      </c>
      <c r="AK129" s="48" t="s">
        <v>33</v>
      </c>
      <c r="AL129" s="48" t="s">
        <v>34</v>
      </c>
      <c r="AN129" s="48">
        <v>0</v>
      </c>
      <c r="AO129" s="48">
        <v>0</v>
      </c>
      <c r="AP129" s="48">
        <v>0</v>
      </c>
      <c r="AQ129" s="48">
        <v>0</v>
      </c>
      <c r="AR129" s="48">
        <v>0</v>
      </c>
      <c r="AS129" s="48">
        <v>0</v>
      </c>
      <c r="AT129" s="48">
        <v>0</v>
      </c>
      <c r="AU129" s="48">
        <v>0</v>
      </c>
      <c r="AV129" s="48">
        <v>0</v>
      </c>
      <c r="AW129" s="48">
        <v>0</v>
      </c>
      <c r="AX129" s="48">
        <v>0</v>
      </c>
      <c r="AY129" s="48">
        <v>0</v>
      </c>
      <c r="AZ129" s="48">
        <v>0</v>
      </c>
      <c r="BA129" s="48">
        <v>0</v>
      </c>
      <c r="BB129" s="48">
        <v>0</v>
      </c>
    </row>
    <row r="130" spans="1:54" x14ac:dyDescent="0.35">
      <c r="A130" s="49">
        <v>45930</v>
      </c>
      <c r="B130" s="48">
        <v>1</v>
      </c>
      <c r="C130" s="50" t="s">
        <v>32</v>
      </c>
      <c r="D130" s="48" t="s">
        <v>31</v>
      </c>
      <c r="E130" s="48" t="s">
        <v>138</v>
      </c>
      <c r="F130" s="48" t="s">
        <v>139</v>
      </c>
      <c r="G130" s="49" t="s">
        <v>59</v>
      </c>
      <c r="H130" s="48" t="s">
        <v>159</v>
      </c>
      <c r="I130" s="48">
        <v>1</v>
      </c>
      <c r="J130" s="48">
        <v>17</v>
      </c>
      <c r="K130" s="48">
        <v>1</v>
      </c>
      <c r="N130" s="48">
        <v>0</v>
      </c>
      <c r="R130" s="49"/>
      <c r="S130" s="49"/>
      <c r="T130" s="49">
        <v>46446</v>
      </c>
      <c r="U130" s="49">
        <v>46446</v>
      </c>
      <c r="V130" s="49">
        <v>46446</v>
      </c>
      <c r="W130" s="49">
        <v>46446</v>
      </c>
      <c r="X130" s="48">
        <v>1</v>
      </c>
      <c r="Y130" s="48">
        <v>1</v>
      </c>
      <c r="Z130" s="48">
        <v>1</v>
      </c>
      <c r="AA130" s="156">
        <v>26803.587027067224</v>
      </c>
      <c r="AF130" s="48">
        <v>0</v>
      </c>
      <c r="AG130" s="49" t="s">
        <v>32</v>
      </c>
      <c r="AH130" s="48">
        <v>1</v>
      </c>
      <c r="AI130" s="48" t="s">
        <v>33</v>
      </c>
      <c r="AJ130" s="48" t="s">
        <v>33</v>
      </c>
      <c r="AK130" s="48" t="s">
        <v>33</v>
      </c>
      <c r="AL130" s="48" t="s">
        <v>34</v>
      </c>
      <c r="AN130" s="48">
        <v>0</v>
      </c>
      <c r="AO130" s="48">
        <v>0</v>
      </c>
      <c r="AP130" s="48">
        <v>0</v>
      </c>
      <c r="AQ130" s="48">
        <v>0</v>
      </c>
      <c r="AR130" s="48">
        <v>0</v>
      </c>
      <c r="AS130" s="48">
        <v>0</v>
      </c>
      <c r="AT130" s="48">
        <v>0</v>
      </c>
      <c r="AU130" s="48">
        <v>0</v>
      </c>
      <c r="AV130" s="48">
        <v>0</v>
      </c>
      <c r="AW130" s="48">
        <v>0</v>
      </c>
      <c r="AX130" s="48">
        <v>0</v>
      </c>
      <c r="AY130" s="48">
        <v>0</v>
      </c>
      <c r="AZ130" s="48">
        <v>0</v>
      </c>
      <c r="BA130" s="48">
        <v>0</v>
      </c>
      <c r="BB130" s="48">
        <v>0</v>
      </c>
    </row>
    <row r="131" spans="1:54" x14ac:dyDescent="0.35">
      <c r="A131" s="49">
        <v>45930</v>
      </c>
      <c r="B131" s="48">
        <v>1</v>
      </c>
      <c r="C131" s="50" t="s">
        <v>32</v>
      </c>
      <c r="D131" s="48" t="s">
        <v>31</v>
      </c>
      <c r="E131" s="48" t="s">
        <v>138</v>
      </c>
      <c r="F131" s="48" t="s">
        <v>139</v>
      </c>
      <c r="G131" s="49" t="s">
        <v>59</v>
      </c>
      <c r="H131" s="48" t="s">
        <v>159</v>
      </c>
      <c r="I131" s="48">
        <v>1</v>
      </c>
      <c r="J131" s="48">
        <v>18</v>
      </c>
      <c r="K131" s="48">
        <v>1</v>
      </c>
      <c r="N131" s="48">
        <v>0</v>
      </c>
      <c r="R131" s="49"/>
      <c r="S131" s="49"/>
      <c r="T131" s="49">
        <v>46477</v>
      </c>
      <c r="U131" s="49">
        <v>46477</v>
      </c>
      <c r="V131" s="49">
        <v>46477</v>
      </c>
      <c r="W131" s="49">
        <v>46477</v>
      </c>
      <c r="X131" s="48">
        <v>1</v>
      </c>
      <c r="Y131" s="48">
        <v>1</v>
      </c>
      <c r="Z131" s="48">
        <v>1</v>
      </c>
      <c r="AA131" s="156">
        <v>26803.587027067224</v>
      </c>
      <c r="AF131" s="48">
        <v>0</v>
      </c>
      <c r="AG131" s="49" t="s">
        <v>32</v>
      </c>
      <c r="AH131" s="48">
        <v>1</v>
      </c>
      <c r="AI131" s="48" t="s">
        <v>33</v>
      </c>
      <c r="AJ131" s="48" t="s">
        <v>33</v>
      </c>
      <c r="AK131" s="48" t="s">
        <v>33</v>
      </c>
      <c r="AL131" s="48" t="s">
        <v>34</v>
      </c>
      <c r="AN131" s="48">
        <v>0</v>
      </c>
      <c r="AO131" s="48">
        <v>0</v>
      </c>
      <c r="AP131" s="48">
        <v>0</v>
      </c>
      <c r="AQ131" s="48">
        <v>0</v>
      </c>
      <c r="AR131" s="48">
        <v>0</v>
      </c>
      <c r="AS131" s="48">
        <v>0</v>
      </c>
      <c r="AT131" s="48">
        <v>0</v>
      </c>
      <c r="AU131" s="48">
        <v>0</v>
      </c>
      <c r="AV131" s="48">
        <v>0</v>
      </c>
      <c r="AW131" s="48">
        <v>0</v>
      </c>
      <c r="AX131" s="48">
        <v>0</v>
      </c>
      <c r="AY131" s="48">
        <v>0</v>
      </c>
      <c r="AZ131" s="48">
        <v>0</v>
      </c>
      <c r="BA131" s="48">
        <v>0</v>
      </c>
      <c r="BB131" s="48">
        <v>0</v>
      </c>
    </row>
    <row r="132" spans="1:54" x14ac:dyDescent="0.35">
      <c r="A132" s="49">
        <v>45930</v>
      </c>
      <c r="B132" s="48">
        <v>1</v>
      </c>
      <c r="C132" s="50" t="s">
        <v>32</v>
      </c>
      <c r="D132" s="48" t="s">
        <v>31</v>
      </c>
      <c r="E132" s="48" t="s">
        <v>138</v>
      </c>
      <c r="F132" s="48" t="s">
        <v>139</v>
      </c>
      <c r="G132" s="49" t="s">
        <v>59</v>
      </c>
      <c r="H132" s="48" t="s">
        <v>159</v>
      </c>
      <c r="I132" s="48">
        <v>1</v>
      </c>
      <c r="J132" s="48">
        <v>19</v>
      </c>
      <c r="K132" s="48">
        <v>1</v>
      </c>
      <c r="N132" s="48">
        <v>0</v>
      </c>
      <c r="R132" s="49"/>
      <c r="S132" s="49"/>
      <c r="T132" s="49">
        <v>46507</v>
      </c>
      <c r="U132" s="49">
        <v>46507</v>
      </c>
      <c r="V132" s="49">
        <v>46507</v>
      </c>
      <c r="W132" s="49">
        <v>46507</v>
      </c>
      <c r="X132" s="48">
        <v>1</v>
      </c>
      <c r="Y132" s="48">
        <v>1</v>
      </c>
      <c r="Z132" s="48">
        <v>1</v>
      </c>
      <c r="AA132" s="156">
        <v>26803.587027067224</v>
      </c>
      <c r="AF132" s="48">
        <v>0</v>
      </c>
      <c r="AG132" s="49" t="s">
        <v>32</v>
      </c>
      <c r="AH132" s="48">
        <v>1</v>
      </c>
      <c r="AI132" s="48" t="s">
        <v>33</v>
      </c>
      <c r="AJ132" s="48" t="s">
        <v>33</v>
      </c>
      <c r="AK132" s="48" t="s">
        <v>33</v>
      </c>
      <c r="AL132" s="48" t="s">
        <v>34</v>
      </c>
      <c r="AN132" s="48">
        <v>0</v>
      </c>
      <c r="AO132" s="48">
        <v>0</v>
      </c>
      <c r="AP132" s="48">
        <v>0</v>
      </c>
      <c r="AQ132" s="48">
        <v>0</v>
      </c>
      <c r="AR132" s="48">
        <v>0</v>
      </c>
      <c r="AS132" s="48">
        <v>0</v>
      </c>
      <c r="AT132" s="48">
        <v>0</v>
      </c>
      <c r="AU132" s="48">
        <v>0</v>
      </c>
      <c r="AV132" s="48">
        <v>0</v>
      </c>
      <c r="AW132" s="48">
        <v>0</v>
      </c>
      <c r="AX132" s="48">
        <v>0</v>
      </c>
      <c r="AY132" s="48">
        <v>0</v>
      </c>
      <c r="AZ132" s="48">
        <v>0</v>
      </c>
      <c r="BA132" s="48">
        <v>0</v>
      </c>
      <c r="BB132" s="48">
        <v>0</v>
      </c>
    </row>
    <row r="133" spans="1:54" x14ac:dyDescent="0.35">
      <c r="A133" s="49">
        <v>45930</v>
      </c>
      <c r="B133" s="48">
        <v>1</v>
      </c>
      <c r="C133" s="50" t="s">
        <v>32</v>
      </c>
      <c r="D133" s="48" t="s">
        <v>31</v>
      </c>
      <c r="E133" s="48" t="s">
        <v>138</v>
      </c>
      <c r="F133" s="48" t="s">
        <v>139</v>
      </c>
      <c r="G133" s="49" t="s">
        <v>59</v>
      </c>
      <c r="H133" s="48" t="s">
        <v>159</v>
      </c>
      <c r="I133" s="48">
        <v>1</v>
      </c>
      <c r="J133" s="48">
        <v>20</v>
      </c>
      <c r="K133" s="48">
        <v>1</v>
      </c>
      <c r="N133" s="48">
        <v>0</v>
      </c>
      <c r="R133" s="49"/>
      <c r="S133" s="49"/>
      <c r="T133" s="49">
        <v>46538</v>
      </c>
      <c r="U133" s="49">
        <v>46538</v>
      </c>
      <c r="V133" s="49">
        <v>46538</v>
      </c>
      <c r="W133" s="49">
        <v>46538</v>
      </c>
      <c r="X133" s="48">
        <v>1</v>
      </c>
      <c r="Y133" s="48">
        <v>1</v>
      </c>
      <c r="Z133" s="48">
        <v>1</v>
      </c>
      <c r="AA133" s="156">
        <v>26803.587027067224</v>
      </c>
      <c r="AF133" s="48">
        <v>0</v>
      </c>
      <c r="AG133" s="49" t="s">
        <v>32</v>
      </c>
      <c r="AH133" s="48">
        <v>1</v>
      </c>
      <c r="AI133" s="48" t="s">
        <v>33</v>
      </c>
      <c r="AJ133" s="48" t="s">
        <v>33</v>
      </c>
      <c r="AK133" s="48" t="s">
        <v>33</v>
      </c>
      <c r="AL133" s="48" t="s">
        <v>34</v>
      </c>
      <c r="AN133" s="48">
        <v>0</v>
      </c>
      <c r="AO133" s="48">
        <v>0</v>
      </c>
      <c r="AP133" s="48">
        <v>0</v>
      </c>
      <c r="AQ133" s="48">
        <v>0</v>
      </c>
      <c r="AR133" s="48">
        <v>0</v>
      </c>
      <c r="AS133" s="48">
        <v>0</v>
      </c>
      <c r="AT133" s="48">
        <v>0</v>
      </c>
      <c r="AU133" s="48">
        <v>0</v>
      </c>
      <c r="AV133" s="48">
        <v>0</v>
      </c>
      <c r="AW133" s="48">
        <v>0</v>
      </c>
      <c r="AX133" s="48">
        <v>0</v>
      </c>
      <c r="AY133" s="48">
        <v>0</v>
      </c>
      <c r="AZ133" s="48">
        <v>0</v>
      </c>
      <c r="BA133" s="48">
        <v>0</v>
      </c>
      <c r="BB133" s="48">
        <v>0</v>
      </c>
    </row>
    <row r="134" spans="1:54" x14ac:dyDescent="0.35">
      <c r="A134" s="49">
        <v>45930</v>
      </c>
      <c r="B134" s="48">
        <v>1</v>
      </c>
      <c r="C134" s="50" t="s">
        <v>32</v>
      </c>
      <c r="D134" s="48" t="s">
        <v>31</v>
      </c>
      <c r="E134" s="48" t="s">
        <v>138</v>
      </c>
      <c r="F134" s="48" t="s">
        <v>139</v>
      </c>
      <c r="G134" s="49" t="s">
        <v>59</v>
      </c>
      <c r="H134" s="48" t="s">
        <v>159</v>
      </c>
      <c r="I134" s="48">
        <v>1</v>
      </c>
      <c r="J134" s="48">
        <v>21</v>
      </c>
      <c r="K134" s="48">
        <v>1</v>
      </c>
      <c r="N134" s="48">
        <v>0</v>
      </c>
      <c r="R134" s="49"/>
      <c r="S134" s="49"/>
      <c r="T134" s="49">
        <v>46568</v>
      </c>
      <c r="U134" s="49">
        <v>46568</v>
      </c>
      <c r="V134" s="49">
        <v>46568</v>
      </c>
      <c r="W134" s="49">
        <v>46568</v>
      </c>
      <c r="X134" s="48">
        <v>1</v>
      </c>
      <c r="Y134" s="48">
        <v>1</v>
      </c>
      <c r="Z134" s="48">
        <v>1</v>
      </c>
      <c r="AA134" s="156">
        <v>26803.587027067224</v>
      </c>
      <c r="AF134" s="48">
        <v>0</v>
      </c>
      <c r="AG134" s="49" t="s">
        <v>32</v>
      </c>
      <c r="AH134" s="48">
        <v>1</v>
      </c>
      <c r="AI134" s="48" t="s">
        <v>33</v>
      </c>
      <c r="AJ134" s="48" t="s">
        <v>33</v>
      </c>
      <c r="AK134" s="48" t="s">
        <v>33</v>
      </c>
      <c r="AL134" s="48" t="s">
        <v>34</v>
      </c>
      <c r="AN134" s="48">
        <v>0</v>
      </c>
      <c r="AO134" s="48">
        <v>0</v>
      </c>
      <c r="AP134" s="48">
        <v>0</v>
      </c>
      <c r="AQ134" s="48">
        <v>0</v>
      </c>
      <c r="AR134" s="48">
        <v>0</v>
      </c>
      <c r="AS134" s="48">
        <v>0</v>
      </c>
      <c r="AT134" s="48">
        <v>0</v>
      </c>
      <c r="AU134" s="48">
        <v>0</v>
      </c>
      <c r="AV134" s="48">
        <v>0</v>
      </c>
      <c r="AW134" s="48">
        <v>0</v>
      </c>
      <c r="AX134" s="48">
        <v>0</v>
      </c>
      <c r="AY134" s="48">
        <v>0</v>
      </c>
      <c r="AZ134" s="48">
        <v>0</v>
      </c>
      <c r="BA134" s="48">
        <v>0</v>
      </c>
      <c r="BB134" s="48">
        <v>0</v>
      </c>
    </row>
    <row r="135" spans="1:54" x14ac:dyDescent="0.35">
      <c r="A135" s="49">
        <v>45930</v>
      </c>
      <c r="B135" s="48">
        <v>1</v>
      </c>
      <c r="C135" s="50" t="s">
        <v>32</v>
      </c>
      <c r="D135" s="48" t="s">
        <v>31</v>
      </c>
      <c r="E135" s="48" t="s">
        <v>138</v>
      </c>
      <c r="F135" s="48" t="s">
        <v>139</v>
      </c>
      <c r="G135" s="49" t="s">
        <v>59</v>
      </c>
      <c r="H135" s="48" t="s">
        <v>159</v>
      </c>
      <c r="I135" s="48">
        <v>1</v>
      </c>
      <c r="J135" s="48">
        <v>22</v>
      </c>
      <c r="K135" s="48">
        <v>1</v>
      </c>
      <c r="N135" s="48">
        <v>0</v>
      </c>
      <c r="R135" s="49"/>
      <c r="S135" s="49"/>
      <c r="T135" s="49">
        <v>46599</v>
      </c>
      <c r="U135" s="49">
        <v>46599</v>
      </c>
      <c r="V135" s="49">
        <v>46599</v>
      </c>
      <c r="W135" s="49">
        <v>46599</v>
      </c>
      <c r="X135" s="48">
        <v>1</v>
      </c>
      <c r="Y135" s="48">
        <v>1</v>
      </c>
      <c r="Z135" s="48">
        <v>1</v>
      </c>
      <c r="AA135" s="156">
        <v>26803.587027067224</v>
      </c>
      <c r="AF135" s="48">
        <v>0</v>
      </c>
      <c r="AG135" s="49" t="s">
        <v>32</v>
      </c>
      <c r="AH135" s="48">
        <v>1</v>
      </c>
      <c r="AI135" s="48" t="s">
        <v>33</v>
      </c>
      <c r="AJ135" s="48" t="s">
        <v>33</v>
      </c>
      <c r="AK135" s="48" t="s">
        <v>33</v>
      </c>
      <c r="AL135" s="48" t="s">
        <v>34</v>
      </c>
      <c r="AN135" s="48">
        <v>0</v>
      </c>
      <c r="AO135" s="48">
        <v>0</v>
      </c>
      <c r="AP135" s="48">
        <v>0</v>
      </c>
      <c r="AQ135" s="48">
        <v>0</v>
      </c>
      <c r="AR135" s="48">
        <v>0</v>
      </c>
      <c r="AS135" s="48">
        <v>0</v>
      </c>
      <c r="AT135" s="48">
        <v>0</v>
      </c>
      <c r="AU135" s="48">
        <v>0</v>
      </c>
      <c r="AV135" s="48">
        <v>0</v>
      </c>
      <c r="AW135" s="48">
        <v>0</v>
      </c>
      <c r="AX135" s="48">
        <v>0</v>
      </c>
      <c r="AY135" s="48">
        <v>0</v>
      </c>
      <c r="AZ135" s="48">
        <v>0</v>
      </c>
      <c r="BA135" s="48">
        <v>0</v>
      </c>
      <c r="BB135" s="48">
        <v>0</v>
      </c>
    </row>
    <row r="136" spans="1:54" x14ac:dyDescent="0.35">
      <c r="A136" s="49">
        <v>45930</v>
      </c>
      <c r="B136" s="48">
        <v>1</v>
      </c>
      <c r="C136" s="50" t="s">
        <v>32</v>
      </c>
      <c r="D136" s="48" t="s">
        <v>31</v>
      </c>
      <c r="E136" s="48" t="s">
        <v>138</v>
      </c>
      <c r="F136" s="48" t="s">
        <v>139</v>
      </c>
      <c r="G136" s="49" t="s">
        <v>59</v>
      </c>
      <c r="H136" s="48" t="s">
        <v>159</v>
      </c>
      <c r="I136" s="48">
        <v>1</v>
      </c>
      <c r="J136" s="48">
        <v>23</v>
      </c>
      <c r="K136" s="48">
        <v>1</v>
      </c>
      <c r="N136" s="48">
        <v>0</v>
      </c>
      <c r="R136" s="49"/>
      <c r="S136" s="49"/>
      <c r="T136" s="49">
        <v>46630</v>
      </c>
      <c r="U136" s="49">
        <v>46630</v>
      </c>
      <c r="V136" s="49">
        <v>46630</v>
      </c>
      <c r="W136" s="49">
        <v>46630</v>
      </c>
      <c r="X136" s="48">
        <v>1</v>
      </c>
      <c r="Y136" s="48">
        <v>1</v>
      </c>
      <c r="Z136" s="48">
        <v>1</v>
      </c>
      <c r="AA136" s="156">
        <v>26803.587027067224</v>
      </c>
      <c r="AF136" s="48">
        <v>0</v>
      </c>
      <c r="AG136" s="49" t="s">
        <v>32</v>
      </c>
      <c r="AH136" s="48">
        <v>1</v>
      </c>
      <c r="AI136" s="48" t="s">
        <v>33</v>
      </c>
      <c r="AJ136" s="48" t="s">
        <v>33</v>
      </c>
      <c r="AK136" s="48" t="s">
        <v>33</v>
      </c>
      <c r="AL136" s="48" t="s">
        <v>34</v>
      </c>
      <c r="AN136" s="48">
        <v>0</v>
      </c>
      <c r="AO136" s="48">
        <v>0</v>
      </c>
      <c r="AP136" s="48">
        <v>0</v>
      </c>
      <c r="AQ136" s="48">
        <v>0</v>
      </c>
      <c r="AR136" s="48">
        <v>0</v>
      </c>
      <c r="AS136" s="48">
        <v>0</v>
      </c>
      <c r="AT136" s="48">
        <v>0</v>
      </c>
      <c r="AU136" s="48">
        <v>0</v>
      </c>
      <c r="AV136" s="48">
        <v>0</v>
      </c>
      <c r="AW136" s="48">
        <v>0</v>
      </c>
      <c r="AX136" s="48">
        <v>0</v>
      </c>
      <c r="AY136" s="48">
        <v>0</v>
      </c>
      <c r="AZ136" s="48">
        <v>0</v>
      </c>
      <c r="BA136" s="48">
        <v>0</v>
      </c>
      <c r="BB136" s="48">
        <v>0</v>
      </c>
    </row>
    <row r="137" spans="1:54" x14ac:dyDescent="0.35">
      <c r="A137" s="49">
        <v>45930</v>
      </c>
      <c r="B137" s="48">
        <v>1</v>
      </c>
      <c r="C137" s="50" t="s">
        <v>32</v>
      </c>
      <c r="D137" s="48" t="s">
        <v>31</v>
      </c>
      <c r="E137" s="48" t="s">
        <v>138</v>
      </c>
      <c r="F137" s="48" t="s">
        <v>139</v>
      </c>
      <c r="G137" s="49" t="s">
        <v>59</v>
      </c>
      <c r="H137" s="48" t="s">
        <v>159</v>
      </c>
      <c r="I137" s="48">
        <v>1</v>
      </c>
      <c r="J137" s="48">
        <v>24</v>
      </c>
      <c r="K137" s="48">
        <v>1</v>
      </c>
      <c r="N137" s="48">
        <v>0</v>
      </c>
      <c r="R137" s="49"/>
      <c r="S137" s="49"/>
      <c r="T137" s="49">
        <v>46660</v>
      </c>
      <c r="U137" s="49">
        <v>46660</v>
      </c>
      <c r="V137" s="49">
        <v>46660</v>
      </c>
      <c r="W137" s="49">
        <v>46660</v>
      </c>
      <c r="X137" s="48">
        <v>1</v>
      </c>
      <c r="Y137" s="48">
        <v>1</v>
      </c>
      <c r="Z137" s="48">
        <v>1</v>
      </c>
      <c r="AA137" s="156">
        <v>26803.587027067224</v>
      </c>
      <c r="AF137" s="48">
        <v>0</v>
      </c>
      <c r="AG137" s="49" t="s">
        <v>32</v>
      </c>
      <c r="AH137" s="48">
        <v>1</v>
      </c>
      <c r="AI137" s="48" t="s">
        <v>33</v>
      </c>
      <c r="AJ137" s="48" t="s">
        <v>33</v>
      </c>
      <c r="AK137" s="48" t="s">
        <v>33</v>
      </c>
      <c r="AL137" s="48" t="s">
        <v>34</v>
      </c>
      <c r="AN137" s="48">
        <v>0</v>
      </c>
      <c r="AO137" s="48">
        <v>0</v>
      </c>
      <c r="AP137" s="48">
        <v>0</v>
      </c>
      <c r="AQ137" s="48">
        <v>0</v>
      </c>
      <c r="AR137" s="48">
        <v>0</v>
      </c>
      <c r="AS137" s="48">
        <v>0</v>
      </c>
      <c r="AT137" s="48">
        <v>0</v>
      </c>
      <c r="AU137" s="48">
        <v>0</v>
      </c>
      <c r="AV137" s="48">
        <v>0</v>
      </c>
      <c r="AW137" s="48">
        <v>0</v>
      </c>
      <c r="AX137" s="48">
        <v>0</v>
      </c>
      <c r="AY137" s="48">
        <v>0</v>
      </c>
      <c r="AZ137" s="48">
        <v>0</v>
      </c>
      <c r="BA137" s="48">
        <v>0</v>
      </c>
      <c r="BB137" s="48">
        <v>0</v>
      </c>
    </row>
    <row r="138" spans="1:54" x14ac:dyDescent="0.35">
      <c r="A138" s="49">
        <v>45930</v>
      </c>
      <c r="B138" s="48">
        <v>1</v>
      </c>
      <c r="C138" s="50" t="s">
        <v>32</v>
      </c>
      <c r="D138" s="48" t="s">
        <v>31</v>
      </c>
      <c r="E138" s="48" t="s">
        <v>138</v>
      </c>
      <c r="F138" s="48" t="s">
        <v>139</v>
      </c>
      <c r="G138" s="49" t="s">
        <v>59</v>
      </c>
      <c r="H138" s="48" t="s">
        <v>159</v>
      </c>
      <c r="I138" s="48">
        <v>1</v>
      </c>
      <c r="J138" s="48">
        <v>25</v>
      </c>
      <c r="K138" s="48">
        <v>1</v>
      </c>
      <c r="N138" s="48">
        <v>0</v>
      </c>
      <c r="R138" s="49"/>
      <c r="S138" s="49"/>
      <c r="T138" s="49">
        <v>46691</v>
      </c>
      <c r="U138" s="49">
        <v>46691</v>
      </c>
      <c r="V138" s="49">
        <v>46691</v>
      </c>
      <c r="W138" s="49">
        <v>46691</v>
      </c>
      <c r="X138" s="48">
        <v>1</v>
      </c>
      <c r="Y138" s="48">
        <v>1</v>
      </c>
      <c r="Z138" s="48">
        <v>1</v>
      </c>
      <c r="AA138" s="156">
        <v>26803.587027067224</v>
      </c>
      <c r="AF138" s="48">
        <v>0</v>
      </c>
      <c r="AG138" s="49" t="s">
        <v>32</v>
      </c>
      <c r="AH138" s="48">
        <v>1</v>
      </c>
      <c r="AI138" s="48" t="s">
        <v>33</v>
      </c>
      <c r="AJ138" s="48" t="s">
        <v>33</v>
      </c>
      <c r="AK138" s="48" t="s">
        <v>33</v>
      </c>
      <c r="AL138" s="48" t="s">
        <v>34</v>
      </c>
      <c r="AN138" s="48">
        <v>0</v>
      </c>
      <c r="AO138" s="48">
        <v>0</v>
      </c>
      <c r="AP138" s="48">
        <v>0</v>
      </c>
      <c r="AQ138" s="48">
        <v>0</v>
      </c>
      <c r="AR138" s="48">
        <v>0</v>
      </c>
      <c r="AS138" s="48">
        <v>0</v>
      </c>
      <c r="AT138" s="48">
        <v>0</v>
      </c>
      <c r="AU138" s="48">
        <v>0</v>
      </c>
      <c r="AV138" s="48">
        <v>0</v>
      </c>
      <c r="AW138" s="48">
        <v>0</v>
      </c>
      <c r="AX138" s="48">
        <v>0</v>
      </c>
      <c r="AY138" s="48">
        <v>0</v>
      </c>
      <c r="AZ138" s="48">
        <v>0</v>
      </c>
      <c r="BA138" s="48">
        <v>0</v>
      </c>
      <c r="BB138" s="48">
        <v>0</v>
      </c>
    </row>
    <row r="139" spans="1:54" x14ac:dyDescent="0.35">
      <c r="A139" s="49">
        <v>45930</v>
      </c>
      <c r="B139" s="48">
        <v>1</v>
      </c>
      <c r="C139" s="50" t="s">
        <v>32</v>
      </c>
      <c r="D139" s="48" t="s">
        <v>31</v>
      </c>
      <c r="E139" s="48" t="s">
        <v>138</v>
      </c>
      <c r="F139" s="48" t="s">
        <v>139</v>
      </c>
      <c r="G139" s="49" t="s">
        <v>59</v>
      </c>
      <c r="H139" s="48" t="s">
        <v>159</v>
      </c>
      <c r="I139" s="48">
        <v>1</v>
      </c>
      <c r="J139" s="48">
        <v>26</v>
      </c>
      <c r="K139" s="48">
        <v>1</v>
      </c>
      <c r="N139" s="48">
        <v>0</v>
      </c>
      <c r="R139" s="49"/>
      <c r="S139" s="49"/>
      <c r="T139" s="49">
        <v>46721</v>
      </c>
      <c r="U139" s="49">
        <v>46721</v>
      </c>
      <c r="V139" s="49">
        <v>46721</v>
      </c>
      <c r="W139" s="49">
        <v>46721</v>
      </c>
      <c r="X139" s="48">
        <v>1</v>
      </c>
      <c r="Y139" s="48">
        <v>1</v>
      </c>
      <c r="Z139" s="48">
        <v>1</v>
      </c>
      <c r="AA139" s="156">
        <v>26803.587027067224</v>
      </c>
      <c r="AF139" s="48">
        <v>0</v>
      </c>
      <c r="AG139" s="49" t="s">
        <v>32</v>
      </c>
      <c r="AH139" s="48">
        <v>1</v>
      </c>
      <c r="AI139" s="48" t="s">
        <v>33</v>
      </c>
      <c r="AJ139" s="48" t="s">
        <v>33</v>
      </c>
      <c r="AK139" s="48" t="s">
        <v>33</v>
      </c>
      <c r="AL139" s="48" t="s">
        <v>34</v>
      </c>
      <c r="AN139" s="48">
        <v>0</v>
      </c>
      <c r="AO139" s="48">
        <v>0</v>
      </c>
      <c r="AP139" s="48">
        <v>0</v>
      </c>
      <c r="AQ139" s="48">
        <v>0</v>
      </c>
      <c r="AR139" s="48">
        <v>0</v>
      </c>
      <c r="AS139" s="48">
        <v>0</v>
      </c>
      <c r="AT139" s="48">
        <v>0</v>
      </c>
      <c r="AU139" s="48">
        <v>0</v>
      </c>
      <c r="AV139" s="48">
        <v>0</v>
      </c>
      <c r="AW139" s="48">
        <v>0</v>
      </c>
      <c r="AX139" s="48">
        <v>0</v>
      </c>
      <c r="AY139" s="48">
        <v>0</v>
      </c>
      <c r="AZ139" s="48">
        <v>0</v>
      </c>
      <c r="BA139" s="48">
        <v>0</v>
      </c>
      <c r="BB139" s="48">
        <v>0</v>
      </c>
    </row>
    <row r="140" spans="1:54" x14ac:dyDescent="0.35">
      <c r="A140" s="49">
        <v>45930</v>
      </c>
      <c r="B140" s="48">
        <v>1</v>
      </c>
      <c r="C140" s="50" t="s">
        <v>32</v>
      </c>
      <c r="D140" s="48" t="s">
        <v>31</v>
      </c>
      <c r="E140" s="48" t="s">
        <v>138</v>
      </c>
      <c r="F140" s="48" t="s">
        <v>139</v>
      </c>
      <c r="G140" s="49" t="s">
        <v>59</v>
      </c>
      <c r="H140" s="48" t="s">
        <v>159</v>
      </c>
      <c r="I140" s="48">
        <v>1</v>
      </c>
      <c r="J140" s="48">
        <v>27</v>
      </c>
      <c r="K140" s="48">
        <v>1</v>
      </c>
      <c r="N140" s="48">
        <v>0</v>
      </c>
      <c r="R140" s="49"/>
      <c r="S140" s="49"/>
      <c r="T140" s="49">
        <v>46752</v>
      </c>
      <c r="U140" s="49">
        <v>46752</v>
      </c>
      <c r="V140" s="49">
        <v>46752</v>
      </c>
      <c r="W140" s="49">
        <v>46752</v>
      </c>
      <c r="X140" s="48">
        <v>1</v>
      </c>
      <c r="Y140" s="48">
        <v>1</v>
      </c>
      <c r="Z140" s="48">
        <v>1</v>
      </c>
      <c r="AA140" s="156">
        <v>26803.587027067224</v>
      </c>
      <c r="AF140" s="48">
        <v>0</v>
      </c>
      <c r="AG140" s="49" t="s">
        <v>32</v>
      </c>
      <c r="AH140" s="48">
        <v>1</v>
      </c>
      <c r="AI140" s="48" t="s">
        <v>33</v>
      </c>
      <c r="AJ140" s="48" t="s">
        <v>33</v>
      </c>
      <c r="AK140" s="48" t="s">
        <v>33</v>
      </c>
      <c r="AL140" s="48" t="s">
        <v>34</v>
      </c>
      <c r="AN140" s="48">
        <v>0</v>
      </c>
      <c r="AO140" s="48">
        <v>0</v>
      </c>
      <c r="AP140" s="48">
        <v>0</v>
      </c>
      <c r="AQ140" s="48">
        <v>0</v>
      </c>
      <c r="AR140" s="48">
        <v>0</v>
      </c>
      <c r="AS140" s="48">
        <v>0</v>
      </c>
      <c r="AT140" s="48">
        <v>0</v>
      </c>
      <c r="AU140" s="48">
        <v>0</v>
      </c>
      <c r="AV140" s="48">
        <v>0</v>
      </c>
      <c r="AW140" s="48">
        <v>0</v>
      </c>
      <c r="AX140" s="48">
        <v>0</v>
      </c>
      <c r="AY140" s="48">
        <v>0</v>
      </c>
      <c r="AZ140" s="48">
        <v>0</v>
      </c>
      <c r="BA140" s="48">
        <v>0</v>
      </c>
      <c r="BB140" s="48">
        <v>0</v>
      </c>
    </row>
    <row r="141" spans="1:54" x14ac:dyDescent="0.35">
      <c r="A141" s="49">
        <v>45930</v>
      </c>
      <c r="B141" s="48">
        <v>1</v>
      </c>
      <c r="C141" s="50" t="s">
        <v>32</v>
      </c>
      <c r="D141" s="48" t="s">
        <v>31</v>
      </c>
      <c r="E141" s="48" t="s">
        <v>138</v>
      </c>
      <c r="F141" s="48" t="s">
        <v>139</v>
      </c>
      <c r="G141" s="49" t="s">
        <v>59</v>
      </c>
      <c r="H141" s="48" t="s">
        <v>159</v>
      </c>
      <c r="I141" s="48">
        <v>1</v>
      </c>
      <c r="J141" s="48">
        <v>28</v>
      </c>
      <c r="K141" s="48">
        <v>1</v>
      </c>
      <c r="N141" s="48">
        <v>0</v>
      </c>
      <c r="R141" s="49"/>
      <c r="S141" s="49"/>
      <c r="T141" s="49">
        <v>46783</v>
      </c>
      <c r="U141" s="49">
        <v>46783</v>
      </c>
      <c r="V141" s="49">
        <v>46783</v>
      </c>
      <c r="W141" s="49">
        <v>46783</v>
      </c>
      <c r="X141" s="48">
        <v>1</v>
      </c>
      <c r="Y141" s="48">
        <v>1</v>
      </c>
      <c r="Z141" s="48">
        <v>1</v>
      </c>
      <c r="AA141" s="156">
        <v>26803.587027067224</v>
      </c>
      <c r="AF141" s="48">
        <v>0</v>
      </c>
      <c r="AG141" s="49" t="s">
        <v>32</v>
      </c>
      <c r="AH141" s="48">
        <v>1</v>
      </c>
      <c r="AI141" s="48" t="s">
        <v>33</v>
      </c>
      <c r="AJ141" s="48" t="s">
        <v>33</v>
      </c>
      <c r="AK141" s="48" t="s">
        <v>33</v>
      </c>
      <c r="AL141" s="48" t="s">
        <v>34</v>
      </c>
      <c r="AN141" s="48">
        <v>0</v>
      </c>
      <c r="AO141" s="48">
        <v>0</v>
      </c>
      <c r="AP141" s="48">
        <v>0</v>
      </c>
      <c r="AQ141" s="48">
        <v>0</v>
      </c>
      <c r="AR141" s="48">
        <v>0</v>
      </c>
      <c r="AS141" s="48">
        <v>0</v>
      </c>
      <c r="AT141" s="48">
        <v>0</v>
      </c>
      <c r="AU141" s="48">
        <v>0</v>
      </c>
      <c r="AV141" s="48">
        <v>0</v>
      </c>
      <c r="AW141" s="48">
        <v>0</v>
      </c>
      <c r="AX141" s="48">
        <v>0</v>
      </c>
      <c r="AY141" s="48">
        <v>0</v>
      </c>
      <c r="AZ141" s="48">
        <v>0</v>
      </c>
      <c r="BA141" s="48">
        <v>0</v>
      </c>
      <c r="BB141" s="48">
        <v>0</v>
      </c>
    </row>
    <row r="142" spans="1:54" x14ac:dyDescent="0.35">
      <c r="A142" s="49">
        <v>45930</v>
      </c>
      <c r="B142" s="48">
        <v>1</v>
      </c>
      <c r="C142" s="50" t="s">
        <v>32</v>
      </c>
      <c r="D142" s="48" t="s">
        <v>31</v>
      </c>
      <c r="E142" s="48" t="s">
        <v>138</v>
      </c>
      <c r="F142" s="48" t="s">
        <v>139</v>
      </c>
      <c r="G142" s="49" t="s">
        <v>59</v>
      </c>
      <c r="H142" s="48" t="s">
        <v>159</v>
      </c>
      <c r="I142" s="48">
        <v>1</v>
      </c>
      <c r="J142" s="48">
        <v>29</v>
      </c>
      <c r="K142" s="48">
        <v>1</v>
      </c>
      <c r="N142" s="48">
        <v>0</v>
      </c>
      <c r="R142" s="49"/>
      <c r="S142" s="49"/>
      <c r="T142" s="49">
        <v>46812</v>
      </c>
      <c r="U142" s="49">
        <v>46812</v>
      </c>
      <c r="V142" s="49">
        <v>46812</v>
      </c>
      <c r="W142" s="49">
        <v>46812</v>
      </c>
      <c r="X142" s="48">
        <v>1</v>
      </c>
      <c r="Y142" s="48">
        <v>1</v>
      </c>
      <c r="Z142" s="48">
        <v>1</v>
      </c>
      <c r="AA142" s="156">
        <v>26803.587027067224</v>
      </c>
      <c r="AF142" s="48">
        <v>0</v>
      </c>
      <c r="AG142" s="49" t="s">
        <v>32</v>
      </c>
      <c r="AH142" s="48">
        <v>1</v>
      </c>
      <c r="AI142" s="48" t="s">
        <v>33</v>
      </c>
      <c r="AJ142" s="48" t="s">
        <v>33</v>
      </c>
      <c r="AK142" s="48" t="s">
        <v>33</v>
      </c>
      <c r="AL142" s="48" t="s">
        <v>34</v>
      </c>
      <c r="AN142" s="48">
        <v>0</v>
      </c>
      <c r="AO142" s="48">
        <v>0</v>
      </c>
      <c r="AP142" s="48">
        <v>0</v>
      </c>
      <c r="AQ142" s="48">
        <v>0</v>
      </c>
      <c r="AR142" s="48">
        <v>0</v>
      </c>
      <c r="AS142" s="48">
        <v>0</v>
      </c>
      <c r="AT142" s="48">
        <v>0</v>
      </c>
      <c r="AU142" s="48">
        <v>0</v>
      </c>
      <c r="AV142" s="48">
        <v>0</v>
      </c>
      <c r="AW142" s="48">
        <v>0</v>
      </c>
      <c r="AX142" s="48">
        <v>0</v>
      </c>
      <c r="AY142" s="48">
        <v>0</v>
      </c>
      <c r="AZ142" s="48">
        <v>0</v>
      </c>
      <c r="BA142" s="48">
        <v>0</v>
      </c>
      <c r="BB142" s="48">
        <v>0</v>
      </c>
    </row>
    <row r="143" spans="1:54" x14ac:dyDescent="0.35">
      <c r="A143" s="49">
        <v>45930</v>
      </c>
      <c r="B143" s="48">
        <v>1</v>
      </c>
      <c r="C143" s="50" t="s">
        <v>32</v>
      </c>
      <c r="D143" s="48" t="s">
        <v>31</v>
      </c>
      <c r="E143" s="48" t="s">
        <v>138</v>
      </c>
      <c r="F143" s="48" t="s">
        <v>139</v>
      </c>
      <c r="G143" s="49" t="s">
        <v>59</v>
      </c>
      <c r="H143" s="48" t="s">
        <v>159</v>
      </c>
      <c r="I143" s="48">
        <v>1</v>
      </c>
      <c r="J143" s="48">
        <v>30</v>
      </c>
      <c r="K143" s="48">
        <v>1</v>
      </c>
      <c r="N143" s="48">
        <v>0</v>
      </c>
      <c r="R143" s="49"/>
      <c r="S143" s="49"/>
      <c r="T143" s="49">
        <v>46843</v>
      </c>
      <c r="U143" s="49">
        <v>46843</v>
      </c>
      <c r="V143" s="49">
        <v>46843</v>
      </c>
      <c r="W143" s="49">
        <v>46843</v>
      </c>
      <c r="X143" s="48">
        <v>1</v>
      </c>
      <c r="Y143" s="48">
        <v>1</v>
      </c>
      <c r="Z143" s="48">
        <v>1</v>
      </c>
      <c r="AA143" s="156">
        <v>26803.587027067224</v>
      </c>
      <c r="AF143" s="48">
        <v>0</v>
      </c>
      <c r="AG143" s="49" t="s">
        <v>32</v>
      </c>
      <c r="AH143" s="48">
        <v>1</v>
      </c>
      <c r="AI143" s="48" t="s">
        <v>33</v>
      </c>
      <c r="AJ143" s="48" t="s">
        <v>33</v>
      </c>
      <c r="AK143" s="48" t="s">
        <v>33</v>
      </c>
      <c r="AL143" s="48" t="s">
        <v>34</v>
      </c>
      <c r="AN143" s="48">
        <v>0</v>
      </c>
      <c r="AO143" s="48">
        <v>0</v>
      </c>
      <c r="AP143" s="48">
        <v>0</v>
      </c>
      <c r="AQ143" s="48">
        <v>0</v>
      </c>
      <c r="AR143" s="48">
        <v>0</v>
      </c>
      <c r="AS143" s="48">
        <v>0</v>
      </c>
      <c r="AT143" s="48">
        <v>0</v>
      </c>
      <c r="AU143" s="48">
        <v>0</v>
      </c>
      <c r="AV143" s="48">
        <v>0</v>
      </c>
      <c r="AW143" s="48">
        <v>0</v>
      </c>
      <c r="AX143" s="48">
        <v>0</v>
      </c>
      <c r="AY143" s="48">
        <v>0</v>
      </c>
      <c r="AZ143" s="48">
        <v>0</v>
      </c>
      <c r="BA143" s="48">
        <v>0</v>
      </c>
      <c r="BB143" s="48">
        <v>0</v>
      </c>
    </row>
    <row r="144" spans="1:54" x14ac:dyDescent="0.35">
      <c r="A144" s="49">
        <v>45930</v>
      </c>
      <c r="B144" s="48">
        <v>1</v>
      </c>
      <c r="C144" s="50" t="s">
        <v>32</v>
      </c>
      <c r="D144" s="48" t="s">
        <v>31</v>
      </c>
      <c r="E144" s="48" t="s">
        <v>138</v>
      </c>
      <c r="F144" s="48" t="s">
        <v>139</v>
      </c>
      <c r="G144" s="49" t="s">
        <v>59</v>
      </c>
      <c r="H144" s="48" t="s">
        <v>159</v>
      </c>
      <c r="I144" s="48">
        <v>1</v>
      </c>
      <c r="J144" s="48">
        <v>31</v>
      </c>
      <c r="K144" s="48">
        <v>1</v>
      </c>
      <c r="N144" s="48">
        <v>0</v>
      </c>
      <c r="R144" s="49"/>
      <c r="S144" s="49"/>
      <c r="T144" s="49">
        <v>46873</v>
      </c>
      <c r="U144" s="49">
        <v>46873</v>
      </c>
      <c r="V144" s="49">
        <v>46873</v>
      </c>
      <c r="W144" s="49">
        <v>46873</v>
      </c>
      <c r="X144" s="48">
        <v>1</v>
      </c>
      <c r="Y144" s="48">
        <v>1</v>
      </c>
      <c r="Z144" s="48">
        <v>1</v>
      </c>
      <c r="AA144" s="156">
        <v>26803.587027067224</v>
      </c>
      <c r="AF144" s="48">
        <v>0</v>
      </c>
      <c r="AG144" s="49" t="s">
        <v>32</v>
      </c>
      <c r="AH144" s="48">
        <v>1</v>
      </c>
      <c r="AI144" s="48" t="s">
        <v>33</v>
      </c>
      <c r="AJ144" s="48" t="s">
        <v>33</v>
      </c>
      <c r="AK144" s="48" t="s">
        <v>33</v>
      </c>
      <c r="AL144" s="48" t="s">
        <v>34</v>
      </c>
      <c r="AN144" s="48">
        <v>0</v>
      </c>
      <c r="AO144" s="48">
        <v>0</v>
      </c>
      <c r="AP144" s="48">
        <v>0</v>
      </c>
      <c r="AQ144" s="48">
        <v>0</v>
      </c>
      <c r="AR144" s="48">
        <v>0</v>
      </c>
      <c r="AS144" s="48">
        <v>0</v>
      </c>
      <c r="AT144" s="48">
        <v>0</v>
      </c>
      <c r="AU144" s="48">
        <v>0</v>
      </c>
      <c r="AV144" s="48">
        <v>0</v>
      </c>
      <c r="AW144" s="48">
        <v>0</v>
      </c>
      <c r="AX144" s="48">
        <v>0</v>
      </c>
      <c r="AY144" s="48">
        <v>0</v>
      </c>
      <c r="AZ144" s="48">
        <v>0</v>
      </c>
      <c r="BA144" s="48">
        <v>0</v>
      </c>
      <c r="BB144" s="48">
        <v>0</v>
      </c>
    </row>
    <row r="145" spans="1:54" x14ac:dyDescent="0.35">
      <c r="A145" s="49">
        <v>45930</v>
      </c>
      <c r="B145" s="48">
        <v>1</v>
      </c>
      <c r="C145" s="50" t="s">
        <v>32</v>
      </c>
      <c r="D145" s="48" t="s">
        <v>31</v>
      </c>
      <c r="E145" s="48" t="s">
        <v>138</v>
      </c>
      <c r="F145" s="48" t="s">
        <v>139</v>
      </c>
      <c r="G145" s="49" t="s">
        <v>59</v>
      </c>
      <c r="H145" s="48" t="s">
        <v>159</v>
      </c>
      <c r="I145" s="48">
        <v>1</v>
      </c>
      <c r="J145" s="48">
        <v>32</v>
      </c>
      <c r="K145" s="48">
        <v>1</v>
      </c>
      <c r="N145" s="48">
        <v>0</v>
      </c>
      <c r="R145" s="49"/>
      <c r="S145" s="49"/>
      <c r="T145" s="49">
        <v>46904</v>
      </c>
      <c r="U145" s="49">
        <v>46904</v>
      </c>
      <c r="V145" s="49">
        <v>46904</v>
      </c>
      <c r="W145" s="49">
        <v>46904</v>
      </c>
      <c r="X145" s="48">
        <v>1</v>
      </c>
      <c r="Y145" s="48">
        <v>1</v>
      </c>
      <c r="Z145" s="48">
        <v>1</v>
      </c>
      <c r="AA145" s="156">
        <v>26803.587027067224</v>
      </c>
      <c r="AF145" s="48">
        <v>0</v>
      </c>
      <c r="AG145" s="49" t="s">
        <v>32</v>
      </c>
      <c r="AH145" s="48">
        <v>1</v>
      </c>
      <c r="AI145" s="48" t="s">
        <v>33</v>
      </c>
      <c r="AJ145" s="48" t="s">
        <v>33</v>
      </c>
      <c r="AK145" s="48" t="s">
        <v>33</v>
      </c>
      <c r="AL145" s="48" t="s">
        <v>34</v>
      </c>
      <c r="AN145" s="48">
        <v>0</v>
      </c>
      <c r="AO145" s="48">
        <v>0</v>
      </c>
      <c r="AP145" s="48">
        <v>0</v>
      </c>
      <c r="AQ145" s="48">
        <v>0</v>
      </c>
      <c r="AR145" s="48">
        <v>0</v>
      </c>
      <c r="AS145" s="48">
        <v>0</v>
      </c>
      <c r="AT145" s="48">
        <v>0</v>
      </c>
      <c r="AU145" s="48">
        <v>0</v>
      </c>
      <c r="AV145" s="48">
        <v>0</v>
      </c>
      <c r="AW145" s="48">
        <v>0</v>
      </c>
      <c r="AX145" s="48">
        <v>0</v>
      </c>
      <c r="AY145" s="48">
        <v>0</v>
      </c>
      <c r="AZ145" s="48">
        <v>0</v>
      </c>
      <c r="BA145" s="48">
        <v>0</v>
      </c>
      <c r="BB145" s="48">
        <v>0</v>
      </c>
    </row>
    <row r="146" spans="1:54" x14ac:dyDescent="0.35">
      <c r="A146" s="49">
        <v>45930</v>
      </c>
      <c r="B146" s="48">
        <v>1</v>
      </c>
      <c r="C146" s="50" t="s">
        <v>32</v>
      </c>
      <c r="D146" s="48" t="s">
        <v>31</v>
      </c>
      <c r="E146" s="48" t="s">
        <v>138</v>
      </c>
      <c r="F146" s="48" t="s">
        <v>139</v>
      </c>
      <c r="G146" s="49" t="s">
        <v>59</v>
      </c>
      <c r="H146" s="48" t="s">
        <v>159</v>
      </c>
      <c r="I146" s="48">
        <v>1</v>
      </c>
      <c r="J146" s="48">
        <v>33</v>
      </c>
      <c r="K146" s="48">
        <v>1</v>
      </c>
      <c r="N146" s="48">
        <v>0</v>
      </c>
      <c r="R146" s="49"/>
      <c r="S146" s="49"/>
      <c r="T146" s="49">
        <v>46934</v>
      </c>
      <c r="U146" s="49">
        <v>46934</v>
      </c>
      <c r="V146" s="49">
        <v>46934</v>
      </c>
      <c r="W146" s="49">
        <v>46934</v>
      </c>
      <c r="X146" s="48">
        <v>1</v>
      </c>
      <c r="Y146" s="48">
        <v>1</v>
      </c>
      <c r="Z146" s="48">
        <v>1</v>
      </c>
      <c r="AA146" s="156">
        <v>26803.587027067224</v>
      </c>
      <c r="AF146" s="48">
        <v>0</v>
      </c>
      <c r="AG146" s="49" t="s">
        <v>32</v>
      </c>
      <c r="AH146" s="48">
        <v>1</v>
      </c>
      <c r="AI146" s="48" t="s">
        <v>33</v>
      </c>
      <c r="AJ146" s="48" t="s">
        <v>33</v>
      </c>
      <c r="AK146" s="48" t="s">
        <v>33</v>
      </c>
      <c r="AL146" s="48" t="s">
        <v>34</v>
      </c>
      <c r="AN146" s="48">
        <v>0</v>
      </c>
      <c r="AO146" s="48">
        <v>0</v>
      </c>
      <c r="AP146" s="48">
        <v>0</v>
      </c>
      <c r="AQ146" s="48">
        <v>0</v>
      </c>
      <c r="AR146" s="48">
        <v>0</v>
      </c>
      <c r="AS146" s="48">
        <v>0</v>
      </c>
      <c r="AT146" s="48">
        <v>0</v>
      </c>
      <c r="AU146" s="48">
        <v>0</v>
      </c>
      <c r="AV146" s="48">
        <v>0</v>
      </c>
      <c r="AW146" s="48">
        <v>0</v>
      </c>
      <c r="AX146" s="48">
        <v>0</v>
      </c>
      <c r="AY146" s="48">
        <v>0</v>
      </c>
      <c r="AZ146" s="48">
        <v>0</v>
      </c>
      <c r="BA146" s="48">
        <v>0</v>
      </c>
      <c r="BB146" s="48">
        <v>0</v>
      </c>
    </row>
    <row r="147" spans="1:54" x14ac:dyDescent="0.35">
      <c r="A147" s="49">
        <v>45930</v>
      </c>
      <c r="B147" s="48">
        <v>1</v>
      </c>
      <c r="C147" s="50" t="s">
        <v>32</v>
      </c>
      <c r="D147" s="48" t="s">
        <v>31</v>
      </c>
      <c r="E147" s="48" t="s">
        <v>138</v>
      </c>
      <c r="F147" s="48" t="s">
        <v>139</v>
      </c>
      <c r="G147" s="49" t="s">
        <v>59</v>
      </c>
      <c r="H147" s="48" t="s">
        <v>159</v>
      </c>
      <c r="I147" s="48">
        <v>1</v>
      </c>
      <c r="J147" s="48">
        <v>34</v>
      </c>
      <c r="K147" s="48">
        <v>1</v>
      </c>
      <c r="N147" s="48">
        <v>0</v>
      </c>
      <c r="R147" s="49"/>
      <c r="S147" s="49"/>
      <c r="T147" s="49">
        <v>46965</v>
      </c>
      <c r="U147" s="49">
        <v>46965</v>
      </c>
      <c r="V147" s="49">
        <v>46965</v>
      </c>
      <c r="W147" s="49">
        <v>46965</v>
      </c>
      <c r="X147" s="48">
        <v>1</v>
      </c>
      <c r="Y147" s="48">
        <v>1</v>
      </c>
      <c r="Z147" s="48">
        <v>1</v>
      </c>
      <c r="AA147" s="156">
        <v>26803.587027067224</v>
      </c>
      <c r="AF147" s="48">
        <v>0</v>
      </c>
      <c r="AG147" s="49" t="s">
        <v>32</v>
      </c>
      <c r="AH147" s="48">
        <v>1</v>
      </c>
      <c r="AI147" s="48" t="s">
        <v>33</v>
      </c>
      <c r="AJ147" s="48" t="s">
        <v>33</v>
      </c>
      <c r="AK147" s="48" t="s">
        <v>33</v>
      </c>
      <c r="AL147" s="48" t="s">
        <v>34</v>
      </c>
      <c r="AN147" s="48">
        <v>0</v>
      </c>
      <c r="AO147" s="48">
        <v>0</v>
      </c>
      <c r="AP147" s="48">
        <v>0</v>
      </c>
      <c r="AQ147" s="48">
        <v>0</v>
      </c>
      <c r="AR147" s="48">
        <v>0</v>
      </c>
      <c r="AS147" s="48">
        <v>0</v>
      </c>
      <c r="AT147" s="48">
        <v>0</v>
      </c>
      <c r="AU147" s="48">
        <v>0</v>
      </c>
      <c r="AV147" s="48">
        <v>0</v>
      </c>
      <c r="AW147" s="48">
        <v>0</v>
      </c>
      <c r="AX147" s="48">
        <v>0</v>
      </c>
      <c r="AY147" s="48">
        <v>0</v>
      </c>
      <c r="AZ147" s="48">
        <v>0</v>
      </c>
      <c r="BA147" s="48">
        <v>0</v>
      </c>
      <c r="BB147" s="48">
        <v>0</v>
      </c>
    </row>
    <row r="148" spans="1:54" x14ac:dyDescent="0.35">
      <c r="A148" s="49">
        <v>45930</v>
      </c>
      <c r="B148" s="48">
        <v>1</v>
      </c>
      <c r="C148" s="50" t="s">
        <v>32</v>
      </c>
      <c r="D148" s="48" t="s">
        <v>31</v>
      </c>
      <c r="E148" s="48" t="s">
        <v>138</v>
      </c>
      <c r="F148" s="48" t="s">
        <v>139</v>
      </c>
      <c r="G148" s="49" t="s">
        <v>59</v>
      </c>
      <c r="H148" s="48" t="s">
        <v>159</v>
      </c>
      <c r="I148" s="48">
        <v>1</v>
      </c>
      <c r="J148" s="48">
        <v>35</v>
      </c>
      <c r="K148" s="48">
        <v>1</v>
      </c>
      <c r="N148" s="48">
        <v>0</v>
      </c>
      <c r="R148" s="49"/>
      <c r="S148" s="49"/>
      <c r="T148" s="49">
        <v>46996</v>
      </c>
      <c r="U148" s="49">
        <v>46996</v>
      </c>
      <c r="V148" s="49">
        <v>46996</v>
      </c>
      <c r="W148" s="49">
        <v>46996</v>
      </c>
      <c r="X148" s="48">
        <v>1</v>
      </c>
      <c r="Y148" s="48">
        <v>1</v>
      </c>
      <c r="Z148" s="48">
        <v>1</v>
      </c>
      <c r="AA148" s="156">
        <v>26803.587027067224</v>
      </c>
      <c r="AF148" s="48">
        <v>0</v>
      </c>
      <c r="AG148" s="49" t="s">
        <v>32</v>
      </c>
      <c r="AH148" s="48">
        <v>1</v>
      </c>
      <c r="AI148" s="48" t="s">
        <v>33</v>
      </c>
      <c r="AJ148" s="48" t="s">
        <v>33</v>
      </c>
      <c r="AK148" s="48" t="s">
        <v>33</v>
      </c>
      <c r="AL148" s="48" t="s">
        <v>34</v>
      </c>
      <c r="AN148" s="48">
        <v>0</v>
      </c>
      <c r="AO148" s="48">
        <v>0</v>
      </c>
      <c r="AP148" s="48">
        <v>0</v>
      </c>
      <c r="AQ148" s="48">
        <v>0</v>
      </c>
      <c r="AR148" s="48">
        <v>0</v>
      </c>
      <c r="AS148" s="48">
        <v>0</v>
      </c>
      <c r="AT148" s="48">
        <v>0</v>
      </c>
      <c r="AU148" s="48">
        <v>0</v>
      </c>
      <c r="AV148" s="48">
        <v>0</v>
      </c>
      <c r="AW148" s="48">
        <v>0</v>
      </c>
      <c r="AX148" s="48">
        <v>0</v>
      </c>
      <c r="AY148" s="48">
        <v>0</v>
      </c>
      <c r="AZ148" s="48">
        <v>0</v>
      </c>
      <c r="BA148" s="48">
        <v>0</v>
      </c>
      <c r="BB148" s="48">
        <v>0</v>
      </c>
    </row>
    <row r="149" spans="1:54" x14ac:dyDescent="0.35">
      <c r="A149" s="49">
        <v>45930</v>
      </c>
      <c r="B149" s="48">
        <v>1</v>
      </c>
      <c r="C149" s="50" t="s">
        <v>32</v>
      </c>
      <c r="D149" s="48" t="s">
        <v>31</v>
      </c>
      <c r="E149" s="48" t="s">
        <v>138</v>
      </c>
      <c r="F149" s="48" t="s">
        <v>139</v>
      </c>
      <c r="G149" s="49" t="s">
        <v>59</v>
      </c>
      <c r="H149" s="48" t="s">
        <v>159</v>
      </c>
      <c r="I149" s="48">
        <v>1</v>
      </c>
      <c r="J149" s="48">
        <v>36</v>
      </c>
      <c r="K149" s="48">
        <v>1</v>
      </c>
      <c r="N149" s="48">
        <v>0</v>
      </c>
      <c r="R149" s="49"/>
      <c r="S149" s="49"/>
      <c r="T149" s="49">
        <v>47026</v>
      </c>
      <c r="U149" s="49">
        <v>47026</v>
      </c>
      <c r="V149" s="49">
        <v>47026</v>
      </c>
      <c r="W149" s="49">
        <v>47026</v>
      </c>
      <c r="X149" s="48">
        <v>1</v>
      </c>
      <c r="Y149" s="48">
        <v>1</v>
      </c>
      <c r="Z149" s="48">
        <v>1</v>
      </c>
      <c r="AA149" s="156">
        <v>26803.587027067224</v>
      </c>
      <c r="AF149" s="48">
        <v>0</v>
      </c>
      <c r="AG149" s="49" t="s">
        <v>32</v>
      </c>
      <c r="AH149" s="48">
        <v>1</v>
      </c>
      <c r="AI149" s="48" t="s">
        <v>33</v>
      </c>
      <c r="AJ149" s="48" t="s">
        <v>33</v>
      </c>
      <c r="AK149" s="48" t="s">
        <v>33</v>
      </c>
      <c r="AL149" s="48" t="s">
        <v>34</v>
      </c>
      <c r="AN149" s="48">
        <v>0</v>
      </c>
      <c r="AO149" s="48">
        <v>0</v>
      </c>
      <c r="AP149" s="48">
        <v>0</v>
      </c>
      <c r="AQ149" s="48">
        <v>0</v>
      </c>
      <c r="AR149" s="48">
        <v>0</v>
      </c>
      <c r="AS149" s="48">
        <v>0</v>
      </c>
      <c r="AT149" s="48">
        <v>0</v>
      </c>
      <c r="AU149" s="48">
        <v>0</v>
      </c>
      <c r="AV149" s="48">
        <v>0</v>
      </c>
      <c r="AW149" s="48">
        <v>0</v>
      </c>
      <c r="AX149" s="48">
        <v>0</v>
      </c>
      <c r="AY149" s="48">
        <v>0</v>
      </c>
      <c r="AZ149" s="48">
        <v>0</v>
      </c>
      <c r="BA149" s="48">
        <v>0</v>
      </c>
      <c r="BB149" s="48">
        <v>0</v>
      </c>
    </row>
    <row r="150" spans="1:54" x14ac:dyDescent="0.35">
      <c r="A150" s="49">
        <v>45930</v>
      </c>
      <c r="B150" s="48">
        <v>1</v>
      </c>
      <c r="C150" s="50" t="s">
        <v>32</v>
      </c>
      <c r="D150" s="48" t="s">
        <v>31</v>
      </c>
      <c r="E150" s="48" t="s">
        <v>138</v>
      </c>
      <c r="F150" s="48" t="s">
        <v>139</v>
      </c>
      <c r="G150" s="49" t="s">
        <v>59</v>
      </c>
      <c r="H150" s="48" t="s">
        <v>159</v>
      </c>
      <c r="I150" s="48">
        <v>1</v>
      </c>
      <c r="J150" s="48">
        <v>37</v>
      </c>
      <c r="K150" s="48">
        <v>1</v>
      </c>
      <c r="N150" s="48">
        <v>0</v>
      </c>
      <c r="R150" s="49"/>
      <c r="S150" s="49"/>
      <c r="T150" s="49">
        <v>47057</v>
      </c>
      <c r="U150" s="49">
        <v>47057</v>
      </c>
      <c r="V150" s="49">
        <v>47057</v>
      </c>
      <c r="W150" s="49">
        <v>47057</v>
      </c>
      <c r="X150" s="48">
        <v>1</v>
      </c>
      <c r="Y150" s="48">
        <v>1</v>
      </c>
      <c r="Z150" s="48">
        <v>1</v>
      </c>
      <c r="AA150" s="156">
        <v>26803.587027067224</v>
      </c>
      <c r="AF150" s="48">
        <v>0</v>
      </c>
      <c r="AG150" s="49" t="s">
        <v>32</v>
      </c>
      <c r="AH150" s="48">
        <v>1</v>
      </c>
      <c r="AI150" s="48" t="s">
        <v>33</v>
      </c>
      <c r="AJ150" s="48" t="s">
        <v>33</v>
      </c>
      <c r="AK150" s="48" t="s">
        <v>33</v>
      </c>
      <c r="AL150" s="48" t="s">
        <v>34</v>
      </c>
      <c r="AN150" s="48">
        <v>0</v>
      </c>
      <c r="AO150" s="48">
        <v>0</v>
      </c>
      <c r="AP150" s="48">
        <v>0</v>
      </c>
      <c r="AQ150" s="48">
        <v>0</v>
      </c>
      <c r="AR150" s="48">
        <v>0</v>
      </c>
      <c r="AS150" s="48">
        <v>0</v>
      </c>
      <c r="AT150" s="48">
        <v>0</v>
      </c>
      <c r="AU150" s="48">
        <v>0</v>
      </c>
      <c r="AV150" s="48">
        <v>0</v>
      </c>
      <c r="AW150" s="48">
        <v>0</v>
      </c>
      <c r="AX150" s="48">
        <v>0</v>
      </c>
      <c r="AY150" s="48">
        <v>0</v>
      </c>
      <c r="AZ150" s="48">
        <v>0</v>
      </c>
      <c r="BA150" s="48">
        <v>0</v>
      </c>
      <c r="BB150" s="48">
        <v>0</v>
      </c>
    </row>
    <row r="151" spans="1:54" x14ac:dyDescent="0.35">
      <c r="A151" s="49">
        <v>45930</v>
      </c>
      <c r="B151" s="48">
        <v>1</v>
      </c>
      <c r="C151" s="50" t="s">
        <v>32</v>
      </c>
      <c r="D151" s="48" t="s">
        <v>31</v>
      </c>
      <c r="E151" s="48" t="s">
        <v>138</v>
      </c>
      <c r="F151" s="48" t="s">
        <v>139</v>
      </c>
      <c r="G151" s="49" t="s">
        <v>59</v>
      </c>
      <c r="H151" s="48" t="s">
        <v>159</v>
      </c>
      <c r="I151" s="48">
        <v>1</v>
      </c>
      <c r="J151" s="48">
        <v>38</v>
      </c>
      <c r="K151" s="48">
        <v>1</v>
      </c>
      <c r="N151" s="48">
        <v>0</v>
      </c>
      <c r="R151" s="49"/>
      <c r="S151" s="49"/>
      <c r="T151" s="49">
        <v>47087</v>
      </c>
      <c r="U151" s="49">
        <v>47087</v>
      </c>
      <c r="V151" s="49">
        <v>47087</v>
      </c>
      <c r="W151" s="49">
        <v>47087</v>
      </c>
      <c r="X151" s="48">
        <v>1</v>
      </c>
      <c r="Y151" s="48">
        <v>1</v>
      </c>
      <c r="Z151" s="48">
        <v>1</v>
      </c>
      <c r="AA151" s="156">
        <v>26803.587027067224</v>
      </c>
      <c r="AF151" s="48">
        <v>0</v>
      </c>
      <c r="AG151" s="49" t="s">
        <v>32</v>
      </c>
      <c r="AH151" s="48">
        <v>1</v>
      </c>
      <c r="AI151" s="48" t="s">
        <v>33</v>
      </c>
      <c r="AJ151" s="48" t="s">
        <v>33</v>
      </c>
      <c r="AK151" s="48" t="s">
        <v>33</v>
      </c>
      <c r="AL151" s="48" t="s">
        <v>34</v>
      </c>
      <c r="AN151" s="48">
        <v>0</v>
      </c>
      <c r="AO151" s="48">
        <v>0</v>
      </c>
      <c r="AP151" s="48">
        <v>0</v>
      </c>
      <c r="AQ151" s="48">
        <v>0</v>
      </c>
      <c r="AR151" s="48">
        <v>0</v>
      </c>
      <c r="AS151" s="48">
        <v>0</v>
      </c>
      <c r="AT151" s="48">
        <v>0</v>
      </c>
      <c r="AU151" s="48">
        <v>0</v>
      </c>
      <c r="AV151" s="48">
        <v>0</v>
      </c>
      <c r="AW151" s="48">
        <v>0</v>
      </c>
      <c r="AX151" s="48">
        <v>0</v>
      </c>
      <c r="AY151" s="48">
        <v>0</v>
      </c>
      <c r="AZ151" s="48">
        <v>0</v>
      </c>
      <c r="BA151" s="48">
        <v>0</v>
      </c>
      <c r="BB151" s="48">
        <v>0</v>
      </c>
    </row>
    <row r="152" spans="1:54" x14ac:dyDescent="0.35">
      <c r="A152" s="49">
        <v>45930</v>
      </c>
      <c r="B152" s="48">
        <v>1</v>
      </c>
      <c r="C152" s="50" t="s">
        <v>32</v>
      </c>
      <c r="D152" s="48" t="s">
        <v>31</v>
      </c>
      <c r="E152" s="48" t="s">
        <v>138</v>
      </c>
      <c r="F152" s="48" t="s">
        <v>139</v>
      </c>
      <c r="G152" s="49" t="s">
        <v>59</v>
      </c>
      <c r="H152" s="48" t="s">
        <v>159</v>
      </c>
      <c r="I152" s="48">
        <v>1</v>
      </c>
      <c r="J152" s="48">
        <v>39</v>
      </c>
      <c r="K152" s="48">
        <v>1</v>
      </c>
      <c r="N152" s="48">
        <v>0</v>
      </c>
      <c r="R152" s="49"/>
      <c r="S152" s="49"/>
      <c r="T152" s="49">
        <v>47118</v>
      </c>
      <c r="U152" s="49">
        <v>47118</v>
      </c>
      <c r="V152" s="49">
        <v>47118</v>
      </c>
      <c r="W152" s="49">
        <v>47118</v>
      </c>
      <c r="X152" s="48">
        <v>1</v>
      </c>
      <c r="Y152" s="48">
        <v>1</v>
      </c>
      <c r="Z152" s="48">
        <v>1</v>
      </c>
      <c r="AA152" s="156">
        <v>26803.587027067224</v>
      </c>
      <c r="AF152" s="48">
        <v>0</v>
      </c>
      <c r="AG152" s="49" t="s">
        <v>32</v>
      </c>
      <c r="AH152" s="48">
        <v>1</v>
      </c>
      <c r="AI152" s="48" t="s">
        <v>33</v>
      </c>
      <c r="AJ152" s="48" t="s">
        <v>33</v>
      </c>
      <c r="AK152" s="48" t="s">
        <v>33</v>
      </c>
      <c r="AL152" s="48" t="s">
        <v>34</v>
      </c>
      <c r="AN152" s="48">
        <v>0</v>
      </c>
      <c r="AO152" s="48">
        <v>0</v>
      </c>
      <c r="AP152" s="48">
        <v>0</v>
      </c>
      <c r="AQ152" s="48">
        <v>0</v>
      </c>
      <c r="AR152" s="48">
        <v>0</v>
      </c>
      <c r="AS152" s="48">
        <v>0</v>
      </c>
      <c r="AT152" s="48">
        <v>0</v>
      </c>
      <c r="AU152" s="48">
        <v>0</v>
      </c>
      <c r="AV152" s="48">
        <v>0</v>
      </c>
      <c r="AW152" s="48">
        <v>0</v>
      </c>
      <c r="AX152" s="48">
        <v>0</v>
      </c>
      <c r="AY152" s="48">
        <v>0</v>
      </c>
      <c r="AZ152" s="48">
        <v>0</v>
      </c>
      <c r="BA152" s="48">
        <v>0</v>
      </c>
      <c r="BB152" s="48">
        <v>0</v>
      </c>
    </row>
    <row r="153" spans="1:54" x14ac:dyDescent="0.35">
      <c r="A153" s="49">
        <v>45930</v>
      </c>
      <c r="B153" s="48">
        <v>1</v>
      </c>
      <c r="C153" s="50" t="s">
        <v>32</v>
      </c>
      <c r="D153" s="48" t="s">
        <v>31</v>
      </c>
      <c r="E153" s="48" t="s">
        <v>138</v>
      </c>
      <c r="F153" s="48" t="s">
        <v>139</v>
      </c>
      <c r="G153" s="49" t="s">
        <v>59</v>
      </c>
      <c r="H153" s="48" t="s">
        <v>159</v>
      </c>
      <c r="I153" s="48">
        <v>1</v>
      </c>
      <c r="J153" s="48">
        <v>40</v>
      </c>
      <c r="K153" s="48">
        <v>1</v>
      </c>
      <c r="N153" s="48">
        <v>0</v>
      </c>
      <c r="R153" s="49"/>
      <c r="S153" s="49"/>
      <c r="T153" s="49">
        <v>47149</v>
      </c>
      <c r="U153" s="49">
        <v>47149</v>
      </c>
      <c r="V153" s="49">
        <v>47149</v>
      </c>
      <c r="W153" s="49">
        <v>47149</v>
      </c>
      <c r="X153" s="48">
        <v>1</v>
      </c>
      <c r="Y153" s="48">
        <v>1</v>
      </c>
      <c r="Z153" s="48">
        <v>1</v>
      </c>
      <c r="AA153" s="156">
        <v>26803.587027067224</v>
      </c>
      <c r="AF153" s="48">
        <v>0</v>
      </c>
      <c r="AG153" s="49" t="s">
        <v>32</v>
      </c>
      <c r="AH153" s="48">
        <v>1</v>
      </c>
      <c r="AI153" s="48" t="s">
        <v>33</v>
      </c>
      <c r="AJ153" s="48" t="s">
        <v>33</v>
      </c>
      <c r="AK153" s="48" t="s">
        <v>33</v>
      </c>
      <c r="AL153" s="48" t="s">
        <v>34</v>
      </c>
      <c r="AN153" s="48">
        <v>0</v>
      </c>
      <c r="AO153" s="48">
        <v>0</v>
      </c>
      <c r="AP153" s="48">
        <v>0</v>
      </c>
      <c r="AQ153" s="48">
        <v>0</v>
      </c>
      <c r="AR153" s="48">
        <v>0</v>
      </c>
      <c r="AS153" s="48">
        <v>0</v>
      </c>
      <c r="AT153" s="48">
        <v>0</v>
      </c>
      <c r="AU153" s="48">
        <v>0</v>
      </c>
      <c r="AV153" s="48">
        <v>0</v>
      </c>
      <c r="AW153" s="48">
        <v>0</v>
      </c>
      <c r="AX153" s="48">
        <v>0</v>
      </c>
      <c r="AY153" s="48">
        <v>0</v>
      </c>
      <c r="AZ153" s="48">
        <v>0</v>
      </c>
      <c r="BA153" s="48">
        <v>0</v>
      </c>
      <c r="BB153" s="48">
        <v>0</v>
      </c>
    </row>
    <row r="154" spans="1:54" x14ac:dyDescent="0.35">
      <c r="A154" s="49">
        <v>45930</v>
      </c>
      <c r="B154" s="48">
        <v>1</v>
      </c>
      <c r="C154" s="50" t="s">
        <v>32</v>
      </c>
      <c r="D154" s="48" t="s">
        <v>31</v>
      </c>
      <c r="E154" s="48" t="s">
        <v>138</v>
      </c>
      <c r="F154" s="48" t="s">
        <v>139</v>
      </c>
      <c r="G154" s="49" t="s">
        <v>59</v>
      </c>
      <c r="H154" s="48" t="s">
        <v>159</v>
      </c>
      <c r="I154" s="48">
        <v>1</v>
      </c>
      <c r="J154" s="48">
        <v>41</v>
      </c>
      <c r="K154" s="48">
        <v>1</v>
      </c>
      <c r="N154" s="48">
        <v>0</v>
      </c>
      <c r="R154" s="49"/>
      <c r="S154" s="49"/>
      <c r="T154" s="49">
        <v>47177</v>
      </c>
      <c r="U154" s="49">
        <v>47177</v>
      </c>
      <c r="V154" s="49">
        <v>47177</v>
      </c>
      <c r="W154" s="49">
        <v>47177</v>
      </c>
      <c r="X154" s="48">
        <v>1</v>
      </c>
      <c r="Y154" s="48">
        <v>1</v>
      </c>
      <c r="Z154" s="48">
        <v>1</v>
      </c>
      <c r="AA154" s="156">
        <v>26803.587027067224</v>
      </c>
      <c r="AF154" s="48">
        <v>0</v>
      </c>
      <c r="AG154" s="49" t="s">
        <v>32</v>
      </c>
      <c r="AH154" s="48">
        <v>1</v>
      </c>
      <c r="AI154" s="48" t="s">
        <v>33</v>
      </c>
      <c r="AJ154" s="48" t="s">
        <v>33</v>
      </c>
      <c r="AK154" s="48" t="s">
        <v>33</v>
      </c>
      <c r="AL154" s="48" t="s">
        <v>34</v>
      </c>
      <c r="AN154" s="48">
        <v>0</v>
      </c>
      <c r="AO154" s="48">
        <v>0</v>
      </c>
      <c r="AP154" s="48">
        <v>0</v>
      </c>
      <c r="AQ154" s="48">
        <v>0</v>
      </c>
      <c r="AR154" s="48">
        <v>0</v>
      </c>
      <c r="AS154" s="48">
        <v>0</v>
      </c>
      <c r="AT154" s="48">
        <v>0</v>
      </c>
      <c r="AU154" s="48">
        <v>0</v>
      </c>
      <c r="AV154" s="48">
        <v>0</v>
      </c>
      <c r="AW154" s="48">
        <v>0</v>
      </c>
      <c r="AX154" s="48">
        <v>0</v>
      </c>
      <c r="AY154" s="48">
        <v>0</v>
      </c>
      <c r="AZ154" s="48">
        <v>0</v>
      </c>
      <c r="BA154" s="48">
        <v>0</v>
      </c>
      <c r="BB154" s="48">
        <v>0</v>
      </c>
    </row>
    <row r="155" spans="1:54" x14ac:dyDescent="0.35">
      <c r="A155" s="49">
        <v>45930</v>
      </c>
      <c r="B155" s="48">
        <v>1</v>
      </c>
      <c r="C155" s="50" t="s">
        <v>32</v>
      </c>
      <c r="D155" s="48" t="s">
        <v>31</v>
      </c>
      <c r="E155" s="48" t="s">
        <v>138</v>
      </c>
      <c r="F155" s="48" t="s">
        <v>139</v>
      </c>
      <c r="G155" s="49" t="s">
        <v>59</v>
      </c>
      <c r="H155" s="48" t="s">
        <v>159</v>
      </c>
      <c r="I155" s="48">
        <v>1</v>
      </c>
      <c r="J155" s="48">
        <v>42</v>
      </c>
      <c r="K155" s="48">
        <v>1</v>
      </c>
      <c r="N155" s="48">
        <v>0</v>
      </c>
      <c r="R155" s="49"/>
      <c r="S155" s="49"/>
      <c r="T155" s="49">
        <v>47208</v>
      </c>
      <c r="U155" s="49">
        <v>47208</v>
      </c>
      <c r="V155" s="49">
        <v>47208</v>
      </c>
      <c r="W155" s="49">
        <v>47208</v>
      </c>
      <c r="X155" s="48">
        <v>1</v>
      </c>
      <c r="Y155" s="48">
        <v>1</v>
      </c>
      <c r="Z155" s="48">
        <v>1</v>
      </c>
      <c r="AA155" s="156">
        <v>26803.587027067224</v>
      </c>
      <c r="AF155" s="48">
        <v>0</v>
      </c>
      <c r="AG155" s="49" t="s">
        <v>32</v>
      </c>
      <c r="AH155" s="48">
        <v>1</v>
      </c>
      <c r="AI155" s="48" t="s">
        <v>33</v>
      </c>
      <c r="AJ155" s="48" t="s">
        <v>33</v>
      </c>
      <c r="AK155" s="48" t="s">
        <v>33</v>
      </c>
      <c r="AL155" s="48" t="s">
        <v>34</v>
      </c>
      <c r="AN155" s="48">
        <v>0</v>
      </c>
      <c r="AO155" s="48">
        <v>0</v>
      </c>
      <c r="AP155" s="48">
        <v>0</v>
      </c>
      <c r="AQ155" s="48">
        <v>0</v>
      </c>
      <c r="AR155" s="48">
        <v>0</v>
      </c>
      <c r="AS155" s="48">
        <v>0</v>
      </c>
      <c r="AT155" s="48">
        <v>0</v>
      </c>
      <c r="AU155" s="48">
        <v>0</v>
      </c>
      <c r="AV155" s="48">
        <v>0</v>
      </c>
      <c r="AW155" s="48">
        <v>0</v>
      </c>
      <c r="AX155" s="48">
        <v>0</v>
      </c>
      <c r="AY155" s="48">
        <v>0</v>
      </c>
      <c r="AZ155" s="48">
        <v>0</v>
      </c>
      <c r="BA155" s="48">
        <v>0</v>
      </c>
      <c r="BB155" s="48">
        <v>0</v>
      </c>
    </row>
    <row r="156" spans="1:54" x14ac:dyDescent="0.35">
      <c r="A156" s="49">
        <v>45930</v>
      </c>
      <c r="B156" s="48">
        <v>1</v>
      </c>
      <c r="C156" s="50" t="s">
        <v>32</v>
      </c>
      <c r="D156" s="48" t="s">
        <v>31</v>
      </c>
      <c r="E156" s="48" t="s">
        <v>138</v>
      </c>
      <c r="F156" s="48" t="s">
        <v>139</v>
      </c>
      <c r="G156" s="49" t="s">
        <v>59</v>
      </c>
      <c r="H156" s="48" t="s">
        <v>159</v>
      </c>
      <c r="I156" s="48">
        <v>1</v>
      </c>
      <c r="J156" s="48">
        <v>43</v>
      </c>
      <c r="K156" s="48">
        <v>1</v>
      </c>
      <c r="N156" s="48">
        <v>0</v>
      </c>
      <c r="R156" s="49"/>
      <c r="S156" s="49"/>
      <c r="T156" s="49">
        <v>47238</v>
      </c>
      <c r="U156" s="49">
        <v>47238</v>
      </c>
      <c r="V156" s="49">
        <v>47238</v>
      </c>
      <c r="W156" s="49">
        <v>47238</v>
      </c>
      <c r="X156" s="48">
        <v>1</v>
      </c>
      <c r="Y156" s="48">
        <v>1</v>
      </c>
      <c r="Z156" s="48">
        <v>1</v>
      </c>
      <c r="AA156" s="156">
        <v>26803.587027067224</v>
      </c>
      <c r="AF156" s="48">
        <v>0</v>
      </c>
      <c r="AG156" s="49" t="s">
        <v>32</v>
      </c>
      <c r="AH156" s="48">
        <v>1</v>
      </c>
      <c r="AI156" s="48" t="s">
        <v>33</v>
      </c>
      <c r="AJ156" s="48" t="s">
        <v>33</v>
      </c>
      <c r="AK156" s="48" t="s">
        <v>33</v>
      </c>
      <c r="AL156" s="48" t="s">
        <v>34</v>
      </c>
      <c r="AN156" s="48">
        <v>0</v>
      </c>
      <c r="AO156" s="48">
        <v>0</v>
      </c>
      <c r="AP156" s="48">
        <v>0</v>
      </c>
      <c r="AQ156" s="48">
        <v>0</v>
      </c>
      <c r="AR156" s="48">
        <v>0</v>
      </c>
      <c r="AS156" s="48">
        <v>0</v>
      </c>
      <c r="AT156" s="48">
        <v>0</v>
      </c>
      <c r="AU156" s="48">
        <v>0</v>
      </c>
      <c r="AV156" s="48">
        <v>0</v>
      </c>
      <c r="AW156" s="48">
        <v>0</v>
      </c>
      <c r="AX156" s="48">
        <v>0</v>
      </c>
      <c r="AY156" s="48">
        <v>0</v>
      </c>
      <c r="AZ156" s="48">
        <v>0</v>
      </c>
      <c r="BA156" s="48">
        <v>0</v>
      </c>
      <c r="BB156" s="48">
        <v>0</v>
      </c>
    </row>
    <row r="157" spans="1:54" x14ac:dyDescent="0.35">
      <c r="A157" s="49">
        <v>45930</v>
      </c>
      <c r="B157" s="48">
        <v>1</v>
      </c>
      <c r="C157" s="50" t="s">
        <v>32</v>
      </c>
      <c r="D157" s="48" t="s">
        <v>31</v>
      </c>
      <c r="E157" s="48" t="s">
        <v>138</v>
      </c>
      <c r="F157" s="48" t="s">
        <v>139</v>
      </c>
      <c r="G157" s="49" t="s">
        <v>59</v>
      </c>
      <c r="H157" s="48" t="s">
        <v>159</v>
      </c>
      <c r="I157" s="48">
        <v>1</v>
      </c>
      <c r="J157" s="48">
        <v>44</v>
      </c>
      <c r="K157" s="48">
        <v>1</v>
      </c>
      <c r="N157" s="48">
        <v>0</v>
      </c>
      <c r="R157" s="49"/>
      <c r="S157" s="49"/>
      <c r="T157" s="49">
        <v>47269</v>
      </c>
      <c r="U157" s="49">
        <v>47269</v>
      </c>
      <c r="V157" s="49">
        <v>47269</v>
      </c>
      <c r="W157" s="49">
        <v>47269</v>
      </c>
      <c r="X157" s="48">
        <v>1</v>
      </c>
      <c r="Y157" s="48">
        <v>1</v>
      </c>
      <c r="Z157" s="48">
        <v>1</v>
      </c>
      <c r="AA157" s="156">
        <v>26803.587027067224</v>
      </c>
      <c r="AF157" s="48">
        <v>0</v>
      </c>
      <c r="AG157" s="49" t="s">
        <v>32</v>
      </c>
      <c r="AH157" s="48">
        <v>1</v>
      </c>
      <c r="AI157" s="48" t="s">
        <v>33</v>
      </c>
      <c r="AJ157" s="48" t="s">
        <v>33</v>
      </c>
      <c r="AK157" s="48" t="s">
        <v>33</v>
      </c>
      <c r="AL157" s="48" t="s">
        <v>34</v>
      </c>
      <c r="AN157" s="48">
        <v>0</v>
      </c>
      <c r="AO157" s="48">
        <v>0</v>
      </c>
      <c r="AP157" s="48">
        <v>0</v>
      </c>
      <c r="AQ157" s="48">
        <v>0</v>
      </c>
      <c r="AR157" s="48">
        <v>0</v>
      </c>
      <c r="AS157" s="48">
        <v>0</v>
      </c>
      <c r="AT157" s="48">
        <v>0</v>
      </c>
      <c r="AU157" s="48">
        <v>0</v>
      </c>
      <c r="AV157" s="48">
        <v>0</v>
      </c>
      <c r="AW157" s="48">
        <v>0</v>
      </c>
      <c r="AX157" s="48">
        <v>0</v>
      </c>
      <c r="AY157" s="48">
        <v>0</v>
      </c>
      <c r="AZ157" s="48">
        <v>0</v>
      </c>
      <c r="BA157" s="48">
        <v>0</v>
      </c>
      <c r="BB157" s="48">
        <v>0</v>
      </c>
    </row>
    <row r="158" spans="1:54" x14ac:dyDescent="0.35">
      <c r="A158" s="49">
        <v>45930</v>
      </c>
      <c r="B158" s="48">
        <v>1</v>
      </c>
      <c r="C158" s="50" t="s">
        <v>32</v>
      </c>
      <c r="D158" s="48" t="s">
        <v>31</v>
      </c>
      <c r="E158" s="48" t="s">
        <v>138</v>
      </c>
      <c r="F158" s="48" t="s">
        <v>139</v>
      </c>
      <c r="G158" s="49" t="s">
        <v>59</v>
      </c>
      <c r="H158" s="48" t="s">
        <v>159</v>
      </c>
      <c r="I158" s="48">
        <v>1</v>
      </c>
      <c r="J158" s="48">
        <v>45</v>
      </c>
      <c r="K158" s="48">
        <v>1</v>
      </c>
      <c r="N158" s="48">
        <v>0</v>
      </c>
      <c r="R158" s="49"/>
      <c r="S158" s="49"/>
      <c r="T158" s="49">
        <v>47299</v>
      </c>
      <c r="U158" s="49">
        <v>47299</v>
      </c>
      <c r="V158" s="49">
        <v>47299</v>
      </c>
      <c r="W158" s="49">
        <v>47299</v>
      </c>
      <c r="X158" s="48">
        <v>1</v>
      </c>
      <c r="Y158" s="48">
        <v>1</v>
      </c>
      <c r="Z158" s="48">
        <v>1</v>
      </c>
      <c r="AA158" s="156">
        <v>26803.587027067224</v>
      </c>
      <c r="AF158" s="48">
        <v>0</v>
      </c>
      <c r="AG158" s="49" t="s">
        <v>32</v>
      </c>
      <c r="AH158" s="48">
        <v>1</v>
      </c>
      <c r="AI158" s="48" t="s">
        <v>33</v>
      </c>
      <c r="AJ158" s="48" t="s">
        <v>33</v>
      </c>
      <c r="AK158" s="48" t="s">
        <v>33</v>
      </c>
      <c r="AL158" s="48" t="s">
        <v>34</v>
      </c>
      <c r="AN158" s="48">
        <v>0</v>
      </c>
      <c r="AO158" s="48">
        <v>0</v>
      </c>
      <c r="AP158" s="48">
        <v>0</v>
      </c>
      <c r="AQ158" s="48">
        <v>0</v>
      </c>
      <c r="AR158" s="48">
        <v>0</v>
      </c>
      <c r="AS158" s="48">
        <v>0</v>
      </c>
      <c r="AT158" s="48">
        <v>0</v>
      </c>
      <c r="AU158" s="48">
        <v>0</v>
      </c>
      <c r="AV158" s="48">
        <v>0</v>
      </c>
      <c r="AW158" s="48">
        <v>0</v>
      </c>
      <c r="AX158" s="48">
        <v>0</v>
      </c>
      <c r="AY158" s="48">
        <v>0</v>
      </c>
      <c r="AZ158" s="48">
        <v>0</v>
      </c>
      <c r="BA158" s="48">
        <v>0</v>
      </c>
      <c r="BB158" s="48">
        <v>0</v>
      </c>
    </row>
    <row r="159" spans="1:54" x14ac:dyDescent="0.35">
      <c r="A159" s="49">
        <v>45930</v>
      </c>
      <c r="B159" s="48">
        <v>1</v>
      </c>
      <c r="C159" s="50" t="s">
        <v>32</v>
      </c>
      <c r="D159" s="48" t="s">
        <v>31</v>
      </c>
      <c r="E159" s="48" t="s">
        <v>138</v>
      </c>
      <c r="F159" s="48" t="s">
        <v>139</v>
      </c>
      <c r="G159" s="49" t="s">
        <v>59</v>
      </c>
      <c r="H159" s="48" t="s">
        <v>159</v>
      </c>
      <c r="I159" s="48">
        <v>1</v>
      </c>
      <c r="J159" s="48">
        <v>46</v>
      </c>
      <c r="K159" s="48">
        <v>1</v>
      </c>
      <c r="N159" s="48">
        <v>0</v>
      </c>
      <c r="R159" s="49"/>
      <c r="S159" s="49"/>
      <c r="T159" s="49">
        <v>47330</v>
      </c>
      <c r="U159" s="49">
        <v>47330</v>
      </c>
      <c r="V159" s="49">
        <v>47330</v>
      </c>
      <c r="W159" s="49">
        <v>47330</v>
      </c>
      <c r="X159" s="48">
        <v>1</v>
      </c>
      <c r="Y159" s="48">
        <v>1</v>
      </c>
      <c r="Z159" s="48">
        <v>1</v>
      </c>
      <c r="AA159" s="156">
        <v>26803.587027067224</v>
      </c>
      <c r="AF159" s="48">
        <v>0</v>
      </c>
      <c r="AG159" s="49" t="s">
        <v>32</v>
      </c>
      <c r="AH159" s="48">
        <v>1</v>
      </c>
      <c r="AI159" s="48" t="s">
        <v>33</v>
      </c>
      <c r="AJ159" s="48" t="s">
        <v>33</v>
      </c>
      <c r="AK159" s="48" t="s">
        <v>33</v>
      </c>
      <c r="AL159" s="48" t="s">
        <v>34</v>
      </c>
      <c r="AN159" s="48">
        <v>0</v>
      </c>
      <c r="AO159" s="48">
        <v>0</v>
      </c>
      <c r="AP159" s="48">
        <v>0</v>
      </c>
      <c r="AQ159" s="48">
        <v>0</v>
      </c>
      <c r="AR159" s="48">
        <v>0</v>
      </c>
      <c r="AS159" s="48">
        <v>0</v>
      </c>
      <c r="AT159" s="48">
        <v>0</v>
      </c>
      <c r="AU159" s="48">
        <v>0</v>
      </c>
      <c r="AV159" s="48">
        <v>0</v>
      </c>
      <c r="AW159" s="48">
        <v>0</v>
      </c>
      <c r="AX159" s="48">
        <v>0</v>
      </c>
      <c r="AY159" s="48">
        <v>0</v>
      </c>
      <c r="AZ159" s="48">
        <v>0</v>
      </c>
      <c r="BA159" s="48">
        <v>0</v>
      </c>
      <c r="BB159" s="48">
        <v>0</v>
      </c>
    </row>
    <row r="160" spans="1:54" x14ac:dyDescent="0.35">
      <c r="A160" s="49">
        <v>45930</v>
      </c>
      <c r="B160" s="48">
        <v>1</v>
      </c>
      <c r="C160" s="50" t="s">
        <v>32</v>
      </c>
      <c r="D160" s="48" t="s">
        <v>31</v>
      </c>
      <c r="E160" s="48" t="s">
        <v>138</v>
      </c>
      <c r="F160" s="48" t="s">
        <v>139</v>
      </c>
      <c r="G160" s="49" t="s">
        <v>59</v>
      </c>
      <c r="H160" s="48" t="s">
        <v>159</v>
      </c>
      <c r="I160" s="48">
        <v>1</v>
      </c>
      <c r="J160" s="48">
        <v>47</v>
      </c>
      <c r="K160" s="48">
        <v>1</v>
      </c>
      <c r="N160" s="48">
        <v>0</v>
      </c>
      <c r="R160" s="49"/>
      <c r="S160" s="49"/>
      <c r="T160" s="49">
        <v>47361</v>
      </c>
      <c r="U160" s="49">
        <v>47361</v>
      </c>
      <c r="V160" s="49">
        <v>47361</v>
      </c>
      <c r="W160" s="49">
        <v>47361</v>
      </c>
      <c r="X160" s="48">
        <v>1</v>
      </c>
      <c r="Y160" s="48">
        <v>1</v>
      </c>
      <c r="Z160" s="48">
        <v>1</v>
      </c>
      <c r="AA160" s="156">
        <v>26803.587027067224</v>
      </c>
      <c r="AF160" s="48">
        <v>0</v>
      </c>
      <c r="AG160" s="49" t="s">
        <v>32</v>
      </c>
      <c r="AH160" s="48">
        <v>1</v>
      </c>
      <c r="AI160" s="48" t="s">
        <v>33</v>
      </c>
      <c r="AJ160" s="48" t="s">
        <v>33</v>
      </c>
      <c r="AK160" s="48" t="s">
        <v>33</v>
      </c>
      <c r="AL160" s="48" t="s">
        <v>34</v>
      </c>
      <c r="AN160" s="48">
        <v>0</v>
      </c>
      <c r="AO160" s="48">
        <v>0</v>
      </c>
      <c r="AP160" s="48">
        <v>0</v>
      </c>
      <c r="AQ160" s="48">
        <v>0</v>
      </c>
      <c r="AR160" s="48">
        <v>0</v>
      </c>
      <c r="AS160" s="48">
        <v>0</v>
      </c>
      <c r="AT160" s="48">
        <v>0</v>
      </c>
      <c r="AU160" s="48">
        <v>0</v>
      </c>
      <c r="AV160" s="48">
        <v>0</v>
      </c>
      <c r="AW160" s="48">
        <v>0</v>
      </c>
      <c r="AX160" s="48">
        <v>0</v>
      </c>
      <c r="AY160" s="48">
        <v>0</v>
      </c>
      <c r="AZ160" s="48">
        <v>0</v>
      </c>
      <c r="BA160" s="48">
        <v>0</v>
      </c>
      <c r="BB160" s="48">
        <v>0</v>
      </c>
    </row>
    <row r="161" spans="1:54" x14ac:dyDescent="0.35">
      <c r="A161" s="49">
        <v>45930</v>
      </c>
      <c r="B161" s="48">
        <v>1</v>
      </c>
      <c r="C161" s="50" t="s">
        <v>32</v>
      </c>
      <c r="D161" s="48" t="s">
        <v>31</v>
      </c>
      <c r="E161" s="48" t="s">
        <v>138</v>
      </c>
      <c r="F161" s="48" t="s">
        <v>139</v>
      </c>
      <c r="G161" s="49" t="s">
        <v>59</v>
      </c>
      <c r="H161" s="48" t="s">
        <v>159</v>
      </c>
      <c r="I161" s="48">
        <v>1</v>
      </c>
      <c r="J161" s="48">
        <v>48</v>
      </c>
      <c r="K161" s="48">
        <v>1</v>
      </c>
      <c r="N161" s="48">
        <v>0</v>
      </c>
      <c r="R161" s="49"/>
      <c r="S161" s="49"/>
      <c r="T161" s="49">
        <v>47391</v>
      </c>
      <c r="U161" s="49">
        <v>47391</v>
      </c>
      <c r="V161" s="49">
        <v>47391</v>
      </c>
      <c r="W161" s="49">
        <v>47391</v>
      </c>
      <c r="X161" s="48">
        <v>1</v>
      </c>
      <c r="Y161" s="48">
        <v>1</v>
      </c>
      <c r="Z161" s="48">
        <v>1</v>
      </c>
      <c r="AA161" s="156">
        <v>26803.587027067224</v>
      </c>
      <c r="AF161" s="48">
        <v>0</v>
      </c>
      <c r="AG161" s="49" t="s">
        <v>32</v>
      </c>
      <c r="AH161" s="48">
        <v>1</v>
      </c>
      <c r="AI161" s="48" t="s">
        <v>33</v>
      </c>
      <c r="AJ161" s="48" t="s">
        <v>33</v>
      </c>
      <c r="AK161" s="48" t="s">
        <v>33</v>
      </c>
      <c r="AL161" s="48" t="s">
        <v>34</v>
      </c>
      <c r="AN161" s="48">
        <v>0</v>
      </c>
      <c r="AO161" s="48">
        <v>0</v>
      </c>
      <c r="AP161" s="48">
        <v>0</v>
      </c>
      <c r="AQ161" s="48">
        <v>0</v>
      </c>
      <c r="AR161" s="48">
        <v>0</v>
      </c>
      <c r="AS161" s="48">
        <v>0</v>
      </c>
      <c r="AT161" s="48">
        <v>0</v>
      </c>
      <c r="AU161" s="48">
        <v>0</v>
      </c>
      <c r="AV161" s="48">
        <v>0</v>
      </c>
      <c r="AW161" s="48">
        <v>0</v>
      </c>
      <c r="AX161" s="48">
        <v>0</v>
      </c>
      <c r="AY161" s="48">
        <v>0</v>
      </c>
      <c r="AZ161" s="48">
        <v>0</v>
      </c>
      <c r="BA161" s="48">
        <v>0</v>
      </c>
      <c r="BB161" s="48">
        <v>0</v>
      </c>
    </row>
    <row r="162" spans="1:54" x14ac:dyDescent="0.35">
      <c r="A162" s="49">
        <v>45930</v>
      </c>
      <c r="B162" s="48">
        <v>1</v>
      </c>
      <c r="C162" s="50" t="s">
        <v>32</v>
      </c>
      <c r="D162" s="48" t="s">
        <v>31</v>
      </c>
      <c r="E162" s="48" t="s">
        <v>138</v>
      </c>
      <c r="F162" s="48" t="s">
        <v>139</v>
      </c>
      <c r="G162" s="49" t="s">
        <v>59</v>
      </c>
      <c r="H162" s="48" t="s">
        <v>159</v>
      </c>
      <c r="I162" s="48">
        <v>1</v>
      </c>
      <c r="J162" s="48">
        <v>49</v>
      </c>
      <c r="K162" s="48">
        <v>1</v>
      </c>
      <c r="N162" s="48">
        <v>0</v>
      </c>
      <c r="R162" s="49"/>
      <c r="S162" s="49"/>
      <c r="T162" s="49">
        <v>47422</v>
      </c>
      <c r="U162" s="49">
        <v>47422</v>
      </c>
      <c r="V162" s="49">
        <v>47422</v>
      </c>
      <c r="W162" s="49">
        <v>47422</v>
      </c>
      <c r="X162" s="48">
        <v>1</v>
      </c>
      <c r="Y162" s="48">
        <v>1</v>
      </c>
      <c r="Z162" s="48">
        <v>1</v>
      </c>
      <c r="AA162" s="156">
        <v>26803.587027067224</v>
      </c>
      <c r="AF162" s="48">
        <v>0</v>
      </c>
      <c r="AG162" s="49" t="s">
        <v>32</v>
      </c>
      <c r="AH162" s="48">
        <v>1</v>
      </c>
      <c r="AI162" s="48" t="s">
        <v>33</v>
      </c>
      <c r="AJ162" s="48" t="s">
        <v>33</v>
      </c>
      <c r="AK162" s="48" t="s">
        <v>33</v>
      </c>
      <c r="AL162" s="48" t="s">
        <v>34</v>
      </c>
      <c r="AN162" s="48">
        <v>0</v>
      </c>
      <c r="AO162" s="48">
        <v>0</v>
      </c>
      <c r="AP162" s="48">
        <v>0</v>
      </c>
      <c r="AQ162" s="48">
        <v>0</v>
      </c>
      <c r="AR162" s="48">
        <v>0</v>
      </c>
      <c r="AS162" s="48">
        <v>0</v>
      </c>
      <c r="AT162" s="48">
        <v>0</v>
      </c>
      <c r="AU162" s="48">
        <v>0</v>
      </c>
      <c r="AV162" s="48">
        <v>0</v>
      </c>
      <c r="AW162" s="48">
        <v>0</v>
      </c>
      <c r="AX162" s="48">
        <v>0</v>
      </c>
      <c r="AY162" s="48">
        <v>0</v>
      </c>
      <c r="AZ162" s="48">
        <v>0</v>
      </c>
      <c r="BA162" s="48">
        <v>0</v>
      </c>
      <c r="BB162" s="48">
        <v>0</v>
      </c>
    </row>
    <row r="163" spans="1:54" x14ac:dyDescent="0.35">
      <c r="A163" s="49">
        <v>45930</v>
      </c>
      <c r="B163" s="48">
        <v>1</v>
      </c>
      <c r="C163" s="50" t="s">
        <v>32</v>
      </c>
      <c r="D163" s="48" t="s">
        <v>31</v>
      </c>
      <c r="E163" s="48" t="s">
        <v>138</v>
      </c>
      <c r="F163" s="48" t="s">
        <v>139</v>
      </c>
      <c r="G163" s="49" t="s">
        <v>59</v>
      </c>
      <c r="H163" s="48" t="s">
        <v>159</v>
      </c>
      <c r="I163" s="48">
        <v>1</v>
      </c>
      <c r="J163" s="48">
        <v>50</v>
      </c>
      <c r="K163" s="48">
        <v>1</v>
      </c>
      <c r="N163" s="48">
        <v>0</v>
      </c>
      <c r="R163" s="49"/>
      <c r="S163" s="49"/>
      <c r="T163" s="49">
        <v>47452</v>
      </c>
      <c r="U163" s="49">
        <v>47452</v>
      </c>
      <c r="V163" s="49">
        <v>47452</v>
      </c>
      <c r="W163" s="49">
        <v>47452</v>
      </c>
      <c r="X163" s="48">
        <v>1</v>
      </c>
      <c r="Y163" s="48">
        <v>1</v>
      </c>
      <c r="Z163" s="48">
        <v>1</v>
      </c>
      <c r="AA163" s="156">
        <v>26803.587027067224</v>
      </c>
      <c r="AF163" s="48">
        <v>0</v>
      </c>
      <c r="AG163" s="49" t="s">
        <v>32</v>
      </c>
      <c r="AH163" s="48">
        <v>1</v>
      </c>
      <c r="AI163" s="48" t="s">
        <v>33</v>
      </c>
      <c r="AJ163" s="48" t="s">
        <v>33</v>
      </c>
      <c r="AK163" s="48" t="s">
        <v>33</v>
      </c>
      <c r="AL163" s="48" t="s">
        <v>34</v>
      </c>
      <c r="AN163" s="48">
        <v>0</v>
      </c>
      <c r="AO163" s="48">
        <v>0</v>
      </c>
      <c r="AP163" s="48">
        <v>0</v>
      </c>
      <c r="AQ163" s="48">
        <v>0</v>
      </c>
      <c r="AR163" s="48">
        <v>0</v>
      </c>
      <c r="AS163" s="48">
        <v>0</v>
      </c>
      <c r="AT163" s="48">
        <v>0</v>
      </c>
      <c r="AU163" s="48">
        <v>0</v>
      </c>
      <c r="AV163" s="48">
        <v>0</v>
      </c>
      <c r="AW163" s="48">
        <v>0</v>
      </c>
      <c r="AX163" s="48">
        <v>0</v>
      </c>
      <c r="AY163" s="48">
        <v>0</v>
      </c>
      <c r="AZ163" s="48">
        <v>0</v>
      </c>
      <c r="BA163" s="48">
        <v>0</v>
      </c>
      <c r="BB163" s="48">
        <v>0</v>
      </c>
    </row>
    <row r="164" spans="1:54" x14ac:dyDescent="0.35">
      <c r="A164" s="49">
        <v>45930</v>
      </c>
      <c r="B164" s="48">
        <v>1</v>
      </c>
      <c r="C164" s="50" t="s">
        <v>32</v>
      </c>
      <c r="D164" s="48" t="s">
        <v>31</v>
      </c>
      <c r="E164" s="48" t="s">
        <v>138</v>
      </c>
      <c r="F164" s="48" t="s">
        <v>139</v>
      </c>
      <c r="G164" s="49" t="s">
        <v>59</v>
      </c>
      <c r="H164" s="48" t="s">
        <v>159</v>
      </c>
      <c r="I164" s="48">
        <v>1</v>
      </c>
      <c r="J164" s="48">
        <v>51</v>
      </c>
      <c r="K164" s="48">
        <v>1</v>
      </c>
      <c r="N164" s="48">
        <v>0</v>
      </c>
      <c r="R164" s="49"/>
      <c r="S164" s="49"/>
      <c r="T164" s="49">
        <v>47483</v>
      </c>
      <c r="U164" s="49">
        <v>47483</v>
      </c>
      <c r="V164" s="49">
        <v>47483</v>
      </c>
      <c r="W164" s="49">
        <v>47483</v>
      </c>
      <c r="X164" s="48">
        <v>1</v>
      </c>
      <c r="Y164" s="48">
        <v>1</v>
      </c>
      <c r="Z164" s="48">
        <v>1</v>
      </c>
      <c r="AA164" s="156">
        <v>26803.587027067224</v>
      </c>
      <c r="AF164" s="48">
        <v>0</v>
      </c>
      <c r="AG164" s="49" t="s">
        <v>32</v>
      </c>
      <c r="AH164" s="48">
        <v>1</v>
      </c>
      <c r="AI164" s="48" t="s">
        <v>33</v>
      </c>
      <c r="AJ164" s="48" t="s">
        <v>33</v>
      </c>
      <c r="AK164" s="48" t="s">
        <v>33</v>
      </c>
      <c r="AL164" s="48" t="s">
        <v>34</v>
      </c>
      <c r="AN164" s="48">
        <v>0</v>
      </c>
      <c r="AO164" s="48">
        <v>0</v>
      </c>
      <c r="AP164" s="48">
        <v>0</v>
      </c>
      <c r="AQ164" s="48">
        <v>0</v>
      </c>
      <c r="AR164" s="48">
        <v>0</v>
      </c>
      <c r="AS164" s="48">
        <v>0</v>
      </c>
      <c r="AT164" s="48">
        <v>0</v>
      </c>
      <c r="AU164" s="48">
        <v>0</v>
      </c>
      <c r="AV164" s="48">
        <v>0</v>
      </c>
      <c r="AW164" s="48">
        <v>0</v>
      </c>
      <c r="AX164" s="48">
        <v>0</v>
      </c>
      <c r="AY164" s="48">
        <v>0</v>
      </c>
      <c r="AZ164" s="48">
        <v>0</v>
      </c>
      <c r="BA164" s="48">
        <v>0</v>
      </c>
      <c r="BB164" s="48">
        <v>0</v>
      </c>
    </row>
    <row r="165" spans="1:54" x14ac:dyDescent="0.35">
      <c r="A165" s="49">
        <v>45930</v>
      </c>
      <c r="B165" s="48">
        <v>1</v>
      </c>
      <c r="C165" s="50" t="s">
        <v>32</v>
      </c>
      <c r="D165" s="48" t="s">
        <v>31</v>
      </c>
      <c r="E165" s="48" t="s">
        <v>138</v>
      </c>
      <c r="F165" s="48" t="s">
        <v>139</v>
      </c>
      <c r="G165" s="49" t="s">
        <v>59</v>
      </c>
      <c r="H165" s="48" t="s">
        <v>159</v>
      </c>
      <c r="I165" s="48">
        <v>1</v>
      </c>
      <c r="J165" s="48">
        <v>52</v>
      </c>
      <c r="K165" s="48">
        <v>1</v>
      </c>
      <c r="N165" s="48">
        <v>0</v>
      </c>
      <c r="R165" s="49"/>
      <c r="S165" s="49"/>
      <c r="T165" s="49">
        <v>47514</v>
      </c>
      <c r="U165" s="49">
        <v>47514</v>
      </c>
      <c r="V165" s="49">
        <v>47514</v>
      </c>
      <c r="W165" s="49">
        <v>47514</v>
      </c>
      <c r="X165" s="48">
        <v>1</v>
      </c>
      <c r="Y165" s="48">
        <v>1</v>
      </c>
      <c r="Z165" s="48">
        <v>1</v>
      </c>
      <c r="AA165" s="156">
        <v>26803.587027067224</v>
      </c>
      <c r="AF165" s="48">
        <v>0</v>
      </c>
      <c r="AG165" s="49" t="s">
        <v>32</v>
      </c>
      <c r="AH165" s="48">
        <v>1</v>
      </c>
      <c r="AI165" s="48" t="s">
        <v>33</v>
      </c>
      <c r="AJ165" s="48" t="s">
        <v>33</v>
      </c>
      <c r="AK165" s="48" t="s">
        <v>33</v>
      </c>
      <c r="AL165" s="48" t="s">
        <v>34</v>
      </c>
      <c r="AN165" s="48">
        <v>0</v>
      </c>
      <c r="AO165" s="48">
        <v>0</v>
      </c>
      <c r="AP165" s="48">
        <v>0</v>
      </c>
      <c r="AQ165" s="48">
        <v>0</v>
      </c>
      <c r="AR165" s="48">
        <v>0</v>
      </c>
      <c r="AS165" s="48">
        <v>0</v>
      </c>
      <c r="AT165" s="48">
        <v>0</v>
      </c>
      <c r="AU165" s="48">
        <v>0</v>
      </c>
      <c r="AV165" s="48">
        <v>0</v>
      </c>
      <c r="AW165" s="48">
        <v>0</v>
      </c>
      <c r="AX165" s="48">
        <v>0</v>
      </c>
      <c r="AY165" s="48">
        <v>0</v>
      </c>
      <c r="AZ165" s="48">
        <v>0</v>
      </c>
      <c r="BA165" s="48">
        <v>0</v>
      </c>
      <c r="BB165" s="48">
        <v>0</v>
      </c>
    </row>
    <row r="166" spans="1:54" x14ac:dyDescent="0.35">
      <c r="A166" s="49">
        <v>45930</v>
      </c>
      <c r="B166" s="48">
        <v>1</v>
      </c>
      <c r="C166" s="50" t="s">
        <v>32</v>
      </c>
      <c r="D166" s="48" t="s">
        <v>31</v>
      </c>
      <c r="E166" s="48" t="s">
        <v>138</v>
      </c>
      <c r="F166" s="48" t="s">
        <v>139</v>
      </c>
      <c r="G166" s="49" t="s">
        <v>59</v>
      </c>
      <c r="H166" s="48" t="s">
        <v>159</v>
      </c>
      <c r="I166" s="48">
        <v>1</v>
      </c>
      <c r="J166" s="48">
        <v>53</v>
      </c>
      <c r="K166" s="48">
        <v>1</v>
      </c>
      <c r="N166" s="48">
        <v>0</v>
      </c>
      <c r="R166" s="49"/>
      <c r="S166" s="49"/>
      <c r="T166" s="49">
        <v>47542</v>
      </c>
      <c r="U166" s="49">
        <v>47542</v>
      </c>
      <c r="V166" s="49">
        <v>47542</v>
      </c>
      <c r="W166" s="49">
        <v>47542</v>
      </c>
      <c r="X166" s="48">
        <v>1</v>
      </c>
      <c r="Y166" s="48">
        <v>1</v>
      </c>
      <c r="Z166" s="48">
        <v>1</v>
      </c>
      <c r="AA166" s="156">
        <v>26803.587027067224</v>
      </c>
      <c r="AF166" s="48">
        <v>0</v>
      </c>
      <c r="AG166" s="49" t="s">
        <v>32</v>
      </c>
      <c r="AH166" s="48">
        <v>1</v>
      </c>
      <c r="AI166" s="48" t="s">
        <v>33</v>
      </c>
      <c r="AJ166" s="48" t="s">
        <v>33</v>
      </c>
      <c r="AK166" s="48" t="s">
        <v>33</v>
      </c>
      <c r="AL166" s="48" t="s">
        <v>34</v>
      </c>
      <c r="AN166" s="48">
        <v>0</v>
      </c>
      <c r="AO166" s="48">
        <v>0</v>
      </c>
      <c r="AP166" s="48">
        <v>0</v>
      </c>
      <c r="AQ166" s="48">
        <v>0</v>
      </c>
      <c r="AR166" s="48">
        <v>0</v>
      </c>
      <c r="AS166" s="48">
        <v>0</v>
      </c>
      <c r="AT166" s="48">
        <v>0</v>
      </c>
      <c r="AU166" s="48">
        <v>0</v>
      </c>
      <c r="AV166" s="48">
        <v>0</v>
      </c>
      <c r="AW166" s="48">
        <v>0</v>
      </c>
      <c r="AX166" s="48">
        <v>0</v>
      </c>
      <c r="AY166" s="48">
        <v>0</v>
      </c>
      <c r="AZ166" s="48">
        <v>0</v>
      </c>
      <c r="BA166" s="48">
        <v>0</v>
      </c>
      <c r="BB166" s="48">
        <v>0</v>
      </c>
    </row>
    <row r="167" spans="1:54" x14ac:dyDescent="0.35">
      <c r="A167" s="49">
        <v>45930</v>
      </c>
      <c r="B167" s="48">
        <v>1</v>
      </c>
      <c r="C167" s="50" t="s">
        <v>32</v>
      </c>
      <c r="D167" s="48" t="s">
        <v>31</v>
      </c>
      <c r="E167" s="48" t="s">
        <v>138</v>
      </c>
      <c r="F167" s="48" t="s">
        <v>139</v>
      </c>
      <c r="G167" s="49" t="s">
        <v>59</v>
      </c>
      <c r="H167" s="48" t="s">
        <v>159</v>
      </c>
      <c r="I167" s="48">
        <v>1</v>
      </c>
      <c r="J167" s="48">
        <v>54</v>
      </c>
      <c r="K167" s="48">
        <v>1</v>
      </c>
      <c r="N167" s="48">
        <v>0</v>
      </c>
      <c r="R167" s="49"/>
      <c r="S167" s="49"/>
      <c r="T167" s="49">
        <v>47573</v>
      </c>
      <c r="U167" s="49">
        <v>47573</v>
      </c>
      <c r="V167" s="49">
        <v>47573</v>
      </c>
      <c r="W167" s="49">
        <v>47573</v>
      </c>
      <c r="X167" s="48">
        <v>1</v>
      </c>
      <c r="Y167" s="48">
        <v>1</v>
      </c>
      <c r="Z167" s="48">
        <v>1</v>
      </c>
      <c r="AA167" s="156">
        <v>26803.587027067224</v>
      </c>
      <c r="AF167" s="48">
        <v>0</v>
      </c>
      <c r="AG167" s="49" t="s">
        <v>32</v>
      </c>
      <c r="AH167" s="48">
        <v>1</v>
      </c>
      <c r="AI167" s="48" t="s">
        <v>33</v>
      </c>
      <c r="AJ167" s="48" t="s">
        <v>33</v>
      </c>
      <c r="AK167" s="48" t="s">
        <v>33</v>
      </c>
      <c r="AL167" s="48" t="s">
        <v>34</v>
      </c>
      <c r="AN167" s="48">
        <v>0</v>
      </c>
      <c r="AO167" s="48">
        <v>0</v>
      </c>
      <c r="AP167" s="48">
        <v>0</v>
      </c>
      <c r="AQ167" s="48">
        <v>0</v>
      </c>
      <c r="AR167" s="48">
        <v>0</v>
      </c>
      <c r="AS167" s="48">
        <v>0</v>
      </c>
      <c r="AT167" s="48">
        <v>0</v>
      </c>
      <c r="AU167" s="48">
        <v>0</v>
      </c>
      <c r="AV167" s="48">
        <v>0</v>
      </c>
      <c r="AW167" s="48">
        <v>0</v>
      </c>
      <c r="AX167" s="48">
        <v>0</v>
      </c>
      <c r="AY167" s="48">
        <v>0</v>
      </c>
      <c r="AZ167" s="48">
        <v>0</v>
      </c>
      <c r="BA167" s="48">
        <v>0</v>
      </c>
      <c r="BB167" s="48">
        <v>0</v>
      </c>
    </row>
    <row r="168" spans="1:54" x14ac:dyDescent="0.35">
      <c r="A168" s="49">
        <v>45930</v>
      </c>
      <c r="B168" s="48">
        <v>1</v>
      </c>
      <c r="C168" s="50" t="s">
        <v>32</v>
      </c>
      <c r="D168" s="48" t="s">
        <v>31</v>
      </c>
      <c r="E168" s="48" t="s">
        <v>138</v>
      </c>
      <c r="F168" s="48" t="s">
        <v>139</v>
      </c>
      <c r="G168" s="49" t="s">
        <v>59</v>
      </c>
      <c r="H168" s="48" t="s">
        <v>159</v>
      </c>
      <c r="I168" s="48">
        <v>1</v>
      </c>
      <c r="J168" s="48">
        <v>55</v>
      </c>
      <c r="K168" s="48">
        <v>1</v>
      </c>
      <c r="N168" s="48">
        <v>0</v>
      </c>
      <c r="R168" s="49"/>
      <c r="S168" s="49"/>
      <c r="T168" s="49">
        <v>47603</v>
      </c>
      <c r="U168" s="49">
        <v>47603</v>
      </c>
      <c r="V168" s="49">
        <v>47603</v>
      </c>
      <c r="W168" s="49">
        <v>47603</v>
      </c>
      <c r="X168" s="48">
        <v>1</v>
      </c>
      <c r="Y168" s="48">
        <v>1</v>
      </c>
      <c r="Z168" s="48">
        <v>1</v>
      </c>
      <c r="AA168" s="156">
        <v>26803.587027067224</v>
      </c>
      <c r="AF168" s="48">
        <v>0</v>
      </c>
      <c r="AG168" s="49" t="s">
        <v>32</v>
      </c>
      <c r="AH168" s="48">
        <v>1</v>
      </c>
      <c r="AI168" s="48" t="s">
        <v>33</v>
      </c>
      <c r="AJ168" s="48" t="s">
        <v>33</v>
      </c>
      <c r="AK168" s="48" t="s">
        <v>33</v>
      </c>
      <c r="AL168" s="48" t="s">
        <v>34</v>
      </c>
      <c r="AN168" s="48">
        <v>0</v>
      </c>
      <c r="AO168" s="48">
        <v>0</v>
      </c>
      <c r="AP168" s="48">
        <v>0</v>
      </c>
      <c r="AQ168" s="48">
        <v>0</v>
      </c>
      <c r="AR168" s="48">
        <v>0</v>
      </c>
      <c r="AS168" s="48">
        <v>0</v>
      </c>
      <c r="AT168" s="48">
        <v>0</v>
      </c>
      <c r="AU168" s="48">
        <v>0</v>
      </c>
      <c r="AV168" s="48">
        <v>0</v>
      </c>
      <c r="AW168" s="48">
        <v>0</v>
      </c>
      <c r="AX168" s="48">
        <v>0</v>
      </c>
      <c r="AY168" s="48">
        <v>0</v>
      </c>
      <c r="AZ168" s="48">
        <v>0</v>
      </c>
      <c r="BA168" s="48">
        <v>0</v>
      </c>
      <c r="BB168" s="48">
        <v>0</v>
      </c>
    </row>
    <row r="169" spans="1:54" x14ac:dyDescent="0.35">
      <c r="A169" s="49">
        <v>45930</v>
      </c>
      <c r="B169" s="48">
        <v>1</v>
      </c>
      <c r="C169" s="50" t="s">
        <v>32</v>
      </c>
      <c r="D169" s="48" t="s">
        <v>31</v>
      </c>
      <c r="E169" s="48" t="s">
        <v>138</v>
      </c>
      <c r="F169" s="48" t="s">
        <v>139</v>
      </c>
      <c r="G169" s="49" t="s">
        <v>59</v>
      </c>
      <c r="H169" s="48" t="s">
        <v>159</v>
      </c>
      <c r="I169" s="48">
        <v>1</v>
      </c>
      <c r="J169" s="48">
        <v>56</v>
      </c>
      <c r="K169" s="48">
        <v>1</v>
      </c>
      <c r="N169" s="48">
        <v>0</v>
      </c>
      <c r="R169" s="49"/>
      <c r="S169" s="49"/>
      <c r="T169" s="49">
        <v>47634</v>
      </c>
      <c r="U169" s="49">
        <v>47634</v>
      </c>
      <c r="V169" s="49">
        <v>47634</v>
      </c>
      <c r="W169" s="49">
        <v>47634</v>
      </c>
      <c r="X169" s="48">
        <v>1</v>
      </c>
      <c r="Y169" s="48">
        <v>1</v>
      </c>
      <c r="Z169" s="48">
        <v>1</v>
      </c>
      <c r="AA169" s="156">
        <v>26803.587027067224</v>
      </c>
      <c r="AF169" s="48">
        <v>0</v>
      </c>
      <c r="AG169" s="49" t="s">
        <v>32</v>
      </c>
      <c r="AH169" s="48">
        <v>1</v>
      </c>
      <c r="AI169" s="48" t="s">
        <v>33</v>
      </c>
      <c r="AJ169" s="48" t="s">
        <v>33</v>
      </c>
      <c r="AK169" s="48" t="s">
        <v>33</v>
      </c>
      <c r="AL169" s="48" t="s">
        <v>34</v>
      </c>
      <c r="AN169" s="48">
        <v>0</v>
      </c>
      <c r="AO169" s="48">
        <v>0</v>
      </c>
      <c r="AP169" s="48">
        <v>0</v>
      </c>
      <c r="AQ169" s="48">
        <v>0</v>
      </c>
      <c r="AR169" s="48">
        <v>0</v>
      </c>
      <c r="AS169" s="48">
        <v>0</v>
      </c>
      <c r="AT169" s="48">
        <v>0</v>
      </c>
      <c r="AU169" s="48">
        <v>0</v>
      </c>
      <c r="AV169" s="48">
        <v>0</v>
      </c>
      <c r="AW169" s="48">
        <v>0</v>
      </c>
      <c r="AX169" s="48">
        <v>0</v>
      </c>
      <c r="AY169" s="48">
        <v>0</v>
      </c>
      <c r="AZ169" s="48">
        <v>0</v>
      </c>
      <c r="BA169" s="48">
        <v>0</v>
      </c>
      <c r="BB169" s="48">
        <v>0</v>
      </c>
    </row>
    <row r="170" spans="1:54" x14ac:dyDescent="0.35">
      <c r="A170" s="49">
        <v>45930</v>
      </c>
      <c r="B170" s="48">
        <v>1</v>
      </c>
      <c r="C170" s="50" t="s">
        <v>32</v>
      </c>
      <c r="D170" s="48" t="s">
        <v>31</v>
      </c>
      <c r="E170" s="48" t="s">
        <v>138</v>
      </c>
      <c r="F170" s="48" t="s">
        <v>139</v>
      </c>
      <c r="G170" s="49" t="s">
        <v>59</v>
      </c>
      <c r="H170" s="48" t="s">
        <v>159</v>
      </c>
      <c r="I170" s="48">
        <v>1</v>
      </c>
      <c r="J170" s="48">
        <v>57</v>
      </c>
      <c r="K170" s="48">
        <v>1</v>
      </c>
      <c r="N170" s="48">
        <v>0</v>
      </c>
      <c r="R170" s="49"/>
      <c r="S170" s="49"/>
      <c r="T170" s="49">
        <v>47664</v>
      </c>
      <c r="U170" s="49">
        <v>47664</v>
      </c>
      <c r="V170" s="49">
        <v>47664</v>
      </c>
      <c r="W170" s="49">
        <v>47664</v>
      </c>
      <c r="X170" s="48">
        <v>1</v>
      </c>
      <c r="Y170" s="48">
        <v>1</v>
      </c>
      <c r="Z170" s="48">
        <v>1</v>
      </c>
      <c r="AA170" s="156">
        <v>26803.587027067224</v>
      </c>
      <c r="AF170" s="48">
        <v>0</v>
      </c>
      <c r="AG170" s="49" t="s">
        <v>32</v>
      </c>
      <c r="AH170" s="48">
        <v>1</v>
      </c>
      <c r="AI170" s="48" t="s">
        <v>33</v>
      </c>
      <c r="AJ170" s="48" t="s">
        <v>33</v>
      </c>
      <c r="AK170" s="48" t="s">
        <v>33</v>
      </c>
      <c r="AL170" s="48" t="s">
        <v>34</v>
      </c>
      <c r="AN170" s="48">
        <v>0</v>
      </c>
      <c r="AO170" s="48">
        <v>0</v>
      </c>
      <c r="AP170" s="48">
        <v>0</v>
      </c>
      <c r="AQ170" s="48">
        <v>0</v>
      </c>
      <c r="AR170" s="48">
        <v>0</v>
      </c>
      <c r="AS170" s="48">
        <v>0</v>
      </c>
      <c r="AT170" s="48">
        <v>0</v>
      </c>
      <c r="AU170" s="48">
        <v>0</v>
      </c>
      <c r="AV170" s="48">
        <v>0</v>
      </c>
      <c r="AW170" s="48">
        <v>0</v>
      </c>
      <c r="AX170" s="48">
        <v>0</v>
      </c>
      <c r="AY170" s="48">
        <v>0</v>
      </c>
      <c r="AZ170" s="48">
        <v>0</v>
      </c>
      <c r="BA170" s="48">
        <v>0</v>
      </c>
      <c r="BB170" s="48">
        <v>0</v>
      </c>
    </row>
    <row r="171" spans="1:54" x14ac:dyDescent="0.35">
      <c r="A171" s="49">
        <v>45930</v>
      </c>
      <c r="B171" s="48">
        <v>1</v>
      </c>
      <c r="C171" s="50" t="s">
        <v>32</v>
      </c>
      <c r="D171" s="48" t="s">
        <v>31</v>
      </c>
      <c r="E171" s="48" t="s">
        <v>138</v>
      </c>
      <c r="F171" s="48" t="s">
        <v>139</v>
      </c>
      <c r="G171" s="49" t="s">
        <v>59</v>
      </c>
      <c r="H171" s="48" t="s">
        <v>159</v>
      </c>
      <c r="I171" s="48">
        <v>1</v>
      </c>
      <c r="J171" s="48">
        <v>58</v>
      </c>
      <c r="K171" s="48">
        <v>1</v>
      </c>
      <c r="N171" s="48">
        <v>0</v>
      </c>
      <c r="R171" s="49"/>
      <c r="S171" s="49"/>
      <c r="T171" s="49">
        <v>47695</v>
      </c>
      <c r="U171" s="49">
        <v>47695</v>
      </c>
      <c r="V171" s="49">
        <v>47695</v>
      </c>
      <c r="W171" s="49">
        <v>47695</v>
      </c>
      <c r="X171" s="48">
        <v>1</v>
      </c>
      <c r="Y171" s="48">
        <v>1</v>
      </c>
      <c r="Z171" s="48">
        <v>1</v>
      </c>
      <c r="AA171" s="156">
        <v>26803.587027067224</v>
      </c>
      <c r="AF171" s="48">
        <v>0</v>
      </c>
      <c r="AG171" s="49" t="s">
        <v>32</v>
      </c>
      <c r="AH171" s="48">
        <v>1</v>
      </c>
      <c r="AI171" s="48" t="s">
        <v>33</v>
      </c>
      <c r="AJ171" s="48" t="s">
        <v>33</v>
      </c>
      <c r="AK171" s="48" t="s">
        <v>33</v>
      </c>
      <c r="AL171" s="48" t="s">
        <v>34</v>
      </c>
      <c r="AN171" s="48">
        <v>0</v>
      </c>
      <c r="AO171" s="48">
        <v>0</v>
      </c>
      <c r="AP171" s="48">
        <v>0</v>
      </c>
      <c r="AQ171" s="48">
        <v>0</v>
      </c>
      <c r="AR171" s="48">
        <v>0</v>
      </c>
      <c r="AS171" s="48">
        <v>0</v>
      </c>
      <c r="AT171" s="48">
        <v>0</v>
      </c>
      <c r="AU171" s="48">
        <v>0</v>
      </c>
      <c r="AV171" s="48">
        <v>0</v>
      </c>
      <c r="AW171" s="48">
        <v>0</v>
      </c>
      <c r="AX171" s="48">
        <v>0</v>
      </c>
      <c r="AY171" s="48">
        <v>0</v>
      </c>
      <c r="AZ171" s="48">
        <v>0</v>
      </c>
      <c r="BA171" s="48">
        <v>0</v>
      </c>
      <c r="BB171" s="48">
        <v>0</v>
      </c>
    </row>
    <row r="172" spans="1:54" x14ac:dyDescent="0.35">
      <c r="A172" s="49">
        <v>45930</v>
      </c>
      <c r="B172" s="48">
        <v>1</v>
      </c>
      <c r="C172" s="50" t="s">
        <v>32</v>
      </c>
      <c r="D172" s="48" t="s">
        <v>31</v>
      </c>
      <c r="E172" s="48" t="s">
        <v>138</v>
      </c>
      <c r="F172" s="48" t="s">
        <v>139</v>
      </c>
      <c r="G172" s="49" t="s">
        <v>59</v>
      </c>
      <c r="H172" s="48" t="s">
        <v>159</v>
      </c>
      <c r="I172" s="48">
        <v>1</v>
      </c>
      <c r="J172" s="48">
        <v>59</v>
      </c>
      <c r="K172" s="48">
        <v>1</v>
      </c>
      <c r="N172" s="48">
        <v>0</v>
      </c>
      <c r="R172" s="49"/>
      <c r="S172" s="49"/>
      <c r="T172" s="49">
        <v>47726</v>
      </c>
      <c r="U172" s="49">
        <v>47726</v>
      </c>
      <c r="V172" s="49">
        <v>47726</v>
      </c>
      <c r="W172" s="49">
        <v>47726</v>
      </c>
      <c r="X172" s="48">
        <v>1</v>
      </c>
      <c r="Y172" s="48">
        <v>1</v>
      </c>
      <c r="Z172" s="48">
        <v>1</v>
      </c>
      <c r="AA172" s="156">
        <v>26803.587027067224</v>
      </c>
      <c r="AF172" s="48">
        <v>0</v>
      </c>
      <c r="AG172" s="49" t="s">
        <v>32</v>
      </c>
      <c r="AH172" s="48">
        <v>1</v>
      </c>
      <c r="AI172" s="48" t="s">
        <v>33</v>
      </c>
      <c r="AJ172" s="48" t="s">
        <v>33</v>
      </c>
      <c r="AK172" s="48" t="s">
        <v>33</v>
      </c>
      <c r="AL172" s="48" t="s">
        <v>34</v>
      </c>
      <c r="AN172" s="48">
        <v>0</v>
      </c>
      <c r="AO172" s="48">
        <v>0</v>
      </c>
      <c r="AP172" s="48">
        <v>0</v>
      </c>
      <c r="AQ172" s="48">
        <v>0</v>
      </c>
      <c r="AR172" s="48">
        <v>0</v>
      </c>
      <c r="AS172" s="48">
        <v>0</v>
      </c>
      <c r="AT172" s="48">
        <v>0</v>
      </c>
      <c r="AU172" s="48">
        <v>0</v>
      </c>
      <c r="AV172" s="48">
        <v>0</v>
      </c>
      <c r="AW172" s="48">
        <v>0</v>
      </c>
      <c r="AX172" s="48">
        <v>0</v>
      </c>
      <c r="AY172" s="48">
        <v>0</v>
      </c>
      <c r="AZ172" s="48">
        <v>0</v>
      </c>
      <c r="BA172" s="48">
        <v>0</v>
      </c>
      <c r="BB172" s="48">
        <v>0</v>
      </c>
    </row>
    <row r="173" spans="1:54" x14ac:dyDescent="0.35">
      <c r="A173" s="49">
        <v>45930</v>
      </c>
      <c r="B173" s="48">
        <v>1</v>
      </c>
      <c r="C173" s="50" t="s">
        <v>32</v>
      </c>
      <c r="D173" s="48" t="s">
        <v>31</v>
      </c>
      <c r="E173" s="48" t="s">
        <v>138</v>
      </c>
      <c r="F173" s="48" t="s">
        <v>139</v>
      </c>
      <c r="G173" s="49" t="s">
        <v>59</v>
      </c>
      <c r="H173" s="48" t="s">
        <v>159</v>
      </c>
      <c r="I173" s="48">
        <v>1</v>
      </c>
      <c r="J173" s="48">
        <v>60</v>
      </c>
      <c r="K173" s="48">
        <v>1</v>
      </c>
      <c r="N173" s="48">
        <v>0</v>
      </c>
      <c r="R173" s="49"/>
      <c r="S173" s="49"/>
      <c r="T173" s="49">
        <v>47756</v>
      </c>
      <c r="U173" s="49">
        <v>47756</v>
      </c>
      <c r="V173" s="49">
        <v>47756</v>
      </c>
      <c r="W173" s="49">
        <v>47756</v>
      </c>
      <c r="X173" s="48">
        <v>1</v>
      </c>
      <c r="Y173" s="48">
        <v>1</v>
      </c>
      <c r="Z173" s="48">
        <v>1</v>
      </c>
      <c r="AA173" s="156">
        <v>26803.587027067224</v>
      </c>
      <c r="AF173" s="48">
        <v>0</v>
      </c>
      <c r="AG173" s="49" t="s">
        <v>32</v>
      </c>
      <c r="AH173" s="48">
        <v>1</v>
      </c>
      <c r="AI173" s="48" t="s">
        <v>33</v>
      </c>
      <c r="AJ173" s="48" t="s">
        <v>33</v>
      </c>
      <c r="AK173" s="48" t="s">
        <v>33</v>
      </c>
      <c r="AL173" s="48" t="s">
        <v>34</v>
      </c>
      <c r="AN173" s="48">
        <v>0</v>
      </c>
      <c r="AO173" s="48">
        <v>0</v>
      </c>
      <c r="AP173" s="48">
        <v>0</v>
      </c>
      <c r="AQ173" s="48">
        <v>0</v>
      </c>
      <c r="AR173" s="48">
        <v>0</v>
      </c>
      <c r="AS173" s="48">
        <v>0</v>
      </c>
      <c r="AT173" s="48">
        <v>0</v>
      </c>
      <c r="AU173" s="48">
        <v>0</v>
      </c>
      <c r="AV173" s="48">
        <v>0</v>
      </c>
      <c r="AW173" s="48">
        <v>0</v>
      </c>
      <c r="AX173" s="48">
        <v>0</v>
      </c>
      <c r="AY173" s="48">
        <v>0</v>
      </c>
      <c r="AZ173" s="48">
        <v>0</v>
      </c>
      <c r="BA173" s="48">
        <v>0</v>
      </c>
      <c r="BB173" s="48">
        <v>0</v>
      </c>
    </row>
    <row r="174" spans="1:54" x14ac:dyDescent="0.35">
      <c r="A174" s="49">
        <v>45930</v>
      </c>
      <c r="B174" s="48">
        <v>1</v>
      </c>
      <c r="C174" s="50" t="s">
        <v>32</v>
      </c>
      <c r="D174" s="48" t="s">
        <v>31</v>
      </c>
      <c r="E174" s="48" t="s">
        <v>138</v>
      </c>
      <c r="F174" s="48" t="s">
        <v>139</v>
      </c>
      <c r="G174" s="49" t="s">
        <v>59</v>
      </c>
      <c r="H174" s="48" t="s">
        <v>159</v>
      </c>
      <c r="I174" s="48">
        <v>1</v>
      </c>
      <c r="J174" s="48">
        <v>61</v>
      </c>
      <c r="K174" s="48">
        <v>1</v>
      </c>
      <c r="N174" s="48">
        <v>0</v>
      </c>
      <c r="R174" s="49"/>
      <c r="S174" s="49"/>
      <c r="T174" s="49">
        <v>47787</v>
      </c>
      <c r="U174" s="49">
        <v>47787</v>
      </c>
      <c r="V174" s="49">
        <v>47787</v>
      </c>
      <c r="W174" s="49">
        <v>47787</v>
      </c>
      <c r="X174" s="48">
        <v>1</v>
      </c>
      <c r="Y174" s="48">
        <v>1</v>
      </c>
      <c r="Z174" s="48">
        <v>1</v>
      </c>
      <c r="AA174" s="156">
        <v>26803.587027067224</v>
      </c>
      <c r="AF174" s="48">
        <v>0</v>
      </c>
      <c r="AG174" s="49" t="s">
        <v>32</v>
      </c>
      <c r="AH174" s="48">
        <v>1</v>
      </c>
      <c r="AI174" s="48" t="s">
        <v>33</v>
      </c>
      <c r="AJ174" s="48" t="s">
        <v>33</v>
      </c>
      <c r="AK174" s="48" t="s">
        <v>33</v>
      </c>
      <c r="AL174" s="48" t="s">
        <v>34</v>
      </c>
      <c r="AN174" s="48">
        <v>0</v>
      </c>
      <c r="AO174" s="48">
        <v>0</v>
      </c>
      <c r="AP174" s="48">
        <v>0</v>
      </c>
      <c r="AQ174" s="48">
        <v>0</v>
      </c>
      <c r="AR174" s="48">
        <v>0</v>
      </c>
      <c r="AS174" s="48">
        <v>0</v>
      </c>
      <c r="AT174" s="48">
        <v>0</v>
      </c>
      <c r="AU174" s="48">
        <v>0</v>
      </c>
      <c r="AV174" s="48">
        <v>0</v>
      </c>
      <c r="AW174" s="48">
        <v>0</v>
      </c>
      <c r="AX174" s="48">
        <v>0</v>
      </c>
      <c r="AY174" s="48">
        <v>0</v>
      </c>
      <c r="AZ174" s="48">
        <v>0</v>
      </c>
      <c r="BA174" s="48">
        <v>0</v>
      </c>
      <c r="BB174" s="48">
        <v>0</v>
      </c>
    </row>
    <row r="175" spans="1:54" x14ac:dyDescent="0.35">
      <c r="A175" s="49">
        <v>45930</v>
      </c>
      <c r="B175" s="48">
        <v>1</v>
      </c>
      <c r="C175" s="50" t="s">
        <v>32</v>
      </c>
      <c r="D175" s="48" t="s">
        <v>31</v>
      </c>
      <c r="E175" s="48" t="s">
        <v>138</v>
      </c>
      <c r="F175" s="48" t="s">
        <v>139</v>
      </c>
      <c r="G175" s="49" t="s">
        <v>59</v>
      </c>
      <c r="H175" s="48" t="s">
        <v>159</v>
      </c>
      <c r="I175" s="48">
        <v>1</v>
      </c>
      <c r="J175" s="48">
        <v>62</v>
      </c>
      <c r="K175" s="48">
        <v>1</v>
      </c>
      <c r="N175" s="48">
        <v>0</v>
      </c>
      <c r="R175" s="49"/>
      <c r="S175" s="49"/>
      <c r="T175" s="49">
        <v>47817</v>
      </c>
      <c r="U175" s="49">
        <v>47817</v>
      </c>
      <c r="V175" s="49">
        <v>47817</v>
      </c>
      <c r="W175" s="49">
        <v>47817</v>
      </c>
      <c r="X175" s="48">
        <v>1</v>
      </c>
      <c r="Y175" s="48">
        <v>1</v>
      </c>
      <c r="Z175" s="48">
        <v>1</v>
      </c>
      <c r="AA175" s="156">
        <v>26803.587027067224</v>
      </c>
      <c r="AF175" s="48">
        <v>0</v>
      </c>
      <c r="AG175" s="49" t="s">
        <v>32</v>
      </c>
      <c r="AH175" s="48">
        <v>1</v>
      </c>
      <c r="AI175" s="48" t="s">
        <v>33</v>
      </c>
      <c r="AJ175" s="48" t="s">
        <v>33</v>
      </c>
      <c r="AK175" s="48" t="s">
        <v>33</v>
      </c>
      <c r="AL175" s="48" t="s">
        <v>34</v>
      </c>
      <c r="AN175" s="48">
        <v>0</v>
      </c>
      <c r="AO175" s="48">
        <v>0</v>
      </c>
      <c r="AP175" s="48">
        <v>0</v>
      </c>
      <c r="AQ175" s="48">
        <v>0</v>
      </c>
      <c r="AR175" s="48">
        <v>0</v>
      </c>
      <c r="AS175" s="48">
        <v>0</v>
      </c>
      <c r="AT175" s="48">
        <v>0</v>
      </c>
      <c r="AU175" s="48">
        <v>0</v>
      </c>
      <c r="AV175" s="48">
        <v>0</v>
      </c>
      <c r="AW175" s="48">
        <v>0</v>
      </c>
      <c r="AX175" s="48">
        <v>0</v>
      </c>
      <c r="AY175" s="48">
        <v>0</v>
      </c>
      <c r="AZ175" s="48">
        <v>0</v>
      </c>
      <c r="BA175" s="48">
        <v>0</v>
      </c>
      <c r="BB175" s="48">
        <v>0</v>
      </c>
    </row>
    <row r="176" spans="1:54" x14ac:dyDescent="0.35">
      <c r="A176" s="49">
        <v>45930</v>
      </c>
      <c r="B176" s="48">
        <v>1</v>
      </c>
      <c r="C176" s="50" t="s">
        <v>32</v>
      </c>
      <c r="D176" s="48" t="s">
        <v>31</v>
      </c>
      <c r="E176" s="48" t="s">
        <v>138</v>
      </c>
      <c r="F176" s="48" t="s">
        <v>139</v>
      </c>
      <c r="G176" s="49" t="s">
        <v>59</v>
      </c>
      <c r="H176" s="48" t="s">
        <v>159</v>
      </c>
      <c r="I176" s="48">
        <v>1</v>
      </c>
      <c r="J176" s="48">
        <v>63</v>
      </c>
      <c r="K176" s="48">
        <v>1</v>
      </c>
      <c r="N176" s="48">
        <v>0</v>
      </c>
      <c r="R176" s="49"/>
      <c r="S176" s="49"/>
      <c r="T176" s="49">
        <v>47848</v>
      </c>
      <c r="U176" s="49">
        <v>47848</v>
      </c>
      <c r="V176" s="49">
        <v>47848</v>
      </c>
      <c r="W176" s="49">
        <v>47848</v>
      </c>
      <c r="X176" s="48">
        <v>1</v>
      </c>
      <c r="Y176" s="48">
        <v>1</v>
      </c>
      <c r="Z176" s="48">
        <v>1</v>
      </c>
      <c r="AA176" s="156">
        <v>26803.587027067224</v>
      </c>
      <c r="AF176" s="48">
        <v>0</v>
      </c>
      <c r="AG176" s="49" t="s">
        <v>32</v>
      </c>
      <c r="AH176" s="48">
        <v>1</v>
      </c>
      <c r="AI176" s="48" t="s">
        <v>33</v>
      </c>
      <c r="AJ176" s="48" t="s">
        <v>33</v>
      </c>
      <c r="AK176" s="48" t="s">
        <v>33</v>
      </c>
      <c r="AL176" s="48" t="s">
        <v>34</v>
      </c>
      <c r="AN176" s="48">
        <v>0</v>
      </c>
      <c r="AO176" s="48">
        <v>0</v>
      </c>
      <c r="AP176" s="48">
        <v>0</v>
      </c>
      <c r="AQ176" s="48">
        <v>0</v>
      </c>
      <c r="AR176" s="48">
        <v>0</v>
      </c>
      <c r="AS176" s="48">
        <v>0</v>
      </c>
      <c r="AT176" s="48">
        <v>0</v>
      </c>
      <c r="AU176" s="48">
        <v>0</v>
      </c>
      <c r="AV176" s="48">
        <v>0</v>
      </c>
      <c r="AW176" s="48">
        <v>0</v>
      </c>
      <c r="AX176" s="48">
        <v>0</v>
      </c>
      <c r="AY176" s="48">
        <v>0</v>
      </c>
      <c r="AZ176" s="48">
        <v>0</v>
      </c>
      <c r="BA176" s="48">
        <v>0</v>
      </c>
      <c r="BB176" s="48">
        <v>0</v>
      </c>
    </row>
    <row r="177" spans="1:54" x14ac:dyDescent="0.35">
      <c r="A177" s="49">
        <v>45930</v>
      </c>
      <c r="B177" s="48">
        <v>1</v>
      </c>
      <c r="C177" s="50" t="s">
        <v>32</v>
      </c>
      <c r="D177" s="48" t="s">
        <v>31</v>
      </c>
      <c r="E177" s="48" t="s">
        <v>138</v>
      </c>
      <c r="F177" s="48" t="s">
        <v>139</v>
      </c>
      <c r="G177" s="49" t="s">
        <v>59</v>
      </c>
      <c r="H177" s="48" t="s">
        <v>159</v>
      </c>
      <c r="I177" s="48">
        <v>1</v>
      </c>
      <c r="J177" s="48">
        <v>64</v>
      </c>
      <c r="K177" s="48">
        <v>1</v>
      </c>
      <c r="N177" s="48">
        <v>0</v>
      </c>
      <c r="R177" s="49"/>
      <c r="S177" s="49"/>
      <c r="T177" s="49">
        <v>47879</v>
      </c>
      <c r="U177" s="49">
        <v>47879</v>
      </c>
      <c r="V177" s="49">
        <v>47879</v>
      </c>
      <c r="W177" s="49">
        <v>47879</v>
      </c>
      <c r="X177" s="48">
        <v>1</v>
      </c>
      <c r="Y177" s="48">
        <v>1</v>
      </c>
      <c r="Z177" s="48">
        <v>1</v>
      </c>
      <c r="AA177" s="156">
        <v>26803.587027067224</v>
      </c>
      <c r="AF177" s="48">
        <v>0</v>
      </c>
      <c r="AG177" s="49" t="s">
        <v>32</v>
      </c>
      <c r="AH177" s="48">
        <v>1</v>
      </c>
      <c r="AI177" s="48" t="s">
        <v>33</v>
      </c>
      <c r="AJ177" s="48" t="s">
        <v>33</v>
      </c>
      <c r="AK177" s="48" t="s">
        <v>33</v>
      </c>
      <c r="AL177" s="48" t="s">
        <v>34</v>
      </c>
      <c r="AN177" s="48">
        <v>0</v>
      </c>
      <c r="AO177" s="48">
        <v>0</v>
      </c>
      <c r="AP177" s="48">
        <v>0</v>
      </c>
      <c r="AQ177" s="48">
        <v>0</v>
      </c>
      <c r="AR177" s="48">
        <v>0</v>
      </c>
      <c r="AS177" s="48">
        <v>0</v>
      </c>
      <c r="AT177" s="48">
        <v>0</v>
      </c>
      <c r="AU177" s="48">
        <v>0</v>
      </c>
      <c r="AV177" s="48">
        <v>0</v>
      </c>
      <c r="AW177" s="48">
        <v>0</v>
      </c>
      <c r="AX177" s="48">
        <v>0</v>
      </c>
      <c r="AY177" s="48">
        <v>0</v>
      </c>
      <c r="AZ177" s="48">
        <v>0</v>
      </c>
      <c r="BA177" s="48">
        <v>0</v>
      </c>
      <c r="BB177" s="48">
        <v>0</v>
      </c>
    </row>
    <row r="178" spans="1:54" x14ac:dyDescent="0.35">
      <c r="A178" s="49">
        <v>45930</v>
      </c>
      <c r="B178" s="48">
        <v>1</v>
      </c>
      <c r="C178" s="50" t="s">
        <v>32</v>
      </c>
      <c r="D178" s="48" t="s">
        <v>31</v>
      </c>
      <c r="E178" s="48" t="s">
        <v>138</v>
      </c>
      <c r="F178" s="48" t="s">
        <v>139</v>
      </c>
      <c r="G178" s="49" t="s">
        <v>59</v>
      </c>
      <c r="H178" s="48" t="s">
        <v>159</v>
      </c>
      <c r="I178" s="48">
        <v>1</v>
      </c>
      <c r="J178" s="48">
        <v>65</v>
      </c>
      <c r="K178" s="48">
        <v>1</v>
      </c>
      <c r="N178" s="48">
        <v>0</v>
      </c>
      <c r="R178" s="49"/>
      <c r="S178" s="49"/>
      <c r="T178" s="49">
        <v>47907</v>
      </c>
      <c r="U178" s="49">
        <v>47907</v>
      </c>
      <c r="V178" s="49">
        <v>47907</v>
      </c>
      <c r="W178" s="49">
        <v>47907</v>
      </c>
      <c r="X178" s="48">
        <v>1</v>
      </c>
      <c r="Y178" s="48">
        <v>1</v>
      </c>
      <c r="Z178" s="48">
        <v>1</v>
      </c>
      <c r="AA178" s="156">
        <v>26803.587027067224</v>
      </c>
      <c r="AF178" s="48">
        <v>0</v>
      </c>
      <c r="AG178" s="49" t="s">
        <v>32</v>
      </c>
      <c r="AH178" s="48">
        <v>1</v>
      </c>
      <c r="AI178" s="48" t="s">
        <v>33</v>
      </c>
      <c r="AJ178" s="48" t="s">
        <v>33</v>
      </c>
      <c r="AK178" s="48" t="s">
        <v>33</v>
      </c>
      <c r="AL178" s="48" t="s">
        <v>34</v>
      </c>
      <c r="AN178" s="48">
        <v>0</v>
      </c>
      <c r="AO178" s="48">
        <v>0</v>
      </c>
      <c r="AP178" s="48">
        <v>0</v>
      </c>
      <c r="AQ178" s="48">
        <v>0</v>
      </c>
      <c r="AR178" s="48">
        <v>0</v>
      </c>
      <c r="AS178" s="48">
        <v>0</v>
      </c>
      <c r="AT178" s="48">
        <v>0</v>
      </c>
      <c r="AU178" s="48">
        <v>0</v>
      </c>
      <c r="AV178" s="48">
        <v>0</v>
      </c>
      <c r="AW178" s="48">
        <v>0</v>
      </c>
      <c r="AX178" s="48">
        <v>0</v>
      </c>
      <c r="AY178" s="48">
        <v>0</v>
      </c>
      <c r="AZ178" s="48">
        <v>0</v>
      </c>
      <c r="BA178" s="48">
        <v>0</v>
      </c>
      <c r="BB178" s="48">
        <v>0</v>
      </c>
    </row>
    <row r="179" spans="1:54" x14ac:dyDescent="0.35">
      <c r="A179" s="49">
        <v>45930</v>
      </c>
      <c r="B179" s="48">
        <v>1</v>
      </c>
      <c r="C179" s="50" t="s">
        <v>32</v>
      </c>
      <c r="D179" s="48" t="s">
        <v>31</v>
      </c>
      <c r="E179" s="48" t="s">
        <v>138</v>
      </c>
      <c r="F179" s="48" t="s">
        <v>139</v>
      </c>
      <c r="G179" s="49" t="s">
        <v>59</v>
      </c>
      <c r="H179" s="48" t="s">
        <v>159</v>
      </c>
      <c r="I179" s="48">
        <v>1</v>
      </c>
      <c r="J179" s="48">
        <v>66</v>
      </c>
      <c r="K179" s="48">
        <v>1</v>
      </c>
      <c r="N179" s="48">
        <v>0</v>
      </c>
      <c r="R179" s="49"/>
      <c r="S179" s="49"/>
      <c r="T179" s="49">
        <v>47938</v>
      </c>
      <c r="U179" s="49">
        <v>47938</v>
      </c>
      <c r="V179" s="49">
        <v>47938</v>
      </c>
      <c r="W179" s="49">
        <v>47938</v>
      </c>
      <c r="X179" s="48">
        <v>1</v>
      </c>
      <c r="Y179" s="48">
        <v>1</v>
      </c>
      <c r="Z179" s="48">
        <v>1</v>
      </c>
      <c r="AA179" s="156">
        <v>26803.587027067224</v>
      </c>
      <c r="AF179" s="48">
        <v>0</v>
      </c>
      <c r="AG179" s="49" t="s">
        <v>32</v>
      </c>
      <c r="AH179" s="48">
        <v>1</v>
      </c>
      <c r="AI179" s="48" t="s">
        <v>33</v>
      </c>
      <c r="AJ179" s="48" t="s">
        <v>33</v>
      </c>
      <c r="AK179" s="48" t="s">
        <v>33</v>
      </c>
      <c r="AL179" s="48" t="s">
        <v>34</v>
      </c>
      <c r="AN179" s="48">
        <v>0</v>
      </c>
      <c r="AO179" s="48">
        <v>0</v>
      </c>
      <c r="AP179" s="48">
        <v>0</v>
      </c>
      <c r="AQ179" s="48">
        <v>0</v>
      </c>
      <c r="AR179" s="48">
        <v>0</v>
      </c>
      <c r="AS179" s="48">
        <v>0</v>
      </c>
      <c r="AT179" s="48">
        <v>0</v>
      </c>
      <c r="AU179" s="48">
        <v>0</v>
      </c>
      <c r="AV179" s="48">
        <v>0</v>
      </c>
      <c r="AW179" s="48">
        <v>0</v>
      </c>
      <c r="AX179" s="48">
        <v>0</v>
      </c>
      <c r="AY179" s="48">
        <v>0</v>
      </c>
      <c r="AZ179" s="48">
        <v>0</v>
      </c>
      <c r="BA179" s="48">
        <v>0</v>
      </c>
      <c r="BB179" s="48">
        <v>0</v>
      </c>
    </row>
    <row r="180" spans="1:54" x14ac:dyDescent="0.35">
      <c r="A180" s="49">
        <v>45930</v>
      </c>
      <c r="B180" s="48">
        <v>1</v>
      </c>
      <c r="C180" s="50" t="s">
        <v>32</v>
      </c>
      <c r="D180" s="48" t="s">
        <v>31</v>
      </c>
      <c r="E180" s="48" t="s">
        <v>138</v>
      </c>
      <c r="F180" s="48" t="s">
        <v>139</v>
      </c>
      <c r="G180" s="49" t="s">
        <v>59</v>
      </c>
      <c r="H180" s="48" t="s">
        <v>159</v>
      </c>
      <c r="I180" s="48">
        <v>1</v>
      </c>
      <c r="J180" s="48">
        <v>67</v>
      </c>
      <c r="K180" s="48">
        <v>1</v>
      </c>
      <c r="N180" s="48">
        <v>0</v>
      </c>
      <c r="R180" s="49"/>
      <c r="S180" s="49"/>
      <c r="T180" s="49">
        <v>47968</v>
      </c>
      <c r="U180" s="49">
        <v>47968</v>
      </c>
      <c r="V180" s="49">
        <v>47968</v>
      </c>
      <c r="W180" s="49">
        <v>47968</v>
      </c>
      <c r="X180" s="48">
        <v>1</v>
      </c>
      <c r="Y180" s="48">
        <v>1</v>
      </c>
      <c r="Z180" s="48">
        <v>1</v>
      </c>
      <c r="AA180" s="156">
        <v>26803.587027067224</v>
      </c>
      <c r="AF180" s="48">
        <v>0</v>
      </c>
      <c r="AG180" s="49" t="s">
        <v>32</v>
      </c>
      <c r="AH180" s="48">
        <v>1</v>
      </c>
      <c r="AI180" s="48" t="s">
        <v>33</v>
      </c>
      <c r="AJ180" s="48" t="s">
        <v>33</v>
      </c>
      <c r="AK180" s="48" t="s">
        <v>33</v>
      </c>
      <c r="AL180" s="48" t="s">
        <v>34</v>
      </c>
      <c r="AN180" s="48">
        <v>0</v>
      </c>
      <c r="AO180" s="48">
        <v>0</v>
      </c>
      <c r="AP180" s="48">
        <v>0</v>
      </c>
      <c r="AQ180" s="48">
        <v>0</v>
      </c>
      <c r="AR180" s="48">
        <v>0</v>
      </c>
      <c r="AS180" s="48">
        <v>0</v>
      </c>
      <c r="AT180" s="48">
        <v>0</v>
      </c>
      <c r="AU180" s="48">
        <v>0</v>
      </c>
      <c r="AV180" s="48">
        <v>0</v>
      </c>
      <c r="AW180" s="48">
        <v>0</v>
      </c>
      <c r="AX180" s="48">
        <v>0</v>
      </c>
      <c r="AY180" s="48">
        <v>0</v>
      </c>
      <c r="AZ180" s="48">
        <v>0</v>
      </c>
      <c r="BA180" s="48">
        <v>0</v>
      </c>
      <c r="BB180" s="48">
        <v>0</v>
      </c>
    </row>
    <row r="181" spans="1:54" x14ac:dyDescent="0.35">
      <c r="A181" s="49">
        <v>45930</v>
      </c>
      <c r="B181" s="48">
        <v>1</v>
      </c>
      <c r="C181" s="50" t="s">
        <v>32</v>
      </c>
      <c r="D181" s="48" t="s">
        <v>31</v>
      </c>
      <c r="E181" s="48" t="s">
        <v>138</v>
      </c>
      <c r="F181" s="48" t="s">
        <v>139</v>
      </c>
      <c r="G181" s="49" t="s">
        <v>59</v>
      </c>
      <c r="H181" s="48" t="s">
        <v>159</v>
      </c>
      <c r="I181" s="48">
        <v>1</v>
      </c>
      <c r="J181" s="48">
        <v>68</v>
      </c>
      <c r="K181" s="48">
        <v>1</v>
      </c>
      <c r="N181" s="48">
        <v>0</v>
      </c>
      <c r="R181" s="49"/>
      <c r="S181" s="49"/>
      <c r="T181" s="49">
        <v>47999</v>
      </c>
      <c r="U181" s="49">
        <v>47999</v>
      </c>
      <c r="V181" s="49">
        <v>47999</v>
      </c>
      <c r="W181" s="49">
        <v>47999</v>
      </c>
      <c r="X181" s="48">
        <v>1</v>
      </c>
      <c r="Y181" s="48">
        <v>1</v>
      </c>
      <c r="Z181" s="48">
        <v>1</v>
      </c>
      <c r="AA181" s="156">
        <v>26803.587027067224</v>
      </c>
      <c r="AF181" s="48">
        <v>0</v>
      </c>
      <c r="AG181" s="49" t="s">
        <v>32</v>
      </c>
      <c r="AH181" s="48">
        <v>1</v>
      </c>
      <c r="AI181" s="48" t="s">
        <v>33</v>
      </c>
      <c r="AJ181" s="48" t="s">
        <v>33</v>
      </c>
      <c r="AK181" s="48" t="s">
        <v>33</v>
      </c>
      <c r="AL181" s="48" t="s">
        <v>34</v>
      </c>
      <c r="AN181" s="48">
        <v>0</v>
      </c>
      <c r="AO181" s="48">
        <v>0</v>
      </c>
      <c r="AP181" s="48">
        <v>0</v>
      </c>
      <c r="AQ181" s="48">
        <v>0</v>
      </c>
      <c r="AR181" s="48">
        <v>0</v>
      </c>
      <c r="AS181" s="48">
        <v>0</v>
      </c>
      <c r="AT181" s="48">
        <v>0</v>
      </c>
      <c r="AU181" s="48">
        <v>0</v>
      </c>
      <c r="AV181" s="48">
        <v>0</v>
      </c>
      <c r="AW181" s="48">
        <v>0</v>
      </c>
      <c r="AX181" s="48">
        <v>0</v>
      </c>
      <c r="AY181" s="48">
        <v>0</v>
      </c>
      <c r="AZ181" s="48">
        <v>0</v>
      </c>
      <c r="BA181" s="48">
        <v>0</v>
      </c>
      <c r="BB181" s="48">
        <v>0</v>
      </c>
    </row>
    <row r="182" spans="1:54" x14ac:dyDescent="0.35">
      <c r="A182" s="49">
        <v>45930</v>
      </c>
      <c r="B182" s="48">
        <v>1</v>
      </c>
      <c r="C182" s="50" t="s">
        <v>32</v>
      </c>
      <c r="D182" s="48" t="s">
        <v>31</v>
      </c>
      <c r="E182" s="48" t="s">
        <v>138</v>
      </c>
      <c r="F182" s="48" t="s">
        <v>139</v>
      </c>
      <c r="G182" s="49" t="s">
        <v>59</v>
      </c>
      <c r="H182" s="48" t="s">
        <v>159</v>
      </c>
      <c r="I182" s="48">
        <v>1</v>
      </c>
      <c r="J182" s="48">
        <v>69</v>
      </c>
      <c r="K182" s="48">
        <v>1</v>
      </c>
      <c r="N182" s="48">
        <v>0</v>
      </c>
      <c r="R182" s="49"/>
      <c r="S182" s="49"/>
      <c r="T182" s="49">
        <v>48029</v>
      </c>
      <c r="U182" s="49">
        <v>48029</v>
      </c>
      <c r="V182" s="49">
        <v>48029</v>
      </c>
      <c r="W182" s="49">
        <v>48029</v>
      </c>
      <c r="X182" s="48">
        <v>1</v>
      </c>
      <c r="Y182" s="48">
        <v>1</v>
      </c>
      <c r="Z182" s="48">
        <v>1</v>
      </c>
      <c r="AA182" s="156">
        <v>26803.587027067224</v>
      </c>
      <c r="AF182" s="48">
        <v>0</v>
      </c>
      <c r="AG182" s="49" t="s">
        <v>32</v>
      </c>
      <c r="AH182" s="48">
        <v>1</v>
      </c>
      <c r="AI182" s="48" t="s">
        <v>33</v>
      </c>
      <c r="AJ182" s="48" t="s">
        <v>33</v>
      </c>
      <c r="AK182" s="48" t="s">
        <v>33</v>
      </c>
      <c r="AL182" s="48" t="s">
        <v>34</v>
      </c>
      <c r="AN182" s="48">
        <v>0</v>
      </c>
      <c r="AO182" s="48">
        <v>0</v>
      </c>
      <c r="AP182" s="48">
        <v>0</v>
      </c>
      <c r="AQ182" s="48">
        <v>0</v>
      </c>
      <c r="AR182" s="48">
        <v>0</v>
      </c>
      <c r="AS182" s="48">
        <v>0</v>
      </c>
      <c r="AT182" s="48">
        <v>0</v>
      </c>
      <c r="AU182" s="48">
        <v>0</v>
      </c>
      <c r="AV182" s="48">
        <v>0</v>
      </c>
      <c r="AW182" s="48">
        <v>0</v>
      </c>
      <c r="AX182" s="48">
        <v>0</v>
      </c>
      <c r="AY182" s="48">
        <v>0</v>
      </c>
      <c r="AZ182" s="48">
        <v>0</v>
      </c>
      <c r="BA182" s="48">
        <v>0</v>
      </c>
      <c r="BB182" s="48">
        <v>0</v>
      </c>
    </row>
    <row r="183" spans="1:54" x14ac:dyDescent="0.35">
      <c r="A183" s="49">
        <v>45930</v>
      </c>
      <c r="B183" s="48">
        <v>1</v>
      </c>
      <c r="C183" s="50" t="s">
        <v>32</v>
      </c>
      <c r="D183" s="48" t="s">
        <v>31</v>
      </c>
      <c r="E183" s="48" t="s">
        <v>138</v>
      </c>
      <c r="F183" s="48" t="s">
        <v>139</v>
      </c>
      <c r="G183" s="49" t="s">
        <v>59</v>
      </c>
      <c r="H183" s="48" t="s">
        <v>159</v>
      </c>
      <c r="I183" s="48">
        <v>1</v>
      </c>
      <c r="J183" s="48">
        <v>70</v>
      </c>
      <c r="K183" s="48">
        <v>1</v>
      </c>
      <c r="N183" s="48">
        <v>0</v>
      </c>
      <c r="R183" s="49"/>
      <c r="S183" s="49"/>
      <c r="T183" s="49">
        <v>48060</v>
      </c>
      <c r="U183" s="49">
        <v>48060</v>
      </c>
      <c r="V183" s="49">
        <v>48060</v>
      </c>
      <c r="W183" s="49">
        <v>48060</v>
      </c>
      <c r="X183" s="48">
        <v>1</v>
      </c>
      <c r="Y183" s="48">
        <v>1</v>
      </c>
      <c r="Z183" s="48">
        <v>1</v>
      </c>
      <c r="AA183" s="156">
        <v>26803.587027067224</v>
      </c>
      <c r="AF183" s="48">
        <v>0</v>
      </c>
      <c r="AG183" s="49" t="s">
        <v>32</v>
      </c>
      <c r="AH183" s="48">
        <v>1</v>
      </c>
      <c r="AI183" s="48" t="s">
        <v>33</v>
      </c>
      <c r="AJ183" s="48" t="s">
        <v>33</v>
      </c>
      <c r="AK183" s="48" t="s">
        <v>33</v>
      </c>
      <c r="AL183" s="48" t="s">
        <v>34</v>
      </c>
      <c r="AN183" s="48">
        <v>0</v>
      </c>
      <c r="AO183" s="48">
        <v>0</v>
      </c>
      <c r="AP183" s="48">
        <v>0</v>
      </c>
      <c r="AQ183" s="48">
        <v>0</v>
      </c>
      <c r="AR183" s="48">
        <v>0</v>
      </c>
      <c r="AS183" s="48">
        <v>0</v>
      </c>
      <c r="AT183" s="48">
        <v>0</v>
      </c>
      <c r="AU183" s="48">
        <v>0</v>
      </c>
      <c r="AV183" s="48">
        <v>0</v>
      </c>
      <c r="AW183" s="48">
        <v>0</v>
      </c>
      <c r="AX183" s="48">
        <v>0</v>
      </c>
      <c r="AY183" s="48">
        <v>0</v>
      </c>
      <c r="AZ183" s="48">
        <v>0</v>
      </c>
      <c r="BA183" s="48">
        <v>0</v>
      </c>
      <c r="BB183" s="48">
        <v>0</v>
      </c>
    </row>
    <row r="184" spans="1:54" x14ac:dyDescent="0.35">
      <c r="A184" s="49">
        <v>45930</v>
      </c>
      <c r="B184" s="48">
        <v>1</v>
      </c>
      <c r="C184" s="50" t="s">
        <v>32</v>
      </c>
      <c r="D184" s="48" t="s">
        <v>31</v>
      </c>
      <c r="E184" s="48" t="s">
        <v>138</v>
      </c>
      <c r="F184" s="48" t="s">
        <v>139</v>
      </c>
      <c r="G184" s="49" t="s">
        <v>59</v>
      </c>
      <c r="H184" s="48" t="s">
        <v>159</v>
      </c>
      <c r="I184" s="48">
        <v>1</v>
      </c>
      <c r="J184" s="48">
        <v>71</v>
      </c>
      <c r="K184" s="48">
        <v>1</v>
      </c>
      <c r="N184" s="48">
        <v>0</v>
      </c>
      <c r="R184" s="49"/>
      <c r="S184" s="49"/>
      <c r="T184" s="49">
        <v>48091</v>
      </c>
      <c r="U184" s="49">
        <v>48091</v>
      </c>
      <c r="V184" s="49">
        <v>48091</v>
      </c>
      <c r="W184" s="49">
        <v>48091</v>
      </c>
      <c r="X184" s="48">
        <v>1</v>
      </c>
      <c r="Y184" s="48">
        <v>1</v>
      </c>
      <c r="Z184" s="48">
        <v>1</v>
      </c>
      <c r="AA184" s="156">
        <v>26803.587027067224</v>
      </c>
      <c r="AF184" s="48">
        <v>0</v>
      </c>
      <c r="AG184" s="49" t="s">
        <v>32</v>
      </c>
      <c r="AH184" s="48">
        <v>1</v>
      </c>
      <c r="AI184" s="48" t="s">
        <v>33</v>
      </c>
      <c r="AJ184" s="48" t="s">
        <v>33</v>
      </c>
      <c r="AK184" s="48" t="s">
        <v>33</v>
      </c>
      <c r="AL184" s="48" t="s">
        <v>34</v>
      </c>
      <c r="AN184" s="48">
        <v>0</v>
      </c>
      <c r="AO184" s="48">
        <v>0</v>
      </c>
      <c r="AP184" s="48">
        <v>0</v>
      </c>
      <c r="AQ184" s="48">
        <v>0</v>
      </c>
      <c r="AR184" s="48">
        <v>0</v>
      </c>
      <c r="AS184" s="48">
        <v>0</v>
      </c>
      <c r="AT184" s="48">
        <v>0</v>
      </c>
      <c r="AU184" s="48">
        <v>0</v>
      </c>
      <c r="AV184" s="48">
        <v>0</v>
      </c>
      <c r="AW184" s="48">
        <v>0</v>
      </c>
      <c r="AX184" s="48">
        <v>0</v>
      </c>
      <c r="AY184" s="48">
        <v>0</v>
      </c>
      <c r="AZ184" s="48">
        <v>0</v>
      </c>
      <c r="BA184" s="48">
        <v>0</v>
      </c>
      <c r="BB184" s="48">
        <v>0</v>
      </c>
    </row>
    <row r="185" spans="1:54" x14ac:dyDescent="0.35">
      <c r="A185" s="49">
        <v>45930</v>
      </c>
      <c r="B185" s="48">
        <v>1</v>
      </c>
      <c r="C185" s="50" t="s">
        <v>32</v>
      </c>
      <c r="D185" s="48" t="s">
        <v>31</v>
      </c>
      <c r="E185" s="48" t="s">
        <v>138</v>
      </c>
      <c r="F185" s="48" t="s">
        <v>139</v>
      </c>
      <c r="G185" s="49" t="s">
        <v>59</v>
      </c>
      <c r="H185" s="48" t="s">
        <v>159</v>
      </c>
      <c r="I185" s="48">
        <v>1</v>
      </c>
      <c r="J185" s="48">
        <v>72</v>
      </c>
      <c r="K185" s="48">
        <v>1</v>
      </c>
      <c r="N185" s="48">
        <v>0</v>
      </c>
      <c r="R185" s="49"/>
      <c r="S185" s="49"/>
      <c r="T185" s="49">
        <v>48121</v>
      </c>
      <c r="U185" s="49">
        <v>48121</v>
      </c>
      <c r="V185" s="49">
        <v>48121</v>
      </c>
      <c r="W185" s="49">
        <v>48121</v>
      </c>
      <c r="X185" s="48">
        <v>1</v>
      </c>
      <c r="Y185" s="48">
        <v>1</v>
      </c>
      <c r="Z185" s="48">
        <v>1</v>
      </c>
      <c r="AA185" s="156">
        <v>26803.587027067224</v>
      </c>
      <c r="AF185" s="48">
        <v>0</v>
      </c>
      <c r="AG185" s="49" t="s">
        <v>32</v>
      </c>
      <c r="AH185" s="48">
        <v>1</v>
      </c>
      <c r="AI185" s="48" t="s">
        <v>33</v>
      </c>
      <c r="AJ185" s="48" t="s">
        <v>33</v>
      </c>
      <c r="AK185" s="48" t="s">
        <v>33</v>
      </c>
      <c r="AL185" s="48" t="s">
        <v>34</v>
      </c>
      <c r="AN185" s="48">
        <v>0</v>
      </c>
      <c r="AO185" s="48">
        <v>0</v>
      </c>
      <c r="AP185" s="48">
        <v>0</v>
      </c>
      <c r="AQ185" s="48">
        <v>0</v>
      </c>
      <c r="AR185" s="48">
        <v>0</v>
      </c>
      <c r="AS185" s="48">
        <v>0</v>
      </c>
      <c r="AT185" s="48">
        <v>0</v>
      </c>
      <c r="AU185" s="48">
        <v>0</v>
      </c>
      <c r="AV185" s="48">
        <v>0</v>
      </c>
      <c r="AW185" s="48">
        <v>0</v>
      </c>
      <c r="AX185" s="48">
        <v>0</v>
      </c>
      <c r="AY185" s="48">
        <v>0</v>
      </c>
      <c r="AZ185" s="48">
        <v>0</v>
      </c>
      <c r="BA185" s="48">
        <v>0</v>
      </c>
      <c r="BB185" s="48">
        <v>0</v>
      </c>
    </row>
    <row r="186" spans="1:54" x14ac:dyDescent="0.35">
      <c r="A186" s="49">
        <v>45930</v>
      </c>
      <c r="B186" s="48">
        <v>1</v>
      </c>
      <c r="C186" s="50" t="s">
        <v>32</v>
      </c>
      <c r="D186" s="48" t="s">
        <v>31</v>
      </c>
      <c r="E186" s="48" t="s">
        <v>138</v>
      </c>
      <c r="F186" s="48" t="s">
        <v>139</v>
      </c>
      <c r="G186" s="49" t="s">
        <v>59</v>
      </c>
      <c r="H186" s="48" t="s">
        <v>159</v>
      </c>
      <c r="I186" s="48">
        <v>1</v>
      </c>
      <c r="J186" s="48">
        <v>73</v>
      </c>
      <c r="K186" s="48">
        <v>1</v>
      </c>
      <c r="N186" s="48">
        <v>0</v>
      </c>
      <c r="R186" s="49"/>
      <c r="S186" s="49"/>
      <c r="T186" s="49">
        <v>48152</v>
      </c>
      <c r="U186" s="49">
        <v>48152</v>
      </c>
      <c r="V186" s="49">
        <v>48152</v>
      </c>
      <c r="W186" s="49">
        <v>48152</v>
      </c>
      <c r="X186" s="48">
        <v>1</v>
      </c>
      <c r="Y186" s="48">
        <v>1</v>
      </c>
      <c r="Z186" s="48">
        <v>1</v>
      </c>
      <c r="AA186" s="156">
        <v>26803.587027067224</v>
      </c>
      <c r="AF186" s="48">
        <v>0</v>
      </c>
      <c r="AG186" s="49" t="s">
        <v>32</v>
      </c>
      <c r="AH186" s="48">
        <v>1</v>
      </c>
      <c r="AI186" s="48" t="s">
        <v>33</v>
      </c>
      <c r="AJ186" s="48" t="s">
        <v>33</v>
      </c>
      <c r="AK186" s="48" t="s">
        <v>33</v>
      </c>
      <c r="AL186" s="48" t="s">
        <v>34</v>
      </c>
      <c r="AN186" s="48">
        <v>0</v>
      </c>
      <c r="AO186" s="48">
        <v>0</v>
      </c>
      <c r="AP186" s="48">
        <v>0</v>
      </c>
      <c r="AQ186" s="48">
        <v>0</v>
      </c>
      <c r="AR186" s="48">
        <v>0</v>
      </c>
      <c r="AS186" s="48">
        <v>0</v>
      </c>
      <c r="AT186" s="48">
        <v>0</v>
      </c>
      <c r="AU186" s="48">
        <v>0</v>
      </c>
      <c r="AV186" s="48">
        <v>0</v>
      </c>
      <c r="AW186" s="48">
        <v>0</v>
      </c>
      <c r="AX186" s="48">
        <v>0</v>
      </c>
      <c r="AY186" s="48">
        <v>0</v>
      </c>
      <c r="AZ186" s="48">
        <v>0</v>
      </c>
      <c r="BA186" s="48">
        <v>0</v>
      </c>
      <c r="BB186" s="48">
        <v>0</v>
      </c>
    </row>
    <row r="187" spans="1:54" x14ac:dyDescent="0.35">
      <c r="A187" s="49">
        <v>45930</v>
      </c>
      <c r="B187" s="48">
        <v>1</v>
      </c>
      <c r="C187" s="50" t="s">
        <v>32</v>
      </c>
      <c r="D187" s="48" t="s">
        <v>31</v>
      </c>
      <c r="E187" s="48" t="s">
        <v>138</v>
      </c>
      <c r="F187" s="48" t="s">
        <v>139</v>
      </c>
      <c r="G187" s="49" t="s">
        <v>59</v>
      </c>
      <c r="H187" s="48" t="s">
        <v>159</v>
      </c>
      <c r="I187" s="48">
        <v>1</v>
      </c>
      <c r="J187" s="48">
        <v>74</v>
      </c>
      <c r="K187" s="48">
        <v>1</v>
      </c>
      <c r="N187" s="48">
        <v>0</v>
      </c>
      <c r="R187" s="49"/>
      <c r="S187" s="49"/>
      <c r="T187" s="49">
        <v>48182</v>
      </c>
      <c r="U187" s="49">
        <v>48182</v>
      </c>
      <c r="V187" s="49">
        <v>48182</v>
      </c>
      <c r="W187" s="49">
        <v>48182</v>
      </c>
      <c r="X187" s="48">
        <v>1</v>
      </c>
      <c r="Y187" s="48">
        <v>1</v>
      </c>
      <c r="Z187" s="48">
        <v>1</v>
      </c>
      <c r="AA187" s="156">
        <v>26803.587027067224</v>
      </c>
      <c r="AF187" s="48">
        <v>0</v>
      </c>
      <c r="AG187" s="49" t="s">
        <v>32</v>
      </c>
      <c r="AH187" s="48">
        <v>1</v>
      </c>
      <c r="AI187" s="48" t="s">
        <v>33</v>
      </c>
      <c r="AJ187" s="48" t="s">
        <v>33</v>
      </c>
      <c r="AK187" s="48" t="s">
        <v>33</v>
      </c>
      <c r="AL187" s="48" t="s">
        <v>34</v>
      </c>
      <c r="AN187" s="48">
        <v>0</v>
      </c>
      <c r="AO187" s="48">
        <v>0</v>
      </c>
      <c r="AP187" s="48">
        <v>0</v>
      </c>
      <c r="AQ187" s="48">
        <v>0</v>
      </c>
      <c r="AR187" s="48">
        <v>0</v>
      </c>
      <c r="AS187" s="48">
        <v>0</v>
      </c>
      <c r="AT187" s="48">
        <v>0</v>
      </c>
      <c r="AU187" s="48">
        <v>0</v>
      </c>
      <c r="AV187" s="48">
        <v>0</v>
      </c>
      <c r="AW187" s="48">
        <v>0</v>
      </c>
      <c r="AX187" s="48">
        <v>0</v>
      </c>
      <c r="AY187" s="48">
        <v>0</v>
      </c>
      <c r="AZ187" s="48">
        <v>0</v>
      </c>
      <c r="BA187" s="48">
        <v>0</v>
      </c>
      <c r="BB187" s="48">
        <v>0</v>
      </c>
    </row>
    <row r="188" spans="1:54" x14ac:dyDescent="0.35">
      <c r="A188" s="49">
        <v>45930</v>
      </c>
      <c r="B188" s="48">
        <v>1</v>
      </c>
      <c r="C188" s="50" t="s">
        <v>32</v>
      </c>
      <c r="D188" s="48" t="s">
        <v>31</v>
      </c>
      <c r="E188" s="48" t="s">
        <v>138</v>
      </c>
      <c r="F188" s="48" t="s">
        <v>139</v>
      </c>
      <c r="G188" s="49" t="s">
        <v>59</v>
      </c>
      <c r="H188" s="48" t="s">
        <v>159</v>
      </c>
      <c r="I188" s="48">
        <v>1</v>
      </c>
      <c r="J188" s="48">
        <v>75</v>
      </c>
      <c r="K188" s="48">
        <v>1</v>
      </c>
      <c r="N188" s="48">
        <v>0</v>
      </c>
      <c r="R188" s="49"/>
      <c r="S188" s="49"/>
      <c r="T188" s="49">
        <v>48213</v>
      </c>
      <c r="U188" s="49">
        <v>48213</v>
      </c>
      <c r="V188" s="49">
        <v>48213</v>
      </c>
      <c r="W188" s="49">
        <v>48213</v>
      </c>
      <c r="X188" s="48">
        <v>1</v>
      </c>
      <c r="Y188" s="48">
        <v>1</v>
      </c>
      <c r="Z188" s="48">
        <v>1</v>
      </c>
      <c r="AA188" s="156">
        <v>26803.587027067224</v>
      </c>
      <c r="AF188" s="48">
        <v>0</v>
      </c>
      <c r="AG188" s="49" t="s">
        <v>32</v>
      </c>
      <c r="AH188" s="48">
        <v>1</v>
      </c>
      <c r="AI188" s="48" t="s">
        <v>33</v>
      </c>
      <c r="AJ188" s="48" t="s">
        <v>33</v>
      </c>
      <c r="AK188" s="48" t="s">
        <v>33</v>
      </c>
      <c r="AL188" s="48" t="s">
        <v>34</v>
      </c>
      <c r="AN188" s="48">
        <v>0</v>
      </c>
      <c r="AO188" s="48">
        <v>0</v>
      </c>
      <c r="AP188" s="48">
        <v>0</v>
      </c>
      <c r="AQ188" s="48">
        <v>0</v>
      </c>
      <c r="AR188" s="48">
        <v>0</v>
      </c>
      <c r="AS188" s="48">
        <v>0</v>
      </c>
      <c r="AT188" s="48">
        <v>0</v>
      </c>
      <c r="AU188" s="48">
        <v>0</v>
      </c>
      <c r="AV188" s="48">
        <v>0</v>
      </c>
      <c r="AW188" s="48">
        <v>0</v>
      </c>
      <c r="AX188" s="48">
        <v>0</v>
      </c>
      <c r="AY188" s="48">
        <v>0</v>
      </c>
      <c r="AZ188" s="48">
        <v>0</v>
      </c>
      <c r="BA188" s="48">
        <v>0</v>
      </c>
      <c r="BB188" s="48">
        <v>0</v>
      </c>
    </row>
    <row r="189" spans="1:54" x14ac:dyDescent="0.35">
      <c r="A189" s="49">
        <v>45930</v>
      </c>
      <c r="B189" s="48">
        <v>1</v>
      </c>
      <c r="C189" s="50" t="s">
        <v>32</v>
      </c>
      <c r="D189" s="48" t="s">
        <v>31</v>
      </c>
      <c r="E189" s="48" t="s">
        <v>138</v>
      </c>
      <c r="F189" s="48" t="s">
        <v>139</v>
      </c>
      <c r="G189" s="49" t="s">
        <v>59</v>
      </c>
      <c r="H189" s="48" t="s">
        <v>159</v>
      </c>
      <c r="I189" s="48">
        <v>1</v>
      </c>
      <c r="J189" s="48">
        <v>76</v>
      </c>
      <c r="K189" s="48">
        <v>1</v>
      </c>
      <c r="N189" s="48">
        <v>0</v>
      </c>
      <c r="R189" s="49"/>
      <c r="S189" s="49"/>
      <c r="T189" s="49">
        <v>48244</v>
      </c>
      <c r="U189" s="49">
        <v>48244</v>
      </c>
      <c r="V189" s="49">
        <v>48244</v>
      </c>
      <c r="W189" s="49">
        <v>48244</v>
      </c>
      <c r="X189" s="48">
        <v>1</v>
      </c>
      <c r="Y189" s="48">
        <v>1</v>
      </c>
      <c r="Z189" s="48">
        <v>1</v>
      </c>
      <c r="AA189" s="156">
        <v>26803.587027067224</v>
      </c>
      <c r="AF189" s="48">
        <v>0</v>
      </c>
      <c r="AG189" s="49" t="s">
        <v>32</v>
      </c>
      <c r="AH189" s="48">
        <v>1</v>
      </c>
      <c r="AI189" s="48" t="s">
        <v>33</v>
      </c>
      <c r="AJ189" s="48" t="s">
        <v>33</v>
      </c>
      <c r="AK189" s="48" t="s">
        <v>33</v>
      </c>
      <c r="AL189" s="48" t="s">
        <v>34</v>
      </c>
      <c r="AN189" s="48">
        <v>0</v>
      </c>
      <c r="AO189" s="48">
        <v>0</v>
      </c>
      <c r="AP189" s="48">
        <v>0</v>
      </c>
      <c r="AQ189" s="48">
        <v>0</v>
      </c>
      <c r="AR189" s="48">
        <v>0</v>
      </c>
      <c r="AS189" s="48">
        <v>0</v>
      </c>
      <c r="AT189" s="48">
        <v>0</v>
      </c>
      <c r="AU189" s="48">
        <v>0</v>
      </c>
      <c r="AV189" s="48">
        <v>0</v>
      </c>
      <c r="AW189" s="48">
        <v>0</v>
      </c>
      <c r="AX189" s="48">
        <v>0</v>
      </c>
      <c r="AY189" s="48">
        <v>0</v>
      </c>
      <c r="AZ189" s="48">
        <v>0</v>
      </c>
      <c r="BA189" s="48">
        <v>0</v>
      </c>
      <c r="BB189" s="48">
        <v>0</v>
      </c>
    </row>
    <row r="190" spans="1:54" x14ac:dyDescent="0.35">
      <c r="A190" s="49">
        <v>45930</v>
      </c>
      <c r="B190" s="48">
        <v>1</v>
      </c>
      <c r="C190" s="50" t="s">
        <v>32</v>
      </c>
      <c r="D190" s="48" t="s">
        <v>31</v>
      </c>
      <c r="E190" s="48" t="s">
        <v>138</v>
      </c>
      <c r="F190" s="48" t="s">
        <v>139</v>
      </c>
      <c r="G190" s="49" t="s">
        <v>59</v>
      </c>
      <c r="H190" s="48" t="s">
        <v>159</v>
      </c>
      <c r="I190" s="48">
        <v>1</v>
      </c>
      <c r="J190" s="48">
        <v>77</v>
      </c>
      <c r="K190" s="48">
        <v>1</v>
      </c>
      <c r="N190" s="48">
        <v>0</v>
      </c>
      <c r="R190" s="49"/>
      <c r="S190" s="49"/>
      <c r="T190" s="49">
        <v>48273</v>
      </c>
      <c r="U190" s="49">
        <v>48273</v>
      </c>
      <c r="V190" s="49">
        <v>48273</v>
      </c>
      <c r="W190" s="49">
        <v>48273</v>
      </c>
      <c r="X190" s="48">
        <v>1</v>
      </c>
      <c r="Y190" s="48">
        <v>1</v>
      </c>
      <c r="Z190" s="48">
        <v>1</v>
      </c>
      <c r="AA190" s="156">
        <v>26803.587027067224</v>
      </c>
      <c r="AF190" s="48">
        <v>0</v>
      </c>
      <c r="AG190" s="49" t="s">
        <v>32</v>
      </c>
      <c r="AH190" s="48">
        <v>1</v>
      </c>
      <c r="AI190" s="48" t="s">
        <v>33</v>
      </c>
      <c r="AJ190" s="48" t="s">
        <v>33</v>
      </c>
      <c r="AK190" s="48" t="s">
        <v>33</v>
      </c>
      <c r="AL190" s="48" t="s">
        <v>34</v>
      </c>
      <c r="AN190" s="48">
        <v>0</v>
      </c>
      <c r="AO190" s="48">
        <v>0</v>
      </c>
      <c r="AP190" s="48">
        <v>0</v>
      </c>
      <c r="AQ190" s="48">
        <v>0</v>
      </c>
      <c r="AR190" s="48">
        <v>0</v>
      </c>
      <c r="AS190" s="48">
        <v>0</v>
      </c>
      <c r="AT190" s="48">
        <v>0</v>
      </c>
      <c r="AU190" s="48">
        <v>0</v>
      </c>
      <c r="AV190" s="48">
        <v>0</v>
      </c>
      <c r="AW190" s="48">
        <v>0</v>
      </c>
      <c r="AX190" s="48">
        <v>0</v>
      </c>
      <c r="AY190" s="48">
        <v>0</v>
      </c>
      <c r="AZ190" s="48">
        <v>0</v>
      </c>
      <c r="BA190" s="48">
        <v>0</v>
      </c>
      <c r="BB190" s="48">
        <v>0</v>
      </c>
    </row>
    <row r="191" spans="1:54" x14ac:dyDescent="0.35">
      <c r="A191" s="49">
        <v>45930</v>
      </c>
      <c r="B191" s="48">
        <v>1</v>
      </c>
      <c r="C191" s="50" t="s">
        <v>32</v>
      </c>
      <c r="D191" s="48" t="s">
        <v>31</v>
      </c>
      <c r="E191" s="48" t="s">
        <v>138</v>
      </c>
      <c r="F191" s="48" t="s">
        <v>139</v>
      </c>
      <c r="G191" s="49" t="s">
        <v>59</v>
      </c>
      <c r="H191" s="48" t="s">
        <v>159</v>
      </c>
      <c r="I191" s="48">
        <v>1</v>
      </c>
      <c r="J191" s="48">
        <v>78</v>
      </c>
      <c r="K191" s="48">
        <v>1</v>
      </c>
      <c r="N191" s="48">
        <v>0</v>
      </c>
      <c r="R191" s="49"/>
      <c r="S191" s="49"/>
      <c r="T191" s="49">
        <v>48304</v>
      </c>
      <c r="U191" s="49">
        <v>48304</v>
      </c>
      <c r="V191" s="49">
        <v>48304</v>
      </c>
      <c r="W191" s="49">
        <v>48304</v>
      </c>
      <c r="X191" s="48">
        <v>1</v>
      </c>
      <c r="Y191" s="48">
        <v>1</v>
      </c>
      <c r="Z191" s="48">
        <v>1</v>
      </c>
      <c r="AA191" s="156">
        <v>26803.587027067224</v>
      </c>
      <c r="AF191" s="48">
        <v>0</v>
      </c>
      <c r="AG191" s="49" t="s">
        <v>32</v>
      </c>
      <c r="AH191" s="48">
        <v>1</v>
      </c>
      <c r="AI191" s="48" t="s">
        <v>33</v>
      </c>
      <c r="AJ191" s="48" t="s">
        <v>33</v>
      </c>
      <c r="AK191" s="48" t="s">
        <v>33</v>
      </c>
      <c r="AL191" s="48" t="s">
        <v>34</v>
      </c>
      <c r="AN191" s="48">
        <v>0</v>
      </c>
      <c r="AO191" s="48">
        <v>0</v>
      </c>
      <c r="AP191" s="48">
        <v>0</v>
      </c>
      <c r="AQ191" s="48">
        <v>0</v>
      </c>
      <c r="AR191" s="48">
        <v>0</v>
      </c>
      <c r="AS191" s="48">
        <v>0</v>
      </c>
      <c r="AT191" s="48">
        <v>0</v>
      </c>
      <c r="AU191" s="48">
        <v>0</v>
      </c>
      <c r="AV191" s="48">
        <v>0</v>
      </c>
      <c r="AW191" s="48">
        <v>0</v>
      </c>
      <c r="AX191" s="48">
        <v>0</v>
      </c>
      <c r="AY191" s="48">
        <v>0</v>
      </c>
      <c r="AZ191" s="48">
        <v>0</v>
      </c>
      <c r="BA191" s="48">
        <v>0</v>
      </c>
      <c r="BB191" s="48">
        <v>0</v>
      </c>
    </row>
    <row r="192" spans="1:54" x14ac:dyDescent="0.35">
      <c r="A192" s="49">
        <v>45930</v>
      </c>
      <c r="B192" s="48">
        <v>1</v>
      </c>
      <c r="C192" s="50" t="s">
        <v>32</v>
      </c>
      <c r="D192" s="48" t="s">
        <v>31</v>
      </c>
      <c r="E192" s="48" t="s">
        <v>138</v>
      </c>
      <c r="F192" s="48" t="s">
        <v>139</v>
      </c>
      <c r="G192" s="49" t="s">
        <v>59</v>
      </c>
      <c r="H192" s="48" t="s">
        <v>159</v>
      </c>
      <c r="I192" s="48">
        <v>1</v>
      </c>
      <c r="J192" s="48">
        <v>79</v>
      </c>
      <c r="K192" s="48">
        <v>1</v>
      </c>
      <c r="N192" s="48">
        <v>0</v>
      </c>
      <c r="R192" s="49"/>
      <c r="S192" s="49"/>
      <c r="T192" s="49">
        <v>48334</v>
      </c>
      <c r="U192" s="49">
        <v>48334</v>
      </c>
      <c r="V192" s="49">
        <v>48334</v>
      </c>
      <c r="W192" s="49">
        <v>48334</v>
      </c>
      <c r="X192" s="48">
        <v>1</v>
      </c>
      <c r="Y192" s="48">
        <v>1</v>
      </c>
      <c r="Z192" s="48">
        <v>1</v>
      </c>
      <c r="AA192" s="156">
        <v>26803.587027067224</v>
      </c>
      <c r="AF192" s="48">
        <v>0</v>
      </c>
      <c r="AG192" s="49" t="s">
        <v>32</v>
      </c>
      <c r="AH192" s="48">
        <v>1</v>
      </c>
      <c r="AI192" s="48" t="s">
        <v>33</v>
      </c>
      <c r="AJ192" s="48" t="s">
        <v>33</v>
      </c>
      <c r="AK192" s="48" t="s">
        <v>33</v>
      </c>
      <c r="AL192" s="48" t="s">
        <v>34</v>
      </c>
      <c r="AN192" s="48">
        <v>0</v>
      </c>
      <c r="AO192" s="48">
        <v>0</v>
      </c>
      <c r="AP192" s="48">
        <v>0</v>
      </c>
      <c r="AQ192" s="48">
        <v>0</v>
      </c>
      <c r="AR192" s="48">
        <v>0</v>
      </c>
      <c r="AS192" s="48">
        <v>0</v>
      </c>
      <c r="AT192" s="48">
        <v>0</v>
      </c>
      <c r="AU192" s="48">
        <v>0</v>
      </c>
      <c r="AV192" s="48">
        <v>0</v>
      </c>
      <c r="AW192" s="48">
        <v>0</v>
      </c>
      <c r="AX192" s="48">
        <v>0</v>
      </c>
      <c r="AY192" s="48">
        <v>0</v>
      </c>
      <c r="AZ192" s="48">
        <v>0</v>
      </c>
      <c r="BA192" s="48">
        <v>0</v>
      </c>
      <c r="BB192" s="48">
        <v>0</v>
      </c>
    </row>
    <row r="193" spans="1:54" x14ac:dyDescent="0.35">
      <c r="A193" s="49">
        <v>45930</v>
      </c>
      <c r="B193" s="48">
        <v>1</v>
      </c>
      <c r="C193" s="50" t="s">
        <v>32</v>
      </c>
      <c r="D193" s="48" t="s">
        <v>31</v>
      </c>
      <c r="E193" s="48" t="s">
        <v>138</v>
      </c>
      <c r="F193" s="48" t="s">
        <v>139</v>
      </c>
      <c r="G193" s="49" t="s">
        <v>59</v>
      </c>
      <c r="H193" s="48" t="s">
        <v>159</v>
      </c>
      <c r="I193" s="48">
        <v>1</v>
      </c>
      <c r="J193" s="48">
        <v>80</v>
      </c>
      <c r="K193" s="48">
        <v>1</v>
      </c>
      <c r="N193" s="48">
        <v>0</v>
      </c>
      <c r="R193" s="49"/>
      <c r="S193" s="49"/>
      <c r="T193" s="49">
        <v>48365</v>
      </c>
      <c r="U193" s="49">
        <v>48365</v>
      </c>
      <c r="V193" s="49">
        <v>48365</v>
      </c>
      <c r="W193" s="49">
        <v>48365</v>
      </c>
      <c r="X193" s="48">
        <v>1</v>
      </c>
      <c r="Y193" s="48">
        <v>1</v>
      </c>
      <c r="Z193" s="48">
        <v>1</v>
      </c>
      <c r="AA193" s="156">
        <v>26803.587027067224</v>
      </c>
      <c r="AF193" s="48">
        <v>0</v>
      </c>
      <c r="AG193" s="49" t="s">
        <v>32</v>
      </c>
      <c r="AH193" s="48">
        <v>1</v>
      </c>
      <c r="AI193" s="48" t="s">
        <v>33</v>
      </c>
      <c r="AJ193" s="48" t="s">
        <v>33</v>
      </c>
      <c r="AK193" s="48" t="s">
        <v>33</v>
      </c>
      <c r="AL193" s="48" t="s">
        <v>34</v>
      </c>
      <c r="AN193" s="48">
        <v>0</v>
      </c>
      <c r="AO193" s="48">
        <v>0</v>
      </c>
      <c r="AP193" s="48">
        <v>0</v>
      </c>
      <c r="AQ193" s="48">
        <v>0</v>
      </c>
      <c r="AR193" s="48">
        <v>0</v>
      </c>
      <c r="AS193" s="48">
        <v>0</v>
      </c>
      <c r="AT193" s="48">
        <v>0</v>
      </c>
      <c r="AU193" s="48">
        <v>0</v>
      </c>
      <c r="AV193" s="48">
        <v>0</v>
      </c>
      <c r="AW193" s="48">
        <v>0</v>
      </c>
      <c r="AX193" s="48">
        <v>0</v>
      </c>
      <c r="AY193" s="48">
        <v>0</v>
      </c>
      <c r="AZ193" s="48">
        <v>0</v>
      </c>
      <c r="BA193" s="48">
        <v>0</v>
      </c>
      <c r="BB193" s="48">
        <v>0</v>
      </c>
    </row>
    <row r="194" spans="1:54" x14ac:dyDescent="0.35">
      <c r="A194" s="49">
        <v>45930</v>
      </c>
      <c r="B194" s="48">
        <v>1</v>
      </c>
      <c r="C194" s="50" t="s">
        <v>32</v>
      </c>
      <c r="D194" s="48" t="s">
        <v>31</v>
      </c>
      <c r="E194" s="48" t="s">
        <v>138</v>
      </c>
      <c r="F194" s="48" t="s">
        <v>139</v>
      </c>
      <c r="G194" s="49" t="s">
        <v>59</v>
      </c>
      <c r="H194" s="48" t="s">
        <v>159</v>
      </c>
      <c r="I194" s="48">
        <v>1</v>
      </c>
      <c r="J194" s="48">
        <v>81</v>
      </c>
      <c r="K194" s="48">
        <v>1</v>
      </c>
      <c r="N194" s="48">
        <v>0</v>
      </c>
      <c r="R194" s="49"/>
      <c r="S194" s="49"/>
      <c r="T194" s="49">
        <v>48395</v>
      </c>
      <c r="U194" s="49">
        <v>48395</v>
      </c>
      <c r="V194" s="49">
        <v>48395</v>
      </c>
      <c r="W194" s="49">
        <v>48395</v>
      </c>
      <c r="X194" s="48">
        <v>1</v>
      </c>
      <c r="Y194" s="48">
        <v>1</v>
      </c>
      <c r="Z194" s="48">
        <v>1</v>
      </c>
      <c r="AA194" s="156">
        <v>26803.587027067224</v>
      </c>
      <c r="AF194" s="48">
        <v>0</v>
      </c>
      <c r="AG194" s="49" t="s">
        <v>32</v>
      </c>
      <c r="AH194" s="48">
        <v>1</v>
      </c>
      <c r="AI194" s="48" t="s">
        <v>33</v>
      </c>
      <c r="AJ194" s="48" t="s">
        <v>33</v>
      </c>
      <c r="AK194" s="48" t="s">
        <v>33</v>
      </c>
      <c r="AL194" s="48" t="s">
        <v>34</v>
      </c>
      <c r="AN194" s="48">
        <v>0</v>
      </c>
      <c r="AO194" s="48">
        <v>0</v>
      </c>
      <c r="AP194" s="48">
        <v>0</v>
      </c>
      <c r="AQ194" s="48">
        <v>0</v>
      </c>
      <c r="AR194" s="48">
        <v>0</v>
      </c>
      <c r="AS194" s="48">
        <v>0</v>
      </c>
      <c r="AT194" s="48">
        <v>0</v>
      </c>
      <c r="AU194" s="48">
        <v>0</v>
      </c>
      <c r="AV194" s="48">
        <v>0</v>
      </c>
      <c r="AW194" s="48">
        <v>0</v>
      </c>
      <c r="AX194" s="48">
        <v>0</v>
      </c>
      <c r="AY194" s="48">
        <v>0</v>
      </c>
      <c r="AZ194" s="48">
        <v>0</v>
      </c>
      <c r="BA194" s="48">
        <v>0</v>
      </c>
      <c r="BB194" s="48">
        <v>0</v>
      </c>
    </row>
    <row r="195" spans="1:54" x14ac:dyDescent="0.35">
      <c r="A195" s="49">
        <v>45930</v>
      </c>
      <c r="B195" s="48">
        <v>1</v>
      </c>
      <c r="C195" s="50" t="s">
        <v>32</v>
      </c>
      <c r="D195" s="48" t="s">
        <v>31</v>
      </c>
      <c r="E195" s="48" t="s">
        <v>138</v>
      </c>
      <c r="F195" s="48" t="s">
        <v>139</v>
      </c>
      <c r="G195" s="49" t="s">
        <v>59</v>
      </c>
      <c r="H195" s="48" t="s">
        <v>159</v>
      </c>
      <c r="I195" s="48">
        <v>1</v>
      </c>
      <c r="J195" s="48">
        <v>82</v>
      </c>
      <c r="K195" s="48">
        <v>1</v>
      </c>
      <c r="N195" s="48">
        <v>0</v>
      </c>
      <c r="R195" s="49"/>
      <c r="S195" s="49"/>
      <c r="T195" s="49">
        <v>48426</v>
      </c>
      <c r="U195" s="49">
        <v>48426</v>
      </c>
      <c r="V195" s="49">
        <v>48426</v>
      </c>
      <c r="W195" s="49">
        <v>48426</v>
      </c>
      <c r="X195" s="48">
        <v>1</v>
      </c>
      <c r="Y195" s="48">
        <v>1</v>
      </c>
      <c r="Z195" s="48">
        <v>1</v>
      </c>
      <c r="AA195" s="156">
        <v>26803.587027067224</v>
      </c>
      <c r="AF195" s="48">
        <v>0</v>
      </c>
      <c r="AG195" s="49" t="s">
        <v>32</v>
      </c>
      <c r="AH195" s="48">
        <v>1</v>
      </c>
      <c r="AI195" s="48" t="s">
        <v>33</v>
      </c>
      <c r="AJ195" s="48" t="s">
        <v>33</v>
      </c>
      <c r="AK195" s="48" t="s">
        <v>33</v>
      </c>
      <c r="AL195" s="48" t="s">
        <v>34</v>
      </c>
      <c r="AN195" s="48">
        <v>0</v>
      </c>
      <c r="AO195" s="48">
        <v>0</v>
      </c>
      <c r="AP195" s="48">
        <v>0</v>
      </c>
      <c r="AQ195" s="48">
        <v>0</v>
      </c>
      <c r="AR195" s="48">
        <v>0</v>
      </c>
      <c r="AS195" s="48">
        <v>0</v>
      </c>
      <c r="AT195" s="48">
        <v>0</v>
      </c>
      <c r="AU195" s="48">
        <v>0</v>
      </c>
      <c r="AV195" s="48">
        <v>0</v>
      </c>
      <c r="AW195" s="48">
        <v>0</v>
      </c>
      <c r="AX195" s="48">
        <v>0</v>
      </c>
      <c r="AY195" s="48">
        <v>0</v>
      </c>
      <c r="AZ195" s="48">
        <v>0</v>
      </c>
      <c r="BA195" s="48">
        <v>0</v>
      </c>
      <c r="BB195" s="48">
        <v>0</v>
      </c>
    </row>
    <row r="196" spans="1:54" x14ac:dyDescent="0.35">
      <c r="A196" s="49">
        <v>45930</v>
      </c>
      <c r="B196" s="48">
        <v>1</v>
      </c>
      <c r="C196" s="50" t="s">
        <v>32</v>
      </c>
      <c r="D196" s="48" t="s">
        <v>31</v>
      </c>
      <c r="E196" s="48" t="s">
        <v>138</v>
      </c>
      <c r="F196" s="48" t="s">
        <v>139</v>
      </c>
      <c r="G196" s="49" t="s">
        <v>59</v>
      </c>
      <c r="H196" s="48" t="s">
        <v>159</v>
      </c>
      <c r="I196" s="48">
        <v>1</v>
      </c>
      <c r="J196" s="48">
        <v>83</v>
      </c>
      <c r="K196" s="48">
        <v>1</v>
      </c>
      <c r="N196" s="48">
        <v>0</v>
      </c>
      <c r="R196" s="49"/>
      <c r="S196" s="49"/>
      <c r="T196" s="49">
        <v>48457</v>
      </c>
      <c r="U196" s="49">
        <v>48457</v>
      </c>
      <c r="V196" s="49">
        <v>48457</v>
      </c>
      <c r="W196" s="49">
        <v>48457</v>
      </c>
      <c r="X196" s="48">
        <v>1</v>
      </c>
      <c r="Y196" s="48">
        <v>1</v>
      </c>
      <c r="Z196" s="48">
        <v>1</v>
      </c>
      <c r="AA196" s="156">
        <v>26803.587027067224</v>
      </c>
      <c r="AF196" s="48">
        <v>0</v>
      </c>
      <c r="AG196" s="49" t="s">
        <v>32</v>
      </c>
      <c r="AH196" s="48">
        <v>1</v>
      </c>
      <c r="AI196" s="48" t="s">
        <v>33</v>
      </c>
      <c r="AJ196" s="48" t="s">
        <v>33</v>
      </c>
      <c r="AK196" s="48" t="s">
        <v>33</v>
      </c>
      <c r="AL196" s="48" t="s">
        <v>34</v>
      </c>
      <c r="AN196" s="48">
        <v>0</v>
      </c>
      <c r="AO196" s="48">
        <v>0</v>
      </c>
      <c r="AP196" s="48">
        <v>0</v>
      </c>
      <c r="AQ196" s="48">
        <v>0</v>
      </c>
      <c r="AR196" s="48">
        <v>0</v>
      </c>
      <c r="AS196" s="48">
        <v>0</v>
      </c>
      <c r="AT196" s="48">
        <v>0</v>
      </c>
      <c r="AU196" s="48">
        <v>0</v>
      </c>
      <c r="AV196" s="48">
        <v>0</v>
      </c>
      <c r="AW196" s="48">
        <v>0</v>
      </c>
      <c r="AX196" s="48">
        <v>0</v>
      </c>
      <c r="AY196" s="48">
        <v>0</v>
      </c>
      <c r="AZ196" s="48">
        <v>0</v>
      </c>
      <c r="BA196" s="48">
        <v>0</v>
      </c>
      <c r="BB196" s="48">
        <v>0</v>
      </c>
    </row>
    <row r="197" spans="1:54" x14ac:dyDescent="0.35">
      <c r="A197" s="49">
        <v>45930</v>
      </c>
      <c r="B197" s="48">
        <v>1</v>
      </c>
      <c r="C197" s="50" t="s">
        <v>32</v>
      </c>
      <c r="D197" s="48" t="s">
        <v>31</v>
      </c>
      <c r="E197" s="48" t="s">
        <v>138</v>
      </c>
      <c r="F197" s="48" t="s">
        <v>139</v>
      </c>
      <c r="G197" s="49" t="s">
        <v>59</v>
      </c>
      <c r="H197" s="48" t="s">
        <v>159</v>
      </c>
      <c r="I197" s="48">
        <v>1</v>
      </c>
      <c r="J197" s="48">
        <v>84</v>
      </c>
      <c r="K197" s="48">
        <v>1</v>
      </c>
      <c r="N197" s="48">
        <v>0</v>
      </c>
      <c r="R197" s="49"/>
      <c r="S197" s="49"/>
      <c r="T197" s="49">
        <v>48487</v>
      </c>
      <c r="U197" s="49">
        <v>48487</v>
      </c>
      <c r="V197" s="49">
        <v>48487</v>
      </c>
      <c r="W197" s="49">
        <v>48487</v>
      </c>
      <c r="X197" s="48">
        <v>1</v>
      </c>
      <c r="Y197" s="48">
        <v>1</v>
      </c>
      <c r="Z197" s="48">
        <v>1</v>
      </c>
      <c r="AA197" s="156">
        <v>26803.587027067224</v>
      </c>
      <c r="AF197" s="48">
        <v>0</v>
      </c>
      <c r="AG197" s="49" t="s">
        <v>32</v>
      </c>
      <c r="AH197" s="48">
        <v>1</v>
      </c>
      <c r="AI197" s="48" t="s">
        <v>33</v>
      </c>
      <c r="AJ197" s="48" t="s">
        <v>33</v>
      </c>
      <c r="AK197" s="48" t="s">
        <v>33</v>
      </c>
      <c r="AL197" s="48" t="s">
        <v>34</v>
      </c>
      <c r="AN197" s="48">
        <v>0</v>
      </c>
      <c r="AO197" s="48">
        <v>0</v>
      </c>
      <c r="AP197" s="48">
        <v>0</v>
      </c>
      <c r="AQ197" s="48">
        <v>0</v>
      </c>
      <c r="AR197" s="48">
        <v>0</v>
      </c>
      <c r="AS197" s="48">
        <v>0</v>
      </c>
      <c r="AT197" s="48">
        <v>0</v>
      </c>
      <c r="AU197" s="48">
        <v>0</v>
      </c>
      <c r="AV197" s="48">
        <v>0</v>
      </c>
      <c r="AW197" s="48">
        <v>0</v>
      </c>
      <c r="AX197" s="48">
        <v>0</v>
      </c>
      <c r="AY197" s="48">
        <v>0</v>
      </c>
      <c r="AZ197" s="48">
        <v>0</v>
      </c>
      <c r="BA197" s="48">
        <v>0</v>
      </c>
      <c r="BB197" s="48">
        <v>0</v>
      </c>
    </row>
    <row r="198" spans="1:54" x14ac:dyDescent="0.35">
      <c r="A198" s="49">
        <v>45930</v>
      </c>
      <c r="B198" s="48">
        <v>1</v>
      </c>
      <c r="C198" s="50" t="s">
        <v>32</v>
      </c>
      <c r="D198" s="48" t="s">
        <v>31</v>
      </c>
      <c r="E198" s="48" t="s">
        <v>138</v>
      </c>
      <c r="F198" s="48" t="s">
        <v>139</v>
      </c>
      <c r="G198" s="49" t="s">
        <v>59</v>
      </c>
      <c r="H198" s="48" t="s">
        <v>159</v>
      </c>
      <c r="I198" s="48">
        <v>1</v>
      </c>
      <c r="J198" s="48">
        <v>85</v>
      </c>
      <c r="K198" s="48">
        <v>1</v>
      </c>
      <c r="N198" s="48">
        <v>0</v>
      </c>
      <c r="R198" s="49"/>
      <c r="S198" s="49"/>
      <c r="T198" s="49">
        <v>48518</v>
      </c>
      <c r="U198" s="49">
        <v>48518</v>
      </c>
      <c r="V198" s="49">
        <v>48518</v>
      </c>
      <c r="W198" s="49">
        <v>48518</v>
      </c>
      <c r="X198" s="48">
        <v>1</v>
      </c>
      <c r="Y198" s="48">
        <v>1</v>
      </c>
      <c r="Z198" s="48">
        <v>1</v>
      </c>
      <c r="AA198" s="156">
        <v>26803.587027067224</v>
      </c>
      <c r="AF198" s="48">
        <v>0</v>
      </c>
      <c r="AG198" s="49" t="s">
        <v>32</v>
      </c>
      <c r="AH198" s="48">
        <v>1</v>
      </c>
      <c r="AI198" s="48" t="s">
        <v>33</v>
      </c>
      <c r="AJ198" s="48" t="s">
        <v>33</v>
      </c>
      <c r="AK198" s="48" t="s">
        <v>33</v>
      </c>
      <c r="AL198" s="48" t="s">
        <v>34</v>
      </c>
      <c r="AN198" s="48">
        <v>0</v>
      </c>
      <c r="AO198" s="48">
        <v>0</v>
      </c>
      <c r="AP198" s="48">
        <v>0</v>
      </c>
      <c r="AQ198" s="48">
        <v>0</v>
      </c>
      <c r="AR198" s="48">
        <v>0</v>
      </c>
      <c r="AS198" s="48">
        <v>0</v>
      </c>
      <c r="AT198" s="48">
        <v>0</v>
      </c>
      <c r="AU198" s="48">
        <v>0</v>
      </c>
      <c r="AV198" s="48">
        <v>0</v>
      </c>
      <c r="AW198" s="48">
        <v>0</v>
      </c>
      <c r="AX198" s="48">
        <v>0</v>
      </c>
      <c r="AY198" s="48">
        <v>0</v>
      </c>
      <c r="AZ198" s="48">
        <v>0</v>
      </c>
      <c r="BA198" s="48">
        <v>0</v>
      </c>
      <c r="BB198" s="48">
        <v>0</v>
      </c>
    </row>
    <row r="199" spans="1:54" x14ac:dyDescent="0.35">
      <c r="A199" s="49">
        <v>45930</v>
      </c>
      <c r="B199" s="48">
        <v>1</v>
      </c>
      <c r="C199" s="50" t="s">
        <v>32</v>
      </c>
      <c r="D199" s="48" t="s">
        <v>31</v>
      </c>
      <c r="E199" s="48" t="s">
        <v>138</v>
      </c>
      <c r="F199" s="48" t="s">
        <v>139</v>
      </c>
      <c r="G199" s="49" t="s">
        <v>59</v>
      </c>
      <c r="H199" s="48" t="s">
        <v>159</v>
      </c>
      <c r="I199" s="48">
        <v>1</v>
      </c>
      <c r="J199" s="48">
        <v>86</v>
      </c>
      <c r="K199" s="48">
        <v>1</v>
      </c>
      <c r="N199" s="48">
        <v>0</v>
      </c>
      <c r="R199" s="49"/>
      <c r="S199" s="49"/>
      <c r="T199" s="49">
        <v>48548</v>
      </c>
      <c r="U199" s="49">
        <v>48548</v>
      </c>
      <c r="V199" s="49">
        <v>48548</v>
      </c>
      <c r="W199" s="49">
        <v>48548</v>
      </c>
      <c r="X199" s="48">
        <v>1</v>
      </c>
      <c r="Y199" s="48">
        <v>1</v>
      </c>
      <c r="Z199" s="48">
        <v>1</v>
      </c>
      <c r="AA199" s="156">
        <v>26803.587027067224</v>
      </c>
      <c r="AF199" s="48">
        <v>0</v>
      </c>
      <c r="AG199" s="49" t="s">
        <v>32</v>
      </c>
      <c r="AH199" s="48">
        <v>1</v>
      </c>
      <c r="AI199" s="48" t="s">
        <v>33</v>
      </c>
      <c r="AJ199" s="48" t="s">
        <v>33</v>
      </c>
      <c r="AK199" s="48" t="s">
        <v>33</v>
      </c>
      <c r="AL199" s="48" t="s">
        <v>34</v>
      </c>
      <c r="AN199" s="48">
        <v>0</v>
      </c>
      <c r="AO199" s="48">
        <v>0</v>
      </c>
      <c r="AP199" s="48">
        <v>0</v>
      </c>
      <c r="AQ199" s="48">
        <v>0</v>
      </c>
      <c r="AR199" s="48">
        <v>0</v>
      </c>
      <c r="AS199" s="48">
        <v>0</v>
      </c>
      <c r="AT199" s="48">
        <v>0</v>
      </c>
      <c r="AU199" s="48">
        <v>0</v>
      </c>
      <c r="AV199" s="48">
        <v>0</v>
      </c>
      <c r="AW199" s="48">
        <v>0</v>
      </c>
      <c r="AX199" s="48">
        <v>0</v>
      </c>
      <c r="AY199" s="48">
        <v>0</v>
      </c>
      <c r="AZ199" s="48">
        <v>0</v>
      </c>
      <c r="BA199" s="48">
        <v>0</v>
      </c>
      <c r="BB199" s="48">
        <v>0</v>
      </c>
    </row>
    <row r="200" spans="1:54" x14ac:dyDescent="0.35">
      <c r="A200" s="49">
        <v>45930</v>
      </c>
      <c r="B200" s="48">
        <v>1</v>
      </c>
      <c r="C200" s="50" t="s">
        <v>32</v>
      </c>
      <c r="D200" s="48" t="s">
        <v>31</v>
      </c>
      <c r="E200" s="48" t="s">
        <v>138</v>
      </c>
      <c r="F200" s="48" t="s">
        <v>139</v>
      </c>
      <c r="G200" s="49" t="s">
        <v>59</v>
      </c>
      <c r="H200" s="48" t="s">
        <v>159</v>
      </c>
      <c r="I200" s="48">
        <v>1</v>
      </c>
      <c r="J200" s="48">
        <v>87</v>
      </c>
      <c r="K200" s="48">
        <v>1</v>
      </c>
      <c r="N200" s="48">
        <v>0</v>
      </c>
      <c r="R200" s="49"/>
      <c r="S200" s="49"/>
      <c r="T200" s="49">
        <v>48579</v>
      </c>
      <c r="U200" s="49">
        <v>48579</v>
      </c>
      <c r="V200" s="49">
        <v>48579</v>
      </c>
      <c r="W200" s="49">
        <v>48579</v>
      </c>
      <c r="X200" s="48">
        <v>1</v>
      </c>
      <c r="Y200" s="48">
        <v>1</v>
      </c>
      <c r="Z200" s="48">
        <v>1</v>
      </c>
      <c r="AA200" s="156">
        <v>26803.587027067224</v>
      </c>
      <c r="AF200" s="48">
        <v>0</v>
      </c>
      <c r="AG200" s="49" t="s">
        <v>32</v>
      </c>
      <c r="AH200" s="48">
        <v>1</v>
      </c>
      <c r="AI200" s="48" t="s">
        <v>33</v>
      </c>
      <c r="AJ200" s="48" t="s">
        <v>33</v>
      </c>
      <c r="AK200" s="48" t="s">
        <v>33</v>
      </c>
      <c r="AL200" s="48" t="s">
        <v>34</v>
      </c>
      <c r="AN200" s="48">
        <v>0</v>
      </c>
      <c r="AO200" s="48">
        <v>0</v>
      </c>
      <c r="AP200" s="48">
        <v>0</v>
      </c>
      <c r="AQ200" s="48">
        <v>0</v>
      </c>
      <c r="AR200" s="48">
        <v>0</v>
      </c>
      <c r="AS200" s="48">
        <v>0</v>
      </c>
      <c r="AT200" s="48">
        <v>0</v>
      </c>
      <c r="AU200" s="48">
        <v>0</v>
      </c>
      <c r="AV200" s="48">
        <v>0</v>
      </c>
      <c r="AW200" s="48">
        <v>0</v>
      </c>
      <c r="AX200" s="48">
        <v>0</v>
      </c>
      <c r="AY200" s="48">
        <v>0</v>
      </c>
      <c r="AZ200" s="48">
        <v>0</v>
      </c>
      <c r="BA200" s="48">
        <v>0</v>
      </c>
      <c r="BB200" s="48">
        <v>0</v>
      </c>
    </row>
    <row r="201" spans="1:54" x14ac:dyDescent="0.35">
      <c r="A201" s="49">
        <v>45930</v>
      </c>
      <c r="B201" s="48">
        <v>1</v>
      </c>
      <c r="C201" s="50" t="s">
        <v>32</v>
      </c>
      <c r="D201" s="48" t="s">
        <v>31</v>
      </c>
      <c r="E201" s="48" t="s">
        <v>138</v>
      </c>
      <c r="F201" s="48" t="s">
        <v>139</v>
      </c>
      <c r="G201" s="49" t="s">
        <v>59</v>
      </c>
      <c r="H201" s="48" t="s">
        <v>159</v>
      </c>
      <c r="I201" s="48">
        <v>1</v>
      </c>
      <c r="J201" s="48">
        <v>88</v>
      </c>
      <c r="K201" s="48">
        <v>1</v>
      </c>
      <c r="N201" s="48">
        <v>0</v>
      </c>
      <c r="R201" s="49"/>
      <c r="S201" s="49"/>
      <c r="T201" s="49">
        <v>48610</v>
      </c>
      <c r="U201" s="49">
        <v>48610</v>
      </c>
      <c r="V201" s="49">
        <v>48610</v>
      </c>
      <c r="W201" s="49">
        <v>48610</v>
      </c>
      <c r="X201" s="48">
        <v>1</v>
      </c>
      <c r="Y201" s="48">
        <v>1</v>
      </c>
      <c r="Z201" s="48">
        <v>1</v>
      </c>
      <c r="AA201" s="156">
        <v>26803.587027067224</v>
      </c>
      <c r="AF201" s="48">
        <v>0</v>
      </c>
      <c r="AG201" s="49" t="s">
        <v>32</v>
      </c>
      <c r="AH201" s="48">
        <v>1</v>
      </c>
      <c r="AI201" s="48" t="s">
        <v>33</v>
      </c>
      <c r="AJ201" s="48" t="s">
        <v>33</v>
      </c>
      <c r="AK201" s="48" t="s">
        <v>33</v>
      </c>
      <c r="AL201" s="48" t="s">
        <v>34</v>
      </c>
      <c r="AN201" s="48">
        <v>0</v>
      </c>
      <c r="AO201" s="48">
        <v>0</v>
      </c>
      <c r="AP201" s="48">
        <v>0</v>
      </c>
      <c r="AQ201" s="48">
        <v>0</v>
      </c>
      <c r="AR201" s="48">
        <v>0</v>
      </c>
      <c r="AS201" s="48">
        <v>0</v>
      </c>
      <c r="AT201" s="48">
        <v>0</v>
      </c>
      <c r="AU201" s="48">
        <v>0</v>
      </c>
      <c r="AV201" s="48">
        <v>0</v>
      </c>
      <c r="AW201" s="48">
        <v>0</v>
      </c>
      <c r="AX201" s="48">
        <v>0</v>
      </c>
      <c r="AY201" s="48">
        <v>0</v>
      </c>
      <c r="AZ201" s="48">
        <v>0</v>
      </c>
      <c r="BA201" s="48">
        <v>0</v>
      </c>
      <c r="BB201" s="48">
        <v>0</v>
      </c>
    </row>
    <row r="202" spans="1:54" x14ac:dyDescent="0.35">
      <c r="A202" s="49">
        <v>45930</v>
      </c>
      <c r="B202" s="48">
        <v>1</v>
      </c>
      <c r="C202" s="50" t="s">
        <v>32</v>
      </c>
      <c r="D202" s="48" t="s">
        <v>31</v>
      </c>
      <c r="E202" s="48" t="s">
        <v>138</v>
      </c>
      <c r="F202" s="48" t="s">
        <v>139</v>
      </c>
      <c r="G202" s="49" t="s">
        <v>59</v>
      </c>
      <c r="H202" s="48" t="s">
        <v>159</v>
      </c>
      <c r="I202" s="48">
        <v>1</v>
      </c>
      <c r="J202" s="48">
        <v>89</v>
      </c>
      <c r="K202" s="48">
        <v>1</v>
      </c>
      <c r="N202" s="48">
        <v>0</v>
      </c>
      <c r="R202" s="49"/>
      <c r="S202" s="49"/>
      <c r="T202" s="49">
        <v>48638</v>
      </c>
      <c r="U202" s="49">
        <v>48638</v>
      </c>
      <c r="V202" s="49">
        <v>48638</v>
      </c>
      <c r="W202" s="49">
        <v>48638</v>
      </c>
      <c r="X202" s="48">
        <v>1</v>
      </c>
      <c r="Y202" s="48">
        <v>1</v>
      </c>
      <c r="Z202" s="48">
        <v>1</v>
      </c>
      <c r="AA202" s="156">
        <v>26803.587027067224</v>
      </c>
      <c r="AF202" s="48">
        <v>0</v>
      </c>
      <c r="AG202" s="49" t="s">
        <v>32</v>
      </c>
      <c r="AH202" s="48">
        <v>1</v>
      </c>
      <c r="AI202" s="48" t="s">
        <v>33</v>
      </c>
      <c r="AJ202" s="48" t="s">
        <v>33</v>
      </c>
      <c r="AK202" s="48" t="s">
        <v>33</v>
      </c>
      <c r="AL202" s="48" t="s">
        <v>34</v>
      </c>
      <c r="AN202" s="48">
        <v>0</v>
      </c>
      <c r="AO202" s="48">
        <v>0</v>
      </c>
      <c r="AP202" s="48">
        <v>0</v>
      </c>
      <c r="AQ202" s="48">
        <v>0</v>
      </c>
      <c r="AR202" s="48">
        <v>0</v>
      </c>
      <c r="AS202" s="48">
        <v>0</v>
      </c>
      <c r="AT202" s="48">
        <v>0</v>
      </c>
      <c r="AU202" s="48">
        <v>0</v>
      </c>
      <c r="AV202" s="48">
        <v>0</v>
      </c>
      <c r="AW202" s="48">
        <v>0</v>
      </c>
      <c r="AX202" s="48">
        <v>0</v>
      </c>
      <c r="AY202" s="48">
        <v>0</v>
      </c>
      <c r="AZ202" s="48">
        <v>0</v>
      </c>
      <c r="BA202" s="48">
        <v>0</v>
      </c>
      <c r="BB202" s="48">
        <v>0</v>
      </c>
    </row>
    <row r="203" spans="1:54" x14ac:dyDescent="0.35">
      <c r="A203" s="49">
        <v>45930</v>
      </c>
      <c r="B203" s="48">
        <v>1</v>
      </c>
      <c r="C203" s="50" t="s">
        <v>32</v>
      </c>
      <c r="D203" s="48" t="s">
        <v>31</v>
      </c>
      <c r="E203" s="48" t="s">
        <v>138</v>
      </c>
      <c r="F203" s="48" t="s">
        <v>139</v>
      </c>
      <c r="G203" s="49" t="s">
        <v>59</v>
      </c>
      <c r="H203" s="48" t="s">
        <v>159</v>
      </c>
      <c r="I203" s="48">
        <v>1</v>
      </c>
      <c r="J203" s="48">
        <v>90</v>
      </c>
      <c r="K203" s="48">
        <v>1</v>
      </c>
      <c r="N203" s="48">
        <v>0</v>
      </c>
      <c r="R203" s="49"/>
      <c r="S203" s="49"/>
      <c r="T203" s="49">
        <v>48669</v>
      </c>
      <c r="U203" s="49">
        <v>48669</v>
      </c>
      <c r="V203" s="49">
        <v>48669</v>
      </c>
      <c r="W203" s="49">
        <v>48669</v>
      </c>
      <c r="X203" s="48">
        <v>1</v>
      </c>
      <c r="Y203" s="48">
        <v>1</v>
      </c>
      <c r="Z203" s="48">
        <v>1</v>
      </c>
      <c r="AA203" s="156">
        <v>26803.587027067224</v>
      </c>
      <c r="AF203" s="48">
        <v>0</v>
      </c>
      <c r="AG203" s="49" t="s">
        <v>32</v>
      </c>
      <c r="AH203" s="48">
        <v>1</v>
      </c>
      <c r="AI203" s="48" t="s">
        <v>33</v>
      </c>
      <c r="AJ203" s="48" t="s">
        <v>33</v>
      </c>
      <c r="AK203" s="48" t="s">
        <v>33</v>
      </c>
      <c r="AL203" s="48" t="s">
        <v>34</v>
      </c>
      <c r="AN203" s="48">
        <v>0</v>
      </c>
      <c r="AO203" s="48">
        <v>0</v>
      </c>
      <c r="AP203" s="48">
        <v>0</v>
      </c>
      <c r="AQ203" s="48">
        <v>0</v>
      </c>
      <c r="AR203" s="48">
        <v>0</v>
      </c>
      <c r="AS203" s="48">
        <v>0</v>
      </c>
      <c r="AT203" s="48">
        <v>0</v>
      </c>
      <c r="AU203" s="48">
        <v>0</v>
      </c>
      <c r="AV203" s="48">
        <v>0</v>
      </c>
      <c r="AW203" s="48">
        <v>0</v>
      </c>
      <c r="AX203" s="48">
        <v>0</v>
      </c>
      <c r="AY203" s="48">
        <v>0</v>
      </c>
      <c r="AZ203" s="48">
        <v>0</v>
      </c>
      <c r="BA203" s="48">
        <v>0</v>
      </c>
      <c r="BB203" s="48">
        <v>0</v>
      </c>
    </row>
    <row r="204" spans="1:54" x14ac:dyDescent="0.35">
      <c r="A204" s="49">
        <v>45930</v>
      </c>
      <c r="B204" s="48">
        <v>1</v>
      </c>
      <c r="C204" s="50" t="s">
        <v>32</v>
      </c>
      <c r="D204" s="48" t="s">
        <v>31</v>
      </c>
      <c r="E204" s="48" t="s">
        <v>138</v>
      </c>
      <c r="F204" s="48" t="s">
        <v>139</v>
      </c>
      <c r="G204" s="49" t="s">
        <v>59</v>
      </c>
      <c r="H204" s="48" t="s">
        <v>159</v>
      </c>
      <c r="I204" s="48">
        <v>1</v>
      </c>
      <c r="J204" s="48">
        <v>91</v>
      </c>
      <c r="K204" s="48">
        <v>1</v>
      </c>
      <c r="N204" s="48">
        <v>0</v>
      </c>
      <c r="R204" s="49"/>
      <c r="S204" s="49"/>
      <c r="T204" s="49">
        <v>48699</v>
      </c>
      <c r="U204" s="49">
        <v>48699</v>
      </c>
      <c r="V204" s="49">
        <v>48699</v>
      </c>
      <c r="W204" s="49">
        <v>48699</v>
      </c>
      <c r="X204" s="48">
        <v>1</v>
      </c>
      <c r="Y204" s="48">
        <v>1</v>
      </c>
      <c r="Z204" s="48">
        <v>1</v>
      </c>
      <c r="AA204" s="156">
        <v>26803.587027067224</v>
      </c>
      <c r="AF204" s="48">
        <v>0</v>
      </c>
      <c r="AG204" s="49" t="s">
        <v>32</v>
      </c>
      <c r="AH204" s="48">
        <v>1</v>
      </c>
      <c r="AI204" s="48" t="s">
        <v>33</v>
      </c>
      <c r="AJ204" s="48" t="s">
        <v>33</v>
      </c>
      <c r="AK204" s="48" t="s">
        <v>33</v>
      </c>
      <c r="AL204" s="48" t="s">
        <v>34</v>
      </c>
      <c r="AN204" s="48">
        <v>0</v>
      </c>
      <c r="AO204" s="48">
        <v>0</v>
      </c>
      <c r="AP204" s="48">
        <v>0</v>
      </c>
      <c r="AQ204" s="48">
        <v>0</v>
      </c>
      <c r="AR204" s="48">
        <v>0</v>
      </c>
      <c r="AS204" s="48">
        <v>0</v>
      </c>
      <c r="AT204" s="48">
        <v>0</v>
      </c>
      <c r="AU204" s="48">
        <v>0</v>
      </c>
      <c r="AV204" s="48">
        <v>0</v>
      </c>
      <c r="AW204" s="48">
        <v>0</v>
      </c>
      <c r="AX204" s="48">
        <v>0</v>
      </c>
      <c r="AY204" s="48">
        <v>0</v>
      </c>
      <c r="AZ204" s="48">
        <v>0</v>
      </c>
      <c r="BA204" s="48">
        <v>0</v>
      </c>
      <c r="BB204" s="48">
        <v>0</v>
      </c>
    </row>
    <row r="205" spans="1:54" x14ac:dyDescent="0.35">
      <c r="A205" s="49">
        <v>45930</v>
      </c>
      <c r="B205" s="48">
        <v>1</v>
      </c>
      <c r="C205" s="50" t="s">
        <v>32</v>
      </c>
      <c r="D205" s="48" t="s">
        <v>31</v>
      </c>
      <c r="E205" s="48" t="s">
        <v>138</v>
      </c>
      <c r="F205" s="48" t="s">
        <v>139</v>
      </c>
      <c r="G205" s="49" t="s">
        <v>59</v>
      </c>
      <c r="H205" s="48" t="s">
        <v>159</v>
      </c>
      <c r="I205" s="48">
        <v>1</v>
      </c>
      <c r="J205" s="48">
        <v>92</v>
      </c>
      <c r="K205" s="48">
        <v>1</v>
      </c>
      <c r="N205" s="48">
        <v>0</v>
      </c>
      <c r="R205" s="49"/>
      <c r="S205" s="49"/>
      <c r="T205" s="49">
        <v>48730</v>
      </c>
      <c r="U205" s="49">
        <v>48730</v>
      </c>
      <c r="V205" s="49">
        <v>48730</v>
      </c>
      <c r="W205" s="49">
        <v>48730</v>
      </c>
      <c r="X205" s="48">
        <v>1</v>
      </c>
      <c r="Y205" s="48">
        <v>1</v>
      </c>
      <c r="Z205" s="48">
        <v>1</v>
      </c>
      <c r="AA205" s="156">
        <v>26803.587027067224</v>
      </c>
      <c r="AF205" s="48">
        <v>0</v>
      </c>
      <c r="AG205" s="49" t="s">
        <v>32</v>
      </c>
      <c r="AH205" s="48">
        <v>1</v>
      </c>
      <c r="AI205" s="48" t="s">
        <v>33</v>
      </c>
      <c r="AJ205" s="48" t="s">
        <v>33</v>
      </c>
      <c r="AK205" s="48" t="s">
        <v>33</v>
      </c>
      <c r="AL205" s="48" t="s">
        <v>34</v>
      </c>
      <c r="AN205" s="48">
        <v>0</v>
      </c>
      <c r="AO205" s="48">
        <v>0</v>
      </c>
      <c r="AP205" s="48">
        <v>0</v>
      </c>
      <c r="AQ205" s="48">
        <v>0</v>
      </c>
      <c r="AR205" s="48">
        <v>0</v>
      </c>
      <c r="AS205" s="48">
        <v>0</v>
      </c>
      <c r="AT205" s="48">
        <v>0</v>
      </c>
      <c r="AU205" s="48">
        <v>0</v>
      </c>
      <c r="AV205" s="48">
        <v>0</v>
      </c>
      <c r="AW205" s="48">
        <v>0</v>
      </c>
      <c r="AX205" s="48">
        <v>0</v>
      </c>
      <c r="AY205" s="48">
        <v>0</v>
      </c>
      <c r="AZ205" s="48">
        <v>0</v>
      </c>
      <c r="BA205" s="48">
        <v>0</v>
      </c>
      <c r="BB205" s="48">
        <v>0</v>
      </c>
    </row>
    <row r="206" spans="1:54" x14ac:dyDescent="0.35">
      <c r="A206" s="49">
        <v>45930</v>
      </c>
      <c r="B206" s="48">
        <v>1</v>
      </c>
      <c r="C206" s="50" t="s">
        <v>32</v>
      </c>
      <c r="D206" s="48" t="s">
        <v>31</v>
      </c>
      <c r="E206" s="48" t="s">
        <v>138</v>
      </c>
      <c r="F206" s="48" t="s">
        <v>139</v>
      </c>
      <c r="G206" s="49" t="s">
        <v>59</v>
      </c>
      <c r="H206" s="48" t="s">
        <v>159</v>
      </c>
      <c r="I206" s="48">
        <v>1</v>
      </c>
      <c r="J206" s="48">
        <v>93</v>
      </c>
      <c r="K206" s="48">
        <v>1</v>
      </c>
      <c r="N206" s="48">
        <v>0</v>
      </c>
      <c r="R206" s="49"/>
      <c r="S206" s="49"/>
      <c r="T206" s="49">
        <v>48760</v>
      </c>
      <c r="U206" s="49">
        <v>48760</v>
      </c>
      <c r="V206" s="49">
        <v>48760</v>
      </c>
      <c r="W206" s="49">
        <v>48760</v>
      </c>
      <c r="X206" s="48">
        <v>1</v>
      </c>
      <c r="Y206" s="48">
        <v>1</v>
      </c>
      <c r="Z206" s="48">
        <v>1</v>
      </c>
      <c r="AA206" s="156">
        <v>26803.587027067224</v>
      </c>
      <c r="AF206" s="48">
        <v>0</v>
      </c>
      <c r="AG206" s="49" t="s">
        <v>32</v>
      </c>
      <c r="AH206" s="48">
        <v>1</v>
      </c>
      <c r="AI206" s="48" t="s">
        <v>33</v>
      </c>
      <c r="AJ206" s="48" t="s">
        <v>33</v>
      </c>
      <c r="AK206" s="48" t="s">
        <v>33</v>
      </c>
      <c r="AL206" s="48" t="s">
        <v>34</v>
      </c>
      <c r="AN206" s="48">
        <v>0</v>
      </c>
      <c r="AO206" s="48">
        <v>0</v>
      </c>
      <c r="AP206" s="48">
        <v>0</v>
      </c>
      <c r="AQ206" s="48">
        <v>0</v>
      </c>
      <c r="AR206" s="48">
        <v>0</v>
      </c>
      <c r="AS206" s="48">
        <v>0</v>
      </c>
      <c r="AT206" s="48">
        <v>0</v>
      </c>
      <c r="AU206" s="48">
        <v>0</v>
      </c>
      <c r="AV206" s="48">
        <v>0</v>
      </c>
      <c r="AW206" s="48">
        <v>0</v>
      </c>
      <c r="AX206" s="48">
        <v>0</v>
      </c>
      <c r="AY206" s="48">
        <v>0</v>
      </c>
      <c r="AZ206" s="48">
        <v>0</v>
      </c>
      <c r="BA206" s="48">
        <v>0</v>
      </c>
      <c r="BB206" s="48">
        <v>0</v>
      </c>
    </row>
    <row r="207" spans="1:54" x14ac:dyDescent="0.35">
      <c r="A207" s="49">
        <v>45930</v>
      </c>
      <c r="B207" s="48">
        <v>1</v>
      </c>
      <c r="C207" s="50" t="s">
        <v>32</v>
      </c>
      <c r="D207" s="48" t="s">
        <v>31</v>
      </c>
      <c r="E207" s="48" t="s">
        <v>138</v>
      </c>
      <c r="F207" s="48" t="s">
        <v>139</v>
      </c>
      <c r="G207" s="49" t="s">
        <v>59</v>
      </c>
      <c r="H207" s="48" t="s">
        <v>159</v>
      </c>
      <c r="I207" s="48">
        <v>1</v>
      </c>
      <c r="J207" s="48">
        <v>94</v>
      </c>
      <c r="K207" s="48">
        <v>1</v>
      </c>
      <c r="N207" s="48">
        <v>0</v>
      </c>
      <c r="R207" s="49"/>
      <c r="S207" s="49"/>
      <c r="T207" s="49">
        <v>48791</v>
      </c>
      <c r="U207" s="49">
        <v>48791</v>
      </c>
      <c r="V207" s="49">
        <v>48791</v>
      </c>
      <c r="W207" s="49">
        <v>48791</v>
      </c>
      <c r="X207" s="48">
        <v>1</v>
      </c>
      <c r="Y207" s="48">
        <v>1</v>
      </c>
      <c r="Z207" s="48">
        <v>1</v>
      </c>
      <c r="AA207" s="156">
        <v>26803.587027067224</v>
      </c>
      <c r="AF207" s="48">
        <v>0</v>
      </c>
      <c r="AG207" s="49" t="s">
        <v>32</v>
      </c>
      <c r="AH207" s="48">
        <v>1</v>
      </c>
      <c r="AI207" s="48" t="s">
        <v>33</v>
      </c>
      <c r="AJ207" s="48" t="s">
        <v>33</v>
      </c>
      <c r="AK207" s="48" t="s">
        <v>33</v>
      </c>
      <c r="AL207" s="48" t="s">
        <v>34</v>
      </c>
      <c r="AN207" s="48">
        <v>0</v>
      </c>
      <c r="AO207" s="48">
        <v>0</v>
      </c>
      <c r="AP207" s="48">
        <v>0</v>
      </c>
      <c r="AQ207" s="48">
        <v>0</v>
      </c>
      <c r="AR207" s="48">
        <v>0</v>
      </c>
      <c r="AS207" s="48">
        <v>0</v>
      </c>
      <c r="AT207" s="48">
        <v>0</v>
      </c>
      <c r="AU207" s="48">
        <v>0</v>
      </c>
      <c r="AV207" s="48">
        <v>0</v>
      </c>
      <c r="AW207" s="48">
        <v>0</v>
      </c>
      <c r="AX207" s="48">
        <v>0</v>
      </c>
      <c r="AY207" s="48">
        <v>0</v>
      </c>
      <c r="AZ207" s="48">
        <v>0</v>
      </c>
      <c r="BA207" s="48">
        <v>0</v>
      </c>
      <c r="BB207" s="48">
        <v>0</v>
      </c>
    </row>
    <row r="208" spans="1:54" x14ac:dyDescent="0.35">
      <c r="A208" s="49">
        <v>45930</v>
      </c>
      <c r="B208" s="48">
        <v>1</v>
      </c>
      <c r="C208" s="50" t="s">
        <v>32</v>
      </c>
      <c r="D208" s="48" t="s">
        <v>31</v>
      </c>
      <c r="E208" s="48" t="s">
        <v>138</v>
      </c>
      <c r="F208" s="48" t="s">
        <v>139</v>
      </c>
      <c r="G208" s="49" t="s">
        <v>59</v>
      </c>
      <c r="H208" s="48" t="s">
        <v>159</v>
      </c>
      <c r="I208" s="48">
        <v>1</v>
      </c>
      <c r="J208" s="48">
        <v>95</v>
      </c>
      <c r="K208" s="48">
        <v>1</v>
      </c>
      <c r="N208" s="48">
        <v>0</v>
      </c>
      <c r="R208" s="49"/>
      <c r="S208" s="49"/>
      <c r="T208" s="49">
        <v>48822</v>
      </c>
      <c r="U208" s="49">
        <v>48822</v>
      </c>
      <c r="V208" s="49">
        <v>48822</v>
      </c>
      <c r="W208" s="49">
        <v>48822</v>
      </c>
      <c r="X208" s="48">
        <v>1</v>
      </c>
      <c r="Y208" s="48">
        <v>1</v>
      </c>
      <c r="Z208" s="48">
        <v>1</v>
      </c>
      <c r="AA208" s="156">
        <v>26803.587027067224</v>
      </c>
      <c r="AF208" s="48">
        <v>0</v>
      </c>
      <c r="AG208" s="49" t="s">
        <v>32</v>
      </c>
      <c r="AH208" s="48">
        <v>1</v>
      </c>
      <c r="AI208" s="48" t="s">
        <v>33</v>
      </c>
      <c r="AJ208" s="48" t="s">
        <v>33</v>
      </c>
      <c r="AK208" s="48" t="s">
        <v>33</v>
      </c>
      <c r="AL208" s="48" t="s">
        <v>34</v>
      </c>
      <c r="AN208" s="48">
        <v>0</v>
      </c>
      <c r="AO208" s="48">
        <v>0</v>
      </c>
      <c r="AP208" s="48">
        <v>0</v>
      </c>
      <c r="AQ208" s="48">
        <v>0</v>
      </c>
      <c r="AR208" s="48">
        <v>0</v>
      </c>
      <c r="AS208" s="48">
        <v>0</v>
      </c>
      <c r="AT208" s="48">
        <v>0</v>
      </c>
      <c r="AU208" s="48">
        <v>0</v>
      </c>
      <c r="AV208" s="48">
        <v>0</v>
      </c>
      <c r="AW208" s="48">
        <v>0</v>
      </c>
      <c r="AX208" s="48">
        <v>0</v>
      </c>
      <c r="AY208" s="48">
        <v>0</v>
      </c>
      <c r="AZ208" s="48">
        <v>0</v>
      </c>
      <c r="BA208" s="48">
        <v>0</v>
      </c>
      <c r="BB208" s="48">
        <v>0</v>
      </c>
    </row>
    <row r="209" spans="1:54" x14ac:dyDescent="0.35">
      <c r="A209" s="49">
        <v>45930</v>
      </c>
      <c r="B209" s="48">
        <v>1</v>
      </c>
      <c r="C209" s="50" t="s">
        <v>32</v>
      </c>
      <c r="D209" s="48" t="s">
        <v>31</v>
      </c>
      <c r="E209" s="48" t="s">
        <v>138</v>
      </c>
      <c r="F209" s="48" t="s">
        <v>139</v>
      </c>
      <c r="G209" s="49" t="s">
        <v>59</v>
      </c>
      <c r="H209" s="48" t="s">
        <v>159</v>
      </c>
      <c r="I209" s="48">
        <v>1</v>
      </c>
      <c r="J209" s="48">
        <v>96</v>
      </c>
      <c r="K209" s="48">
        <v>1</v>
      </c>
      <c r="N209" s="48">
        <v>0</v>
      </c>
      <c r="R209" s="49"/>
      <c r="S209" s="49"/>
      <c r="T209" s="49">
        <v>48852</v>
      </c>
      <c r="U209" s="49">
        <v>48852</v>
      </c>
      <c r="V209" s="49">
        <v>48852</v>
      </c>
      <c r="W209" s="49">
        <v>48852</v>
      </c>
      <c r="X209" s="48">
        <v>1</v>
      </c>
      <c r="Y209" s="48">
        <v>1</v>
      </c>
      <c r="Z209" s="48">
        <v>1</v>
      </c>
      <c r="AA209" s="156">
        <v>26803.587027067224</v>
      </c>
      <c r="AF209" s="48">
        <v>0</v>
      </c>
      <c r="AG209" s="49" t="s">
        <v>32</v>
      </c>
      <c r="AH209" s="48">
        <v>1</v>
      </c>
      <c r="AI209" s="48" t="s">
        <v>33</v>
      </c>
      <c r="AJ209" s="48" t="s">
        <v>33</v>
      </c>
      <c r="AK209" s="48" t="s">
        <v>33</v>
      </c>
      <c r="AL209" s="48" t="s">
        <v>34</v>
      </c>
      <c r="AN209" s="48">
        <v>0</v>
      </c>
      <c r="AO209" s="48">
        <v>0</v>
      </c>
      <c r="AP209" s="48">
        <v>0</v>
      </c>
      <c r="AQ209" s="48">
        <v>0</v>
      </c>
      <c r="AR209" s="48">
        <v>0</v>
      </c>
      <c r="AS209" s="48">
        <v>0</v>
      </c>
      <c r="AT209" s="48">
        <v>0</v>
      </c>
      <c r="AU209" s="48">
        <v>0</v>
      </c>
      <c r="AV209" s="48">
        <v>0</v>
      </c>
      <c r="AW209" s="48">
        <v>0</v>
      </c>
      <c r="AX209" s="48">
        <v>0</v>
      </c>
      <c r="AY209" s="48">
        <v>0</v>
      </c>
      <c r="AZ209" s="48">
        <v>0</v>
      </c>
      <c r="BA209" s="48">
        <v>0</v>
      </c>
      <c r="BB209" s="48">
        <v>0</v>
      </c>
    </row>
    <row r="210" spans="1:54" x14ac:dyDescent="0.35">
      <c r="A210" s="49">
        <v>45930</v>
      </c>
      <c r="B210" s="48">
        <v>1</v>
      </c>
      <c r="C210" s="50" t="s">
        <v>32</v>
      </c>
      <c r="D210" s="48" t="s">
        <v>31</v>
      </c>
      <c r="E210" s="48" t="s">
        <v>138</v>
      </c>
      <c r="F210" s="48" t="s">
        <v>139</v>
      </c>
      <c r="G210" s="49" t="s">
        <v>59</v>
      </c>
      <c r="H210" s="48" t="s">
        <v>159</v>
      </c>
      <c r="I210" s="48">
        <v>1</v>
      </c>
      <c r="J210" s="48">
        <v>97</v>
      </c>
      <c r="K210" s="48">
        <v>1</v>
      </c>
      <c r="N210" s="48">
        <v>0</v>
      </c>
      <c r="R210" s="49"/>
      <c r="S210" s="49"/>
      <c r="T210" s="49">
        <v>48883</v>
      </c>
      <c r="U210" s="49">
        <v>48883</v>
      </c>
      <c r="V210" s="49">
        <v>48883</v>
      </c>
      <c r="W210" s="49">
        <v>48883</v>
      </c>
      <c r="X210" s="48">
        <v>1</v>
      </c>
      <c r="Y210" s="48">
        <v>1</v>
      </c>
      <c r="Z210" s="48">
        <v>1</v>
      </c>
      <c r="AA210" s="156">
        <v>26803.587027067224</v>
      </c>
      <c r="AF210" s="48">
        <v>0</v>
      </c>
      <c r="AG210" s="49" t="s">
        <v>32</v>
      </c>
      <c r="AH210" s="48">
        <v>1</v>
      </c>
      <c r="AI210" s="48" t="s">
        <v>33</v>
      </c>
      <c r="AJ210" s="48" t="s">
        <v>33</v>
      </c>
      <c r="AK210" s="48" t="s">
        <v>33</v>
      </c>
      <c r="AL210" s="48" t="s">
        <v>34</v>
      </c>
      <c r="AN210" s="48">
        <v>0</v>
      </c>
      <c r="AO210" s="48">
        <v>0</v>
      </c>
      <c r="AP210" s="48">
        <v>0</v>
      </c>
      <c r="AQ210" s="48">
        <v>0</v>
      </c>
      <c r="AR210" s="48">
        <v>0</v>
      </c>
      <c r="AS210" s="48">
        <v>0</v>
      </c>
      <c r="AT210" s="48">
        <v>0</v>
      </c>
      <c r="AU210" s="48">
        <v>0</v>
      </c>
      <c r="AV210" s="48">
        <v>0</v>
      </c>
      <c r="AW210" s="48">
        <v>0</v>
      </c>
      <c r="AX210" s="48">
        <v>0</v>
      </c>
      <c r="AY210" s="48">
        <v>0</v>
      </c>
      <c r="AZ210" s="48">
        <v>0</v>
      </c>
      <c r="BA210" s="48">
        <v>0</v>
      </c>
      <c r="BB210" s="48">
        <v>0</v>
      </c>
    </row>
    <row r="211" spans="1:54" x14ac:dyDescent="0.35">
      <c r="A211" s="49">
        <v>45930</v>
      </c>
      <c r="B211" s="48">
        <v>1</v>
      </c>
      <c r="C211" s="50" t="s">
        <v>32</v>
      </c>
      <c r="D211" s="48" t="s">
        <v>31</v>
      </c>
      <c r="E211" s="48" t="s">
        <v>138</v>
      </c>
      <c r="F211" s="48" t="s">
        <v>139</v>
      </c>
      <c r="G211" s="49" t="s">
        <v>59</v>
      </c>
      <c r="H211" s="48" t="s">
        <v>159</v>
      </c>
      <c r="I211" s="48">
        <v>1</v>
      </c>
      <c r="J211" s="48">
        <v>98</v>
      </c>
      <c r="K211" s="48">
        <v>1</v>
      </c>
      <c r="N211" s="48">
        <v>0</v>
      </c>
      <c r="R211" s="49"/>
      <c r="S211" s="49"/>
      <c r="T211" s="49">
        <v>48913</v>
      </c>
      <c r="U211" s="49">
        <v>48913</v>
      </c>
      <c r="V211" s="49">
        <v>48913</v>
      </c>
      <c r="W211" s="49">
        <v>48913</v>
      </c>
      <c r="X211" s="48">
        <v>1</v>
      </c>
      <c r="Y211" s="48">
        <v>1</v>
      </c>
      <c r="Z211" s="48">
        <v>1</v>
      </c>
      <c r="AA211" s="156">
        <v>26803.587027067224</v>
      </c>
      <c r="AF211" s="48">
        <v>0</v>
      </c>
      <c r="AG211" s="49" t="s">
        <v>32</v>
      </c>
      <c r="AH211" s="48">
        <v>1</v>
      </c>
      <c r="AI211" s="48" t="s">
        <v>33</v>
      </c>
      <c r="AJ211" s="48" t="s">
        <v>33</v>
      </c>
      <c r="AK211" s="48" t="s">
        <v>33</v>
      </c>
      <c r="AL211" s="48" t="s">
        <v>34</v>
      </c>
      <c r="AN211" s="48">
        <v>0</v>
      </c>
      <c r="AO211" s="48">
        <v>0</v>
      </c>
      <c r="AP211" s="48">
        <v>0</v>
      </c>
      <c r="AQ211" s="48">
        <v>0</v>
      </c>
      <c r="AR211" s="48">
        <v>0</v>
      </c>
      <c r="AS211" s="48">
        <v>0</v>
      </c>
      <c r="AT211" s="48">
        <v>0</v>
      </c>
      <c r="AU211" s="48">
        <v>0</v>
      </c>
      <c r="AV211" s="48">
        <v>0</v>
      </c>
      <c r="AW211" s="48">
        <v>0</v>
      </c>
      <c r="AX211" s="48">
        <v>0</v>
      </c>
      <c r="AY211" s="48">
        <v>0</v>
      </c>
      <c r="AZ211" s="48">
        <v>0</v>
      </c>
      <c r="BA211" s="48">
        <v>0</v>
      </c>
      <c r="BB211" s="48">
        <v>0</v>
      </c>
    </row>
    <row r="212" spans="1:54" x14ac:dyDescent="0.35">
      <c r="A212" s="49">
        <v>45930</v>
      </c>
      <c r="B212" s="48">
        <v>1</v>
      </c>
      <c r="C212" s="50" t="s">
        <v>32</v>
      </c>
      <c r="D212" s="48" t="s">
        <v>31</v>
      </c>
      <c r="E212" s="48" t="s">
        <v>138</v>
      </c>
      <c r="F212" s="48" t="s">
        <v>139</v>
      </c>
      <c r="G212" s="49" t="s">
        <v>59</v>
      </c>
      <c r="H212" s="48" t="s">
        <v>159</v>
      </c>
      <c r="I212" s="48">
        <v>1</v>
      </c>
      <c r="J212" s="48">
        <v>99</v>
      </c>
      <c r="K212" s="48">
        <v>1</v>
      </c>
      <c r="N212" s="48">
        <v>0</v>
      </c>
      <c r="R212" s="49"/>
      <c r="S212" s="49"/>
      <c r="T212" s="49">
        <v>48944</v>
      </c>
      <c r="U212" s="49">
        <v>48944</v>
      </c>
      <c r="V212" s="49">
        <v>48944</v>
      </c>
      <c r="W212" s="49">
        <v>48944</v>
      </c>
      <c r="X212" s="48">
        <v>1</v>
      </c>
      <c r="Y212" s="48">
        <v>1</v>
      </c>
      <c r="Z212" s="48">
        <v>1</v>
      </c>
      <c r="AA212" s="156">
        <v>26803.587027067224</v>
      </c>
      <c r="AF212" s="48">
        <v>0</v>
      </c>
      <c r="AG212" s="49" t="s">
        <v>32</v>
      </c>
      <c r="AH212" s="48">
        <v>1</v>
      </c>
      <c r="AI212" s="48" t="s">
        <v>33</v>
      </c>
      <c r="AJ212" s="48" t="s">
        <v>33</v>
      </c>
      <c r="AK212" s="48" t="s">
        <v>33</v>
      </c>
      <c r="AL212" s="48" t="s">
        <v>34</v>
      </c>
      <c r="AN212" s="48">
        <v>0</v>
      </c>
      <c r="AO212" s="48">
        <v>0</v>
      </c>
      <c r="AP212" s="48">
        <v>0</v>
      </c>
      <c r="AQ212" s="48">
        <v>0</v>
      </c>
      <c r="AR212" s="48">
        <v>0</v>
      </c>
      <c r="AS212" s="48">
        <v>0</v>
      </c>
      <c r="AT212" s="48">
        <v>0</v>
      </c>
      <c r="AU212" s="48">
        <v>0</v>
      </c>
      <c r="AV212" s="48">
        <v>0</v>
      </c>
      <c r="AW212" s="48">
        <v>0</v>
      </c>
      <c r="AX212" s="48">
        <v>0</v>
      </c>
      <c r="AY212" s="48">
        <v>0</v>
      </c>
      <c r="AZ212" s="48">
        <v>0</v>
      </c>
      <c r="BA212" s="48">
        <v>0</v>
      </c>
      <c r="BB212" s="48">
        <v>0</v>
      </c>
    </row>
    <row r="213" spans="1:54" x14ac:dyDescent="0.35">
      <c r="A213" s="49">
        <v>45930</v>
      </c>
      <c r="B213" s="48">
        <v>1</v>
      </c>
      <c r="C213" s="50" t="s">
        <v>32</v>
      </c>
      <c r="D213" s="48" t="s">
        <v>31</v>
      </c>
      <c r="E213" s="48" t="s">
        <v>138</v>
      </c>
      <c r="F213" s="48" t="s">
        <v>139</v>
      </c>
      <c r="G213" s="49" t="s">
        <v>59</v>
      </c>
      <c r="H213" s="48" t="s">
        <v>159</v>
      </c>
      <c r="I213" s="48">
        <v>1</v>
      </c>
      <c r="J213" s="48">
        <v>100</v>
      </c>
      <c r="K213" s="48">
        <v>1</v>
      </c>
      <c r="N213" s="48">
        <v>0</v>
      </c>
      <c r="R213" s="49"/>
      <c r="S213" s="49"/>
      <c r="T213" s="49">
        <v>48975</v>
      </c>
      <c r="U213" s="49">
        <v>48975</v>
      </c>
      <c r="V213" s="49">
        <v>48975</v>
      </c>
      <c r="W213" s="49">
        <v>48975</v>
      </c>
      <c r="X213" s="48">
        <v>1</v>
      </c>
      <c r="Y213" s="48">
        <v>1</v>
      </c>
      <c r="Z213" s="48">
        <v>1</v>
      </c>
      <c r="AA213" s="156">
        <v>26803.587027067224</v>
      </c>
      <c r="AF213" s="48">
        <v>0</v>
      </c>
      <c r="AG213" s="49" t="s">
        <v>32</v>
      </c>
      <c r="AH213" s="48">
        <v>1</v>
      </c>
      <c r="AI213" s="48" t="s">
        <v>33</v>
      </c>
      <c r="AJ213" s="48" t="s">
        <v>33</v>
      </c>
      <c r="AK213" s="48" t="s">
        <v>33</v>
      </c>
      <c r="AL213" s="48" t="s">
        <v>34</v>
      </c>
      <c r="AN213" s="48">
        <v>0</v>
      </c>
      <c r="AO213" s="48">
        <v>0</v>
      </c>
      <c r="AP213" s="48">
        <v>0</v>
      </c>
      <c r="AQ213" s="48">
        <v>0</v>
      </c>
      <c r="AR213" s="48">
        <v>0</v>
      </c>
      <c r="AS213" s="48">
        <v>0</v>
      </c>
      <c r="AT213" s="48">
        <v>0</v>
      </c>
      <c r="AU213" s="48">
        <v>0</v>
      </c>
      <c r="AV213" s="48">
        <v>0</v>
      </c>
      <c r="AW213" s="48">
        <v>0</v>
      </c>
      <c r="AX213" s="48">
        <v>0</v>
      </c>
      <c r="AY213" s="48">
        <v>0</v>
      </c>
      <c r="AZ213" s="48">
        <v>0</v>
      </c>
      <c r="BA213" s="48">
        <v>0</v>
      </c>
      <c r="BB213" s="48">
        <v>0</v>
      </c>
    </row>
    <row r="214" spans="1:54" x14ac:dyDescent="0.35">
      <c r="A214" s="49">
        <v>45930</v>
      </c>
      <c r="B214" s="48">
        <v>1</v>
      </c>
      <c r="C214" s="50" t="s">
        <v>32</v>
      </c>
      <c r="D214" s="48" t="s">
        <v>31</v>
      </c>
      <c r="E214" s="48" t="s">
        <v>138</v>
      </c>
      <c r="F214" s="48" t="s">
        <v>139</v>
      </c>
      <c r="G214" s="49" t="s">
        <v>59</v>
      </c>
      <c r="H214" s="48" t="s">
        <v>159</v>
      </c>
      <c r="I214" s="48">
        <v>1</v>
      </c>
      <c r="J214" s="48">
        <v>101</v>
      </c>
      <c r="K214" s="48">
        <v>1</v>
      </c>
      <c r="N214" s="48">
        <v>0</v>
      </c>
      <c r="R214" s="49"/>
      <c r="S214" s="49"/>
      <c r="T214" s="49">
        <v>49003</v>
      </c>
      <c r="U214" s="49">
        <v>49003</v>
      </c>
      <c r="V214" s="49">
        <v>49003</v>
      </c>
      <c r="W214" s="49">
        <v>49003</v>
      </c>
      <c r="X214" s="48">
        <v>1</v>
      </c>
      <c r="Y214" s="48">
        <v>1</v>
      </c>
      <c r="Z214" s="48">
        <v>1</v>
      </c>
      <c r="AA214" s="156">
        <v>26803.587027067224</v>
      </c>
      <c r="AF214" s="48">
        <v>0</v>
      </c>
      <c r="AG214" s="49" t="s">
        <v>32</v>
      </c>
      <c r="AH214" s="48">
        <v>1</v>
      </c>
      <c r="AI214" s="48" t="s">
        <v>33</v>
      </c>
      <c r="AJ214" s="48" t="s">
        <v>33</v>
      </c>
      <c r="AK214" s="48" t="s">
        <v>33</v>
      </c>
      <c r="AL214" s="48" t="s">
        <v>34</v>
      </c>
      <c r="AN214" s="48">
        <v>0</v>
      </c>
      <c r="AO214" s="48">
        <v>0</v>
      </c>
      <c r="AP214" s="48">
        <v>0</v>
      </c>
      <c r="AQ214" s="48">
        <v>0</v>
      </c>
      <c r="AR214" s="48">
        <v>0</v>
      </c>
      <c r="AS214" s="48">
        <v>0</v>
      </c>
      <c r="AT214" s="48">
        <v>0</v>
      </c>
      <c r="AU214" s="48">
        <v>0</v>
      </c>
      <c r="AV214" s="48">
        <v>0</v>
      </c>
      <c r="AW214" s="48">
        <v>0</v>
      </c>
      <c r="AX214" s="48">
        <v>0</v>
      </c>
      <c r="AY214" s="48">
        <v>0</v>
      </c>
      <c r="AZ214" s="48">
        <v>0</v>
      </c>
      <c r="BA214" s="48">
        <v>0</v>
      </c>
      <c r="BB214" s="48">
        <v>0</v>
      </c>
    </row>
    <row r="215" spans="1:54" x14ac:dyDescent="0.35">
      <c r="A215" s="49">
        <v>45930</v>
      </c>
      <c r="B215" s="48">
        <v>1</v>
      </c>
      <c r="C215" s="50" t="s">
        <v>32</v>
      </c>
      <c r="D215" s="48" t="s">
        <v>31</v>
      </c>
      <c r="E215" s="48" t="s">
        <v>138</v>
      </c>
      <c r="F215" s="48" t="s">
        <v>139</v>
      </c>
      <c r="G215" s="49" t="s">
        <v>59</v>
      </c>
      <c r="H215" s="48" t="s">
        <v>159</v>
      </c>
      <c r="I215" s="48">
        <v>1</v>
      </c>
      <c r="J215" s="48">
        <v>102</v>
      </c>
      <c r="K215" s="48">
        <v>1</v>
      </c>
      <c r="N215" s="48">
        <v>0</v>
      </c>
      <c r="R215" s="49"/>
      <c r="S215" s="49"/>
      <c r="T215" s="49">
        <v>49034</v>
      </c>
      <c r="U215" s="49">
        <v>49034</v>
      </c>
      <c r="V215" s="49">
        <v>49034</v>
      </c>
      <c r="W215" s="49">
        <v>49034</v>
      </c>
      <c r="X215" s="48">
        <v>1</v>
      </c>
      <c r="Y215" s="48">
        <v>1</v>
      </c>
      <c r="Z215" s="48">
        <v>1</v>
      </c>
      <c r="AA215" s="156">
        <v>26803.587027067224</v>
      </c>
      <c r="AF215" s="48">
        <v>0</v>
      </c>
      <c r="AG215" s="49" t="s">
        <v>32</v>
      </c>
      <c r="AH215" s="48">
        <v>1</v>
      </c>
      <c r="AI215" s="48" t="s">
        <v>33</v>
      </c>
      <c r="AJ215" s="48" t="s">
        <v>33</v>
      </c>
      <c r="AK215" s="48" t="s">
        <v>33</v>
      </c>
      <c r="AL215" s="48" t="s">
        <v>34</v>
      </c>
      <c r="AN215" s="48">
        <v>0</v>
      </c>
      <c r="AO215" s="48">
        <v>0</v>
      </c>
      <c r="AP215" s="48">
        <v>0</v>
      </c>
      <c r="AQ215" s="48">
        <v>0</v>
      </c>
      <c r="AR215" s="48">
        <v>0</v>
      </c>
      <c r="AS215" s="48">
        <v>0</v>
      </c>
      <c r="AT215" s="48">
        <v>0</v>
      </c>
      <c r="AU215" s="48">
        <v>0</v>
      </c>
      <c r="AV215" s="48">
        <v>0</v>
      </c>
      <c r="AW215" s="48">
        <v>0</v>
      </c>
      <c r="AX215" s="48">
        <v>0</v>
      </c>
      <c r="AY215" s="48">
        <v>0</v>
      </c>
      <c r="AZ215" s="48">
        <v>0</v>
      </c>
      <c r="BA215" s="48">
        <v>0</v>
      </c>
      <c r="BB215" s="48">
        <v>0</v>
      </c>
    </row>
    <row r="216" spans="1:54" x14ac:dyDescent="0.35">
      <c r="A216" s="49">
        <v>45930</v>
      </c>
      <c r="B216" s="48">
        <v>1</v>
      </c>
      <c r="C216" s="50" t="s">
        <v>32</v>
      </c>
      <c r="D216" s="48" t="s">
        <v>31</v>
      </c>
      <c r="E216" s="48" t="s">
        <v>138</v>
      </c>
      <c r="F216" s="48" t="s">
        <v>139</v>
      </c>
      <c r="G216" s="49" t="s">
        <v>59</v>
      </c>
      <c r="H216" s="48" t="s">
        <v>159</v>
      </c>
      <c r="I216" s="48">
        <v>1</v>
      </c>
      <c r="J216" s="48">
        <v>103</v>
      </c>
      <c r="K216" s="48">
        <v>1</v>
      </c>
      <c r="N216" s="48">
        <v>0</v>
      </c>
      <c r="R216" s="49"/>
      <c r="S216" s="49"/>
      <c r="T216" s="49">
        <v>49064</v>
      </c>
      <c r="U216" s="49">
        <v>49064</v>
      </c>
      <c r="V216" s="49">
        <v>49064</v>
      </c>
      <c r="W216" s="49">
        <v>49064</v>
      </c>
      <c r="X216" s="48">
        <v>1</v>
      </c>
      <c r="Y216" s="48">
        <v>1</v>
      </c>
      <c r="Z216" s="48">
        <v>1</v>
      </c>
      <c r="AA216" s="156">
        <v>26803.587027067224</v>
      </c>
      <c r="AF216" s="48">
        <v>0</v>
      </c>
      <c r="AG216" s="49" t="s">
        <v>32</v>
      </c>
      <c r="AH216" s="48">
        <v>1</v>
      </c>
      <c r="AI216" s="48" t="s">
        <v>33</v>
      </c>
      <c r="AJ216" s="48" t="s">
        <v>33</v>
      </c>
      <c r="AK216" s="48" t="s">
        <v>33</v>
      </c>
      <c r="AL216" s="48" t="s">
        <v>34</v>
      </c>
      <c r="AN216" s="48">
        <v>0</v>
      </c>
      <c r="AO216" s="48">
        <v>0</v>
      </c>
      <c r="AP216" s="48">
        <v>0</v>
      </c>
      <c r="AQ216" s="48">
        <v>0</v>
      </c>
      <c r="AR216" s="48">
        <v>0</v>
      </c>
      <c r="AS216" s="48">
        <v>0</v>
      </c>
      <c r="AT216" s="48">
        <v>0</v>
      </c>
      <c r="AU216" s="48">
        <v>0</v>
      </c>
      <c r="AV216" s="48">
        <v>0</v>
      </c>
      <c r="AW216" s="48">
        <v>0</v>
      </c>
      <c r="AX216" s="48">
        <v>0</v>
      </c>
      <c r="AY216" s="48">
        <v>0</v>
      </c>
      <c r="AZ216" s="48">
        <v>0</v>
      </c>
      <c r="BA216" s="48">
        <v>0</v>
      </c>
      <c r="BB216" s="48">
        <v>0</v>
      </c>
    </row>
    <row r="217" spans="1:54" x14ac:dyDescent="0.35">
      <c r="A217" s="49">
        <v>45930</v>
      </c>
      <c r="B217" s="48">
        <v>1</v>
      </c>
      <c r="C217" s="50" t="s">
        <v>32</v>
      </c>
      <c r="D217" s="48" t="s">
        <v>31</v>
      </c>
      <c r="E217" s="48" t="s">
        <v>138</v>
      </c>
      <c r="F217" s="48" t="s">
        <v>139</v>
      </c>
      <c r="G217" s="49" t="s">
        <v>59</v>
      </c>
      <c r="H217" s="48" t="s">
        <v>159</v>
      </c>
      <c r="I217" s="48">
        <v>1</v>
      </c>
      <c r="J217" s="48">
        <v>104</v>
      </c>
      <c r="K217" s="48">
        <v>1</v>
      </c>
      <c r="N217" s="48">
        <v>0</v>
      </c>
      <c r="R217" s="49"/>
      <c r="S217" s="49"/>
      <c r="T217" s="49">
        <v>49095</v>
      </c>
      <c r="U217" s="49">
        <v>49095</v>
      </c>
      <c r="V217" s="49">
        <v>49095</v>
      </c>
      <c r="W217" s="49">
        <v>49095</v>
      </c>
      <c r="X217" s="48">
        <v>1</v>
      </c>
      <c r="Y217" s="48">
        <v>1</v>
      </c>
      <c r="Z217" s="48">
        <v>1</v>
      </c>
      <c r="AA217" s="156">
        <v>26803.587027067224</v>
      </c>
      <c r="AF217" s="48">
        <v>0</v>
      </c>
      <c r="AG217" s="49" t="s">
        <v>32</v>
      </c>
      <c r="AH217" s="48">
        <v>1</v>
      </c>
      <c r="AI217" s="48" t="s">
        <v>33</v>
      </c>
      <c r="AJ217" s="48" t="s">
        <v>33</v>
      </c>
      <c r="AK217" s="48" t="s">
        <v>33</v>
      </c>
      <c r="AL217" s="48" t="s">
        <v>34</v>
      </c>
      <c r="AN217" s="48">
        <v>0</v>
      </c>
      <c r="AO217" s="48">
        <v>0</v>
      </c>
      <c r="AP217" s="48">
        <v>0</v>
      </c>
      <c r="AQ217" s="48">
        <v>0</v>
      </c>
      <c r="AR217" s="48">
        <v>0</v>
      </c>
      <c r="AS217" s="48">
        <v>0</v>
      </c>
      <c r="AT217" s="48">
        <v>0</v>
      </c>
      <c r="AU217" s="48">
        <v>0</v>
      </c>
      <c r="AV217" s="48">
        <v>0</v>
      </c>
      <c r="AW217" s="48">
        <v>0</v>
      </c>
      <c r="AX217" s="48">
        <v>0</v>
      </c>
      <c r="AY217" s="48">
        <v>0</v>
      </c>
      <c r="AZ217" s="48">
        <v>0</v>
      </c>
      <c r="BA217" s="48">
        <v>0</v>
      </c>
      <c r="BB217" s="48">
        <v>0</v>
      </c>
    </row>
    <row r="218" spans="1:54" x14ac:dyDescent="0.35">
      <c r="A218" s="49">
        <v>45930</v>
      </c>
      <c r="B218" s="48">
        <v>1</v>
      </c>
      <c r="C218" s="50" t="s">
        <v>32</v>
      </c>
      <c r="D218" s="48" t="s">
        <v>31</v>
      </c>
      <c r="E218" s="48" t="s">
        <v>138</v>
      </c>
      <c r="F218" s="48" t="s">
        <v>139</v>
      </c>
      <c r="G218" s="49" t="s">
        <v>59</v>
      </c>
      <c r="H218" s="48" t="s">
        <v>159</v>
      </c>
      <c r="I218" s="48">
        <v>1</v>
      </c>
      <c r="J218" s="48">
        <v>105</v>
      </c>
      <c r="K218" s="48">
        <v>1</v>
      </c>
      <c r="N218" s="48">
        <v>0</v>
      </c>
      <c r="R218" s="49"/>
      <c r="S218" s="49"/>
      <c r="T218" s="49">
        <v>49125</v>
      </c>
      <c r="U218" s="49">
        <v>49125</v>
      </c>
      <c r="V218" s="49">
        <v>49125</v>
      </c>
      <c r="W218" s="49">
        <v>49125</v>
      </c>
      <c r="X218" s="48">
        <v>1</v>
      </c>
      <c r="Y218" s="48">
        <v>1</v>
      </c>
      <c r="Z218" s="48">
        <v>1</v>
      </c>
      <c r="AA218" s="156">
        <v>26803.587027067224</v>
      </c>
      <c r="AF218" s="48">
        <v>0</v>
      </c>
      <c r="AG218" s="49" t="s">
        <v>32</v>
      </c>
      <c r="AH218" s="48">
        <v>1</v>
      </c>
      <c r="AI218" s="48" t="s">
        <v>33</v>
      </c>
      <c r="AJ218" s="48" t="s">
        <v>33</v>
      </c>
      <c r="AK218" s="48" t="s">
        <v>33</v>
      </c>
      <c r="AL218" s="48" t="s">
        <v>34</v>
      </c>
      <c r="AN218" s="48">
        <v>0</v>
      </c>
      <c r="AO218" s="48">
        <v>0</v>
      </c>
      <c r="AP218" s="48">
        <v>0</v>
      </c>
      <c r="AQ218" s="48">
        <v>0</v>
      </c>
      <c r="AR218" s="48">
        <v>0</v>
      </c>
      <c r="AS218" s="48">
        <v>0</v>
      </c>
      <c r="AT218" s="48">
        <v>0</v>
      </c>
      <c r="AU218" s="48">
        <v>0</v>
      </c>
      <c r="AV218" s="48">
        <v>0</v>
      </c>
      <c r="AW218" s="48">
        <v>0</v>
      </c>
      <c r="AX218" s="48">
        <v>0</v>
      </c>
      <c r="AY218" s="48">
        <v>0</v>
      </c>
      <c r="AZ218" s="48">
        <v>0</v>
      </c>
      <c r="BA218" s="48">
        <v>0</v>
      </c>
      <c r="BB218" s="48">
        <v>0</v>
      </c>
    </row>
    <row r="219" spans="1:54" x14ac:dyDescent="0.35">
      <c r="A219" s="49">
        <v>45930</v>
      </c>
      <c r="B219" s="48">
        <v>1</v>
      </c>
      <c r="C219" s="50" t="s">
        <v>32</v>
      </c>
      <c r="D219" s="48" t="s">
        <v>31</v>
      </c>
      <c r="E219" s="48" t="s">
        <v>138</v>
      </c>
      <c r="F219" s="48" t="s">
        <v>139</v>
      </c>
      <c r="G219" s="49" t="s">
        <v>59</v>
      </c>
      <c r="H219" s="48" t="s">
        <v>159</v>
      </c>
      <c r="I219" s="48">
        <v>1</v>
      </c>
      <c r="J219" s="48">
        <v>106</v>
      </c>
      <c r="K219" s="48">
        <v>1</v>
      </c>
      <c r="N219" s="48">
        <v>0</v>
      </c>
      <c r="R219" s="49"/>
      <c r="S219" s="49"/>
      <c r="T219" s="49">
        <v>49156</v>
      </c>
      <c r="U219" s="49">
        <v>49156</v>
      </c>
      <c r="V219" s="49">
        <v>49156</v>
      </c>
      <c r="W219" s="49">
        <v>49156</v>
      </c>
      <c r="X219" s="48">
        <v>1</v>
      </c>
      <c r="Y219" s="48">
        <v>1</v>
      </c>
      <c r="Z219" s="48">
        <v>1</v>
      </c>
      <c r="AA219" s="156">
        <v>26803.587027067224</v>
      </c>
      <c r="AF219" s="48">
        <v>0</v>
      </c>
      <c r="AG219" s="49" t="s">
        <v>32</v>
      </c>
      <c r="AH219" s="48">
        <v>1</v>
      </c>
      <c r="AI219" s="48" t="s">
        <v>33</v>
      </c>
      <c r="AJ219" s="48" t="s">
        <v>33</v>
      </c>
      <c r="AK219" s="48" t="s">
        <v>33</v>
      </c>
      <c r="AL219" s="48" t="s">
        <v>34</v>
      </c>
      <c r="AN219" s="48">
        <v>0</v>
      </c>
      <c r="AO219" s="48">
        <v>0</v>
      </c>
      <c r="AP219" s="48">
        <v>0</v>
      </c>
      <c r="AQ219" s="48">
        <v>0</v>
      </c>
      <c r="AR219" s="48">
        <v>0</v>
      </c>
      <c r="AS219" s="48">
        <v>0</v>
      </c>
      <c r="AT219" s="48">
        <v>0</v>
      </c>
      <c r="AU219" s="48">
        <v>0</v>
      </c>
      <c r="AV219" s="48">
        <v>0</v>
      </c>
      <c r="AW219" s="48">
        <v>0</v>
      </c>
      <c r="AX219" s="48">
        <v>0</v>
      </c>
      <c r="AY219" s="48">
        <v>0</v>
      </c>
      <c r="AZ219" s="48">
        <v>0</v>
      </c>
      <c r="BA219" s="48">
        <v>0</v>
      </c>
      <c r="BB219" s="48">
        <v>0</v>
      </c>
    </row>
    <row r="220" spans="1:54" x14ac:dyDescent="0.35">
      <c r="A220" s="49">
        <v>45930</v>
      </c>
      <c r="B220" s="48">
        <v>1</v>
      </c>
      <c r="C220" s="50" t="s">
        <v>32</v>
      </c>
      <c r="D220" s="48" t="s">
        <v>31</v>
      </c>
      <c r="E220" s="48" t="s">
        <v>138</v>
      </c>
      <c r="F220" s="48" t="s">
        <v>139</v>
      </c>
      <c r="G220" s="49" t="s">
        <v>59</v>
      </c>
      <c r="H220" s="48" t="s">
        <v>159</v>
      </c>
      <c r="I220" s="48">
        <v>1</v>
      </c>
      <c r="J220" s="48">
        <v>107</v>
      </c>
      <c r="K220" s="48">
        <v>1</v>
      </c>
      <c r="N220" s="48">
        <v>0</v>
      </c>
      <c r="R220" s="49"/>
      <c r="S220" s="49"/>
      <c r="T220" s="49">
        <v>49187</v>
      </c>
      <c r="U220" s="49">
        <v>49187</v>
      </c>
      <c r="V220" s="49">
        <v>49187</v>
      </c>
      <c r="W220" s="49">
        <v>49187</v>
      </c>
      <c r="X220" s="48">
        <v>1</v>
      </c>
      <c r="Y220" s="48">
        <v>1</v>
      </c>
      <c r="Z220" s="48">
        <v>1</v>
      </c>
      <c r="AA220" s="156">
        <v>26803.587027067224</v>
      </c>
      <c r="AF220" s="48">
        <v>0</v>
      </c>
      <c r="AG220" s="49" t="s">
        <v>32</v>
      </c>
      <c r="AH220" s="48">
        <v>1</v>
      </c>
      <c r="AI220" s="48" t="s">
        <v>33</v>
      </c>
      <c r="AJ220" s="48" t="s">
        <v>33</v>
      </c>
      <c r="AK220" s="48" t="s">
        <v>33</v>
      </c>
      <c r="AL220" s="48" t="s">
        <v>34</v>
      </c>
      <c r="AN220" s="48">
        <v>0</v>
      </c>
      <c r="AO220" s="48">
        <v>0</v>
      </c>
      <c r="AP220" s="48">
        <v>0</v>
      </c>
      <c r="AQ220" s="48">
        <v>0</v>
      </c>
      <c r="AR220" s="48">
        <v>0</v>
      </c>
      <c r="AS220" s="48">
        <v>0</v>
      </c>
      <c r="AT220" s="48">
        <v>0</v>
      </c>
      <c r="AU220" s="48">
        <v>0</v>
      </c>
      <c r="AV220" s="48">
        <v>0</v>
      </c>
      <c r="AW220" s="48">
        <v>0</v>
      </c>
      <c r="AX220" s="48">
        <v>0</v>
      </c>
      <c r="AY220" s="48">
        <v>0</v>
      </c>
      <c r="AZ220" s="48">
        <v>0</v>
      </c>
      <c r="BA220" s="48">
        <v>0</v>
      </c>
      <c r="BB220" s="48">
        <v>0</v>
      </c>
    </row>
    <row r="221" spans="1:54" x14ac:dyDescent="0.35">
      <c r="A221" s="49">
        <v>45930</v>
      </c>
      <c r="B221" s="48">
        <v>1</v>
      </c>
      <c r="C221" s="50" t="s">
        <v>32</v>
      </c>
      <c r="D221" s="48" t="s">
        <v>31</v>
      </c>
      <c r="E221" s="48" t="s">
        <v>138</v>
      </c>
      <c r="F221" s="48" t="s">
        <v>139</v>
      </c>
      <c r="G221" s="49" t="s">
        <v>59</v>
      </c>
      <c r="H221" s="48" t="s">
        <v>159</v>
      </c>
      <c r="I221" s="48">
        <v>1</v>
      </c>
      <c r="J221" s="48">
        <v>108</v>
      </c>
      <c r="K221" s="48">
        <v>1</v>
      </c>
      <c r="N221" s="48">
        <v>0</v>
      </c>
      <c r="R221" s="49"/>
      <c r="S221" s="49"/>
      <c r="T221" s="49">
        <v>49217</v>
      </c>
      <c r="U221" s="49">
        <v>49217</v>
      </c>
      <c r="V221" s="49">
        <v>49217</v>
      </c>
      <c r="W221" s="49">
        <v>49217</v>
      </c>
      <c r="X221" s="48">
        <v>1</v>
      </c>
      <c r="Y221" s="48">
        <v>1</v>
      </c>
      <c r="Z221" s="48">
        <v>1</v>
      </c>
      <c r="AA221" s="156">
        <v>26803.587027067224</v>
      </c>
      <c r="AF221" s="48">
        <v>0</v>
      </c>
      <c r="AG221" s="49" t="s">
        <v>32</v>
      </c>
      <c r="AH221" s="48">
        <v>1</v>
      </c>
      <c r="AI221" s="48" t="s">
        <v>33</v>
      </c>
      <c r="AJ221" s="48" t="s">
        <v>33</v>
      </c>
      <c r="AK221" s="48" t="s">
        <v>33</v>
      </c>
      <c r="AL221" s="48" t="s">
        <v>34</v>
      </c>
      <c r="AN221" s="48">
        <v>0</v>
      </c>
      <c r="AO221" s="48">
        <v>0</v>
      </c>
      <c r="AP221" s="48">
        <v>0</v>
      </c>
      <c r="AQ221" s="48">
        <v>0</v>
      </c>
      <c r="AR221" s="48">
        <v>0</v>
      </c>
      <c r="AS221" s="48">
        <v>0</v>
      </c>
      <c r="AT221" s="48">
        <v>0</v>
      </c>
      <c r="AU221" s="48">
        <v>0</v>
      </c>
      <c r="AV221" s="48">
        <v>0</v>
      </c>
      <c r="AW221" s="48">
        <v>0</v>
      </c>
      <c r="AX221" s="48">
        <v>0</v>
      </c>
      <c r="AY221" s="48">
        <v>0</v>
      </c>
      <c r="AZ221" s="48">
        <v>0</v>
      </c>
      <c r="BA221" s="48">
        <v>0</v>
      </c>
      <c r="BB221" s="48">
        <v>0</v>
      </c>
    </row>
    <row r="222" spans="1:54" x14ac:dyDescent="0.35">
      <c r="A222" s="49">
        <v>45930</v>
      </c>
      <c r="B222" s="48">
        <v>1</v>
      </c>
      <c r="C222" s="50" t="s">
        <v>32</v>
      </c>
      <c r="D222" s="48" t="s">
        <v>31</v>
      </c>
      <c r="E222" s="48" t="s">
        <v>138</v>
      </c>
      <c r="F222" s="48" t="s">
        <v>139</v>
      </c>
      <c r="G222" s="49" t="s">
        <v>59</v>
      </c>
      <c r="H222" s="48" t="s">
        <v>159</v>
      </c>
      <c r="I222" s="48">
        <v>1</v>
      </c>
      <c r="J222" s="48">
        <v>109</v>
      </c>
      <c r="K222" s="48">
        <v>1</v>
      </c>
      <c r="N222" s="48">
        <v>0</v>
      </c>
      <c r="R222" s="49"/>
      <c r="S222" s="49"/>
      <c r="T222" s="49">
        <v>49248</v>
      </c>
      <c r="U222" s="49">
        <v>49248</v>
      </c>
      <c r="V222" s="49">
        <v>49248</v>
      </c>
      <c r="W222" s="49">
        <v>49248</v>
      </c>
      <c r="X222" s="48">
        <v>1</v>
      </c>
      <c r="Y222" s="48">
        <v>1</v>
      </c>
      <c r="Z222" s="48">
        <v>1</v>
      </c>
      <c r="AA222" s="156">
        <v>26803.587027067224</v>
      </c>
      <c r="AF222" s="48">
        <v>0</v>
      </c>
      <c r="AG222" s="49" t="s">
        <v>32</v>
      </c>
      <c r="AH222" s="48">
        <v>1</v>
      </c>
      <c r="AI222" s="48" t="s">
        <v>33</v>
      </c>
      <c r="AJ222" s="48" t="s">
        <v>33</v>
      </c>
      <c r="AK222" s="48" t="s">
        <v>33</v>
      </c>
      <c r="AL222" s="48" t="s">
        <v>34</v>
      </c>
      <c r="AN222" s="48">
        <v>0</v>
      </c>
      <c r="AO222" s="48">
        <v>0</v>
      </c>
      <c r="AP222" s="48">
        <v>0</v>
      </c>
      <c r="AQ222" s="48">
        <v>0</v>
      </c>
      <c r="AR222" s="48">
        <v>0</v>
      </c>
      <c r="AS222" s="48">
        <v>0</v>
      </c>
      <c r="AT222" s="48">
        <v>0</v>
      </c>
      <c r="AU222" s="48">
        <v>0</v>
      </c>
      <c r="AV222" s="48">
        <v>0</v>
      </c>
      <c r="AW222" s="48">
        <v>0</v>
      </c>
      <c r="AX222" s="48">
        <v>0</v>
      </c>
      <c r="AY222" s="48">
        <v>0</v>
      </c>
      <c r="AZ222" s="48">
        <v>0</v>
      </c>
      <c r="BA222" s="48">
        <v>0</v>
      </c>
      <c r="BB222" s="48">
        <v>0</v>
      </c>
    </row>
    <row r="223" spans="1:54" x14ac:dyDescent="0.35">
      <c r="A223" s="49">
        <v>45930</v>
      </c>
      <c r="B223" s="48">
        <v>1</v>
      </c>
      <c r="C223" s="50" t="s">
        <v>32</v>
      </c>
      <c r="D223" s="48" t="s">
        <v>31</v>
      </c>
      <c r="E223" s="48" t="s">
        <v>138</v>
      </c>
      <c r="F223" s="48" t="s">
        <v>139</v>
      </c>
      <c r="G223" s="49" t="s">
        <v>59</v>
      </c>
      <c r="H223" s="48" t="s">
        <v>159</v>
      </c>
      <c r="I223" s="48">
        <v>1</v>
      </c>
      <c r="J223" s="48">
        <v>110</v>
      </c>
      <c r="K223" s="48">
        <v>1</v>
      </c>
      <c r="N223" s="48">
        <v>0</v>
      </c>
      <c r="R223" s="49"/>
      <c r="S223" s="49"/>
      <c r="T223" s="49">
        <v>49278</v>
      </c>
      <c r="U223" s="49">
        <v>49278</v>
      </c>
      <c r="V223" s="49">
        <v>49278</v>
      </c>
      <c r="W223" s="49">
        <v>49278</v>
      </c>
      <c r="X223" s="48">
        <v>1</v>
      </c>
      <c r="Y223" s="48">
        <v>1</v>
      </c>
      <c r="Z223" s="48">
        <v>1</v>
      </c>
      <c r="AA223" s="156">
        <v>26803.587027067224</v>
      </c>
      <c r="AF223" s="48">
        <v>0</v>
      </c>
      <c r="AG223" s="49" t="s">
        <v>32</v>
      </c>
      <c r="AH223" s="48">
        <v>1</v>
      </c>
      <c r="AI223" s="48" t="s">
        <v>33</v>
      </c>
      <c r="AJ223" s="48" t="s">
        <v>33</v>
      </c>
      <c r="AK223" s="48" t="s">
        <v>33</v>
      </c>
      <c r="AL223" s="48" t="s">
        <v>34</v>
      </c>
      <c r="AN223" s="48">
        <v>0</v>
      </c>
      <c r="AO223" s="48">
        <v>0</v>
      </c>
      <c r="AP223" s="48">
        <v>0</v>
      </c>
      <c r="AQ223" s="48">
        <v>0</v>
      </c>
      <c r="AR223" s="48">
        <v>0</v>
      </c>
      <c r="AS223" s="48">
        <v>0</v>
      </c>
      <c r="AT223" s="48">
        <v>0</v>
      </c>
      <c r="AU223" s="48">
        <v>0</v>
      </c>
      <c r="AV223" s="48">
        <v>0</v>
      </c>
      <c r="AW223" s="48">
        <v>0</v>
      </c>
      <c r="AX223" s="48">
        <v>0</v>
      </c>
      <c r="AY223" s="48">
        <v>0</v>
      </c>
      <c r="AZ223" s="48">
        <v>0</v>
      </c>
      <c r="BA223" s="48">
        <v>0</v>
      </c>
      <c r="BB223" s="48">
        <v>0</v>
      </c>
    </row>
    <row r="224" spans="1:54" x14ac:dyDescent="0.35">
      <c r="A224" s="49">
        <v>45930</v>
      </c>
      <c r="B224" s="48">
        <v>1</v>
      </c>
      <c r="C224" s="50" t="s">
        <v>32</v>
      </c>
      <c r="D224" s="48" t="s">
        <v>31</v>
      </c>
      <c r="E224" s="48" t="s">
        <v>138</v>
      </c>
      <c r="F224" s="48" t="s">
        <v>139</v>
      </c>
      <c r="G224" s="49" t="s">
        <v>59</v>
      </c>
      <c r="H224" s="48" t="s">
        <v>159</v>
      </c>
      <c r="I224" s="48">
        <v>1</v>
      </c>
      <c r="J224" s="48">
        <v>111</v>
      </c>
      <c r="K224" s="48">
        <v>1</v>
      </c>
      <c r="N224" s="48">
        <v>0</v>
      </c>
      <c r="R224" s="49"/>
      <c r="S224" s="49"/>
      <c r="T224" s="49">
        <v>49309</v>
      </c>
      <c r="U224" s="49">
        <v>49309</v>
      </c>
      <c r="V224" s="49">
        <v>49309</v>
      </c>
      <c r="W224" s="49">
        <v>49309</v>
      </c>
      <c r="X224" s="48">
        <v>1</v>
      </c>
      <c r="Y224" s="48">
        <v>1</v>
      </c>
      <c r="Z224" s="48">
        <v>1</v>
      </c>
      <c r="AA224" s="156">
        <v>26803.587027067224</v>
      </c>
      <c r="AF224" s="48">
        <v>0</v>
      </c>
      <c r="AG224" s="49" t="s">
        <v>32</v>
      </c>
      <c r="AH224" s="48">
        <v>1</v>
      </c>
      <c r="AI224" s="48" t="s">
        <v>33</v>
      </c>
      <c r="AJ224" s="48" t="s">
        <v>33</v>
      </c>
      <c r="AK224" s="48" t="s">
        <v>33</v>
      </c>
      <c r="AL224" s="48" t="s">
        <v>34</v>
      </c>
      <c r="AN224" s="48">
        <v>0</v>
      </c>
      <c r="AO224" s="48">
        <v>0</v>
      </c>
      <c r="AP224" s="48">
        <v>0</v>
      </c>
      <c r="AQ224" s="48">
        <v>0</v>
      </c>
      <c r="AR224" s="48">
        <v>0</v>
      </c>
      <c r="AS224" s="48">
        <v>0</v>
      </c>
      <c r="AT224" s="48">
        <v>0</v>
      </c>
      <c r="AU224" s="48">
        <v>0</v>
      </c>
      <c r="AV224" s="48">
        <v>0</v>
      </c>
      <c r="AW224" s="48">
        <v>0</v>
      </c>
      <c r="AX224" s="48">
        <v>0</v>
      </c>
      <c r="AY224" s="48">
        <v>0</v>
      </c>
      <c r="AZ224" s="48">
        <v>0</v>
      </c>
      <c r="BA224" s="48">
        <v>0</v>
      </c>
      <c r="BB224" s="48">
        <v>0</v>
      </c>
    </row>
    <row r="225" spans="1:54" x14ac:dyDescent="0.35">
      <c r="A225" s="49">
        <v>45930</v>
      </c>
      <c r="B225" s="48">
        <v>1</v>
      </c>
      <c r="C225" s="50" t="s">
        <v>32</v>
      </c>
      <c r="D225" s="48" t="s">
        <v>31</v>
      </c>
      <c r="E225" s="48" t="s">
        <v>138</v>
      </c>
      <c r="F225" s="48" t="s">
        <v>139</v>
      </c>
      <c r="G225" s="49" t="s">
        <v>59</v>
      </c>
      <c r="H225" s="48" t="s">
        <v>159</v>
      </c>
      <c r="I225" s="48">
        <v>1</v>
      </c>
      <c r="J225" s="48">
        <v>112</v>
      </c>
      <c r="K225" s="48">
        <v>1</v>
      </c>
      <c r="N225" s="48">
        <v>0</v>
      </c>
      <c r="R225" s="49"/>
      <c r="S225" s="49"/>
      <c r="T225" s="49">
        <v>49340</v>
      </c>
      <c r="U225" s="49">
        <v>49340</v>
      </c>
      <c r="V225" s="49">
        <v>49340</v>
      </c>
      <c r="W225" s="49">
        <v>49340</v>
      </c>
      <c r="X225" s="48">
        <v>1</v>
      </c>
      <c r="Y225" s="48">
        <v>1</v>
      </c>
      <c r="Z225" s="48">
        <v>1</v>
      </c>
      <c r="AA225" s="156">
        <v>26803.587027067224</v>
      </c>
      <c r="AF225" s="48">
        <v>0</v>
      </c>
      <c r="AG225" s="49" t="s">
        <v>32</v>
      </c>
      <c r="AH225" s="48">
        <v>1</v>
      </c>
      <c r="AI225" s="48" t="s">
        <v>33</v>
      </c>
      <c r="AJ225" s="48" t="s">
        <v>33</v>
      </c>
      <c r="AK225" s="48" t="s">
        <v>33</v>
      </c>
      <c r="AL225" s="48" t="s">
        <v>34</v>
      </c>
      <c r="AN225" s="48">
        <v>0</v>
      </c>
      <c r="AO225" s="48">
        <v>0</v>
      </c>
      <c r="AP225" s="48">
        <v>0</v>
      </c>
      <c r="AQ225" s="48">
        <v>0</v>
      </c>
      <c r="AR225" s="48">
        <v>0</v>
      </c>
      <c r="AS225" s="48">
        <v>0</v>
      </c>
      <c r="AT225" s="48">
        <v>0</v>
      </c>
      <c r="AU225" s="48">
        <v>0</v>
      </c>
      <c r="AV225" s="48">
        <v>0</v>
      </c>
      <c r="AW225" s="48">
        <v>0</v>
      </c>
      <c r="AX225" s="48">
        <v>0</v>
      </c>
      <c r="AY225" s="48">
        <v>0</v>
      </c>
      <c r="AZ225" s="48">
        <v>0</v>
      </c>
      <c r="BA225" s="48">
        <v>0</v>
      </c>
      <c r="BB225" s="48">
        <v>0</v>
      </c>
    </row>
    <row r="226" spans="1:54" x14ac:dyDescent="0.35">
      <c r="A226" s="49">
        <v>45930</v>
      </c>
      <c r="B226" s="48">
        <v>1</v>
      </c>
      <c r="C226" s="50" t="s">
        <v>32</v>
      </c>
      <c r="D226" s="48" t="s">
        <v>31</v>
      </c>
      <c r="E226" s="48" t="s">
        <v>138</v>
      </c>
      <c r="F226" s="48" t="s">
        <v>139</v>
      </c>
      <c r="G226" s="49" t="s">
        <v>59</v>
      </c>
      <c r="H226" s="48" t="s">
        <v>159</v>
      </c>
      <c r="I226" s="48">
        <v>1</v>
      </c>
      <c r="J226" s="48">
        <v>113</v>
      </c>
      <c r="K226" s="48">
        <v>1</v>
      </c>
      <c r="N226" s="48">
        <v>0</v>
      </c>
      <c r="R226" s="49"/>
      <c r="S226" s="49"/>
      <c r="T226" s="49">
        <v>49368</v>
      </c>
      <c r="U226" s="49">
        <v>49368</v>
      </c>
      <c r="V226" s="49">
        <v>49368</v>
      </c>
      <c r="W226" s="49">
        <v>49368</v>
      </c>
      <c r="X226" s="48">
        <v>1</v>
      </c>
      <c r="Y226" s="48">
        <v>1</v>
      </c>
      <c r="Z226" s="48">
        <v>1</v>
      </c>
      <c r="AA226" s="156">
        <v>26803.587027067224</v>
      </c>
      <c r="AF226" s="48">
        <v>0</v>
      </c>
      <c r="AG226" s="49" t="s">
        <v>32</v>
      </c>
      <c r="AH226" s="48">
        <v>1</v>
      </c>
      <c r="AI226" s="48" t="s">
        <v>33</v>
      </c>
      <c r="AJ226" s="48" t="s">
        <v>33</v>
      </c>
      <c r="AK226" s="48" t="s">
        <v>33</v>
      </c>
      <c r="AL226" s="48" t="s">
        <v>34</v>
      </c>
      <c r="AN226" s="48">
        <v>0</v>
      </c>
      <c r="AO226" s="48">
        <v>0</v>
      </c>
      <c r="AP226" s="48">
        <v>0</v>
      </c>
      <c r="AQ226" s="48">
        <v>0</v>
      </c>
      <c r="AR226" s="48">
        <v>0</v>
      </c>
      <c r="AS226" s="48">
        <v>0</v>
      </c>
      <c r="AT226" s="48">
        <v>0</v>
      </c>
      <c r="AU226" s="48">
        <v>0</v>
      </c>
      <c r="AV226" s="48">
        <v>0</v>
      </c>
      <c r="AW226" s="48">
        <v>0</v>
      </c>
      <c r="AX226" s="48">
        <v>0</v>
      </c>
      <c r="AY226" s="48">
        <v>0</v>
      </c>
      <c r="AZ226" s="48">
        <v>0</v>
      </c>
      <c r="BA226" s="48">
        <v>0</v>
      </c>
      <c r="BB226" s="48">
        <v>0</v>
      </c>
    </row>
    <row r="227" spans="1:54" x14ac:dyDescent="0.35">
      <c r="A227" s="49">
        <v>45930</v>
      </c>
      <c r="B227" s="48">
        <v>1</v>
      </c>
      <c r="C227" s="50" t="s">
        <v>32</v>
      </c>
      <c r="D227" s="48" t="s">
        <v>31</v>
      </c>
      <c r="E227" s="48" t="s">
        <v>138</v>
      </c>
      <c r="F227" s="48" t="s">
        <v>139</v>
      </c>
      <c r="G227" s="49" t="s">
        <v>59</v>
      </c>
      <c r="H227" s="48" t="s">
        <v>159</v>
      </c>
      <c r="I227" s="48">
        <v>1</v>
      </c>
      <c r="J227" s="48">
        <v>114</v>
      </c>
      <c r="K227" s="48">
        <v>1</v>
      </c>
      <c r="N227" s="48">
        <v>0</v>
      </c>
      <c r="R227" s="49"/>
      <c r="S227" s="49"/>
      <c r="T227" s="49">
        <v>49399</v>
      </c>
      <c r="U227" s="49">
        <v>49399</v>
      </c>
      <c r="V227" s="49">
        <v>49399</v>
      </c>
      <c r="W227" s="49">
        <v>49399</v>
      </c>
      <c r="X227" s="48">
        <v>1</v>
      </c>
      <c r="Y227" s="48">
        <v>1</v>
      </c>
      <c r="Z227" s="48">
        <v>1</v>
      </c>
      <c r="AA227" s="156">
        <v>26803.587027067224</v>
      </c>
      <c r="AF227" s="48">
        <v>0</v>
      </c>
      <c r="AG227" s="49" t="s">
        <v>32</v>
      </c>
      <c r="AH227" s="48">
        <v>1</v>
      </c>
      <c r="AI227" s="48" t="s">
        <v>33</v>
      </c>
      <c r="AJ227" s="48" t="s">
        <v>33</v>
      </c>
      <c r="AK227" s="48" t="s">
        <v>33</v>
      </c>
      <c r="AL227" s="48" t="s">
        <v>34</v>
      </c>
      <c r="AN227" s="48">
        <v>0</v>
      </c>
      <c r="AO227" s="48">
        <v>0</v>
      </c>
      <c r="AP227" s="48">
        <v>0</v>
      </c>
      <c r="AQ227" s="48">
        <v>0</v>
      </c>
      <c r="AR227" s="48">
        <v>0</v>
      </c>
      <c r="AS227" s="48">
        <v>0</v>
      </c>
      <c r="AT227" s="48">
        <v>0</v>
      </c>
      <c r="AU227" s="48">
        <v>0</v>
      </c>
      <c r="AV227" s="48">
        <v>0</v>
      </c>
      <c r="AW227" s="48">
        <v>0</v>
      </c>
      <c r="AX227" s="48">
        <v>0</v>
      </c>
      <c r="AY227" s="48">
        <v>0</v>
      </c>
      <c r="AZ227" s="48">
        <v>0</v>
      </c>
      <c r="BA227" s="48">
        <v>0</v>
      </c>
      <c r="BB227" s="48">
        <v>0</v>
      </c>
    </row>
    <row r="228" spans="1:54" x14ac:dyDescent="0.35">
      <c r="A228" s="49">
        <v>45930</v>
      </c>
      <c r="B228" s="48">
        <v>1</v>
      </c>
      <c r="C228" s="50" t="s">
        <v>32</v>
      </c>
      <c r="D228" s="48" t="s">
        <v>31</v>
      </c>
      <c r="E228" s="48" t="s">
        <v>138</v>
      </c>
      <c r="F228" s="48" t="s">
        <v>139</v>
      </c>
      <c r="G228" s="49" t="s">
        <v>59</v>
      </c>
      <c r="H228" s="48" t="s">
        <v>159</v>
      </c>
      <c r="I228" s="48">
        <v>1</v>
      </c>
      <c r="J228" s="48">
        <v>115</v>
      </c>
      <c r="K228" s="48">
        <v>1</v>
      </c>
      <c r="N228" s="48">
        <v>0</v>
      </c>
      <c r="R228" s="49"/>
      <c r="S228" s="49"/>
      <c r="T228" s="49">
        <v>49429</v>
      </c>
      <c r="U228" s="49">
        <v>49429</v>
      </c>
      <c r="V228" s="49">
        <v>49429</v>
      </c>
      <c r="W228" s="49">
        <v>49429</v>
      </c>
      <c r="X228" s="48">
        <v>1</v>
      </c>
      <c r="Y228" s="48">
        <v>1</v>
      </c>
      <c r="Z228" s="48">
        <v>1</v>
      </c>
      <c r="AA228" s="156">
        <v>26803.587027067224</v>
      </c>
      <c r="AF228" s="48">
        <v>0</v>
      </c>
      <c r="AG228" s="49" t="s">
        <v>32</v>
      </c>
      <c r="AH228" s="48">
        <v>1</v>
      </c>
      <c r="AI228" s="48" t="s">
        <v>33</v>
      </c>
      <c r="AJ228" s="48" t="s">
        <v>33</v>
      </c>
      <c r="AK228" s="48" t="s">
        <v>33</v>
      </c>
      <c r="AL228" s="48" t="s">
        <v>34</v>
      </c>
      <c r="AN228" s="48">
        <v>0</v>
      </c>
      <c r="AO228" s="48">
        <v>0</v>
      </c>
      <c r="AP228" s="48">
        <v>0</v>
      </c>
      <c r="AQ228" s="48">
        <v>0</v>
      </c>
      <c r="AR228" s="48">
        <v>0</v>
      </c>
      <c r="AS228" s="48">
        <v>0</v>
      </c>
      <c r="AT228" s="48">
        <v>0</v>
      </c>
      <c r="AU228" s="48">
        <v>0</v>
      </c>
      <c r="AV228" s="48">
        <v>0</v>
      </c>
      <c r="AW228" s="48">
        <v>0</v>
      </c>
      <c r="AX228" s="48">
        <v>0</v>
      </c>
      <c r="AY228" s="48">
        <v>0</v>
      </c>
      <c r="AZ228" s="48">
        <v>0</v>
      </c>
      <c r="BA228" s="48">
        <v>0</v>
      </c>
      <c r="BB228" s="48">
        <v>0</v>
      </c>
    </row>
    <row r="229" spans="1:54" x14ac:dyDescent="0.35">
      <c r="A229" s="49">
        <v>45930</v>
      </c>
      <c r="B229" s="48">
        <v>1</v>
      </c>
      <c r="C229" s="50" t="s">
        <v>32</v>
      </c>
      <c r="D229" s="48" t="s">
        <v>31</v>
      </c>
      <c r="E229" s="48" t="s">
        <v>138</v>
      </c>
      <c r="F229" s="48" t="s">
        <v>139</v>
      </c>
      <c r="G229" s="49" t="s">
        <v>59</v>
      </c>
      <c r="H229" s="48" t="s">
        <v>159</v>
      </c>
      <c r="I229" s="48">
        <v>1</v>
      </c>
      <c r="J229" s="48">
        <v>116</v>
      </c>
      <c r="K229" s="48">
        <v>1</v>
      </c>
      <c r="N229" s="48">
        <v>0</v>
      </c>
      <c r="R229" s="49"/>
      <c r="S229" s="49"/>
      <c r="T229" s="49">
        <v>49460</v>
      </c>
      <c r="U229" s="49">
        <v>49460</v>
      </c>
      <c r="V229" s="49">
        <v>49460</v>
      </c>
      <c r="W229" s="49">
        <v>49460</v>
      </c>
      <c r="X229" s="48">
        <v>1</v>
      </c>
      <c r="Y229" s="48">
        <v>1</v>
      </c>
      <c r="Z229" s="48">
        <v>1</v>
      </c>
      <c r="AA229" s="156">
        <v>26803.587027067224</v>
      </c>
      <c r="AF229" s="48">
        <v>0</v>
      </c>
      <c r="AG229" s="49" t="s">
        <v>32</v>
      </c>
      <c r="AH229" s="48">
        <v>1</v>
      </c>
      <c r="AI229" s="48" t="s">
        <v>33</v>
      </c>
      <c r="AJ229" s="48" t="s">
        <v>33</v>
      </c>
      <c r="AK229" s="48" t="s">
        <v>33</v>
      </c>
      <c r="AL229" s="48" t="s">
        <v>34</v>
      </c>
      <c r="AN229" s="48">
        <v>0</v>
      </c>
      <c r="AO229" s="48">
        <v>0</v>
      </c>
      <c r="AP229" s="48">
        <v>0</v>
      </c>
      <c r="AQ229" s="48">
        <v>0</v>
      </c>
      <c r="AR229" s="48">
        <v>0</v>
      </c>
      <c r="AS229" s="48">
        <v>0</v>
      </c>
      <c r="AT229" s="48">
        <v>0</v>
      </c>
      <c r="AU229" s="48">
        <v>0</v>
      </c>
      <c r="AV229" s="48">
        <v>0</v>
      </c>
      <c r="AW229" s="48">
        <v>0</v>
      </c>
      <c r="AX229" s="48">
        <v>0</v>
      </c>
      <c r="AY229" s="48">
        <v>0</v>
      </c>
      <c r="AZ229" s="48">
        <v>0</v>
      </c>
      <c r="BA229" s="48">
        <v>0</v>
      </c>
      <c r="BB229" s="48">
        <v>0</v>
      </c>
    </row>
    <row r="230" spans="1:54" x14ac:dyDescent="0.35">
      <c r="A230" s="49">
        <v>45930</v>
      </c>
      <c r="B230" s="48">
        <v>1</v>
      </c>
      <c r="C230" s="50" t="s">
        <v>32</v>
      </c>
      <c r="D230" s="48" t="s">
        <v>31</v>
      </c>
      <c r="E230" s="48" t="s">
        <v>138</v>
      </c>
      <c r="F230" s="48" t="s">
        <v>139</v>
      </c>
      <c r="G230" s="49" t="s">
        <v>59</v>
      </c>
      <c r="H230" s="48" t="s">
        <v>159</v>
      </c>
      <c r="I230" s="48">
        <v>1</v>
      </c>
      <c r="J230" s="48">
        <v>117</v>
      </c>
      <c r="K230" s="48">
        <v>1</v>
      </c>
      <c r="N230" s="48">
        <v>0</v>
      </c>
      <c r="R230" s="49"/>
      <c r="S230" s="49"/>
      <c r="T230" s="49">
        <v>49490</v>
      </c>
      <c r="U230" s="49">
        <v>49490</v>
      </c>
      <c r="V230" s="49">
        <v>49490</v>
      </c>
      <c r="W230" s="49">
        <v>49490</v>
      </c>
      <c r="X230" s="48">
        <v>1</v>
      </c>
      <c r="Y230" s="48">
        <v>1</v>
      </c>
      <c r="Z230" s="48">
        <v>1</v>
      </c>
      <c r="AA230" s="156">
        <v>26803.587027067224</v>
      </c>
      <c r="AF230" s="48">
        <v>0</v>
      </c>
      <c r="AG230" s="49" t="s">
        <v>32</v>
      </c>
      <c r="AH230" s="48">
        <v>1</v>
      </c>
      <c r="AI230" s="48" t="s">
        <v>33</v>
      </c>
      <c r="AJ230" s="48" t="s">
        <v>33</v>
      </c>
      <c r="AK230" s="48" t="s">
        <v>33</v>
      </c>
      <c r="AL230" s="48" t="s">
        <v>34</v>
      </c>
      <c r="AN230" s="48">
        <v>0</v>
      </c>
      <c r="AO230" s="48">
        <v>0</v>
      </c>
      <c r="AP230" s="48">
        <v>0</v>
      </c>
      <c r="AQ230" s="48">
        <v>0</v>
      </c>
      <c r="AR230" s="48">
        <v>0</v>
      </c>
      <c r="AS230" s="48">
        <v>0</v>
      </c>
      <c r="AT230" s="48">
        <v>0</v>
      </c>
      <c r="AU230" s="48">
        <v>0</v>
      </c>
      <c r="AV230" s="48">
        <v>0</v>
      </c>
      <c r="AW230" s="48">
        <v>0</v>
      </c>
      <c r="AX230" s="48">
        <v>0</v>
      </c>
      <c r="AY230" s="48">
        <v>0</v>
      </c>
      <c r="AZ230" s="48">
        <v>0</v>
      </c>
      <c r="BA230" s="48">
        <v>0</v>
      </c>
      <c r="BB230" s="48">
        <v>0</v>
      </c>
    </row>
    <row r="231" spans="1:54" x14ac:dyDescent="0.35">
      <c r="A231" s="49">
        <v>45930</v>
      </c>
      <c r="B231" s="48">
        <v>1</v>
      </c>
      <c r="C231" s="50" t="s">
        <v>32</v>
      </c>
      <c r="D231" s="48" t="s">
        <v>31</v>
      </c>
      <c r="E231" s="48" t="s">
        <v>138</v>
      </c>
      <c r="F231" s="48" t="s">
        <v>139</v>
      </c>
      <c r="G231" s="49" t="s">
        <v>59</v>
      </c>
      <c r="H231" s="48" t="s">
        <v>159</v>
      </c>
      <c r="I231" s="48">
        <v>1</v>
      </c>
      <c r="J231" s="48">
        <v>118</v>
      </c>
      <c r="K231" s="48">
        <v>1</v>
      </c>
      <c r="N231" s="48">
        <v>0</v>
      </c>
      <c r="R231" s="49"/>
      <c r="S231" s="49"/>
      <c r="T231" s="49">
        <v>49521</v>
      </c>
      <c r="U231" s="49">
        <v>49521</v>
      </c>
      <c r="V231" s="49">
        <v>49521</v>
      </c>
      <c r="W231" s="49">
        <v>49521</v>
      </c>
      <c r="X231" s="48">
        <v>1</v>
      </c>
      <c r="Y231" s="48">
        <v>1</v>
      </c>
      <c r="Z231" s="48">
        <v>1</v>
      </c>
      <c r="AA231" s="156">
        <v>26803.587027067224</v>
      </c>
      <c r="AF231" s="48">
        <v>0</v>
      </c>
      <c r="AG231" s="49" t="s">
        <v>32</v>
      </c>
      <c r="AH231" s="48">
        <v>1</v>
      </c>
      <c r="AI231" s="48" t="s">
        <v>33</v>
      </c>
      <c r="AJ231" s="48" t="s">
        <v>33</v>
      </c>
      <c r="AK231" s="48" t="s">
        <v>33</v>
      </c>
      <c r="AL231" s="48" t="s">
        <v>34</v>
      </c>
      <c r="AN231" s="48">
        <v>0</v>
      </c>
      <c r="AO231" s="48">
        <v>0</v>
      </c>
      <c r="AP231" s="48">
        <v>0</v>
      </c>
      <c r="AQ231" s="48">
        <v>0</v>
      </c>
      <c r="AR231" s="48">
        <v>0</v>
      </c>
      <c r="AS231" s="48">
        <v>0</v>
      </c>
      <c r="AT231" s="48">
        <v>0</v>
      </c>
      <c r="AU231" s="48">
        <v>0</v>
      </c>
      <c r="AV231" s="48">
        <v>0</v>
      </c>
      <c r="AW231" s="48">
        <v>0</v>
      </c>
      <c r="AX231" s="48">
        <v>0</v>
      </c>
      <c r="AY231" s="48">
        <v>0</v>
      </c>
      <c r="AZ231" s="48">
        <v>0</v>
      </c>
      <c r="BA231" s="48">
        <v>0</v>
      </c>
      <c r="BB231" s="48">
        <v>0</v>
      </c>
    </row>
    <row r="232" spans="1:54" x14ac:dyDescent="0.35">
      <c r="A232" s="49">
        <v>45930</v>
      </c>
      <c r="B232" s="48">
        <v>1</v>
      </c>
      <c r="C232" s="50" t="s">
        <v>32</v>
      </c>
      <c r="D232" s="48" t="s">
        <v>31</v>
      </c>
      <c r="E232" s="48" t="s">
        <v>138</v>
      </c>
      <c r="F232" s="48" t="s">
        <v>139</v>
      </c>
      <c r="G232" s="49" t="s">
        <v>59</v>
      </c>
      <c r="H232" s="48" t="s">
        <v>159</v>
      </c>
      <c r="I232" s="48">
        <v>1</v>
      </c>
      <c r="J232" s="48">
        <v>119</v>
      </c>
      <c r="K232" s="48">
        <v>1</v>
      </c>
      <c r="N232" s="48">
        <v>0</v>
      </c>
      <c r="R232" s="49"/>
      <c r="S232" s="49"/>
      <c r="T232" s="49">
        <v>49552</v>
      </c>
      <c r="U232" s="49">
        <v>49552</v>
      </c>
      <c r="V232" s="49">
        <v>49552</v>
      </c>
      <c r="W232" s="49">
        <v>49552</v>
      </c>
      <c r="X232" s="48">
        <v>1</v>
      </c>
      <c r="Y232" s="48">
        <v>1</v>
      </c>
      <c r="Z232" s="48">
        <v>1</v>
      </c>
      <c r="AA232" s="156">
        <v>26803.587027067224</v>
      </c>
      <c r="AF232" s="48">
        <v>0</v>
      </c>
      <c r="AG232" s="49" t="s">
        <v>32</v>
      </c>
      <c r="AH232" s="48">
        <v>1</v>
      </c>
      <c r="AI232" s="48" t="s">
        <v>33</v>
      </c>
      <c r="AJ232" s="48" t="s">
        <v>33</v>
      </c>
      <c r="AK232" s="48" t="s">
        <v>33</v>
      </c>
      <c r="AL232" s="48" t="s">
        <v>34</v>
      </c>
      <c r="AN232" s="48">
        <v>0</v>
      </c>
      <c r="AO232" s="48">
        <v>0</v>
      </c>
      <c r="AP232" s="48">
        <v>0</v>
      </c>
      <c r="AQ232" s="48">
        <v>0</v>
      </c>
      <c r="AR232" s="48">
        <v>0</v>
      </c>
      <c r="AS232" s="48">
        <v>0</v>
      </c>
      <c r="AT232" s="48">
        <v>0</v>
      </c>
      <c r="AU232" s="48">
        <v>0</v>
      </c>
      <c r="AV232" s="48">
        <v>0</v>
      </c>
      <c r="AW232" s="48">
        <v>0</v>
      </c>
      <c r="AX232" s="48">
        <v>0</v>
      </c>
      <c r="AY232" s="48">
        <v>0</v>
      </c>
      <c r="AZ232" s="48">
        <v>0</v>
      </c>
      <c r="BA232" s="48">
        <v>0</v>
      </c>
      <c r="BB232" s="48">
        <v>0</v>
      </c>
    </row>
    <row r="233" spans="1:54" x14ac:dyDescent="0.35">
      <c r="A233" s="49">
        <v>45930</v>
      </c>
      <c r="B233" s="48">
        <v>1</v>
      </c>
      <c r="C233" s="50" t="s">
        <v>32</v>
      </c>
      <c r="D233" s="48" t="s">
        <v>31</v>
      </c>
      <c r="E233" s="48" t="s">
        <v>138</v>
      </c>
      <c r="F233" s="48" t="s">
        <v>139</v>
      </c>
      <c r="G233" s="49" t="s">
        <v>59</v>
      </c>
      <c r="H233" s="48" t="s">
        <v>159</v>
      </c>
      <c r="I233" s="48">
        <v>1</v>
      </c>
      <c r="J233" s="48">
        <v>120</v>
      </c>
      <c r="K233" s="48">
        <v>1</v>
      </c>
      <c r="N233" s="48">
        <v>0</v>
      </c>
      <c r="R233" s="49"/>
      <c r="S233" s="49"/>
      <c r="T233" s="49">
        <v>49582</v>
      </c>
      <c r="U233" s="49">
        <v>49582</v>
      </c>
      <c r="V233" s="49">
        <v>49582</v>
      </c>
      <c r="W233" s="49">
        <v>49582</v>
      </c>
      <c r="X233" s="48">
        <v>1</v>
      </c>
      <c r="Y233" s="48">
        <v>1</v>
      </c>
      <c r="Z233" s="48">
        <v>1</v>
      </c>
      <c r="AA233" s="156">
        <v>26803.587027067224</v>
      </c>
      <c r="AF233" s="48">
        <v>0</v>
      </c>
      <c r="AG233" s="49" t="s">
        <v>32</v>
      </c>
      <c r="AH233" s="48">
        <v>1</v>
      </c>
      <c r="AI233" s="48" t="s">
        <v>33</v>
      </c>
      <c r="AJ233" s="48" t="s">
        <v>33</v>
      </c>
      <c r="AK233" s="48" t="s">
        <v>33</v>
      </c>
      <c r="AL233" s="48" t="s">
        <v>34</v>
      </c>
      <c r="AN233" s="48">
        <v>0</v>
      </c>
      <c r="AO233" s="48">
        <v>0</v>
      </c>
      <c r="AP233" s="48">
        <v>0</v>
      </c>
      <c r="AQ233" s="48">
        <v>0</v>
      </c>
      <c r="AR233" s="48">
        <v>0</v>
      </c>
      <c r="AS233" s="48">
        <v>0</v>
      </c>
      <c r="AT233" s="48">
        <v>0</v>
      </c>
      <c r="AU233" s="48">
        <v>0</v>
      </c>
      <c r="AV233" s="48">
        <v>0</v>
      </c>
      <c r="AW233" s="48">
        <v>0</v>
      </c>
      <c r="AX233" s="48">
        <v>0</v>
      </c>
      <c r="AY233" s="48">
        <v>0</v>
      </c>
      <c r="AZ233" s="48">
        <v>0</v>
      </c>
      <c r="BA233" s="48">
        <v>0</v>
      </c>
      <c r="BB233" s="48">
        <v>0</v>
      </c>
    </row>
    <row r="234" spans="1:54" x14ac:dyDescent="0.35">
      <c r="A234" s="49">
        <v>45930</v>
      </c>
      <c r="B234" s="48">
        <v>1</v>
      </c>
      <c r="C234" s="50" t="s">
        <v>32</v>
      </c>
      <c r="D234" s="48" t="s">
        <v>31</v>
      </c>
      <c r="E234" s="48" t="s">
        <v>138</v>
      </c>
      <c r="F234" s="48" t="s">
        <v>139</v>
      </c>
      <c r="G234" s="49" t="s">
        <v>59</v>
      </c>
      <c r="H234" s="48" t="s">
        <v>159</v>
      </c>
      <c r="I234" s="48">
        <v>1</v>
      </c>
      <c r="J234" s="48">
        <v>121</v>
      </c>
      <c r="K234" s="48">
        <v>1</v>
      </c>
      <c r="N234" s="48">
        <v>0</v>
      </c>
      <c r="R234" s="49"/>
      <c r="S234" s="49"/>
      <c r="T234" s="49">
        <v>49613</v>
      </c>
      <c r="U234" s="49">
        <v>49613</v>
      </c>
      <c r="V234" s="49">
        <v>49613</v>
      </c>
      <c r="W234" s="49">
        <v>49613</v>
      </c>
      <c r="X234" s="48">
        <v>1</v>
      </c>
      <c r="Y234" s="48">
        <v>1</v>
      </c>
      <c r="Z234" s="48">
        <v>1</v>
      </c>
      <c r="AA234" s="156">
        <v>26803.587027067224</v>
      </c>
      <c r="AF234" s="48">
        <v>0</v>
      </c>
      <c r="AG234" s="49" t="s">
        <v>32</v>
      </c>
      <c r="AH234" s="48">
        <v>1</v>
      </c>
      <c r="AI234" s="48" t="s">
        <v>33</v>
      </c>
      <c r="AJ234" s="48" t="s">
        <v>33</v>
      </c>
      <c r="AK234" s="48" t="s">
        <v>33</v>
      </c>
      <c r="AL234" s="48" t="s">
        <v>34</v>
      </c>
      <c r="AN234" s="48">
        <v>0</v>
      </c>
      <c r="AO234" s="48">
        <v>0</v>
      </c>
      <c r="AP234" s="48">
        <v>0</v>
      </c>
      <c r="AQ234" s="48">
        <v>0</v>
      </c>
      <c r="AR234" s="48">
        <v>0</v>
      </c>
      <c r="AS234" s="48">
        <v>0</v>
      </c>
      <c r="AT234" s="48">
        <v>0</v>
      </c>
      <c r="AU234" s="48">
        <v>0</v>
      </c>
      <c r="AV234" s="48">
        <v>0</v>
      </c>
      <c r="AW234" s="48">
        <v>0</v>
      </c>
      <c r="AX234" s="48">
        <v>0</v>
      </c>
      <c r="AY234" s="48">
        <v>0</v>
      </c>
      <c r="AZ234" s="48">
        <v>0</v>
      </c>
      <c r="BA234" s="48">
        <v>0</v>
      </c>
      <c r="BB234" s="48">
        <v>0</v>
      </c>
    </row>
    <row r="235" spans="1:54" x14ac:dyDescent="0.35">
      <c r="A235" s="49">
        <v>45930</v>
      </c>
      <c r="B235" s="48">
        <v>1</v>
      </c>
      <c r="C235" s="50" t="s">
        <v>32</v>
      </c>
      <c r="D235" s="48" t="s">
        <v>31</v>
      </c>
      <c r="E235" s="48" t="s">
        <v>138</v>
      </c>
      <c r="F235" s="48" t="s">
        <v>139</v>
      </c>
      <c r="G235" s="49" t="s">
        <v>59</v>
      </c>
      <c r="H235" s="48" t="s">
        <v>159</v>
      </c>
      <c r="I235" s="48">
        <v>1</v>
      </c>
      <c r="J235" s="48">
        <v>122</v>
      </c>
      <c r="K235" s="48">
        <v>1</v>
      </c>
      <c r="N235" s="48">
        <v>0</v>
      </c>
      <c r="R235" s="49"/>
      <c r="S235" s="49"/>
      <c r="T235" s="49">
        <v>49643</v>
      </c>
      <c r="U235" s="49">
        <v>49643</v>
      </c>
      <c r="V235" s="49">
        <v>49643</v>
      </c>
      <c r="W235" s="49">
        <v>49643</v>
      </c>
      <c r="X235" s="48">
        <v>1</v>
      </c>
      <c r="Y235" s="48">
        <v>1</v>
      </c>
      <c r="Z235" s="48">
        <v>1</v>
      </c>
      <c r="AA235" s="156">
        <v>26803.587027067224</v>
      </c>
      <c r="AF235" s="48">
        <v>0</v>
      </c>
      <c r="AG235" s="49" t="s">
        <v>32</v>
      </c>
      <c r="AH235" s="48">
        <v>1</v>
      </c>
      <c r="AI235" s="48" t="s">
        <v>33</v>
      </c>
      <c r="AJ235" s="48" t="s">
        <v>33</v>
      </c>
      <c r="AK235" s="48" t="s">
        <v>33</v>
      </c>
      <c r="AL235" s="48" t="s">
        <v>34</v>
      </c>
      <c r="AN235" s="48">
        <v>0</v>
      </c>
      <c r="AO235" s="48">
        <v>0</v>
      </c>
      <c r="AP235" s="48">
        <v>0</v>
      </c>
      <c r="AQ235" s="48">
        <v>0</v>
      </c>
      <c r="AR235" s="48">
        <v>0</v>
      </c>
      <c r="AS235" s="48">
        <v>0</v>
      </c>
      <c r="AT235" s="48">
        <v>0</v>
      </c>
      <c r="AU235" s="48">
        <v>0</v>
      </c>
      <c r="AV235" s="48">
        <v>0</v>
      </c>
      <c r="AW235" s="48">
        <v>0</v>
      </c>
      <c r="AX235" s="48">
        <v>0</v>
      </c>
      <c r="AY235" s="48">
        <v>0</v>
      </c>
      <c r="AZ235" s="48">
        <v>0</v>
      </c>
      <c r="BA235" s="48">
        <v>0</v>
      </c>
      <c r="BB235" s="48">
        <v>0</v>
      </c>
    </row>
    <row r="236" spans="1:54" x14ac:dyDescent="0.35">
      <c r="A236" s="49">
        <v>45930</v>
      </c>
      <c r="B236" s="48">
        <v>1</v>
      </c>
      <c r="C236" s="50" t="s">
        <v>32</v>
      </c>
      <c r="D236" s="48" t="s">
        <v>31</v>
      </c>
      <c r="E236" s="48" t="s">
        <v>138</v>
      </c>
      <c r="F236" s="48" t="s">
        <v>139</v>
      </c>
      <c r="G236" s="49" t="s">
        <v>59</v>
      </c>
      <c r="H236" s="48" t="s">
        <v>159</v>
      </c>
      <c r="I236" s="48">
        <v>1</v>
      </c>
      <c r="J236" s="48">
        <v>123</v>
      </c>
      <c r="K236" s="48">
        <v>1</v>
      </c>
      <c r="N236" s="48">
        <v>0</v>
      </c>
      <c r="R236" s="49"/>
      <c r="S236" s="49"/>
      <c r="T236" s="49">
        <v>49674</v>
      </c>
      <c r="U236" s="49">
        <v>49674</v>
      </c>
      <c r="V236" s="49">
        <v>49674</v>
      </c>
      <c r="W236" s="49">
        <v>49674</v>
      </c>
      <c r="X236" s="48">
        <v>1</v>
      </c>
      <c r="Y236" s="48">
        <v>1</v>
      </c>
      <c r="Z236" s="48">
        <v>1</v>
      </c>
      <c r="AA236" s="156">
        <v>26803.587027067224</v>
      </c>
      <c r="AF236" s="48">
        <v>0</v>
      </c>
      <c r="AG236" s="49" t="s">
        <v>32</v>
      </c>
      <c r="AH236" s="48">
        <v>1</v>
      </c>
      <c r="AI236" s="48" t="s">
        <v>33</v>
      </c>
      <c r="AJ236" s="48" t="s">
        <v>33</v>
      </c>
      <c r="AK236" s="48" t="s">
        <v>33</v>
      </c>
      <c r="AL236" s="48" t="s">
        <v>34</v>
      </c>
      <c r="AN236" s="48">
        <v>0</v>
      </c>
      <c r="AO236" s="48">
        <v>0</v>
      </c>
      <c r="AP236" s="48">
        <v>0</v>
      </c>
      <c r="AQ236" s="48">
        <v>0</v>
      </c>
      <c r="AR236" s="48">
        <v>0</v>
      </c>
      <c r="AS236" s="48">
        <v>0</v>
      </c>
      <c r="AT236" s="48">
        <v>0</v>
      </c>
      <c r="AU236" s="48">
        <v>0</v>
      </c>
      <c r="AV236" s="48">
        <v>0</v>
      </c>
      <c r="AW236" s="48">
        <v>0</v>
      </c>
      <c r="AX236" s="48">
        <v>0</v>
      </c>
      <c r="AY236" s="48">
        <v>0</v>
      </c>
      <c r="AZ236" s="48">
        <v>0</v>
      </c>
      <c r="BA236" s="48">
        <v>0</v>
      </c>
      <c r="BB236" s="48">
        <v>0</v>
      </c>
    </row>
    <row r="237" spans="1:54" x14ac:dyDescent="0.35">
      <c r="A237" s="49">
        <v>45930</v>
      </c>
      <c r="B237" s="48">
        <v>1</v>
      </c>
      <c r="C237" s="50" t="s">
        <v>32</v>
      </c>
      <c r="D237" s="48" t="s">
        <v>31</v>
      </c>
      <c r="E237" s="48" t="s">
        <v>138</v>
      </c>
      <c r="F237" s="48" t="s">
        <v>139</v>
      </c>
      <c r="G237" s="49" t="s">
        <v>59</v>
      </c>
      <c r="H237" s="48" t="s">
        <v>159</v>
      </c>
      <c r="I237" s="48">
        <v>1</v>
      </c>
      <c r="J237" s="48">
        <v>124</v>
      </c>
      <c r="K237" s="48">
        <v>1</v>
      </c>
      <c r="N237" s="48">
        <v>0</v>
      </c>
      <c r="R237" s="49"/>
      <c r="S237" s="49"/>
      <c r="T237" s="49">
        <v>49705</v>
      </c>
      <c r="U237" s="49">
        <v>49705</v>
      </c>
      <c r="V237" s="49">
        <v>49705</v>
      </c>
      <c r="W237" s="49">
        <v>49705</v>
      </c>
      <c r="X237" s="48">
        <v>1</v>
      </c>
      <c r="Y237" s="48">
        <v>1</v>
      </c>
      <c r="Z237" s="48">
        <v>1</v>
      </c>
      <c r="AA237" s="156">
        <v>26803.587027067224</v>
      </c>
      <c r="AF237" s="48">
        <v>0</v>
      </c>
      <c r="AG237" s="49" t="s">
        <v>32</v>
      </c>
      <c r="AH237" s="48">
        <v>1</v>
      </c>
      <c r="AI237" s="48" t="s">
        <v>33</v>
      </c>
      <c r="AJ237" s="48" t="s">
        <v>33</v>
      </c>
      <c r="AK237" s="48" t="s">
        <v>33</v>
      </c>
      <c r="AL237" s="48" t="s">
        <v>34</v>
      </c>
      <c r="AN237" s="48">
        <v>0</v>
      </c>
      <c r="AO237" s="48">
        <v>0</v>
      </c>
      <c r="AP237" s="48">
        <v>0</v>
      </c>
      <c r="AQ237" s="48">
        <v>0</v>
      </c>
      <c r="AR237" s="48">
        <v>0</v>
      </c>
      <c r="AS237" s="48">
        <v>0</v>
      </c>
      <c r="AT237" s="48">
        <v>0</v>
      </c>
      <c r="AU237" s="48">
        <v>0</v>
      </c>
      <c r="AV237" s="48">
        <v>0</v>
      </c>
      <c r="AW237" s="48">
        <v>0</v>
      </c>
      <c r="AX237" s="48">
        <v>0</v>
      </c>
      <c r="AY237" s="48">
        <v>0</v>
      </c>
      <c r="AZ237" s="48">
        <v>0</v>
      </c>
      <c r="BA237" s="48">
        <v>0</v>
      </c>
      <c r="BB237" s="48">
        <v>0</v>
      </c>
    </row>
    <row r="238" spans="1:54" x14ac:dyDescent="0.35">
      <c r="A238" s="49">
        <v>45930</v>
      </c>
      <c r="B238" s="48">
        <v>1</v>
      </c>
      <c r="C238" s="50" t="s">
        <v>32</v>
      </c>
      <c r="D238" s="48" t="s">
        <v>31</v>
      </c>
      <c r="E238" s="48" t="s">
        <v>138</v>
      </c>
      <c r="F238" s="48" t="s">
        <v>139</v>
      </c>
      <c r="G238" s="49" t="s">
        <v>59</v>
      </c>
      <c r="H238" s="48" t="s">
        <v>159</v>
      </c>
      <c r="I238" s="48">
        <v>1</v>
      </c>
      <c r="J238" s="48">
        <v>125</v>
      </c>
      <c r="K238" s="48">
        <v>1</v>
      </c>
      <c r="N238" s="48">
        <v>0</v>
      </c>
      <c r="R238" s="49"/>
      <c r="S238" s="49"/>
      <c r="T238" s="49">
        <v>49734</v>
      </c>
      <c r="U238" s="49">
        <v>49734</v>
      </c>
      <c r="V238" s="49">
        <v>49734</v>
      </c>
      <c r="W238" s="49">
        <v>49734</v>
      </c>
      <c r="X238" s="48">
        <v>1</v>
      </c>
      <c r="Y238" s="48">
        <v>1</v>
      </c>
      <c r="Z238" s="48">
        <v>1</v>
      </c>
      <c r="AA238" s="156">
        <v>26803.587027067224</v>
      </c>
      <c r="AF238" s="48">
        <v>0</v>
      </c>
      <c r="AG238" s="49" t="s">
        <v>32</v>
      </c>
      <c r="AH238" s="48">
        <v>1</v>
      </c>
      <c r="AI238" s="48" t="s">
        <v>33</v>
      </c>
      <c r="AJ238" s="48" t="s">
        <v>33</v>
      </c>
      <c r="AK238" s="48" t="s">
        <v>33</v>
      </c>
      <c r="AL238" s="48" t="s">
        <v>34</v>
      </c>
      <c r="AN238" s="48">
        <v>0</v>
      </c>
      <c r="AO238" s="48">
        <v>0</v>
      </c>
      <c r="AP238" s="48">
        <v>0</v>
      </c>
      <c r="AQ238" s="48">
        <v>0</v>
      </c>
      <c r="AR238" s="48">
        <v>0</v>
      </c>
      <c r="AS238" s="48">
        <v>0</v>
      </c>
      <c r="AT238" s="48">
        <v>0</v>
      </c>
      <c r="AU238" s="48">
        <v>0</v>
      </c>
      <c r="AV238" s="48">
        <v>0</v>
      </c>
      <c r="AW238" s="48">
        <v>0</v>
      </c>
      <c r="AX238" s="48">
        <v>0</v>
      </c>
      <c r="AY238" s="48">
        <v>0</v>
      </c>
      <c r="AZ238" s="48">
        <v>0</v>
      </c>
      <c r="BA238" s="48">
        <v>0</v>
      </c>
      <c r="BB238" s="48">
        <v>0</v>
      </c>
    </row>
    <row r="239" spans="1:54" x14ac:dyDescent="0.35">
      <c r="A239" s="49">
        <v>45930</v>
      </c>
      <c r="B239" s="48">
        <v>1</v>
      </c>
      <c r="C239" s="50" t="s">
        <v>32</v>
      </c>
      <c r="D239" s="48" t="s">
        <v>31</v>
      </c>
      <c r="E239" s="48" t="s">
        <v>138</v>
      </c>
      <c r="F239" s="48" t="s">
        <v>139</v>
      </c>
      <c r="G239" s="49" t="s">
        <v>59</v>
      </c>
      <c r="H239" s="48" t="s">
        <v>159</v>
      </c>
      <c r="I239" s="48">
        <v>1</v>
      </c>
      <c r="J239" s="48">
        <v>126</v>
      </c>
      <c r="K239" s="48">
        <v>1</v>
      </c>
      <c r="N239" s="48">
        <v>0</v>
      </c>
      <c r="R239" s="49"/>
      <c r="S239" s="49"/>
      <c r="T239" s="49">
        <v>49765</v>
      </c>
      <c r="U239" s="49">
        <v>49765</v>
      </c>
      <c r="V239" s="49">
        <v>49765</v>
      </c>
      <c r="W239" s="49">
        <v>49765</v>
      </c>
      <c r="X239" s="48">
        <v>1</v>
      </c>
      <c r="Y239" s="48">
        <v>1</v>
      </c>
      <c r="Z239" s="48">
        <v>1</v>
      </c>
      <c r="AA239" s="156">
        <v>26803.587027067224</v>
      </c>
      <c r="AF239" s="48">
        <v>0</v>
      </c>
      <c r="AG239" s="49" t="s">
        <v>32</v>
      </c>
      <c r="AH239" s="48">
        <v>1</v>
      </c>
      <c r="AI239" s="48" t="s">
        <v>33</v>
      </c>
      <c r="AJ239" s="48" t="s">
        <v>33</v>
      </c>
      <c r="AK239" s="48" t="s">
        <v>33</v>
      </c>
      <c r="AL239" s="48" t="s">
        <v>34</v>
      </c>
      <c r="AN239" s="48">
        <v>0</v>
      </c>
      <c r="AO239" s="48">
        <v>0</v>
      </c>
      <c r="AP239" s="48">
        <v>0</v>
      </c>
      <c r="AQ239" s="48">
        <v>0</v>
      </c>
      <c r="AR239" s="48">
        <v>0</v>
      </c>
      <c r="AS239" s="48">
        <v>0</v>
      </c>
      <c r="AT239" s="48">
        <v>0</v>
      </c>
      <c r="AU239" s="48">
        <v>0</v>
      </c>
      <c r="AV239" s="48">
        <v>0</v>
      </c>
      <c r="AW239" s="48">
        <v>0</v>
      </c>
      <c r="AX239" s="48">
        <v>0</v>
      </c>
      <c r="AY239" s="48">
        <v>0</v>
      </c>
      <c r="AZ239" s="48">
        <v>0</v>
      </c>
      <c r="BA239" s="48">
        <v>0</v>
      </c>
      <c r="BB239" s="48">
        <v>0</v>
      </c>
    </row>
    <row r="240" spans="1:54" x14ac:dyDescent="0.35">
      <c r="A240" s="49">
        <v>45930</v>
      </c>
      <c r="B240" s="48">
        <v>1</v>
      </c>
      <c r="C240" s="50" t="s">
        <v>32</v>
      </c>
      <c r="D240" s="48" t="s">
        <v>31</v>
      </c>
      <c r="E240" s="48" t="s">
        <v>138</v>
      </c>
      <c r="F240" s="48" t="s">
        <v>139</v>
      </c>
      <c r="G240" s="49" t="s">
        <v>59</v>
      </c>
      <c r="H240" s="48" t="s">
        <v>159</v>
      </c>
      <c r="I240" s="48">
        <v>1</v>
      </c>
      <c r="J240" s="48">
        <v>127</v>
      </c>
      <c r="K240" s="48">
        <v>1</v>
      </c>
      <c r="N240" s="48">
        <v>0</v>
      </c>
      <c r="R240" s="49"/>
      <c r="S240" s="49"/>
      <c r="T240" s="49">
        <v>49795</v>
      </c>
      <c r="U240" s="49">
        <v>49795</v>
      </c>
      <c r="V240" s="49">
        <v>49795</v>
      </c>
      <c r="W240" s="49">
        <v>49795</v>
      </c>
      <c r="X240" s="48">
        <v>1</v>
      </c>
      <c r="Y240" s="48">
        <v>1</v>
      </c>
      <c r="Z240" s="48">
        <v>1</v>
      </c>
      <c r="AA240" s="156">
        <v>2193.1339020672222</v>
      </c>
      <c r="AF240" s="48">
        <v>0</v>
      </c>
      <c r="AG240" s="49" t="s">
        <v>32</v>
      </c>
      <c r="AH240" s="48">
        <v>1</v>
      </c>
      <c r="AI240" s="48" t="s">
        <v>33</v>
      </c>
      <c r="AJ240" s="48" t="s">
        <v>33</v>
      </c>
      <c r="AK240" s="48" t="s">
        <v>33</v>
      </c>
      <c r="AL240" s="48" t="s">
        <v>34</v>
      </c>
      <c r="AN240" s="48">
        <v>0</v>
      </c>
      <c r="AO240" s="48">
        <v>0</v>
      </c>
      <c r="AP240" s="48">
        <v>0</v>
      </c>
      <c r="AQ240" s="48">
        <v>0</v>
      </c>
      <c r="AR240" s="48">
        <v>0</v>
      </c>
      <c r="AS240" s="48">
        <v>0</v>
      </c>
      <c r="AT240" s="48">
        <v>0</v>
      </c>
      <c r="AU240" s="48">
        <v>0</v>
      </c>
      <c r="AV240" s="48">
        <v>0</v>
      </c>
      <c r="AW240" s="48">
        <v>0</v>
      </c>
      <c r="AX240" s="48">
        <v>0</v>
      </c>
      <c r="AY240" s="48">
        <v>0</v>
      </c>
      <c r="AZ240" s="48">
        <v>0</v>
      </c>
      <c r="BA240" s="48">
        <v>0</v>
      </c>
      <c r="BB240" s="48">
        <v>0</v>
      </c>
    </row>
    <row r="241" spans="1:54" x14ac:dyDescent="0.35">
      <c r="A241" s="49">
        <v>45930</v>
      </c>
      <c r="B241" s="48">
        <v>1</v>
      </c>
      <c r="C241" s="50" t="s">
        <v>32</v>
      </c>
      <c r="D241" s="48" t="s">
        <v>31</v>
      </c>
      <c r="E241" s="48" t="s">
        <v>138</v>
      </c>
      <c r="F241" s="48" t="s">
        <v>139</v>
      </c>
      <c r="G241" s="49" t="s">
        <v>59</v>
      </c>
      <c r="H241" s="48" t="s">
        <v>159</v>
      </c>
      <c r="I241" s="48">
        <v>1</v>
      </c>
      <c r="J241" s="48">
        <v>128</v>
      </c>
      <c r="K241" s="48">
        <v>1</v>
      </c>
      <c r="N241" s="48">
        <v>0</v>
      </c>
      <c r="R241" s="49"/>
      <c r="S241" s="49"/>
      <c r="T241" s="49">
        <v>49826</v>
      </c>
      <c r="U241" s="49">
        <v>49826</v>
      </c>
      <c r="V241" s="49">
        <v>49826</v>
      </c>
      <c r="W241" s="49">
        <v>49826</v>
      </c>
      <c r="X241" s="48">
        <v>1</v>
      </c>
      <c r="Y241" s="48">
        <v>1</v>
      </c>
      <c r="Z241" s="48">
        <v>1</v>
      </c>
      <c r="AA241" s="156">
        <v>2193.1339020672222</v>
      </c>
      <c r="AF241" s="48">
        <v>0</v>
      </c>
      <c r="AG241" s="49" t="s">
        <v>32</v>
      </c>
      <c r="AH241" s="48">
        <v>1</v>
      </c>
      <c r="AI241" s="48" t="s">
        <v>33</v>
      </c>
      <c r="AJ241" s="48" t="s">
        <v>33</v>
      </c>
      <c r="AK241" s="48" t="s">
        <v>33</v>
      </c>
      <c r="AL241" s="48" t="s">
        <v>34</v>
      </c>
      <c r="AN241" s="48">
        <v>0</v>
      </c>
      <c r="AO241" s="48">
        <v>0</v>
      </c>
      <c r="AP241" s="48">
        <v>0</v>
      </c>
      <c r="AQ241" s="48">
        <v>0</v>
      </c>
      <c r="AR241" s="48">
        <v>0</v>
      </c>
      <c r="AS241" s="48">
        <v>0</v>
      </c>
      <c r="AT241" s="48">
        <v>0</v>
      </c>
      <c r="AU241" s="48">
        <v>0</v>
      </c>
      <c r="AV241" s="48">
        <v>0</v>
      </c>
      <c r="AW241" s="48">
        <v>0</v>
      </c>
      <c r="AX241" s="48">
        <v>0</v>
      </c>
      <c r="AY241" s="48">
        <v>0</v>
      </c>
      <c r="AZ241" s="48">
        <v>0</v>
      </c>
      <c r="BA241" s="48">
        <v>0</v>
      </c>
      <c r="BB241" s="48">
        <v>0</v>
      </c>
    </row>
    <row r="242" spans="1:54" x14ac:dyDescent="0.35">
      <c r="A242" s="49">
        <v>45930</v>
      </c>
      <c r="B242" s="48">
        <v>1</v>
      </c>
      <c r="C242" s="50" t="s">
        <v>32</v>
      </c>
      <c r="D242" s="48" t="s">
        <v>31</v>
      </c>
      <c r="E242" s="48" t="s">
        <v>138</v>
      </c>
      <c r="F242" s="48" t="s">
        <v>139</v>
      </c>
      <c r="G242" s="49" t="s">
        <v>59</v>
      </c>
      <c r="H242" s="48" t="s">
        <v>159</v>
      </c>
      <c r="I242" s="48">
        <v>1</v>
      </c>
      <c r="J242" s="48">
        <v>129</v>
      </c>
      <c r="K242" s="48">
        <v>1</v>
      </c>
      <c r="N242" s="48">
        <v>0</v>
      </c>
      <c r="R242" s="49"/>
      <c r="S242" s="49"/>
      <c r="T242" s="49">
        <v>49856</v>
      </c>
      <c r="U242" s="49">
        <v>49856</v>
      </c>
      <c r="V242" s="49">
        <v>49856</v>
      </c>
      <c r="W242" s="49">
        <v>49856</v>
      </c>
      <c r="X242" s="48">
        <v>1</v>
      </c>
      <c r="Y242" s="48">
        <v>1</v>
      </c>
      <c r="Z242" s="48">
        <v>1</v>
      </c>
      <c r="AA242" s="156">
        <v>2193.1339020672222</v>
      </c>
      <c r="AF242" s="48">
        <v>0</v>
      </c>
      <c r="AG242" s="49" t="s">
        <v>32</v>
      </c>
      <c r="AH242" s="48">
        <v>1</v>
      </c>
      <c r="AI242" s="48" t="s">
        <v>33</v>
      </c>
      <c r="AJ242" s="48" t="s">
        <v>33</v>
      </c>
      <c r="AK242" s="48" t="s">
        <v>33</v>
      </c>
      <c r="AL242" s="48" t="s">
        <v>34</v>
      </c>
      <c r="AN242" s="48">
        <v>0</v>
      </c>
      <c r="AO242" s="48">
        <v>0</v>
      </c>
      <c r="AP242" s="48">
        <v>0</v>
      </c>
      <c r="AQ242" s="48">
        <v>0</v>
      </c>
      <c r="AR242" s="48">
        <v>0</v>
      </c>
      <c r="AS242" s="48">
        <v>0</v>
      </c>
      <c r="AT242" s="48">
        <v>0</v>
      </c>
      <c r="AU242" s="48">
        <v>0</v>
      </c>
      <c r="AV242" s="48">
        <v>0</v>
      </c>
      <c r="AW242" s="48">
        <v>0</v>
      </c>
      <c r="AX242" s="48">
        <v>0</v>
      </c>
      <c r="AY242" s="48">
        <v>0</v>
      </c>
      <c r="AZ242" s="48">
        <v>0</v>
      </c>
      <c r="BA242" s="48">
        <v>0</v>
      </c>
      <c r="BB242" s="48">
        <v>0</v>
      </c>
    </row>
    <row r="243" spans="1:54" x14ac:dyDescent="0.35">
      <c r="A243" s="49">
        <v>45930</v>
      </c>
      <c r="B243" s="48">
        <v>1</v>
      </c>
      <c r="C243" s="50" t="s">
        <v>32</v>
      </c>
      <c r="D243" s="48" t="s">
        <v>31</v>
      </c>
      <c r="E243" s="48" t="s">
        <v>138</v>
      </c>
      <c r="F243" s="48" t="s">
        <v>139</v>
      </c>
      <c r="G243" s="49" t="s">
        <v>59</v>
      </c>
      <c r="H243" s="48" t="s">
        <v>159</v>
      </c>
      <c r="I243" s="48">
        <v>1</v>
      </c>
      <c r="J243" s="48">
        <v>130</v>
      </c>
      <c r="K243" s="48">
        <v>1</v>
      </c>
      <c r="N243" s="48">
        <v>0</v>
      </c>
      <c r="R243" s="49"/>
      <c r="S243" s="49"/>
      <c r="T243" s="49">
        <v>49887</v>
      </c>
      <c r="U243" s="49">
        <v>49887</v>
      </c>
      <c r="V243" s="49">
        <v>49887</v>
      </c>
      <c r="W243" s="49">
        <v>49887</v>
      </c>
      <c r="X243" s="48">
        <v>1</v>
      </c>
      <c r="Y243" s="48">
        <v>1</v>
      </c>
      <c r="Z243" s="48">
        <v>1</v>
      </c>
      <c r="AA243" s="156">
        <v>2193.1339020672222</v>
      </c>
      <c r="AF243" s="48">
        <v>0</v>
      </c>
      <c r="AG243" s="49" t="s">
        <v>32</v>
      </c>
      <c r="AH243" s="48">
        <v>1</v>
      </c>
      <c r="AI243" s="48" t="s">
        <v>33</v>
      </c>
      <c r="AJ243" s="48" t="s">
        <v>33</v>
      </c>
      <c r="AK243" s="48" t="s">
        <v>33</v>
      </c>
      <c r="AL243" s="48" t="s">
        <v>34</v>
      </c>
      <c r="AN243" s="48">
        <v>0</v>
      </c>
      <c r="AO243" s="48">
        <v>0</v>
      </c>
      <c r="AP243" s="48">
        <v>0</v>
      </c>
      <c r="AQ243" s="48">
        <v>0</v>
      </c>
      <c r="AR243" s="48">
        <v>0</v>
      </c>
      <c r="AS243" s="48">
        <v>0</v>
      </c>
      <c r="AT243" s="48">
        <v>0</v>
      </c>
      <c r="AU243" s="48">
        <v>0</v>
      </c>
      <c r="AV243" s="48">
        <v>0</v>
      </c>
      <c r="AW243" s="48">
        <v>0</v>
      </c>
      <c r="AX243" s="48">
        <v>0</v>
      </c>
      <c r="AY243" s="48">
        <v>0</v>
      </c>
      <c r="AZ243" s="48">
        <v>0</v>
      </c>
      <c r="BA243" s="48">
        <v>0</v>
      </c>
      <c r="BB243" s="48">
        <v>0</v>
      </c>
    </row>
    <row r="244" spans="1:54" x14ac:dyDescent="0.35">
      <c r="A244" s="49">
        <v>45930</v>
      </c>
      <c r="B244" s="48">
        <v>1</v>
      </c>
      <c r="C244" s="50" t="s">
        <v>32</v>
      </c>
      <c r="D244" s="48" t="s">
        <v>31</v>
      </c>
      <c r="E244" s="48" t="s">
        <v>138</v>
      </c>
      <c r="F244" s="48" t="s">
        <v>139</v>
      </c>
      <c r="G244" s="49" t="s">
        <v>59</v>
      </c>
      <c r="H244" s="48" t="s">
        <v>159</v>
      </c>
      <c r="I244" s="48">
        <v>1</v>
      </c>
      <c r="J244" s="48">
        <v>131</v>
      </c>
      <c r="K244" s="48">
        <v>1</v>
      </c>
      <c r="N244" s="48">
        <v>0</v>
      </c>
      <c r="R244" s="49"/>
      <c r="S244" s="49"/>
      <c r="T244" s="49">
        <v>49918</v>
      </c>
      <c r="U244" s="49">
        <v>49918</v>
      </c>
      <c r="V244" s="49">
        <v>49918</v>
      </c>
      <c r="W244" s="49">
        <v>49918</v>
      </c>
      <c r="X244" s="48">
        <v>1</v>
      </c>
      <c r="Y244" s="48">
        <v>1</v>
      </c>
      <c r="Z244" s="48">
        <v>1</v>
      </c>
      <c r="AA244" s="156">
        <v>2193.1339020672222</v>
      </c>
      <c r="AF244" s="48">
        <v>0</v>
      </c>
      <c r="AG244" s="49" t="s">
        <v>32</v>
      </c>
      <c r="AH244" s="48">
        <v>1</v>
      </c>
      <c r="AI244" s="48" t="s">
        <v>33</v>
      </c>
      <c r="AJ244" s="48" t="s">
        <v>33</v>
      </c>
      <c r="AK244" s="48" t="s">
        <v>33</v>
      </c>
      <c r="AL244" s="48" t="s">
        <v>34</v>
      </c>
      <c r="AN244" s="48">
        <v>0</v>
      </c>
      <c r="AO244" s="48">
        <v>0</v>
      </c>
      <c r="AP244" s="48">
        <v>0</v>
      </c>
      <c r="AQ244" s="48">
        <v>0</v>
      </c>
      <c r="AR244" s="48">
        <v>0</v>
      </c>
      <c r="AS244" s="48">
        <v>0</v>
      </c>
      <c r="AT244" s="48">
        <v>0</v>
      </c>
      <c r="AU244" s="48">
        <v>0</v>
      </c>
      <c r="AV244" s="48">
        <v>0</v>
      </c>
      <c r="AW244" s="48">
        <v>0</v>
      </c>
      <c r="AX244" s="48">
        <v>0</v>
      </c>
      <c r="AY244" s="48">
        <v>0</v>
      </c>
      <c r="AZ244" s="48">
        <v>0</v>
      </c>
      <c r="BA244" s="48">
        <v>0</v>
      </c>
      <c r="BB244" s="48">
        <v>0</v>
      </c>
    </row>
    <row r="245" spans="1:54" x14ac:dyDescent="0.35">
      <c r="A245" s="49">
        <v>45930</v>
      </c>
      <c r="B245" s="48">
        <v>1</v>
      </c>
      <c r="C245" s="50" t="s">
        <v>32</v>
      </c>
      <c r="D245" s="48" t="s">
        <v>31</v>
      </c>
      <c r="E245" s="48" t="s">
        <v>138</v>
      </c>
      <c r="F245" s="48" t="s">
        <v>139</v>
      </c>
      <c r="G245" s="49" t="s">
        <v>59</v>
      </c>
      <c r="H245" s="48" t="s">
        <v>159</v>
      </c>
      <c r="I245" s="48">
        <v>1</v>
      </c>
      <c r="J245" s="48">
        <v>132</v>
      </c>
      <c r="K245" s="48">
        <v>1</v>
      </c>
      <c r="N245" s="48">
        <v>0</v>
      </c>
      <c r="R245" s="49"/>
      <c r="S245" s="49"/>
      <c r="T245" s="49">
        <v>49948</v>
      </c>
      <c r="U245" s="49">
        <v>49948</v>
      </c>
      <c r="V245" s="49">
        <v>49948</v>
      </c>
      <c r="W245" s="49">
        <v>49948</v>
      </c>
      <c r="X245" s="48">
        <v>1</v>
      </c>
      <c r="Y245" s="48">
        <v>1</v>
      </c>
      <c r="Z245" s="48">
        <v>1</v>
      </c>
      <c r="AA245" s="156">
        <v>2193.1339020672222</v>
      </c>
      <c r="AF245" s="48">
        <v>0</v>
      </c>
      <c r="AG245" s="49" t="s">
        <v>32</v>
      </c>
      <c r="AH245" s="48">
        <v>1</v>
      </c>
      <c r="AI245" s="48" t="s">
        <v>33</v>
      </c>
      <c r="AJ245" s="48" t="s">
        <v>33</v>
      </c>
      <c r="AK245" s="48" t="s">
        <v>33</v>
      </c>
      <c r="AL245" s="48" t="s">
        <v>34</v>
      </c>
      <c r="AN245" s="48">
        <v>0</v>
      </c>
      <c r="AO245" s="48">
        <v>0</v>
      </c>
      <c r="AP245" s="48">
        <v>0</v>
      </c>
      <c r="AQ245" s="48">
        <v>0</v>
      </c>
      <c r="AR245" s="48">
        <v>0</v>
      </c>
      <c r="AS245" s="48">
        <v>0</v>
      </c>
      <c r="AT245" s="48">
        <v>0</v>
      </c>
      <c r="AU245" s="48">
        <v>0</v>
      </c>
      <c r="AV245" s="48">
        <v>0</v>
      </c>
      <c r="AW245" s="48">
        <v>0</v>
      </c>
      <c r="AX245" s="48">
        <v>0</v>
      </c>
      <c r="AY245" s="48">
        <v>0</v>
      </c>
      <c r="AZ245" s="48">
        <v>0</v>
      </c>
      <c r="BA245" s="48">
        <v>0</v>
      </c>
      <c r="BB245" s="48">
        <v>0</v>
      </c>
    </row>
    <row r="246" spans="1:54" x14ac:dyDescent="0.35">
      <c r="A246" s="49">
        <v>45930</v>
      </c>
      <c r="B246" s="48">
        <v>1</v>
      </c>
      <c r="C246" s="50" t="s">
        <v>32</v>
      </c>
      <c r="D246" s="48" t="s">
        <v>31</v>
      </c>
      <c r="E246" s="48" t="s">
        <v>138</v>
      </c>
      <c r="F246" s="48" t="s">
        <v>139</v>
      </c>
      <c r="G246" s="49" t="s">
        <v>59</v>
      </c>
      <c r="H246" s="48" t="s">
        <v>159</v>
      </c>
      <c r="I246" s="48">
        <v>1</v>
      </c>
      <c r="J246" s="48">
        <v>133</v>
      </c>
      <c r="K246" s="48">
        <v>1</v>
      </c>
      <c r="N246" s="48">
        <v>0</v>
      </c>
      <c r="R246" s="49"/>
      <c r="S246" s="49"/>
      <c r="T246" s="49">
        <v>49979</v>
      </c>
      <c r="U246" s="49">
        <v>49979</v>
      </c>
      <c r="V246" s="49">
        <v>49979</v>
      </c>
      <c r="W246" s="49">
        <v>49979</v>
      </c>
      <c r="X246" s="48">
        <v>1</v>
      </c>
      <c r="Y246" s="48">
        <v>1</v>
      </c>
      <c r="Z246" s="48">
        <v>1</v>
      </c>
      <c r="AA246" s="156">
        <v>2193.1339020672222</v>
      </c>
      <c r="AF246" s="48">
        <v>0</v>
      </c>
      <c r="AG246" s="49" t="s">
        <v>32</v>
      </c>
      <c r="AH246" s="48">
        <v>1</v>
      </c>
      <c r="AI246" s="48" t="s">
        <v>33</v>
      </c>
      <c r="AJ246" s="48" t="s">
        <v>33</v>
      </c>
      <c r="AK246" s="48" t="s">
        <v>33</v>
      </c>
      <c r="AL246" s="48" t="s">
        <v>34</v>
      </c>
      <c r="AN246" s="48">
        <v>0</v>
      </c>
      <c r="AO246" s="48">
        <v>0</v>
      </c>
      <c r="AP246" s="48">
        <v>0</v>
      </c>
      <c r="AQ246" s="48">
        <v>0</v>
      </c>
      <c r="AR246" s="48">
        <v>0</v>
      </c>
      <c r="AS246" s="48">
        <v>0</v>
      </c>
      <c r="AT246" s="48">
        <v>0</v>
      </c>
      <c r="AU246" s="48">
        <v>0</v>
      </c>
      <c r="AV246" s="48">
        <v>0</v>
      </c>
      <c r="AW246" s="48">
        <v>0</v>
      </c>
      <c r="AX246" s="48">
        <v>0</v>
      </c>
      <c r="AY246" s="48">
        <v>0</v>
      </c>
      <c r="AZ246" s="48">
        <v>0</v>
      </c>
      <c r="BA246" s="48">
        <v>0</v>
      </c>
      <c r="BB246" s="48">
        <v>0</v>
      </c>
    </row>
    <row r="247" spans="1:54" x14ac:dyDescent="0.35">
      <c r="A247" s="49">
        <v>45930</v>
      </c>
      <c r="B247" s="48">
        <v>1</v>
      </c>
      <c r="C247" s="50" t="s">
        <v>32</v>
      </c>
      <c r="D247" s="48" t="s">
        <v>31</v>
      </c>
      <c r="E247" s="48" t="s">
        <v>138</v>
      </c>
      <c r="F247" s="48" t="s">
        <v>139</v>
      </c>
      <c r="G247" s="49" t="s">
        <v>59</v>
      </c>
      <c r="H247" s="48" t="s">
        <v>159</v>
      </c>
      <c r="I247" s="48">
        <v>1</v>
      </c>
      <c r="J247" s="48">
        <v>134</v>
      </c>
      <c r="K247" s="48">
        <v>1</v>
      </c>
      <c r="N247" s="48">
        <v>0</v>
      </c>
      <c r="R247" s="49"/>
      <c r="S247" s="49"/>
      <c r="T247" s="49">
        <v>50009</v>
      </c>
      <c r="U247" s="49">
        <v>50009</v>
      </c>
      <c r="V247" s="49">
        <v>50009</v>
      </c>
      <c r="W247" s="49">
        <v>50009</v>
      </c>
      <c r="X247" s="48">
        <v>1</v>
      </c>
      <c r="Y247" s="48">
        <v>1</v>
      </c>
      <c r="Z247" s="48">
        <v>1</v>
      </c>
      <c r="AA247" s="156">
        <v>2193.1339020672222</v>
      </c>
      <c r="AF247" s="48">
        <v>0</v>
      </c>
      <c r="AG247" s="49" t="s">
        <v>32</v>
      </c>
      <c r="AH247" s="48">
        <v>1</v>
      </c>
      <c r="AI247" s="48" t="s">
        <v>33</v>
      </c>
      <c r="AJ247" s="48" t="s">
        <v>33</v>
      </c>
      <c r="AK247" s="48" t="s">
        <v>33</v>
      </c>
      <c r="AL247" s="48" t="s">
        <v>34</v>
      </c>
      <c r="AN247" s="48">
        <v>0</v>
      </c>
      <c r="AO247" s="48">
        <v>0</v>
      </c>
      <c r="AP247" s="48">
        <v>0</v>
      </c>
      <c r="AQ247" s="48">
        <v>0</v>
      </c>
      <c r="AR247" s="48">
        <v>0</v>
      </c>
      <c r="AS247" s="48">
        <v>0</v>
      </c>
      <c r="AT247" s="48">
        <v>0</v>
      </c>
      <c r="AU247" s="48">
        <v>0</v>
      </c>
      <c r="AV247" s="48">
        <v>0</v>
      </c>
      <c r="AW247" s="48">
        <v>0</v>
      </c>
      <c r="AX247" s="48">
        <v>0</v>
      </c>
      <c r="AY247" s="48">
        <v>0</v>
      </c>
      <c r="AZ247" s="48">
        <v>0</v>
      </c>
      <c r="BA247" s="48">
        <v>0</v>
      </c>
      <c r="BB247" s="48">
        <v>0</v>
      </c>
    </row>
    <row r="248" spans="1:54" x14ac:dyDescent="0.35">
      <c r="A248" s="49">
        <v>45930</v>
      </c>
      <c r="B248" s="48">
        <v>1</v>
      </c>
      <c r="C248" s="50" t="s">
        <v>32</v>
      </c>
      <c r="D248" s="48" t="s">
        <v>31</v>
      </c>
      <c r="E248" s="48" t="s">
        <v>138</v>
      </c>
      <c r="F248" s="48" t="s">
        <v>139</v>
      </c>
      <c r="G248" s="49" t="s">
        <v>59</v>
      </c>
      <c r="H248" s="48" t="s">
        <v>159</v>
      </c>
      <c r="I248" s="48">
        <v>1</v>
      </c>
      <c r="J248" s="48">
        <v>135</v>
      </c>
      <c r="K248" s="48">
        <v>1</v>
      </c>
      <c r="N248" s="48">
        <v>0</v>
      </c>
      <c r="R248" s="49"/>
      <c r="S248" s="49"/>
      <c r="T248" s="49">
        <v>50040</v>
      </c>
      <c r="U248" s="49">
        <v>50040</v>
      </c>
      <c r="V248" s="49">
        <v>50040</v>
      </c>
      <c r="W248" s="49">
        <v>50040</v>
      </c>
      <c r="X248" s="48">
        <v>1</v>
      </c>
      <c r="Y248" s="48">
        <v>1</v>
      </c>
      <c r="Z248" s="48">
        <v>1</v>
      </c>
      <c r="AA248" s="156">
        <v>2193.1339020672222</v>
      </c>
      <c r="AF248" s="48">
        <v>0</v>
      </c>
      <c r="AG248" s="49" t="s">
        <v>32</v>
      </c>
      <c r="AH248" s="48">
        <v>1</v>
      </c>
      <c r="AI248" s="48" t="s">
        <v>33</v>
      </c>
      <c r="AJ248" s="48" t="s">
        <v>33</v>
      </c>
      <c r="AK248" s="48" t="s">
        <v>33</v>
      </c>
      <c r="AL248" s="48" t="s">
        <v>34</v>
      </c>
      <c r="AN248" s="48">
        <v>0</v>
      </c>
      <c r="AO248" s="48">
        <v>0</v>
      </c>
      <c r="AP248" s="48">
        <v>0</v>
      </c>
      <c r="AQ248" s="48">
        <v>0</v>
      </c>
      <c r="AR248" s="48">
        <v>0</v>
      </c>
      <c r="AS248" s="48">
        <v>0</v>
      </c>
      <c r="AT248" s="48">
        <v>0</v>
      </c>
      <c r="AU248" s="48">
        <v>0</v>
      </c>
      <c r="AV248" s="48">
        <v>0</v>
      </c>
      <c r="AW248" s="48">
        <v>0</v>
      </c>
      <c r="AX248" s="48">
        <v>0</v>
      </c>
      <c r="AY248" s="48">
        <v>0</v>
      </c>
      <c r="AZ248" s="48">
        <v>0</v>
      </c>
      <c r="BA248" s="48">
        <v>0</v>
      </c>
      <c r="BB248" s="48">
        <v>0</v>
      </c>
    </row>
    <row r="249" spans="1:54" x14ac:dyDescent="0.35">
      <c r="A249" s="49">
        <v>45930</v>
      </c>
      <c r="B249" s="48">
        <v>1</v>
      </c>
      <c r="C249" s="50" t="s">
        <v>32</v>
      </c>
      <c r="D249" s="48" t="s">
        <v>31</v>
      </c>
      <c r="E249" s="48" t="s">
        <v>138</v>
      </c>
      <c r="F249" s="48" t="s">
        <v>139</v>
      </c>
      <c r="G249" s="49" t="s">
        <v>59</v>
      </c>
      <c r="H249" s="48" t="s">
        <v>159</v>
      </c>
      <c r="I249" s="48">
        <v>1</v>
      </c>
      <c r="J249" s="48">
        <v>136</v>
      </c>
      <c r="K249" s="48">
        <v>1</v>
      </c>
      <c r="N249" s="48">
        <v>0</v>
      </c>
      <c r="R249" s="49"/>
      <c r="S249" s="49"/>
      <c r="T249" s="49">
        <v>50071</v>
      </c>
      <c r="U249" s="49">
        <v>50071</v>
      </c>
      <c r="V249" s="49">
        <v>50071</v>
      </c>
      <c r="W249" s="49">
        <v>50071</v>
      </c>
      <c r="X249" s="48">
        <v>1</v>
      </c>
      <c r="Y249" s="48">
        <v>1</v>
      </c>
      <c r="Z249" s="48">
        <v>1</v>
      </c>
      <c r="AA249" s="156">
        <v>2193.1339020672222</v>
      </c>
      <c r="AF249" s="48">
        <v>0</v>
      </c>
      <c r="AG249" s="49" t="s">
        <v>32</v>
      </c>
      <c r="AH249" s="48">
        <v>1</v>
      </c>
      <c r="AI249" s="48" t="s">
        <v>33</v>
      </c>
      <c r="AJ249" s="48" t="s">
        <v>33</v>
      </c>
      <c r="AK249" s="48" t="s">
        <v>33</v>
      </c>
      <c r="AL249" s="48" t="s">
        <v>34</v>
      </c>
      <c r="AN249" s="48">
        <v>0</v>
      </c>
      <c r="AO249" s="48">
        <v>0</v>
      </c>
      <c r="AP249" s="48">
        <v>0</v>
      </c>
      <c r="AQ249" s="48">
        <v>0</v>
      </c>
      <c r="AR249" s="48">
        <v>0</v>
      </c>
      <c r="AS249" s="48">
        <v>0</v>
      </c>
      <c r="AT249" s="48">
        <v>0</v>
      </c>
      <c r="AU249" s="48">
        <v>0</v>
      </c>
      <c r="AV249" s="48">
        <v>0</v>
      </c>
      <c r="AW249" s="48">
        <v>0</v>
      </c>
      <c r="AX249" s="48">
        <v>0</v>
      </c>
      <c r="AY249" s="48">
        <v>0</v>
      </c>
      <c r="AZ249" s="48">
        <v>0</v>
      </c>
      <c r="BA249" s="48">
        <v>0</v>
      </c>
      <c r="BB249" s="48">
        <v>0</v>
      </c>
    </row>
    <row r="250" spans="1:54" x14ac:dyDescent="0.35">
      <c r="A250" s="49">
        <v>45930</v>
      </c>
      <c r="B250" s="48">
        <v>1</v>
      </c>
      <c r="C250" s="50" t="s">
        <v>32</v>
      </c>
      <c r="D250" s="48" t="s">
        <v>31</v>
      </c>
      <c r="E250" s="48" t="s">
        <v>138</v>
      </c>
      <c r="F250" s="48" t="s">
        <v>139</v>
      </c>
      <c r="G250" s="49" t="s">
        <v>59</v>
      </c>
      <c r="H250" s="48" t="s">
        <v>159</v>
      </c>
      <c r="I250" s="48">
        <v>1</v>
      </c>
      <c r="J250" s="48">
        <v>137</v>
      </c>
      <c r="K250" s="48">
        <v>1</v>
      </c>
      <c r="N250" s="48">
        <v>0</v>
      </c>
      <c r="R250" s="49"/>
      <c r="S250" s="49"/>
      <c r="T250" s="49">
        <v>50099</v>
      </c>
      <c r="U250" s="49">
        <v>50099</v>
      </c>
      <c r="V250" s="49">
        <v>50099</v>
      </c>
      <c r="W250" s="49">
        <v>50099</v>
      </c>
      <c r="X250" s="48">
        <v>1</v>
      </c>
      <c r="Y250" s="48">
        <v>1</v>
      </c>
      <c r="Z250" s="48">
        <v>1</v>
      </c>
      <c r="AA250" s="156">
        <v>2193.1339020672222</v>
      </c>
      <c r="AF250" s="48">
        <v>0</v>
      </c>
      <c r="AG250" s="49" t="s">
        <v>32</v>
      </c>
      <c r="AH250" s="48">
        <v>1</v>
      </c>
      <c r="AI250" s="48" t="s">
        <v>33</v>
      </c>
      <c r="AJ250" s="48" t="s">
        <v>33</v>
      </c>
      <c r="AK250" s="48" t="s">
        <v>33</v>
      </c>
      <c r="AL250" s="48" t="s">
        <v>34</v>
      </c>
      <c r="AN250" s="48">
        <v>0</v>
      </c>
      <c r="AO250" s="48">
        <v>0</v>
      </c>
      <c r="AP250" s="48">
        <v>0</v>
      </c>
      <c r="AQ250" s="48">
        <v>0</v>
      </c>
      <c r="AR250" s="48">
        <v>0</v>
      </c>
      <c r="AS250" s="48">
        <v>0</v>
      </c>
      <c r="AT250" s="48">
        <v>0</v>
      </c>
      <c r="AU250" s="48">
        <v>0</v>
      </c>
      <c r="AV250" s="48">
        <v>0</v>
      </c>
      <c r="AW250" s="48">
        <v>0</v>
      </c>
      <c r="AX250" s="48">
        <v>0</v>
      </c>
      <c r="AY250" s="48">
        <v>0</v>
      </c>
      <c r="AZ250" s="48">
        <v>0</v>
      </c>
      <c r="BA250" s="48">
        <v>0</v>
      </c>
      <c r="BB250" s="48">
        <v>0</v>
      </c>
    </row>
    <row r="251" spans="1:54" x14ac:dyDescent="0.35">
      <c r="A251" s="49">
        <v>45930</v>
      </c>
      <c r="B251" s="48">
        <v>1</v>
      </c>
      <c r="C251" s="50" t="s">
        <v>32</v>
      </c>
      <c r="D251" s="48" t="s">
        <v>31</v>
      </c>
      <c r="E251" s="48" t="s">
        <v>138</v>
      </c>
      <c r="F251" s="48" t="s">
        <v>139</v>
      </c>
      <c r="G251" s="49" t="s">
        <v>59</v>
      </c>
      <c r="H251" s="48" t="s">
        <v>159</v>
      </c>
      <c r="I251" s="48">
        <v>1</v>
      </c>
      <c r="J251" s="48">
        <v>138</v>
      </c>
      <c r="K251" s="48">
        <v>1</v>
      </c>
      <c r="N251" s="48">
        <v>0</v>
      </c>
      <c r="R251" s="49"/>
      <c r="S251" s="49"/>
      <c r="T251" s="49">
        <v>50130</v>
      </c>
      <c r="U251" s="49">
        <v>50130</v>
      </c>
      <c r="V251" s="49">
        <v>50130</v>
      </c>
      <c r="W251" s="49">
        <v>50130</v>
      </c>
      <c r="X251" s="48">
        <v>1</v>
      </c>
      <c r="Y251" s="48">
        <v>1</v>
      </c>
      <c r="Z251" s="48">
        <v>1</v>
      </c>
      <c r="AA251" s="156">
        <v>2193.1339020672222</v>
      </c>
      <c r="AF251" s="48">
        <v>0</v>
      </c>
      <c r="AG251" s="49" t="s">
        <v>32</v>
      </c>
      <c r="AH251" s="48">
        <v>1</v>
      </c>
      <c r="AI251" s="48" t="s">
        <v>33</v>
      </c>
      <c r="AJ251" s="48" t="s">
        <v>33</v>
      </c>
      <c r="AK251" s="48" t="s">
        <v>33</v>
      </c>
      <c r="AL251" s="48" t="s">
        <v>34</v>
      </c>
      <c r="AN251" s="48">
        <v>0</v>
      </c>
      <c r="AO251" s="48">
        <v>0</v>
      </c>
      <c r="AP251" s="48">
        <v>0</v>
      </c>
      <c r="AQ251" s="48">
        <v>0</v>
      </c>
      <c r="AR251" s="48">
        <v>0</v>
      </c>
      <c r="AS251" s="48">
        <v>0</v>
      </c>
      <c r="AT251" s="48">
        <v>0</v>
      </c>
      <c r="AU251" s="48">
        <v>0</v>
      </c>
      <c r="AV251" s="48">
        <v>0</v>
      </c>
      <c r="AW251" s="48">
        <v>0</v>
      </c>
      <c r="AX251" s="48">
        <v>0</v>
      </c>
      <c r="AY251" s="48">
        <v>0</v>
      </c>
      <c r="AZ251" s="48">
        <v>0</v>
      </c>
      <c r="BA251" s="48">
        <v>0</v>
      </c>
      <c r="BB251" s="48">
        <v>0</v>
      </c>
    </row>
    <row r="252" spans="1:54" x14ac:dyDescent="0.35">
      <c r="A252" s="49">
        <v>45930</v>
      </c>
      <c r="B252" s="48">
        <v>1</v>
      </c>
      <c r="C252" s="50" t="s">
        <v>32</v>
      </c>
      <c r="D252" s="48" t="s">
        <v>31</v>
      </c>
      <c r="E252" s="48" t="s">
        <v>138</v>
      </c>
      <c r="F252" s="48" t="s">
        <v>139</v>
      </c>
      <c r="G252" s="49" t="s">
        <v>59</v>
      </c>
      <c r="H252" s="48" t="s">
        <v>159</v>
      </c>
      <c r="I252" s="48">
        <v>1</v>
      </c>
      <c r="J252" s="48">
        <v>139</v>
      </c>
      <c r="K252" s="48">
        <v>1</v>
      </c>
      <c r="N252" s="48">
        <v>0</v>
      </c>
      <c r="R252" s="49"/>
      <c r="S252" s="49"/>
      <c r="T252" s="49">
        <v>50160</v>
      </c>
      <c r="U252" s="49">
        <v>50160</v>
      </c>
      <c r="V252" s="49">
        <v>50160</v>
      </c>
      <c r="W252" s="49">
        <v>50160</v>
      </c>
      <c r="X252" s="48">
        <v>1</v>
      </c>
      <c r="Y252" s="48">
        <v>1</v>
      </c>
      <c r="Z252" s="48">
        <v>1</v>
      </c>
      <c r="AA252" s="156">
        <v>2193.1339020672222</v>
      </c>
      <c r="AF252" s="48">
        <v>0</v>
      </c>
      <c r="AG252" s="49" t="s">
        <v>32</v>
      </c>
      <c r="AH252" s="48">
        <v>1</v>
      </c>
      <c r="AI252" s="48" t="s">
        <v>33</v>
      </c>
      <c r="AJ252" s="48" t="s">
        <v>33</v>
      </c>
      <c r="AK252" s="48" t="s">
        <v>33</v>
      </c>
      <c r="AL252" s="48" t="s">
        <v>34</v>
      </c>
      <c r="AN252" s="48">
        <v>0</v>
      </c>
      <c r="AO252" s="48">
        <v>0</v>
      </c>
      <c r="AP252" s="48">
        <v>0</v>
      </c>
      <c r="AQ252" s="48">
        <v>0</v>
      </c>
      <c r="AR252" s="48">
        <v>0</v>
      </c>
      <c r="AS252" s="48">
        <v>0</v>
      </c>
      <c r="AT252" s="48">
        <v>0</v>
      </c>
      <c r="AU252" s="48">
        <v>0</v>
      </c>
      <c r="AV252" s="48">
        <v>0</v>
      </c>
      <c r="AW252" s="48">
        <v>0</v>
      </c>
      <c r="AX252" s="48">
        <v>0</v>
      </c>
      <c r="AY252" s="48">
        <v>0</v>
      </c>
      <c r="AZ252" s="48">
        <v>0</v>
      </c>
      <c r="BA252" s="48">
        <v>0</v>
      </c>
      <c r="BB252" s="48">
        <v>0</v>
      </c>
    </row>
    <row r="253" spans="1:54" x14ac:dyDescent="0.35">
      <c r="A253" s="49">
        <v>45930</v>
      </c>
      <c r="B253" s="48">
        <v>1</v>
      </c>
      <c r="C253" s="50" t="s">
        <v>32</v>
      </c>
      <c r="D253" s="48" t="s">
        <v>31</v>
      </c>
      <c r="E253" s="48" t="s">
        <v>138</v>
      </c>
      <c r="F253" s="48" t="s">
        <v>139</v>
      </c>
      <c r="G253" s="49" t="s">
        <v>59</v>
      </c>
      <c r="H253" s="48" t="s">
        <v>159</v>
      </c>
      <c r="I253" s="48">
        <v>1</v>
      </c>
      <c r="J253" s="48">
        <v>140</v>
      </c>
      <c r="K253" s="48">
        <v>1</v>
      </c>
      <c r="N253" s="48">
        <v>0</v>
      </c>
      <c r="R253" s="49"/>
      <c r="S253" s="49"/>
      <c r="T253" s="49">
        <v>50191</v>
      </c>
      <c r="U253" s="49">
        <v>50191</v>
      </c>
      <c r="V253" s="49">
        <v>50191</v>
      </c>
      <c r="W253" s="49">
        <v>50191</v>
      </c>
      <c r="X253" s="48">
        <v>1</v>
      </c>
      <c r="Y253" s="48">
        <v>1</v>
      </c>
      <c r="Z253" s="48">
        <v>1</v>
      </c>
      <c r="AA253" s="156">
        <v>2193.1339020672222</v>
      </c>
      <c r="AF253" s="48">
        <v>0</v>
      </c>
      <c r="AG253" s="49" t="s">
        <v>32</v>
      </c>
      <c r="AH253" s="48">
        <v>1</v>
      </c>
      <c r="AI253" s="48" t="s">
        <v>33</v>
      </c>
      <c r="AJ253" s="48" t="s">
        <v>33</v>
      </c>
      <c r="AK253" s="48" t="s">
        <v>33</v>
      </c>
      <c r="AL253" s="48" t="s">
        <v>34</v>
      </c>
      <c r="AN253" s="48">
        <v>0</v>
      </c>
      <c r="AO253" s="48">
        <v>0</v>
      </c>
      <c r="AP253" s="48">
        <v>0</v>
      </c>
      <c r="AQ253" s="48">
        <v>0</v>
      </c>
      <c r="AR253" s="48">
        <v>0</v>
      </c>
      <c r="AS253" s="48">
        <v>0</v>
      </c>
      <c r="AT253" s="48">
        <v>0</v>
      </c>
      <c r="AU253" s="48">
        <v>0</v>
      </c>
      <c r="AV253" s="48">
        <v>0</v>
      </c>
      <c r="AW253" s="48">
        <v>0</v>
      </c>
      <c r="AX253" s="48">
        <v>0</v>
      </c>
      <c r="AY253" s="48">
        <v>0</v>
      </c>
      <c r="AZ253" s="48">
        <v>0</v>
      </c>
      <c r="BA253" s="48">
        <v>0</v>
      </c>
      <c r="BB253" s="48">
        <v>0</v>
      </c>
    </row>
    <row r="254" spans="1:54" x14ac:dyDescent="0.35">
      <c r="A254" s="49">
        <v>45930</v>
      </c>
      <c r="B254" s="48">
        <v>1</v>
      </c>
      <c r="C254" s="50" t="s">
        <v>32</v>
      </c>
      <c r="D254" s="48" t="s">
        <v>31</v>
      </c>
      <c r="E254" s="48" t="s">
        <v>138</v>
      </c>
      <c r="F254" s="48" t="s">
        <v>139</v>
      </c>
      <c r="G254" s="49" t="s">
        <v>59</v>
      </c>
      <c r="H254" s="48" t="s">
        <v>159</v>
      </c>
      <c r="I254" s="48">
        <v>1</v>
      </c>
      <c r="J254" s="48">
        <v>141</v>
      </c>
      <c r="K254" s="48">
        <v>1</v>
      </c>
      <c r="N254" s="48">
        <v>0</v>
      </c>
      <c r="R254" s="49"/>
      <c r="S254" s="49"/>
      <c r="T254" s="49">
        <v>50221</v>
      </c>
      <c r="U254" s="49">
        <v>50221</v>
      </c>
      <c r="V254" s="49">
        <v>50221</v>
      </c>
      <c r="W254" s="49">
        <v>50221</v>
      </c>
      <c r="X254" s="48">
        <v>1</v>
      </c>
      <c r="Y254" s="48">
        <v>1</v>
      </c>
      <c r="Z254" s="48">
        <v>1</v>
      </c>
      <c r="AA254" s="156">
        <v>2193.1339020672222</v>
      </c>
      <c r="AF254" s="48">
        <v>0</v>
      </c>
      <c r="AG254" s="49" t="s">
        <v>32</v>
      </c>
      <c r="AH254" s="48">
        <v>1</v>
      </c>
      <c r="AI254" s="48" t="s">
        <v>33</v>
      </c>
      <c r="AJ254" s="48" t="s">
        <v>33</v>
      </c>
      <c r="AK254" s="48" t="s">
        <v>33</v>
      </c>
      <c r="AL254" s="48" t="s">
        <v>34</v>
      </c>
      <c r="AN254" s="48">
        <v>0</v>
      </c>
      <c r="AO254" s="48">
        <v>0</v>
      </c>
      <c r="AP254" s="48">
        <v>0</v>
      </c>
      <c r="AQ254" s="48">
        <v>0</v>
      </c>
      <c r="AR254" s="48">
        <v>0</v>
      </c>
      <c r="AS254" s="48">
        <v>0</v>
      </c>
      <c r="AT254" s="48">
        <v>0</v>
      </c>
      <c r="AU254" s="48">
        <v>0</v>
      </c>
      <c r="AV254" s="48">
        <v>0</v>
      </c>
      <c r="AW254" s="48">
        <v>0</v>
      </c>
      <c r="AX254" s="48">
        <v>0</v>
      </c>
      <c r="AY254" s="48">
        <v>0</v>
      </c>
      <c r="AZ254" s="48">
        <v>0</v>
      </c>
      <c r="BA254" s="48">
        <v>0</v>
      </c>
      <c r="BB254" s="48">
        <v>0</v>
      </c>
    </row>
    <row r="255" spans="1:54" x14ac:dyDescent="0.35">
      <c r="A255" s="49">
        <v>45930</v>
      </c>
      <c r="B255" s="48">
        <v>1</v>
      </c>
      <c r="C255" s="50" t="s">
        <v>32</v>
      </c>
      <c r="D255" s="48" t="s">
        <v>31</v>
      </c>
      <c r="E255" s="48" t="s">
        <v>138</v>
      </c>
      <c r="F255" s="48" t="s">
        <v>139</v>
      </c>
      <c r="G255" s="49" t="s">
        <v>59</v>
      </c>
      <c r="H255" s="48" t="s">
        <v>159</v>
      </c>
      <c r="I255" s="48">
        <v>1</v>
      </c>
      <c r="J255" s="48">
        <v>142</v>
      </c>
      <c r="K255" s="48">
        <v>1</v>
      </c>
      <c r="N255" s="48">
        <v>0</v>
      </c>
      <c r="R255" s="49"/>
      <c r="S255" s="49"/>
      <c r="T255" s="49">
        <v>50252</v>
      </c>
      <c r="U255" s="49">
        <v>50252</v>
      </c>
      <c r="V255" s="49">
        <v>50252</v>
      </c>
      <c r="W255" s="49">
        <v>50252</v>
      </c>
      <c r="X255" s="48">
        <v>1</v>
      </c>
      <c r="Y255" s="48">
        <v>1</v>
      </c>
      <c r="Z255" s="48">
        <v>1</v>
      </c>
      <c r="AA255" s="156">
        <v>2193.1339020672222</v>
      </c>
      <c r="AF255" s="48">
        <v>0</v>
      </c>
      <c r="AG255" s="49" t="s">
        <v>32</v>
      </c>
      <c r="AH255" s="48">
        <v>1</v>
      </c>
      <c r="AI255" s="48" t="s">
        <v>33</v>
      </c>
      <c r="AJ255" s="48" t="s">
        <v>33</v>
      </c>
      <c r="AK255" s="48" t="s">
        <v>33</v>
      </c>
      <c r="AL255" s="48" t="s">
        <v>34</v>
      </c>
      <c r="AN255" s="48">
        <v>0</v>
      </c>
      <c r="AO255" s="48">
        <v>0</v>
      </c>
      <c r="AP255" s="48">
        <v>0</v>
      </c>
      <c r="AQ255" s="48">
        <v>0</v>
      </c>
      <c r="AR255" s="48">
        <v>0</v>
      </c>
      <c r="AS255" s="48">
        <v>0</v>
      </c>
      <c r="AT255" s="48">
        <v>0</v>
      </c>
      <c r="AU255" s="48">
        <v>0</v>
      </c>
      <c r="AV255" s="48">
        <v>0</v>
      </c>
      <c r="AW255" s="48">
        <v>0</v>
      </c>
      <c r="AX255" s="48">
        <v>0</v>
      </c>
      <c r="AY255" s="48">
        <v>0</v>
      </c>
      <c r="AZ255" s="48">
        <v>0</v>
      </c>
      <c r="BA255" s="48">
        <v>0</v>
      </c>
      <c r="BB255" s="48">
        <v>0</v>
      </c>
    </row>
    <row r="256" spans="1:54" x14ac:dyDescent="0.35">
      <c r="A256" s="49">
        <v>45930</v>
      </c>
      <c r="B256" s="48">
        <v>1</v>
      </c>
      <c r="C256" s="50" t="s">
        <v>32</v>
      </c>
      <c r="D256" s="48" t="s">
        <v>31</v>
      </c>
      <c r="E256" s="48" t="s">
        <v>138</v>
      </c>
      <c r="F256" s="48" t="s">
        <v>139</v>
      </c>
      <c r="G256" s="49" t="s">
        <v>59</v>
      </c>
      <c r="H256" s="48" t="s">
        <v>159</v>
      </c>
      <c r="I256" s="48">
        <v>1</v>
      </c>
      <c r="J256" s="48">
        <v>143</v>
      </c>
      <c r="K256" s="48">
        <v>1</v>
      </c>
      <c r="N256" s="48">
        <v>0</v>
      </c>
      <c r="R256" s="49"/>
      <c r="S256" s="49"/>
      <c r="T256" s="49">
        <v>50283</v>
      </c>
      <c r="U256" s="49">
        <v>50283</v>
      </c>
      <c r="V256" s="49">
        <v>50283</v>
      </c>
      <c r="W256" s="49">
        <v>50283</v>
      </c>
      <c r="X256" s="48">
        <v>1</v>
      </c>
      <c r="Y256" s="48">
        <v>1</v>
      </c>
      <c r="Z256" s="48">
        <v>1</v>
      </c>
      <c r="AA256" s="156">
        <v>2193.1339020672222</v>
      </c>
      <c r="AF256" s="48">
        <v>0</v>
      </c>
      <c r="AG256" s="49" t="s">
        <v>32</v>
      </c>
      <c r="AH256" s="48">
        <v>1</v>
      </c>
      <c r="AI256" s="48" t="s">
        <v>33</v>
      </c>
      <c r="AJ256" s="48" t="s">
        <v>33</v>
      </c>
      <c r="AK256" s="48" t="s">
        <v>33</v>
      </c>
      <c r="AL256" s="48" t="s">
        <v>34</v>
      </c>
      <c r="AN256" s="48">
        <v>0</v>
      </c>
      <c r="AO256" s="48">
        <v>0</v>
      </c>
      <c r="AP256" s="48">
        <v>0</v>
      </c>
      <c r="AQ256" s="48">
        <v>0</v>
      </c>
      <c r="AR256" s="48">
        <v>0</v>
      </c>
      <c r="AS256" s="48">
        <v>0</v>
      </c>
      <c r="AT256" s="48">
        <v>0</v>
      </c>
      <c r="AU256" s="48">
        <v>0</v>
      </c>
      <c r="AV256" s="48">
        <v>0</v>
      </c>
      <c r="AW256" s="48">
        <v>0</v>
      </c>
      <c r="AX256" s="48">
        <v>0</v>
      </c>
      <c r="AY256" s="48">
        <v>0</v>
      </c>
      <c r="AZ256" s="48">
        <v>0</v>
      </c>
      <c r="BA256" s="48">
        <v>0</v>
      </c>
      <c r="BB256" s="48">
        <v>0</v>
      </c>
    </row>
    <row r="257" spans="1:54" x14ac:dyDescent="0.35">
      <c r="A257" s="49">
        <v>45930</v>
      </c>
      <c r="B257" s="48">
        <v>1</v>
      </c>
      <c r="C257" s="50" t="s">
        <v>32</v>
      </c>
      <c r="D257" s="48" t="s">
        <v>31</v>
      </c>
      <c r="E257" s="48" t="s">
        <v>138</v>
      </c>
      <c r="F257" s="48" t="s">
        <v>139</v>
      </c>
      <c r="G257" s="49" t="s">
        <v>59</v>
      </c>
      <c r="H257" s="48" t="s">
        <v>159</v>
      </c>
      <c r="I257" s="48">
        <v>1</v>
      </c>
      <c r="J257" s="48">
        <v>144</v>
      </c>
      <c r="K257" s="48">
        <v>1</v>
      </c>
      <c r="N257" s="48">
        <v>0</v>
      </c>
      <c r="R257" s="49"/>
      <c r="S257" s="49"/>
      <c r="T257" s="49">
        <v>50313</v>
      </c>
      <c r="U257" s="49">
        <v>50313</v>
      </c>
      <c r="V257" s="49">
        <v>50313</v>
      </c>
      <c r="W257" s="49">
        <v>50313</v>
      </c>
      <c r="X257" s="48">
        <v>1</v>
      </c>
      <c r="Y257" s="48">
        <v>1</v>
      </c>
      <c r="Z257" s="48">
        <v>1</v>
      </c>
      <c r="AA257" s="156">
        <v>2193.1339020672222</v>
      </c>
      <c r="AF257" s="48">
        <v>0</v>
      </c>
      <c r="AG257" s="49" t="s">
        <v>32</v>
      </c>
      <c r="AH257" s="48">
        <v>1</v>
      </c>
      <c r="AI257" s="48" t="s">
        <v>33</v>
      </c>
      <c r="AJ257" s="48" t="s">
        <v>33</v>
      </c>
      <c r="AK257" s="48" t="s">
        <v>33</v>
      </c>
      <c r="AL257" s="48" t="s">
        <v>34</v>
      </c>
      <c r="AN257" s="48">
        <v>0</v>
      </c>
      <c r="AO257" s="48">
        <v>0</v>
      </c>
      <c r="AP257" s="48">
        <v>0</v>
      </c>
      <c r="AQ257" s="48">
        <v>0</v>
      </c>
      <c r="AR257" s="48">
        <v>0</v>
      </c>
      <c r="AS257" s="48">
        <v>0</v>
      </c>
      <c r="AT257" s="48">
        <v>0</v>
      </c>
      <c r="AU257" s="48">
        <v>0</v>
      </c>
      <c r="AV257" s="48">
        <v>0</v>
      </c>
      <c r="AW257" s="48">
        <v>0</v>
      </c>
      <c r="AX257" s="48">
        <v>0</v>
      </c>
      <c r="AY257" s="48">
        <v>0</v>
      </c>
      <c r="AZ257" s="48">
        <v>0</v>
      </c>
      <c r="BA257" s="48">
        <v>0</v>
      </c>
      <c r="BB257" s="48">
        <v>0</v>
      </c>
    </row>
    <row r="258" spans="1:54" x14ac:dyDescent="0.35">
      <c r="A258" s="49">
        <v>45930</v>
      </c>
      <c r="B258" s="48">
        <v>1</v>
      </c>
      <c r="C258" s="50" t="s">
        <v>32</v>
      </c>
      <c r="D258" s="48" t="s">
        <v>31</v>
      </c>
      <c r="E258" s="48" t="s">
        <v>138</v>
      </c>
      <c r="F258" s="48" t="s">
        <v>139</v>
      </c>
      <c r="G258" s="49" t="s">
        <v>59</v>
      </c>
      <c r="H258" s="48" t="s">
        <v>159</v>
      </c>
      <c r="I258" s="48">
        <v>1</v>
      </c>
      <c r="J258" s="48">
        <v>145</v>
      </c>
      <c r="K258" s="48">
        <v>1</v>
      </c>
      <c r="N258" s="48">
        <v>0</v>
      </c>
      <c r="R258" s="49"/>
      <c r="S258" s="49"/>
      <c r="T258" s="49">
        <v>50344</v>
      </c>
      <c r="U258" s="49">
        <v>50344</v>
      </c>
      <c r="V258" s="49">
        <v>50344</v>
      </c>
      <c r="W258" s="49">
        <v>50344</v>
      </c>
      <c r="X258" s="48">
        <v>1</v>
      </c>
      <c r="Y258" s="48">
        <v>1</v>
      </c>
      <c r="Z258" s="48">
        <v>1</v>
      </c>
      <c r="AA258" s="156">
        <v>2193.1339020672222</v>
      </c>
      <c r="AF258" s="48">
        <v>0</v>
      </c>
      <c r="AG258" s="49" t="s">
        <v>32</v>
      </c>
      <c r="AH258" s="48">
        <v>1</v>
      </c>
      <c r="AI258" s="48" t="s">
        <v>33</v>
      </c>
      <c r="AJ258" s="48" t="s">
        <v>33</v>
      </c>
      <c r="AK258" s="48" t="s">
        <v>33</v>
      </c>
      <c r="AL258" s="48" t="s">
        <v>34</v>
      </c>
      <c r="AN258" s="48">
        <v>0</v>
      </c>
      <c r="AO258" s="48">
        <v>0</v>
      </c>
      <c r="AP258" s="48">
        <v>0</v>
      </c>
      <c r="AQ258" s="48">
        <v>0</v>
      </c>
      <c r="AR258" s="48">
        <v>0</v>
      </c>
      <c r="AS258" s="48">
        <v>0</v>
      </c>
      <c r="AT258" s="48">
        <v>0</v>
      </c>
      <c r="AU258" s="48">
        <v>0</v>
      </c>
      <c r="AV258" s="48">
        <v>0</v>
      </c>
      <c r="AW258" s="48">
        <v>0</v>
      </c>
      <c r="AX258" s="48">
        <v>0</v>
      </c>
      <c r="AY258" s="48">
        <v>0</v>
      </c>
      <c r="AZ258" s="48">
        <v>0</v>
      </c>
      <c r="BA258" s="48">
        <v>0</v>
      </c>
      <c r="BB258" s="48">
        <v>0</v>
      </c>
    </row>
    <row r="259" spans="1:54" x14ac:dyDescent="0.35">
      <c r="A259" s="49">
        <v>45930</v>
      </c>
      <c r="B259" s="48">
        <v>1</v>
      </c>
      <c r="C259" s="50" t="s">
        <v>32</v>
      </c>
      <c r="D259" s="48" t="s">
        <v>31</v>
      </c>
      <c r="E259" s="48" t="s">
        <v>138</v>
      </c>
      <c r="F259" s="48" t="s">
        <v>139</v>
      </c>
      <c r="G259" s="49" t="s">
        <v>59</v>
      </c>
      <c r="H259" s="48" t="s">
        <v>159</v>
      </c>
      <c r="I259" s="48">
        <v>1</v>
      </c>
      <c r="J259" s="48">
        <v>146</v>
      </c>
      <c r="K259" s="48">
        <v>1</v>
      </c>
      <c r="N259" s="48">
        <v>0</v>
      </c>
      <c r="R259" s="49"/>
      <c r="S259" s="49"/>
      <c r="T259" s="49">
        <v>50374</v>
      </c>
      <c r="U259" s="49">
        <v>50374</v>
      </c>
      <c r="V259" s="49">
        <v>50374</v>
      </c>
      <c r="W259" s="49">
        <v>50374</v>
      </c>
      <c r="X259" s="48">
        <v>1</v>
      </c>
      <c r="Y259" s="48">
        <v>1</v>
      </c>
      <c r="Z259" s="48">
        <v>1</v>
      </c>
      <c r="AA259" s="156">
        <v>2193.1339020672222</v>
      </c>
      <c r="AF259" s="48">
        <v>0</v>
      </c>
      <c r="AG259" s="49" t="s">
        <v>32</v>
      </c>
      <c r="AH259" s="48">
        <v>1</v>
      </c>
      <c r="AI259" s="48" t="s">
        <v>33</v>
      </c>
      <c r="AJ259" s="48" t="s">
        <v>33</v>
      </c>
      <c r="AK259" s="48" t="s">
        <v>33</v>
      </c>
      <c r="AL259" s="48" t="s">
        <v>34</v>
      </c>
      <c r="AN259" s="48">
        <v>0</v>
      </c>
      <c r="AO259" s="48">
        <v>0</v>
      </c>
      <c r="AP259" s="48">
        <v>0</v>
      </c>
      <c r="AQ259" s="48">
        <v>0</v>
      </c>
      <c r="AR259" s="48">
        <v>0</v>
      </c>
      <c r="AS259" s="48">
        <v>0</v>
      </c>
      <c r="AT259" s="48">
        <v>0</v>
      </c>
      <c r="AU259" s="48">
        <v>0</v>
      </c>
      <c r="AV259" s="48">
        <v>0</v>
      </c>
      <c r="AW259" s="48">
        <v>0</v>
      </c>
      <c r="AX259" s="48">
        <v>0</v>
      </c>
      <c r="AY259" s="48">
        <v>0</v>
      </c>
      <c r="AZ259" s="48">
        <v>0</v>
      </c>
      <c r="BA259" s="48">
        <v>0</v>
      </c>
      <c r="BB259" s="48">
        <v>0</v>
      </c>
    </row>
    <row r="260" spans="1:54" x14ac:dyDescent="0.35">
      <c r="A260" s="49">
        <v>45930</v>
      </c>
      <c r="B260" s="48">
        <v>1</v>
      </c>
      <c r="C260" s="50" t="s">
        <v>32</v>
      </c>
      <c r="D260" s="48" t="s">
        <v>31</v>
      </c>
      <c r="E260" s="48" t="s">
        <v>138</v>
      </c>
      <c r="F260" s="48" t="s">
        <v>139</v>
      </c>
      <c r="G260" s="49" t="s">
        <v>59</v>
      </c>
      <c r="H260" s="48" t="s">
        <v>159</v>
      </c>
      <c r="I260" s="48">
        <v>1</v>
      </c>
      <c r="J260" s="48">
        <v>147</v>
      </c>
      <c r="K260" s="48">
        <v>1</v>
      </c>
      <c r="N260" s="48">
        <v>0</v>
      </c>
      <c r="R260" s="49"/>
      <c r="S260" s="49"/>
      <c r="T260" s="49">
        <v>50405</v>
      </c>
      <c r="U260" s="49">
        <v>50405</v>
      </c>
      <c r="V260" s="49">
        <v>50405</v>
      </c>
      <c r="W260" s="49">
        <v>50405</v>
      </c>
      <c r="X260" s="48">
        <v>1</v>
      </c>
      <c r="Y260" s="48">
        <v>1</v>
      </c>
      <c r="Z260" s="48">
        <v>1</v>
      </c>
      <c r="AA260" s="156">
        <v>2193.1339020672222</v>
      </c>
      <c r="AF260" s="48">
        <v>0</v>
      </c>
      <c r="AG260" s="49" t="s">
        <v>32</v>
      </c>
      <c r="AH260" s="48">
        <v>1</v>
      </c>
      <c r="AI260" s="48" t="s">
        <v>33</v>
      </c>
      <c r="AJ260" s="48" t="s">
        <v>33</v>
      </c>
      <c r="AK260" s="48" t="s">
        <v>33</v>
      </c>
      <c r="AL260" s="48" t="s">
        <v>34</v>
      </c>
      <c r="AN260" s="48">
        <v>0</v>
      </c>
      <c r="AO260" s="48">
        <v>0</v>
      </c>
      <c r="AP260" s="48">
        <v>0</v>
      </c>
      <c r="AQ260" s="48">
        <v>0</v>
      </c>
      <c r="AR260" s="48">
        <v>0</v>
      </c>
      <c r="AS260" s="48">
        <v>0</v>
      </c>
      <c r="AT260" s="48">
        <v>0</v>
      </c>
      <c r="AU260" s="48">
        <v>0</v>
      </c>
      <c r="AV260" s="48">
        <v>0</v>
      </c>
      <c r="AW260" s="48">
        <v>0</v>
      </c>
      <c r="AX260" s="48">
        <v>0</v>
      </c>
      <c r="AY260" s="48">
        <v>0</v>
      </c>
      <c r="AZ260" s="48">
        <v>0</v>
      </c>
      <c r="BA260" s="48">
        <v>0</v>
      </c>
      <c r="BB260" s="48">
        <v>0</v>
      </c>
    </row>
    <row r="261" spans="1:54" x14ac:dyDescent="0.35">
      <c r="A261" s="49">
        <v>45930</v>
      </c>
      <c r="B261" s="48">
        <v>1</v>
      </c>
      <c r="C261" s="50" t="s">
        <v>32</v>
      </c>
      <c r="D261" s="48" t="s">
        <v>31</v>
      </c>
      <c r="E261" s="48" t="s">
        <v>138</v>
      </c>
      <c r="F261" s="48" t="s">
        <v>139</v>
      </c>
      <c r="G261" s="49" t="s">
        <v>59</v>
      </c>
      <c r="H261" s="48" t="s">
        <v>159</v>
      </c>
      <c r="I261" s="48">
        <v>1</v>
      </c>
      <c r="J261" s="48">
        <v>148</v>
      </c>
      <c r="K261" s="48">
        <v>1</v>
      </c>
      <c r="N261" s="48">
        <v>0</v>
      </c>
      <c r="R261" s="49"/>
      <c r="S261" s="49"/>
      <c r="T261" s="49">
        <v>50436</v>
      </c>
      <c r="U261" s="49">
        <v>50436</v>
      </c>
      <c r="V261" s="49">
        <v>50436</v>
      </c>
      <c r="W261" s="49">
        <v>50436</v>
      </c>
      <c r="X261" s="48">
        <v>1</v>
      </c>
      <c r="Y261" s="48">
        <v>1</v>
      </c>
      <c r="Z261" s="48">
        <v>1</v>
      </c>
      <c r="AA261" s="156">
        <v>2193.1339020672222</v>
      </c>
      <c r="AF261" s="48">
        <v>0</v>
      </c>
      <c r="AG261" s="49" t="s">
        <v>32</v>
      </c>
      <c r="AH261" s="48">
        <v>1</v>
      </c>
      <c r="AI261" s="48" t="s">
        <v>33</v>
      </c>
      <c r="AJ261" s="48" t="s">
        <v>33</v>
      </c>
      <c r="AK261" s="48" t="s">
        <v>33</v>
      </c>
      <c r="AL261" s="48" t="s">
        <v>34</v>
      </c>
      <c r="AN261" s="48">
        <v>0</v>
      </c>
      <c r="AO261" s="48">
        <v>0</v>
      </c>
      <c r="AP261" s="48">
        <v>0</v>
      </c>
      <c r="AQ261" s="48">
        <v>0</v>
      </c>
      <c r="AR261" s="48">
        <v>0</v>
      </c>
      <c r="AS261" s="48">
        <v>0</v>
      </c>
      <c r="AT261" s="48">
        <v>0</v>
      </c>
      <c r="AU261" s="48">
        <v>0</v>
      </c>
      <c r="AV261" s="48">
        <v>0</v>
      </c>
      <c r="AW261" s="48">
        <v>0</v>
      </c>
      <c r="AX261" s="48">
        <v>0</v>
      </c>
      <c r="AY261" s="48">
        <v>0</v>
      </c>
      <c r="AZ261" s="48">
        <v>0</v>
      </c>
      <c r="BA261" s="48">
        <v>0</v>
      </c>
      <c r="BB261" s="48">
        <v>0</v>
      </c>
    </row>
    <row r="262" spans="1:54" x14ac:dyDescent="0.35">
      <c r="A262" s="49">
        <v>45930</v>
      </c>
      <c r="B262" s="48">
        <v>1</v>
      </c>
      <c r="C262" s="50" t="s">
        <v>32</v>
      </c>
      <c r="D262" s="48" t="s">
        <v>31</v>
      </c>
      <c r="E262" s="48" t="s">
        <v>138</v>
      </c>
      <c r="F262" s="48" t="s">
        <v>139</v>
      </c>
      <c r="G262" s="49" t="s">
        <v>59</v>
      </c>
      <c r="H262" s="48" t="s">
        <v>159</v>
      </c>
      <c r="I262" s="48">
        <v>1</v>
      </c>
      <c r="J262" s="48">
        <v>149</v>
      </c>
      <c r="K262" s="48">
        <v>1</v>
      </c>
      <c r="N262" s="48">
        <v>0</v>
      </c>
      <c r="R262" s="49"/>
      <c r="S262" s="49"/>
      <c r="T262" s="49">
        <v>50464</v>
      </c>
      <c r="U262" s="49">
        <v>50464</v>
      </c>
      <c r="V262" s="49">
        <v>50464</v>
      </c>
      <c r="W262" s="49">
        <v>50464</v>
      </c>
      <c r="X262" s="48">
        <v>1</v>
      </c>
      <c r="Y262" s="48">
        <v>1</v>
      </c>
      <c r="Z262" s="48">
        <v>1</v>
      </c>
      <c r="AA262" s="156">
        <v>2193.1339020672222</v>
      </c>
      <c r="AF262" s="48">
        <v>0</v>
      </c>
      <c r="AG262" s="49" t="s">
        <v>32</v>
      </c>
      <c r="AH262" s="48">
        <v>1</v>
      </c>
      <c r="AI262" s="48" t="s">
        <v>33</v>
      </c>
      <c r="AJ262" s="48" t="s">
        <v>33</v>
      </c>
      <c r="AK262" s="48" t="s">
        <v>33</v>
      </c>
      <c r="AL262" s="48" t="s">
        <v>34</v>
      </c>
      <c r="AN262" s="48">
        <v>0</v>
      </c>
      <c r="AO262" s="48">
        <v>0</v>
      </c>
      <c r="AP262" s="48">
        <v>0</v>
      </c>
      <c r="AQ262" s="48">
        <v>0</v>
      </c>
      <c r="AR262" s="48">
        <v>0</v>
      </c>
      <c r="AS262" s="48">
        <v>0</v>
      </c>
      <c r="AT262" s="48">
        <v>0</v>
      </c>
      <c r="AU262" s="48">
        <v>0</v>
      </c>
      <c r="AV262" s="48">
        <v>0</v>
      </c>
      <c r="AW262" s="48">
        <v>0</v>
      </c>
      <c r="AX262" s="48">
        <v>0</v>
      </c>
      <c r="AY262" s="48">
        <v>0</v>
      </c>
      <c r="AZ262" s="48">
        <v>0</v>
      </c>
      <c r="BA262" s="48">
        <v>0</v>
      </c>
      <c r="BB262" s="48">
        <v>0</v>
      </c>
    </row>
    <row r="263" spans="1:54" x14ac:dyDescent="0.35">
      <c r="A263" s="49">
        <v>45930</v>
      </c>
      <c r="B263" s="48">
        <v>1</v>
      </c>
      <c r="C263" s="50" t="s">
        <v>32</v>
      </c>
      <c r="D263" s="48" t="s">
        <v>31</v>
      </c>
      <c r="E263" s="48" t="s">
        <v>138</v>
      </c>
      <c r="F263" s="48" t="s">
        <v>139</v>
      </c>
      <c r="G263" s="49" t="s">
        <v>59</v>
      </c>
      <c r="H263" s="48" t="s">
        <v>159</v>
      </c>
      <c r="I263" s="48">
        <v>1</v>
      </c>
      <c r="J263" s="48">
        <v>150</v>
      </c>
      <c r="K263" s="48">
        <v>1</v>
      </c>
      <c r="N263" s="48">
        <v>0</v>
      </c>
      <c r="R263" s="49"/>
      <c r="S263" s="49"/>
      <c r="T263" s="49">
        <v>50495</v>
      </c>
      <c r="U263" s="49">
        <v>50495</v>
      </c>
      <c r="V263" s="49">
        <v>50495</v>
      </c>
      <c r="W263" s="49">
        <v>50495</v>
      </c>
      <c r="X263" s="48">
        <v>1</v>
      </c>
      <c r="Y263" s="48">
        <v>1</v>
      </c>
      <c r="Z263" s="48">
        <v>1</v>
      </c>
      <c r="AA263" s="156">
        <v>2193.1339020672222</v>
      </c>
      <c r="AF263" s="48">
        <v>0</v>
      </c>
      <c r="AG263" s="49" t="s">
        <v>32</v>
      </c>
      <c r="AH263" s="48">
        <v>1</v>
      </c>
      <c r="AI263" s="48" t="s">
        <v>33</v>
      </c>
      <c r="AJ263" s="48" t="s">
        <v>33</v>
      </c>
      <c r="AK263" s="48" t="s">
        <v>33</v>
      </c>
      <c r="AL263" s="48" t="s">
        <v>34</v>
      </c>
      <c r="AN263" s="48">
        <v>0</v>
      </c>
      <c r="AO263" s="48">
        <v>0</v>
      </c>
      <c r="AP263" s="48">
        <v>0</v>
      </c>
      <c r="AQ263" s="48">
        <v>0</v>
      </c>
      <c r="AR263" s="48">
        <v>0</v>
      </c>
      <c r="AS263" s="48">
        <v>0</v>
      </c>
      <c r="AT263" s="48">
        <v>0</v>
      </c>
      <c r="AU263" s="48">
        <v>0</v>
      </c>
      <c r="AV263" s="48">
        <v>0</v>
      </c>
      <c r="AW263" s="48">
        <v>0</v>
      </c>
      <c r="AX263" s="48">
        <v>0</v>
      </c>
      <c r="AY263" s="48">
        <v>0</v>
      </c>
      <c r="AZ263" s="48">
        <v>0</v>
      </c>
      <c r="BA263" s="48">
        <v>0</v>
      </c>
      <c r="BB263" s="48">
        <v>0</v>
      </c>
    </row>
    <row r="264" spans="1:54" x14ac:dyDescent="0.35">
      <c r="A264" s="49">
        <v>45930</v>
      </c>
      <c r="B264" s="48">
        <v>1</v>
      </c>
      <c r="C264" s="50" t="s">
        <v>32</v>
      </c>
      <c r="D264" s="48" t="s">
        <v>31</v>
      </c>
      <c r="E264" s="48" t="s">
        <v>138</v>
      </c>
      <c r="F264" s="48" t="s">
        <v>139</v>
      </c>
      <c r="G264" s="49" t="s">
        <v>59</v>
      </c>
      <c r="H264" s="48" t="s">
        <v>159</v>
      </c>
      <c r="I264" s="48">
        <v>1</v>
      </c>
      <c r="J264" s="48">
        <v>151</v>
      </c>
      <c r="K264" s="48">
        <v>1</v>
      </c>
      <c r="N264" s="48">
        <v>0</v>
      </c>
      <c r="R264" s="49"/>
      <c r="S264" s="49"/>
      <c r="T264" s="49">
        <v>50525</v>
      </c>
      <c r="U264" s="49">
        <v>50525</v>
      </c>
      <c r="V264" s="49">
        <v>50525</v>
      </c>
      <c r="W264" s="49">
        <v>50525</v>
      </c>
      <c r="X264" s="48">
        <v>1</v>
      </c>
      <c r="Y264" s="48">
        <v>1</v>
      </c>
      <c r="Z264" s="48">
        <v>1</v>
      </c>
      <c r="AA264" s="156">
        <v>2193.1339020672222</v>
      </c>
      <c r="AF264" s="48">
        <v>0</v>
      </c>
      <c r="AG264" s="49" t="s">
        <v>32</v>
      </c>
      <c r="AH264" s="48">
        <v>1</v>
      </c>
      <c r="AI264" s="48" t="s">
        <v>33</v>
      </c>
      <c r="AJ264" s="48" t="s">
        <v>33</v>
      </c>
      <c r="AK264" s="48" t="s">
        <v>33</v>
      </c>
      <c r="AL264" s="48" t="s">
        <v>34</v>
      </c>
      <c r="AN264" s="48">
        <v>0</v>
      </c>
      <c r="AO264" s="48">
        <v>0</v>
      </c>
      <c r="AP264" s="48">
        <v>0</v>
      </c>
      <c r="AQ264" s="48">
        <v>0</v>
      </c>
      <c r="AR264" s="48">
        <v>0</v>
      </c>
      <c r="AS264" s="48">
        <v>0</v>
      </c>
      <c r="AT264" s="48">
        <v>0</v>
      </c>
      <c r="AU264" s="48">
        <v>0</v>
      </c>
      <c r="AV264" s="48">
        <v>0</v>
      </c>
      <c r="AW264" s="48">
        <v>0</v>
      </c>
      <c r="AX264" s="48">
        <v>0</v>
      </c>
      <c r="AY264" s="48">
        <v>0</v>
      </c>
      <c r="AZ264" s="48">
        <v>0</v>
      </c>
      <c r="BA264" s="48">
        <v>0</v>
      </c>
      <c r="BB264" s="48">
        <v>0</v>
      </c>
    </row>
    <row r="265" spans="1:54" x14ac:dyDescent="0.35">
      <c r="A265" s="49">
        <v>45930</v>
      </c>
      <c r="B265" s="48">
        <v>1</v>
      </c>
      <c r="C265" s="50" t="s">
        <v>32</v>
      </c>
      <c r="D265" s="48" t="s">
        <v>31</v>
      </c>
      <c r="E265" s="48" t="s">
        <v>138</v>
      </c>
      <c r="F265" s="48" t="s">
        <v>139</v>
      </c>
      <c r="G265" s="49" t="s">
        <v>59</v>
      </c>
      <c r="H265" s="48" t="s">
        <v>159</v>
      </c>
      <c r="I265" s="48">
        <v>1</v>
      </c>
      <c r="J265" s="48">
        <v>152</v>
      </c>
      <c r="K265" s="48">
        <v>1</v>
      </c>
      <c r="N265" s="48">
        <v>0</v>
      </c>
      <c r="R265" s="49"/>
      <c r="S265" s="49"/>
      <c r="T265" s="49">
        <v>50556</v>
      </c>
      <c r="U265" s="49">
        <v>50556</v>
      </c>
      <c r="V265" s="49">
        <v>50556</v>
      </c>
      <c r="W265" s="49">
        <v>50556</v>
      </c>
      <c r="X265" s="48">
        <v>1</v>
      </c>
      <c r="Y265" s="48">
        <v>1</v>
      </c>
      <c r="Z265" s="48">
        <v>1</v>
      </c>
      <c r="AA265" s="156">
        <v>2193.1339020672222</v>
      </c>
      <c r="AF265" s="48">
        <v>0</v>
      </c>
      <c r="AG265" s="49" t="s">
        <v>32</v>
      </c>
      <c r="AH265" s="48">
        <v>1</v>
      </c>
      <c r="AI265" s="48" t="s">
        <v>33</v>
      </c>
      <c r="AJ265" s="48" t="s">
        <v>33</v>
      </c>
      <c r="AK265" s="48" t="s">
        <v>33</v>
      </c>
      <c r="AL265" s="48" t="s">
        <v>34</v>
      </c>
      <c r="AN265" s="48">
        <v>0</v>
      </c>
      <c r="AO265" s="48">
        <v>0</v>
      </c>
      <c r="AP265" s="48">
        <v>0</v>
      </c>
      <c r="AQ265" s="48">
        <v>0</v>
      </c>
      <c r="AR265" s="48">
        <v>0</v>
      </c>
      <c r="AS265" s="48">
        <v>0</v>
      </c>
      <c r="AT265" s="48">
        <v>0</v>
      </c>
      <c r="AU265" s="48">
        <v>0</v>
      </c>
      <c r="AV265" s="48">
        <v>0</v>
      </c>
      <c r="AW265" s="48">
        <v>0</v>
      </c>
      <c r="AX265" s="48">
        <v>0</v>
      </c>
      <c r="AY265" s="48">
        <v>0</v>
      </c>
      <c r="AZ265" s="48">
        <v>0</v>
      </c>
      <c r="BA265" s="48">
        <v>0</v>
      </c>
      <c r="BB265" s="48">
        <v>0</v>
      </c>
    </row>
    <row r="266" spans="1:54" x14ac:dyDescent="0.35">
      <c r="A266" s="49">
        <v>45930</v>
      </c>
      <c r="B266" s="48">
        <v>1</v>
      </c>
      <c r="C266" s="50" t="s">
        <v>32</v>
      </c>
      <c r="D266" s="48" t="s">
        <v>31</v>
      </c>
      <c r="E266" s="48" t="s">
        <v>138</v>
      </c>
      <c r="F266" s="48" t="s">
        <v>139</v>
      </c>
      <c r="G266" s="49" t="s">
        <v>59</v>
      </c>
      <c r="H266" s="48" t="s">
        <v>159</v>
      </c>
      <c r="I266" s="48">
        <v>1</v>
      </c>
      <c r="J266" s="48">
        <v>153</v>
      </c>
      <c r="K266" s="48">
        <v>1</v>
      </c>
      <c r="N266" s="48">
        <v>0</v>
      </c>
      <c r="R266" s="49"/>
      <c r="S266" s="49"/>
      <c r="T266" s="49">
        <v>50586</v>
      </c>
      <c r="U266" s="49">
        <v>50586</v>
      </c>
      <c r="V266" s="49">
        <v>50586</v>
      </c>
      <c r="W266" s="49">
        <v>50586</v>
      </c>
      <c r="X266" s="48">
        <v>1</v>
      </c>
      <c r="Y266" s="48">
        <v>1</v>
      </c>
      <c r="Z266" s="48">
        <v>1</v>
      </c>
      <c r="AA266" s="156">
        <v>2193.1339020672222</v>
      </c>
      <c r="AF266" s="48">
        <v>0</v>
      </c>
      <c r="AG266" s="49" t="s">
        <v>32</v>
      </c>
      <c r="AH266" s="48">
        <v>1</v>
      </c>
      <c r="AI266" s="48" t="s">
        <v>33</v>
      </c>
      <c r="AJ266" s="48" t="s">
        <v>33</v>
      </c>
      <c r="AK266" s="48" t="s">
        <v>33</v>
      </c>
      <c r="AL266" s="48" t="s">
        <v>34</v>
      </c>
      <c r="AN266" s="48">
        <v>0</v>
      </c>
      <c r="AO266" s="48">
        <v>0</v>
      </c>
      <c r="AP266" s="48">
        <v>0</v>
      </c>
      <c r="AQ266" s="48">
        <v>0</v>
      </c>
      <c r="AR266" s="48">
        <v>0</v>
      </c>
      <c r="AS266" s="48">
        <v>0</v>
      </c>
      <c r="AT266" s="48">
        <v>0</v>
      </c>
      <c r="AU266" s="48">
        <v>0</v>
      </c>
      <c r="AV266" s="48">
        <v>0</v>
      </c>
      <c r="AW266" s="48">
        <v>0</v>
      </c>
      <c r="AX266" s="48">
        <v>0</v>
      </c>
      <c r="AY266" s="48">
        <v>0</v>
      </c>
      <c r="AZ266" s="48">
        <v>0</v>
      </c>
      <c r="BA266" s="48">
        <v>0</v>
      </c>
      <c r="BB266" s="48">
        <v>0</v>
      </c>
    </row>
    <row r="267" spans="1:54" x14ac:dyDescent="0.35">
      <c r="A267" s="49">
        <v>45930</v>
      </c>
      <c r="B267" s="48">
        <v>1</v>
      </c>
      <c r="C267" s="50" t="s">
        <v>32</v>
      </c>
      <c r="D267" s="48" t="s">
        <v>31</v>
      </c>
      <c r="E267" s="48" t="s">
        <v>138</v>
      </c>
      <c r="F267" s="48" t="s">
        <v>139</v>
      </c>
      <c r="G267" s="49" t="s">
        <v>59</v>
      </c>
      <c r="H267" s="48" t="s">
        <v>159</v>
      </c>
      <c r="I267" s="48">
        <v>1</v>
      </c>
      <c r="J267" s="48">
        <v>154</v>
      </c>
      <c r="K267" s="48">
        <v>1</v>
      </c>
      <c r="N267" s="48">
        <v>0</v>
      </c>
      <c r="R267" s="49"/>
      <c r="S267" s="49"/>
      <c r="T267" s="49">
        <v>50617</v>
      </c>
      <c r="U267" s="49">
        <v>50617</v>
      </c>
      <c r="V267" s="49">
        <v>50617</v>
      </c>
      <c r="W267" s="49">
        <v>50617</v>
      </c>
      <c r="X267" s="48">
        <v>1</v>
      </c>
      <c r="Y267" s="48">
        <v>1</v>
      </c>
      <c r="Z267" s="48">
        <v>1</v>
      </c>
      <c r="AA267" s="156">
        <v>2193.1339020672222</v>
      </c>
      <c r="AF267" s="48">
        <v>0</v>
      </c>
      <c r="AG267" s="49" t="s">
        <v>32</v>
      </c>
      <c r="AH267" s="48">
        <v>1</v>
      </c>
      <c r="AI267" s="48" t="s">
        <v>33</v>
      </c>
      <c r="AJ267" s="48" t="s">
        <v>33</v>
      </c>
      <c r="AK267" s="48" t="s">
        <v>33</v>
      </c>
      <c r="AL267" s="48" t="s">
        <v>34</v>
      </c>
      <c r="AN267" s="48">
        <v>0</v>
      </c>
      <c r="AO267" s="48">
        <v>0</v>
      </c>
      <c r="AP267" s="48">
        <v>0</v>
      </c>
      <c r="AQ267" s="48">
        <v>0</v>
      </c>
      <c r="AR267" s="48">
        <v>0</v>
      </c>
      <c r="AS267" s="48">
        <v>0</v>
      </c>
      <c r="AT267" s="48">
        <v>0</v>
      </c>
      <c r="AU267" s="48">
        <v>0</v>
      </c>
      <c r="AV267" s="48">
        <v>0</v>
      </c>
      <c r="AW267" s="48">
        <v>0</v>
      </c>
      <c r="AX267" s="48">
        <v>0</v>
      </c>
      <c r="AY267" s="48">
        <v>0</v>
      </c>
      <c r="AZ267" s="48">
        <v>0</v>
      </c>
      <c r="BA267" s="48">
        <v>0</v>
      </c>
      <c r="BB267" s="48">
        <v>0</v>
      </c>
    </row>
    <row r="268" spans="1:54" x14ac:dyDescent="0.35">
      <c r="A268" s="49">
        <v>45930</v>
      </c>
      <c r="B268" s="48">
        <v>1</v>
      </c>
      <c r="C268" s="50" t="s">
        <v>32</v>
      </c>
      <c r="D268" s="48" t="s">
        <v>31</v>
      </c>
      <c r="E268" s="48" t="s">
        <v>138</v>
      </c>
      <c r="F268" s="48" t="s">
        <v>139</v>
      </c>
      <c r="G268" s="49" t="s">
        <v>59</v>
      </c>
      <c r="H268" s="48" t="s">
        <v>159</v>
      </c>
      <c r="I268" s="48">
        <v>1</v>
      </c>
      <c r="J268" s="48">
        <v>155</v>
      </c>
      <c r="K268" s="48">
        <v>1</v>
      </c>
      <c r="N268" s="48">
        <v>0</v>
      </c>
      <c r="R268" s="49"/>
      <c r="S268" s="49"/>
      <c r="T268" s="49">
        <v>50648</v>
      </c>
      <c r="U268" s="49">
        <v>50648</v>
      </c>
      <c r="V268" s="49">
        <v>50648</v>
      </c>
      <c r="W268" s="49">
        <v>50648</v>
      </c>
      <c r="X268" s="48">
        <v>1</v>
      </c>
      <c r="Y268" s="48">
        <v>1</v>
      </c>
      <c r="Z268" s="48">
        <v>1</v>
      </c>
      <c r="AA268" s="156">
        <v>2193.1339020672222</v>
      </c>
      <c r="AF268" s="48">
        <v>0</v>
      </c>
      <c r="AG268" s="49" t="s">
        <v>32</v>
      </c>
      <c r="AH268" s="48">
        <v>1</v>
      </c>
      <c r="AI268" s="48" t="s">
        <v>33</v>
      </c>
      <c r="AJ268" s="48" t="s">
        <v>33</v>
      </c>
      <c r="AK268" s="48" t="s">
        <v>33</v>
      </c>
      <c r="AL268" s="48" t="s">
        <v>34</v>
      </c>
      <c r="AN268" s="48">
        <v>0</v>
      </c>
      <c r="AO268" s="48">
        <v>0</v>
      </c>
      <c r="AP268" s="48">
        <v>0</v>
      </c>
      <c r="AQ268" s="48">
        <v>0</v>
      </c>
      <c r="AR268" s="48">
        <v>0</v>
      </c>
      <c r="AS268" s="48">
        <v>0</v>
      </c>
      <c r="AT268" s="48">
        <v>0</v>
      </c>
      <c r="AU268" s="48">
        <v>0</v>
      </c>
      <c r="AV268" s="48">
        <v>0</v>
      </c>
      <c r="AW268" s="48">
        <v>0</v>
      </c>
      <c r="AX268" s="48">
        <v>0</v>
      </c>
      <c r="AY268" s="48">
        <v>0</v>
      </c>
      <c r="AZ268" s="48">
        <v>0</v>
      </c>
      <c r="BA268" s="48">
        <v>0</v>
      </c>
      <c r="BB268" s="48">
        <v>0</v>
      </c>
    </row>
    <row r="269" spans="1:54" x14ac:dyDescent="0.35">
      <c r="A269" s="49">
        <v>45930</v>
      </c>
      <c r="B269" s="48">
        <v>1</v>
      </c>
      <c r="C269" s="50" t="s">
        <v>32</v>
      </c>
      <c r="D269" s="48" t="s">
        <v>31</v>
      </c>
      <c r="E269" s="48" t="s">
        <v>138</v>
      </c>
      <c r="F269" s="48" t="s">
        <v>139</v>
      </c>
      <c r="G269" s="49" t="s">
        <v>59</v>
      </c>
      <c r="H269" s="48" t="s">
        <v>159</v>
      </c>
      <c r="I269" s="48">
        <v>1</v>
      </c>
      <c r="J269" s="48">
        <v>156</v>
      </c>
      <c r="K269" s="48">
        <v>1</v>
      </c>
      <c r="N269" s="48">
        <v>0</v>
      </c>
      <c r="R269" s="49"/>
      <c r="S269" s="49"/>
      <c r="T269" s="49">
        <v>50678</v>
      </c>
      <c r="U269" s="49">
        <v>50678</v>
      </c>
      <c r="V269" s="49">
        <v>50678</v>
      </c>
      <c r="W269" s="49">
        <v>50678</v>
      </c>
      <c r="X269" s="48">
        <v>1</v>
      </c>
      <c r="Y269" s="48">
        <v>1</v>
      </c>
      <c r="Z269" s="48">
        <v>1</v>
      </c>
      <c r="AA269" s="156">
        <v>2193.1339020672222</v>
      </c>
      <c r="AF269" s="48">
        <v>0</v>
      </c>
      <c r="AG269" s="49" t="s">
        <v>32</v>
      </c>
      <c r="AH269" s="48">
        <v>1</v>
      </c>
      <c r="AI269" s="48" t="s">
        <v>33</v>
      </c>
      <c r="AJ269" s="48" t="s">
        <v>33</v>
      </c>
      <c r="AK269" s="48" t="s">
        <v>33</v>
      </c>
      <c r="AL269" s="48" t="s">
        <v>34</v>
      </c>
      <c r="AN269" s="48">
        <v>0</v>
      </c>
      <c r="AO269" s="48">
        <v>0</v>
      </c>
      <c r="AP269" s="48">
        <v>0</v>
      </c>
      <c r="AQ269" s="48">
        <v>0</v>
      </c>
      <c r="AR269" s="48">
        <v>0</v>
      </c>
      <c r="AS269" s="48">
        <v>0</v>
      </c>
      <c r="AT269" s="48">
        <v>0</v>
      </c>
      <c r="AU269" s="48">
        <v>0</v>
      </c>
      <c r="AV269" s="48">
        <v>0</v>
      </c>
      <c r="AW269" s="48">
        <v>0</v>
      </c>
      <c r="AX269" s="48">
        <v>0</v>
      </c>
      <c r="AY269" s="48">
        <v>0</v>
      </c>
      <c r="AZ269" s="48">
        <v>0</v>
      </c>
      <c r="BA269" s="48">
        <v>0</v>
      </c>
      <c r="BB269" s="48">
        <v>0</v>
      </c>
    </row>
    <row r="270" spans="1:54" x14ac:dyDescent="0.35">
      <c r="A270" s="49">
        <v>45930</v>
      </c>
      <c r="B270" s="48">
        <v>1</v>
      </c>
      <c r="C270" s="50" t="s">
        <v>32</v>
      </c>
      <c r="D270" s="48" t="s">
        <v>31</v>
      </c>
      <c r="E270" s="48" t="s">
        <v>138</v>
      </c>
      <c r="F270" s="48" t="s">
        <v>139</v>
      </c>
      <c r="G270" s="49" t="s">
        <v>59</v>
      </c>
      <c r="H270" s="48" t="s">
        <v>159</v>
      </c>
      <c r="I270" s="48">
        <v>1</v>
      </c>
      <c r="J270" s="48">
        <v>157</v>
      </c>
      <c r="K270" s="48">
        <v>1</v>
      </c>
      <c r="N270" s="48">
        <v>0</v>
      </c>
      <c r="R270" s="49"/>
      <c r="S270" s="49"/>
      <c r="T270" s="49">
        <v>50709</v>
      </c>
      <c r="U270" s="49">
        <v>50709</v>
      </c>
      <c r="V270" s="49">
        <v>50709</v>
      </c>
      <c r="W270" s="49">
        <v>50709</v>
      </c>
      <c r="X270" s="48">
        <v>1</v>
      </c>
      <c r="Y270" s="48">
        <v>1</v>
      </c>
      <c r="Z270" s="48">
        <v>1</v>
      </c>
      <c r="AA270" s="156">
        <v>2193.1339020672222</v>
      </c>
      <c r="AF270" s="48">
        <v>0</v>
      </c>
      <c r="AG270" s="49" t="s">
        <v>32</v>
      </c>
      <c r="AH270" s="48">
        <v>1</v>
      </c>
      <c r="AI270" s="48" t="s">
        <v>33</v>
      </c>
      <c r="AJ270" s="48" t="s">
        <v>33</v>
      </c>
      <c r="AK270" s="48" t="s">
        <v>33</v>
      </c>
      <c r="AL270" s="48" t="s">
        <v>34</v>
      </c>
      <c r="AN270" s="48">
        <v>0</v>
      </c>
      <c r="AO270" s="48">
        <v>0</v>
      </c>
      <c r="AP270" s="48">
        <v>0</v>
      </c>
      <c r="AQ270" s="48">
        <v>0</v>
      </c>
      <c r="AR270" s="48">
        <v>0</v>
      </c>
      <c r="AS270" s="48">
        <v>0</v>
      </c>
      <c r="AT270" s="48">
        <v>0</v>
      </c>
      <c r="AU270" s="48">
        <v>0</v>
      </c>
      <c r="AV270" s="48">
        <v>0</v>
      </c>
      <c r="AW270" s="48">
        <v>0</v>
      </c>
      <c r="AX270" s="48">
        <v>0</v>
      </c>
      <c r="AY270" s="48">
        <v>0</v>
      </c>
      <c r="AZ270" s="48">
        <v>0</v>
      </c>
      <c r="BA270" s="48">
        <v>0</v>
      </c>
      <c r="BB270" s="48">
        <v>0</v>
      </c>
    </row>
    <row r="271" spans="1:54" x14ac:dyDescent="0.35">
      <c r="A271" s="49">
        <v>45930</v>
      </c>
      <c r="B271" s="48">
        <v>1</v>
      </c>
      <c r="C271" s="50" t="s">
        <v>32</v>
      </c>
      <c r="D271" s="48" t="s">
        <v>31</v>
      </c>
      <c r="E271" s="48" t="s">
        <v>138</v>
      </c>
      <c r="F271" s="48" t="s">
        <v>139</v>
      </c>
      <c r="G271" s="49" t="s">
        <v>59</v>
      </c>
      <c r="H271" s="48" t="s">
        <v>159</v>
      </c>
      <c r="I271" s="48">
        <v>1</v>
      </c>
      <c r="J271" s="48">
        <v>158</v>
      </c>
      <c r="K271" s="48">
        <v>1</v>
      </c>
      <c r="N271" s="48">
        <v>0</v>
      </c>
      <c r="R271" s="49"/>
      <c r="S271" s="49"/>
      <c r="T271" s="49">
        <v>50739</v>
      </c>
      <c r="U271" s="49">
        <v>50739</v>
      </c>
      <c r="V271" s="49">
        <v>50739</v>
      </c>
      <c r="W271" s="49">
        <v>50739</v>
      </c>
      <c r="X271" s="48">
        <v>1</v>
      </c>
      <c r="Y271" s="48">
        <v>1</v>
      </c>
      <c r="Z271" s="48">
        <v>1</v>
      </c>
      <c r="AA271" s="156">
        <v>2193.1339020672222</v>
      </c>
      <c r="AF271" s="48">
        <v>0</v>
      </c>
      <c r="AG271" s="49" t="s">
        <v>32</v>
      </c>
      <c r="AH271" s="48">
        <v>1</v>
      </c>
      <c r="AI271" s="48" t="s">
        <v>33</v>
      </c>
      <c r="AJ271" s="48" t="s">
        <v>33</v>
      </c>
      <c r="AK271" s="48" t="s">
        <v>33</v>
      </c>
      <c r="AL271" s="48" t="s">
        <v>34</v>
      </c>
      <c r="AN271" s="48">
        <v>0</v>
      </c>
      <c r="AO271" s="48">
        <v>0</v>
      </c>
      <c r="AP271" s="48">
        <v>0</v>
      </c>
      <c r="AQ271" s="48">
        <v>0</v>
      </c>
      <c r="AR271" s="48">
        <v>0</v>
      </c>
      <c r="AS271" s="48">
        <v>0</v>
      </c>
      <c r="AT271" s="48">
        <v>0</v>
      </c>
      <c r="AU271" s="48">
        <v>0</v>
      </c>
      <c r="AV271" s="48">
        <v>0</v>
      </c>
      <c r="AW271" s="48">
        <v>0</v>
      </c>
      <c r="AX271" s="48">
        <v>0</v>
      </c>
      <c r="AY271" s="48">
        <v>0</v>
      </c>
      <c r="AZ271" s="48">
        <v>0</v>
      </c>
      <c r="BA271" s="48">
        <v>0</v>
      </c>
      <c r="BB271" s="48">
        <v>0</v>
      </c>
    </row>
    <row r="272" spans="1:54" x14ac:dyDescent="0.35">
      <c r="A272" s="49">
        <v>45930</v>
      </c>
      <c r="B272" s="48">
        <v>1</v>
      </c>
      <c r="C272" s="50" t="s">
        <v>32</v>
      </c>
      <c r="D272" s="48" t="s">
        <v>31</v>
      </c>
      <c r="E272" s="48" t="s">
        <v>138</v>
      </c>
      <c r="F272" s="48" t="s">
        <v>139</v>
      </c>
      <c r="G272" s="49" t="s">
        <v>59</v>
      </c>
      <c r="H272" s="48" t="s">
        <v>159</v>
      </c>
      <c r="I272" s="48">
        <v>1</v>
      </c>
      <c r="J272" s="48">
        <v>159</v>
      </c>
      <c r="K272" s="48">
        <v>1</v>
      </c>
      <c r="N272" s="48">
        <v>0</v>
      </c>
      <c r="R272" s="49"/>
      <c r="S272" s="49"/>
      <c r="T272" s="49">
        <v>50770</v>
      </c>
      <c r="U272" s="49">
        <v>50770</v>
      </c>
      <c r="V272" s="49">
        <v>50770</v>
      </c>
      <c r="W272" s="49">
        <v>50770</v>
      </c>
      <c r="X272" s="48">
        <v>1</v>
      </c>
      <c r="Y272" s="48">
        <v>1</v>
      </c>
      <c r="Z272" s="48">
        <v>1</v>
      </c>
      <c r="AA272" s="156">
        <v>2193.1339020672222</v>
      </c>
      <c r="AF272" s="48">
        <v>0</v>
      </c>
      <c r="AG272" s="49" t="s">
        <v>32</v>
      </c>
      <c r="AH272" s="48">
        <v>1</v>
      </c>
      <c r="AI272" s="48" t="s">
        <v>33</v>
      </c>
      <c r="AJ272" s="48" t="s">
        <v>33</v>
      </c>
      <c r="AK272" s="48" t="s">
        <v>33</v>
      </c>
      <c r="AL272" s="48" t="s">
        <v>34</v>
      </c>
      <c r="AN272" s="48">
        <v>0</v>
      </c>
      <c r="AO272" s="48">
        <v>0</v>
      </c>
      <c r="AP272" s="48">
        <v>0</v>
      </c>
      <c r="AQ272" s="48">
        <v>0</v>
      </c>
      <c r="AR272" s="48">
        <v>0</v>
      </c>
      <c r="AS272" s="48">
        <v>0</v>
      </c>
      <c r="AT272" s="48">
        <v>0</v>
      </c>
      <c r="AU272" s="48">
        <v>0</v>
      </c>
      <c r="AV272" s="48">
        <v>0</v>
      </c>
      <c r="AW272" s="48">
        <v>0</v>
      </c>
      <c r="AX272" s="48">
        <v>0</v>
      </c>
      <c r="AY272" s="48">
        <v>0</v>
      </c>
      <c r="AZ272" s="48">
        <v>0</v>
      </c>
      <c r="BA272" s="48">
        <v>0</v>
      </c>
      <c r="BB272" s="48">
        <v>0</v>
      </c>
    </row>
    <row r="273" spans="1:54" x14ac:dyDescent="0.35">
      <c r="A273" s="49">
        <v>45930</v>
      </c>
      <c r="B273" s="48">
        <v>1</v>
      </c>
      <c r="C273" s="50" t="s">
        <v>32</v>
      </c>
      <c r="D273" s="48" t="s">
        <v>31</v>
      </c>
      <c r="E273" s="48" t="s">
        <v>138</v>
      </c>
      <c r="F273" s="48" t="s">
        <v>139</v>
      </c>
      <c r="G273" s="49" t="s">
        <v>59</v>
      </c>
      <c r="H273" s="48" t="s">
        <v>159</v>
      </c>
      <c r="I273" s="48">
        <v>1</v>
      </c>
      <c r="J273" s="48">
        <v>160</v>
      </c>
      <c r="K273" s="48">
        <v>1</v>
      </c>
      <c r="N273" s="48">
        <v>0</v>
      </c>
      <c r="R273" s="49"/>
      <c r="S273" s="49"/>
      <c r="T273" s="49">
        <v>50801</v>
      </c>
      <c r="U273" s="49">
        <v>50801</v>
      </c>
      <c r="V273" s="49">
        <v>50801</v>
      </c>
      <c r="W273" s="49">
        <v>50801</v>
      </c>
      <c r="X273" s="48">
        <v>1</v>
      </c>
      <c r="Y273" s="48">
        <v>1</v>
      </c>
      <c r="Z273" s="48">
        <v>1</v>
      </c>
      <c r="AA273" s="156">
        <v>2193.1339020672222</v>
      </c>
      <c r="AF273" s="48">
        <v>0</v>
      </c>
      <c r="AG273" s="49" t="s">
        <v>32</v>
      </c>
      <c r="AH273" s="48">
        <v>1</v>
      </c>
      <c r="AI273" s="48" t="s">
        <v>33</v>
      </c>
      <c r="AJ273" s="48" t="s">
        <v>33</v>
      </c>
      <c r="AK273" s="48" t="s">
        <v>33</v>
      </c>
      <c r="AL273" s="48" t="s">
        <v>34</v>
      </c>
      <c r="AN273" s="48">
        <v>0</v>
      </c>
      <c r="AO273" s="48">
        <v>0</v>
      </c>
      <c r="AP273" s="48">
        <v>0</v>
      </c>
      <c r="AQ273" s="48">
        <v>0</v>
      </c>
      <c r="AR273" s="48">
        <v>0</v>
      </c>
      <c r="AS273" s="48">
        <v>0</v>
      </c>
      <c r="AT273" s="48">
        <v>0</v>
      </c>
      <c r="AU273" s="48">
        <v>0</v>
      </c>
      <c r="AV273" s="48">
        <v>0</v>
      </c>
      <c r="AW273" s="48">
        <v>0</v>
      </c>
      <c r="AX273" s="48">
        <v>0</v>
      </c>
      <c r="AY273" s="48">
        <v>0</v>
      </c>
      <c r="AZ273" s="48">
        <v>0</v>
      </c>
      <c r="BA273" s="48">
        <v>0</v>
      </c>
      <c r="BB273" s="48">
        <v>0</v>
      </c>
    </row>
    <row r="274" spans="1:54" x14ac:dyDescent="0.35">
      <c r="A274" s="49">
        <v>45930</v>
      </c>
      <c r="B274" s="48">
        <v>1</v>
      </c>
      <c r="C274" s="50" t="s">
        <v>32</v>
      </c>
      <c r="D274" s="48" t="s">
        <v>31</v>
      </c>
      <c r="E274" s="48" t="s">
        <v>138</v>
      </c>
      <c r="F274" s="48" t="s">
        <v>139</v>
      </c>
      <c r="G274" s="49" t="s">
        <v>59</v>
      </c>
      <c r="H274" s="48" t="s">
        <v>159</v>
      </c>
      <c r="I274" s="48">
        <v>1</v>
      </c>
      <c r="J274" s="48">
        <v>161</v>
      </c>
      <c r="K274" s="48">
        <v>1</v>
      </c>
      <c r="N274" s="48">
        <v>0</v>
      </c>
      <c r="R274" s="49"/>
      <c r="S274" s="49"/>
      <c r="T274" s="49">
        <v>50829</v>
      </c>
      <c r="U274" s="49">
        <v>50829</v>
      </c>
      <c r="V274" s="49">
        <v>50829</v>
      </c>
      <c r="W274" s="49">
        <v>50829</v>
      </c>
      <c r="X274" s="48">
        <v>1</v>
      </c>
      <c r="Y274" s="48">
        <v>1</v>
      </c>
      <c r="Z274" s="48">
        <v>1</v>
      </c>
      <c r="AA274" s="156">
        <v>2193.1339020672222</v>
      </c>
      <c r="AF274" s="48">
        <v>0</v>
      </c>
      <c r="AG274" s="49" t="s">
        <v>32</v>
      </c>
      <c r="AH274" s="48">
        <v>1</v>
      </c>
      <c r="AI274" s="48" t="s">
        <v>33</v>
      </c>
      <c r="AJ274" s="48" t="s">
        <v>33</v>
      </c>
      <c r="AK274" s="48" t="s">
        <v>33</v>
      </c>
      <c r="AL274" s="48" t="s">
        <v>34</v>
      </c>
      <c r="AN274" s="48">
        <v>0</v>
      </c>
      <c r="AO274" s="48">
        <v>0</v>
      </c>
      <c r="AP274" s="48">
        <v>0</v>
      </c>
      <c r="AQ274" s="48">
        <v>0</v>
      </c>
      <c r="AR274" s="48">
        <v>0</v>
      </c>
      <c r="AS274" s="48">
        <v>0</v>
      </c>
      <c r="AT274" s="48">
        <v>0</v>
      </c>
      <c r="AU274" s="48">
        <v>0</v>
      </c>
      <c r="AV274" s="48">
        <v>0</v>
      </c>
      <c r="AW274" s="48">
        <v>0</v>
      </c>
      <c r="AX274" s="48">
        <v>0</v>
      </c>
      <c r="AY274" s="48">
        <v>0</v>
      </c>
      <c r="AZ274" s="48">
        <v>0</v>
      </c>
      <c r="BA274" s="48">
        <v>0</v>
      </c>
      <c r="BB274" s="48">
        <v>0</v>
      </c>
    </row>
    <row r="275" spans="1:54" x14ac:dyDescent="0.35">
      <c r="A275" s="49">
        <v>45930</v>
      </c>
      <c r="B275" s="48">
        <v>1</v>
      </c>
      <c r="C275" s="50" t="s">
        <v>32</v>
      </c>
      <c r="D275" s="48" t="s">
        <v>31</v>
      </c>
      <c r="E275" s="48" t="s">
        <v>138</v>
      </c>
      <c r="F275" s="48" t="s">
        <v>139</v>
      </c>
      <c r="G275" s="49" t="s">
        <v>59</v>
      </c>
      <c r="H275" s="48" t="s">
        <v>159</v>
      </c>
      <c r="I275" s="48">
        <v>1</v>
      </c>
      <c r="J275" s="48">
        <v>162</v>
      </c>
      <c r="K275" s="48">
        <v>1</v>
      </c>
      <c r="N275" s="48">
        <v>0</v>
      </c>
      <c r="R275" s="49"/>
      <c r="S275" s="49"/>
      <c r="T275" s="49">
        <v>50860</v>
      </c>
      <c r="U275" s="49">
        <v>50860</v>
      </c>
      <c r="V275" s="49">
        <v>50860</v>
      </c>
      <c r="W275" s="49">
        <v>50860</v>
      </c>
      <c r="X275" s="48">
        <v>1</v>
      </c>
      <c r="Y275" s="48">
        <v>1</v>
      </c>
      <c r="Z275" s="48">
        <v>1</v>
      </c>
      <c r="AA275" s="156">
        <v>2193.1339020672222</v>
      </c>
      <c r="AF275" s="48">
        <v>0</v>
      </c>
      <c r="AG275" s="49" t="s">
        <v>32</v>
      </c>
      <c r="AH275" s="48">
        <v>1</v>
      </c>
      <c r="AI275" s="48" t="s">
        <v>33</v>
      </c>
      <c r="AJ275" s="48" t="s">
        <v>33</v>
      </c>
      <c r="AK275" s="48" t="s">
        <v>33</v>
      </c>
      <c r="AL275" s="48" t="s">
        <v>34</v>
      </c>
      <c r="AN275" s="48">
        <v>0</v>
      </c>
      <c r="AO275" s="48">
        <v>0</v>
      </c>
      <c r="AP275" s="48">
        <v>0</v>
      </c>
      <c r="AQ275" s="48">
        <v>0</v>
      </c>
      <c r="AR275" s="48">
        <v>0</v>
      </c>
      <c r="AS275" s="48">
        <v>0</v>
      </c>
      <c r="AT275" s="48">
        <v>0</v>
      </c>
      <c r="AU275" s="48">
        <v>0</v>
      </c>
      <c r="AV275" s="48">
        <v>0</v>
      </c>
      <c r="AW275" s="48">
        <v>0</v>
      </c>
      <c r="AX275" s="48">
        <v>0</v>
      </c>
      <c r="AY275" s="48">
        <v>0</v>
      </c>
      <c r="AZ275" s="48">
        <v>0</v>
      </c>
      <c r="BA275" s="48">
        <v>0</v>
      </c>
      <c r="BB275" s="48">
        <v>0</v>
      </c>
    </row>
    <row r="276" spans="1:54" x14ac:dyDescent="0.35">
      <c r="A276" s="49">
        <v>45930</v>
      </c>
      <c r="B276" s="48">
        <v>1</v>
      </c>
      <c r="C276" s="50" t="s">
        <v>32</v>
      </c>
      <c r="D276" s="48" t="s">
        <v>31</v>
      </c>
      <c r="E276" s="48" t="s">
        <v>138</v>
      </c>
      <c r="F276" s="48" t="s">
        <v>139</v>
      </c>
      <c r="G276" s="49" t="s">
        <v>59</v>
      </c>
      <c r="H276" s="48" t="s">
        <v>159</v>
      </c>
      <c r="I276" s="48">
        <v>1</v>
      </c>
      <c r="J276" s="48">
        <v>163</v>
      </c>
      <c r="K276" s="48">
        <v>1</v>
      </c>
      <c r="N276" s="48">
        <v>0</v>
      </c>
      <c r="R276" s="49"/>
      <c r="S276" s="49"/>
      <c r="T276" s="49">
        <v>50890</v>
      </c>
      <c r="U276" s="49">
        <v>50890</v>
      </c>
      <c r="V276" s="49">
        <v>50890</v>
      </c>
      <c r="W276" s="49">
        <v>50890</v>
      </c>
      <c r="X276" s="48">
        <v>1</v>
      </c>
      <c r="Y276" s="48">
        <v>1</v>
      </c>
      <c r="Z276" s="48">
        <v>1</v>
      </c>
      <c r="AA276" s="156">
        <v>2193.1339020672222</v>
      </c>
      <c r="AF276" s="48">
        <v>0</v>
      </c>
      <c r="AG276" s="49" t="s">
        <v>32</v>
      </c>
      <c r="AH276" s="48">
        <v>1</v>
      </c>
      <c r="AI276" s="48" t="s">
        <v>33</v>
      </c>
      <c r="AJ276" s="48" t="s">
        <v>33</v>
      </c>
      <c r="AK276" s="48" t="s">
        <v>33</v>
      </c>
      <c r="AL276" s="48" t="s">
        <v>34</v>
      </c>
      <c r="AN276" s="48">
        <v>0</v>
      </c>
      <c r="AO276" s="48">
        <v>0</v>
      </c>
      <c r="AP276" s="48">
        <v>0</v>
      </c>
      <c r="AQ276" s="48">
        <v>0</v>
      </c>
      <c r="AR276" s="48">
        <v>0</v>
      </c>
      <c r="AS276" s="48">
        <v>0</v>
      </c>
      <c r="AT276" s="48">
        <v>0</v>
      </c>
      <c r="AU276" s="48">
        <v>0</v>
      </c>
      <c r="AV276" s="48">
        <v>0</v>
      </c>
      <c r="AW276" s="48">
        <v>0</v>
      </c>
      <c r="AX276" s="48">
        <v>0</v>
      </c>
      <c r="AY276" s="48">
        <v>0</v>
      </c>
      <c r="AZ276" s="48">
        <v>0</v>
      </c>
      <c r="BA276" s="48">
        <v>0</v>
      </c>
      <c r="BB276" s="48">
        <v>0</v>
      </c>
    </row>
    <row r="277" spans="1:54" x14ac:dyDescent="0.35">
      <c r="A277" s="49">
        <v>45930</v>
      </c>
      <c r="B277" s="48">
        <v>1</v>
      </c>
      <c r="C277" s="50" t="s">
        <v>32</v>
      </c>
      <c r="D277" s="48" t="s">
        <v>31</v>
      </c>
      <c r="E277" s="48" t="s">
        <v>138</v>
      </c>
      <c r="F277" s="48" t="s">
        <v>139</v>
      </c>
      <c r="G277" s="49" t="s">
        <v>59</v>
      </c>
      <c r="H277" s="48" t="s">
        <v>159</v>
      </c>
      <c r="I277" s="48">
        <v>1</v>
      </c>
      <c r="J277" s="48">
        <v>164</v>
      </c>
      <c r="K277" s="48">
        <v>1</v>
      </c>
      <c r="N277" s="48">
        <v>0</v>
      </c>
      <c r="R277" s="49"/>
      <c r="S277" s="49"/>
      <c r="T277" s="49">
        <v>50921</v>
      </c>
      <c r="U277" s="49">
        <v>50921</v>
      </c>
      <c r="V277" s="49">
        <v>50921</v>
      </c>
      <c r="W277" s="49">
        <v>50921</v>
      </c>
      <c r="X277" s="48">
        <v>1</v>
      </c>
      <c r="Y277" s="48">
        <v>1</v>
      </c>
      <c r="Z277" s="48">
        <v>1</v>
      </c>
      <c r="AA277" s="156">
        <v>2193.1339020672222</v>
      </c>
      <c r="AF277" s="48">
        <v>0</v>
      </c>
      <c r="AG277" s="49" t="s">
        <v>32</v>
      </c>
      <c r="AH277" s="48">
        <v>1</v>
      </c>
      <c r="AI277" s="48" t="s">
        <v>33</v>
      </c>
      <c r="AJ277" s="48" t="s">
        <v>33</v>
      </c>
      <c r="AK277" s="48" t="s">
        <v>33</v>
      </c>
      <c r="AL277" s="48" t="s">
        <v>34</v>
      </c>
      <c r="AN277" s="48">
        <v>0</v>
      </c>
      <c r="AO277" s="48">
        <v>0</v>
      </c>
      <c r="AP277" s="48">
        <v>0</v>
      </c>
      <c r="AQ277" s="48">
        <v>0</v>
      </c>
      <c r="AR277" s="48">
        <v>0</v>
      </c>
      <c r="AS277" s="48">
        <v>0</v>
      </c>
      <c r="AT277" s="48">
        <v>0</v>
      </c>
      <c r="AU277" s="48">
        <v>0</v>
      </c>
      <c r="AV277" s="48">
        <v>0</v>
      </c>
      <c r="AW277" s="48">
        <v>0</v>
      </c>
      <c r="AX277" s="48">
        <v>0</v>
      </c>
      <c r="AY277" s="48">
        <v>0</v>
      </c>
      <c r="AZ277" s="48">
        <v>0</v>
      </c>
      <c r="BA277" s="48">
        <v>0</v>
      </c>
      <c r="BB277" s="48">
        <v>0</v>
      </c>
    </row>
    <row r="278" spans="1:54" x14ac:dyDescent="0.35">
      <c r="A278" s="49">
        <v>45930</v>
      </c>
      <c r="B278" s="48">
        <v>1</v>
      </c>
      <c r="C278" s="50" t="s">
        <v>32</v>
      </c>
      <c r="D278" s="48" t="s">
        <v>31</v>
      </c>
      <c r="E278" s="48" t="s">
        <v>138</v>
      </c>
      <c r="F278" s="48" t="s">
        <v>139</v>
      </c>
      <c r="G278" s="49" t="s">
        <v>59</v>
      </c>
      <c r="H278" s="48" t="s">
        <v>159</v>
      </c>
      <c r="I278" s="48">
        <v>1</v>
      </c>
      <c r="J278" s="48">
        <v>165</v>
      </c>
      <c r="K278" s="48">
        <v>1</v>
      </c>
      <c r="N278" s="48">
        <v>0</v>
      </c>
      <c r="R278" s="49"/>
      <c r="S278" s="49"/>
      <c r="T278" s="49">
        <v>50951</v>
      </c>
      <c r="U278" s="49">
        <v>50951</v>
      </c>
      <c r="V278" s="49">
        <v>50951</v>
      </c>
      <c r="W278" s="49">
        <v>50951</v>
      </c>
      <c r="X278" s="48">
        <v>1</v>
      </c>
      <c r="Y278" s="48">
        <v>1</v>
      </c>
      <c r="Z278" s="48">
        <v>1</v>
      </c>
      <c r="AA278" s="156">
        <v>2193.1339020672222</v>
      </c>
      <c r="AF278" s="48">
        <v>0</v>
      </c>
      <c r="AG278" s="49" t="s">
        <v>32</v>
      </c>
      <c r="AH278" s="48">
        <v>1</v>
      </c>
      <c r="AI278" s="48" t="s">
        <v>33</v>
      </c>
      <c r="AJ278" s="48" t="s">
        <v>33</v>
      </c>
      <c r="AK278" s="48" t="s">
        <v>33</v>
      </c>
      <c r="AL278" s="48" t="s">
        <v>34</v>
      </c>
      <c r="AN278" s="48">
        <v>0</v>
      </c>
      <c r="AO278" s="48">
        <v>0</v>
      </c>
      <c r="AP278" s="48">
        <v>0</v>
      </c>
      <c r="AQ278" s="48">
        <v>0</v>
      </c>
      <c r="AR278" s="48">
        <v>0</v>
      </c>
      <c r="AS278" s="48">
        <v>0</v>
      </c>
      <c r="AT278" s="48">
        <v>0</v>
      </c>
      <c r="AU278" s="48">
        <v>0</v>
      </c>
      <c r="AV278" s="48">
        <v>0</v>
      </c>
      <c r="AW278" s="48">
        <v>0</v>
      </c>
      <c r="AX278" s="48">
        <v>0</v>
      </c>
      <c r="AY278" s="48">
        <v>0</v>
      </c>
      <c r="AZ278" s="48">
        <v>0</v>
      </c>
      <c r="BA278" s="48">
        <v>0</v>
      </c>
      <c r="BB278" s="48">
        <v>0</v>
      </c>
    </row>
    <row r="279" spans="1:54" x14ac:dyDescent="0.35">
      <c r="A279" s="49">
        <v>45930</v>
      </c>
      <c r="B279" s="48">
        <v>1</v>
      </c>
      <c r="C279" s="50" t="s">
        <v>32</v>
      </c>
      <c r="D279" s="48" t="s">
        <v>31</v>
      </c>
      <c r="E279" s="48" t="s">
        <v>138</v>
      </c>
      <c r="F279" s="48" t="s">
        <v>139</v>
      </c>
      <c r="G279" s="49" t="s">
        <v>59</v>
      </c>
      <c r="H279" s="48" t="s">
        <v>159</v>
      </c>
      <c r="I279" s="48">
        <v>1</v>
      </c>
      <c r="J279" s="48">
        <v>166</v>
      </c>
      <c r="K279" s="48">
        <v>1</v>
      </c>
      <c r="N279" s="48">
        <v>0</v>
      </c>
      <c r="R279" s="49"/>
      <c r="S279" s="49"/>
      <c r="T279" s="49">
        <v>50982</v>
      </c>
      <c r="U279" s="49">
        <v>50982</v>
      </c>
      <c r="V279" s="49">
        <v>50982</v>
      </c>
      <c r="W279" s="49">
        <v>50982</v>
      </c>
      <c r="X279" s="48">
        <v>1</v>
      </c>
      <c r="Y279" s="48">
        <v>1</v>
      </c>
      <c r="Z279" s="48">
        <v>1</v>
      </c>
      <c r="AA279" s="156">
        <v>2193.1339020672222</v>
      </c>
      <c r="AF279" s="48">
        <v>0</v>
      </c>
      <c r="AG279" s="49" t="s">
        <v>32</v>
      </c>
      <c r="AH279" s="48">
        <v>1</v>
      </c>
      <c r="AI279" s="48" t="s">
        <v>33</v>
      </c>
      <c r="AJ279" s="48" t="s">
        <v>33</v>
      </c>
      <c r="AK279" s="48" t="s">
        <v>33</v>
      </c>
      <c r="AL279" s="48" t="s">
        <v>34</v>
      </c>
      <c r="AN279" s="48">
        <v>0</v>
      </c>
      <c r="AO279" s="48">
        <v>0</v>
      </c>
      <c r="AP279" s="48">
        <v>0</v>
      </c>
      <c r="AQ279" s="48">
        <v>0</v>
      </c>
      <c r="AR279" s="48">
        <v>0</v>
      </c>
      <c r="AS279" s="48">
        <v>0</v>
      </c>
      <c r="AT279" s="48">
        <v>0</v>
      </c>
      <c r="AU279" s="48">
        <v>0</v>
      </c>
      <c r="AV279" s="48">
        <v>0</v>
      </c>
      <c r="AW279" s="48">
        <v>0</v>
      </c>
      <c r="AX279" s="48">
        <v>0</v>
      </c>
      <c r="AY279" s="48">
        <v>0</v>
      </c>
      <c r="AZ279" s="48">
        <v>0</v>
      </c>
      <c r="BA279" s="48">
        <v>0</v>
      </c>
      <c r="BB279" s="48">
        <v>0</v>
      </c>
    </row>
    <row r="280" spans="1:54" x14ac:dyDescent="0.35">
      <c r="A280" s="49">
        <v>45930</v>
      </c>
      <c r="B280" s="48">
        <v>1</v>
      </c>
      <c r="C280" s="50" t="s">
        <v>32</v>
      </c>
      <c r="D280" s="48" t="s">
        <v>31</v>
      </c>
      <c r="E280" s="48" t="s">
        <v>138</v>
      </c>
      <c r="F280" s="48" t="s">
        <v>139</v>
      </c>
      <c r="G280" s="49" t="s">
        <v>59</v>
      </c>
      <c r="H280" s="48" t="s">
        <v>159</v>
      </c>
      <c r="I280" s="48">
        <v>1</v>
      </c>
      <c r="J280" s="48">
        <v>167</v>
      </c>
      <c r="K280" s="48">
        <v>1</v>
      </c>
      <c r="N280" s="48">
        <v>0</v>
      </c>
      <c r="R280" s="49"/>
      <c r="S280" s="49"/>
      <c r="T280" s="49">
        <v>51013</v>
      </c>
      <c r="U280" s="49">
        <v>51013</v>
      </c>
      <c r="V280" s="49">
        <v>51013</v>
      </c>
      <c r="W280" s="49">
        <v>51013</v>
      </c>
      <c r="X280" s="48">
        <v>1</v>
      </c>
      <c r="Y280" s="48">
        <v>1</v>
      </c>
      <c r="Z280" s="48">
        <v>1</v>
      </c>
      <c r="AA280" s="156">
        <v>2193.1339020672222</v>
      </c>
      <c r="AF280" s="48">
        <v>0</v>
      </c>
      <c r="AG280" s="49" t="s">
        <v>32</v>
      </c>
      <c r="AH280" s="48">
        <v>1</v>
      </c>
      <c r="AI280" s="48" t="s">
        <v>33</v>
      </c>
      <c r="AJ280" s="48" t="s">
        <v>33</v>
      </c>
      <c r="AK280" s="48" t="s">
        <v>33</v>
      </c>
      <c r="AL280" s="48" t="s">
        <v>34</v>
      </c>
      <c r="AN280" s="48">
        <v>0</v>
      </c>
      <c r="AO280" s="48">
        <v>0</v>
      </c>
      <c r="AP280" s="48">
        <v>0</v>
      </c>
      <c r="AQ280" s="48">
        <v>0</v>
      </c>
      <c r="AR280" s="48">
        <v>0</v>
      </c>
      <c r="AS280" s="48">
        <v>0</v>
      </c>
      <c r="AT280" s="48">
        <v>0</v>
      </c>
      <c r="AU280" s="48">
        <v>0</v>
      </c>
      <c r="AV280" s="48">
        <v>0</v>
      </c>
      <c r="AW280" s="48">
        <v>0</v>
      </c>
      <c r="AX280" s="48">
        <v>0</v>
      </c>
      <c r="AY280" s="48">
        <v>0</v>
      </c>
      <c r="AZ280" s="48">
        <v>0</v>
      </c>
      <c r="BA280" s="48">
        <v>0</v>
      </c>
      <c r="BB280" s="48">
        <v>0</v>
      </c>
    </row>
    <row r="281" spans="1:54" x14ac:dyDescent="0.35">
      <c r="A281" s="49">
        <v>45930</v>
      </c>
      <c r="B281" s="48">
        <v>1</v>
      </c>
      <c r="C281" s="50" t="s">
        <v>32</v>
      </c>
      <c r="D281" s="48" t="s">
        <v>31</v>
      </c>
      <c r="E281" s="48" t="s">
        <v>138</v>
      </c>
      <c r="F281" s="48" t="s">
        <v>139</v>
      </c>
      <c r="G281" s="49" t="s">
        <v>59</v>
      </c>
      <c r="H281" s="48" t="s">
        <v>159</v>
      </c>
      <c r="I281" s="48">
        <v>1</v>
      </c>
      <c r="J281" s="48">
        <v>168</v>
      </c>
      <c r="K281" s="48">
        <v>1</v>
      </c>
      <c r="N281" s="48">
        <v>0</v>
      </c>
      <c r="R281" s="49"/>
      <c r="S281" s="49"/>
      <c r="T281" s="49">
        <v>51043</v>
      </c>
      <c r="U281" s="49">
        <v>51043</v>
      </c>
      <c r="V281" s="49">
        <v>51043</v>
      </c>
      <c r="W281" s="49">
        <v>51043</v>
      </c>
      <c r="X281" s="48">
        <v>1</v>
      </c>
      <c r="Y281" s="48">
        <v>1</v>
      </c>
      <c r="Z281" s="48">
        <v>1</v>
      </c>
      <c r="AA281" s="156">
        <v>2193.1339020672222</v>
      </c>
      <c r="AF281" s="48">
        <v>0</v>
      </c>
      <c r="AG281" s="49" t="s">
        <v>32</v>
      </c>
      <c r="AH281" s="48">
        <v>1</v>
      </c>
      <c r="AI281" s="48" t="s">
        <v>33</v>
      </c>
      <c r="AJ281" s="48" t="s">
        <v>33</v>
      </c>
      <c r="AK281" s="48" t="s">
        <v>33</v>
      </c>
      <c r="AL281" s="48" t="s">
        <v>34</v>
      </c>
      <c r="AN281" s="48">
        <v>0</v>
      </c>
      <c r="AO281" s="48">
        <v>0</v>
      </c>
      <c r="AP281" s="48">
        <v>0</v>
      </c>
      <c r="AQ281" s="48">
        <v>0</v>
      </c>
      <c r="AR281" s="48">
        <v>0</v>
      </c>
      <c r="AS281" s="48">
        <v>0</v>
      </c>
      <c r="AT281" s="48">
        <v>0</v>
      </c>
      <c r="AU281" s="48">
        <v>0</v>
      </c>
      <c r="AV281" s="48">
        <v>0</v>
      </c>
      <c r="AW281" s="48">
        <v>0</v>
      </c>
      <c r="AX281" s="48">
        <v>0</v>
      </c>
      <c r="AY281" s="48">
        <v>0</v>
      </c>
      <c r="AZ281" s="48">
        <v>0</v>
      </c>
      <c r="BA281" s="48">
        <v>0</v>
      </c>
      <c r="BB281" s="48">
        <v>0</v>
      </c>
    </row>
    <row r="282" spans="1:54" x14ac:dyDescent="0.35">
      <c r="A282" s="49">
        <v>45930</v>
      </c>
      <c r="B282" s="48">
        <v>1</v>
      </c>
      <c r="C282" s="50" t="s">
        <v>32</v>
      </c>
      <c r="D282" s="48" t="s">
        <v>31</v>
      </c>
      <c r="E282" s="48" t="s">
        <v>138</v>
      </c>
      <c r="F282" s="48" t="s">
        <v>139</v>
      </c>
      <c r="G282" s="49" t="s">
        <v>59</v>
      </c>
      <c r="H282" s="48" t="s">
        <v>159</v>
      </c>
      <c r="I282" s="48">
        <v>1</v>
      </c>
      <c r="J282" s="48">
        <v>169</v>
      </c>
      <c r="K282" s="48">
        <v>1</v>
      </c>
      <c r="N282" s="48">
        <v>0</v>
      </c>
      <c r="R282" s="49"/>
      <c r="S282" s="49"/>
      <c r="T282" s="49">
        <v>51074</v>
      </c>
      <c r="U282" s="49">
        <v>51074</v>
      </c>
      <c r="V282" s="49">
        <v>51074</v>
      </c>
      <c r="W282" s="49">
        <v>51074</v>
      </c>
      <c r="X282" s="48">
        <v>1</v>
      </c>
      <c r="Y282" s="48">
        <v>1</v>
      </c>
      <c r="Z282" s="48">
        <v>1</v>
      </c>
      <c r="AA282" s="156">
        <v>2193.1339020672222</v>
      </c>
      <c r="AF282" s="48">
        <v>0</v>
      </c>
      <c r="AG282" s="49" t="s">
        <v>32</v>
      </c>
      <c r="AH282" s="48">
        <v>1</v>
      </c>
      <c r="AI282" s="48" t="s">
        <v>33</v>
      </c>
      <c r="AJ282" s="48" t="s">
        <v>33</v>
      </c>
      <c r="AK282" s="48" t="s">
        <v>33</v>
      </c>
      <c r="AL282" s="48" t="s">
        <v>34</v>
      </c>
      <c r="AN282" s="48">
        <v>0</v>
      </c>
      <c r="AO282" s="48">
        <v>0</v>
      </c>
      <c r="AP282" s="48">
        <v>0</v>
      </c>
      <c r="AQ282" s="48">
        <v>0</v>
      </c>
      <c r="AR282" s="48">
        <v>0</v>
      </c>
      <c r="AS282" s="48">
        <v>0</v>
      </c>
      <c r="AT282" s="48">
        <v>0</v>
      </c>
      <c r="AU282" s="48">
        <v>0</v>
      </c>
      <c r="AV282" s="48">
        <v>0</v>
      </c>
      <c r="AW282" s="48">
        <v>0</v>
      </c>
      <c r="AX282" s="48">
        <v>0</v>
      </c>
      <c r="AY282" s="48">
        <v>0</v>
      </c>
      <c r="AZ282" s="48">
        <v>0</v>
      </c>
      <c r="BA282" s="48">
        <v>0</v>
      </c>
      <c r="BB282" s="48">
        <v>0</v>
      </c>
    </row>
    <row r="283" spans="1:54" x14ac:dyDescent="0.35">
      <c r="A283" s="49">
        <v>45930</v>
      </c>
      <c r="B283" s="48">
        <v>1</v>
      </c>
      <c r="C283" s="50" t="s">
        <v>32</v>
      </c>
      <c r="D283" s="48" t="s">
        <v>31</v>
      </c>
      <c r="E283" s="48" t="s">
        <v>138</v>
      </c>
      <c r="F283" s="48" t="s">
        <v>139</v>
      </c>
      <c r="G283" s="49" t="s">
        <v>59</v>
      </c>
      <c r="H283" s="48" t="s">
        <v>159</v>
      </c>
      <c r="I283" s="48">
        <v>1</v>
      </c>
      <c r="J283" s="48">
        <v>170</v>
      </c>
      <c r="K283" s="48">
        <v>1</v>
      </c>
      <c r="N283" s="48">
        <v>0</v>
      </c>
      <c r="R283" s="49"/>
      <c r="S283" s="49"/>
      <c r="T283" s="49">
        <v>51104</v>
      </c>
      <c r="U283" s="49">
        <v>51104</v>
      </c>
      <c r="V283" s="49">
        <v>51104</v>
      </c>
      <c r="W283" s="49">
        <v>51104</v>
      </c>
      <c r="X283" s="48">
        <v>1</v>
      </c>
      <c r="Y283" s="48">
        <v>1</v>
      </c>
      <c r="Z283" s="48">
        <v>1</v>
      </c>
      <c r="AA283" s="156">
        <v>2193.1339020672222</v>
      </c>
      <c r="AF283" s="48">
        <v>0</v>
      </c>
      <c r="AG283" s="49" t="s">
        <v>32</v>
      </c>
      <c r="AH283" s="48">
        <v>1</v>
      </c>
      <c r="AI283" s="48" t="s">
        <v>33</v>
      </c>
      <c r="AJ283" s="48" t="s">
        <v>33</v>
      </c>
      <c r="AK283" s="48" t="s">
        <v>33</v>
      </c>
      <c r="AL283" s="48" t="s">
        <v>34</v>
      </c>
      <c r="AN283" s="48">
        <v>0</v>
      </c>
      <c r="AO283" s="48">
        <v>0</v>
      </c>
      <c r="AP283" s="48">
        <v>0</v>
      </c>
      <c r="AQ283" s="48">
        <v>0</v>
      </c>
      <c r="AR283" s="48">
        <v>0</v>
      </c>
      <c r="AS283" s="48">
        <v>0</v>
      </c>
      <c r="AT283" s="48">
        <v>0</v>
      </c>
      <c r="AU283" s="48">
        <v>0</v>
      </c>
      <c r="AV283" s="48">
        <v>0</v>
      </c>
      <c r="AW283" s="48">
        <v>0</v>
      </c>
      <c r="AX283" s="48">
        <v>0</v>
      </c>
      <c r="AY283" s="48">
        <v>0</v>
      </c>
      <c r="AZ283" s="48">
        <v>0</v>
      </c>
      <c r="BA283" s="48">
        <v>0</v>
      </c>
      <c r="BB283" s="48">
        <v>0</v>
      </c>
    </row>
    <row r="284" spans="1:54" x14ac:dyDescent="0.35">
      <c r="A284" s="49">
        <v>45930</v>
      </c>
      <c r="B284" s="48">
        <v>1</v>
      </c>
      <c r="C284" s="50" t="s">
        <v>32</v>
      </c>
      <c r="D284" s="48" t="s">
        <v>31</v>
      </c>
      <c r="E284" s="48" t="s">
        <v>138</v>
      </c>
      <c r="F284" s="48" t="s">
        <v>139</v>
      </c>
      <c r="G284" s="49" t="s">
        <v>59</v>
      </c>
      <c r="H284" s="48" t="s">
        <v>159</v>
      </c>
      <c r="I284" s="48">
        <v>1</v>
      </c>
      <c r="J284" s="48">
        <v>171</v>
      </c>
      <c r="K284" s="48">
        <v>1</v>
      </c>
      <c r="N284" s="48">
        <v>0</v>
      </c>
      <c r="R284" s="49"/>
      <c r="S284" s="49"/>
      <c r="T284" s="49">
        <v>51135</v>
      </c>
      <c r="U284" s="49">
        <v>51135</v>
      </c>
      <c r="V284" s="49">
        <v>51135</v>
      </c>
      <c r="W284" s="49">
        <v>51135</v>
      </c>
      <c r="X284" s="48">
        <v>1</v>
      </c>
      <c r="Y284" s="48">
        <v>1</v>
      </c>
      <c r="Z284" s="48">
        <v>1</v>
      </c>
      <c r="AA284" s="156">
        <v>2193.1339020672222</v>
      </c>
      <c r="AF284" s="48">
        <v>0</v>
      </c>
      <c r="AG284" s="49" t="s">
        <v>32</v>
      </c>
      <c r="AH284" s="48">
        <v>1</v>
      </c>
      <c r="AI284" s="48" t="s">
        <v>33</v>
      </c>
      <c r="AJ284" s="48" t="s">
        <v>33</v>
      </c>
      <c r="AK284" s="48" t="s">
        <v>33</v>
      </c>
      <c r="AL284" s="48" t="s">
        <v>34</v>
      </c>
      <c r="AN284" s="48">
        <v>0</v>
      </c>
      <c r="AO284" s="48">
        <v>0</v>
      </c>
      <c r="AP284" s="48">
        <v>0</v>
      </c>
      <c r="AQ284" s="48">
        <v>0</v>
      </c>
      <c r="AR284" s="48">
        <v>0</v>
      </c>
      <c r="AS284" s="48">
        <v>0</v>
      </c>
      <c r="AT284" s="48">
        <v>0</v>
      </c>
      <c r="AU284" s="48">
        <v>0</v>
      </c>
      <c r="AV284" s="48">
        <v>0</v>
      </c>
      <c r="AW284" s="48">
        <v>0</v>
      </c>
      <c r="AX284" s="48">
        <v>0</v>
      </c>
      <c r="AY284" s="48">
        <v>0</v>
      </c>
      <c r="AZ284" s="48">
        <v>0</v>
      </c>
      <c r="BA284" s="48">
        <v>0</v>
      </c>
      <c r="BB284" s="48">
        <v>0</v>
      </c>
    </row>
    <row r="285" spans="1:54" x14ac:dyDescent="0.35">
      <c r="A285" s="49">
        <v>45930</v>
      </c>
      <c r="B285" s="48">
        <v>1</v>
      </c>
      <c r="C285" s="50" t="s">
        <v>32</v>
      </c>
      <c r="D285" s="48" t="s">
        <v>31</v>
      </c>
      <c r="E285" s="48" t="s">
        <v>138</v>
      </c>
      <c r="F285" s="48" t="s">
        <v>139</v>
      </c>
      <c r="G285" s="49" t="s">
        <v>59</v>
      </c>
      <c r="H285" s="48" t="s">
        <v>159</v>
      </c>
      <c r="I285" s="48">
        <v>1</v>
      </c>
      <c r="J285" s="48">
        <v>172</v>
      </c>
      <c r="K285" s="48">
        <v>1</v>
      </c>
      <c r="N285" s="48">
        <v>0</v>
      </c>
      <c r="R285" s="49"/>
      <c r="S285" s="49"/>
      <c r="T285" s="49">
        <v>51166</v>
      </c>
      <c r="U285" s="49">
        <v>51166</v>
      </c>
      <c r="V285" s="49">
        <v>51166</v>
      </c>
      <c r="W285" s="49">
        <v>51166</v>
      </c>
      <c r="X285" s="48">
        <v>1</v>
      </c>
      <c r="Y285" s="48">
        <v>1</v>
      </c>
      <c r="Z285" s="48">
        <v>1</v>
      </c>
      <c r="AA285" s="156">
        <v>2193.1339020672222</v>
      </c>
      <c r="AF285" s="48">
        <v>0</v>
      </c>
      <c r="AG285" s="49" t="s">
        <v>32</v>
      </c>
      <c r="AH285" s="48">
        <v>1</v>
      </c>
      <c r="AI285" s="48" t="s">
        <v>33</v>
      </c>
      <c r="AJ285" s="48" t="s">
        <v>33</v>
      </c>
      <c r="AK285" s="48" t="s">
        <v>33</v>
      </c>
      <c r="AL285" s="48" t="s">
        <v>34</v>
      </c>
      <c r="AN285" s="48">
        <v>0</v>
      </c>
      <c r="AO285" s="48">
        <v>0</v>
      </c>
      <c r="AP285" s="48">
        <v>0</v>
      </c>
      <c r="AQ285" s="48">
        <v>0</v>
      </c>
      <c r="AR285" s="48">
        <v>0</v>
      </c>
      <c r="AS285" s="48">
        <v>0</v>
      </c>
      <c r="AT285" s="48">
        <v>0</v>
      </c>
      <c r="AU285" s="48">
        <v>0</v>
      </c>
      <c r="AV285" s="48">
        <v>0</v>
      </c>
      <c r="AW285" s="48">
        <v>0</v>
      </c>
      <c r="AX285" s="48">
        <v>0</v>
      </c>
      <c r="AY285" s="48">
        <v>0</v>
      </c>
      <c r="AZ285" s="48">
        <v>0</v>
      </c>
      <c r="BA285" s="48">
        <v>0</v>
      </c>
      <c r="BB285" s="48">
        <v>0</v>
      </c>
    </row>
    <row r="286" spans="1:54" x14ac:dyDescent="0.35">
      <c r="A286" s="49">
        <v>45930</v>
      </c>
      <c r="B286" s="48">
        <v>1</v>
      </c>
      <c r="C286" s="50" t="s">
        <v>32</v>
      </c>
      <c r="D286" s="48" t="s">
        <v>31</v>
      </c>
      <c r="E286" s="48" t="s">
        <v>138</v>
      </c>
      <c r="F286" s="48" t="s">
        <v>139</v>
      </c>
      <c r="G286" s="49" t="s">
        <v>59</v>
      </c>
      <c r="H286" s="48" t="s">
        <v>159</v>
      </c>
      <c r="I286" s="48">
        <v>1</v>
      </c>
      <c r="J286" s="48">
        <v>173</v>
      </c>
      <c r="K286" s="48">
        <v>1</v>
      </c>
      <c r="N286" s="48">
        <v>0</v>
      </c>
      <c r="R286" s="49"/>
      <c r="S286" s="49"/>
      <c r="T286" s="49">
        <v>51195</v>
      </c>
      <c r="U286" s="49">
        <v>51195</v>
      </c>
      <c r="V286" s="49">
        <v>51195</v>
      </c>
      <c r="W286" s="49">
        <v>51195</v>
      </c>
      <c r="X286" s="48">
        <v>1</v>
      </c>
      <c r="Y286" s="48">
        <v>1</v>
      </c>
      <c r="Z286" s="48">
        <v>1</v>
      </c>
      <c r="AA286" s="156">
        <v>2193.1339020672222</v>
      </c>
      <c r="AF286" s="48">
        <v>0</v>
      </c>
      <c r="AG286" s="49" t="s">
        <v>32</v>
      </c>
      <c r="AH286" s="48">
        <v>1</v>
      </c>
      <c r="AI286" s="48" t="s">
        <v>33</v>
      </c>
      <c r="AJ286" s="48" t="s">
        <v>33</v>
      </c>
      <c r="AK286" s="48" t="s">
        <v>33</v>
      </c>
      <c r="AL286" s="48" t="s">
        <v>34</v>
      </c>
      <c r="AN286" s="48">
        <v>0</v>
      </c>
      <c r="AO286" s="48">
        <v>0</v>
      </c>
      <c r="AP286" s="48">
        <v>0</v>
      </c>
      <c r="AQ286" s="48">
        <v>0</v>
      </c>
      <c r="AR286" s="48">
        <v>0</v>
      </c>
      <c r="AS286" s="48">
        <v>0</v>
      </c>
      <c r="AT286" s="48">
        <v>0</v>
      </c>
      <c r="AU286" s="48">
        <v>0</v>
      </c>
      <c r="AV286" s="48">
        <v>0</v>
      </c>
      <c r="AW286" s="48">
        <v>0</v>
      </c>
      <c r="AX286" s="48">
        <v>0</v>
      </c>
      <c r="AY286" s="48">
        <v>0</v>
      </c>
      <c r="AZ286" s="48">
        <v>0</v>
      </c>
      <c r="BA286" s="48">
        <v>0</v>
      </c>
      <c r="BB286" s="48">
        <v>0</v>
      </c>
    </row>
    <row r="287" spans="1:54" x14ac:dyDescent="0.35">
      <c r="A287" s="49">
        <v>45930</v>
      </c>
      <c r="B287" s="48">
        <v>1</v>
      </c>
      <c r="C287" s="50" t="s">
        <v>32</v>
      </c>
      <c r="D287" s="48" t="s">
        <v>31</v>
      </c>
      <c r="E287" s="48" t="s">
        <v>138</v>
      </c>
      <c r="F287" s="48" t="s">
        <v>139</v>
      </c>
      <c r="G287" s="49" t="s">
        <v>59</v>
      </c>
      <c r="H287" s="48" t="s">
        <v>159</v>
      </c>
      <c r="I287" s="48">
        <v>1</v>
      </c>
      <c r="J287" s="48">
        <v>174</v>
      </c>
      <c r="K287" s="48">
        <v>1</v>
      </c>
      <c r="N287" s="48">
        <v>0</v>
      </c>
      <c r="R287" s="49"/>
      <c r="S287" s="49"/>
      <c r="T287" s="49">
        <v>51226</v>
      </c>
      <c r="U287" s="49">
        <v>51226</v>
      </c>
      <c r="V287" s="49">
        <v>51226</v>
      </c>
      <c r="W287" s="49">
        <v>51226</v>
      </c>
      <c r="X287" s="48">
        <v>1</v>
      </c>
      <c r="Y287" s="48">
        <v>1</v>
      </c>
      <c r="Z287" s="48">
        <v>1</v>
      </c>
      <c r="AA287" s="156">
        <v>2193.1339020672222</v>
      </c>
      <c r="AF287" s="48">
        <v>0</v>
      </c>
      <c r="AG287" s="49" t="s">
        <v>32</v>
      </c>
      <c r="AH287" s="48">
        <v>1</v>
      </c>
      <c r="AI287" s="48" t="s">
        <v>33</v>
      </c>
      <c r="AJ287" s="48" t="s">
        <v>33</v>
      </c>
      <c r="AK287" s="48" t="s">
        <v>33</v>
      </c>
      <c r="AL287" s="48" t="s">
        <v>34</v>
      </c>
      <c r="AN287" s="48">
        <v>0</v>
      </c>
      <c r="AO287" s="48">
        <v>0</v>
      </c>
      <c r="AP287" s="48">
        <v>0</v>
      </c>
      <c r="AQ287" s="48">
        <v>0</v>
      </c>
      <c r="AR287" s="48">
        <v>0</v>
      </c>
      <c r="AS287" s="48">
        <v>0</v>
      </c>
      <c r="AT287" s="48">
        <v>0</v>
      </c>
      <c r="AU287" s="48">
        <v>0</v>
      </c>
      <c r="AV287" s="48">
        <v>0</v>
      </c>
      <c r="AW287" s="48">
        <v>0</v>
      </c>
      <c r="AX287" s="48">
        <v>0</v>
      </c>
      <c r="AY287" s="48">
        <v>0</v>
      </c>
      <c r="AZ287" s="48">
        <v>0</v>
      </c>
      <c r="BA287" s="48">
        <v>0</v>
      </c>
      <c r="BB287" s="48">
        <v>0</v>
      </c>
    </row>
    <row r="288" spans="1:54" x14ac:dyDescent="0.35">
      <c r="A288" s="49">
        <v>45930</v>
      </c>
      <c r="B288" s="48">
        <v>1</v>
      </c>
      <c r="C288" s="50" t="s">
        <v>32</v>
      </c>
      <c r="D288" s="48" t="s">
        <v>31</v>
      </c>
      <c r="E288" s="48" t="s">
        <v>138</v>
      </c>
      <c r="F288" s="48" t="s">
        <v>139</v>
      </c>
      <c r="G288" s="49" t="s">
        <v>59</v>
      </c>
      <c r="H288" s="48" t="s">
        <v>159</v>
      </c>
      <c r="I288" s="48">
        <v>1</v>
      </c>
      <c r="J288" s="48">
        <v>175</v>
      </c>
      <c r="K288" s="48">
        <v>1</v>
      </c>
      <c r="N288" s="48">
        <v>0</v>
      </c>
      <c r="R288" s="49"/>
      <c r="S288" s="49"/>
      <c r="T288" s="49">
        <v>51256</v>
      </c>
      <c r="U288" s="49">
        <v>51256</v>
      </c>
      <c r="V288" s="49">
        <v>51256</v>
      </c>
      <c r="W288" s="49">
        <v>51256</v>
      </c>
      <c r="X288" s="48">
        <v>1</v>
      </c>
      <c r="Y288" s="48">
        <v>1</v>
      </c>
      <c r="Z288" s="48">
        <v>1</v>
      </c>
      <c r="AA288" s="156">
        <v>2193.1339020672222</v>
      </c>
      <c r="AF288" s="48">
        <v>0</v>
      </c>
      <c r="AG288" s="49" t="s">
        <v>32</v>
      </c>
      <c r="AH288" s="48">
        <v>1</v>
      </c>
      <c r="AI288" s="48" t="s">
        <v>33</v>
      </c>
      <c r="AJ288" s="48" t="s">
        <v>33</v>
      </c>
      <c r="AK288" s="48" t="s">
        <v>33</v>
      </c>
      <c r="AL288" s="48" t="s">
        <v>34</v>
      </c>
      <c r="AN288" s="48">
        <v>0</v>
      </c>
      <c r="AO288" s="48">
        <v>0</v>
      </c>
      <c r="AP288" s="48">
        <v>0</v>
      </c>
      <c r="AQ288" s="48">
        <v>0</v>
      </c>
      <c r="AR288" s="48">
        <v>0</v>
      </c>
      <c r="AS288" s="48">
        <v>0</v>
      </c>
      <c r="AT288" s="48">
        <v>0</v>
      </c>
      <c r="AU288" s="48">
        <v>0</v>
      </c>
      <c r="AV288" s="48">
        <v>0</v>
      </c>
      <c r="AW288" s="48">
        <v>0</v>
      </c>
      <c r="AX288" s="48">
        <v>0</v>
      </c>
      <c r="AY288" s="48">
        <v>0</v>
      </c>
      <c r="AZ288" s="48">
        <v>0</v>
      </c>
      <c r="BA288" s="48">
        <v>0</v>
      </c>
      <c r="BB288" s="48">
        <v>0</v>
      </c>
    </row>
    <row r="289" spans="1:54" x14ac:dyDescent="0.35">
      <c r="A289" s="49">
        <v>45930</v>
      </c>
      <c r="B289" s="48">
        <v>1</v>
      </c>
      <c r="C289" s="50" t="s">
        <v>32</v>
      </c>
      <c r="D289" s="48" t="s">
        <v>31</v>
      </c>
      <c r="E289" s="48" t="s">
        <v>138</v>
      </c>
      <c r="F289" s="48" t="s">
        <v>139</v>
      </c>
      <c r="G289" s="49" t="s">
        <v>59</v>
      </c>
      <c r="H289" s="48" t="s">
        <v>159</v>
      </c>
      <c r="I289" s="48">
        <v>1</v>
      </c>
      <c r="J289" s="48">
        <v>176</v>
      </c>
      <c r="K289" s="48">
        <v>1</v>
      </c>
      <c r="N289" s="48">
        <v>0</v>
      </c>
      <c r="R289" s="49"/>
      <c r="S289" s="49"/>
      <c r="T289" s="49">
        <v>51287</v>
      </c>
      <c r="U289" s="49">
        <v>51287</v>
      </c>
      <c r="V289" s="49">
        <v>51287</v>
      </c>
      <c r="W289" s="49">
        <v>51287</v>
      </c>
      <c r="X289" s="48">
        <v>1</v>
      </c>
      <c r="Y289" s="48">
        <v>1</v>
      </c>
      <c r="Z289" s="48">
        <v>1</v>
      </c>
      <c r="AA289" s="156">
        <v>2193.1339020672222</v>
      </c>
      <c r="AF289" s="48">
        <v>0</v>
      </c>
      <c r="AG289" s="49" t="s">
        <v>32</v>
      </c>
      <c r="AH289" s="48">
        <v>1</v>
      </c>
      <c r="AI289" s="48" t="s">
        <v>33</v>
      </c>
      <c r="AJ289" s="48" t="s">
        <v>33</v>
      </c>
      <c r="AK289" s="48" t="s">
        <v>33</v>
      </c>
      <c r="AL289" s="48" t="s">
        <v>34</v>
      </c>
      <c r="AN289" s="48">
        <v>0</v>
      </c>
      <c r="AO289" s="48">
        <v>0</v>
      </c>
      <c r="AP289" s="48">
        <v>0</v>
      </c>
      <c r="AQ289" s="48">
        <v>0</v>
      </c>
      <c r="AR289" s="48">
        <v>0</v>
      </c>
      <c r="AS289" s="48">
        <v>0</v>
      </c>
      <c r="AT289" s="48">
        <v>0</v>
      </c>
      <c r="AU289" s="48">
        <v>0</v>
      </c>
      <c r="AV289" s="48">
        <v>0</v>
      </c>
      <c r="AW289" s="48">
        <v>0</v>
      </c>
      <c r="AX289" s="48">
        <v>0</v>
      </c>
      <c r="AY289" s="48">
        <v>0</v>
      </c>
      <c r="AZ289" s="48">
        <v>0</v>
      </c>
      <c r="BA289" s="48">
        <v>0</v>
      </c>
      <c r="BB289" s="48">
        <v>0</v>
      </c>
    </row>
    <row r="290" spans="1:54" x14ac:dyDescent="0.35">
      <c r="A290" s="49">
        <v>45930</v>
      </c>
      <c r="B290" s="48">
        <v>1</v>
      </c>
      <c r="C290" s="50" t="s">
        <v>32</v>
      </c>
      <c r="D290" s="48" t="s">
        <v>31</v>
      </c>
      <c r="E290" s="48" t="s">
        <v>138</v>
      </c>
      <c r="F290" s="48" t="s">
        <v>139</v>
      </c>
      <c r="G290" s="49" t="s">
        <v>59</v>
      </c>
      <c r="H290" s="48" t="s">
        <v>159</v>
      </c>
      <c r="I290" s="48">
        <v>1</v>
      </c>
      <c r="J290" s="48">
        <v>177</v>
      </c>
      <c r="K290" s="48">
        <v>1</v>
      </c>
      <c r="N290" s="48">
        <v>0</v>
      </c>
      <c r="R290" s="49"/>
      <c r="S290" s="49"/>
      <c r="T290" s="49">
        <v>51317</v>
      </c>
      <c r="U290" s="49">
        <v>51317</v>
      </c>
      <c r="V290" s="49">
        <v>51317</v>
      </c>
      <c r="W290" s="49">
        <v>51317</v>
      </c>
      <c r="X290" s="48">
        <v>1</v>
      </c>
      <c r="Y290" s="48">
        <v>1</v>
      </c>
      <c r="Z290" s="48">
        <v>1</v>
      </c>
      <c r="AA290" s="156">
        <v>2193.1339020672222</v>
      </c>
      <c r="AF290" s="48">
        <v>0</v>
      </c>
      <c r="AG290" s="49" t="s">
        <v>32</v>
      </c>
      <c r="AH290" s="48">
        <v>1</v>
      </c>
      <c r="AI290" s="48" t="s">
        <v>33</v>
      </c>
      <c r="AJ290" s="48" t="s">
        <v>33</v>
      </c>
      <c r="AK290" s="48" t="s">
        <v>33</v>
      </c>
      <c r="AL290" s="48" t="s">
        <v>34</v>
      </c>
      <c r="AN290" s="48">
        <v>0</v>
      </c>
      <c r="AO290" s="48">
        <v>0</v>
      </c>
      <c r="AP290" s="48">
        <v>0</v>
      </c>
      <c r="AQ290" s="48">
        <v>0</v>
      </c>
      <c r="AR290" s="48">
        <v>0</v>
      </c>
      <c r="AS290" s="48">
        <v>0</v>
      </c>
      <c r="AT290" s="48">
        <v>0</v>
      </c>
      <c r="AU290" s="48">
        <v>0</v>
      </c>
      <c r="AV290" s="48">
        <v>0</v>
      </c>
      <c r="AW290" s="48">
        <v>0</v>
      </c>
      <c r="AX290" s="48">
        <v>0</v>
      </c>
      <c r="AY290" s="48">
        <v>0</v>
      </c>
      <c r="AZ290" s="48">
        <v>0</v>
      </c>
      <c r="BA290" s="48">
        <v>0</v>
      </c>
      <c r="BB290" s="48">
        <v>0</v>
      </c>
    </row>
    <row r="291" spans="1:54" x14ac:dyDescent="0.35">
      <c r="A291" s="49">
        <v>45930</v>
      </c>
      <c r="B291" s="48">
        <v>1</v>
      </c>
      <c r="C291" s="50" t="s">
        <v>32</v>
      </c>
      <c r="D291" s="48" t="s">
        <v>31</v>
      </c>
      <c r="E291" s="48" t="s">
        <v>138</v>
      </c>
      <c r="F291" s="48" t="s">
        <v>139</v>
      </c>
      <c r="G291" s="49" t="s">
        <v>59</v>
      </c>
      <c r="H291" s="48" t="s">
        <v>159</v>
      </c>
      <c r="I291" s="48">
        <v>1</v>
      </c>
      <c r="J291" s="48">
        <v>178</v>
      </c>
      <c r="K291" s="48">
        <v>1</v>
      </c>
      <c r="N291" s="48">
        <v>0</v>
      </c>
      <c r="R291" s="49"/>
      <c r="S291" s="49"/>
      <c r="T291" s="49">
        <v>51348</v>
      </c>
      <c r="U291" s="49">
        <v>51348</v>
      </c>
      <c r="V291" s="49">
        <v>51348</v>
      </c>
      <c r="W291" s="49">
        <v>51348</v>
      </c>
      <c r="X291" s="48">
        <v>1</v>
      </c>
      <c r="Y291" s="48">
        <v>1</v>
      </c>
      <c r="Z291" s="48">
        <v>1</v>
      </c>
      <c r="AA291" s="156">
        <v>2193.1339020672222</v>
      </c>
      <c r="AF291" s="48">
        <v>0</v>
      </c>
      <c r="AG291" s="49" t="s">
        <v>32</v>
      </c>
      <c r="AH291" s="48">
        <v>1</v>
      </c>
      <c r="AI291" s="48" t="s">
        <v>33</v>
      </c>
      <c r="AJ291" s="48" t="s">
        <v>33</v>
      </c>
      <c r="AK291" s="48" t="s">
        <v>33</v>
      </c>
      <c r="AL291" s="48" t="s">
        <v>34</v>
      </c>
      <c r="AN291" s="48">
        <v>0</v>
      </c>
      <c r="AO291" s="48">
        <v>0</v>
      </c>
      <c r="AP291" s="48">
        <v>0</v>
      </c>
      <c r="AQ291" s="48">
        <v>0</v>
      </c>
      <c r="AR291" s="48">
        <v>0</v>
      </c>
      <c r="AS291" s="48">
        <v>0</v>
      </c>
      <c r="AT291" s="48">
        <v>0</v>
      </c>
      <c r="AU291" s="48">
        <v>0</v>
      </c>
      <c r="AV291" s="48">
        <v>0</v>
      </c>
      <c r="AW291" s="48">
        <v>0</v>
      </c>
      <c r="AX291" s="48">
        <v>0</v>
      </c>
      <c r="AY291" s="48">
        <v>0</v>
      </c>
      <c r="AZ291" s="48">
        <v>0</v>
      </c>
      <c r="BA291" s="48">
        <v>0</v>
      </c>
      <c r="BB291" s="48">
        <v>0</v>
      </c>
    </row>
    <row r="292" spans="1:54" x14ac:dyDescent="0.35">
      <c r="A292" s="49">
        <v>45930</v>
      </c>
      <c r="B292" s="48">
        <v>1</v>
      </c>
      <c r="C292" s="50" t="s">
        <v>32</v>
      </c>
      <c r="D292" s="48" t="s">
        <v>31</v>
      </c>
      <c r="E292" s="48" t="s">
        <v>138</v>
      </c>
      <c r="F292" s="48" t="s">
        <v>139</v>
      </c>
      <c r="G292" s="49" t="s">
        <v>59</v>
      </c>
      <c r="H292" s="48" t="s">
        <v>159</v>
      </c>
      <c r="I292" s="48">
        <v>1</v>
      </c>
      <c r="J292" s="48">
        <v>179</v>
      </c>
      <c r="K292" s="48">
        <v>1</v>
      </c>
      <c r="N292" s="48">
        <v>0</v>
      </c>
      <c r="R292" s="49"/>
      <c r="S292" s="49"/>
      <c r="T292" s="49">
        <v>51379</v>
      </c>
      <c r="U292" s="49">
        <v>51379</v>
      </c>
      <c r="V292" s="49">
        <v>51379</v>
      </c>
      <c r="W292" s="49">
        <v>51379</v>
      </c>
      <c r="X292" s="48">
        <v>1</v>
      </c>
      <c r="Y292" s="48">
        <v>1</v>
      </c>
      <c r="Z292" s="48">
        <v>1</v>
      </c>
      <c r="AA292" s="156">
        <v>2193.1339020672222</v>
      </c>
      <c r="AF292" s="48">
        <v>0</v>
      </c>
      <c r="AG292" s="49" t="s">
        <v>32</v>
      </c>
      <c r="AH292" s="48">
        <v>1</v>
      </c>
      <c r="AI292" s="48" t="s">
        <v>33</v>
      </c>
      <c r="AJ292" s="48" t="s">
        <v>33</v>
      </c>
      <c r="AK292" s="48" t="s">
        <v>33</v>
      </c>
      <c r="AL292" s="48" t="s">
        <v>34</v>
      </c>
      <c r="AN292" s="48">
        <v>0</v>
      </c>
      <c r="AO292" s="48">
        <v>0</v>
      </c>
      <c r="AP292" s="48">
        <v>0</v>
      </c>
      <c r="AQ292" s="48">
        <v>0</v>
      </c>
      <c r="AR292" s="48">
        <v>0</v>
      </c>
      <c r="AS292" s="48">
        <v>0</v>
      </c>
      <c r="AT292" s="48">
        <v>0</v>
      </c>
      <c r="AU292" s="48">
        <v>0</v>
      </c>
      <c r="AV292" s="48">
        <v>0</v>
      </c>
      <c r="AW292" s="48">
        <v>0</v>
      </c>
      <c r="AX292" s="48">
        <v>0</v>
      </c>
      <c r="AY292" s="48">
        <v>0</v>
      </c>
      <c r="AZ292" s="48">
        <v>0</v>
      </c>
      <c r="BA292" s="48">
        <v>0</v>
      </c>
      <c r="BB292" s="48">
        <v>0</v>
      </c>
    </row>
    <row r="293" spans="1:54" x14ac:dyDescent="0.35">
      <c r="A293" s="49">
        <v>45930</v>
      </c>
      <c r="B293" s="48">
        <v>1</v>
      </c>
      <c r="C293" s="50" t="s">
        <v>32</v>
      </c>
      <c r="D293" s="48" t="s">
        <v>31</v>
      </c>
      <c r="E293" s="48" t="s">
        <v>138</v>
      </c>
      <c r="F293" s="48" t="s">
        <v>139</v>
      </c>
      <c r="G293" s="49" t="s">
        <v>59</v>
      </c>
      <c r="H293" s="48" t="s">
        <v>159</v>
      </c>
      <c r="I293" s="48">
        <v>1</v>
      </c>
      <c r="J293" s="48">
        <v>180</v>
      </c>
      <c r="K293" s="48">
        <v>1</v>
      </c>
      <c r="N293" s="48">
        <v>0</v>
      </c>
      <c r="R293" s="49"/>
      <c r="S293" s="49"/>
      <c r="T293" s="49">
        <v>51409</v>
      </c>
      <c r="U293" s="49">
        <v>51409</v>
      </c>
      <c r="V293" s="49">
        <v>51409</v>
      </c>
      <c r="W293" s="49">
        <v>51409</v>
      </c>
      <c r="X293" s="48">
        <v>1</v>
      </c>
      <c r="Y293" s="48">
        <v>1</v>
      </c>
      <c r="Z293" s="48">
        <v>1</v>
      </c>
      <c r="AA293" s="156">
        <v>2193.1339020672222</v>
      </c>
      <c r="AF293" s="48">
        <v>0</v>
      </c>
      <c r="AG293" s="49" t="s">
        <v>32</v>
      </c>
      <c r="AH293" s="48">
        <v>1</v>
      </c>
      <c r="AI293" s="48" t="s">
        <v>33</v>
      </c>
      <c r="AJ293" s="48" t="s">
        <v>33</v>
      </c>
      <c r="AK293" s="48" t="s">
        <v>33</v>
      </c>
      <c r="AL293" s="48" t="s">
        <v>34</v>
      </c>
      <c r="AN293" s="48">
        <v>0</v>
      </c>
      <c r="AO293" s="48">
        <v>0</v>
      </c>
      <c r="AP293" s="48">
        <v>0</v>
      </c>
      <c r="AQ293" s="48">
        <v>0</v>
      </c>
      <c r="AR293" s="48">
        <v>0</v>
      </c>
      <c r="AS293" s="48">
        <v>0</v>
      </c>
      <c r="AT293" s="48">
        <v>0</v>
      </c>
      <c r="AU293" s="48">
        <v>0</v>
      </c>
      <c r="AV293" s="48">
        <v>0</v>
      </c>
      <c r="AW293" s="48">
        <v>0</v>
      </c>
      <c r="AX293" s="48">
        <v>0</v>
      </c>
      <c r="AY293" s="48">
        <v>0</v>
      </c>
      <c r="AZ293" s="48">
        <v>0</v>
      </c>
      <c r="BA293" s="48">
        <v>0</v>
      </c>
      <c r="BB293" s="48">
        <v>0</v>
      </c>
    </row>
    <row r="294" spans="1:54" x14ac:dyDescent="0.35">
      <c r="A294" s="49">
        <v>45930</v>
      </c>
      <c r="B294" s="48">
        <v>1</v>
      </c>
      <c r="C294" s="50" t="s">
        <v>32</v>
      </c>
      <c r="D294" s="48" t="s">
        <v>31</v>
      </c>
      <c r="E294" s="48" t="s">
        <v>138</v>
      </c>
      <c r="F294" s="48" t="s">
        <v>139</v>
      </c>
      <c r="G294" s="49" t="s">
        <v>59</v>
      </c>
      <c r="H294" s="48" t="s">
        <v>159</v>
      </c>
      <c r="I294" s="48">
        <v>1</v>
      </c>
      <c r="J294" s="48">
        <v>181</v>
      </c>
      <c r="K294" s="48">
        <v>1</v>
      </c>
      <c r="N294" s="48">
        <v>0</v>
      </c>
      <c r="R294" s="49"/>
      <c r="S294" s="49"/>
      <c r="T294" s="49">
        <v>51440</v>
      </c>
      <c r="U294" s="49">
        <v>51440</v>
      </c>
      <c r="V294" s="49">
        <v>51440</v>
      </c>
      <c r="W294" s="49">
        <v>51440</v>
      </c>
      <c r="X294" s="48">
        <v>1</v>
      </c>
      <c r="Y294" s="48">
        <v>1</v>
      </c>
      <c r="Z294" s="48">
        <v>1</v>
      </c>
      <c r="AA294" s="156">
        <v>2193.1339020672222</v>
      </c>
      <c r="AF294" s="48">
        <v>0</v>
      </c>
      <c r="AG294" s="49" t="s">
        <v>32</v>
      </c>
      <c r="AH294" s="48">
        <v>1</v>
      </c>
      <c r="AI294" s="48" t="s">
        <v>33</v>
      </c>
      <c r="AJ294" s="48" t="s">
        <v>33</v>
      </c>
      <c r="AK294" s="48" t="s">
        <v>33</v>
      </c>
      <c r="AL294" s="48" t="s">
        <v>34</v>
      </c>
      <c r="AN294" s="48">
        <v>0</v>
      </c>
      <c r="AO294" s="48">
        <v>0</v>
      </c>
      <c r="AP294" s="48">
        <v>0</v>
      </c>
      <c r="AQ294" s="48">
        <v>0</v>
      </c>
      <c r="AR294" s="48">
        <v>0</v>
      </c>
      <c r="AS294" s="48">
        <v>0</v>
      </c>
      <c r="AT294" s="48">
        <v>0</v>
      </c>
      <c r="AU294" s="48">
        <v>0</v>
      </c>
      <c r="AV294" s="48">
        <v>0</v>
      </c>
      <c r="AW294" s="48">
        <v>0</v>
      </c>
      <c r="AX294" s="48">
        <v>0</v>
      </c>
      <c r="AY294" s="48">
        <v>0</v>
      </c>
      <c r="AZ294" s="48">
        <v>0</v>
      </c>
      <c r="BA294" s="48">
        <v>0</v>
      </c>
      <c r="BB294" s="48">
        <v>0</v>
      </c>
    </row>
    <row r="295" spans="1:54" x14ac:dyDescent="0.35">
      <c r="A295" s="49">
        <v>45930</v>
      </c>
      <c r="B295" s="48">
        <v>1</v>
      </c>
      <c r="C295" s="50" t="s">
        <v>32</v>
      </c>
      <c r="D295" s="48" t="s">
        <v>31</v>
      </c>
      <c r="E295" s="48" t="s">
        <v>138</v>
      </c>
      <c r="F295" s="48" t="s">
        <v>139</v>
      </c>
      <c r="G295" s="49" t="s">
        <v>59</v>
      </c>
      <c r="H295" s="48" t="s">
        <v>159</v>
      </c>
      <c r="I295" s="48">
        <v>1</v>
      </c>
      <c r="J295" s="48">
        <v>182</v>
      </c>
      <c r="K295" s="48">
        <v>1</v>
      </c>
      <c r="N295" s="48">
        <v>0</v>
      </c>
      <c r="R295" s="49"/>
      <c r="S295" s="49"/>
      <c r="T295" s="49">
        <v>51470</v>
      </c>
      <c r="U295" s="49">
        <v>51470</v>
      </c>
      <c r="V295" s="49">
        <v>51470</v>
      </c>
      <c r="W295" s="49">
        <v>51470</v>
      </c>
      <c r="X295" s="48">
        <v>1</v>
      </c>
      <c r="Y295" s="48">
        <v>1</v>
      </c>
      <c r="Z295" s="48">
        <v>1</v>
      </c>
      <c r="AA295" s="156">
        <v>2193.1339020672222</v>
      </c>
      <c r="AF295" s="48">
        <v>0</v>
      </c>
      <c r="AG295" s="49" t="s">
        <v>32</v>
      </c>
      <c r="AH295" s="48">
        <v>1</v>
      </c>
      <c r="AI295" s="48" t="s">
        <v>33</v>
      </c>
      <c r="AJ295" s="48" t="s">
        <v>33</v>
      </c>
      <c r="AK295" s="48" t="s">
        <v>33</v>
      </c>
      <c r="AL295" s="48" t="s">
        <v>34</v>
      </c>
      <c r="AN295" s="48">
        <v>0</v>
      </c>
      <c r="AO295" s="48">
        <v>0</v>
      </c>
      <c r="AP295" s="48">
        <v>0</v>
      </c>
      <c r="AQ295" s="48">
        <v>0</v>
      </c>
      <c r="AR295" s="48">
        <v>0</v>
      </c>
      <c r="AS295" s="48">
        <v>0</v>
      </c>
      <c r="AT295" s="48">
        <v>0</v>
      </c>
      <c r="AU295" s="48">
        <v>0</v>
      </c>
      <c r="AV295" s="48">
        <v>0</v>
      </c>
      <c r="AW295" s="48">
        <v>0</v>
      </c>
      <c r="AX295" s="48">
        <v>0</v>
      </c>
      <c r="AY295" s="48">
        <v>0</v>
      </c>
      <c r="AZ295" s="48">
        <v>0</v>
      </c>
      <c r="BA295" s="48">
        <v>0</v>
      </c>
      <c r="BB295" s="48">
        <v>0</v>
      </c>
    </row>
    <row r="296" spans="1:54" x14ac:dyDescent="0.35">
      <c r="A296" s="49">
        <v>45930</v>
      </c>
      <c r="B296" s="48">
        <v>1</v>
      </c>
      <c r="C296" s="50" t="s">
        <v>32</v>
      </c>
      <c r="D296" s="48" t="s">
        <v>31</v>
      </c>
      <c r="E296" s="48" t="s">
        <v>138</v>
      </c>
      <c r="F296" s="48" t="s">
        <v>139</v>
      </c>
      <c r="G296" s="49" t="s">
        <v>59</v>
      </c>
      <c r="H296" s="48" t="s">
        <v>159</v>
      </c>
      <c r="I296" s="48">
        <v>1</v>
      </c>
      <c r="J296" s="48">
        <v>183</v>
      </c>
      <c r="K296" s="48">
        <v>1</v>
      </c>
      <c r="N296" s="48">
        <v>0</v>
      </c>
      <c r="R296" s="49"/>
      <c r="S296" s="49"/>
      <c r="T296" s="49">
        <v>51501</v>
      </c>
      <c r="U296" s="49">
        <v>51501</v>
      </c>
      <c r="V296" s="49">
        <v>51501</v>
      </c>
      <c r="W296" s="49">
        <v>51501</v>
      </c>
      <c r="X296" s="48">
        <v>1</v>
      </c>
      <c r="Y296" s="48">
        <v>1</v>
      </c>
      <c r="Z296" s="48">
        <v>1</v>
      </c>
      <c r="AA296" s="156">
        <v>2193.1339020672222</v>
      </c>
      <c r="AF296" s="48">
        <v>0</v>
      </c>
      <c r="AG296" s="49" t="s">
        <v>32</v>
      </c>
      <c r="AH296" s="48">
        <v>1</v>
      </c>
      <c r="AI296" s="48" t="s">
        <v>33</v>
      </c>
      <c r="AJ296" s="48" t="s">
        <v>33</v>
      </c>
      <c r="AK296" s="48" t="s">
        <v>33</v>
      </c>
      <c r="AL296" s="48" t="s">
        <v>34</v>
      </c>
      <c r="AN296" s="48">
        <v>0</v>
      </c>
      <c r="AO296" s="48">
        <v>0</v>
      </c>
      <c r="AP296" s="48">
        <v>0</v>
      </c>
      <c r="AQ296" s="48">
        <v>0</v>
      </c>
      <c r="AR296" s="48">
        <v>0</v>
      </c>
      <c r="AS296" s="48">
        <v>0</v>
      </c>
      <c r="AT296" s="48">
        <v>0</v>
      </c>
      <c r="AU296" s="48">
        <v>0</v>
      </c>
      <c r="AV296" s="48">
        <v>0</v>
      </c>
      <c r="AW296" s="48">
        <v>0</v>
      </c>
      <c r="AX296" s="48">
        <v>0</v>
      </c>
      <c r="AY296" s="48">
        <v>0</v>
      </c>
      <c r="AZ296" s="48">
        <v>0</v>
      </c>
      <c r="BA296" s="48">
        <v>0</v>
      </c>
      <c r="BB296" s="48">
        <v>0</v>
      </c>
    </row>
    <row r="297" spans="1:54" x14ac:dyDescent="0.35">
      <c r="A297" s="49">
        <v>45930</v>
      </c>
      <c r="B297" s="48">
        <v>1</v>
      </c>
      <c r="C297" s="50" t="s">
        <v>32</v>
      </c>
      <c r="D297" s="48" t="s">
        <v>31</v>
      </c>
      <c r="E297" s="48" t="s">
        <v>138</v>
      </c>
      <c r="F297" s="48" t="s">
        <v>139</v>
      </c>
      <c r="G297" s="49" t="s">
        <v>59</v>
      </c>
      <c r="H297" s="48" t="s">
        <v>159</v>
      </c>
      <c r="I297" s="48">
        <v>1</v>
      </c>
      <c r="J297" s="48">
        <v>184</v>
      </c>
      <c r="K297" s="48">
        <v>1</v>
      </c>
      <c r="N297" s="48">
        <v>0</v>
      </c>
      <c r="R297" s="49"/>
      <c r="S297" s="49"/>
      <c r="T297" s="49">
        <v>51532</v>
      </c>
      <c r="U297" s="49">
        <v>51532</v>
      </c>
      <c r="V297" s="49">
        <v>51532</v>
      </c>
      <c r="W297" s="49">
        <v>51532</v>
      </c>
      <c r="X297" s="48">
        <v>1</v>
      </c>
      <c r="Y297" s="48">
        <v>1</v>
      </c>
      <c r="Z297" s="48">
        <v>1</v>
      </c>
      <c r="AA297" s="156">
        <v>2193.1339020672222</v>
      </c>
      <c r="AF297" s="48">
        <v>0</v>
      </c>
      <c r="AG297" s="49" t="s">
        <v>32</v>
      </c>
      <c r="AH297" s="48">
        <v>1</v>
      </c>
      <c r="AI297" s="48" t="s">
        <v>33</v>
      </c>
      <c r="AJ297" s="48" t="s">
        <v>33</v>
      </c>
      <c r="AK297" s="48" t="s">
        <v>33</v>
      </c>
      <c r="AL297" s="48" t="s">
        <v>34</v>
      </c>
      <c r="AN297" s="48">
        <v>0</v>
      </c>
      <c r="AO297" s="48">
        <v>0</v>
      </c>
      <c r="AP297" s="48">
        <v>0</v>
      </c>
      <c r="AQ297" s="48">
        <v>0</v>
      </c>
      <c r="AR297" s="48">
        <v>0</v>
      </c>
      <c r="AS297" s="48">
        <v>0</v>
      </c>
      <c r="AT297" s="48">
        <v>0</v>
      </c>
      <c r="AU297" s="48">
        <v>0</v>
      </c>
      <c r="AV297" s="48">
        <v>0</v>
      </c>
      <c r="AW297" s="48">
        <v>0</v>
      </c>
      <c r="AX297" s="48">
        <v>0</v>
      </c>
      <c r="AY297" s="48">
        <v>0</v>
      </c>
      <c r="AZ297" s="48">
        <v>0</v>
      </c>
      <c r="BA297" s="48">
        <v>0</v>
      </c>
      <c r="BB297" s="48">
        <v>0</v>
      </c>
    </row>
    <row r="298" spans="1:54" x14ac:dyDescent="0.35">
      <c r="A298" s="49">
        <v>45930</v>
      </c>
      <c r="B298" s="48">
        <v>1</v>
      </c>
      <c r="C298" s="50" t="s">
        <v>32</v>
      </c>
      <c r="D298" s="48" t="s">
        <v>31</v>
      </c>
      <c r="E298" s="48" t="s">
        <v>138</v>
      </c>
      <c r="F298" s="48" t="s">
        <v>139</v>
      </c>
      <c r="G298" s="49" t="s">
        <v>59</v>
      </c>
      <c r="H298" s="48" t="s">
        <v>159</v>
      </c>
      <c r="I298" s="48">
        <v>1</v>
      </c>
      <c r="J298" s="48">
        <v>185</v>
      </c>
      <c r="K298" s="48">
        <v>1</v>
      </c>
      <c r="N298" s="48">
        <v>0</v>
      </c>
      <c r="R298" s="49"/>
      <c r="S298" s="49"/>
      <c r="T298" s="49">
        <v>51560</v>
      </c>
      <c r="U298" s="49">
        <v>51560</v>
      </c>
      <c r="V298" s="49">
        <v>51560</v>
      </c>
      <c r="W298" s="49">
        <v>51560</v>
      </c>
      <c r="X298" s="48">
        <v>1</v>
      </c>
      <c r="Y298" s="48">
        <v>1</v>
      </c>
      <c r="Z298" s="48">
        <v>1</v>
      </c>
      <c r="AA298" s="156">
        <v>2193.1339020672222</v>
      </c>
      <c r="AF298" s="48">
        <v>0</v>
      </c>
      <c r="AG298" s="49" t="s">
        <v>32</v>
      </c>
      <c r="AH298" s="48">
        <v>1</v>
      </c>
      <c r="AI298" s="48" t="s">
        <v>33</v>
      </c>
      <c r="AJ298" s="48" t="s">
        <v>33</v>
      </c>
      <c r="AK298" s="48" t="s">
        <v>33</v>
      </c>
      <c r="AL298" s="48" t="s">
        <v>34</v>
      </c>
      <c r="AN298" s="48">
        <v>0</v>
      </c>
      <c r="AO298" s="48">
        <v>0</v>
      </c>
      <c r="AP298" s="48">
        <v>0</v>
      </c>
      <c r="AQ298" s="48">
        <v>0</v>
      </c>
      <c r="AR298" s="48">
        <v>0</v>
      </c>
      <c r="AS298" s="48">
        <v>0</v>
      </c>
      <c r="AT298" s="48">
        <v>0</v>
      </c>
      <c r="AU298" s="48">
        <v>0</v>
      </c>
      <c r="AV298" s="48">
        <v>0</v>
      </c>
      <c r="AW298" s="48">
        <v>0</v>
      </c>
      <c r="AX298" s="48">
        <v>0</v>
      </c>
      <c r="AY298" s="48">
        <v>0</v>
      </c>
      <c r="AZ298" s="48">
        <v>0</v>
      </c>
      <c r="BA298" s="48">
        <v>0</v>
      </c>
      <c r="BB298" s="48">
        <v>0</v>
      </c>
    </row>
    <row r="299" spans="1:54" x14ac:dyDescent="0.35">
      <c r="A299" s="49">
        <v>45930</v>
      </c>
      <c r="B299" s="48">
        <v>1</v>
      </c>
      <c r="C299" s="50" t="s">
        <v>32</v>
      </c>
      <c r="D299" s="48" t="s">
        <v>31</v>
      </c>
      <c r="E299" s="48" t="s">
        <v>138</v>
      </c>
      <c r="F299" s="48" t="s">
        <v>139</v>
      </c>
      <c r="G299" s="49" t="s">
        <v>59</v>
      </c>
      <c r="H299" s="48" t="s">
        <v>159</v>
      </c>
      <c r="I299" s="48">
        <v>1</v>
      </c>
      <c r="J299" s="48">
        <v>186</v>
      </c>
      <c r="K299" s="48">
        <v>1</v>
      </c>
      <c r="N299" s="48">
        <v>0</v>
      </c>
      <c r="R299" s="49"/>
      <c r="S299" s="49"/>
      <c r="T299" s="49">
        <v>51591</v>
      </c>
      <c r="U299" s="49">
        <v>51591</v>
      </c>
      <c r="V299" s="49">
        <v>51591</v>
      </c>
      <c r="W299" s="49">
        <v>51591</v>
      </c>
      <c r="X299" s="48">
        <v>1</v>
      </c>
      <c r="Y299" s="48">
        <v>1</v>
      </c>
      <c r="Z299" s="48">
        <v>1</v>
      </c>
      <c r="AA299" s="156">
        <v>2193.1339020672222</v>
      </c>
      <c r="AF299" s="48">
        <v>0</v>
      </c>
      <c r="AG299" s="49" t="s">
        <v>32</v>
      </c>
      <c r="AH299" s="48">
        <v>1</v>
      </c>
      <c r="AI299" s="48" t="s">
        <v>33</v>
      </c>
      <c r="AJ299" s="48" t="s">
        <v>33</v>
      </c>
      <c r="AK299" s="48" t="s">
        <v>33</v>
      </c>
      <c r="AL299" s="48" t="s">
        <v>34</v>
      </c>
      <c r="AN299" s="48">
        <v>0</v>
      </c>
      <c r="AO299" s="48">
        <v>0</v>
      </c>
      <c r="AP299" s="48">
        <v>0</v>
      </c>
      <c r="AQ299" s="48">
        <v>0</v>
      </c>
      <c r="AR299" s="48">
        <v>0</v>
      </c>
      <c r="AS299" s="48">
        <v>0</v>
      </c>
      <c r="AT299" s="48">
        <v>0</v>
      </c>
      <c r="AU299" s="48">
        <v>0</v>
      </c>
      <c r="AV299" s="48">
        <v>0</v>
      </c>
      <c r="AW299" s="48">
        <v>0</v>
      </c>
      <c r="AX299" s="48">
        <v>0</v>
      </c>
      <c r="AY299" s="48">
        <v>0</v>
      </c>
      <c r="AZ299" s="48">
        <v>0</v>
      </c>
      <c r="BA299" s="48">
        <v>0</v>
      </c>
      <c r="BB299" s="48">
        <v>0</v>
      </c>
    </row>
    <row r="300" spans="1:54" x14ac:dyDescent="0.35">
      <c r="A300" s="49">
        <v>45930</v>
      </c>
      <c r="B300" s="48">
        <v>1</v>
      </c>
      <c r="C300" s="50" t="s">
        <v>32</v>
      </c>
      <c r="D300" s="48" t="s">
        <v>31</v>
      </c>
      <c r="E300" s="48" t="s">
        <v>138</v>
      </c>
      <c r="F300" s="48" t="s">
        <v>139</v>
      </c>
      <c r="G300" s="49" t="s">
        <v>59</v>
      </c>
      <c r="H300" s="48" t="s">
        <v>159</v>
      </c>
      <c r="I300" s="48">
        <v>1</v>
      </c>
      <c r="J300" s="48">
        <v>187</v>
      </c>
      <c r="K300" s="48">
        <v>1</v>
      </c>
      <c r="N300" s="48">
        <v>0</v>
      </c>
      <c r="R300" s="49"/>
      <c r="S300" s="49"/>
      <c r="T300" s="49">
        <v>51621</v>
      </c>
      <c r="U300" s="49">
        <v>51621</v>
      </c>
      <c r="V300" s="49">
        <v>51621</v>
      </c>
      <c r="W300" s="49">
        <v>51621</v>
      </c>
      <c r="X300" s="48">
        <v>1</v>
      </c>
      <c r="Y300" s="48">
        <v>1</v>
      </c>
      <c r="Z300" s="48">
        <v>1</v>
      </c>
      <c r="AA300" s="156">
        <v>2193.1339020672222</v>
      </c>
      <c r="AF300" s="48">
        <v>0</v>
      </c>
      <c r="AG300" s="49" t="s">
        <v>32</v>
      </c>
      <c r="AH300" s="48">
        <v>1</v>
      </c>
      <c r="AI300" s="48" t="s">
        <v>33</v>
      </c>
      <c r="AJ300" s="48" t="s">
        <v>33</v>
      </c>
      <c r="AK300" s="48" t="s">
        <v>33</v>
      </c>
      <c r="AL300" s="48" t="s">
        <v>34</v>
      </c>
      <c r="AN300" s="48">
        <v>0</v>
      </c>
      <c r="AO300" s="48">
        <v>0</v>
      </c>
      <c r="AP300" s="48">
        <v>0</v>
      </c>
      <c r="AQ300" s="48">
        <v>0</v>
      </c>
      <c r="AR300" s="48">
        <v>0</v>
      </c>
      <c r="AS300" s="48">
        <v>0</v>
      </c>
      <c r="AT300" s="48">
        <v>0</v>
      </c>
      <c r="AU300" s="48">
        <v>0</v>
      </c>
      <c r="AV300" s="48">
        <v>0</v>
      </c>
      <c r="AW300" s="48">
        <v>0</v>
      </c>
      <c r="AX300" s="48">
        <v>0</v>
      </c>
      <c r="AY300" s="48">
        <v>0</v>
      </c>
      <c r="AZ300" s="48">
        <v>0</v>
      </c>
      <c r="BA300" s="48">
        <v>0</v>
      </c>
      <c r="BB300" s="48">
        <v>0</v>
      </c>
    </row>
    <row r="301" spans="1:54" x14ac:dyDescent="0.35">
      <c r="A301" s="49">
        <v>45930</v>
      </c>
      <c r="B301" s="48">
        <v>1</v>
      </c>
      <c r="C301" s="50" t="s">
        <v>32</v>
      </c>
      <c r="D301" s="48" t="s">
        <v>31</v>
      </c>
      <c r="E301" s="48" t="s">
        <v>138</v>
      </c>
      <c r="F301" s="48" t="s">
        <v>139</v>
      </c>
      <c r="G301" s="49" t="s">
        <v>59</v>
      </c>
      <c r="H301" s="48" t="s">
        <v>159</v>
      </c>
      <c r="I301" s="48">
        <v>1</v>
      </c>
      <c r="J301" s="48">
        <v>188</v>
      </c>
      <c r="K301" s="48">
        <v>1</v>
      </c>
      <c r="N301" s="48">
        <v>0</v>
      </c>
      <c r="R301" s="49"/>
      <c r="S301" s="49"/>
      <c r="T301" s="49">
        <v>51652</v>
      </c>
      <c r="U301" s="49">
        <v>51652</v>
      </c>
      <c r="V301" s="49">
        <v>51652</v>
      </c>
      <c r="W301" s="49">
        <v>51652</v>
      </c>
      <c r="X301" s="48">
        <v>1</v>
      </c>
      <c r="Y301" s="48">
        <v>1</v>
      </c>
      <c r="Z301" s="48">
        <v>1</v>
      </c>
      <c r="AA301" s="156">
        <v>2193.1339020672222</v>
      </c>
      <c r="AF301" s="48">
        <v>0</v>
      </c>
      <c r="AG301" s="49" t="s">
        <v>32</v>
      </c>
      <c r="AH301" s="48">
        <v>1</v>
      </c>
      <c r="AI301" s="48" t="s">
        <v>33</v>
      </c>
      <c r="AJ301" s="48" t="s">
        <v>33</v>
      </c>
      <c r="AK301" s="48" t="s">
        <v>33</v>
      </c>
      <c r="AL301" s="48" t="s">
        <v>34</v>
      </c>
      <c r="AN301" s="48">
        <v>0</v>
      </c>
      <c r="AO301" s="48">
        <v>0</v>
      </c>
      <c r="AP301" s="48">
        <v>0</v>
      </c>
      <c r="AQ301" s="48">
        <v>0</v>
      </c>
      <c r="AR301" s="48">
        <v>0</v>
      </c>
      <c r="AS301" s="48">
        <v>0</v>
      </c>
      <c r="AT301" s="48">
        <v>0</v>
      </c>
      <c r="AU301" s="48">
        <v>0</v>
      </c>
      <c r="AV301" s="48">
        <v>0</v>
      </c>
      <c r="AW301" s="48">
        <v>0</v>
      </c>
      <c r="AX301" s="48">
        <v>0</v>
      </c>
      <c r="AY301" s="48">
        <v>0</v>
      </c>
      <c r="AZ301" s="48">
        <v>0</v>
      </c>
      <c r="BA301" s="48">
        <v>0</v>
      </c>
      <c r="BB301" s="48">
        <v>0</v>
      </c>
    </row>
    <row r="302" spans="1:54" x14ac:dyDescent="0.35">
      <c r="A302" s="49">
        <v>45930</v>
      </c>
      <c r="B302" s="48">
        <v>1</v>
      </c>
      <c r="C302" s="50" t="s">
        <v>32</v>
      </c>
      <c r="D302" s="48" t="s">
        <v>31</v>
      </c>
      <c r="E302" s="48" t="s">
        <v>138</v>
      </c>
      <c r="F302" s="48" t="s">
        <v>139</v>
      </c>
      <c r="G302" s="49" t="s">
        <v>59</v>
      </c>
      <c r="H302" s="48" t="s">
        <v>159</v>
      </c>
      <c r="I302" s="48">
        <v>1</v>
      </c>
      <c r="J302" s="48">
        <v>189</v>
      </c>
      <c r="K302" s="48">
        <v>1</v>
      </c>
      <c r="N302" s="48">
        <v>0</v>
      </c>
      <c r="R302" s="49"/>
      <c r="S302" s="49"/>
      <c r="T302" s="49">
        <v>51682</v>
      </c>
      <c r="U302" s="49">
        <v>51682</v>
      </c>
      <c r="V302" s="49">
        <v>51682</v>
      </c>
      <c r="W302" s="49">
        <v>51682</v>
      </c>
      <c r="X302" s="48">
        <v>1</v>
      </c>
      <c r="Y302" s="48">
        <v>1</v>
      </c>
      <c r="Z302" s="48">
        <v>1</v>
      </c>
      <c r="AA302" s="156">
        <v>2193.1339020672222</v>
      </c>
      <c r="AF302" s="48">
        <v>0</v>
      </c>
      <c r="AG302" s="49" t="s">
        <v>32</v>
      </c>
      <c r="AH302" s="48">
        <v>1</v>
      </c>
      <c r="AI302" s="48" t="s">
        <v>33</v>
      </c>
      <c r="AJ302" s="48" t="s">
        <v>33</v>
      </c>
      <c r="AK302" s="48" t="s">
        <v>33</v>
      </c>
      <c r="AL302" s="48" t="s">
        <v>34</v>
      </c>
      <c r="AN302" s="48">
        <v>0</v>
      </c>
      <c r="AO302" s="48">
        <v>0</v>
      </c>
      <c r="AP302" s="48">
        <v>0</v>
      </c>
      <c r="AQ302" s="48">
        <v>0</v>
      </c>
      <c r="AR302" s="48">
        <v>0</v>
      </c>
      <c r="AS302" s="48">
        <v>0</v>
      </c>
      <c r="AT302" s="48">
        <v>0</v>
      </c>
      <c r="AU302" s="48">
        <v>0</v>
      </c>
      <c r="AV302" s="48">
        <v>0</v>
      </c>
      <c r="AW302" s="48">
        <v>0</v>
      </c>
      <c r="AX302" s="48">
        <v>0</v>
      </c>
      <c r="AY302" s="48">
        <v>0</v>
      </c>
      <c r="AZ302" s="48">
        <v>0</v>
      </c>
      <c r="BA302" s="48">
        <v>0</v>
      </c>
      <c r="BB302" s="48">
        <v>0</v>
      </c>
    </row>
    <row r="303" spans="1:54" x14ac:dyDescent="0.35">
      <c r="A303" s="49">
        <v>45930</v>
      </c>
      <c r="B303" s="48">
        <v>1</v>
      </c>
      <c r="C303" s="50" t="s">
        <v>32</v>
      </c>
      <c r="D303" s="48" t="s">
        <v>31</v>
      </c>
      <c r="E303" s="48" t="s">
        <v>138</v>
      </c>
      <c r="F303" s="48" t="s">
        <v>139</v>
      </c>
      <c r="G303" s="49" t="s">
        <v>59</v>
      </c>
      <c r="H303" s="48" t="s">
        <v>159</v>
      </c>
      <c r="I303" s="48">
        <v>1</v>
      </c>
      <c r="J303" s="48">
        <v>190</v>
      </c>
      <c r="K303" s="48">
        <v>1</v>
      </c>
      <c r="N303" s="48">
        <v>0</v>
      </c>
      <c r="R303" s="49"/>
      <c r="S303" s="49"/>
      <c r="T303" s="49">
        <v>51713</v>
      </c>
      <c r="U303" s="49">
        <v>51713</v>
      </c>
      <c r="V303" s="49">
        <v>51713</v>
      </c>
      <c r="W303" s="49">
        <v>51713</v>
      </c>
      <c r="X303" s="48">
        <v>1</v>
      </c>
      <c r="Y303" s="48">
        <v>1</v>
      </c>
      <c r="Z303" s="48">
        <v>1</v>
      </c>
      <c r="AA303" s="156">
        <v>2193.1339020672222</v>
      </c>
      <c r="AF303" s="48">
        <v>0</v>
      </c>
      <c r="AG303" s="49" t="s">
        <v>32</v>
      </c>
      <c r="AH303" s="48">
        <v>1</v>
      </c>
      <c r="AI303" s="48" t="s">
        <v>33</v>
      </c>
      <c r="AJ303" s="48" t="s">
        <v>33</v>
      </c>
      <c r="AK303" s="48" t="s">
        <v>33</v>
      </c>
      <c r="AL303" s="48" t="s">
        <v>34</v>
      </c>
      <c r="AN303" s="48">
        <v>0</v>
      </c>
      <c r="AO303" s="48">
        <v>0</v>
      </c>
      <c r="AP303" s="48">
        <v>0</v>
      </c>
      <c r="AQ303" s="48">
        <v>0</v>
      </c>
      <c r="AR303" s="48">
        <v>0</v>
      </c>
      <c r="AS303" s="48">
        <v>0</v>
      </c>
      <c r="AT303" s="48">
        <v>0</v>
      </c>
      <c r="AU303" s="48">
        <v>0</v>
      </c>
      <c r="AV303" s="48">
        <v>0</v>
      </c>
      <c r="AW303" s="48">
        <v>0</v>
      </c>
      <c r="AX303" s="48">
        <v>0</v>
      </c>
      <c r="AY303" s="48">
        <v>0</v>
      </c>
      <c r="AZ303" s="48">
        <v>0</v>
      </c>
      <c r="BA303" s="48">
        <v>0</v>
      </c>
      <c r="BB303" s="48">
        <v>0</v>
      </c>
    </row>
    <row r="304" spans="1:54" x14ac:dyDescent="0.35">
      <c r="A304" s="49">
        <v>45930</v>
      </c>
      <c r="B304" s="48">
        <v>1</v>
      </c>
      <c r="C304" s="50" t="s">
        <v>32</v>
      </c>
      <c r="D304" s="48" t="s">
        <v>31</v>
      </c>
      <c r="E304" s="48" t="s">
        <v>138</v>
      </c>
      <c r="F304" s="48" t="s">
        <v>139</v>
      </c>
      <c r="G304" s="49" t="s">
        <v>59</v>
      </c>
      <c r="H304" s="48" t="s">
        <v>159</v>
      </c>
      <c r="I304" s="48">
        <v>1</v>
      </c>
      <c r="J304" s="48">
        <v>191</v>
      </c>
      <c r="K304" s="48">
        <v>1</v>
      </c>
      <c r="N304" s="48">
        <v>0</v>
      </c>
      <c r="R304" s="49"/>
      <c r="S304" s="49"/>
      <c r="T304" s="49">
        <v>51744</v>
      </c>
      <c r="U304" s="49">
        <v>51744</v>
      </c>
      <c r="V304" s="49">
        <v>51744</v>
      </c>
      <c r="W304" s="49">
        <v>51744</v>
      </c>
      <c r="X304" s="48">
        <v>1</v>
      </c>
      <c r="Y304" s="48">
        <v>1</v>
      </c>
      <c r="Z304" s="48">
        <v>1</v>
      </c>
      <c r="AA304" s="156">
        <v>2193.1339020672222</v>
      </c>
      <c r="AF304" s="48">
        <v>0</v>
      </c>
      <c r="AG304" s="49" t="s">
        <v>32</v>
      </c>
      <c r="AH304" s="48">
        <v>1</v>
      </c>
      <c r="AI304" s="48" t="s">
        <v>33</v>
      </c>
      <c r="AJ304" s="48" t="s">
        <v>33</v>
      </c>
      <c r="AK304" s="48" t="s">
        <v>33</v>
      </c>
      <c r="AL304" s="48" t="s">
        <v>34</v>
      </c>
      <c r="AN304" s="48">
        <v>0</v>
      </c>
      <c r="AO304" s="48">
        <v>0</v>
      </c>
      <c r="AP304" s="48">
        <v>0</v>
      </c>
      <c r="AQ304" s="48">
        <v>0</v>
      </c>
      <c r="AR304" s="48">
        <v>0</v>
      </c>
      <c r="AS304" s="48">
        <v>0</v>
      </c>
      <c r="AT304" s="48">
        <v>0</v>
      </c>
      <c r="AU304" s="48">
        <v>0</v>
      </c>
      <c r="AV304" s="48">
        <v>0</v>
      </c>
      <c r="AW304" s="48">
        <v>0</v>
      </c>
      <c r="AX304" s="48">
        <v>0</v>
      </c>
      <c r="AY304" s="48">
        <v>0</v>
      </c>
      <c r="AZ304" s="48">
        <v>0</v>
      </c>
      <c r="BA304" s="48">
        <v>0</v>
      </c>
      <c r="BB304" s="48">
        <v>0</v>
      </c>
    </row>
    <row r="305" spans="1:54" x14ac:dyDescent="0.35">
      <c r="A305" s="49">
        <v>45930</v>
      </c>
      <c r="B305" s="48">
        <v>1</v>
      </c>
      <c r="C305" s="50" t="s">
        <v>32</v>
      </c>
      <c r="D305" s="48" t="s">
        <v>31</v>
      </c>
      <c r="E305" s="48" t="s">
        <v>138</v>
      </c>
      <c r="F305" s="48" t="s">
        <v>139</v>
      </c>
      <c r="G305" s="49" t="s">
        <v>59</v>
      </c>
      <c r="H305" s="48" t="s">
        <v>159</v>
      </c>
      <c r="I305" s="48">
        <v>1</v>
      </c>
      <c r="J305" s="48">
        <v>192</v>
      </c>
      <c r="K305" s="48">
        <v>1</v>
      </c>
      <c r="N305" s="48">
        <v>0</v>
      </c>
      <c r="R305" s="49"/>
      <c r="S305" s="49"/>
      <c r="T305" s="49">
        <v>51774</v>
      </c>
      <c r="U305" s="49">
        <v>51774</v>
      </c>
      <c r="V305" s="49">
        <v>51774</v>
      </c>
      <c r="W305" s="49">
        <v>51774</v>
      </c>
      <c r="X305" s="48">
        <v>1</v>
      </c>
      <c r="Y305" s="48">
        <v>1</v>
      </c>
      <c r="Z305" s="48">
        <v>1</v>
      </c>
      <c r="AA305" s="156">
        <v>2193.1339020672222</v>
      </c>
      <c r="AF305" s="48">
        <v>0</v>
      </c>
      <c r="AG305" s="49" t="s">
        <v>32</v>
      </c>
      <c r="AH305" s="48">
        <v>1</v>
      </c>
      <c r="AI305" s="48" t="s">
        <v>33</v>
      </c>
      <c r="AJ305" s="48" t="s">
        <v>33</v>
      </c>
      <c r="AK305" s="48" t="s">
        <v>33</v>
      </c>
      <c r="AL305" s="48" t="s">
        <v>34</v>
      </c>
      <c r="AN305" s="48">
        <v>0</v>
      </c>
      <c r="AO305" s="48">
        <v>0</v>
      </c>
      <c r="AP305" s="48">
        <v>0</v>
      </c>
      <c r="AQ305" s="48">
        <v>0</v>
      </c>
      <c r="AR305" s="48">
        <v>0</v>
      </c>
      <c r="AS305" s="48">
        <v>0</v>
      </c>
      <c r="AT305" s="48">
        <v>0</v>
      </c>
      <c r="AU305" s="48">
        <v>0</v>
      </c>
      <c r="AV305" s="48">
        <v>0</v>
      </c>
      <c r="AW305" s="48">
        <v>0</v>
      </c>
      <c r="AX305" s="48">
        <v>0</v>
      </c>
      <c r="AY305" s="48">
        <v>0</v>
      </c>
      <c r="AZ305" s="48">
        <v>0</v>
      </c>
      <c r="BA305" s="48">
        <v>0</v>
      </c>
      <c r="BB305" s="48">
        <v>0</v>
      </c>
    </row>
    <row r="306" spans="1:54" x14ac:dyDescent="0.35">
      <c r="A306" s="49">
        <v>45930</v>
      </c>
      <c r="B306" s="48">
        <v>1</v>
      </c>
      <c r="C306" s="50" t="s">
        <v>32</v>
      </c>
      <c r="D306" s="48" t="s">
        <v>31</v>
      </c>
      <c r="E306" s="48" t="s">
        <v>138</v>
      </c>
      <c r="F306" s="48" t="s">
        <v>139</v>
      </c>
      <c r="G306" s="49" t="s">
        <v>59</v>
      </c>
      <c r="H306" s="48" t="s">
        <v>159</v>
      </c>
      <c r="I306" s="48">
        <v>1</v>
      </c>
      <c r="J306" s="48">
        <v>193</v>
      </c>
      <c r="K306" s="48">
        <v>1</v>
      </c>
      <c r="N306" s="48">
        <v>0</v>
      </c>
      <c r="R306" s="49"/>
      <c r="S306" s="49"/>
      <c r="T306" s="49">
        <v>51805</v>
      </c>
      <c r="U306" s="49">
        <v>51805</v>
      </c>
      <c r="V306" s="49">
        <v>51805</v>
      </c>
      <c r="W306" s="49">
        <v>51805</v>
      </c>
      <c r="X306" s="48">
        <v>1</v>
      </c>
      <c r="Y306" s="48">
        <v>1</v>
      </c>
      <c r="Z306" s="48">
        <v>1</v>
      </c>
      <c r="AA306" s="156">
        <v>2193.1339020672222</v>
      </c>
      <c r="AF306" s="48">
        <v>0</v>
      </c>
      <c r="AG306" s="49" t="s">
        <v>32</v>
      </c>
      <c r="AH306" s="48">
        <v>1</v>
      </c>
      <c r="AI306" s="48" t="s">
        <v>33</v>
      </c>
      <c r="AJ306" s="48" t="s">
        <v>33</v>
      </c>
      <c r="AK306" s="48" t="s">
        <v>33</v>
      </c>
      <c r="AL306" s="48" t="s">
        <v>34</v>
      </c>
      <c r="AN306" s="48">
        <v>0</v>
      </c>
      <c r="AO306" s="48">
        <v>0</v>
      </c>
      <c r="AP306" s="48">
        <v>0</v>
      </c>
      <c r="AQ306" s="48">
        <v>0</v>
      </c>
      <c r="AR306" s="48">
        <v>0</v>
      </c>
      <c r="AS306" s="48">
        <v>0</v>
      </c>
      <c r="AT306" s="48">
        <v>0</v>
      </c>
      <c r="AU306" s="48">
        <v>0</v>
      </c>
      <c r="AV306" s="48">
        <v>0</v>
      </c>
      <c r="AW306" s="48">
        <v>0</v>
      </c>
      <c r="AX306" s="48">
        <v>0</v>
      </c>
      <c r="AY306" s="48">
        <v>0</v>
      </c>
      <c r="AZ306" s="48">
        <v>0</v>
      </c>
      <c r="BA306" s="48">
        <v>0</v>
      </c>
      <c r="BB306" s="48">
        <v>0</v>
      </c>
    </row>
    <row r="307" spans="1:54" x14ac:dyDescent="0.35">
      <c r="A307" s="49">
        <v>45930</v>
      </c>
      <c r="B307" s="48">
        <v>1</v>
      </c>
      <c r="C307" s="50" t="s">
        <v>32</v>
      </c>
      <c r="D307" s="48" t="s">
        <v>31</v>
      </c>
      <c r="E307" s="48" t="s">
        <v>138</v>
      </c>
      <c r="F307" s="48" t="s">
        <v>139</v>
      </c>
      <c r="G307" s="49" t="s">
        <v>59</v>
      </c>
      <c r="H307" s="48" t="s">
        <v>159</v>
      </c>
      <c r="I307" s="48">
        <v>1</v>
      </c>
      <c r="J307" s="48">
        <v>194</v>
      </c>
      <c r="K307" s="48">
        <v>1</v>
      </c>
      <c r="N307" s="48">
        <v>0</v>
      </c>
      <c r="R307" s="49"/>
      <c r="S307" s="49"/>
      <c r="T307" s="49">
        <v>51835</v>
      </c>
      <c r="U307" s="49">
        <v>51835</v>
      </c>
      <c r="V307" s="49">
        <v>51835</v>
      </c>
      <c r="W307" s="49">
        <v>51835</v>
      </c>
      <c r="X307" s="48">
        <v>1</v>
      </c>
      <c r="Y307" s="48">
        <v>1</v>
      </c>
      <c r="Z307" s="48">
        <v>1</v>
      </c>
      <c r="AA307" s="156">
        <v>2193.1339020672222</v>
      </c>
      <c r="AF307" s="48">
        <v>0</v>
      </c>
      <c r="AG307" s="49" t="s">
        <v>32</v>
      </c>
      <c r="AH307" s="48">
        <v>1</v>
      </c>
      <c r="AI307" s="48" t="s">
        <v>33</v>
      </c>
      <c r="AJ307" s="48" t="s">
        <v>33</v>
      </c>
      <c r="AK307" s="48" t="s">
        <v>33</v>
      </c>
      <c r="AL307" s="48" t="s">
        <v>34</v>
      </c>
      <c r="AN307" s="48">
        <v>0</v>
      </c>
      <c r="AO307" s="48">
        <v>0</v>
      </c>
      <c r="AP307" s="48">
        <v>0</v>
      </c>
      <c r="AQ307" s="48">
        <v>0</v>
      </c>
      <c r="AR307" s="48">
        <v>0</v>
      </c>
      <c r="AS307" s="48">
        <v>0</v>
      </c>
      <c r="AT307" s="48">
        <v>0</v>
      </c>
      <c r="AU307" s="48">
        <v>0</v>
      </c>
      <c r="AV307" s="48">
        <v>0</v>
      </c>
      <c r="AW307" s="48">
        <v>0</v>
      </c>
      <c r="AX307" s="48">
        <v>0</v>
      </c>
      <c r="AY307" s="48">
        <v>0</v>
      </c>
      <c r="AZ307" s="48">
        <v>0</v>
      </c>
      <c r="BA307" s="48">
        <v>0</v>
      </c>
      <c r="BB307" s="48">
        <v>0</v>
      </c>
    </row>
    <row r="308" spans="1:54" x14ac:dyDescent="0.35">
      <c r="A308" s="49">
        <v>45930</v>
      </c>
      <c r="B308" s="48">
        <v>1</v>
      </c>
      <c r="C308" s="50" t="s">
        <v>32</v>
      </c>
      <c r="D308" s="48" t="s">
        <v>31</v>
      </c>
      <c r="E308" s="48" t="s">
        <v>138</v>
      </c>
      <c r="F308" s="48" t="s">
        <v>139</v>
      </c>
      <c r="G308" s="49" t="s">
        <v>59</v>
      </c>
      <c r="H308" s="48" t="s">
        <v>159</v>
      </c>
      <c r="I308" s="48">
        <v>1</v>
      </c>
      <c r="J308" s="48">
        <v>195</v>
      </c>
      <c r="K308" s="48">
        <v>1</v>
      </c>
      <c r="N308" s="48">
        <v>0</v>
      </c>
      <c r="R308" s="49"/>
      <c r="S308" s="49"/>
      <c r="T308" s="49">
        <v>51866</v>
      </c>
      <c r="U308" s="49">
        <v>51866</v>
      </c>
      <c r="V308" s="49">
        <v>51866</v>
      </c>
      <c r="W308" s="49">
        <v>51866</v>
      </c>
      <c r="X308" s="48">
        <v>1</v>
      </c>
      <c r="Y308" s="48">
        <v>1</v>
      </c>
      <c r="Z308" s="48">
        <v>1</v>
      </c>
      <c r="AA308" s="156">
        <v>2193.1339020672222</v>
      </c>
      <c r="AF308" s="48">
        <v>0</v>
      </c>
      <c r="AG308" s="49" t="s">
        <v>32</v>
      </c>
      <c r="AH308" s="48">
        <v>1</v>
      </c>
      <c r="AI308" s="48" t="s">
        <v>33</v>
      </c>
      <c r="AJ308" s="48" t="s">
        <v>33</v>
      </c>
      <c r="AK308" s="48" t="s">
        <v>33</v>
      </c>
      <c r="AL308" s="48" t="s">
        <v>34</v>
      </c>
      <c r="AN308" s="48">
        <v>0</v>
      </c>
      <c r="AO308" s="48">
        <v>0</v>
      </c>
      <c r="AP308" s="48">
        <v>0</v>
      </c>
      <c r="AQ308" s="48">
        <v>0</v>
      </c>
      <c r="AR308" s="48">
        <v>0</v>
      </c>
      <c r="AS308" s="48">
        <v>0</v>
      </c>
      <c r="AT308" s="48">
        <v>0</v>
      </c>
      <c r="AU308" s="48">
        <v>0</v>
      </c>
      <c r="AV308" s="48">
        <v>0</v>
      </c>
      <c r="AW308" s="48">
        <v>0</v>
      </c>
      <c r="AX308" s="48">
        <v>0</v>
      </c>
      <c r="AY308" s="48">
        <v>0</v>
      </c>
      <c r="AZ308" s="48">
        <v>0</v>
      </c>
      <c r="BA308" s="48">
        <v>0</v>
      </c>
      <c r="BB308" s="48">
        <v>0</v>
      </c>
    </row>
    <row r="309" spans="1:54" x14ac:dyDescent="0.35">
      <c r="A309" s="49">
        <v>45930</v>
      </c>
      <c r="B309" s="48">
        <v>1</v>
      </c>
      <c r="C309" s="50" t="s">
        <v>32</v>
      </c>
      <c r="D309" s="48" t="s">
        <v>31</v>
      </c>
      <c r="E309" s="48" t="s">
        <v>138</v>
      </c>
      <c r="F309" s="48" t="s">
        <v>139</v>
      </c>
      <c r="G309" s="49" t="s">
        <v>59</v>
      </c>
      <c r="H309" s="48" t="s">
        <v>159</v>
      </c>
      <c r="I309" s="48">
        <v>1</v>
      </c>
      <c r="J309" s="48">
        <v>196</v>
      </c>
      <c r="K309" s="48">
        <v>1</v>
      </c>
      <c r="N309" s="48">
        <v>0</v>
      </c>
      <c r="R309" s="49"/>
      <c r="S309" s="49"/>
      <c r="T309" s="49">
        <v>51897</v>
      </c>
      <c r="U309" s="49">
        <v>51897</v>
      </c>
      <c r="V309" s="49">
        <v>51897</v>
      </c>
      <c r="W309" s="49">
        <v>51897</v>
      </c>
      <c r="X309" s="48">
        <v>1</v>
      </c>
      <c r="Y309" s="48">
        <v>1</v>
      </c>
      <c r="Z309" s="48">
        <v>1</v>
      </c>
      <c r="AA309" s="156">
        <v>2193.1339020672222</v>
      </c>
      <c r="AF309" s="48">
        <v>0</v>
      </c>
      <c r="AG309" s="49" t="s">
        <v>32</v>
      </c>
      <c r="AH309" s="48">
        <v>1</v>
      </c>
      <c r="AI309" s="48" t="s">
        <v>33</v>
      </c>
      <c r="AJ309" s="48" t="s">
        <v>33</v>
      </c>
      <c r="AK309" s="48" t="s">
        <v>33</v>
      </c>
      <c r="AL309" s="48" t="s">
        <v>34</v>
      </c>
      <c r="AN309" s="48">
        <v>0</v>
      </c>
      <c r="AO309" s="48">
        <v>0</v>
      </c>
      <c r="AP309" s="48">
        <v>0</v>
      </c>
      <c r="AQ309" s="48">
        <v>0</v>
      </c>
      <c r="AR309" s="48">
        <v>0</v>
      </c>
      <c r="AS309" s="48">
        <v>0</v>
      </c>
      <c r="AT309" s="48">
        <v>0</v>
      </c>
      <c r="AU309" s="48">
        <v>0</v>
      </c>
      <c r="AV309" s="48">
        <v>0</v>
      </c>
      <c r="AW309" s="48">
        <v>0</v>
      </c>
      <c r="AX309" s="48">
        <v>0</v>
      </c>
      <c r="AY309" s="48">
        <v>0</v>
      </c>
      <c r="AZ309" s="48">
        <v>0</v>
      </c>
      <c r="BA309" s="48">
        <v>0</v>
      </c>
      <c r="BB309" s="48">
        <v>0</v>
      </c>
    </row>
    <row r="310" spans="1:54" x14ac:dyDescent="0.35">
      <c r="A310" s="49">
        <v>45930</v>
      </c>
      <c r="B310" s="48">
        <v>1</v>
      </c>
      <c r="C310" s="50" t="s">
        <v>32</v>
      </c>
      <c r="D310" s="48" t="s">
        <v>31</v>
      </c>
      <c r="E310" s="48" t="s">
        <v>138</v>
      </c>
      <c r="F310" s="48" t="s">
        <v>139</v>
      </c>
      <c r="G310" s="49" t="s">
        <v>59</v>
      </c>
      <c r="H310" s="48" t="s">
        <v>159</v>
      </c>
      <c r="I310" s="48">
        <v>1</v>
      </c>
      <c r="J310" s="48">
        <v>197</v>
      </c>
      <c r="K310" s="48">
        <v>1</v>
      </c>
      <c r="N310" s="48">
        <v>0</v>
      </c>
      <c r="R310" s="49"/>
      <c r="S310" s="49"/>
      <c r="T310" s="49">
        <v>51925</v>
      </c>
      <c r="U310" s="49">
        <v>51925</v>
      </c>
      <c r="V310" s="49">
        <v>51925</v>
      </c>
      <c r="W310" s="49">
        <v>51925</v>
      </c>
      <c r="X310" s="48">
        <v>1</v>
      </c>
      <c r="Y310" s="48">
        <v>1</v>
      </c>
      <c r="Z310" s="48">
        <v>1</v>
      </c>
      <c r="AA310" s="156">
        <v>2193.1339020672222</v>
      </c>
      <c r="AF310" s="48">
        <v>0</v>
      </c>
      <c r="AG310" s="49" t="s">
        <v>32</v>
      </c>
      <c r="AH310" s="48">
        <v>1</v>
      </c>
      <c r="AI310" s="48" t="s">
        <v>33</v>
      </c>
      <c r="AJ310" s="48" t="s">
        <v>33</v>
      </c>
      <c r="AK310" s="48" t="s">
        <v>33</v>
      </c>
      <c r="AL310" s="48" t="s">
        <v>34</v>
      </c>
      <c r="AN310" s="48">
        <v>0</v>
      </c>
      <c r="AO310" s="48">
        <v>0</v>
      </c>
      <c r="AP310" s="48">
        <v>0</v>
      </c>
      <c r="AQ310" s="48">
        <v>0</v>
      </c>
      <c r="AR310" s="48">
        <v>0</v>
      </c>
      <c r="AS310" s="48">
        <v>0</v>
      </c>
      <c r="AT310" s="48">
        <v>0</v>
      </c>
      <c r="AU310" s="48">
        <v>0</v>
      </c>
      <c r="AV310" s="48">
        <v>0</v>
      </c>
      <c r="AW310" s="48">
        <v>0</v>
      </c>
      <c r="AX310" s="48">
        <v>0</v>
      </c>
      <c r="AY310" s="48">
        <v>0</v>
      </c>
      <c r="AZ310" s="48">
        <v>0</v>
      </c>
      <c r="BA310" s="48">
        <v>0</v>
      </c>
      <c r="BB310" s="48">
        <v>0</v>
      </c>
    </row>
    <row r="311" spans="1:54" x14ac:dyDescent="0.35">
      <c r="A311" s="49">
        <v>45930</v>
      </c>
      <c r="B311" s="48">
        <v>1</v>
      </c>
      <c r="C311" s="50" t="s">
        <v>32</v>
      </c>
      <c r="D311" s="48" t="s">
        <v>31</v>
      </c>
      <c r="E311" s="48" t="s">
        <v>138</v>
      </c>
      <c r="F311" s="48" t="s">
        <v>139</v>
      </c>
      <c r="G311" s="49" t="s">
        <v>59</v>
      </c>
      <c r="H311" s="48" t="s">
        <v>159</v>
      </c>
      <c r="I311" s="48">
        <v>1</v>
      </c>
      <c r="J311" s="48">
        <v>198</v>
      </c>
      <c r="K311" s="48">
        <v>1</v>
      </c>
      <c r="N311" s="48">
        <v>0</v>
      </c>
      <c r="R311" s="49"/>
      <c r="S311" s="49"/>
      <c r="T311" s="49">
        <v>51956</v>
      </c>
      <c r="U311" s="49">
        <v>51956</v>
      </c>
      <c r="V311" s="49">
        <v>51956</v>
      </c>
      <c r="W311" s="49">
        <v>51956</v>
      </c>
      <c r="X311" s="48">
        <v>1</v>
      </c>
      <c r="Y311" s="48">
        <v>1</v>
      </c>
      <c r="Z311" s="48">
        <v>1</v>
      </c>
      <c r="AA311" s="156">
        <v>2193.1339020672222</v>
      </c>
      <c r="AF311" s="48">
        <v>0</v>
      </c>
      <c r="AG311" s="49" t="s">
        <v>32</v>
      </c>
      <c r="AH311" s="48">
        <v>1</v>
      </c>
      <c r="AI311" s="48" t="s">
        <v>33</v>
      </c>
      <c r="AJ311" s="48" t="s">
        <v>33</v>
      </c>
      <c r="AK311" s="48" t="s">
        <v>33</v>
      </c>
      <c r="AL311" s="48" t="s">
        <v>34</v>
      </c>
      <c r="AN311" s="48">
        <v>0</v>
      </c>
      <c r="AO311" s="48">
        <v>0</v>
      </c>
      <c r="AP311" s="48">
        <v>0</v>
      </c>
      <c r="AQ311" s="48">
        <v>0</v>
      </c>
      <c r="AR311" s="48">
        <v>0</v>
      </c>
      <c r="AS311" s="48">
        <v>0</v>
      </c>
      <c r="AT311" s="48">
        <v>0</v>
      </c>
      <c r="AU311" s="48">
        <v>0</v>
      </c>
      <c r="AV311" s="48">
        <v>0</v>
      </c>
      <c r="AW311" s="48">
        <v>0</v>
      </c>
      <c r="AX311" s="48">
        <v>0</v>
      </c>
      <c r="AY311" s="48">
        <v>0</v>
      </c>
      <c r="AZ311" s="48">
        <v>0</v>
      </c>
      <c r="BA311" s="48">
        <v>0</v>
      </c>
      <c r="BB311" s="48">
        <v>0</v>
      </c>
    </row>
    <row r="312" spans="1:54" x14ac:dyDescent="0.35">
      <c r="A312" s="49">
        <v>45930</v>
      </c>
      <c r="B312" s="48">
        <v>1</v>
      </c>
      <c r="C312" s="50" t="s">
        <v>32</v>
      </c>
      <c r="D312" s="48" t="s">
        <v>31</v>
      </c>
      <c r="E312" s="48" t="s">
        <v>138</v>
      </c>
      <c r="F312" s="48" t="s">
        <v>139</v>
      </c>
      <c r="G312" s="49" t="s">
        <v>59</v>
      </c>
      <c r="H312" s="48" t="s">
        <v>159</v>
      </c>
      <c r="I312" s="48">
        <v>1</v>
      </c>
      <c r="J312" s="48">
        <v>199</v>
      </c>
      <c r="K312" s="48">
        <v>1</v>
      </c>
      <c r="N312" s="48">
        <v>0</v>
      </c>
      <c r="R312" s="49"/>
      <c r="S312" s="49"/>
      <c r="T312" s="49">
        <v>51986</v>
      </c>
      <c r="U312" s="49">
        <v>51986</v>
      </c>
      <c r="V312" s="49">
        <v>51986</v>
      </c>
      <c r="W312" s="49">
        <v>51986</v>
      </c>
      <c r="X312" s="48">
        <v>1</v>
      </c>
      <c r="Y312" s="48">
        <v>1</v>
      </c>
      <c r="Z312" s="48">
        <v>1</v>
      </c>
      <c r="AA312" s="156">
        <v>2193.1339020672222</v>
      </c>
      <c r="AF312" s="48">
        <v>0</v>
      </c>
      <c r="AG312" s="49" t="s">
        <v>32</v>
      </c>
      <c r="AH312" s="48">
        <v>1</v>
      </c>
      <c r="AI312" s="48" t="s">
        <v>33</v>
      </c>
      <c r="AJ312" s="48" t="s">
        <v>33</v>
      </c>
      <c r="AK312" s="48" t="s">
        <v>33</v>
      </c>
      <c r="AL312" s="48" t="s">
        <v>34</v>
      </c>
      <c r="AN312" s="48">
        <v>0</v>
      </c>
      <c r="AO312" s="48">
        <v>0</v>
      </c>
      <c r="AP312" s="48">
        <v>0</v>
      </c>
      <c r="AQ312" s="48">
        <v>0</v>
      </c>
      <c r="AR312" s="48">
        <v>0</v>
      </c>
      <c r="AS312" s="48">
        <v>0</v>
      </c>
      <c r="AT312" s="48">
        <v>0</v>
      </c>
      <c r="AU312" s="48">
        <v>0</v>
      </c>
      <c r="AV312" s="48">
        <v>0</v>
      </c>
      <c r="AW312" s="48">
        <v>0</v>
      </c>
      <c r="AX312" s="48">
        <v>0</v>
      </c>
      <c r="AY312" s="48">
        <v>0</v>
      </c>
      <c r="AZ312" s="48">
        <v>0</v>
      </c>
      <c r="BA312" s="48">
        <v>0</v>
      </c>
      <c r="BB312" s="48">
        <v>0</v>
      </c>
    </row>
    <row r="313" spans="1:54" x14ac:dyDescent="0.35">
      <c r="A313" s="49">
        <v>45930</v>
      </c>
      <c r="B313" s="48">
        <v>1</v>
      </c>
      <c r="C313" s="50" t="s">
        <v>32</v>
      </c>
      <c r="D313" s="48" t="s">
        <v>31</v>
      </c>
      <c r="E313" s="48" t="s">
        <v>138</v>
      </c>
      <c r="F313" s="48" t="s">
        <v>139</v>
      </c>
      <c r="G313" s="49" t="s">
        <v>59</v>
      </c>
      <c r="H313" s="48" t="s">
        <v>159</v>
      </c>
      <c r="I313" s="48">
        <v>1</v>
      </c>
      <c r="J313" s="48">
        <v>200</v>
      </c>
      <c r="K313" s="48">
        <v>1</v>
      </c>
      <c r="N313" s="48">
        <v>0</v>
      </c>
      <c r="R313" s="49"/>
      <c r="S313" s="49"/>
      <c r="T313" s="49">
        <v>52017</v>
      </c>
      <c r="U313" s="49">
        <v>52017</v>
      </c>
      <c r="V313" s="49">
        <v>52017</v>
      </c>
      <c r="W313" s="49">
        <v>52017</v>
      </c>
      <c r="X313" s="48">
        <v>1</v>
      </c>
      <c r="Y313" s="48">
        <v>1</v>
      </c>
      <c r="Z313" s="48">
        <v>1</v>
      </c>
      <c r="AA313" s="156">
        <v>2193.1339020672222</v>
      </c>
      <c r="AF313" s="48">
        <v>0</v>
      </c>
      <c r="AG313" s="49" t="s">
        <v>32</v>
      </c>
      <c r="AH313" s="48">
        <v>1</v>
      </c>
      <c r="AI313" s="48" t="s">
        <v>33</v>
      </c>
      <c r="AJ313" s="48" t="s">
        <v>33</v>
      </c>
      <c r="AK313" s="48" t="s">
        <v>33</v>
      </c>
      <c r="AL313" s="48" t="s">
        <v>34</v>
      </c>
      <c r="AN313" s="48">
        <v>0</v>
      </c>
      <c r="AO313" s="48">
        <v>0</v>
      </c>
      <c r="AP313" s="48">
        <v>0</v>
      </c>
      <c r="AQ313" s="48">
        <v>0</v>
      </c>
      <c r="AR313" s="48">
        <v>0</v>
      </c>
      <c r="AS313" s="48">
        <v>0</v>
      </c>
      <c r="AT313" s="48">
        <v>0</v>
      </c>
      <c r="AU313" s="48">
        <v>0</v>
      </c>
      <c r="AV313" s="48">
        <v>0</v>
      </c>
      <c r="AW313" s="48">
        <v>0</v>
      </c>
      <c r="AX313" s="48">
        <v>0</v>
      </c>
      <c r="AY313" s="48">
        <v>0</v>
      </c>
      <c r="AZ313" s="48">
        <v>0</v>
      </c>
      <c r="BA313" s="48">
        <v>0</v>
      </c>
      <c r="BB313" s="48">
        <v>0</v>
      </c>
    </row>
    <row r="314" spans="1:54" x14ac:dyDescent="0.35">
      <c r="A314" s="49">
        <v>45930</v>
      </c>
      <c r="B314" s="48">
        <v>1</v>
      </c>
      <c r="C314" s="50" t="s">
        <v>32</v>
      </c>
      <c r="D314" s="48" t="s">
        <v>31</v>
      </c>
      <c r="E314" s="48" t="s">
        <v>138</v>
      </c>
      <c r="F314" s="48" t="s">
        <v>139</v>
      </c>
      <c r="G314" s="49" t="s">
        <v>59</v>
      </c>
      <c r="H314" s="48" t="s">
        <v>159</v>
      </c>
      <c r="I314" s="48">
        <v>1</v>
      </c>
      <c r="J314" s="48">
        <v>201</v>
      </c>
      <c r="K314" s="48">
        <v>1</v>
      </c>
      <c r="N314" s="48">
        <v>0</v>
      </c>
      <c r="R314" s="49"/>
      <c r="S314" s="49"/>
      <c r="T314" s="49">
        <v>52047</v>
      </c>
      <c r="U314" s="49">
        <v>52047</v>
      </c>
      <c r="V314" s="49">
        <v>52047</v>
      </c>
      <c r="W314" s="49">
        <v>52047</v>
      </c>
      <c r="X314" s="48">
        <v>1</v>
      </c>
      <c r="Y314" s="48">
        <v>1</v>
      </c>
      <c r="Z314" s="48">
        <v>1</v>
      </c>
      <c r="AA314" s="156">
        <v>2193.1339020672222</v>
      </c>
      <c r="AF314" s="48">
        <v>0</v>
      </c>
      <c r="AG314" s="49" t="s">
        <v>32</v>
      </c>
      <c r="AH314" s="48">
        <v>1</v>
      </c>
      <c r="AI314" s="48" t="s">
        <v>33</v>
      </c>
      <c r="AJ314" s="48" t="s">
        <v>33</v>
      </c>
      <c r="AK314" s="48" t="s">
        <v>33</v>
      </c>
      <c r="AL314" s="48" t="s">
        <v>34</v>
      </c>
      <c r="AN314" s="48">
        <v>0</v>
      </c>
      <c r="AO314" s="48">
        <v>0</v>
      </c>
      <c r="AP314" s="48">
        <v>0</v>
      </c>
      <c r="AQ314" s="48">
        <v>0</v>
      </c>
      <c r="AR314" s="48">
        <v>0</v>
      </c>
      <c r="AS314" s="48">
        <v>0</v>
      </c>
      <c r="AT314" s="48">
        <v>0</v>
      </c>
      <c r="AU314" s="48">
        <v>0</v>
      </c>
      <c r="AV314" s="48">
        <v>0</v>
      </c>
      <c r="AW314" s="48">
        <v>0</v>
      </c>
      <c r="AX314" s="48">
        <v>0</v>
      </c>
      <c r="AY314" s="48">
        <v>0</v>
      </c>
      <c r="AZ314" s="48">
        <v>0</v>
      </c>
      <c r="BA314" s="48">
        <v>0</v>
      </c>
      <c r="BB314" s="48">
        <v>0</v>
      </c>
    </row>
    <row r="315" spans="1:54" x14ac:dyDescent="0.35">
      <c r="A315" s="49">
        <v>45930</v>
      </c>
      <c r="B315" s="48">
        <v>1</v>
      </c>
      <c r="C315" s="50" t="s">
        <v>32</v>
      </c>
      <c r="D315" s="48" t="s">
        <v>31</v>
      </c>
      <c r="E315" s="48" t="s">
        <v>138</v>
      </c>
      <c r="F315" s="48" t="s">
        <v>139</v>
      </c>
      <c r="G315" s="49" t="s">
        <v>59</v>
      </c>
      <c r="H315" s="48" t="s">
        <v>159</v>
      </c>
      <c r="I315" s="48">
        <v>1</v>
      </c>
      <c r="J315" s="48">
        <v>202</v>
      </c>
      <c r="K315" s="48">
        <v>1</v>
      </c>
      <c r="N315" s="48">
        <v>0</v>
      </c>
      <c r="R315" s="49"/>
      <c r="S315" s="49"/>
      <c r="T315" s="49">
        <v>52078</v>
      </c>
      <c r="U315" s="49">
        <v>52078</v>
      </c>
      <c r="V315" s="49">
        <v>52078</v>
      </c>
      <c r="W315" s="49">
        <v>52078</v>
      </c>
      <c r="X315" s="48">
        <v>1</v>
      </c>
      <c r="Y315" s="48">
        <v>1</v>
      </c>
      <c r="Z315" s="48">
        <v>1</v>
      </c>
      <c r="AA315" s="156">
        <v>2193.1339020672222</v>
      </c>
      <c r="AF315" s="48">
        <v>0</v>
      </c>
      <c r="AG315" s="49" t="s">
        <v>32</v>
      </c>
      <c r="AH315" s="48">
        <v>1</v>
      </c>
      <c r="AI315" s="48" t="s">
        <v>33</v>
      </c>
      <c r="AJ315" s="48" t="s">
        <v>33</v>
      </c>
      <c r="AK315" s="48" t="s">
        <v>33</v>
      </c>
      <c r="AL315" s="48" t="s">
        <v>34</v>
      </c>
      <c r="AN315" s="48">
        <v>0</v>
      </c>
      <c r="AO315" s="48">
        <v>0</v>
      </c>
      <c r="AP315" s="48">
        <v>0</v>
      </c>
      <c r="AQ315" s="48">
        <v>0</v>
      </c>
      <c r="AR315" s="48">
        <v>0</v>
      </c>
      <c r="AS315" s="48">
        <v>0</v>
      </c>
      <c r="AT315" s="48">
        <v>0</v>
      </c>
      <c r="AU315" s="48">
        <v>0</v>
      </c>
      <c r="AV315" s="48">
        <v>0</v>
      </c>
      <c r="AW315" s="48">
        <v>0</v>
      </c>
      <c r="AX315" s="48">
        <v>0</v>
      </c>
      <c r="AY315" s="48">
        <v>0</v>
      </c>
      <c r="AZ315" s="48">
        <v>0</v>
      </c>
      <c r="BA315" s="48">
        <v>0</v>
      </c>
      <c r="BB315" s="48">
        <v>0</v>
      </c>
    </row>
    <row r="316" spans="1:54" x14ac:dyDescent="0.35">
      <c r="A316" s="49">
        <v>45930</v>
      </c>
      <c r="B316" s="48">
        <v>1</v>
      </c>
      <c r="C316" s="50" t="s">
        <v>32</v>
      </c>
      <c r="D316" s="48" t="s">
        <v>31</v>
      </c>
      <c r="E316" s="48" t="s">
        <v>138</v>
      </c>
      <c r="F316" s="48" t="s">
        <v>139</v>
      </c>
      <c r="G316" s="49" t="s">
        <v>59</v>
      </c>
      <c r="H316" s="48" t="s">
        <v>159</v>
      </c>
      <c r="I316" s="48">
        <v>1</v>
      </c>
      <c r="J316" s="48">
        <v>203</v>
      </c>
      <c r="K316" s="48">
        <v>1</v>
      </c>
      <c r="N316" s="48">
        <v>0</v>
      </c>
      <c r="R316" s="49"/>
      <c r="S316" s="49"/>
      <c r="T316" s="49">
        <v>52109</v>
      </c>
      <c r="U316" s="49">
        <v>52109</v>
      </c>
      <c r="V316" s="49">
        <v>52109</v>
      </c>
      <c r="W316" s="49">
        <v>52109</v>
      </c>
      <c r="X316" s="48">
        <v>1</v>
      </c>
      <c r="Y316" s="48">
        <v>1</v>
      </c>
      <c r="Z316" s="48">
        <v>1</v>
      </c>
      <c r="AA316" s="156">
        <v>2193.1339020672222</v>
      </c>
      <c r="AF316" s="48">
        <v>0</v>
      </c>
      <c r="AG316" s="49" t="s">
        <v>32</v>
      </c>
      <c r="AH316" s="48">
        <v>1</v>
      </c>
      <c r="AI316" s="48" t="s">
        <v>33</v>
      </c>
      <c r="AJ316" s="48" t="s">
        <v>33</v>
      </c>
      <c r="AK316" s="48" t="s">
        <v>33</v>
      </c>
      <c r="AL316" s="48" t="s">
        <v>34</v>
      </c>
      <c r="AN316" s="48">
        <v>0</v>
      </c>
      <c r="AO316" s="48">
        <v>0</v>
      </c>
      <c r="AP316" s="48">
        <v>0</v>
      </c>
      <c r="AQ316" s="48">
        <v>0</v>
      </c>
      <c r="AR316" s="48">
        <v>0</v>
      </c>
      <c r="AS316" s="48">
        <v>0</v>
      </c>
      <c r="AT316" s="48">
        <v>0</v>
      </c>
      <c r="AU316" s="48">
        <v>0</v>
      </c>
      <c r="AV316" s="48">
        <v>0</v>
      </c>
      <c r="AW316" s="48">
        <v>0</v>
      </c>
      <c r="AX316" s="48">
        <v>0</v>
      </c>
      <c r="AY316" s="48">
        <v>0</v>
      </c>
      <c r="AZ316" s="48">
        <v>0</v>
      </c>
      <c r="BA316" s="48">
        <v>0</v>
      </c>
      <c r="BB316" s="48">
        <v>0</v>
      </c>
    </row>
    <row r="317" spans="1:54" x14ac:dyDescent="0.35">
      <c r="A317" s="49">
        <v>45930</v>
      </c>
      <c r="B317" s="48">
        <v>1</v>
      </c>
      <c r="C317" s="50" t="s">
        <v>32</v>
      </c>
      <c r="D317" s="48" t="s">
        <v>31</v>
      </c>
      <c r="E317" s="48" t="s">
        <v>138</v>
      </c>
      <c r="F317" s="48" t="s">
        <v>139</v>
      </c>
      <c r="G317" s="49" t="s">
        <v>59</v>
      </c>
      <c r="H317" s="48" t="s">
        <v>159</v>
      </c>
      <c r="I317" s="48">
        <v>1</v>
      </c>
      <c r="J317" s="48">
        <v>204</v>
      </c>
      <c r="K317" s="48">
        <v>1</v>
      </c>
      <c r="N317" s="48">
        <v>0</v>
      </c>
      <c r="R317" s="49"/>
      <c r="S317" s="49"/>
      <c r="T317" s="49">
        <v>52139</v>
      </c>
      <c r="U317" s="49">
        <v>52139</v>
      </c>
      <c r="V317" s="49">
        <v>52139</v>
      </c>
      <c r="W317" s="49">
        <v>52139</v>
      </c>
      <c r="X317" s="48">
        <v>1</v>
      </c>
      <c r="Y317" s="48">
        <v>1</v>
      </c>
      <c r="Z317" s="48">
        <v>1</v>
      </c>
      <c r="AA317" s="156">
        <v>2193.1339020672222</v>
      </c>
      <c r="AF317" s="48">
        <v>0</v>
      </c>
      <c r="AG317" s="49" t="s">
        <v>32</v>
      </c>
      <c r="AH317" s="48">
        <v>1</v>
      </c>
      <c r="AI317" s="48" t="s">
        <v>33</v>
      </c>
      <c r="AJ317" s="48" t="s">
        <v>33</v>
      </c>
      <c r="AK317" s="48" t="s">
        <v>33</v>
      </c>
      <c r="AL317" s="48" t="s">
        <v>34</v>
      </c>
      <c r="AN317" s="48">
        <v>0</v>
      </c>
      <c r="AO317" s="48">
        <v>0</v>
      </c>
      <c r="AP317" s="48">
        <v>0</v>
      </c>
      <c r="AQ317" s="48">
        <v>0</v>
      </c>
      <c r="AR317" s="48">
        <v>0</v>
      </c>
      <c r="AS317" s="48">
        <v>0</v>
      </c>
      <c r="AT317" s="48">
        <v>0</v>
      </c>
      <c r="AU317" s="48">
        <v>0</v>
      </c>
      <c r="AV317" s="48">
        <v>0</v>
      </c>
      <c r="AW317" s="48">
        <v>0</v>
      </c>
      <c r="AX317" s="48">
        <v>0</v>
      </c>
      <c r="AY317" s="48">
        <v>0</v>
      </c>
      <c r="AZ317" s="48">
        <v>0</v>
      </c>
      <c r="BA317" s="48">
        <v>0</v>
      </c>
      <c r="BB317" s="48">
        <v>0</v>
      </c>
    </row>
    <row r="318" spans="1:54" x14ac:dyDescent="0.35">
      <c r="A318" s="49">
        <v>45930</v>
      </c>
      <c r="B318" s="48">
        <v>1</v>
      </c>
      <c r="C318" s="50" t="s">
        <v>32</v>
      </c>
      <c r="D318" s="48" t="s">
        <v>31</v>
      </c>
      <c r="E318" s="48" t="s">
        <v>138</v>
      </c>
      <c r="F318" s="48" t="s">
        <v>139</v>
      </c>
      <c r="G318" s="49" t="s">
        <v>59</v>
      </c>
      <c r="H318" s="48" t="s">
        <v>159</v>
      </c>
      <c r="I318" s="48">
        <v>1</v>
      </c>
      <c r="J318" s="48">
        <v>205</v>
      </c>
      <c r="K318" s="48">
        <v>1</v>
      </c>
      <c r="N318" s="48">
        <v>0</v>
      </c>
      <c r="R318" s="49"/>
      <c r="S318" s="49"/>
      <c r="T318" s="49">
        <v>52170</v>
      </c>
      <c r="U318" s="49">
        <v>52170</v>
      </c>
      <c r="V318" s="49">
        <v>52170</v>
      </c>
      <c r="W318" s="49">
        <v>52170</v>
      </c>
      <c r="X318" s="48">
        <v>1</v>
      </c>
      <c r="Y318" s="48">
        <v>1</v>
      </c>
      <c r="Z318" s="48">
        <v>1</v>
      </c>
      <c r="AA318" s="156">
        <v>1123.5902282867341</v>
      </c>
      <c r="AF318" s="48">
        <v>0</v>
      </c>
      <c r="AG318" s="49" t="s">
        <v>32</v>
      </c>
      <c r="AH318" s="48">
        <v>1</v>
      </c>
      <c r="AI318" s="48" t="s">
        <v>33</v>
      </c>
      <c r="AJ318" s="48" t="s">
        <v>33</v>
      </c>
      <c r="AK318" s="48" t="s">
        <v>33</v>
      </c>
      <c r="AL318" s="48" t="s">
        <v>34</v>
      </c>
      <c r="AN318" s="48">
        <v>0</v>
      </c>
      <c r="AO318" s="48">
        <v>0</v>
      </c>
      <c r="AP318" s="48">
        <v>0</v>
      </c>
      <c r="AQ318" s="48">
        <v>0</v>
      </c>
      <c r="AR318" s="48">
        <v>0</v>
      </c>
      <c r="AS318" s="48">
        <v>0</v>
      </c>
      <c r="AT318" s="48">
        <v>0</v>
      </c>
      <c r="AU318" s="48">
        <v>0</v>
      </c>
      <c r="AV318" s="48">
        <v>0</v>
      </c>
      <c r="AW318" s="48">
        <v>0</v>
      </c>
      <c r="AX318" s="48">
        <v>0</v>
      </c>
      <c r="AY318" s="48">
        <v>0</v>
      </c>
      <c r="AZ318" s="48">
        <v>0</v>
      </c>
      <c r="BA318" s="48">
        <v>0</v>
      </c>
      <c r="BB318" s="48">
        <v>0</v>
      </c>
    </row>
    <row r="319" spans="1:54" x14ac:dyDescent="0.35">
      <c r="A319" s="49">
        <v>45930</v>
      </c>
      <c r="B319" s="48">
        <v>1</v>
      </c>
      <c r="C319" s="50" t="s">
        <v>32</v>
      </c>
      <c r="D319" s="48" t="s">
        <v>31</v>
      </c>
      <c r="E319" s="48" t="s">
        <v>138</v>
      </c>
      <c r="F319" s="48" t="s">
        <v>139</v>
      </c>
      <c r="G319" s="49" t="s">
        <v>59</v>
      </c>
      <c r="H319" s="48" t="s">
        <v>159</v>
      </c>
      <c r="I319" s="48">
        <v>1</v>
      </c>
      <c r="J319" s="48">
        <v>206</v>
      </c>
      <c r="K319" s="48">
        <v>1</v>
      </c>
      <c r="N319" s="48">
        <v>0</v>
      </c>
      <c r="R319" s="49"/>
      <c r="S319" s="49"/>
      <c r="T319" s="49">
        <v>52200</v>
      </c>
      <c r="U319" s="49">
        <v>52200</v>
      </c>
      <c r="V319" s="49">
        <v>52200</v>
      </c>
      <c r="W319" s="49">
        <v>52200</v>
      </c>
      <c r="X319" s="48">
        <v>1</v>
      </c>
      <c r="Y319" s="48">
        <v>1</v>
      </c>
      <c r="Z319" s="48">
        <v>1</v>
      </c>
      <c r="AA319" s="156">
        <v>0</v>
      </c>
      <c r="AF319" s="48">
        <v>0</v>
      </c>
      <c r="AG319" s="49" t="s">
        <v>32</v>
      </c>
      <c r="AH319" s="48">
        <v>1</v>
      </c>
      <c r="AI319" s="48" t="s">
        <v>33</v>
      </c>
      <c r="AJ319" s="48" t="s">
        <v>33</v>
      </c>
      <c r="AK319" s="48" t="s">
        <v>33</v>
      </c>
      <c r="AL319" s="48" t="s">
        <v>34</v>
      </c>
      <c r="AN319" s="48">
        <v>0</v>
      </c>
      <c r="AO319" s="48">
        <v>0</v>
      </c>
      <c r="AP319" s="48">
        <v>0</v>
      </c>
      <c r="AQ319" s="48">
        <v>0</v>
      </c>
      <c r="AR319" s="48">
        <v>0</v>
      </c>
      <c r="AS319" s="48">
        <v>0</v>
      </c>
      <c r="AT319" s="48">
        <v>0</v>
      </c>
      <c r="AU319" s="48">
        <v>0</v>
      </c>
      <c r="AV319" s="48">
        <v>0</v>
      </c>
      <c r="AW319" s="48">
        <v>0</v>
      </c>
      <c r="AX319" s="48">
        <v>0</v>
      </c>
      <c r="AY319" s="48">
        <v>0</v>
      </c>
      <c r="AZ319" s="48">
        <v>0</v>
      </c>
      <c r="BA319" s="48">
        <v>0</v>
      </c>
      <c r="BB319" s="48">
        <v>0</v>
      </c>
    </row>
    <row r="320" spans="1:54" x14ac:dyDescent="0.35">
      <c r="A320" s="49">
        <v>45930</v>
      </c>
      <c r="B320" s="48">
        <v>1</v>
      </c>
      <c r="C320" s="50" t="s">
        <v>32</v>
      </c>
      <c r="D320" s="48" t="s">
        <v>31</v>
      </c>
      <c r="E320" s="48" t="s">
        <v>138</v>
      </c>
      <c r="F320" s="48" t="s">
        <v>139</v>
      </c>
      <c r="G320" s="49" t="s">
        <v>59</v>
      </c>
      <c r="H320" s="48" t="s">
        <v>159</v>
      </c>
      <c r="I320" s="48">
        <v>1</v>
      </c>
      <c r="J320" s="48">
        <v>207</v>
      </c>
      <c r="K320" s="48">
        <v>1</v>
      </c>
      <c r="N320" s="48">
        <v>0</v>
      </c>
      <c r="R320" s="49"/>
      <c r="S320" s="49"/>
      <c r="T320" s="49">
        <v>52231</v>
      </c>
      <c r="U320" s="49">
        <v>52231</v>
      </c>
      <c r="V320" s="49">
        <v>52231</v>
      </c>
      <c r="W320" s="49">
        <v>52231</v>
      </c>
      <c r="X320" s="48">
        <v>1</v>
      </c>
      <c r="Y320" s="48">
        <v>1</v>
      </c>
      <c r="Z320" s="48">
        <v>1</v>
      </c>
      <c r="AA320" s="156">
        <v>0</v>
      </c>
      <c r="AF320" s="48">
        <v>0</v>
      </c>
      <c r="AG320" s="49" t="s">
        <v>32</v>
      </c>
      <c r="AH320" s="48">
        <v>1</v>
      </c>
      <c r="AI320" s="48" t="s">
        <v>33</v>
      </c>
      <c r="AJ320" s="48" t="s">
        <v>33</v>
      </c>
      <c r="AK320" s="48" t="s">
        <v>33</v>
      </c>
      <c r="AL320" s="48" t="s">
        <v>34</v>
      </c>
      <c r="AN320" s="48">
        <v>0</v>
      </c>
      <c r="AO320" s="48">
        <v>0</v>
      </c>
      <c r="AP320" s="48">
        <v>0</v>
      </c>
      <c r="AQ320" s="48">
        <v>0</v>
      </c>
      <c r="AR320" s="48">
        <v>0</v>
      </c>
      <c r="AS320" s="48">
        <v>0</v>
      </c>
      <c r="AT320" s="48">
        <v>0</v>
      </c>
      <c r="AU320" s="48">
        <v>0</v>
      </c>
      <c r="AV320" s="48">
        <v>0</v>
      </c>
      <c r="AW320" s="48">
        <v>0</v>
      </c>
      <c r="AX320" s="48">
        <v>0</v>
      </c>
      <c r="AY320" s="48">
        <v>0</v>
      </c>
      <c r="AZ320" s="48">
        <v>0</v>
      </c>
      <c r="BA320" s="48">
        <v>0</v>
      </c>
      <c r="BB320" s="48">
        <v>0</v>
      </c>
    </row>
    <row r="321" spans="1:54" x14ac:dyDescent="0.35">
      <c r="A321" s="49">
        <v>45930</v>
      </c>
      <c r="B321" s="48">
        <v>1</v>
      </c>
      <c r="C321" s="50" t="s">
        <v>32</v>
      </c>
      <c r="D321" s="48" t="s">
        <v>31</v>
      </c>
      <c r="E321" s="48" t="s">
        <v>138</v>
      </c>
      <c r="F321" s="48" t="s">
        <v>139</v>
      </c>
      <c r="G321" s="49" t="s">
        <v>59</v>
      </c>
      <c r="H321" s="48" t="s">
        <v>159</v>
      </c>
      <c r="I321" s="48">
        <v>1</v>
      </c>
      <c r="J321" s="48">
        <v>208</v>
      </c>
      <c r="K321" s="48">
        <v>1</v>
      </c>
      <c r="N321" s="48">
        <v>0</v>
      </c>
      <c r="R321" s="49"/>
      <c r="S321" s="49"/>
      <c r="T321" s="49">
        <v>52262</v>
      </c>
      <c r="U321" s="49">
        <v>52262</v>
      </c>
      <c r="V321" s="49">
        <v>52262</v>
      </c>
      <c r="W321" s="49">
        <v>52262</v>
      </c>
      <c r="X321" s="48">
        <v>1</v>
      </c>
      <c r="Y321" s="48">
        <v>1</v>
      </c>
      <c r="Z321" s="48">
        <v>1</v>
      </c>
      <c r="AA321" s="156">
        <v>0</v>
      </c>
      <c r="AF321" s="48">
        <v>0</v>
      </c>
      <c r="AG321" s="49" t="s">
        <v>32</v>
      </c>
      <c r="AH321" s="48">
        <v>1</v>
      </c>
      <c r="AI321" s="48" t="s">
        <v>33</v>
      </c>
      <c r="AJ321" s="48" t="s">
        <v>33</v>
      </c>
      <c r="AK321" s="48" t="s">
        <v>33</v>
      </c>
      <c r="AL321" s="48" t="s">
        <v>34</v>
      </c>
      <c r="AN321" s="48">
        <v>0</v>
      </c>
      <c r="AO321" s="48">
        <v>0</v>
      </c>
      <c r="AP321" s="48">
        <v>0</v>
      </c>
      <c r="AQ321" s="48">
        <v>0</v>
      </c>
      <c r="AR321" s="48">
        <v>0</v>
      </c>
      <c r="AS321" s="48">
        <v>0</v>
      </c>
      <c r="AT321" s="48">
        <v>0</v>
      </c>
      <c r="AU321" s="48">
        <v>0</v>
      </c>
      <c r="AV321" s="48">
        <v>0</v>
      </c>
      <c r="AW321" s="48">
        <v>0</v>
      </c>
      <c r="AX321" s="48">
        <v>0</v>
      </c>
      <c r="AY321" s="48">
        <v>0</v>
      </c>
      <c r="AZ321" s="48">
        <v>0</v>
      </c>
      <c r="BA321" s="48">
        <v>0</v>
      </c>
      <c r="BB321" s="48">
        <v>0</v>
      </c>
    </row>
    <row r="322" spans="1:54" x14ac:dyDescent="0.35">
      <c r="A322" s="49">
        <v>45930</v>
      </c>
      <c r="B322" s="48">
        <v>1</v>
      </c>
      <c r="C322" s="50" t="s">
        <v>32</v>
      </c>
      <c r="D322" s="48" t="s">
        <v>31</v>
      </c>
      <c r="E322" s="48" t="s">
        <v>138</v>
      </c>
      <c r="F322" s="48" t="s">
        <v>139</v>
      </c>
      <c r="G322" s="49" t="s">
        <v>59</v>
      </c>
      <c r="H322" s="48" t="s">
        <v>159</v>
      </c>
      <c r="I322" s="48">
        <v>1</v>
      </c>
      <c r="J322" s="48">
        <v>209</v>
      </c>
      <c r="K322" s="48">
        <v>1</v>
      </c>
      <c r="N322" s="48">
        <v>0</v>
      </c>
      <c r="R322" s="49"/>
      <c r="S322" s="49"/>
      <c r="T322" s="49">
        <v>52290</v>
      </c>
      <c r="U322" s="49">
        <v>52290</v>
      </c>
      <c r="V322" s="49">
        <v>52290</v>
      </c>
      <c r="W322" s="49">
        <v>52290</v>
      </c>
      <c r="X322" s="48">
        <v>1</v>
      </c>
      <c r="Y322" s="48">
        <v>1</v>
      </c>
      <c r="Z322" s="48">
        <v>1</v>
      </c>
      <c r="AA322" s="156">
        <v>0</v>
      </c>
      <c r="AF322" s="48">
        <v>0</v>
      </c>
      <c r="AG322" s="49" t="s">
        <v>32</v>
      </c>
      <c r="AH322" s="48">
        <v>1</v>
      </c>
      <c r="AI322" s="48" t="s">
        <v>33</v>
      </c>
      <c r="AJ322" s="48" t="s">
        <v>33</v>
      </c>
      <c r="AK322" s="48" t="s">
        <v>33</v>
      </c>
      <c r="AL322" s="48" t="s">
        <v>34</v>
      </c>
      <c r="AN322" s="48">
        <v>0</v>
      </c>
      <c r="AO322" s="48">
        <v>0</v>
      </c>
      <c r="AP322" s="48">
        <v>0</v>
      </c>
      <c r="AQ322" s="48">
        <v>0</v>
      </c>
      <c r="AR322" s="48">
        <v>0</v>
      </c>
      <c r="AS322" s="48">
        <v>0</v>
      </c>
      <c r="AT322" s="48">
        <v>0</v>
      </c>
      <c r="AU322" s="48">
        <v>0</v>
      </c>
      <c r="AV322" s="48">
        <v>0</v>
      </c>
      <c r="AW322" s="48">
        <v>0</v>
      </c>
      <c r="AX322" s="48">
        <v>0</v>
      </c>
      <c r="AY322" s="48">
        <v>0</v>
      </c>
      <c r="AZ322" s="48">
        <v>0</v>
      </c>
      <c r="BA322" s="48">
        <v>0</v>
      </c>
      <c r="BB322" s="48">
        <v>0</v>
      </c>
    </row>
    <row r="323" spans="1:54" x14ac:dyDescent="0.35">
      <c r="A323" s="49">
        <v>45930</v>
      </c>
      <c r="B323" s="48">
        <v>1</v>
      </c>
      <c r="C323" s="50" t="s">
        <v>32</v>
      </c>
      <c r="D323" s="48" t="s">
        <v>31</v>
      </c>
      <c r="E323" s="48" t="s">
        <v>138</v>
      </c>
      <c r="F323" s="48" t="s">
        <v>139</v>
      </c>
      <c r="G323" s="49" t="s">
        <v>59</v>
      </c>
      <c r="H323" s="48" t="s">
        <v>159</v>
      </c>
      <c r="I323" s="48">
        <v>1</v>
      </c>
      <c r="J323" s="48">
        <v>210</v>
      </c>
      <c r="K323" s="48">
        <v>1</v>
      </c>
      <c r="N323" s="48">
        <v>0</v>
      </c>
      <c r="R323" s="49"/>
      <c r="S323" s="49"/>
      <c r="T323" s="49">
        <v>52321</v>
      </c>
      <c r="U323" s="49">
        <v>52321</v>
      </c>
      <c r="V323" s="49">
        <v>52321</v>
      </c>
      <c r="W323" s="49">
        <v>52321</v>
      </c>
      <c r="X323" s="48">
        <v>1</v>
      </c>
      <c r="Y323" s="48">
        <v>1</v>
      </c>
      <c r="Z323" s="48">
        <v>1</v>
      </c>
      <c r="AA323" s="156">
        <v>0</v>
      </c>
      <c r="AF323" s="48">
        <v>0</v>
      </c>
      <c r="AG323" s="49" t="s">
        <v>32</v>
      </c>
      <c r="AH323" s="48">
        <v>1</v>
      </c>
      <c r="AI323" s="48" t="s">
        <v>33</v>
      </c>
      <c r="AJ323" s="48" t="s">
        <v>33</v>
      </c>
      <c r="AK323" s="48" t="s">
        <v>33</v>
      </c>
      <c r="AL323" s="48" t="s">
        <v>34</v>
      </c>
      <c r="AN323" s="48">
        <v>0</v>
      </c>
      <c r="AO323" s="48">
        <v>0</v>
      </c>
      <c r="AP323" s="48">
        <v>0</v>
      </c>
      <c r="AQ323" s="48">
        <v>0</v>
      </c>
      <c r="AR323" s="48">
        <v>0</v>
      </c>
      <c r="AS323" s="48">
        <v>0</v>
      </c>
      <c r="AT323" s="48">
        <v>0</v>
      </c>
      <c r="AU323" s="48">
        <v>0</v>
      </c>
      <c r="AV323" s="48">
        <v>0</v>
      </c>
      <c r="AW323" s="48">
        <v>0</v>
      </c>
      <c r="AX323" s="48">
        <v>0</v>
      </c>
      <c r="AY323" s="48">
        <v>0</v>
      </c>
      <c r="AZ323" s="48">
        <v>0</v>
      </c>
      <c r="BA323" s="48">
        <v>0</v>
      </c>
      <c r="BB323" s="48">
        <v>0</v>
      </c>
    </row>
    <row r="324" spans="1:54" x14ac:dyDescent="0.35">
      <c r="A324" s="49">
        <v>45930</v>
      </c>
      <c r="B324" s="48">
        <v>1</v>
      </c>
      <c r="C324" s="50" t="s">
        <v>32</v>
      </c>
      <c r="D324" s="48" t="s">
        <v>31</v>
      </c>
      <c r="E324" s="48" t="s">
        <v>138</v>
      </c>
      <c r="F324" s="48" t="s">
        <v>139</v>
      </c>
      <c r="G324" s="49" t="s">
        <v>59</v>
      </c>
      <c r="H324" s="48" t="s">
        <v>159</v>
      </c>
      <c r="I324" s="48">
        <v>1</v>
      </c>
      <c r="J324" s="48">
        <v>211</v>
      </c>
      <c r="K324" s="48">
        <v>1</v>
      </c>
      <c r="N324" s="48">
        <v>0</v>
      </c>
      <c r="R324" s="49"/>
      <c r="S324" s="49"/>
      <c r="T324" s="49">
        <v>52351</v>
      </c>
      <c r="U324" s="49">
        <v>52351</v>
      </c>
      <c r="V324" s="49">
        <v>52351</v>
      </c>
      <c r="W324" s="49">
        <v>52351</v>
      </c>
      <c r="X324" s="48">
        <v>1</v>
      </c>
      <c r="Y324" s="48">
        <v>1</v>
      </c>
      <c r="Z324" s="48">
        <v>1</v>
      </c>
      <c r="AA324" s="156">
        <v>0</v>
      </c>
      <c r="AF324" s="48">
        <v>0</v>
      </c>
      <c r="AG324" s="49" t="s">
        <v>32</v>
      </c>
      <c r="AH324" s="48">
        <v>1</v>
      </c>
      <c r="AI324" s="48" t="s">
        <v>33</v>
      </c>
      <c r="AJ324" s="48" t="s">
        <v>33</v>
      </c>
      <c r="AK324" s="48" t="s">
        <v>33</v>
      </c>
      <c r="AL324" s="48" t="s">
        <v>34</v>
      </c>
      <c r="AN324" s="48">
        <v>0</v>
      </c>
      <c r="AO324" s="48">
        <v>0</v>
      </c>
      <c r="AP324" s="48">
        <v>0</v>
      </c>
      <c r="AQ324" s="48">
        <v>0</v>
      </c>
      <c r="AR324" s="48">
        <v>0</v>
      </c>
      <c r="AS324" s="48">
        <v>0</v>
      </c>
      <c r="AT324" s="48">
        <v>0</v>
      </c>
      <c r="AU324" s="48">
        <v>0</v>
      </c>
      <c r="AV324" s="48">
        <v>0</v>
      </c>
      <c r="AW324" s="48">
        <v>0</v>
      </c>
      <c r="AX324" s="48">
        <v>0</v>
      </c>
      <c r="AY324" s="48">
        <v>0</v>
      </c>
      <c r="AZ324" s="48">
        <v>0</v>
      </c>
      <c r="BA324" s="48">
        <v>0</v>
      </c>
      <c r="BB324" s="48">
        <v>0</v>
      </c>
    </row>
    <row r="325" spans="1:54" x14ac:dyDescent="0.35">
      <c r="A325" s="49">
        <v>45930</v>
      </c>
      <c r="B325" s="48">
        <v>1</v>
      </c>
      <c r="C325" s="50" t="s">
        <v>32</v>
      </c>
      <c r="D325" s="48" t="s">
        <v>31</v>
      </c>
      <c r="E325" s="48" t="s">
        <v>138</v>
      </c>
      <c r="F325" s="48" t="s">
        <v>139</v>
      </c>
      <c r="G325" s="49" t="s">
        <v>59</v>
      </c>
      <c r="H325" s="48" t="s">
        <v>159</v>
      </c>
      <c r="I325" s="48">
        <v>1</v>
      </c>
      <c r="J325" s="48">
        <v>212</v>
      </c>
      <c r="K325" s="48">
        <v>1</v>
      </c>
      <c r="N325" s="48">
        <v>0</v>
      </c>
      <c r="R325" s="49"/>
      <c r="S325" s="49"/>
      <c r="T325" s="49">
        <v>52382</v>
      </c>
      <c r="U325" s="49">
        <v>52382</v>
      </c>
      <c r="V325" s="49">
        <v>52382</v>
      </c>
      <c r="W325" s="49">
        <v>52382</v>
      </c>
      <c r="X325" s="48">
        <v>1</v>
      </c>
      <c r="Y325" s="48">
        <v>1</v>
      </c>
      <c r="Z325" s="48">
        <v>1</v>
      </c>
      <c r="AA325" s="156">
        <v>0</v>
      </c>
      <c r="AF325" s="48">
        <v>0</v>
      </c>
      <c r="AG325" s="49" t="s">
        <v>32</v>
      </c>
      <c r="AH325" s="48">
        <v>1</v>
      </c>
      <c r="AI325" s="48" t="s">
        <v>33</v>
      </c>
      <c r="AJ325" s="48" t="s">
        <v>33</v>
      </c>
      <c r="AK325" s="48" t="s">
        <v>33</v>
      </c>
      <c r="AL325" s="48" t="s">
        <v>34</v>
      </c>
      <c r="AN325" s="48">
        <v>0</v>
      </c>
      <c r="AO325" s="48">
        <v>0</v>
      </c>
      <c r="AP325" s="48">
        <v>0</v>
      </c>
      <c r="AQ325" s="48">
        <v>0</v>
      </c>
      <c r="AR325" s="48">
        <v>0</v>
      </c>
      <c r="AS325" s="48">
        <v>0</v>
      </c>
      <c r="AT325" s="48">
        <v>0</v>
      </c>
      <c r="AU325" s="48">
        <v>0</v>
      </c>
      <c r="AV325" s="48">
        <v>0</v>
      </c>
      <c r="AW325" s="48">
        <v>0</v>
      </c>
      <c r="AX325" s="48">
        <v>0</v>
      </c>
      <c r="AY325" s="48">
        <v>0</v>
      </c>
      <c r="AZ325" s="48">
        <v>0</v>
      </c>
      <c r="BA325" s="48">
        <v>0</v>
      </c>
      <c r="BB325" s="48">
        <v>0</v>
      </c>
    </row>
    <row r="326" spans="1:54" x14ac:dyDescent="0.35">
      <c r="A326" s="49">
        <v>45930</v>
      </c>
      <c r="B326" s="48">
        <v>1</v>
      </c>
      <c r="C326" s="50" t="s">
        <v>32</v>
      </c>
      <c r="D326" s="48" t="s">
        <v>31</v>
      </c>
      <c r="E326" s="48" t="s">
        <v>138</v>
      </c>
      <c r="F326" s="48" t="s">
        <v>139</v>
      </c>
      <c r="G326" s="49" t="s">
        <v>59</v>
      </c>
      <c r="H326" s="48" t="s">
        <v>158</v>
      </c>
      <c r="I326" s="48">
        <v>1</v>
      </c>
      <c r="J326" s="48">
        <v>213</v>
      </c>
      <c r="K326" s="48">
        <v>1</v>
      </c>
      <c r="N326" s="48">
        <v>0</v>
      </c>
      <c r="R326" s="49"/>
      <c r="S326" s="49"/>
      <c r="T326" s="49">
        <v>52412</v>
      </c>
      <c r="U326" s="49">
        <v>52412</v>
      </c>
      <c r="V326" s="49">
        <v>52412</v>
      </c>
      <c r="W326" s="49">
        <v>52412</v>
      </c>
      <c r="X326" s="48">
        <v>1</v>
      </c>
      <c r="Y326" s="48">
        <v>1</v>
      </c>
      <c r="Z326" s="48">
        <v>1</v>
      </c>
      <c r="AA326" s="156">
        <v>0</v>
      </c>
      <c r="AF326" s="48">
        <v>0</v>
      </c>
      <c r="AG326" s="49" t="s">
        <v>32</v>
      </c>
      <c r="AH326" s="48">
        <v>1</v>
      </c>
      <c r="AI326" s="48" t="s">
        <v>33</v>
      </c>
      <c r="AJ326" s="48" t="s">
        <v>33</v>
      </c>
      <c r="AK326" s="48" t="s">
        <v>33</v>
      </c>
      <c r="AL326" s="48" t="s">
        <v>34</v>
      </c>
      <c r="AN326" s="48">
        <v>0</v>
      </c>
      <c r="AO326" s="48">
        <v>0</v>
      </c>
      <c r="AP326" s="48">
        <v>0</v>
      </c>
      <c r="AQ326" s="48">
        <v>0</v>
      </c>
      <c r="AR326" s="48">
        <v>0</v>
      </c>
      <c r="AS326" s="48">
        <v>0</v>
      </c>
      <c r="AT326" s="48">
        <v>0</v>
      </c>
      <c r="AU326" s="48">
        <v>0</v>
      </c>
      <c r="AV326" s="48">
        <v>0</v>
      </c>
      <c r="AW326" s="48">
        <v>0</v>
      </c>
      <c r="AX326" s="48">
        <v>0</v>
      </c>
      <c r="AY326" s="48">
        <v>0</v>
      </c>
      <c r="AZ326" s="48">
        <v>0</v>
      </c>
      <c r="BA326" s="48">
        <v>0</v>
      </c>
      <c r="BB326" s="48">
        <v>0</v>
      </c>
    </row>
    <row r="327" spans="1:54" x14ac:dyDescent="0.35">
      <c r="A327" s="49">
        <v>45930</v>
      </c>
      <c r="B327" s="48">
        <v>1</v>
      </c>
      <c r="C327" s="50" t="s">
        <v>32</v>
      </c>
      <c r="D327" s="48" t="s">
        <v>31</v>
      </c>
      <c r="E327" s="48" t="s">
        <v>138</v>
      </c>
      <c r="F327" s="48" t="s">
        <v>139</v>
      </c>
      <c r="G327" s="49" t="s">
        <v>59</v>
      </c>
      <c r="H327" s="48" t="s">
        <v>158</v>
      </c>
      <c r="I327" s="48">
        <v>1</v>
      </c>
      <c r="J327" s="48">
        <v>214</v>
      </c>
      <c r="K327" s="48">
        <v>1</v>
      </c>
      <c r="N327" s="48">
        <v>0</v>
      </c>
      <c r="R327" s="49"/>
      <c r="S327" s="49"/>
      <c r="T327" s="49">
        <v>52443</v>
      </c>
      <c r="U327" s="49">
        <v>52443</v>
      </c>
      <c r="V327" s="49">
        <v>52443</v>
      </c>
      <c r="W327" s="49">
        <v>52443</v>
      </c>
      <c r="X327" s="48">
        <v>1</v>
      </c>
      <c r="Y327" s="48">
        <v>1</v>
      </c>
      <c r="Z327" s="48">
        <v>1</v>
      </c>
      <c r="AA327" s="156">
        <v>0</v>
      </c>
      <c r="AF327" s="48">
        <v>0</v>
      </c>
      <c r="AG327" s="49" t="s">
        <v>32</v>
      </c>
      <c r="AH327" s="48">
        <v>1</v>
      </c>
      <c r="AI327" s="48" t="s">
        <v>33</v>
      </c>
      <c r="AJ327" s="48" t="s">
        <v>33</v>
      </c>
      <c r="AK327" s="48" t="s">
        <v>33</v>
      </c>
      <c r="AL327" s="48" t="s">
        <v>34</v>
      </c>
      <c r="AN327" s="48">
        <v>0</v>
      </c>
      <c r="AO327" s="48">
        <v>0</v>
      </c>
      <c r="AP327" s="48">
        <v>0</v>
      </c>
      <c r="AQ327" s="48">
        <v>0</v>
      </c>
      <c r="AR327" s="48">
        <v>0</v>
      </c>
      <c r="AS327" s="48">
        <v>0</v>
      </c>
      <c r="AT327" s="48">
        <v>0</v>
      </c>
      <c r="AU327" s="48">
        <v>0</v>
      </c>
      <c r="AV327" s="48">
        <v>0</v>
      </c>
      <c r="AW327" s="48">
        <v>0</v>
      </c>
      <c r="AX327" s="48">
        <v>0</v>
      </c>
      <c r="AY327" s="48">
        <v>0</v>
      </c>
      <c r="AZ327" s="48">
        <v>0</v>
      </c>
      <c r="BA327" s="48">
        <v>0</v>
      </c>
      <c r="BB327" s="48">
        <v>0</v>
      </c>
    </row>
    <row r="328" spans="1:54" x14ac:dyDescent="0.35">
      <c r="A328" s="49">
        <v>45930</v>
      </c>
      <c r="B328" s="48">
        <v>1</v>
      </c>
      <c r="C328" s="50" t="s">
        <v>32</v>
      </c>
      <c r="D328" s="48" t="s">
        <v>31</v>
      </c>
      <c r="E328" s="48" t="s">
        <v>138</v>
      </c>
      <c r="F328" s="48" t="s">
        <v>139</v>
      </c>
      <c r="G328" s="49" t="s">
        <v>59</v>
      </c>
      <c r="H328" s="48" t="s">
        <v>158</v>
      </c>
      <c r="I328" s="48">
        <v>1</v>
      </c>
      <c r="J328" s="48">
        <v>215</v>
      </c>
      <c r="K328" s="48">
        <v>1</v>
      </c>
      <c r="N328" s="48">
        <v>0</v>
      </c>
      <c r="R328" s="49"/>
      <c r="S328" s="49"/>
      <c r="T328" s="49">
        <v>52474</v>
      </c>
      <c r="U328" s="49">
        <v>52474</v>
      </c>
      <c r="V328" s="49">
        <v>52474</v>
      </c>
      <c r="W328" s="49">
        <v>52474</v>
      </c>
      <c r="X328" s="48">
        <v>1</v>
      </c>
      <c r="Y328" s="48">
        <v>1</v>
      </c>
      <c r="Z328" s="48">
        <v>1</v>
      </c>
      <c r="AA328" s="156">
        <v>0</v>
      </c>
      <c r="AF328" s="48">
        <v>0</v>
      </c>
      <c r="AG328" s="49" t="s">
        <v>32</v>
      </c>
      <c r="AH328" s="48">
        <v>1</v>
      </c>
      <c r="AI328" s="48" t="s">
        <v>33</v>
      </c>
      <c r="AJ328" s="48" t="s">
        <v>33</v>
      </c>
      <c r="AK328" s="48" t="s">
        <v>33</v>
      </c>
      <c r="AL328" s="48" t="s">
        <v>34</v>
      </c>
      <c r="AN328" s="48">
        <v>0</v>
      </c>
      <c r="AO328" s="48">
        <v>0</v>
      </c>
      <c r="AP328" s="48">
        <v>0</v>
      </c>
      <c r="AQ328" s="48">
        <v>0</v>
      </c>
      <c r="AR328" s="48">
        <v>0</v>
      </c>
      <c r="AS328" s="48">
        <v>0</v>
      </c>
      <c r="AT328" s="48">
        <v>0</v>
      </c>
      <c r="AU328" s="48">
        <v>0</v>
      </c>
      <c r="AV328" s="48">
        <v>0</v>
      </c>
      <c r="AW328" s="48">
        <v>0</v>
      </c>
      <c r="AX328" s="48">
        <v>0</v>
      </c>
      <c r="AY328" s="48">
        <v>0</v>
      </c>
      <c r="AZ328" s="48">
        <v>0</v>
      </c>
      <c r="BA328" s="48">
        <v>0</v>
      </c>
      <c r="BB328" s="48">
        <v>0</v>
      </c>
    </row>
    <row r="329" spans="1:54" x14ac:dyDescent="0.35">
      <c r="A329" s="49">
        <v>45930</v>
      </c>
      <c r="B329" s="48">
        <v>1</v>
      </c>
      <c r="C329" s="50" t="s">
        <v>32</v>
      </c>
      <c r="D329" s="48" t="s">
        <v>31</v>
      </c>
      <c r="E329" s="48" t="s">
        <v>138</v>
      </c>
      <c r="F329" s="48" t="s">
        <v>139</v>
      </c>
      <c r="G329" s="49" t="s">
        <v>59</v>
      </c>
      <c r="H329" s="48" t="s">
        <v>158</v>
      </c>
      <c r="I329" s="48">
        <v>1</v>
      </c>
      <c r="J329" s="48">
        <v>216</v>
      </c>
      <c r="K329" s="48">
        <v>1</v>
      </c>
      <c r="N329" s="48">
        <v>0</v>
      </c>
      <c r="R329" s="49"/>
      <c r="S329" s="49"/>
      <c r="T329" s="49">
        <v>52504</v>
      </c>
      <c r="U329" s="49">
        <v>52504</v>
      </c>
      <c r="V329" s="49">
        <v>52504</v>
      </c>
      <c r="W329" s="49">
        <v>52504</v>
      </c>
      <c r="X329" s="48">
        <v>1</v>
      </c>
      <c r="Y329" s="48">
        <v>1</v>
      </c>
      <c r="Z329" s="48">
        <v>1</v>
      </c>
      <c r="AA329" s="156">
        <v>0</v>
      </c>
      <c r="AF329" s="48">
        <v>0</v>
      </c>
      <c r="AG329" s="49" t="s">
        <v>32</v>
      </c>
      <c r="AH329" s="48">
        <v>1</v>
      </c>
      <c r="AI329" s="48" t="s">
        <v>33</v>
      </c>
      <c r="AJ329" s="48" t="s">
        <v>33</v>
      </c>
      <c r="AK329" s="48" t="s">
        <v>33</v>
      </c>
      <c r="AL329" s="48" t="s">
        <v>34</v>
      </c>
      <c r="AN329" s="48">
        <v>0</v>
      </c>
      <c r="AO329" s="48">
        <v>0</v>
      </c>
      <c r="AP329" s="48">
        <v>0</v>
      </c>
      <c r="AQ329" s="48">
        <v>0</v>
      </c>
      <c r="AR329" s="48">
        <v>0</v>
      </c>
      <c r="AS329" s="48">
        <v>0</v>
      </c>
      <c r="AT329" s="48">
        <v>0</v>
      </c>
      <c r="AU329" s="48">
        <v>0</v>
      </c>
      <c r="AV329" s="48">
        <v>0</v>
      </c>
      <c r="AW329" s="48">
        <v>0</v>
      </c>
      <c r="AX329" s="48">
        <v>0</v>
      </c>
      <c r="AY329" s="48">
        <v>0</v>
      </c>
      <c r="AZ329" s="48">
        <v>0</v>
      </c>
      <c r="BA329" s="48">
        <v>0</v>
      </c>
      <c r="BB329" s="48">
        <v>0</v>
      </c>
    </row>
    <row r="330" spans="1:54" x14ac:dyDescent="0.35">
      <c r="A330" s="49">
        <v>45930</v>
      </c>
      <c r="B330" s="48">
        <v>1</v>
      </c>
      <c r="C330" s="50" t="s">
        <v>32</v>
      </c>
      <c r="D330" s="48" t="s">
        <v>31</v>
      </c>
      <c r="E330" s="48" t="s">
        <v>138</v>
      </c>
      <c r="F330" s="48" t="s">
        <v>139</v>
      </c>
      <c r="G330" s="49" t="s">
        <v>59</v>
      </c>
      <c r="H330" s="48" t="s">
        <v>158</v>
      </c>
      <c r="I330" s="48">
        <v>1</v>
      </c>
      <c r="J330" s="48">
        <v>217</v>
      </c>
      <c r="K330" s="48">
        <v>1</v>
      </c>
      <c r="N330" s="48">
        <v>0</v>
      </c>
      <c r="R330" s="49"/>
      <c r="S330" s="49"/>
      <c r="T330" s="49">
        <v>52535</v>
      </c>
      <c r="U330" s="49">
        <v>52535</v>
      </c>
      <c r="V330" s="49">
        <v>52535</v>
      </c>
      <c r="W330" s="49">
        <v>52535</v>
      </c>
      <c r="X330" s="48">
        <v>1</v>
      </c>
      <c r="Y330" s="48">
        <v>1</v>
      </c>
      <c r="Z330" s="48">
        <v>1</v>
      </c>
      <c r="AA330" s="156">
        <v>0</v>
      </c>
      <c r="AF330" s="48">
        <v>0</v>
      </c>
      <c r="AG330" s="49" t="s">
        <v>32</v>
      </c>
      <c r="AH330" s="48">
        <v>1</v>
      </c>
      <c r="AI330" s="48" t="s">
        <v>33</v>
      </c>
      <c r="AJ330" s="48" t="s">
        <v>33</v>
      </c>
      <c r="AK330" s="48" t="s">
        <v>33</v>
      </c>
      <c r="AL330" s="48" t="s">
        <v>34</v>
      </c>
      <c r="AN330" s="48">
        <v>0</v>
      </c>
      <c r="AO330" s="48">
        <v>0</v>
      </c>
      <c r="AP330" s="48">
        <v>0</v>
      </c>
      <c r="AQ330" s="48">
        <v>0</v>
      </c>
      <c r="AR330" s="48">
        <v>0</v>
      </c>
      <c r="AS330" s="48">
        <v>0</v>
      </c>
      <c r="AT330" s="48">
        <v>0</v>
      </c>
      <c r="AU330" s="48">
        <v>0</v>
      </c>
      <c r="AV330" s="48">
        <v>0</v>
      </c>
      <c r="AW330" s="48">
        <v>0</v>
      </c>
      <c r="AX330" s="48">
        <v>0</v>
      </c>
      <c r="AY330" s="48">
        <v>0</v>
      </c>
      <c r="AZ330" s="48">
        <v>0</v>
      </c>
      <c r="BA330" s="48">
        <v>0</v>
      </c>
      <c r="BB330" s="48">
        <v>0</v>
      </c>
    </row>
    <row r="331" spans="1:54" x14ac:dyDescent="0.35">
      <c r="A331" s="49">
        <v>45930</v>
      </c>
      <c r="B331" s="48">
        <v>1</v>
      </c>
      <c r="C331" s="50" t="s">
        <v>32</v>
      </c>
      <c r="D331" s="48" t="s">
        <v>31</v>
      </c>
      <c r="E331" s="48" t="s">
        <v>138</v>
      </c>
      <c r="F331" s="48" t="s">
        <v>139</v>
      </c>
      <c r="G331" s="49" t="s">
        <v>59</v>
      </c>
      <c r="H331" s="48" t="s">
        <v>158</v>
      </c>
      <c r="I331" s="48">
        <v>1</v>
      </c>
      <c r="J331" s="48">
        <v>218</v>
      </c>
      <c r="K331" s="48">
        <v>1</v>
      </c>
      <c r="N331" s="48">
        <v>0</v>
      </c>
      <c r="R331" s="49"/>
      <c r="S331" s="49"/>
      <c r="T331" s="49">
        <v>52565</v>
      </c>
      <c r="U331" s="49">
        <v>52565</v>
      </c>
      <c r="V331" s="49">
        <v>52565</v>
      </c>
      <c r="W331" s="49">
        <v>52565</v>
      </c>
      <c r="X331" s="48">
        <v>1</v>
      </c>
      <c r="Y331" s="48">
        <v>1</v>
      </c>
      <c r="Z331" s="48">
        <v>1</v>
      </c>
      <c r="AA331" s="156">
        <v>0</v>
      </c>
      <c r="AF331" s="48">
        <v>0</v>
      </c>
      <c r="AG331" s="49" t="s">
        <v>32</v>
      </c>
      <c r="AH331" s="48">
        <v>1</v>
      </c>
      <c r="AI331" s="48" t="s">
        <v>33</v>
      </c>
      <c r="AJ331" s="48" t="s">
        <v>33</v>
      </c>
      <c r="AK331" s="48" t="s">
        <v>33</v>
      </c>
      <c r="AL331" s="48" t="s">
        <v>34</v>
      </c>
      <c r="AN331" s="48">
        <v>0</v>
      </c>
      <c r="AO331" s="48">
        <v>0</v>
      </c>
      <c r="AP331" s="48">
        <v>0</v>
      </c>
      <c r="AQ331" s="48">
        <v>0</v>
      </c>
      <c r="AR331" s="48">
        <v>0</v>
      </c>
      <c r="AS331" s="48">
        <v>0</v>
      </c>
      <c r="AT331" s="48">
        <v>0</v>
      </c>
      <c r="AU331" s="48">
        <v>0</v>
      </c>
      <c r="AV331" s="48">
        <v>0</v>
      </c>
      <c r="AW331" s="48">
        <v>0</v>
      </c>
      <c r="AX331" s="48">
        <v>0</v>
      </c>
      <c r="AY331" s="48">
        <v>0</v>
      </c>
      <c r="AZ331" s="48">
        <v>0</v>
      </c>
      <c r="BA331" s="48">
        <v>0</v>
      </c>
      <c r="BB331" s="48">
        <v>0</v>
      </c>
    </row>
    <row r="332" spans="1:54" x14ac:dyDescent="0.35">
      <c r="A332" s="49">
        <v>45930</v>
      </c>
      <c r="B332" s="48">
        <v>1</v>
      </c>
      <c r="C332" s="50" t="s">
        <v>32</v>
      </c>
      <c r="D332" s="48" t="s">
        <v>31</v>
      </c>
      <c r="E332" s="48" t="s">
        <v>138</v>
      </c>
      <c r="F332" s="48" t="s">
        <v>139</v>
      </c>
      <c r="G332" s="49" t="s">
        <v>59</v>
      </c>
      <c r="H332" s="48" t="s">
        <v>158</v>
      </c>
      <c r="I332" s="48">
        <v>1</v>
      </c>
      <c r="J332" s="48">
        <v>219</v>
      </c>
      <c r="K332" s="48">
        <v>1</v>
      </c>
      <c r="N332" s="48">
        <v>0</v>
      </c>
      <c r="R332" s="49"/>
      <c r="S332" s="49"/>
      <c r="T332" s="49">
        <v>52596</v>
      </c>
      <c r="U332" s="49">
        <v>52596</v>
      </c>
      <c r="V332" s="49">
        <v>52596</v>
      </c>
      <c r="W332" s="49">
        <v>52596</v>
      </c>
      <c r="X332" s="48">
        <v>1</v>
      </c>
      <c r="Y332" s="48">
        <v>1</v>
      </c>
      <c r="Z332" s="48">
        <v>1</v>
      </c>
      <c r="AA332" s="156">
        <v>0</v>
      </c>
      <c r="AF332" s="48">
        <v>0</v>
      </c>
      <c r="AG332" s="49" t="s">
        <v>32</v>
      </c>
      <c r="AH332" s="48">
        <v>1</v>
      </c>
      <c r="AI332" s="48" t="s">
        <v>33</v>
      </c>
      <c r="AJ332" s="48" t="s">
        <v>33</v>
      </c>
      <c r="AK332" s="48" t="s">
        <v>33</v>
      </c>
      <c r="AL332" s="48" t="s">
        <v>34</v>
      </c>
      <c r="AN332" s="48">
        <v>0</v>
      </c>
      <c r="AO332" s="48">
        <v>0</v>
      </c>
      <c r="AP332" s="48">
        <v>0</v>
      </c>
      <c r="AQ332" s="48">
        <v>0</v>
      </c>
      <c r="AR332" s="48">
        <v>0</v>
      </c>
      <c r="AS332" s="48">
        <v>0</v>
      </c>
      <c r="AT332" s="48">
        <v>0</v>
      </c>
      <c r="AU332" s="48">
        <v>0</v>
      </c>
      <c r="AV332" s="48">
        <v>0</v>
      </c>
      <c r="AW332" s="48">
        <v>0</v>
      </c>
      <c r="AX332" s="48">
        <v>0</v>
      </c>
      <c r="AY332" s="48">
        <v>0</v>
      </c>
      <c r="AZ332" s="48">
        <v>0</v>
      </c>
      <c r="BA332" s="48">
        <v>0</v>
      </c>
      <c r="BB332" s="48">
        <v>0</v>
      </c>
    </row>
    <row r="333" spans="1:54" x14ac:dyDescent="0.35">
      <c r="A333" s="49">
        <v>45930</v>
      </c>
      <c r="B333" s="48">
        <v>1</v>
      </c>
      <c r="C333" s="50" t="s">
        <v>32</v>
      </c>
      <c r="D333" s="48" t="s">
        <v>31</v>
      </c>
      <c r="E333" s="48" t="s">
        <v>138</v>
      </c>
      <c r="F333" s="48" t="s">
        <v>139</v>
      </c>
      <c r="G333" s="49" t="s">
        <v>59</v>
      </c>
      <c r="H333" s="48" t="s">
        <v>158</v>
      </c>
      <c r="I333" s="48">
        <v>1</v>
      </c>
      <c r="J333" s="48">
        <v>220</v>
      </c>
      <c r="K333" s="48">
        <v>1</v>
      </c>
      <c r="N333" s="48">
        <v>0</v>
      </c>
      <c r="R333" s="49"/>
      <c r="S333" s="49"/>
      <c r="T333" s="49">
        <v>52627</v>
      </c>
      <c r="U333" s="49">
        <v>52627</v>
      </c>
      <c r="V333" s="49">
        <v>52627</v>
      </c>
      <c r="W333" s="49">
        <v>52627</v>
      </c>
      <c r="X333" s="48">
        <v>1</v>
      </c>
      <c r="Y333" s="48">
        <v>1</v>
      </c>
      <c r="Z333" s="48">
        <v>1</v>
      </c>
      <c r="AA333" s="156">
        <v>0</v>
      </c>
      <c r="AF333" s="48">
        <v>0</v>
      </c>
      <c r="AG333" s="49" t="s">
        <v>32</v>
      </c>
      <c r="AH333" s="48">
        <v>1</v>
      </c>
      <c r="AI333" s="48" t="s">
        <v>33</v>
      </c>
      <c r="AJ333" s="48" t="s">
        <v>33</v>
      </c>
      <c r="AK333" s="48" t="s">
        <v>33</v>
      </c>
      <c r="AL333" s="48" t="s">
        <v>34</v>
      </c>
      <c r="AN333" s="48">
        <v>0</v>
      </c>
      <c r="AO333" s="48">
        <v>0</v>
      </c>
      <c r="AP333" s="48">
        <v>0</v>
      </c>
      <c r="AQ333" s="48">
        <v>0</v>
      </c>
      <c r="AR333" s="48">
        <v>0</v>
      </c>
      <c r="AS333" s="48">
        <v>0</v>
      </c>
      <c r="AT333" s="48">
        <v>0</v>
      </c>
      <c r="AU333" s="48">
        <v>0</v>
      </c>
      <c r="AV333" s="48">
        <v>0</v>
      </c>
      <c r="AW333" s="48">
        <v>0</v>
      </c>
      <c r="AX333" s="48">
        <v>0</v>
      </c>
      <c r="AY333" s="48">
        <v>0</v>
      </c>
      <c r="AZ333" s="48">
        <v>0</v>
      </c>
      <c r="BA333" s="48">
        <v>0</v>
      </c>
      <c r="BB333" s="48">
        <v>0</v>
      </c>
    </row>
    <row r="334" spans="1:54" x14ac:dyDescent="0.35">
      <c r="A334" s="49">
        <v>45930</v>
      </c>
      <c r="B334" s="48">
        <v>1</v>
      </c>
      <c r="C334" s="50" t="s">
        <v>32</v>
      </c>
      <c r="D334" s="48" t="s">
        <v>31</v>
      </c>
      <c r="E334" s="48" t="s">
        <v>138</v>
      </c>
      <c r="F334" s="48" t="s">
        <v>139</v>
      </c>
      <c r="G334" s="49" t="s">
        <v>59</v>
      </c>
      <c r="H334" s="48" t="s">
        <v>158</v>
      </c>
      <c r="I334" s="48">
        <v>1</v>
      </c>
      <c r="J334" s="48">
        <v>221</v>
      </c>
      <c r="K334" s="48">
        <v>1</v>
      </c>
      <c r="N334" s="48">
        <v>0</v>
      </c>
      <c r="R334" s="49"/>
      <c r="S334" s="49"/>
      <c r="T334" s="49">
        <v>52656</v>
      </c>
      <c r="U334" s="49">
        <v>52656</v>
      </c>
      <c r="V334" s="49">
        <v>52656</v>
      </c>
      <c r="W334" s="49">
        <v>52656</v>
      </c>
      <c r="X334" s="48">
        <v>1</v>
      </c>
      <c r="Y334" s="48">
        <v>1</v>
      </c>
      <c r="Z334" s="48">
        <v>1</v>
      </c>
      <c r="AA334" s="156">
        <v>0</v>
      </c>
      <c r="AF334" s="48">
        <v>0</v>
      </c>
      <c r="AG334" s="49" t="s">
        <v>32</v>
      </c>
      <c r="AH334" s="48">
        <v>1</v>
      </c>
      <c r="AI334" s="48" t="s">
        <v>33</v>
      </c>
      <c r="AJ334" s="48" t="s">
        <v>33</v>
      </c>
      <c r="AK334" s="48" t="s">
        <v>33</v>
      </c>
      <c r="AL334" s="48" t="s">
        <v>34</v>
      </c>
      <c r="AN334" s="48">
        <v>0</v>
      </c>
      <c r="AO334" s="48">
        <v>0</v>
      </c>
      <c r="AP334" s="48">
        <v>0</v>
      </c>
      <c r="AQ334" s="48">
        <v>0</v>
      </c>
      <c r="AR334" s="48">
        <v>0</v>
      </c>
      <c r="AS334" s="48">
        <v>0</v>
      </c>
      <c r="AT334" s="48">
        <v>0</v>
      </c>
      <c r="AU334" s="48">
        <v>0</v>
      </c>
      <c r="AV334" s="48">
        <v>0</v>
      </c>
      <c r="AW334" s="48">
        <v>0</v>
      </c>
      <c r="AX334" s="48">
        <v>0</v>
      </c>
      <c r="AY334" s="48">
        <v>0</v>
      </c>
      <c r="AZ334" s="48">
        <v>0</v>
      </c>
      <c r="BA334" s="48">
        <v>0</v>
      </c>
      <c r="BB334" s="48">
        <v>0</v>
      </c>
    </row>
    <row r="335" spans="1:54" x14ac:dyDescent="0.35">
      <c r="A335" s="49">
        <v>45930</v>
      </c>
      <c r="B335" s="48">
        <v>1</v>
      </c>
      <c r="C335" s="50" t="s">
        <v>32</v>
      </c>
      <c r="D335" s="48" t="s">
        <v>31</v>
      </c>
      <c r="E335" s="48" t="s">
        <v>138</v>
      </c>
      <c r="F335" s="48" t="s">
        <v>139</v>
      </c>
      <c r="G335" s="49" t="s">
        <v>59</v>
      </c>
      <c r="H335" s="48" t="s">
        <v>158</v>
      </c>
      <c r="I335" s="48">
        <v>1</v>
      </c>
      <c r="J335" s="48">
        <v>222</v>
      </c>
      <c r="K335" s="48">
        <v>1</v>
      </c>
      <c r="N335" s="48">
        <v>0</v>
      </c>
      <c r="R335" s="49"/>
      <c r="S335" s="49"/>
      <c r="T335" s="49">
        <v>52687</v>
      </c>
      <c r="U335" s="49">
        <v>52687</v>
      </c>
      <c r="V335" s="49">
        <v>52687</v>
      </c>
      <c r="W335" s="49">
        <v>52687</v>
      </c>
      <c r="X335" s="48">
        <v>1</v>
      </c>
      <c r="Y335" s="48">
        <v>1</v>
      </c>
      <c r="Z335" s="48">
        <v>1</v>
      </c>
      <c r="AA335" s="156">
        <v>0</v>
      </c>
      <c r="AF335" s="48">
        <v>0</v>
      </c>
      <c r="AG335" s="49" t="s">
        <v>32</v>
      </c>
      <c r="AH335" s="48">
        <v>1</v>
      </c>
      <c r="AI335" s="48" t="s">
        <v>33</v>
      </c>
      <c r="AJ335" s="48" t="s">
        <v>33</v>
      </c>
      <c r="AK335" s="48" t="s">
        <v>33</v>
      </c>
      <c r="AL335" s="48" t="s">
        <v>34</v>
      </c>
      <c r="AN335" s="48">
        <v>0</v>
      </c>
      <c r="AO335" s="48">
        <v>0</v>
      </c>
      <c r="AP335" s="48">
        <v>0</v>
      </c>
      <c r="AQ335" s="48">
        <v>0</v>
      </c>
      <c r="AR335" s="48">
        <v>0</v>
      </c>
      <c r="AS335" s="48">
        <v>0</v>
      </c>
      <c r="AT335" s="48">
        <v>0</v>
      </c>
      <c r="AU335" s="48">
        <v>0</v>
      </c>
      <c r="AV335" s="48">
        <v>0</v>
      </c>
      <c r="AW335" s="48">
        <v>0</v>
      </c>
      <c r="AX335" s="48">
        <v>0</v>
      </c>
      <c r="AY335" s="48">
        <v>0</v>
      </c>
      <c r="AZ335" s="48">
        <v>0</v>
      </c>
      <c r="BA335" s="48">
        <v>0</v>
      </c>
      <c r="BB335" s="48">
        <v>0</v>
      </c>
    </row>
    <row r="336" spans="1:54" x14ac:dyDescent="0.35">
      <c r="A336" s="49">
        <v>45930</v>
      </c>
      <c r="B336" s="48">
        <v>1</v>
      </c>
      <c r="C336" s="50" t="s">
        <v>32</v>
      </c>
      <c r="D336" s="48" t="s">
        <v>31</v>
      </c>
      <c r="E336" s="48" t="s">
        <v>138</v>
      </c>
      <c r="F336" s="48" t="s">
        <v>139</v>
      </c>
      <c r="G336" s="49" t="s">
        <v>59</v>
      </c>
      <c r="H336" s="48" t="s">
        <v>158</v>
      </c>
      <c r="I336" s="48">
        <v>1</v>
      </c>
      <c r="J336" s="48">
        <v>223</v>
      </c>
      <c r="K336" s="48">
        <v>1</v>
      </c>
      <c r="N336" s="48">
        <v>0</v>
      </c>
      <c r="R336" s="49"/>
      <c r="S336" s="49"/>
      <c r="T336" s="49">
        <v>52717</v>
      </c>
      <c r="U336" s="49">
        <v>52717</v>
      </c>
      <c r="V336" s="49">
        <v>52717</v>
      </c>
      <c r="W336" s="49">
        <v>52717</v>
      </c>
      <c r="X336" s="48">
        <v>1</v>
      </c>
      <c r="Y336" s="48">
        <v>1</v>
      </c>
      <c r="Z336" s="48">
        <v>1</v>
      </c>
      <c r="AA336" s="156">
        <v>0</v>
      </c>
      <c r="AF336" s="48">
        <v>0</v>
      </c>
      <c r="AG336" s="49" t="s">
        <v>32</v>
      </c>
      <c r="AH336" s="48">
        <v>1</v>
      </c>
      <c r="AI336" s="48" t="s">
        <v>33</v>
      </c>
      <c r="AJ336" s="48" t="s">
        <v>33</v>
      </c>
      <c r="AK336" s="48" t="s">
        <v>33</v>
      </c>
      <c r="AL336" s="48" t="s">
        <v>34</v>
      </c>
      <c r="AN336" s="48">
        <v>0</v>
      </c>
      <c r="AO336" s="48">
        <v>0</v>
      </c>
      <c r="AP336" s="48">
        <v>0</v>
      </c>
      <c r="AQ336" s="48">
        <v>0</v>
      </c>
      <c r="AR336" s="48">
        <v>0</v>
      </c>
      <c r="AS336" s="48">
        <v>0</v>
      </c>
      <c r="AT336" s="48">
        <v>0</v>
      </c>
      <c r="AU336" s="48">
        <v>0</v>
      </c>
      <c r="AV336" s="48">
        <v>0</v>
      </c>
      <c r="AW336" s="48">
        <v>0</v>
      </c>
      <c r="AX336" s="48">
        <v>0</v>
      </c>
      <c r="AY336" s="48">
        <v>0</v>
      </c>
      <c r="AZ336" s="48">
        <v>0</v>
      </c>
      <c r="BA336" s="48">
        <v>0</v>
      </c>
      <c r="BB336" s="48">
        <v>0</v>
      </c>
    </row>
    <row r="337" spans="1:54" x14ac:dyDescent="0.35">
      <c r="A337" s="49">
        <v>45930</v>
      </c>
      <c r="B337" s="48">
        <v>1</v>
      </c>
      <c r="C337" s="50" t="s">
        <v>32</v>
      </c>
      <c r="D337" s="48" t="s">
        <v>31</v>
      </c>
      <c r="E337" s="48" t="s">
        <v>138</v>
      </c>
      <c r="F337" s="48" t="s">
        <v>139</v>
      </c>
      <c r="G337" s="49" t="s">
        <v>59</v>
      </c>
      <c r="H337" s="48" t="s">
        <v>158</v>
      </c>
      <c r="I337" s="48">
        <v>1</v>
      </c>
      <c r="J337" s="48">
        <v>224</v>
      </c>
      <c r="K337" s="48">
        <v>1</v>
      </c>
      <c r="N337" s="48">
        <v>0</v>
      </c>
      <c r="R337" s="49"/>
      <c r="S337" s="49"/>
      <c r="T337" s="49">
        <v>52748</v>
      </c>
      <c r="U337" s="49">
        <v>52748</v>
      </c>
      <c r="V337" s="49">
        <v>52748</v>
      </c>
      <c r="W337" s="49">
        <v>52748</v>
      </c>
      <c r="X337" s="48">
        <v>1</v>
      </c>
      <c r="Y337" s="48">
        <v>1</v>
      </c>
      <c r="Z337" s="48">
        <v>1</v>
      </c>
      <c r="AA337" s="156">
        <v>0</v>
      </c>
      <c r="AF337" s="48">
        <v>0</v>
      </c>
      <c r="AG337" s="49" t="s">
        <v>32</v>
      </c>
      <c r="AH337" s="48">
        <v>1</v>
      </c>
      <c r="AI337" s="48" t="s">
        <v>33</v>
      </c>
      <c r="AJ337" s="48" t="s">
        <v>33</v>
      </c>
      <c r="AK337" s="48" t="s">
        <v>33</v>
      </c>
      <c r="AL337" s="48" t="s">
        <v>34</v>
      </c>
      <c r="AN337" s="48">
        <v>0</v>
      </c>
      <c r="AO337" s="48">
        <v>0</v>
      </c>
      <c r="AP337" s="48">
        <v>0</v>
      </c>
      <c r="AQ337" s="48">
        <v>0</v>
      </c>
      <c r="AR337" s="48">
        <v>0</v>
      </c>
      <c r="AS337" s="48">
        <v>0</v>
      </c>
      <c r="AT337" s="48">
        <v>0</v>
      </c>
      <c r="AU337" s="48">
        <v>0</v>
      </c>
      <c r="AV337" s="48">
        <v>0</v>
      </c>
      <c r="AW337" s="48">
        <v>0</v>
      </c>
      <c r="AX337" s="48">
        <v>0</v>
      </c>
      <c r="AY337" s="48">
        <v>0</v>
      </c>
      <c r="AZ337" s="48">
        <v>0</v>
      </c>
      <c r="BA337" s="48">
        <v>0</v>
      </c>
      <c r="BB337" s="48">
        <v>0</v>
      </c>
    </row>
    <row r="338" spans="1:54" x14ac:dyDescent="0.35">
      <c r="A338" s="49">
        <v>45930</v>
      </c>
      <c r="B338" s="48">
        <v>1</v>
      </c>
      <c r="C338" s="50" t="s">
        <v>32</v>
      </c>
      <c r="D338" s="48" t="s">
        <v>31</v>
      </c>
      <c r="E338" s="48" t="s">
        <v>138</v>
      </c>
      <c r="F338" s="48" t="s">
        <v>139</v>
      </c>
      <c r="G338" s="49" t="s">
        <v>59</v>
      </c>
      <c r="H338" s="48" t="s">
        <v>158</v>
      </c>
      <c r="I338" s="48">
        <v>1</v>
      </c>
      <c r="J338" s="48">
        <v>225</v>
      </c>
      <c r="K338" s="48">
        <v>1</v>
      </c>
      <c r="N338" s="48">
        <v>0</v>
      </c>
      <c r="R338" s="49"/>
      <c r="S338" s="49"/>
      <c r="T338" s="49">
        <v>52778</v>
      </c>
      <c r="U338" s="49">
        <v>52778</v>
      </c>
      <c r="V338" s="49">
        <v>52778</v>
      </c>
      <c r="W338" s="49">
        <v>52778</v>
      </c>
      <c r="X338" s="48">
        <v>1</v>
      </c>
      <c r="Y338" s="48">
        <v>1</v>
      </c>
      <c r="Z338" s="48">
        <v>1</v>
      </c>
      <c r="AA338" s="156">
        <v>0</v>
      </c>
      <c r="AF338" s="48">
        <v>0</v>
      </c>
      <c r="AG338" s="49" t="s">
        <v>32</v>
      </c>
      <c r="AH338" s="48">
        <v>1</v>
      </c>
      <c r="AI338" s="48" t="s">
        <v>33</v>
      </c>
      <c r="AJ338" s="48" t="s">
        <v>33</v>
      </c>
      <c r="AK338" s="48" t="s">
        <v>33</v>
      </c>
      <c r="AL338" s="48" t="s">
        <v>34</v>
      </c>
      <c r="AN338" s="48">
        <v>0</v>
      </c>
      <c r="AO338" s="48">
        <v>0</v>
      </c>
      <c r="AP338" s="48">
        <v>0</v>
      </c>
      <c r="AQ338" s="48">
        <v>0</v>
      </c>
      <c r="AR338" s="48">
        <v>0</v>
      </c>
      <c r="AS338" s="48">
        <v>0</v>
      </c>
      <c r="AT338" s="48">
        <v>0</v>
      </c>
      <c r="AU338" s="48">
        <v>0</v>
      </c>
      <c r="AV338" s="48">
        <v>0</v>
      </c>
      <c r="AW338" s="48">
        <v>0</v>
      </c>
      <c r="AX338" s="48">
        <v>0</v>
      </c>
      <c r="AY338" s="48">
        <v>0</v>
      </c>
      <c r="AZ338" s="48">
        <v>0</v>
      </c>
      <c r="BA338" s="48">
        <v>0</v>
      </c>
      <c r="BB338" s="48">
        <v>0</v>
      </c>
    </row>
    <row r="339" spans="1:54" x14ac:dyDescent="0.35">
      <c r="A339" s="49">
        <v>45930</v>
      </c>
      <c r="B339" s="48">
        <v>1</v>
      </c>
      <c r="C339" s="50" t="s">
        <v>32</v>
      </c>
      <c r="D339" s="48" t="s">
        <v>31</v>
      </c>
      <c r="E339" s="48" t="s">
        <v>138</v>
      </c>
      <c r="F339" s="48" t="s">
        <v>139</v>
      </c>
      <c r="G339" s="49" t="s">
        <v>59</v>
      </c>
      <c r="H339" s="48" t="s">
        <v>158</v>
      </c>
      <c r="I339" s="48">
        <v>1</v>
      </c>
      <c r="J339" s="48">
        <v>226</v>
      </c>
      <c r="K339" s="48">
        <v>1</v>
      </c>
      <c r="N339" s="48">
        <v>0</v>
      </c>
      <c r="R339" s="49"/>
      <c r="S339" s="49"/>
      <c r="T339" s="49">
        <v>52809</v>
      </c>
      <c r="U339" s="49">
        <v>52809</v>
      </c>
      <c r="V339" s="49">
        <v>52809</v>
      </c>
      <c r="W339" s="49">
        <v>52809</v>
      </c>
      <c r="X339" s="48">
        <v>1</v>
      </c>
      <c r="Y339" s="48">
        <v>1</v>
      </c>
      <c r="Z339" s="48">
        <v>1</v>
      </c>
      <c r="AA339" s="156">
        <v>0</v>
      </c>
      <c r="AF339" s="48">
        <v>0</v>
      </c>
      <c r="AG339" s="49" t="s">
        <v>32</v>
      </c>
      <c r="AH339" s="48">
        <v>1</v>
      </c>
      <c r="AI339" s="48" t="s">
        <v>33</v>
      </c>
      <c r="AJ339" s="48" t="s">
        <v>33</v>
      </c>
      <c r="AK339" s="48" t="s">
        <v>33</v>
      </c>
      <c r="AL339" s="48" t="s">
        <v>34</v>
      </c>
      <c r="AN339" s="48">
        <v>0</v>
      </c>
      <c r="AO339" s="48">
        <v>0</v>
      </c>
      <c r="AP339" s="48">
        <v>0</v>
      </c>
      <c r="AQ339" s="48">
        <v>0</v>
      </c>
      <c r="AR339" s="48">
        <v>0</v>
      </c>
      <c r="AS339" s="48">
        <v>0</v>
      </c>
      <c r="AT339" s="48">
        <v>0</v>
      </c>
      <c r="AU339" s="48">
        <v>0</v>
      </c>
      <c r="AV339" s="48">
        <v>0</v>
      </c>
      <c r="AW339" s="48">
        <v>0</v>
      </c>
      <c r="AX339" s="48">
        <v>0</v>
      </c>
      <c r="AY339" s="48">
        <v>0</v>
      </c>
      <c r="AZ339" s="48">
        <v>0</v>
      </c>
      <c r="BA339" s="48">
        <v>0</v>
      </c>
      <c r="BB339" s="48">
        <v>0</v>
      </c>
    </row>
    <row r="340" spans="1:54" x14ac:dyDescent="0.35">
      <c r="A340" s="49">
        <v>45930</v>
      </c>
      <c r="B340" s="48">
        <v>1</v>
      </c>
      <c r="C340" s="50" t="s">
        <v>32</v>
      </c>
      <c r="D340" s="48" t="s">
        <v>31</v>
      </c>
      <c r="E340" s="48" t="s">
        <v>138</v>
      </c>
      <c r="F340" s="48" t="s">
        <v>139</v>
      </c>
      <c r="G340" s="49" t="s">
        <v>59</v>
      </c>
      <c r="H340" s="48" t="s">
        <v>158</v>
      </c>
      <c r="I340" s="48">
        <v>1</v>
      </c>
      <c r="J340" s="48">
        <v>227</v>
      </c>
      <c r="K340" s="48">
        <v>1</v>
      </c>
      <c r="N340" s="48">
        <v>0</v>
      </c>
      <c r="R340" s="49"/>
      <c r="S340" s="49"/>
      <c r="T340" s="49">
        <v>52840</v>
      </c>
      <c r="U340" s="49">
        <v>52840</v>
      </c>
      <c r="V340" s="49">
        <v>52840</v>
      </c>
      <c r="W340" s="49">
        <v>52840</v>
      </c>
      <c r="X340" s="48">
        <v>1</v>
      </c>
      <c r="Y340" s="48">
        <v>1</v>
      </c>
      <c r="Z340" s="48">
        <v>1</v>
      </c>
      <c r="AA340" s="156">
        <v>0</v>
      </c>
      <c r="AF340" s="48">
        <v>0</v>
      </c>
      <c r="AG340" s="49" t="s">
        <v>32</v>
      </c>
      <c r="AH340" s="48">
        <v>1</v>
      </c>
      <c r="AI340" s="48" t="s">
        <v>33</v>
      </c>
      <c r="AJ340" s="48" t="s">
        <v>33</v>
      </c>
      <c r="AK340" s="48" t="s">
        <v>33</v>
      </c>
      <c r="AL340" s="48" t="s">
        <v>34</v>
      </c>
      <c r="AN340" s="48">
        <v>0</v>
      </c>
      <c r="AO340" s="48">
        <v>0</v>
      </c>
      <c r="AP340" s="48">
        <v>0</v>
      </c>
      <c r="AQ340" s="48">
        <v>0</v>
      </c>
      <c r="AR340" s="48">
        <v>0</v>
      </c>
      <c r="AS340" s="48">
        <v>0</v>
      </c>
      <c r="AT340" s="48">
        <v>0</v>
      </c>
      <c r="AU340" s="48">
        <v>0</v>
      </c>
      <c r="AV340" s="48">
        <v>0</v>
      </c>
      <c r="AW340" s="48">
        <v>0</v>
      </c>
      <c r="AX340" s="48">
        <v>0</v>
      </c>
      <c r="AY340" s="48">
        <v>0</v>
      </c>
      <c r="AZ340" s="48">
        <v>0</v>
      </c>
      <c r="BA340" s="48">
        <v>0</v>
      </c>
      <c r="BB340" s="48">
        <v>0</v>
      </c>
    </row>
    <row r="341" spans="1:54" x14ac:dyDescent="0.35">
      <c r="A341" s="49">
        <v>45930</v>
      </c>
      <c r="B341" s="48">
        <v>1</v>
      </c>
      <c r="C341" s="50" t="s">
        <v>32</v>
      </c>
      <c r="D341" s="48" t="s">
        <v>31</v>
      </c>
      <c r="E341" s="48" t="s">
        <v>138</v>
      </c>
      <c r="F341" s="48" t="s">
        <v>139</v>
      </c>
      <c r="G341" s="49" t="s">
        <v>59</v>
      </c>
      <c r="H341" s="48" t="s">
        <v>158</v>
      </c>
      <c r="I341" s="48">
        <v>1</v>
      </c>
      <c r="J341" s="48">
        <v>228</v>
      </c>
      <c r="K341" s="48">
        <v>1</v>
      </c>
      <c r="N341" s="48">
        <v>0</v>
      </c>
      <c r="R341" s="49"/>
      <c r="S341" s="49"/>
      <c r="T341" s="49">
        <v>52870</v>
      </c>
      <c r="U341" s="49">
        <v>52870</v>
      </c>
      <c r="V341" s="49">
        <v>52870</v>
      </c>
      <c r="W341" s="49">
        <v>52870</v>
      </c>
      <c r="X341" s="48">
        <v>1</v>
      </c>
      <c r="Y341" s="48">
        <v>1</v>
      </c>
      <c r="Z341" s="48">
        <v>1</v>
      </c>
      <c r="AA341" s="156">
        <v>0</v>
      </c>
      <c r="AF341" s="48">
        <v>0</v>
      </c>
      <c r="AG341" s="49" t="s">
        <v>32</v>
      </c>
      <c r="AH341" s="48">
        <v>1</v>
      </c>
      <c r="AI341" s="48" t="s">
        <v>33</v>
      </c>
      <c r="AJ341" s="48" t="s">
        <v>33</v>
      </c>
      <c r="AK341" s="48" t="s">
        <v>33</v>
      </c>
      <c r="AL341" s="48" t="s">
        <v>34</v>
      </c>
      <c r="AN341" s="48">
        <v>0</v>
      </c>
      <c r="AO341" s="48">
        <v>0</v>
      </c>
      <c r="AP341" s="48">
        <v>0</v>
      </c>
      <c r="AQ341" s="48">
        <v>0</v>
      </c>
      <c r="AR341" s="48">
        <v>0</v>
      </c>
      <c r="AS341" s="48">
        <v>0</v>
      </c>
      <c r="AT341" s="48">
        <v>0</v>
      </c>
      <c r="AU341" s="48">
        <v>0</v>
      </c>
      <c r="AV341" s="48">
        <v>0</v>
      </c>
      <c r="AW341" s="48">
        <v>0</v>
      </c>
      <c r="AX341" s="48">
        <v>0</v>
      </c>
      <c r="AY341" s="48">
        <v>0</v>
      </c>
      <c r="AZ341" s="48">
        <v>0</v>
      </c>
      <c r="BA341" s="48">
        <v>0</v>
      </c>
      <c r="BB341" s="48">
        <v>0</v>
      </c>
    </row>
    <row r="342" spans="1:54" x14ac:dyDescent="0.35">
      <c r="A342" s="49">
        <v>45930</v>
      </c>
      <c r="B342" s="48">
        <v>1</v>
      </c>
      <c r="C342" s="50" t="s">
        <v>32</v>
      </c>
      <c r="D342" s="48" t="s">
        <v>31</v>
      </c>
      <c r="E342" s="48" t="s">
        <v>138</v>
      </c>
      <c r="F342" s="48" t="s">
        <v>139</v>
      </c>
      <c r="G342" s="49" t="s">
        <v>59</v>
      </c>
      <c r="H342" s="48" t="s">
        <v>158</v>
      </c>
      <c r="I342" s="48">
        <v>1</v>
      </c>
      <c r="J342" s="48">
        <v>229</v>
      </c>
      <c r="K342" s="48">
        <v>1</v>
      </c>
      <c r="N342" s="48">
        <v>0</v>
      </c>
      <c r="R342" s="49"/>
      <c r="S342" s="49"/>
      <c r="T342" s="49">
        <v>52901</v>
      </c>
      <c r="U342" s="49">
        <v>52901</v>
      </c>
      <c r="V342" s="49">
        <v>52901</v>
      </c>
      <c r="W342" s="49">
        <v>52901</v>
      </c>
      <c r="X342" s="48">
        <v>1</v>
      </c>
      <c r="Y342" s="48">
        <v>1</v>
      </c>
      <c r="Z342" s="48">
        <v>1</v>
      </c>
      <c r="AA342" s="156">
        <v>0</v>
      </c>
      <c r="AF342" s="48">
        <v>0</v>
      </c>
      <c r="AG342" s="49" t="s">
        <v>32</v>
      </c>
      <c r="AH342" s="48">
        <v>1</v>
      </c>
      <c r="AI342" s="48" t="s">
        <v>33</v>
      </c>
      <c r="AJ342" s="48" t="s">
        <v>33</v>
      </c>
      <c r="AK342" s="48" t="s">
        <v>33</v>
      </c>
      <c r="AL342" s="48" t="s">
        <v>34</v>
      </c>
      <c r="AN342" s="48">
        <v>0</v>
      </c>
      <c r="AO342" s="48">
        <v>0</v>
      </c>
      <c r="AP342" s="48">
        <v>0</v>
      </c>
      <c r="AQ342" s="48">
        <v>0</v>
      </c>
      <c r="AR342" s="48">
        <v>0</v>
      </c>
      <c r="AS342" s="48">
        <v>0</v>
      </c>
      <c r="AT342" s="48">
        <v>0</v>
      </c>
      <c r="AU342" s="48">
        <v>0</v>
      </c>
      <c r="AV342" s="48">
        <v>0</v>
      </c>
      <c r="AW342" s="48">
        <v>0</v>
      </c>
      <c r="AX342" s="48">
        <v>0</v>
      </c>
      <c r="AY342" s="48">
        <v>0</v>
      </c>
      <c r="AZ342" s="48">
        <v>0</v>
      </c>
      <c r="BA342" s="48">
        <v>0</v>
      </c>
      <c r="BB342" s="48">
        <v>0</v>
      </c>
    </row>
    <row r="343" spans="1:54" x14ac:dyDescent="0.35">
      <c r="A343" s="49">
        <v>45930</v>
      </c>
      <c r="B343" s="48">
        <v>1</v>
      </c>
      <c r="C343" s="50" t="s">
        <v>32</v>
      </c>
      <c r="D343" s="48" t="s">
        <v>31</v>
      </c>
      <c r="E343" s="48" t="s">
        <v>138</v>
      </c>
      <c r="F343" s="48" t="s">
        <v>139</v>
      </c>
      <c r="G343" s="49" t="s">
        <v>59</v>
      </c>
      <c r="H343" s="48" t="s">
        <v>158</v>
      </c>
      <c r="I343" s="48">
        <v>1</v>
      </c>
      <c r="J343" s="48">
        <v>230</v>
      </c>
      <c r="K343" s="48">
        <v>1</v>
      </c>
      <c r="N343" s="48">
        <v>0</v>
      </c>
      <c r="R343" s="49"/>
      <c r="S343" s="49"/>
      <c r="T343" s="49">
        <v>52931</v>
      </c>
      <c r="U343" s="49">
        <v>52931</v>
      </c>
      <c r="V343" s="49">
        <v>52931</v>
      </c>
      <c r="W343" s="49">
        <v>52931</v>
      </c>
      <c r="X343" s="48">
        <v>1</v>
      </c>
      <c r="Y343" s="48">
        <v>1</v>
      </c>
      <c r="Z343" s="48">
        <v>1</v>
      </c>
      <c r="AA343" s="156">
        <v>0</v>
      </c>
      <c r="AF343" s="48">
        <v>0</v>
      </c>
      <c r="AG343" s="49" t="s">
        <v>32</v>
      </c>
      <c r="AH343" s="48">
        <v>1</v>
      </c>
      <c r="AI343" s="48" t="s">
        <v>33</v>
      </c>
      <c r="AJ343" s="48" t="s">
        <v>33</v>
      </c>
      <c r="AK343" s="48" t="s">
        <v>33</v>
      </c>
      <c r="AL343" s="48" t="s">
        <v>34</v>
      </c>
      <c r="AN343" s="48">
        <v>0</v>
      </c>
      <c r="AO343" s="48">
        <v>0</v>
      </c>
      <c r="AP343" s="48">
        <v>0</v>
      </c>
      <c r="AQ343" s="48">
        <v>0</v>
      </c>
      <c r="AR343" s="48">
        <v>0</v>
      </c>
      <c r="AS343" s="48">
        <v>0</v>
      </c>
      <c r="AT343" s="48">
        <v>0</v>
      </c>
      <c r="AU343" s="48">
        <v>0</v>
      </c>
      <c r="AV343" s="48">
        <v>0</v>
      </c>
      <c r="AW343" s="48">
        <v>0</v>
      </c>
      <c r="AX343" s="48">
        <v>0</v>
      </c>
      <c r="AY343" s="48">
        <v>0</v>
      </c>
      <c r="AZ343" s="48">
        <v>0</v>
      </c>
      <c r="BA343" s="48">
        <v>0</v>
      </c>
      <c r="BB343" s="48">
        <v>0</v>
      </c>
    </row>
    <row r="344" spans="1:54" x14ac:dyDescent="0.35">
      <c r="A344" s="49">
        <v>45930</v>
      </c>
      <c r="B344" s="48">
        <v>1</v>
      </c>
      <c r="C344" s="50" t="s">
        <v>32</v>
      </c>
      <c r="D344" s="48" t="s">
        <v>31</v>
      </c>
      <c r="E344" s="48" t="s">
        <v>138</v>
      </c>
      <c r="F344" s="48" t="s">
        <v>139</v>
      </c>
      <c r="G344" s="49" t="s">
        <v>59</v>
      </c>
      <c r="H344" s="48" t="s">
        <v>158</v>
      </c>
      <c r="I344" s="48">
        <v>1</v>
      </c>
      <c r="J344" s="48">
        <v>231</v>
      </c>
      <c r="K344" s="48">
        <v>1</v>
      </c>
      <c r="N344" s="48">
        <v>0</v>
      </c>
      <c r="R344" s="49"/>
      <c r="S344" s="49"/>
      <c r="T344" s="49">
        <v>52962</v>
      </c>
      <c r="U344" s="49">
        <v>52962</v>
      </c>
      <c r="V344" s="49">
        <v>52962</v>
      </c>
      <c r="W344" s="49">
        <v>52962</v>
      </c>
      <c r="X344" s="48">
        <v>1</v>
      </c>
      <c r="Y344" s="48">
        <v>1</v>
      </c>
      <c r="Z344" s="48">
        <v>1</v>
      </c>
      <c r="AA344" s="156">
        <v>0</v>
      </c>
      <c r="AF344" s="48">
        <v>0</v>
      </c>
      <c r="AG344" s="49" t="s">
        <v>32</v>
      </c>
      <c r="AH344" s="48">
        <v>1</v>
      </c>
      <c r="AI344" s="48" t="s">
        <v>33</v>
      </c>
      <c r="AJ344" s="48" t="s">
        <v>33</v>
      </c>
      <c r="AK344" s="48" t="s">
        <v>33</v>
      </c>
      <c r="AL344" s="48" t="s">
        <v>34</v>
      </c>
      <c r="AN344" s="48">
        <v>0</v>
      </c>
      <c r="AO344" s="48">
        <v>0</v>
      </c>
      <c r="AP344" s="48">
        <v>0</v>
      </c>
      <c r="AQ344" s="48">
        <v>0</v>
      </c>
      <c r="AR344" s="48">
        <v>0</v>
      </c>
      <c r="AS344" s="48">
        <v>0</v>
      </c>
      <c r="AT344" s="48">
        <v>0</v>
      </c>
      <c r="AU344" s="48">
        <v>0</v>
      </c>
      <c r="AV344" s="48">
        <v>0</v>
      </c>
      <c r="AW344" s="48">
        <v>0</v>
      </c>
      <c r="AX344" s="48">
        <v>0</v>
      </c>
      <c r="AY344" s="48">
        <v>0</v>
      </c>
      <c r="AZ344" s="48">
        <v>0</v>
      </c>
      <c r="BA344" s="48">
        <v>0</v>
      </c>
      <c r="BB344" s="48">
        <v>0</v>
      </c>
    </row>
    <row r="345" spans="1:54" x14ac:dyDescent="0.35">
      <c r="A345" s="49">
        <v>45930</v>
      </c>
      <c r="B345" s="48">
        <v>1</v>
      </c>
      <c r="C345" s="50" t="s">
        <v>32</v>
      </c>
      <c r="D345" s="48" t="s">
        <v>31</v>
      </c>
      <c r="E345" s="48" t="s">
        <v>138</v>
      </c>
      <c r="F345" s="48" t="s">
        <v>139</v>
      </c>
      <c r="G345" s="49" t="s">
        <v>59</v>
      </c>
      <c r="H345" s="48" t="s">
        <v>158</v>
      </c>
      <c r="I345" s="48">
        <v>1</v>
      </c>
      <c r="J345" s="48">
        <v>232</v>
      </c>
      <c r="K345" s="48">
        <v>1</v>
      </c>
      <c r="N345" s="48">
        <v>0</v>
      </c>
      <c r="R345" s="49"/>
      <c r="S345" s="49"/>
      <c r="T345" s="49">
        <v>52993</v>
      </c>
      <c r="U345" s="49">
        <v>52993</v>
      </c>
      <c r="V345" s="49">
        <v>52993</v>
      </c>
      <c r="W345" s="49">
        <v>52993</v>
      </c>
      <c r="X345" s="48">
        <v>1</v>
      </c>
      <c r="Y345" s="48">
        <v>1</v>
      </c>
      <c r="Z345" s="48">
        <v>1</v>
      </c>
      <c r="AA345" s="156">
        <v>0</v>
      </c>
      <c r="AF345" s="48">
        <v>0</v>
      </c>
      <c r="AG345" s="49" t="s">
        <v>32</v>
      </c>
      <c r="AH345" s="48">
        <v>1</v>
      </c>
      <c r="AI345" s="48" t="s">
        <v>33</v>
      </c>
      <c r="AJ345" s="48" t="s">
        <v>33</v>
      </c>
      <c r="AK345" s="48" t="s">
        <v>33</v>
      </c>
      <c r="AL345" s="48" t="s">
        <v>34</v>
      </c>
      <c r="AN345" s="48">
        <v>0</v>
      </c>
      <c r="AO345" s="48">
        <v>0</v>
      </c>
      <c r="AP345" s="48">
        <v>0</v>
      </c>
      <c r="AQ345" s="48">
        <v>0</v>
      </c>
      <c r="AR345" s="48">
        <v>0</v>
      </c>
      <c r="AS345" s="48">
        <v>0</v>
      </c>
      <c r="AT345" s="48">
        <v>0</v>
      </c>
      <c r="AU345" s="48">
        <v>0</v>
      </c>
      <c r="AV345" s="48">
        <v>0</v>
      </c>
      <c r="AW345" s="48">
        <v>0</v>
      </c>
      <c r="AX345" s="48">
        <v>0</v>
      </c>
      <c r="AY345" s="48">
        <v>0</v>
      </c>
      <c r="AZ345" s="48">
        <v>0</v>
      </c>
      <c r="BA345" s="48">
        <v>0</v>
      </c>
      <c r="BB345" s="48">
        <v>0</v>
      </c>
    </row>
    <row r="346" spans="1:54" x14ac:dyDescent="0.35">
      <c r="A346" s="49">
        <v>45930</v>
      </c>
      <c r="B346" s="48">
        <v>1</v>
      </c>
      <c r="C346" s="50" t="s">
        <v>32</v>
      </c>
      <c r="D346" s="48" t="s">
        <v>31</v>
      </c>
      <c r="E346" s="48" t="s">
        <v>138</v>
      </c>
      <c r="F346" s="48" t="s">
        <v>139</v>
      </c>
      <c r="G346" s="49" t="s">
        <v>59</v>
      </c>
      <c r="H346" s="48" t="s">
        <v>158</v>
      </c>
      <c r="I346" s="48">
        <v>1</v>
      </c>
      <c r="J346" s="48">
        <v>233</v>
      </c>
      <c r="K346" s="48">
        <v>1</v>
      </c>
      <c r="N346" s="48">
        <v>0</v>
      </c>
      <c r="R346" s="49"/>
      <c r="S346" s="49"/>
      <c r="T346" s="49">
        <v>53021</v>
      </c>
      <c r="U346" s="49">
        <v>53021</v>
      </c>
      <c r="V346" s="49">
        <v>53021</v>
      </c>
      <c r="W346" s="49">
        <v>53021</v>
      </c>
      <c r="X346" s="48">
        <v>1</v>
      </c>
      <c r="Y346" s="48">
        <v>1</v>
      </c>
      <c r="Z346" s="48">
        <v>1</v>
      </c>
      <c r="AA346" s="156">
        <v>0</v>
      </c>
      <c r="AF346" s="48">
        <v>0</v>
      </c>
      <c r="AG346" s="49" t="s">
        <v>32</v>
      </c>
      <c r="AH346" s="48">
        <v>1</v>
      </c>
      <c r="AI346" s="48" t="s">
        <v>33</v>
      </c>
      <c r="AJ346" s="48" t="s">
        <v>33</v>
      </c>
      <c r="AK346" s="48" t="s">
        <v>33</v>
      </c>
      <c r="AL346" s="48" t="s">
        <v>34</v>
      </c>
      <c r="AN346" s="48">
        <v>0</v>
      </c>
      <c r="AO346" s="48">
        <v>0</v>
      </c>
      <c r="AP346" s="48">
        <v>0</v>
      </c>
      <c r="AQ346" s="48">
        <v>0</v>
      </c>
      <c r="AR346" s="48">
        <v>0</v>
      </c>
      <c r="AS346" s="48">
        <v>0</v>
      </c>
      <c r="AT346" s="48">
        <v>0</v>
      </c>
      <c r="AU346" s="48">
        <v>0</v>
      </c>
      <c r="AV346" s="48">
        <v>0</v>
      </c>
      <c r="AW346" s="48">
        <v>0</v>
      </c>
      <c r="AX346" s="48">
        <v>0</v>
      </c>
      <c r="AY346" s="48">
        <v>0</v>
      </c>
      <c r="AZ346" s="48">
        <v>0</v>
      </c>
      <c r="BA346" s="48">
        <v>0</v>
      </c>
      <c r="BB346" s="48">
        <v>0</v>
      </c>
    </row>
    <row r="347" spans="1:54" x14ac:dyDescent="0.35">
      <c r="A347" s="49">
        <v>45930</v>
      </c>
      <c r="B347" s="48">
        <v>1</v>
      </c>
      <c r="C347" s="50" t="s">
        <v>32</v>
      </c>
      <c r="D347" s="48" t="s">
        <v>31</v>
      </c>
      <c r="E347" s="48" t="s">
        <v>138</v>
      </c>
      <c r="F347" s="48" t="s">
        <v>139</v>
      </c>
      <c r="G347" s="49" t="s">
        <v>59</v>
      </c>
      <c r="H347" s="48" t="s">
        <v>158</v>
      </c>
      <c r="I347" s="48">
        <v>1</v>
      </c>
      <c r="J347" s="48">
        <v>234</v>
      </c>
      <c r="K347" s="48">
        <v>1</v>
      </c>
      <c r="N347" s="48">
        <v>0</v>
      </c>
      <c r="R347" s="49"/>
      <c r="S347" s="49"/>
      <c r="T347" s="49">
        <v>53052</v>
      </c>
      <c r="U347" s="49">
        <v>53052</v>
      </c>
      <c r="V347" s="49">
        <v>53052</v>
      </c>
      <c r="W347" s="49">
        <v>53052</v>
      </c>
      <c r="X347" s="48">
        <v>1</v>
      </c>
      <c r="Y347" s="48">
        <v>1</v>
      </c>
      <c r="Z347" s="48">
        <v>1</v>
      </c>
      <c r="AA347" s="156">
        <v>0</v>
      </c>
      <c r="AF347" s="48">
        <v>0</v>
      </c>
      <c r="AG347" s="49" t="s">
        <v>32</v>
      </c>
      <c r="AH347" s="48">
        <v>1</v>
      </c>
      <c r="AI347" s="48" t="s">
        <v>33</v>
      </c>
      <c r="AJ347" s="48" t="s">
        <v>33</v>
      </c>
      <c r="AK347" s="48" t="s">
        <v>33</v>
      </c>
      <c r="AL347" s="48" t="s">
        <v>34</v>
      </c>
      <c r="AN347" s="48">
        <v>0</v>
      </c>
      <c r="AO347" s="48">
        <v>0</v>
      </c>
      <c r="AP347" s="48">
        <v>0</v>
      </c>
      <c r="AQ347" s="48">
        <v>0</v>
      </c>
      <c r="AR347" s="48">
        <v>0</v>
      </c>
      <c r="AS347" s="48">
        <v>0</v>
      </c>
      <c r="AT347" s="48">
        <v>0</v>
      </c>
      <c r="AU347" s="48">
        <v>0</v>
      </c>
      <c r="AV347" s="48">
        <v>0</v>
      </c>
      <c r="AW347" s="48">
        <v>0</v>
      </c>
      <c r="AX347" s="48">
        <v>0</v>
      </c>
      <c r="AY347" s="48">
        <v>0</v>
      </c>
      <c r="AZ347" s="48">
        <v>0</v>
      </c>
      <c r="BA347" s="48">
        <v>0</v>
      </c>
      <c r="BB347" s="48">
        <v>0</v>
      </c>
    </row>
    <row r="348" spans="1:54" x14ac:dyDescent="0.35">
      <c r="A348" s="49">
        <v>45930</v>
      </c>
      <c r="B348" s="48">
        <v>1</v>
      </c>
      <c r="C348" s="50" t="s">
        <v>32</v>
      </c>
      <c r="D348" s="48" t="s">
        <v>31</v>
      </c>
      <c r="E348" s="48" t="s">
        <v>138</v>
      </c>
      <c r="F348" s="48" t="s">
        <v>139</v>
      </c>
      <c r="G348" s="49" t="s">
        <v>59</v>
      </c>
      <c r="H348" s="48" t="s">
        <v>158</v>
      </c>
      <c r="I348" s="48">
        <v>1</v>
      </c>
      <c r="J348" s="48">
        <v>235</v>
      </c>
      <c r="K348" s="48">
        <v>1</v>
      </c>
      <c r="N348" s="48">
        <v>0</v>
      </c>
      <c r="R348" s="49"/>
      <c r="S348" s="49"/>
      <c r="T348" s="49">
        <v>53082</v>
      </c>
      <c r="U348" s="49">
        <v>53082</v>
      </c>
      <c r="V348" s="49">
        <v>53082</v>
      </c>
      <c r="W348" s="49">
        <v>53082</v>
      </c>
      <c r="X348" s="48">
        <v>1</v>
      </c>
      <c r="Y348" s="48">
        <v>1</v>
      </c>
      <c r="Z348" s="48">
        <v>1</v>
      </c>
      <c r="AA348" s="156">
        <v>0</v>
      </c>
      <c r="AF348" s="48">
        <v>0</v>
      </c>
      <c r="AG348" s="49" t="s">
        <v>32</v>
      </c>
      <c r="AH348" s="48">
        <v>1</v>
      </c>
      <c r="AI348" s="48" t="s">
        <v>33</v>
      </c>
      <c r="AJ348" s="48" t="s">
        <v>33</v>
      </c>
      <c r="AK348" s="48" t="s">
        <v>33</v>
      </c>
      <c r="AL348" s="48" t="s">
        <v>34</v>
      </c>
      <c r="AN348" s="48">
        <v>0</v>
      </c>
      <c r="AO348" s="48">
        <v>0</v>
      </c>
      <c r="AP348" s="48">
        <v>0</v>
      </c>
      <c r="AQ348" s="48">
        <v>0</v>
      </c>
      <c r="AR348" s="48">
        <v>0</v>
      </c>
      <c r="AS348" s="48">
        <v>0</v>
      </c>
      <c r="AT348" s="48">
        <v>0</v>
      </c>
      <c r="AU348" s="48">
        <v>0</v>
      </c>
      <c r="AV348" s="48">
        <v>0</v>
      </c>
      <c r="AW348" s="48">
        <v>0</v>
      </c>
      <c r="AX348" s="48">
        <v>0</v>
      </c>
      <c r="AY348" s="48">
        <v>0</v>
      </c>
      <c r="AZ348" s="48">
        <v>0</v>
      </c>
      <c r="BA348" s="48">
        <v>0</v>
      </c>
      <c r="BB348" s="48">
        <v>0</v>
      </c>
    </row>
    <row r="349" spans="1:54" x14ac:dyDescent="0.35">
      <c r="A349" s="49">
        <v>45930</v>
      </c>
      <c r="B349" s="48">
        <v>1</v>
      </c>
      <c r="C349" s="50" t="s">
        <v>32</v>
      </c>
      <c r="D349" s="48" t="s">
        <v>31</v>
      </c>
      <c r="E349" s="48" t="s">
        <v>138</v>
      </c>
      <c r="F349" s="48" t="s">
        <v>139</v>
      </c>
      <c r="G349" s="49" t="s">
        <v>59</v>
      </c>
      <c r="H349" s="48" t="s">
        <v>158</v>
      </c>
      <c r="I349" s="48">
        <v>1</v>
      </c>
      <c r="J349" s="48">
        <v>236</v>
      </c>
      <c r="K349" s="48">
        <v>1</v>
      </c>
      <c r="N349" s="48">
        <v>0</v>
      </c>
      <c r="R349" s="49"/>
      <c r="S349" s="49"/>
      <c r="T349" s="49">
        <v>53113</v>
      </c>
      <c r="U349" s="49">
        <v>53113</v>
      </c>
      <c r="V349" s="49">
        <v>53113</v>
      </c>
      <c r="W349" s="49">
        <v>53113</v>
      </c>
      <c r="X349" s="48">
        <v>1</v>
      </c>
      <c r="Y349" s="48">
        <v>1</v>
      </c>
      <c r="Z349" s="48">
        <v>1</v>
      </c>
      <c r="AA349" s="156">
        <v>0</v>
      </c>
      <c r="AF349" s="48">
        <v>0</v>
      </c>
      <c r="AG349" s="49" t="s">
        <v>32</v>
      </c>
      <c r="AH349" s="48">
        <v>1</v>
      </c>
      <c r="AI349" s="48" t="s">
        <v>33</v>
      </c>
      <c r="AJ349" s="48" t="s">
        <v>33</v>
      </c>
      <c r="AK349" s="48" t="s">
        <v>33</v>
      </c>
      <c r="AL349" s="48" t="s">
        <v>34</v>
      </c>
      <c r="AN349" s="48">
        <v>0</v>
      </c>
      <c r="AO349" s="48">
        <v>0</v>
      </c>
      <c r="AP349" s="48">
        <v>0</v>
      </c>
      <c r="AQ349" s="48">
        <v>0</v>
      </c>
      <c r="AR349" s="48">
        <v>0</v>
      </c>
      <c r="AS349" s="48">
        <v>0</v>
      </c>
      <c r="AT349" s="48">
        <v>0</v>
      </c>
      <c r="AU349" s="48">
        <v>0</v>
      </c>
      <c r="AV349" s="48">
        <v>0</v>
      </c>
      <c r="AW349" s="48">
        <v>0</v>
      </c>
      <c r="AX349" s="48">
        <v>0</v>
      </c>
      <c r="AY349" s="48">
        <v>0</v>
      </c>
      <c r="AZ349" s="48">
        <v>0</v>
      </c>
      <c r="BA349" s="48">
        <v>0</v>
      </c>
      <c r="BB349" s="48">
        <v>0</v>
      </c>
    </row>
    <row r="350" spans="1:54" x14ac:dyDescent="0.35">
      <c r="A350" s="49">
        <v>45930</v>
      </c>
      <c r="B350" s="48">
        <v>1</v>
      </c>
      <c r="C350" s="50" t="s">
        <v>32</v>
      </c>
      <c r="D350" s="48" t="s">
        <v>31</v>
      </c>
      <c r="E350" s="48" t="s">
        <v>138</v>
      </c>
      <c r="F350" s="48" t="s">
        <v>139</v>
      </c>
      <c r="G350" s="49" t="s">
        <v>59</v>
      </c>
      <c r="H350" s="48" t="s">
        <v>158</v>
      </c>
      <c r="I350" s="48">
        <v>1</v>
      </c>
      <c r="J350" s="48">
        <v>237</v>
      </c>
      <c r="K350" s="48">
        <v>1</v>
      </c>
      <c r="N350" s="48">
        <v>0</v>
      </c>
      <c r="R350" s="49"/>
      <c r="S350" s="49"/>
      <c r="T350" s="49">
        <v>53143</v>
      </c>
      <c r="U350" s="49">
        <v>53143</v>
      </c>
      <c r="V350" s="49">
        <v>53143</v>
      </c>
      <c r="W350" s="49">
        <v>53143</v>
      </c>
      <c r="X350" s="48">
        <v>1</v>
      </c>
      <c r="Y350" s="48">
        <v>1</v>
      </c>
      <c r="Z350" s="48">
        <v>1</v>
      </c>
      <c r="AA350" s="156">
        <v>0</v>
      </c>
      <c r="AF350" s="48">
        <v>0</v>
      </c>
      <c r="AG350" s="49" t="s">
        <v>32</v>
      </c>
      <c r="AH350" s="48">
        <v>1</v>
      </c>
      <c r="AI350" s="48" t="s">
        <v>33</v>
      </c>
      <c r="AJ350" s="48" t="s">
        <v>33</v>
      </c>
      <c r="AK350" s="48" t="s">
        <v>33</v>
      </c>
      <c r="AL350" s="48" t="s">
        <v>34</v>
      </c>
      <c r="AN350" s="48">
        <v>0</v>
      </c>
      <c r="AO350" s="48">
        <v>0</v>
      </c>
      <c r="AP350" s="48">
        <v>0</v>
      </c>
      <c r="AQ350" s="48">
        <v>0</v>
      </c>
      <c r="AR350" s="48">
        <v>0</v>
      </c>
      <c r="AS350" s="48">
        <v>0</v>
      </c>
      <c r="AT350" s="48">
        <v>0</v>
      </c>
      <c r="AU350" s="48">
        <v>0</v>
      </c>
      <c r="AV350" s="48">
        <v>0</v>
      </c>
      <c r="AW350" s="48">
        <v>0</v>
      </c>
      <c r="AX350" s="48">
        <v>0</v>
      </c>
      <c r="AY350" s="48">
        <v>0</v>
      </c>
      <c r="AZ350" s="48">
        <v>0</v>
      </c>
      <c r="BA350" s="48">
        <v>0</v>
      </c>
      <c r="BB350" s="48">
        <v>0</v>
      </c>
    </row>
    <row r="351" spans="1:54" x14ac:dyDescent="0.35">
      <c r="A351" s="49">
        <v>45930</v>
      </c>
      <c r="B351" s="48">
        <v>1</v>
      </c>
      <c r="C351" s="50" t="s">
        <v>32</v>
      </c>
      <c r="D351" s="48" t="s">
        <v>31</v>
      </c>
      <c r="E351" s="48" t="s">
        <v>138</v>
      </c>
      <c r="F351" s="48" t="s">
        <v>139</v>
      </c>
      <c r="G351" s="49" t="s">
        <v>59</v>
      </c>
      <c r="H351" s="48" t="s">
        <v>158</v>
      </c>
      <c r="I351" s="48">
        <v>1</v>
      </c>
      <c r="J351" s="48">
        <v>238</v>
      </c>
      <c r="K351" s="48">
        <v>1</v>
      </c>
      <c r="N351" s="48">
        <v>0</v>
      </c>
      <c r="R351" s="49"/>
      <c r="S351" s="49"/>
      <c r="T351" s="49">
        <v>53174</v>
      </c>
      <c r="U351" s="49">
        <v>53174</v>
      </c>
      <c r="V351" s="49">
        <v>53174</v>
      </c>
      <c r="W351" s="49">
        <v>53174</v>
      </c>
      <c r="X351" s="48">
        <v>1</v>
      </c>
      <c r="Y351" s="48">
        <v>1</v>
      </c>
      <c r="Z351" s="48">
        <v>1</v>
      </c>
      <c r="AA351" s="156">
        <v>0</v>
      </c>
      <c r="AF351" s="48">
        <v>0</v>
      </c>
      <c r="AG351" s="49" t="s">
        <v>32</v>
      </c>
      <c r="AH351" s="48">
        <v>1</v>
      </c>
      <c r="AI351" s="48" t="s">
        <v>33</v>
      </c>
      <c r="AJ351" s="48" t="s">
        <v>33</v>
      </c>
      <c r="AK351" s="48" t="s">
        <v>33</v>
      </c>
      <c r="AL351" s="48" t="s">
        <v>34</v>
      </c>
      <c r="AN351" s="48">
        <v>0</v>
      </c>
      <c r="AO351" s="48">
        <v>0</v>
      </c>
      <c r="AP351" s="48">
        <v>0</v>
      </c>
      <c r="AQ351" s="48">
        <v>0</v>
      </c>
      <c r="AR351" s="48">
        <v>0</v>
      </c>
      <c r="AS351" s="48">
        <v>0</v>
      </c>
      <c r="AT351" s="48">
        <v>0</v>
      </c>
      <c r="AU351" s="48">
        <v>0</v>
      </c>
      <c r="AV351" s="48">
        <v>0</v>
      </c>
      <c r="AW351" s="48">
        <v>0</v>
      </c>
      <c r="AX351" s="48">
        <v>0</v>
      </c>
      <c r="AY351" s="48">
        <v>0</v>
      </c>
      <c r="AZ351" s="48">
        <v>0</v>
      </c>
      <c r="BA351" s="48">
        <v>0</v>
      </c>
      <c r="BB351" s="48">
        <v>0</v>
      </c>
    </row>
    <row r="352" spans="1:54" x14ac:dyDescent="0.35">
      <c r="A352" s="49">
        <v>45930</v>
      </c>
      <c r="B352" s="48">
        <v>1</v>
      </c>
      <c r="C352" s="50" t="s">
        <v>32</v>
      </c>
      <c r="D352" s="48" t="s">
        <v>31</v>
      </c>
      <c r="E352" s="48" t="s">
        <v>138</v>
      </c>
      <c r="F352" s="48" t="s">
        <v>139</v>
      </c>
      <c r="G352" s="49" t="s">
        <v>59</v>
      </c>
      <c r="H352" s="48" t="s">
        <v>158</v>
      </c>
      <c r="I352" s="48">
        <v>1</v>
      </c>
      <c r="J352" s="48">
        <v>239</v>
      </c>
      <c r="K352" s="48">
        <v>1</v>
      </c>
      <c r="N352" s="48">
        <v>0</v>
      </c>
      <c r="R352" s="49"/>
      <c r="S352" s="49"/>
      <c r="T352" s="49">
        <v>53205</v>
      </c>
      <c r="U352" s="49">
        <v>53205</v>
      </c>
      <c r="V352" s="49">
        <v>53205</v>
      </c>
      <c r="W352" s="49">
        <v>53205</v>
      </c>
      <c r="X352" s="48">
        <v>1</v>
      </c>
      <c r="Y352" s="48">
        <v>1</v>
      </c>
      <c r="Z352" s="48">
        <v>1</v>
      </c>
      <c r="AA352" s="156">
        <v>0</v>
      </c>
      <c r="AF352" s="48">
        <v>0</v>
      </c>
      <c r="AG352" s="49" t="s">
        <v>32</v>
      </c>
      <c r="AH352" s="48">
        <v>1</v>
      </c>
      <c r="AI352" s="48" t="s">
        <v>33</v>
      </c>
      <c r="AJ352" s="48" t="s">
        <v>33</v>
      </c>
      <c r="AK352" s="48" t="s">
        <v>33</v>
      </c>
      <c r="AL352" s="48" t="s">
        <v>34</v>
      </c>
      <c r="AN352" s="48">
        <v>0</v>
      </c>
      <c r="AO352" s="48">
        <v>0</v>
      </c>
      <c r="AP352" s="48">
        <v>0</v>
      </c>
      <c r="AQ352" s="48">
        <v>0</v>
      </c>
      <c r="AR352" s="48">
        <v>0</v>
      </c>
      <c r="AS352" s="48">
        <v>0</v>
      </c>
      <c r="AT352" s="48">
        <v>0</v>
      </c>
      <c r="AU352" s="48">
        <v>0</v>
      </c>
      <c r="AV352" s="48">
        <v>0</v>
      </c>
      <c r="AW352" s="48">
        <v>0</v>
      </c>
      <c r="AX352" s="48">
        <v>0</v>
      </c>
      <c r="AY352" s="48">
        <v>0</v>
      </c>
      <c r="AZ352" s="48">
        <v>0</v>
      </c>
      <c r="BA352" s="48">
        <v>0</v>
      </c>
      <c r="BB352" s="48">
        <v>0</v>
      </c>
    </row>
    <row r="353" spans="1:54" x14ac:dyDescent="0.35">
      <c r="A353" s="49">
        <v>45930</v>
      </c>
      <c r="B353" s="48">
        <v>1</v>
      </c>
      <c r="C353" s="50" t="s">
        <v>32</v>
      </c>
      <c r="D353" s="48" t="s">
        <v>31</v>
      </c>
      <c r="E353" s="48" t="s">
        <v>138</v>
      </c>
      <c r="F353" s="48" t="s">
        <v>139</v>
      </c>
      <c r="G353" s="49" t="s">
        <v>59</v>
      </c>
      <c r="H353" s="48" t="s">
        <v>158</v>
      </c>
      <c r="I353" s="48">
        <v>1</v>
      </c>
      <c r="J353" s="48">
        <v>240</v>
      </c>
      <c r="K353" s="48">
        <v>1</v>
      </c>
      <c r="N353" s="48">
        <v>0</v>
      </c>
      <c r="R353" s="49"/>
      <c r="S353" s="49"/>
      <c r="T353" s="49">
        <v>53235</v>
      </c>
      <c r="U353" s="49">
        <v>53235</v>
      </c>
      <c r="V353" s="49">
        <v>53235</v>
      </c>
      <c r="W353" s="49">
        <v>53235</v>
      </c>
      <c r="X353" s="48">
        <v>1</v>
      </c>
      <c r="Y353" s="48">
        <v>1</v>
      </c>
      <c r="Z353" s="48">
        <v>1</v>
      </c>
      <c r="AA353" s="156">
        <v>0</v>
      </c>
      <c r="AF353" s="48">
        <v>0</v>
      </c>
      <c r="AG353" s="49" t="s">
        <v>32</v>
      </c>
      <c r="AH353" s="48">
        <v>1</v>
      </c>
      <c r="AI353" s="48" t="s">
        <v>33</v>
      </c>
      <c r="AJ353" s="48" t="s">
        <v>33</v>
      </c>
      <c r="AK353" s="48" t="s">
        <v>33</v>
      </c>
      <c r="AL353" s="48" t="s">
        <v>34</v>
      </c>
      <c r="AN353" s="48">
        <v>0</v>
      </c>
      <c r="AO353" s="48">
        <v>0</v>
      </c>
      <c r="AP353" s="48">
        <v>0</v>
      </c>
      <c r="AQ353" s="48">
        <v>0</v>
      </c>
      <c r="AR353" s="48">
        <v>0</v>
      </c>
      <c r="AS353" s="48">
        <v>0</v>
      </c>
      <c r="AT353" s="48">
        <v>0</v>
      </c>
      <c r="AU353" s="48">
        <v>0</v>
      </c>
      <c r="AV353" s="48">
        <v>0</v>
      </c>
      <c r="AW353" s="48">
        <v>0</v>
      </c>
      <c r="AX353" s="48">
        <v>0</v>
      </c>
      <c r="AY353" s="48">
        <v>0</v>
      </c>
      <c r="AZ353" s="48">
        <v>0</v>
      </c>
      <c r="BA353" s="48">
        <v>0</v>
      </c>
      <c r="BB353" s="48">
        <v>0</v>
      </c>
    </row>
    <row r="354" spans="1:54" x14ac:dyDescent="0.35">
      <c r="A354" s="49">
        <v>45930</v>
      </c>
      <c r="B354" s="48">
        <v>1</v>
      </c>
      <c r="C354" s="50" t="s">
        <v>32</v>
      </c>
      <c r="D354" s="48" t="s">
        <v>31</v>
      </c>
      <c r="E354" s="48" t="s">
        <v>138</v>
      </c>
      <c r="F354" s="48" t="s">
        <v>139</v>
      </c>
      <c r="G354" s="49" t="s">
        <v>59</v>
      </c>
      <c r="H354" s="48" t="s">
        <v>158</v>
      </c>
      <c r="I354" s="48">
        <v>1</v>
      </c>
      <c r="J354" s="48">
        <v>241</v>
      </c>
      <c r="K354" s="48">
        <v>1</v>
      </c>
      <c r="N354" s="48">
        <v>0</v>
      </c>
      <c r="R354" s="49"/>
      <c r="S354" s="49"/>
      <c r="T354" s="49">
        <v>53266</v>
      </c>
      <c r="U354" s="49">
        <v>53266</v>
      </c>
      <c r="V354" s="49">
        <v>53266</v>
      </c>
      <c r="W354" s="49">
        <v>53266</v>
      </c>
      <c r="X354" s="48">
        <v>1</v>
      </c>
      <c r="Y354" s="48">
        <v>1</v>
      </c>
      <c r="Z354" s="48">
        <v>1</v>
      </c>
      <c r="AA354" s="156">
        <v>0</v>
      </c>
      <c r="AF354" s="48">
        <v>0</v>
      </c>
      <c r="AG354" s="49" t="s">
        <v>32</v>
      </c>
      <c r="AH354" s="48">
        <v>1</v>
      </c>
      <c r="AI354" s="48" t="s">
        <v>33</v>
      </c>
      <c r="AJ354" s="48" t="s">
        <v>33</v>
      </c>
      <c r="AK354" s="48" t="s">
        <v>33</v>
      </c>
      <c r="AL354" s="48" t="s">
        <v>34</v>
      </c>
      <c r="AN354" s="48">
        <v>0</v>
      </c>
      <c r="AO354" s="48">
        <v>0</v>
      </c>
      <c r="AP354" s="48">
        <v>0</v>
      </c>
      <c r="AQ354" s="48">
        <v>0</v>
      </c>
      <c r="AR354" s="48">
        <v>0</v>
      </c>
      <c r="AS354" s="48">
        <v>0</v>
      </c>
      <c r="AT354" s="48">
        <v>0</v>
      </c>
      <c r="AU354" s="48">
        <v>0</v>
      </c>
      <c r="AV354" s="48">
        <v>0</v>
      </c>
      <c r="AW354" s="48">
        <v>0</v>
      </c>
      <c r="AX354" s="48">
        <v>0</v>
      </c>
      <c r="AY354" s="48">
        <v>0</v>
      </c>
      <c r="AZ354" s="48">
        <v>0</v>
      </c>
      <c r="BA354" s="48">
        <v>0</v>
      </c>
      <c r="BB354" s="48">
        <v>0</v>
      </c>
    </row>
    <row r="355" spans="1:54" x14ac:dyDescent="0.35">
      <c r="A355" s="49">
        <v>45930</v>
      </c>
      <c r="B355" s="48">
        <v>1</v>
      </c>
      <c r="C355" s="50" t="s">
        <v>32</v>
      </c>
      <c r="D355" s="48" t="s">
        <v>31</v>
      </c>
      <c r="E355" s="48" t="s">
        <v>138</v>
      </c>
      <c r="F355" s="48" t="s">
        <v>139</v>
      </c>
      <c r="G355" s="49" t="s">
        <v>59</v>
      </c>
      <c r="H355" s="48" t="s">
        <v>158</v>
      </c>
      <c r="I355" s="48">
        <v>1</v>
      </c>
      <c r="J355" s="48">
        <v>242</v>
      </c>
      <c r="K355" s="48">
        <v>1</v>
      </c>
      <c r="N355" s="48">
        <v>0</v>
      </c>
      <c r="R355" s="49"/>
      <c r="S355" s="49"/>
      <c r="T355" s="49">
        <v>53296</v>
      </c>
      <c r="U355" s="49">
        <v>53296</v>
      </c>
      <c r="V355" s="49">
        <v>53296</v>
      </c>
      <c r="W355" s="49">
        <v>53296</v>
      </c>
      <c r="X355" s="48">
        <v>1</v>
      </c>
      <c r="Y355" s="48">
        <v>1</v>
      </c>
      <c r="Z355" s="48">
        <v>1</v>
      </c>
      <c r="AA355" s="156">
        <v>0</v>
      </c>
      <c r="AF355" s="48">
        <v>0</v>
      </c>
      <c r="AG355" s="49" t="s">
        <v>32</v>
      </c>
      <c r="AH355" s="48">
        <v>1</v>
      </c>
      <c r="AI355" s="48" t="s">
        <v>33</v>
      </c>
      <c r="AJ355" s="48" t="s">
        <v>33</v>
      </c>
      <c r="AK355" s="48" t="s">
        <v>33</v>
      </c>
      <c r="AL355" s="48" t="s">
        <v>34</v>
      </c>
      <c r="AN355" s="48">
        <v>0</v>
      </c>
      <c r="AO355" s="48">
        <v>0</v>
      </c>
      <c r="AP355" s="48">
        <v>0</v>
      </c>
      <c r="AQ355" s="48">
        <v>0</v>
      </c>
      <c r="AR355" s="48">
        <v>0</v>
      </c>
      <c r="AS355" s="48">
        <v>0</v>
      </c>
      <c r="AT355" s="48">
        <v>0</v>
      </c>
      <c r="AU355" s="48">
        <v>0</v>
      </c>
      <c r="AV355" s="48">
        <v>0</v>
      </c>
      <c r="AW355" s="48">
        <v>0</v>
      </c>
      <c r="AX355" s="48">
        <v>0</v>
      </c>
      <c r="AY355" s="48">
        <v>0</v>
      </c>
      <c r="AZ355" s="48">
        <v>0</v>
      </c>
      <c r="BA355" s="48">
        <v>0</v>
      </c>
      <c r="BB355" s="48">
        <v>0</v>
      </c>
    </row>
    <row r="356" spans="1:54" x14ac:dyDescent="0.35">
      <c r="A356" s="49">
        <v>45930</v>
      </c>
      <c r="B356" s="48">
        <v>1</v>
      </c>
      <c r="C356" s="50" t="s">
        <v>32</v>
      </c>
      <c r="D356" s="48" t="s">
        <v>31</v>
      </c>
      <c r="E356" s="48" t="s">
        <v>138</v>
      </c>
      <c r="F356" s="48" t="s">
        <v>139</v>
      </c>
      <c r="G356" s="49" t="s">
        <v>59</v>
      </c>
      <c r="H356" s="48" t="s">
        <v>158</v>
      </c>
      <c r="I356" s="48">
        <v>1</v>
      </c>
      <c r="J356" s="48">
        <v>243</v>
      </c>
      <c r="K356" s="48">
        <v>1</v>
      </c>
      <c r="N356" s="48">
        <v>0</v>
      </c>
      <c r="R356" s="49"/>
      <c r="S356" s="49"/>
      <c r="T356" s="49">
        <v>53327</v>
      </c>
      <c r="U356" s="49">
        <v>53327</v>
      </c>
      <c r="V356" s="49">
        <v>53327</v>
      </c>
      <c r="W356" s="49">
        <v>53327</v>
      </c>
      <c r="X356" s="48">
        <v>1</v>
      </c>
      <c r="Y356" s="48">
        <v>1</v>
      </c>
      <c r="Z356" s="48">
        <v>1</v>
      </c>
      <c r="AA356" s="156">
        <v>0</v>
      </c>
      <c r="AF356" s="48">
        <v>0</v>
      </c>
      <c r="AG356" s="49" t="s">
        <v>32</v>
      </c>
      <c r="AH356" s="48">
        <v>1</v>
      </c>
      <c r="AI356" s="48" t="s">
        <v>33</v>
      </c>
      <c r="AJ356" s="48" t="s">
        <v>33</v>
      </c>
      <c r="AK356" s="48" t="s">
        <v>33</v>
      </c>
      <c r="AL356" s="48" t="s">
        <v>34</v>
      </c>
      <c r="AN356" s="48">
        <v>0</v>
      </c>
      <c r="AO356" s="48">
        <v>0</v>
      </c>
      <c r="AP356" s="48">
        <v>0</v>
      </c>
      <c r="AQ356" s="48">
        <v>0</v>
      </c>
      <c r="AR356" s="48">
        <v>0</v>
      </c>
      <c r="AS356" s="48">
        <v>0</v>
      </c>
      <c r="AT356" s="48">
        <v>0</v>
      </c>
      <c r="AU356" s="48">
        <v>0</v>
      </c>
      <c r="AV356" s="48">
        <v>0</v>
      </c>
      <c r="AW356" s="48">
        <v>0</v>
      </c>
      <c r="AX356" s="48">
        <v>0</v>
      </c>
      <c r="AY356" s="48">
        <v>0</v>
      </c>
      <c r="AZ356" s="48">
        <v>0</v>
      </c>
      <c r="BA356" s="48">
        <v>0</v>
      </c>
      <c r="BB356" s="48">
        <v>0</v>
      </c>
    </row>
    <row r="357" spans="1:54" x14ac:dyDescent="0.35">
      <c r="A357" s="49">
        <v>45930</v>
      </c>
      <c r="B357" s="48">
        <v>1</v>
      </c>
      <c r="C357" s="50" t="s">
        <v>32</v>
      </c>
      <c r="D357" s="48" t="s">
        <v>31</v>
      </c>
      <c r="E357" s="48" t="s">
        <v>138</v>
      </c>
      <c r="F357" s="48" t="s">
        <v>139</v>
      </c>
      <c r="G357" s="49" t="s">
        <v>59</v>
      </c>
      <c r="H357" s="48" t="s">
        <v>158</v>
      </c>
      <c r="I357" s="48">
        <v>1</v>
      </c>
      <c r="J357" s="48">
        <v>244</v>
      </c>
      <c r="K357" s="48">
        <v>1</v>
      </c>
      <c r="N357" s="48">
        <v>0</v>
      </c>
      <c r="R357" s="49"/>
      <c r="S357" s="49"/>
      <c r="T357" s="49">
        <v>53358</v>
      </c>
      <c r="U357" s="49">
        <v>53358</v>
      </c>
      <c r="V357" s="49">
        <v>53358</v>
      </c>
      <c r="W357" s="49">
        <v>53358</v>
      </c>
      <c r="X357" s="48">
        <v>1</v>
      </c>
      <c r="Y357" s="48">
        <v>1</v>
      </c>
      <c r="Z357" s="48">
        <v>1</v>
      </c>
      <c r="AA357" s="156">
        <v>0</v>
      </c>
      <c r="AF357" s="48">
        <v>0</v>
      </c>
      <c r="AG357" s="49" t="s">
        <v>32</v>
      </c>
      <c r="AH357" s="48">
        <v>1</v>
      </c>
      <c r="AI357" s="48" t="s">
        <v>33</v>
      </c>
      <c r="AJ357" s="48" t="s">
        <v>33</v>
      </c>
      <c r="AK357" s="48" t="s">
        <v>33</v>
      </c>
      <c r="AL357" s="48" t="s">
        <v>34</v>
      </c>
      <c r="AN357" s="48">
        <v>0</v>
      </c>
      <c r="AO357" s="48">
        <v>0</v>
      </c>
      <c r="AP357" s="48">
        <v>0</v>
      </c>
      <c r="AQ357" s="48">
        <v>0</v>
      </c>
      <c r="AR357" s="48">
        <v>0</v>
      </c>
      <c r="AS357" s="48">
        <v>0</v>
      </c>
      <c r="AT357" s="48">
        <v>0</v>
      </c>
      <c r="AU357" s="48">
        <v>0</v>
      </c>
      <c r="AV357" s="48">
        <v>0</v>
      </c>
      <c r="AW357" s="48">
        <v>0</v>
      </c>
      <c r="AX357" s="48">
        <v>0</v>
      </c>
      <c r="AY357" s="48">
        <v>0</v>
      </c>
      <c r="AZ357" s="48">
        <v>0</v>
      </c>
      <c r="BA357" s="48">
        <v>0</v>
      </c>
      <c r="BB357" s="48">
        <v>0</v>
      </c>
    </row>
    <row r="358" spans="1:54" x14ac:dyDescent="0.35">
      <c r="A358" s="49">
        <v>45930</v>
      </c>
      <c r="B358" s="48">
        <v>1</v>
      </c>
      <c r="C358" s="50" t="s">
        <v>32</v>
      </c>
      <c r="D358" s="48" t="s">
        <v>31</v>
      </c>
      <c r="E358" s="48" t="s">
        <v>138</v>
      </c>
      <c r="F358" s="48" t="s">
        <v>139</v>
      </c>
      <c r="G358" s="49" t="s">
        <v>59</v>
      </c>
      <c r="H358" s="48" t="s">
        <v>158</v>
      </c>
      <c r="I358" s="48">
        <v>1</v>
      </c>
      <c r="J358" s="48">
        <v>245</v>
      </c>
      <c r="K358" s="48">
        <v>1</v>
      </c>
      <c r="N358" s="48">
        <v>0</v>
      </c>
      <c r="R358" s="49"/>
      <c r="S358" s="49"/>
      <c r="T358" s="49">
        <v>53386</v>
      </c>
      <c r="U358" s="49">
        <v>53386</v>
      </c>
      <c r="V358" s="49">
        <v>53386</v>
      </c>
      <c r="W358" s="49">
        <v>53386</v>
      </c>
      <c r="X358" s="48">
        <v>1</v>
      </c>
      <c r="Y358" s="48">
        <v>1</v>
      </c>
      <c r="Z358" s="48">
        <v>1</v>
      </c>
      <c r="AA358" s="156">
        <v>0</v>
      </c>
      <c r="AF358" s="48">
        <v>0</v>
      </c>
      <c r="AG358" s="49" t="s">
        <v>32</v>
      </c>
      <c r="AH358" s="48">
        <v>1</v>
      </c>
      <c r="AI358" s="48" t="s">
        <v>33</v>
      </c>
      <c r="AJ358" s="48" t="s">
        <v>33</v>
      </c>
      <c r="AK358" s="48" t="s">
        <v>33</v>
      </c>
      <c r="AL358" s="48" t="s">
        <v>34</v>
      </c>
      <c r="AN358" s="48">
        <v>0</v>
      </c>
      <c r="AO358" s="48">
        <v>0</v>
      </c>
      <c r="AP358" s="48">
        <v>0</v>
      </c>
      <c r="AQ358" s="48">
        <v>0</v>
      </c>
      <c r="AR358" s="48">
        <v>0</v>
      </c>
      <c r="AS358" s="48">
        <v>0</v>
      </c>
      <c r="AT358" s="48">
        <v>0</v>
      </c>
      <c r="AU358" s="48">
        <v>0</v>
      </c>
      <c r="AV358" s="48">
        <v>0</v>
      </c>
      <c r="AW358" s="48">
        <v>0</v>
      </c>
      <c r="AX358" s="48">
        <v>0</v>
      </c>
      <c r="AY358" s="48">
        <v>0</v>
      </c>
      <c r="AZ358" s="48">
        <v>0</v>
      </c>
      <c r="BA358" s="48">
        <v>0</v>
      </c>
      <c r="BB358" s="48">
        <v>0</v>
      </c>
    </row>
    <row r="359" spans="1:54" x14ac:dyDescent="0.35">
      <c r="A359" s="49">
        <v>45930</v>
      </c>
      <c r="B359" s="48">
        <v>1</v>
      </c>
      <c r="C359" s="50" t="s">
        <v>32</v>
      </c>
      <c r="D359" s="48" t="s">
        <v>31</v>
      </c>
      <c r="E359" s="48" t="s">
        <v>138</v>
      </c>
      <c r="F359" s="48" t="s">
        <v>139</v>
      </c>
      <c r="G359" s="49" t="s">
        <v>59</v>
      </c>
      <c r="H359" s="48" t="s">
        <v>158</v>
      </c>
      <c r="I359" s="48">
        <v>1</v>
      </c>
      <c r="J359" s="48">
        <v>246</v>
      </c>
      <c r="K359" s="48">
        <v>1</v>
      </c>
      <c r="N359" s="48">
        <v>0</v>
      </c>
      <c r="R359" s="49"/>
      <c r="S359" s="49"/>
      <c r="T359" s="49">
        <v>53417</v>
      </c>
      <c r="U359" s="49">
        <v>53417</v>
      </c>
      <c r="V359" s="49">
        <v>53417</v>
      </c>
      <c r="W359" s="49">
        <v>53417</v>
      </c>
      <c r="X359" s="48">
        <v>1</v>
      </c>
      <c r="Y359" s="48">
        <v>1</v>
      </c>
      <c r="Z359" s="48">
        <v>1</v>
      </c>
      <c r="AA359" s="156">
        <v>0</v>
      </c>
      <c r="AF359" s="48">
        <v>0</v>
      </c>
      <c r="AG359" s="49" t="s">
        <v>32</v>
      </c>
      <c r="AH359" s="48">
        <v>1</v>
      </c>
      <c r="AI359" s="48" t="s">
        <v>33</v>
      </c>
      <c r="AJ359" s="48" t="s">
        <v>33</v>
      </c>
      <c r="AK359" s="48" t="s">
        <v>33</v>
      </c>
      <c r="AL359" s="48" t="s">
        <v>34</v>
      </c>
      <c r="AN359" s="48">
        <v>0</v>
      </c>
      <c r="AO359" s="48">
        <v>0</v>
      </c>
      <c r="AP359" s="48">
        <v>0</v>
      </c>
      <c r="AQ359" s="48">
        <v>0</v>
      </c>
      <c r="AR359" s="48">
        <v>0</v>
      </c>
      <c r="AS359" s="48">
        <v>0</v>
      </c>
      <c r="AT359" s="48">
        <v>0</v>
      </c>
      <c r="AU359" s="48">
        <v>0</v>
      </c>
      <c r="AV359" s="48">
        <v>0</v>
      </c>
      <c r="AW359" s="48">
        <v>0</v>
      </c>
      <c r="AX359" s="48">
        <v>0</v>
      </c>
      <c r="AY359" s="48">
        <v>0</v>
      </c>
      <c r="AZ359" s="48">
        <v>0</v>
      </c>
      <c r="BA359" s="48">
        <v>0</v>
      </c>
      <c r="BB359" s="48">
        <v>0</v>
      </c>
    </row>
    <row r="360" spans="1:54" x14ac:dyDescent="0.35">
      <c r="A360" s="49">
        <v>45930</v>
      </c>
      <c r="B360" s="48">
        <v>1</v>
      </c>
      <c r="C360" s="50" t="s">
        <v>32</v>
      </c>
      <c r="D360" s="48" t="s">
        <v>31</v>
      </c>
      <c r="E360" s="48" t="s">
        <v>138</v>
      </c>
      <c r="F360" s="48" t="s">
        <v>139</v>
      </c>
      <c r="G360" s="49" t="s">
        <v>59</v>
      </c>
      <c r="H360" s="48" t="s">
        <v>158</v>
      </c>
      <c r="I360" s="48">
        <v>1</v>
      </c>
      <c r="J360" s="48">
        <v>247</v>
      </c>
      <c r="K360" s="48">
        <v>1</v>
      </c>
      <c r="N360" s="48">
        <v>0</v>
      </c>
      <c r="R360" s="49"/>
      <c r="S360" s="49"/>
      <c r="T360" s="49">
        <v>53447</v>
      </c>
      <c r="U360" s="49">
        <v>53447</v>
      </c>
      <c r="V360" s="49">
        <v>53447</v>
      </c>
      <c r="W360" s="49">
        <v>53447</v>
      </c>
      <c r="X360" s="48">
        <v>1</v>
      </c>
      <c r="Y360" s="48">
        <v>1</v>
      </c>
      <c r="Z360" s="48">
        <v>1</v>
      </c>
      <c r="AA360" s="156">
        <v>0</v>
      </c>
      <c r="AF360" s="48">
        <v>0</v>
      </c>
      <c r="AG360" s="49" t="s">
        <v>32</v>
      </c>
      <c r="AH360" s="48">
        <v>1</v>
      </c>
      <c r="AI360" s="48" t="s">
        <v>33</v>
      </c>
      <c r="AJ360" s="48" t="s">
        <v>33</v>
      </c>
      <c r="AK360" s="48" t="s">
        <v>33</v>
      </c>
      <c r="AL360" s="48" t="s">
        <v>34</v>
      </c>
      <c r="AN360" s="48">
        <v>0</v>
      </c>
      <c r="AO360" s="48">
        <v>0</v>
      </c>
      <c r="AP360" s="48">
        <v>0</v>
      </c>
      <c r="AQ360" s="48">
        <v>0</v>
      </c>
      <c r="AR360" s="48">
        <v>0</v>
      </c>
      <c r="AS360" s="48">
        <v>0</v>
      </c>
      <c r="AT360" s="48">
        <v>0</v>
      </c>
      <c r="AU360" s="48">
        <v>0</v>
      </c>
      <c r="AV360" s="48">
        <v>0</v>
      </c>
      <c r="AW360" s="48">
        <v>0</v>
      </c>
      <c r="AX360" s="48">
        <v>0</v>
      </c>
      <c r="AY360" s="48">
        <v>0</v>
      </c>
      <c r="AZ360" s="48">
        <v>0</v>
      </c>
      <c r="BA360" s="48">
        <v>0</v>
      </c>
      <c r="BB360" s="48">
        <v>0</v>
      </c>
    </row>
    <row r="361" spans="1:54" x14ac:dyDescent="0.35">
      <c r="A361" s="49">
        <v>45930</v>
      </c>
      <c r="B361" s="48">
        <v>1</v>
      </c>
      <c r="C361" s="50" t="s">
        <v>32</v>
      </c>
      <c r="D361" s="48" t="s">
        <v>31</v>
      </c>
      <c r="E361" s="48" t="s">
        <v>138</v>
      </c>
      <c r="F361" s="48" t="s">
        <v>139</v>
      </c>
      <c r="G361" s="49" t="s">
        <v>59</v>
      </c>
      <c r="H361" s="48" t="s">
        <v>158</v>
      </c>
      <c r="I361" s="48">
        <v>1</v>
      </c>
      <c r="J361" s="48">
        <v>248</v>
      </c>
      <c r="K361" s="48">
        <v>1</v>
      </c>
      <c r="N361" s="48">
        <v>0</v>
      </c>
      <c r="R361" s="49"/>
      <c r="S361" s="49"/>
      <c r="T361" s="49">
        <v>53478</v>
      </c>
      <c r="U361" s="49">
        <v>53478</v>
      </c>
      <c r="V361" s="49">
        <v>53478</v>
      </c>
      <c r="W361" s="49">
        <v>53478</v>
      </c>
      <c r="X361" s="48">
        <v>1</v>
      </c>
      <c r="Y361" s="48">
        <v>1</v>
      </c>
      <c r="Z361" s="48">
        <v>1</v>
      </c>
      <c r="AA361" s="156">
        <v>0</v>
      </c>
      <c r="AF361" s="48">
        <v>0</v>
      </c>
      <c r="AG361" s="49" t="s">
        <v>32</v>
      </c>
      <c r="AH361" s="48">
        <v>1</v>
      </c>
      <c r="AI361" s="48" t="s">
        <v>33</v>
      </c>
      <c r="AJ361" s="48" t="s">
        <v>33</v>
      </c>
      <c r="AK361" s="48" t="s">
        <v>33</v>
      </c>
      <c r="AL361" s="48" t="s">
        <v>34</v>
      </c>
      <c r="AN361" s="48">
        <v>0</v>
      </c>
      <c r="AO361" s="48">
        <v>0</v>
      </c>
      <c r="AP361" s="48">
        <v>0</v>
      </c>
      <c r="AQ361" s="48">
        <v>0</v>
      </c>
      <c r="AR361" s="48">
        <v>0</v>
      </c>
      <c r="AS361" s="48">
        <v>0</v>
      </c>
      <c r="AT361" s="48">
        <v>0</v>
      </c>
      <c r="AU361" s="48">
        <v>0</v>
      </c>
      <c r="AV361" s="48">
        <v>0</v>
      </c>
      <c r="AW361" s="48">
        <v>0</v>
      </c>
      <c r="AX361" s="48">
        <v>0</v>
      </c>
      <c r="AY361" s="48">
        <v>0</v>
      </c>
      <c r="AZ361" s="48">
        <v>0</v>
      </c>
      <c r="BA361" s="48">
        <v>0</v>
      </c>
      <c r="BB361" s="48">
        <v>0</v>
      </c>
    </row>
    <row r="362" spans="1:54" x14ac:dyDescent="0.35">
      <c r="A362" s="49">
        <v>45930</v>
      </c>
      <c r="B362" s="48">
        <v>1</v>
      </c>
      <c r="C362" s="50" t="s">
        <v>32</v>
      </c>
      <c r="D362" s="48" t="s">
        <v>31</v>
      </c>
      <c r="E362" s="48" t="s">
        <v>138</v>
      </c>
      <c r="F362" s="48" t="s">
        <v>139</v>
      </c>
      <c r="G362" s="49" t="s">
        <v>59</v>
      </c>
      <c r="H362" s="48" t="s">
        <v>158</v>
      </c>
      <c r="I362" s="48">
        <v>1</v>
      </c>
      <c r="J362" s="48">
        <v>249</v>
      </c>
      <c r="K362" s="48">
        <v>1</v>
      </c>
      <c r="N362" s="48">
        <v>0</v>
      </c>
      <c r="R362" s="49"/>
      <c r="S362" s="49"/>
      <c r="T362" s="49">
        <v>53508</v>
      </c>
      <c r="U362" s="49">
        <v>53508</v>
      </c>
      <c r="V362" s="49">
        <v>53508</v>
      </c>
      <c r="W362" s="49">
        <v>53508</v>
      </c>
      <c r="X362" s="48">
        <v>1</v>
      </c>
      <c r="Y362" s="48">
        <v>1</v>
      </c>
      <c r="Z362" s="48">
        <v>1</v>
      </c>
      <c r="AA362" s="156">
        <v>0</v>
      </c>
      <c r="AF362" s="48">
        <v>0</v>
      </c>
      <c r="AG362" s="49" t="s">
        <v>32</v>
      </c>
      <c r="AH362" s="48">
        <v>1</v>
      </c>
      <c r="AI362" s="48" t="s">
        <v>33</v>
      </c>
      <c r="AJ362" s="48" t="s">
        <v>33</v>
      </c>
      <c r="AK362" s="48" t="s">
        <v>33</v>
      </c>
      <c r="AL362" s="48" t="s">
        <v>34</v>
      </c>
      <c r="AN362" s="48">
        <v>0</v>
      </c>
      <c r="AO362" s="48">
        <v>0</v>
      </c>
      <c r="AP362" s="48">
        <v>0</v>
      </c>
      <c r="AQ362" s="48">
        <v>0</v>
      </c>
      <c r="AR362" s="48">
        <v>0</v>
      </c>
      <c r="AS362" s="48">
        <v>0</v>
      </c>
      <c r="AT362" s="48">
        <v>0</v>
      </c>
      <c r="AU362" s="48">
        <v>0</v>
      </c>
      <c r="AV362" s="48">
        <v>0</v>
      </c>
      <c r="AW362" s="48">
        <v>0</v>
      </c>
      <c r="AX362" s="48">
        <v>0</v>
      </c>
      <c r="AY362" s="48">
        <v>0</v>
      </c>
      <c r="AZ362" s="48">
        <v>0</v>
      </c>
      <c r="BA362" s="48">
        <v>0</v>
      </c>
      <c r="BB362" s="48">
        <v>0</v>
      </c>
    </row>
    <row r="363" spans="1:54" x14ac:dyDescent="0.35">
      <c r="A363" s="49">
        <v>45930</v>
      </c>
      <c r="B363" s="48">
        <v>1</v>
      </c>
      <c r="C363" s="50" t="s">
        <v>32</v>
      </c>
      <c r="D363" s="48" t="s">
        <v>31</v>
      </c>
      <c r="E363" s="48" t="s">
        <v>138</v>
      </c>
      <c r="F363" s="48" t="s">
        <v>139</v>
      </c>
      <c r="G363" s="49" t="s">
        <v>59</v>
      </c>
      <c r="H363" s="48" t="s">
        <v>158</v>
      </c>
      <c r="I363" s="48">
        <v>1</v>
      </c>
      <c r="J363" s="48">
        <v>250</v>
      </c>
      <c r="K363" s="48">
        <v>1</v>
      </c>
      <c r="N363" s="48">
        <v>0</v>
      </c>
      <c r="R363" s="49"/>
      <c r="S363" s="49"/>
      <c r="T363" s="49">
        <v>53539</v>
      </c>
      <c r="U363" s="49">
        <v>53539</v>
      </c>
      <c r="V363" s="49">
        <v>53539</v>
      </c>
      <c r="W363" s="49">
        <v>53539</v>
      </c>
      <c r="X363" s="48">
        <v>1</v>
      </c>
      <c r="Y363" s="48">
        <v>1</v>
      </c>
      <c r="Z363" s="48">
        <v>1</v>
      </c>
      <c r="AA363" s="156">
        <v>0</v>
      </c>
      <c r="AF363" s="48">
        <v>0</v>
      </c>
      <c r="AG363" s="49" t="s">
        <v>32</v>
      </c>
      <c r="AH363" s="48">
        <v>1</v>
      </c>
      <c r="AI363" s="48" t="s">
        <v>33</v>
      </c>
      <c r="AJ363" s="48" t="s">
        <v>33</v>
      </c>
      <c r="AK363" s="48" t="s">
        <v>33</v>
      </c>
      <c r="AL363" s="48" t="s">
        <v>34</v>
      </c>
      <c r="AN363" s="48">
        <v>0</v>
      </c>
      <c r="AO363" s="48">
        <v>0</v>
      </c>
      <c r="AP363" s="48">
        <v>0</v>
      </c>
      <c r="AQ363" s="48">
        <v>0</v>
      </c>
      <c r="AR363" s="48">
        <v>0</v>
      </c>
      <c r="AS363" s="48">
        <v>0</v>
      </c>
      <c r="AT363" s="48">
        <v>0</v>
      </c>
      <c r="AU363" s="48">
        <v>0</v>
      </c>
      <c r="AV363" s="48">
        <v>0</v>
      </c>
      <c r="AW363" s="48">
        <v>0</v>
      </c>
      <c r="AX363" s="48">
        <v>0</v>
      </c>
      <c r="AY363" s="48">
        <v>0</v>
      </c>
      <c r="AZ363" s="48">
        <v>0</v>
      </c>
      <c r="BA363" s="48">
        <v>0</v>
      </c>
      <c r="BB363" s="48">
        <v>0</v>
      </c>
    </row>
    <row r="364" spans="1:54" x14ac:dyDescent="0.35">
      <c r="A364" s="49">
        <v>45930</v>
      </c>
      <c r="B364" s="48">
        <v>1</v>
      </c>
      <c r="C364" s="50" t="s">
        <v>32</v>
      </c>
      <c r="D364" s="48" t="s">
        <v>31</v>
      </c>
      <c r="E364" s="48" t="s">
        <v>138</v>
      </c>
      <c r="F364" s="48" t="s">
        <v>139</v>
      </c>
      <c r="G364" s="49" t="s">
        <v>59</v>
      </c>
      <c r="H364" s="48" t="s">
        <v>158</v>
      </c>
      <c r="I364" s="48">
        <v>1</v>
      </c>
      <c r="J364" s="48">
        <v>251</v>
      </c>
      <c r="K364" s="48">
        <v>1</v>
      </c>
      <c r="N364" s="48">
        <v>0</v>
      </c>
      <c r="R364" s="49"/>
      <c r="S364" s="49"/>
      <c r="T364" s="49">
        <v>53570</v>
      </c>
      <c r="U364" s="49">
        <v>53570</v>
      </c>
      <c r="V364" s="49">
        <v>53570</v>
      </c>
      <c r="W364" s="49">
        <v>53570</v>
      </c>
      <c r="X364" s="48">
        <v>1</v>
      </c>
      <c r="Y364" s="48">
        <v>1</v>
      </c>
      <c r="Z364" s="48">
        <v>1</v>
      </c>
      <c r="AA364" s="156">
        <v>0</v>
      </c>
      <c r="AF364" s="48">
        <v>0</v>
      </c>
      <c r="AG364" s="49" t="s">
        <v>32</v>
      </c>
      <c r="AH364" s="48">
        <v>1</v>
      </c>
      <c r="AI364" s="48" t="s">
        <v>33</v>
      </c>
      <c r="AJ364" s="48" t="s">
        <v>33</v>
      </c>
      <c r="AK364" s="48" t="s">
        <v>33</v>
      </c>
      <c r="AL364" s="48" t="s">
        <v>34</v>
      </c>
      <c r="AN364" s="48">
        <v>0</v>
      </c>
      <c r="AO364" s="48">
        <v>0</v>
      </c>
      <c r="AP364" s="48">
        <v>0</v>
      </c>
      <c r="AQ364" s="48">
        <v>0</v>
      </c>
      <c r="AR364" s="48">
        <v>0</v>
      </c>
      <c r="AS364" s="48">
        <v>0</v>
      </c>
      <c r="AT364" s="48">
        <v>0</v>
      </c>
      <c r="AU364" s="48">
        <v>0</v>
      </c>
      <c r="AV364" s="48">
        <v>0</v>
      </c>
      <c r="AW364" s="48">
        <v>0</v>
      </c>
      <c r="AX364" s="48">
        <v>0</v>
      </c>
      <c r="AY364" s="48">
        <v>0</v>
      </c>
      <c r="AZ364" s="48">
        <v>0</v>
      </c>
      <c r="BA364" s="48">
        <v>0</v>
      </c>
      <c r="BB364" s="48">
        <v>0</v>
      </c>
    </row>
    <row r="365" spans="1:54" x14ac:dyDescent="0.35">
      <c r="A365" s="49">
        <v>45930</v>
      </c>
      <c r="B365" s="48">
        <v>1</v>
      </c>
      <c r="C365" s="50" t="s">
        <v>32</v>
      </c>
      <c r="D365" s="48" t="s">
        <v>31</v>
      </c>
      <c r="E365" s="48" t="s">
        <v>138</v>
      </c>
      <c r="F365" s="48" t="s">
        <v>139</v>
      </c>
      <c r="G365" s="49" t="s">
        <v>59</v>
      </c>
      <c r="H365" s="48" t="s">
        <v>158</v>
      </c>
      <c r="I365" s="48">
        <v>1</v>
      </c>
      <c r="J365" s="48">
        <v>252</v>
      </c>
      <c r="K365" s="48">
        <v>1</v>
      </c>
      <c r="N365" s="48">
        <v>0</v>
      </c>
      <c r="R365" s="49"/>
      <c r="S365" s="49"/>
      <c r="T365" s="49">
        <v>53600</v>
      </c>
      <c r="U365" s="49">
        <v>53600</v>
      </c>
      <c r="V365" s="49">
        <v>53600</v>
      </c>
      <c r="W365" s="49">
        <v>53600</v>
      </c>
      <c r="X365" s="48">
        <v>1</v>
      </c>
      <c r="Y365" s="48">
        <v>1</v>
      </c>
      <c r="Z365" s="48">
        <v>1</v>
      </c>
      <c r="AA365" s="156">
        <v>0</v>
      </c>
      <c r="AF365" s="48">
        <v>0</v>
      </c>
      <c r="AG365" s="49" t="s">
        <v>32</v>
      </c>
      <c r="AH365" s="48">
        <v>1</v>
      </c>
      <c r="AI365" s="48" t="s">
        <v>33</v>
      </c>
      <c r="AJ365" s="48" t="s">
        <v>33</v>
      </c>
      <c r="AK365" s="48" t="s">
        <v>33</v>
      </c>
      <c r="AL365" s="48" t="s">
        <v>34</v>
      </c>
      <c r="AN365" s="48">
        <v>0</v>
      </c>
      <c r="AO365" s="48">
        <v>0</v>
      </c>
      <c r="AP365" s="48">
        <v>0</v>
      </c>
      <c r="AQ365" s="48">
        <v>0</v>
      </c>
      <c r="AR365" s="48">
        <v>0</v>
      </c>
      <c r="AS365" s="48">
        <v>0</v>
      </c>
      <c r="AT365" s="48">
        <v>0</v>
      </c>
      <c r="AU365" s="48">
        <v>0</v>
      </c>
      <c r="AV365" s="48">
        <v>0</v>
      </c>
      <c r="AW365" s="48">
        <v>0</v>
      </c>
      <c r="AX365" s="48">
        <v>0</v>
      </c>
      <c r="AY365" s="48">
        <v>0</v>
      </c>
      <c r="AZ365" s="48">
        <v>0</v>
      </c>
      <c r="BA365" s="48">
        <v>0</v>
      </c>
      <c r="BB365" s="48">
        <v>0</v>
      </c>
    </row>
    <row r="366" spans="1:54" x14ac:dyDescent="0.35">
      <c r="A366" s="49">
        <v>45930</v>
      </c>
      <c r="B366" s="48">
        <v>1</v>
      </c>
      <c r="C366" s="50" t="s">
        <v>32</v>
      </c>
      <c r="D366" s="48" t="s">
        <v>31</v>
      </c>
      <c r="E366" s="48" t="s">
        <v>138</v>
      </c>
      <c r="F366" s="48" t="s">
        <v>139</v>
      </c>
      <c r="G366" s="49" t="s">
        <v>59</v>
      </c>
      <c r="H366" s="48" t="s">
        <v>158</v>
      </c>
      <c r="I366" s="48">
        <v>1</v>
      </c>
      <c r="J366" s="48">
        <v>253</v>
      </c>
      <c r="K366" s="48">
        <v>1</v>
      </c>
      <c r="N366" s="48">
        <v>0</v>
      </c>
      <c r="R366" s="49"/>
      <c r="S366" s="49"/>
      <c r="T366" s="49">
        <v>53631</v>
      </c>
      <c r="U366" s="49">
        <v>53631</v>
      </c>
      <c r="V366" s="49">
        <v>53631</v>
      </c>
      <c r="W366" s="49">
        <v>53631</v>
      </c>
      <c r="X366" s="48">
        <v>1</v>
      </c>
      <c r="Y366" s="48">
        <v>1</v>
      </c>
      <c r="Z366" s="48">
        <v>1</v>
      </c>
      <c r="AA366" s="156">
        <v>0</v>
      </c>
      <c r="AF366" s="48">
        <v>0</v>
      </c>
      <c r="AG366" s="49" t="s">
        <v>32</v>
      </c>
      <c r="AH366" s="48">
        <v>1</v>
      </c>
      <c r="AI366" s="48" t="s">
        <v>33</v>
      </c>
      <c r="AJ366" s="48" t="s">
        <v>33</v>
      </c>
      <c r="AK366" s="48" t="s">
        <v>33</v>
      </c>
      <c r="AL366" s="48" t="s">
        <v>34</v>
      </c>
      <c r="AN366" s="48">
        <v>0</v>
      </c>
      <c r="AO366" s="48">
        <v>0</v>
      </c>
      <c r="AP366" s="48">
        <v>0</v>
      </c>
      <c r="AQ366" s="48">
        <v>0</v>
      </c>
      <c r="AR366" s="48">
        <v>0</v>
      </c>
      <c r="AS366" s="48">
        <v>0</v>
      </c>
      <c r="AT366" s="48">
        <v>0</v>
      </c>
      <c r="AU366" s="48">
        <v>0</v>
      </c>
      <c r="AV366" s="48">
        <v>0</v>
      </c>
      <c r="AW366" s="48">
        <v>0</v>
      </c>
      <c r="AX366" s="48">
        <v>0</v>
      </c>
      <c r="AY366" s="48">
        <v>0</v>
      </c>
      <c r="AZ366" s="48">
        <v>0</v>
      </c>
      <c r="BA366" s="48">
        <v>0</v>
      </c>
      <c r="BB366" s="48">
        <v>0</v>
      </c>
    </row>
    <row r="367" spans="1:54" x14ac:dyDescent="0.35">
      <c r="A367" s="49">
        <v>45930</v>
      </c>
      <c r="B367" s="48">
        <v>1</v>
      </c>
      <c r="C367" s="50" t="s">
        <v>32</v>
      </c>
      <c r="D367" s="48" t="s">
        <v>31</v>
      </c>
      <c r="E367" s="48" t="s">
        <v>138</v>
      </c>
      <c r="F367" s="48" t="s">
        <v>139</v>
      </c>
      <c r="G367" s="49" t="s">
        <v>59</v>
      </c>
      <c r="H367" s="48" t="s">
        <v>158</v>
      </c>
      <c r="I367" s="48">
        <v>1</v>
      </c>
      <c r="J367" s="48">
        <v>254</v>
      </c>
      <c r="K367" s="48">
        <v>1</v>
      </c>
      <c r="N367" s="48">
        <v>0</v>
      </c>
      <c r="R367" s="49"/>
      <c r="S367" s="49"/>
      <c r="T367" s="49">
        <v>53661</v>
      </c>
      <c r="U367" s="49">
        <v>53661</v>
      </c>
      <c r="V367" s="49">
        <v>53661</v>
      </c>
      <c r="W367" s="49">
        <v>53661</v>
      </c>
      <c r="X367" s="48">
        <v>1</v>
      </c>
      <c r="Y367" s="48">
        <v>1</v>
      </c>
      <c r="Z367" s="48">
        <v>1</v>
      </c>
      <c r="AA367" s="156">
        <v>0</v>
      </c>
      <c r="AF367" s="48">
        <v>0</v>
      </c>
      <c r="AG367" s="49" t="s">
        <v>32</v>
      </c>
      <c r="AH367" s="48">
        <v>1</v>
      </c>
      <c r="AI367" s="48" t="s">
        <v>33</v>
      </c>
      <c r="AJ367" s="48" t="s">
        <v>33</v>
      </c>
      <c r="AK367" s="48" t="s">
        <v>33</v>
      </c>
      <c r="AL367" s="48" t="s">
        <v>34</v>
      </c>
      <c r="AN367" s="48">
        <v>0</v>
      </c>
      <c r="AO367" s="48">
        <v>0</v>
      </c>
      <c r="AP367" s="48">
        <v>0</v>
      </c>
      <c r="AQ367" s="48">
        <v>0</v>
      </c>
      <c r="AR367" s="48">
        <v>0</v>
      </c>
      <c r="AS367" s="48">
        <v>0</v>
      </c>
      <c r="AT367" s="48">
        <v>0</v>
      </c>
      <c r="AU367" s="48">
        <v>0</v>
      </c>
      <c r="AV367" s="48">
        <v>0</v>
      </c>
      <c r="AW367" s="48">
        <v>0</v>
      </c>
      <c r="AX367" s="48">
        <v>0</v>
      </c>
      <c r="AY367" s="48">
        <v>0</v>
      </c>
      <c r="AZ367" s="48">
        <v>0</v>
      </c>
      <c r="BA367" s="48">
        <v>0</v>
      </c>
      <c r="BB367" s="48">
        <v>0</v>
      </c>
    </row>
    <row r="368" spans="1:54" x14ac:dyDescent="0.35">
      <c r="A368" s="49">
        <v>45930</v>
      </c>
      <c r="B368" s="48">
        <v>1</v>
      </c>
      <c r="C368" s="50" t="s">
        <v>32</v>
      </c>
      <c r="D368" s="48" t="s">
        <v>31</v>
      </c>
      <c r="E368" s="48" t="s">
        <v>138</v>
      </c>
      <c r="F368" s="48" t="s">
        <v>139</v>
      </c>
      <c r="G368" s="49" t="s">
        <v>59</v>
      </c>
      <c r="H368" s="48" t="s">
        <v>158</v>
      </c>
      <c r="I368" s="48">
        <v>1</v>
      </c>
      <c r="J368" s="48">
        <v>255</v>
      </c>
      <c r="K368" s="48">
        <v>1</v>
      </c>
      <c r="N368" s="48">
        <v>0</v>
      </c>
      <c r="R368" s="49"/>
      <c r="S368" s="49"/>
      <c r="T368" s="49">
        <v>53692</v>
      </c>
      <c r="U368" s="49">
        <v>53692</v>
      </c>
      <c r="V368" s="49">
        <v>53692</v>
      </c>
      <c r="W368" s="49">
        <v>53692</v>
      </c>
      <c r="X368" s="48">
        <v>1</v>
      </c>
      <c r="Y368" s="48">
        <v>1</v>
      </c>
      <c r="Z368" s="48">
        <v>1</v>
      </c>
      <c r="AA368" s="156">
        <v>0</v>
      </c>
      <c r="AF368" s="48">
        <v>0</v>
      </c>
      <c r="AG368" s="49" t="s">
        <v>32</v>
      </c>
      <c r="AH368" s="48">
        <v>1</v>
      </c>
      <c r="AI368" s="48" t="s">
        <v>33</v>
      </c>
      <c r="AJ368" s="48" t="s">
        <v>33</v>
      </c>
      <c r="AK368" s="48" t="s">
        <v>33</v>
      </c>
      <c r="AL368" s="48" t="s">
        <v>34</v>
      </c>
      <c r="AN368" s="48">
        <v>0</v>
      </c>
      <c r="AO368" s="48">
        <v>0</v>
      </c>
      <c r="AP368" s="48">
        <v>0</v>
      </c>
      <c r="AQ368" s="48">
        <v>0</v>
      </c>
      <c r="AR368" s="48">
        <v>0</v>
      </c>
      <c r="AS368" s="48">
        <v>0</v>
      </c>
      <c r="AT368" s="48">
        <v>0</v>
      </c>
      <c r="AU368" s="48">
        <v>0</v>
      </c>
      <c r="AV368" s="48">
        <v>0</v>
      </c>
      <c r="AW368" s="48">
        <v>0</v>
      </c>
      <c r="AX368" s="48">
        <v>0</v>
      </c>
      <c r="AY368" s="48">
        <v>0</v>
      </c>
      <c r="AZ368" s="48">
        <v>0</v>
      </c>
      <c r="BA368" s="48">
        <v>0</v>
      </c>
      <c r="BB368" s="48">
        <v>0</v>
      </c>
    </row>
    <row r="369" spans="1:54" x14ac:dyDescent="0.35">
      <c r="A369" s="49">
        <v>45930</v>
      </c>
      <c r="B369" s="48">
        <v>1</v>
      </c>
      <c r="C369" s="50" t="s">
        <v>32</v>
      </c>
      <c r="D369" s="48" t="s">
        <v>31</v>
      </c>
      <c r="E369" s="48" t="s">
        <v>138</v>
      </c>
      <c r="F369" s="48" t="s">
        <v>139</v>
      </c>
      <c r="G369" s="49" t="s">
        <v>59</v>
      </c>
      <c r="H369" s="48" t="s">
        <v>158</v>
      </c>
      <c r="I369" s="48">
        <v>1</v>
      </c>
      <c r="J369" s="48">
        <v>256</v>
      </c>
      <c r="K369" s="48">
        <v>1</v>
      </c>
      <c r="N369" s="48">
        <v>0</v>
      </c>
      <c r="R369" s="49"/>
      <c r="S369" s="49"/>
      <c r="T369" s="49">
        <v>53723</v>
      </c>
      <c r="U369" s="49">
        <v>53723</v>
      </c>
      <c r="V369" s="49">
        <v>53723</v>
      </c>
      <c r="W369" s="49">
        <v>53723</v>
      </c>
      <c r="X369" s="48">
        <v>1</v>
      </c>
      <c r="Y369" s="48">
        <v>1</v>
      </c>
      <c r="Z369" s="48">
        <v>1</v>
      </c>
      <c r="AA369" s="156">
        <v>0</v>
      </c>
      <c r="AF369" s="48">
        <v>0</v>
      </c>
      <c r="AG369" s="49" t="s">
        <v>32</v>
      </c>
      <c r="AH369" s="48">
        <v>1</v>
      </c>
      <c r="AI369" s="48" t="s">
        <v>33</v>
      </c>
      <c r="AJ369" s="48" t="s">
        <v>33</v>
      </c>
      <c r="AK369" s="48" t="s">
        <v>33</v>
      </c>
      <c r="AL369" s="48" t="s">
        <v>34</v>
      </c>
      <c r="AN369" s="48">
        <v>0</v>
      </c>
      <c r="AO369" s="48">
        <v>0</v>
      </c>
      <c r="AP369" s="48">
        <v>0</v>
      </c>
      <c r="AQ369" s="48">
        <v>0</v>
      </c>
      <c r="AR369" s="48">
        <v>0</v>
      </c>
      <c r="AS369" s="48">
        <v>0</v>
      </c>
      <c r="AT369" s="48">
        <v>0</v>
      </c>
      <c r="AU369" s="48">
        <v>0</v>
      </c>
      <c r="AV369" s="48">
        <v>0</v>
      </c>
      <c r="AW369" s="48">
        <v>0</v>
      </c>
      <c r="AX369" s="48">
        <v>0</v>
      </c>
      <c r="AY369" s="48">
        <v>0</v>
      </c>
      <c r="AZ369" s="48">
        <v>0</v>
      </c>
      <c r="BA369" s="48">
        <v>0</v>
      </c>
      <c r="BB369" s="48">
        <v>0</v>
      </c>
    </row>
    <row r="370" spans="1:54" x14ac:dyDescent="0.35">
      <c r="A370" s="49">
        <v>45930</v>
      </c>
      <c r="B370" s="48">
        <v>1</v>
      </c>
      <c r="C370" s="50" t="s">
        <v>32</v>
      </c>
      <c r="D370" s="48" t="s">
        <v>31</v>
      </c>
      <c r="E370" s="48" t="s">
        <v>138</v>
      </c>
      <c r="F370" s="48" t="s">
        <v>139</v>
      </c>
      <c r="G370" s="49" t="s">
        <v>59</v>
      </c>
      <c r="H370" s="48" t="s">
        <v>158</v>
      </c>
      <c r="I370" s="48">
        <v>1</v>
      </c>
      <c r="J370" s="48">
        <v>257</v>
      </c>
      <c r="K370" s="48">
        <v>1</v>
      </c>
      <c r="N370" s="48">
        <v>0</v>
      </c>
      <c r="R370" s="49"/>
      <c r="S370" s="49"/>
      <c r="T370" s="49">
        <v>53751</v>
      </c>
      <c r="U370" s="49">
        <v>53751</v>
      </c>
      <c r="V370" s="49">
        <v>53751</v>
      </c>
      <c r="W370" s="49">
        <v>53751</v>
      </c>
      <c r="X370" s="48">
        <v>1</v>
      </c>
      <c r="Y370" s="48">
        <v>1</v>
      </c>
      <c r="Z370" s="48">
        <v>1</v>
      </c>
      <c r="AA370" s="156">
        <v>0</v>
      </c>
      <c r="AF370" s="48">
        <v>0</v>
      </c>
      <c r="AG370" s="49" t="s">
        <v>32</v>
      </c>
      <c r="AH370" s="48">
        <v>1</v>
      </c>
      <c r="AI370" s="48" t="s">
        <v>33</v>
      </c>
      <c r="AJ370" s="48" t="s">
        <v>33</v>
      </c>
      <c r="AK370" s="48" t="s">
        <v>33</v>
      </c>
      <c r="AL370" s="48" t="s">
        <v>34</v>
      </c>
      <c r="AN370" s="48">
        <v>0</v>
      </c>
      <c r="AO370" s="48">
        <v>0</v>
      </c>
      <c r="AP370" s="48">
        <v>0</v>
      </c>
      <c r="AQ370" s="48">
        <v>0</v>
      </c>
      <c r="AR370" s="48">
        <v>0</v>
      </c>
      <c r="AS370" s="48">
        <v>0</v>
      </c>
      <c r="AT370" s="48">
        <v>0</v>
      </c>
      <c r="AU370" s="48">
        <v>0</v>
      </c>
      <c r="AV370" s="48">
        <v>0</v>
      </c>
      <c r="AW370" s="48">
        <v>0</v>
      </c>
      <c r="AX370" s="48">
        <v>0</v>
      </c>
      <c r="AY370" s="48">
        <v>0</v>
      </c>
      <c r="AZ370" s="48">
        <v>0</v>
      </c>
      <c r="BA370" s="48">
        <v>0</v>
      </c>
      <c r="BB370" s="48">
        <v>0</v>
      </c>
    </row>
    <row r="371" spans="1:54" x14ac:dyDescent="0.35">
      <c r="A371" s="49">
        <v>45930</v>
      </c>
      <c r="B371" s="48">
        <v>1</v>
      </c>
      <c r="C371" s="50" t="s">
        <v>32</v>
      </c>
      <c r="D371" s="48" t="s">
        <v>31</v>
      </c>
      <c r="E371" s="48" t="s">
        <v>138</v>
      </c>
      <c r="F371" s="48" t="s">
        <v>139</v>
      </c>
      <c r="G371" s="49" t="s">
        <v>59</v>
      </c>
      <c r="H371" s="48" t="s">
        <v>158</v>
      </c>
      <c r="I371" s="48">
        <v>1</v>
      </c>
      <c r="J371" s="48">
        <v>258</v>
      </c>
      <c r="K371" s="48">
        <v>1</v>
      </c>
      <c r="N371" s="48">
        <v>0</v>
      </c>
      <c r="R371" s="49"/>
      <c r="S371" s="49"/>
      <c r="T371" s="49">
        <v>53782</v>
      </c>
      <c r="U371" s="49">
        <v>53782</v>
      </c>
      <c r="V371" s="49">
        <v>53782</v>
      </c>
      <c r="W371" s="49">
        <v>53782</v>
      </c>
      <c r="X371" s="48">
        <v>1</v>
      </c>
      <c r="Y371" s="48">
        <v>1</v>
      </c>
      <c r="Z371" s="48">
        <v>1</v>
      </c>
      <c r="AA371" s="156">
        <v>0</v>
      </c>
      <c r="AF371" s="48">
        <v>0</v>
      </c>
      <c r="AG371" s="49" t="s">
        <v>32</v>
      </c>
      <c r="AH371" s="48">
        <v>1</v>
      </c>
      <c r="AI371" s="48" t="s">
        <v>33</v>
      </c>
      <c r="AJ371" s="48" t="s">
        <v>33</v>
      </c>
      <c r="AK371" s="48" t="s">
        <v>33</v>
      </c>
      <c r="AL371" s="48" t="s">
        <v>34</v>
      </c>
      <c r="AN371" s="48">
        <v>0</v>
      </c>
      <c r="AO371" s="48">
        <v>0</v>
      </c>
      <c r="AP371" s="48">
        <v>0</v>
      </c>
      <c r="AQ371" s="48">
        <v>0</v>
      </c>
      <c r="AR371" s="48">
        <v>0</v>
      </c>
      <c r="AS371" s="48">
        <v>0</v>
      </c>
      <c r="AT371" s="48">
        <v>0</v>
      </c>
      <c r="AU371" s="48">
        <v>0</v>
      </c>
      <c r="AV371" s="48">
        <v>0</v>
      </c>
      <c r="AW371" s="48">
        <v>0</v>
      </c>
      <c r="AX371" s="48">
        <v>0</v>
      </c>
      <c r="AY371" s="48">
        <v>0</v>
      </c>
      <c r="AZ371" s="48">
        <v>0</v>
      </c>
      <c r="BA371" s="48">
        <v>0</v>
      </c>
      <c r="BB371" s="48">
        <v>0</v>
      </c>
    </row>
    <row r="372" spans="1:54" x14ac:dyDescent="0.35">
      <c r="A372" s="49">
        <v>45930</v>
      </c>
      <c r="B372" s="48">
        <v>1</v>
      </c>
      <c r="C372" s="50" t="s">
        <v>32</v>
      </c>
      <c r="D372" s="48" t="s">
        <v>31</v>
      </c>
      <c r="E372" s="48" t="s">
        <v>138</v>
      </c>
      <c r="F372" s="48" t="s">
        <v>139</v>
      </c>
      <c r="G372" s="49" t="s">
        <v>59</v>
      </c>
      <c r="H372" s="48" t="s">
        <v>158</v>
      </c>
      <c r="I372" s="48">
        <v>1</v>
      </c>
      <c r="J372" s="48">
        <v>259</v>
      </c>
      <c r="K372" s="48">
        <v>1</v>
      </c>
      <c r="N372" s="48">
        <v>0</v>
      </c>
      <c r="R372" s="49"/>
      <c r="S372" s="49"/>
      <c r="T372" s="49">
        <v>53812</v>
      </c>
      <c r="U372" s="49">
        <v>53812</v>
      </c>
      <c r="V372" s="49">
        <v>53812</v>
      </c>
      <c r="W372" s="49">
        <v>53812</v>
      </c>
      <c r="X372" s="48">
        <v>1</v>
      </c>
      <c r="Y372" s="48">
        <v>1</v>
      </c>
      <c r="Z372" s="48">
        <v>1</v>
      </c>
      <c r="AA372" s="156">
        <v>0</v>
      </c>
      <c r="AF372" s="48">
        <v>0</v>
      </c>
      <c r="AG372" s="49" t="s">
        <v>32</v>
      </c>
      <c r="AH372" s="48">
        <v>1</v>
      </c>
      <c r="AI372" s="48" t="s">
        <v>33</v>
      </c>
      <c r="AJ372" s="48" t="s">
        <v>33</v>
      </c>
      <c r="AK372" s="48" t="s">
        <v>33</v>
      </c>
      <c r="AL372" s="48" t="s">
        <v>34</v>
      </c>
      <c r="AN372" s="48">
        <v>0</v>
      </c>
      <c r="AO372" s="48">
        <v>0</v>
      </c>
      <c r="AP372" s="48">
        <v>0</v>
      </c>
      <c r="AQ372" s="48">
        <v>0</v>
      </c>
      <c r="AR372" s="48">
        <v>0</v>
      </c>
      <c r="AS372" s="48">
        <v>0</v>
      </c>
      <c r="AT372" s="48">
        <v>0</v>
      </c>
      <c r="AU372" s="48">
        <v>0</v>
      </c>
      <c r="AV372" s="48">
        <v>0</v>
      </c>
      <c r="AW372" s="48">
        <v>0</v>
      </c>
      <c r="AX372" s="48">
        <v>0</v>
      </c>
      <c r="AY372" s="48">
        <v>0</v>
      </c>
      <c r="AZ372" s="48">
        <v>0</v>
      </c>
      <c r="BA372" s="48">
        <v>0</v>
      </c>
      <c r="BB372" s="48">
        <v>0</v>
      </c>
    </row>
    <row r="373" spans="1:54" x14ac:dyDescent="0.35">
      <c r="A373" s="49">
        <v>45930</v>
      </c>
      <c r="B373" s="48">
        <v>1</v>
      </c>
      <c r="C373" s="50" t="s">
        <v>32</v>
      </c>
      <c r="D373" s="48" t="s">
        <v>31</v>
      </c>
      <c r="E373" s="48" t="s">
        <v>138</v>
      </c>
      <c r="F373" s="48" t="s">
        <v>139</v>
      </c>
      <c r="G373" s="49" t="s">
        <v>59</v>
      </c>
      <c r="H373" s="48" t="s">
        <v>158</v>
      </c>
      <c r="I373" s="48">
        <v>1</v>
      </c>
      <c r="J373" s="48">
        <v>260</v>
      </c>
      <c r="K373" s="48">
        <v>1</v>
      </c>
      <c r="N373" s="48">
        <v>0</v>
      </c>
      <c r="R373" s="49"/>
      <c r="S373" s="49"/>
      <c r="T373" s="49">
        <v>53843</v>
      </c>
      <c r="U373" s="49">
        <v>53843</v>
      </c>
      <c r="V373" s="49">
        <v>53843</v>
      </c>
      <c r="W373" s="49">
        <v>53843</v>
      </c>
      <c r="X373" s="48">
        <v>1</v>
      </c>
      <c r="Y373" s="48">
        <v>1</v>
      </c>
      <c r="Z373" s="48">
        <v>1</v>
      </c>
      <c r="AA373" s="156">
        <v>0</v>
      </c>
      <c r="AF373" s="48">
        <v>0</v>
      </c>
      <c r="AG373" s="49" t="s">
        <v>32</v>
      </c>
      <c r="AH373" s="48">
        <v>1</v>
      </c>
      <c r="AI373" s="48" t="s">
        <v>33</v>
      </c>
      <c r="AJ373" s="48" t="s">
        <v>33</v>
      </c>
      <c r="AK373" s="48" t="s">
        <v>33</v>
      </c>
      <c r="AL373" s="48" t="s">
        <v>34</v>
      </c>
      <c r="AN373" s="48">
        <v>0</v>
      </c>
      <c r="AO373" s="48">
        <v>0</v>
      </c>
      <c r="AP373" s="48">
        <v>0</v>
      </c>
      <c r="AQ373" s="48">
        <v>0</v>
      </c>
      <c r="AR373" s="48">
        <v>0</v>
      </c>
      <c r="AS373" s="48">
        <v>0</v>
      </c>
      <c r="AT373" s="48">
        <v>0</v>
      </c>
      <c r="AU373" s="48">
        <v>0</v>
      </c>
      <c r="AV373" s="48">
        <v>0</v>
      </c>
      <c r="AW373" s="48">
        <v>0</v>
      </c>
      <c r="AX373" s="48">
        <v>0</v>
      </c>
      <c r="AY373" s="48">
        <v>0</v>
      </c>
      <c r="AZ373" s="48">
        <v>0</v>
      </c>
      <c r="BA373" s="48">
        <v>0</v>
      </c>
      <c r="BB373" s="48">
        <v>0</v>
      </c>
    </row>
    <row r="374" spans="1:54" x14ac:dyDescent="0.35">
      <c r="A374" s="49">
        <v>45930</v>
      </c>
      <c r="B374" s="48">
        <v>1</v>
      </c>
      <c r="C374" s="50" t="s">
        <v>32</v>
      </c>
      <c r="D374" s="48" t="s">
        <v>31</v>
      </c>
      <c r="E374" s="48" t="s">
        <v>138</v>
      </c>
      <c r="F374" s="48" t="s">
        <v>139</v>
      </c>
      <c r="G374" s="49" t="s">
        <v>59</v>
      </c>
      <c r="H374" s="48" t="s">
        <v>158</v>
      </c>
      <c r="I374" s="48">
        <v>1</v>
      </c>
      <c r="J374" s="48">
        <v>261</v>
      </c>
      <c r="K374" s="48">
        <v>1</v>
      </c>
      <c r="N374" s="48">
        <v>0</v>
      </c>
      <c r="R374" s="49"/>
      <c r="S374" s="49"/>
      <c r="T374" s="49">
        <v>53873</v>
      </c>
      <c r="U374" s="49">
        <v>53873</v>
      </c>
      <c r="V374" s="49">
        <v>53873</v>
      </c>
      <c r="W374" s="49">
        <v>53873</v>
      </c>
      <c r="X374" s="48">
        <v>1</v>
      </c>
      <c r="Y374" s="48">
        <v>1</v>
      </c>
      <c r="Z374" s="48">
        <v>1</v>
      </c>
      <c r="AA374" s="156">
        <v>0</v>
      </c>
      <c r="AF374" s="48">
        <v>0</v>
      </c>
      <c r="AG374" s="49" t="s">
        <v>32</v>
      </c>
      <c r="AH374" s="48">
        <v>1</v>
      </c>
      <c r="AI374" s="48" t="s">
        <v>33</v>
      </c>
      <c r="AJ374" s="48" t="s">
        <v>33</v>
      </c>
      <c r="AK374" s="48" t="s">
        <v>33</v>
      </c>
      <c r="AL374" s="48" t="s">
        <v>34</v>
      </c>
      <c r="AN374" s="48">
        <v>0</v>
      </c>
      <c r="AO374" s="48">
        <v>0</v>
      </c>
      <c r="AP374" s="48">
        <v>0</v>
      </c>
      <c r="AQ374" s="48">
        <v>0</v>
      </c>
      <c r="AR374" s="48">
        <v>0</v>
      </c>
      <c r="AS374" s="48">
        <v>0</v>
      </c>
      <c r="AT374" s="48">
        <v>0</v>
      </c>
      <c r="AU374" s="48">
        <v>0</v>
      </c>
      <c r="AV374" s="48">
        <v>0</v>
      </c>
      <c r="AW374" s="48">
        <v>0</v>
      </c>
      <c r="AX374" s="48">
        <v>0</v>
      </c>
      <c r="AY374" s="48">
        <v>0</v>
      </c>
      <c r="AZ374" s="48">
        <v>0</v>
      </c>
      <c r="BA374" s="48">
        <v>0</v>
      </c>
      <c r="BB374" s="48">
        <v>0</v>
      </c>
    </row>
    <row r="375" spans="1:54" x14ac:dyDescent="0.35">
      <c r="A375" s="49">
        <v>45930</v>
      </c>
      <c r="B375" s="48">
        <v>1</v>
      </c>
      <c r="C375" s="50" t="s">
        <v>32</v>
      </c>
      <c r="D375" s="48" t="s">
        <v>31</v>
      </c>
      <c r="E375" s="48" t="s">
        <v>138</v>
      </c>
      <c r="F375" s="48" t="s">
        <v>139</v>
      </c>
      <c r="G375" s="49" t="s">
        <v>59</v>
      </c>
      <c r="H375" s="48" t="s">
        <v>158</v>
      </c>
      <c r="I375" s="48">
        <v>1</v>
      </c>
      <c r="J375" s="48">
        <v>262</v>
      </c>
      <c r="K375" s="48">
        <v>1</v>
      </c>
      <c r="N375" s="48">
        <v>0</v>
      </c>
      <c r="R375" s="49"/>
      <c r="S375" s="49"/>
      <c r="T375" s="49">
        <v>53904</v>
      </c>
      <c r="U375" s="49">
        <v>53904</v>
      </c>
      <c r="V375" s="49">
        <v>53904</v>
      </c>
      <c r="W375" s="49">
        <v>53904</v>
      </c>
      <c r="X375" s="48">
        <v>1</v>
      </c>
      <c r="Y375" s="48">
        <v>1</v>
      </c>
      <c r="Z375" s="48">
        <v>1</v>
      </c>
      <c r="AA375" s="156">
        <v>0</v>
      </c>
      <c r="AF375" s="48">
        <v>0</v>
      </c>
      <c r="AG375" s="49" t="s">
        <v>32</v>
      </c>
      <c r="AH375" s="48">
        <v>1</v>
      </c>
      <c r="AI375" s="48" t="s">
        <v>33</v>
      </c>
      <c r="AJ375" s="48" t="s">
        <v>33</v>
      </c>
      <c r="AK375" s="48" t="s">
        <v>33</v>
      </c>
      <c r="AL375" s="48" t="s">
        <v>34</v>
      </c>
      <c r="AN375" s="48">
        <v>0</v>
      </c>
      <c r="AO375" s="48">
        <v>0</v>
      </c>
      <c r="AP375" s="48">
        <v>0</v>
      </c>
      <c r="AQ375" s="48">
        <v>0</v>
      </c>
      <c r="AR375" s="48">
        <v>0</v>
      </c>
      <c r="AS375" s="48">
        <v>0</v>
      </c>
      <c r="AT375" s="48">
        <v>0</v>
      </c>
      <c r="AU375" s="48">
        <v>0</v>
      </c>
      <c r="AV375" s="48">
        <v>0</v>
      </c>
      <c r="AW375" s="48">
        <v>0</v>
      </c>
      <c r="AX375" s="48">
        <v>0</v>
      </c>
      <c r="AY375" s="48">
        <v>0</v>
      </c>
      <c r="AZ375" s="48">
        <v>0</v>
      </c>
      <c r="BA375" s="48">
        <v>0</v>
      </c>
      <c r="BB375" s="48">
        <v>0</v>
      </c>
    </row>
    <row r="376" spans="1:54" x14ac:dyDescent="0.35">
      <c r="A376" s="49">
        <v>45930</v>
      </c>
      <c r="B376" s="48">
        <v>1</v>
      </c>
      <c r="C376" s="50" t="s">
        <v>32</v>
      </c>
      <c r="D376" s="48" t="s">
        <v>31</v>
      </c>
      <c r="E376" s="48" t="s">
        <v>138</v>
      </c>
      <c r="F376" s="48" t="s">
        <v>139</v>
      </c>
      <c r="G376" s="49" t="s">
        <v>59</v>
      </c>
      <c r="H376" s="48" t="s">
        <v>158</v>
      </c>
      <c r="I376" s="48">
        <v>1</v>
      </c>
      <c r="J376" s="48">
        <v>263</v>
      </c>
      <c r="K376" s="48">
        <v>1</v>
      </c>
      <c r="N376" s="48">
        <v>0</v>
      </c>
      <c r="R376" s="49"/>
      <c r="S376" s="49"/>
      <c r="T376" s="49">
        <v>53935</v>
      </c>
      <c r="U376" s="49">
        <v>53935</v>
      </c>
      <c r="V376" s="49">
        <v>53935</v>
      </c>
      <c r="W376" s="49">
        <v>53935</v>
      </c>
      <c r="X376" s="48">
        <v>1</v>
      </c>
      <c r="Y376" s="48">
        <v>1</v>
      </c>
      <c r="Z376" s="48">
        <v>1</v>
      </c>
      <c r="AA376" s="156">
        <v>0</v>
      </c>
      <c r="AF376" s="48">
        <v>0</v>
      </c>
      <c r="AG376" s="49" t="s">
        <v>32</v>
      </c>
      <c r="AH376" s="48">
        <v>1</v>
      </c>
      <c r="AI376" s="48" t="s">
        <v>33</v>
      </c>
      <c r="AJ376" s="48" t="s">
        <v>33</v>
      </c>
      <c r="AK376" s="48" t="s">
        <v>33</v>
      </c>
      <c r="AL376" s="48" t="s">
        <v>34</v>
      </c>
      <c r="AN376" s="48">
        <v>0</v>
      </c>
      <c r="AO376" s="48">
        <v>0</v>
      </c>
      <c r="AP376" s="48">
        <v>0</v>
      </c>
      <c r="AQ376" s="48">
        <v>0</v>
      </c>
      <c r="AR376" s="48">
        <v>0</v>
      </c>
      <c r="AS376" s="48">
        <v>0</v>
      </c>
      <c r="AT376" s="48">
        <v>0</v>
      </c>
      <c r="AU376" s="48">
        <v>0</v>
      </c>
      <c r="AV376" s="48">
        <v>0</v>
      </c>
      <c r="AW376" s="48">
        <v>0</v>
      </c>
      <c r="AX376" s="48">
        <v>0</v>
      </c>
      <c r="AY376" s="48">
        <v>0</v>
      </c>
      <c r="AZ376" s="48">
        <v>0</v>
      </c>
      <c r="BA376" s="48">
        <v>0</v>
      </c>
      <c r="BB376" s="48">
        <v>0</v>
      </c>
    </row>
    <row r="377" spans="1:54" x14ac:dyDescent="0.35">
      <c r="A377" s="49">
        <v>45930</v>
      </c>
      <c r="B377" s="48">
        <v>1</v>
      </c>
      <c r="C377" s="50" t="s">
        <v>32</v>
      </c>
      <c r="D377" s="48" t="s">
        <v>31</v>
      </c>
      <c r="E377" s="48" t="s">
        <v>138</v>
      </c>
      <c r="F377" s="48" t="s">
        <v>139</v>
      </c>
      <c r="G377" s="49" t="s">
        <v>59</v>
      </c>
      <c r="H377" s="48" t="s">
        <v>158</v>
      </c>
      <c r="I377" s="48">
        <v>1</v>
      </c>
      <c r="J377" s="48">
        <v>264</v>
      </c>
      <c r="K377" s="48">
        <v>1</v>
      </c>
      <c r="N377" s="48">
        <v>0</v>
      </c>
      <c r="R377" s="49"/>
      <c r="S377" s="49"/>
      <c r="T377" s="49">
        <v>53965</v>
      </c>
      <c r="U377" s="49">
        <v>53965</v>
      </c>
      <c r="V377" s="49">
        <v>53965</v>
      </c>
      <c r="W377" s="49">
        <v>53965</v>
      </c>
      <c r="X377" s="48">
        <v>1</v>
      </c>
      <c r="Y377" s="48">
        <v>1</v>
      </c>
      <c r="Z377" s="48">
        <v>1</v>
      </c>
      <c r="AA377" s="156">
        <v>0</v>
      </c>
      <c r="AF377" s="48">
        <v>0</v>
      </c>
      <c r="AG377" s="49" t="s">
        <v>32</v>
      </c>
      <c r="AH377" s="48">
        <v>1</v>
      </c>
      <c r="AI377" s="48" t="s">
        <v>33</v>
      </c>
      <c r="AJ377" s="48" t="s">
        <v>33</v>
      </c>
      <c r="AK377" s="48" t="s">
        <v>33</v>
      </c>
      <c r="AL377" s="48" t="s">
        <v>34</v>
      </c>
      <c r="AN377" s="48">
        <v>0</v>
      </c>
      <c r="AO377" s="48">
        <v>0</v>
      </c>
      <c r="AP377" s="48">
        <v>0</v>
      </c>
      <c r="AQ377" s="48">
        <v>0</v>
      </c>
      <c r="AR377" s="48">
        <v>0</v>
      </c>
      <c r="AS377" s="48">
        <v>0</v>
      </c>
      <c r="AT377" s="48">
        <v>0</v>
      </c>
      <c r="AU377" s="48">
        <v>0</v>
      </c>
      <c r="AV377" s="48">
        <v>0</v>
      </c>
      <c r="AW377" s="48">
        <v>0</v>
      </c>
      <c r="AX377" s="48">
        <v>0</v>
      </c>
      <c r="AY377" s="48">
        <v>0</v>
      </c>
      <c r="AZ377" s="48">
        <v>0</v>
      </c>
      <c r="BA377" s="48">
        <v>0</v>
      </c>
      <c r="BB377" s="48">
        <v>0</v>
      </c>
    </row>
    <row r="378" spans="1:54" x14ac:dyDescent="0.35">
      <c r="A378" s="49">
        <v>45930</v>
      </c>
      <c r="B378" s="48">
        <v>1</v>
      </c>
      <c r="C378" s="50" t="s">
        <v>32</v>
      </c>
      <c r="D378" s="48" t="s">
        <v>31</v>
      </c>
      <c r="E378" s="48" t="s">
        <v>138</v>
      </c>
      <c r="F378" s="48" t="s">
        <v>139</v>
      </c>
      <c r="G378" s="49" t="s">
        <v>59</v>
      </c>
      <c r="H378" s="48" t="s">
        <v>158</v>
      </c>
      <c r="I378" s="48">
        <v>1</v>
      </c>
      <c r="J378" s="48">
        <v>265</v>
      </c>
      <c r="K378" s="48">
        <v>1</v>
      </c>
      <c r="N378" s="48">
        <v>0</v>
      </c>
      <c r="R378" s="49"/>
      <c r="S378" s="49"/>
      <c r="T378" s="49">
        <v>53996</v>
      </c>
      <c r="U378" s="49">
        <v>53996</v>
      </c>
      <c r="V378" s="49">
        <v>53996</v>
      </c>
      <c r="W378" s="49">
        <v>53996</v>
      </c>
      <c r="X378" s="48">
        <v>1</v>
      </c>
      <c r="Y378" s="48">
        <v>1</v>
      </c>
      <c r="Z378" s="48">
        <v>1</v>
      </c>
      <c r="AA378" s="156">
        <v>0</v>
      </c>
      <c r="AF378" s="48">
        <v>0</v>
      </c>
      <c r="AG378" s="49" t="s">
        <v>32</v>
      </c>
      <c r="AH378" s="48">
        <v>1</v>
      </c>
      <c r="AI378" s="48" t="s">
        <v>33</v>
      </c>
      <c r="AJ378" s="48" t="s">
        <v>33</v>
      </c>
      <c r="AK378" s="48" t="s">
        <v>33</v>
      </c>
      <c r="AL378" s="48" t="s">
        <v>34</v>
      </c>
      <c r="AN378" s="48">
        <v>0</v>
      </c>
      <c r="AO378" s="48">
        <v>0</v>
      </c>
      <c r="AP378" s="48">
        <v>0</v>
      </c>
      <c r="AQ378" s="48">
        <v>0</v>
      </c>
      <c r="AR378" s="48">
        <v>0</v>
      </c>
      <c r="AS378" s="48">
        <v>0</v>
      </c>
      <c r="AT378" s="48">
        <v>0</v>
      </c>
      <c r="AU378" s="48">
        <v>0</v>
      </c>
      <c r="AV378" s="48">
        <v>0</v>
      </c>
      <c r="AW378" s="48">
        <v>0</v>
      </c>
      <c r="AX378" s="48">
        <v>0</v>
      </c>
      <c r="AY378" s="48">
        <v>0</v>
      </c>
      <c r="AZ378" s="48">
        <v>0</v>
      </c>
      <c r="BA378" s="48">
        <v>0</v>
      </c>
      <c r="BB378" s="48">
        <v>0</v>
      </c>
    </row>
    <row r="379" spans="1:54" x14ac:dyDescent="0.35">
      <c r="A379" s="49">
        <v>45930</v>
      </c>
      <c r="B379" s="48">
        <v>1</v>
      </c>
      <c r="C379" s="50" t="s">
        <v>32</v>
      </c>
      <c r="D379" s="48" t="s">
        <v>31</v>
      </c>
      <c r="E379" s="48" t="s">
        <v>138</v>
      </c>
      <c r="F379" s="48" t="s">
        <v>139</v>
      </c>
      <c r="G379" s="49" t="s">
        <v>59</v>
      </c>
      <c r="H379" s="48" t="s">
        <v>158</v>
      </c>
      <c r="I379" s="48">
        <v>1</v>
      </c>
      <c r="J379" s="48">
        <v>266</v>
      </c>
      <c r="K379" s="48">
        <v>1</v>
      </c>
      <c r="N379" s="48">
        <v>0</v>
      </c>
      <c r="R379" s="49"/>
      <c r="S379" s="49"/>
      <c r="T379" s="49">
        <v>54026</v>
      </c>
      <c r="U379" s="49">
        <v>54026</v>
      </c>
      <c r="V379" s="49">
        <v>54026</v>
      </c>
      <c r="W379" s="49">
        <v>54026</v>
      </c>
      <c r="X379" s="48">
        <v>1</v>
      </c>
      <c r="Y379" s="48">
        <v>1</v>
      </c>
      <c r="Z379" s="48">
        <v>1</v>
      </c>
      <c r="AA379" s="156">
        <v>0</v>
      </c>
      <c r="AF379" s="48">
        <v>0</v>
      </c>
      <c r="AG379" s="49" t="s">
        <v>32</v>
      </c>
      <c r="AH379" s="48">
        <v>1</v>
      </c>
      <c r="AI379" s="48" t="s">
        <v>33</v>
      </c>
      <c r="AJ379" s="48" t="s">
        <v>33</v>
      </c>
      <c r="AK379" s="48" t="s">
        <v>33</v>
      </c>
      <c r="AL379" s="48" t="s">
        <v>34</v>
      </c>
      <c r="AN379" s="48">
        <v>0</v>
      </c>
      <c r="AO379" s="48">
        <v>0</v>
      </c>
      <c r="AP379" s="48">
        <v>0</v>
      </c>
      <c r="AQ379" s="48">
        <v>0</v>
      </c>
      <c r="AR379" s="48">
        <v>0</v>
      </c>
      <c r="AS379" s="48">
        <v>0</v>
      </c>
      <c r="AT379" s="48">
        <v>0</v>
      </c>
      <c r="AU379" s="48">
        <v>0</v>
      </c>
      <c r="AV379" s="48">
        <v>0</v>
      </c>
      <c r="AW379" s="48">
        <v>0</v>
      </c>
      <c r="AX379" s="48">
        <v>0</v>
      </c>
      <c r="AY379" s="48">
        <v>0</v>
      </c>
      <c r="AZ379" s="48">
        <v>0</v>
      </c>
      <c r="BA379" s="48">
        <v>0</v>
      </c>
      <c r="BB379" s="48">
        <v>0</v>
      </c>
    </row>
    <row r="380" spans="1:54" x14ac:dyDescent="0.35">
      <c r="A380" s="49">
        <v>45930</v>
      </c>
      <c r="B380" s="48">
        <v>1</v>
      </c>
      <c r="C380" s="50" t="s">
        <v>32</v>
      </c>
      <c r="D380" s="48" t="s">
        <v>31</v>
      </c>
      <c r="E380" s="48" t="s">
        <v>138</v>
      </c>
      <c r="F380" s="48" t="s">
        <v>139</v>
      </c>
      <c r="G380" s="49" t="s">
        <v>59</v>
      </c>
      <c r="H380" s="48" t="s">
        <v>158</v>
      </c>
      <c r="I380" s="48">
        <v>1</v>
      </c>
      <c r="J380" s="48">
        <v>267</v>
      </c>
      <c r="K380" s="48">
        <v>1</v>
      </c>
      <c r="N380" s="48">
        <v>0</v>
      </c>
      <c r="R380" s="49"/>
      <c r="S380" s="49"/>
      <c r="T380" s="49">
        <v>54057</v>
      </c>
      <c r="U380" s="49">
        <v>54057</v>
      </c>
      <c r="V380" s="49">
        <v>54057</v>
      </c>
      <c r="W380" s="49">
        <v>54057</v>
      </c>
      <c r="X380" s="48">
        <v>1</v>
      </c>
      <c r="Y380" s="48">
        <v>1</v>
      </c>
      <c r="Z380" s="48">
        <v>1</v>
      </c>
      <c r="AA380" s="156">
        <v>0</v>
      </c>
      <c r="AF380" s="48">
        <v>0</v>
      </c>
      <c r="AG380" s="49" t="s">
        <v>32</v>
      </c>
      <c r="AH380" s="48">
        <v>1</v>
      </c>
      <c r="AI380" s="48" t="s">
        <v>33</v>
      </c>
      <c r="AJ380" s="48" t="s">
        <v>33</v>
      </c>
      <c r="AK380" s="48" t="s">
        <v>33</v>
      </c>
      <c r="AL380" s="48" t="s">
        <v>34</v>
      </c>
      <c r="AN380" s="48">
        <v>0</v>
      </c>
      <c r="AO380" s="48">
        <v>0</v>
      </c>
      <c r="AP380" s="48">
        <v>0</v>
      </c>
      <c r="AQ380" s="48">
        <v>0</v>
      </c>
      <c r="AR380" s="48">
        <v>0</v>
      </c>
      <c r="AS380" s="48">
        <v>0</v>
      </c>
      <c r="AT380" s="48">
        <v>0</v>
      </c>
      <c r="AU380" s="48">
        <v>0</v>
      </c>
      <c r="AV380" s="48">
        <v>0</v>
      </c>
      <c r="AW380" s="48">
        <v>0</v>
      </c>
      <c r="AX380" s="48">
        <v>0</v>
      </c>
      <c r="AY380" s="48">
        <v>0</v>
      </c>
      <c r="AZ380" s="48">
        <v>0</v>
      </c>
      <c r="BA380" s="48">
        <v>0</v>
      </c>
      <c r="BB380" s="48">
        <v>0</v>
      </c>
    </row>
    <row r="381" spans="1:54" x14ac:dyDescent="0.35">
      <c r="A381" s="49">
        <v>45930</v>
      </c>
      <c r="B381" s="48">
        <v>1</v>
      </c>
      <c r="C381" s="50" t="s">
        <v>32</v>
      </c>
      <c r="D381" s="48" t="s">
        <v>31</v>
      </c>
      <c r="E381" s="48" t="s">
        <v>138</v>
      </c>
      <c r="F381" s="48" t="s">
        <v>139</v>
      </c>
      <c r="G381" s="49" t="s">
        <v>59</v>
      </c>
      <c r="H381" s="48" t="s">
        <v>158</v>
      </c>
      <c r="I381" s="48">
        <v>1</v>
      </c>
      <c r="J381" s="48">
        <v>268</v>
      </c>
      <c r="K381" s="48">
        <v>1</v>
      </c>
      <c r="N381" s="48">
        <v>0</v>
      </c>
      <c r="R381" s="49"/>
      <c r="S381" s="49"/>
      <c r="T381" s="49">
        <v>54088</v>
      </c>
      <c r="U381" s="49">
        <v>54088</v>
      </c>
      <c r="V381" s="49">
        <v>54088</v>
      </c>
      <c r="W381" s="49">
        <v>54088</v>
      </c>
      <c r="X381" s="48">
        <v>1</v>
      </c>
      <c r="Y381" s="48">
        <v>1</v>
      </c>
      <c r="Z381" s="48">
        <v>1</v>
      </c>
      <c r="AA381" s="156">
        <v>0</v>
      </c>
      <c r="AF381" s="48">
        <v>0</v>
      </c>
      <c r="AG381" s="49" t="s">
        <v>32</v>
      </c>
      <c r="AH381" s="48">
        <v>1</v>
      </c>
      <c r="AI381" s="48" t="s">
        <v>33</v>
      </c>
      <c r="AJ381" s="48" t="s">
        <v>33</v>
      </c>
      <c r="AK381" s="48" t="s">
        <v>33</v>
      </c>
      <c r="AL381" s="48" t="s">
        <v>34</v>
      </c>
      <c r="AN381" s="48">
        <v>0</v>
      </c>
      <c r="AO381" s="48">
        <v>0</v>
      </c>
      <c r="AP381" s="48">
        <v>0</v>
      </c>
      <c r="AQ381" s="48">
        <v>0</v>
      </c>
      <c r="AR381" s="48">
        <v>0</v>
      </c>
      <c r="AS381" s="48">
        <v>0</v>
      </c>
      <c r="AT381" s="48">
        <v>0</v>
      </c>
      <c r="AU381" s="48">
        <v>0</v>
      </c>
      <c r="AV381" s="48">
        <v>0</v>
      </c>
      <c r="AW381" s="48">
        <v>0</v>
      </c>
      <c r="AX381" s="48">
        <v>0</v>
      </c>
      <c r="AY381" s="48">
        <v>0</v>
      </c>
      <c r="AZ381" s="48">
        <v>0</v>
      </c>
      <c r="BA381" s="48">
        <v>0</v>
      </c>
      <c r="BB381" s="48">
        <v>0</v>
      </c>
    </row>
    <row r="382" spans="1:54" x14ac:dyDescent="0.35">
      <c r="A382" s="49">
        <v>45930</v>
      </c>
      <c r="B382" s="48">
        <v>1</v>
      </c>
      <c r="C382" s="50" t="s">
        <v>32</v>
      </c>
      <c r="D382" s="48" t="s">
        <v>31</v>
      </c>
      <c r="E382" s="48" t="s">
        <v>138</v>
      </c>
      <c r="F382" s="48" t="s">
        <v>139</v>
      </c>
      <c r="G382" s="49" t="s">
        <v>59</v>
      </c>
      <c r="H382" s="48" t="s">
        <v>158</v>
      </c>
      <c r="I382" s="48">
        <v>1</v>
      </c>
      <c r="J382" s="48">
        <v>269</v>
      </c>
      <c r="K382" s="48">
        <v>1</v>
      </c>
      <c r="N382" s="48">
        <v>0</v>
      </c>
      <c r="R382" s="49"/>
      <c r="S382" s="49"/>
      <c r="T382" s="49">
        <v>54117</v>
      </c>
      <c r="U382" s="49">
        <v>54117</v>
      </c>
      <c r="V382" s="49">
        <v>54117</v>
      </c>
      <c r="W382" s="49">
        <v>54117</v>
      </c>
      <c r="X382" s="48">
        <v>1</v>
      </c>
      <c r="Y382" s="48">
        <v>1</v>
      </c>
      <c r="Z382" s="48">
        <v>1</v>
      </c>
      <c r="AA382" s="156">
        <v>0</v>
      </c>
      <c r="AF382" s="48">
        <v>0</v>
      </c>
      <c r="AG382" s="49" t="s">
        <v>32</v>
      </c>
      <c r="AH382" s="48">
        <v>1</v>
      </c>
      <c r="AI382" s="48" t="s">
        <v>33</v>
      </c>
      <c r="AJ382" s="48" t="s">
        <v>33</v>
      </c>
      <c r="AK382" s="48" t="s">
        <v>33</v>
      </c>
      <c r="AL382" s="48" t="s">
        <v>34</v>
      </c>
      <c r="AN382" s="48">
        <v>0</v>
      </c>
      <c r="AO382" s="48">
        <v>0</v>
      </c>
      <c r="AP382" s="48">
        <v>0</v>
      </c>
      <c r="AQ382" s="48">
        <v>0</v>
      </c>
      <c r="AR382" s="48">
        <v>0</v>
      </c>
      <c r="AS382" s="48">
        <v>0</v>
      </c>
      <c r="AT382" s="48">
        <v>0</v>
      </c>
      <c r="AU382" s="48">
        <v>0</v>
      </c>
      <c r="AV382" s="48">
        <v>0</v>
      </c>
      <c r="AW382" s="48">
        <v>0</v>
      </c>
      <c r="AX382" s="48">
        <v>0</v>
      </c>
      <c r="AY382" s="48">
        <v>0</v>
      </c>
      <c r="AZ382" s="48">
        <v>0</v>
      </c>
      <c r="BA382" s="48">
        <v>0</v>
      </c>
      <c r="BB382" s="48">
        <v>0</v>
      </c>
    </row>
    <row r="383" spans="1:54" x14ac:dyDescent="0.35">
      <c r="A383" s="49">
        <v>45930</v>
      </c>
      <c r="B383" s="48">
        <v>1</v>
      </c>
      <c r="C383" s="50" t="s">
        <v>32</v>
      </c>
      <c r="D383" s="48" t="s">
        <v>31</v>
      </c>
      <c r="E383" s="48" t="s">
        <v>138</v>
      </c>
      <c r="F383" s="48" t="s">
        <v>139</v>
      </c>
      <c r="G383" s="49" t="s">
        <v>59</v>
      </c>
      <c r="H383" s="48" t="s">
        <v>158</v>
      </c>
      <c r="I383" s="48">
        <v>1</v>
      </c>
      <c r="J383" s="48">
        <v>270</v>
      </c>
      <c r="K383" s="48">
        <v>1</v>
      </c>
      <c r="N383" s="48">
        <v>0</v>
      </c>
      <c r="R383" s="49"/>
      <c r="S383" s="49"/>
      <c r="T383" s="49">
        <v>54148</v>
      </c>
      <c r="U383" s="49">
        <v>54148</v>
      </c>
      <c r="V383" s="49">
        <v>54148</v>
      </c>
      <c r="W383" s="49">
        <v>54148</v>
      </c>
      <c r="X383" s="48">
        <v>1</v>
      </c>
      <c r="Y383" s="48">
        <v>1</v>
      </c>
      <c r="Z383" s="48">
        <v>1</v>
      </c>
      <c r="AA383" s="156">
        <v>0</v>
      </c>
      <c r="AF383" s="48">
        <v>0</v>
      </c>
      <c r="AG383" s="49" t="s">
        <v>32</v>
      </c>
      <c r="AH383" s="48">
        <v>1</v>
      </c>
      <c r="AI383" s="48" t="s">
        <v>33</v>
      </c>
      <c r="AJ383" s="48" t="s">
        <v>33</v>
      </c>
      <c r="AK383" s="48" t="s">
        <v>33</v>
      </c>
      <c r="AL383" s="48" t="s">
        <v>34</v>
      </c>
      <c r="AN383" s="48">
        <v>0</v>
      </c>
      <c r="AO383" s="48">
        <v>0</v>
      </c>
      <c r="AP383" s="48">
        <v>0</v>
      </c>
      <c r="AQ383" s="48">
        <v>0</v>
      </c>
      <c r="AR383" s="48">
        <v>0</v>
      </c>
      <c r="AS383" s="48">
        <v>0</v>
      </c>
      <c r="AT383" s="48">
        <v>0</v>
      </c>
      <c r="AU383" s="48">
        <v>0</v>
      </c>
      <c r="AV383" s="48">
        <v>0</v>
      </c>
      <c r="AW383" s="48">
        <v>0</v>
      </c>
      <c r="AX383" s="48">
        <v>0</v>
      </c>
      <c r="AY383" s="48">
        <v>0</v>
      </c>
      <c r="AZ383" s="48">
        <v>0</v>
      </c>
      <c r="BA383" s="48">
        <v>0</v>
      </c>
      <c r="BB383" s="48">
        <v>0</v>
      </c>
    </row>
    <row r="384" spans="1:54" x14ac:dyDescent="0.35">
      <c r="A384" s="49">
        <v>45930</v>
      </c>
      <c r="B384" s="48">
        <v>1</v>
      </c>
      <c r="C384" s="50" t="s">
        <v>32</v>
      </c>
      <c r="D384" s="48" t="s">
        <v>31</v>
      </c>
      <c r="E384" s="48" t="s">
        <v>138</v>
      </c>
      <c r="F384" s="48" t="s">
        <v>139</v>
      </c>
      <c r="G384" s="49" t="s">
        <v>59</v>
      </c>
      <c r="H384" s="48" t="s">
        <v>158</v>
      </c>
      <c r="I384" s="48">
        <v>1</v>
      </c>
      <c r="J384" s="48">
        <v>271</v>
      </c>
      <c r="K384" s="48">
        <v>1</v>
      </c>
      <c r="N384" s="48">
        <v>0</v>
      </c>
      <c r="R384" s="49"/>
      <c r="S384" s="49"/>
      <c r="T384" s="49">
        <v>54178</v>
      </c>
      <c r="U384" s="49">
        <v>54178</v>
      </c>
      <c r="V384" s="49">
        <v>54178</v>
      </c>
      <c r="W384" s="49">
        <v>54178</v>
      </c>
      <c r="X384" s="48">
        <v>1</v>
      </c>
      <c r="Y384" s="48">
        <v>1</v>
      </c>
      <c r="Z384" s="48">
        <v>1</v>
      </c>
      <c r="AA384" s="156">
        <v>0</v>
      </c>
      <c r="AF384" s="48">
        <v>0</v>
      </c>
      <c r="AG384" s="49" t="s">
        <v>32</v>
      </c>
      <c r="AH384" s="48">
        <v>1</v>
      </c>
      <c r="AI384" s="48" t="s">
        <v>33</v>
      </c>
      <c r="AJ384" s="48" t="s">
        <v>33</v>
      </c>
      <c r="AK384" s="48" t="s">
        <v>33</v>
      </c>
      <c r="AL384" s="48" t="s">
        <v>34</v>
      </c>
      <c r="AN384" s="48">
        <v>0</v>
      </c>
      <c r="AO384" s="48">
        <v>0</v>
      </c>
      <c r="AP384" s="48">
        <v>0</v>
      </c>
      <c r="AQ384" s="48">
        <v>0</v>
      </c>
      <c r="AR384" s="48">
        <v>0</v>
      </c>
      <c r="AS384" s="48">
        <v>0</v>
      </c>
      <c r="AT384" s="48">
        <v>0</v>
      </c>
      <c r="AU384" s="48">
        <v>0</v>
      </c>
      <c r="AV384" s="48">
        <v>0</v>
      </c>
      <c r="AW384" s="48">
        <v>0</v>
      </c>
      <c r="AX384" s="48">
        <v>0</v>
      </c>
      <c r="AY384" s="48">
        <v>0</v>
      </c>
      <c r="AZ384" s="48">
        <v>0</v>
      </c>
      <c r="BA384" s="48">
        <v>0</v>
      </c>
      <c r="BB384" s="48">
        <v>0</v>
      </c>
    </row>
    <row r="385" spans="1:54" x14ac:dyDescent="0.35">
      <c r="A385" s="49">
        <v>45930</v>
      </c>
      <c r="B385" s="48">
        <v>1</v>
      </c>
      <c r="C385" s="50" t="s">
        <v>32</v>
      </c>
      <c r="D385" s="48" t="s">
        <v>31</v>
      </c>
      <c r="E385" s="48" t="s">
        <v>138</v>
      </c>
      <c r="F385" s="48" t="s">
        <v>139</v>
      </c>
      <c r="G385" s="49" t="s">
        <v>59</v>
      </c>
      <c r="H385" s="48" t="s">
        <v>158</v>
      </c>
      <c r="I385" s="48">
        <v>1</v>
      </c>
      <c r="J385" s="48">
        <v>272</v>
      </c>
      <c r="K385" s="48">
        <v>1</v>
      </c>
      <c r="N385" s="48">
        <v>0</v>
      </c>
      <c r="R385" s="49"/>
      <c r="S385" s="49"/>
      <c r="T385" s="49">
        <v>54209</v>
      </c>
      <c r="U385" s="49">
        <v>54209</v>
      </c>
      <c r="V385" s="49">
        <v>54209</v>
      </c>
      <c r="W385" s="49">
        <v>54209</v>
      </c>
      <c r="X385" s="48">
        <v>1</v>
      </c>
      <c r="Y385" s="48">
        <v>1</v>
      </c>
      <c r="Z385" s="48">
        <v>1</v>
      </c>
      <c r="AA385" s="156">
        <v>0</v>
      </c>
      <c r="AF385" s="48">
        <v>0</v>
      </c>
      <c r="AG385" s="49" t="s">
        <v>32</v>
      </c>
      <c r="AH385" s="48">
        <v>1</v>
      </c>
      <c r="AI385" s="48" t="s">
        <v>33</v>
      </c>
      <c r="AJ385" s="48" t="s">
        <v>33</v>
      </c>
      <c r="AK385" s="48" t="s">
        <v>33</v>
      </c>
      <c r="AL385" s="48" t="s">
        <v>34</v>
      </c>
      <c r="AN385" s="48">
        <v>0</v>
      </c>
      <c r="AO385" s="48">
        <v>0</v>
      </c>
      <c r="AP385" s="48">
        <v>0</v>
      </c>
      <c r="AQ385" s="48">
        <v>0</v>
      </c>
      <c r="AR385" s="48">
        <v>0</v>
      </c>
      <c r="AS385" s="48">
        <v>0</v>
      </c>
      <c r="AT385" s="48">
        <v>0</v>
      </c>
      <c r="AU385" s="48">
        <v>0</v>
      </c>
      <c r="AV385" s="48">
        <v>0</v>
      </c>
      <c r="AW385" s="48">
        <v>0</v>
      </c>
      <c r="AX385" s="48">
        <v>0</v>
      </c>
      <c r="AY385" s="48">
        <v>0</v>
      </c>
      <c r="AZ385" s="48">
        <v>0</v>
      </c>
      <c r="BA385" s="48">
        <v>0</v>
      </c>
      <c r="BB385" s="48">
        <v>0</v>
      </c>
    </row>
    <row r="386" spans="1:54" x14ac:dyDescent="0.35">
      <c r="A386" s="49">
        <v>45930</v>
      </c>
      <c r="B386" s="48">
        <v>1</v>
      </c>
      <c r="C386" s="50" t="s">
        <v>32</v>
      </c>
      <c r="D386" s="48" t="s">
        <v>31</v>
      </c>
      <c r="E386" s="48" t="s">
        <v>138</v>
      </c>
      <c r="F386" s="48" t="s">
        <v>139</v>
      </c>
      <c r="G386" s="49" t="s">
        <v>59</v>
      </c>
      <c r="H386" s="48" t="s">
        <v>158</v>
      </c>
      <c r="I386" s="48">
        <v>1</v>
      </c>
      <c r="J386" s="48">
        <v>273</v>
      </c>
      <c r="K386" s="48">
        <v>1</v>
      </c>
      <c r="N386" s="48">
        <v>0</v>
      </c>
      <c r="R386" s="49"/>
      <c r="S386" s="49"/>
      <c r="T386" s="49">
        <v>54239</v>
      </c>
      <c r="U386" s="49">
        <v>54239</v>
      </c>
      <c r="V386" s="49">
        <v>54239</v>
      </c>
      <c r="W386" s="49">
        <v>54239</v>
      </c>
      <c r="X386" s="48">
        <v>1</v>
      </c>
      <c r="Y386" s="48">
        <v>1</v>
      </c>
      <c r="Z386" s="48">
        <v>1</v>
      </c>
      <c r="AA386" s="156">
        <v>0</v>
      </c>
      <c r="AF386" s="48">
        <v>0</v>
      </c>
      <c r="AG386" s="49" t="s">
        <v>32</v>
      </c>
      <c r="AH386" s="48">
        <v>1</v>
      </c>
      <c r="AI386" s="48" t="s">
        <v>33</v>
      </c>
      <c r="AJ386" s="48" t="s">
        <v>33</v>
      </c>
      <c r="AK386" s="48" t="s">
        <v>33</v>
      </c>
      <c r="AL386" s="48" t="s">
        <v>34</v>
      </c>
      <c r="AN386" s="48">
        <v>0</v>
      </c>
      <c r="AO386" s="48">
        <v>0</v>
      </c>
      <c r="AP386" s="48">
        <v>0</v>
      </c>
      <c r="AQ386" s="48">
        <v>0</v>
      </c>
      <c r="AR386" s="48">
        <v>0</v>
      </c>
      <c r="AS386" s="48">
        <v>0</v>
      </c>
      <c r="AT386" s="48">
        <v>0</v>
      </c>
      <c r="AU386" s="48">
        <v>0</v>
      </c>
      <c r="AV386" s="48">
        <v>0</v>
      </c>
      <c r="AW386" s="48">
        <v>0</v>
      </c>
      <c r="AX386" s="48">
        <v>0</v>
      </c>
      <c r="AY386" s="48">
        <v>0</v>
      </c>
      <c r="AZ386" s="48">
        <v>0</v>
      </c>
      <c r="BA386" s="48">
        <v>0</v>
      </c>
      <c r="BB386" s="48">
        <v>0</v>
      </c>
    </row>
    <row r="387" spans="1:54" x14ac:dyDescent="0.35">
      <c r="A387" s="49">
        <v>45930</v>
      </c>
      <c r="B387" s="48">
        <v>1</v>
      </c>
      <c r="C387" s="50" t="s">
        <v>32</v>
      </c>
      <c r="D387" s="48" t="s">
        <v>31</v>
      </c>
      <c r="E387" s="48" t="s">
        <v>138</v>
      </c>
      <c r="F387" s="48" t="s">
        <v>139</v>
      </c>
      <c r="G387" s="49" t="s">
        <v>59</v>
      </c>
      <c r="H387" s="48" t="s">
        <v>158</v>
      </c>
      <c r="I387" s="48">
        <v>1</v>
      </c>
      <c r="J387" s="48">
        <v>274</v>
      </c>
      <c r="K387" s="48">
        <v>1</v>
      </c>
      <c r="N387" s="48">
        <v>0</v>
      </c>
      <c r="R387" s="49"/>
      <c r="S387" s="49"/>
      <c r="T387" s="49">
        <v>54270</v>
      </c>
      <c r="U387" s="49">
        <v>54270</v>
      </c>
      <c r="V387" s="49">
        <v>54270</v>
      </c>
      <c r="W387" s="49">
        <v>54270</v>
      </c>
      <c r="X387" s="48">
        <v>1</v>
      </c>
      <c r="Y387" s="48">
        <v>1</v>
      </c>
      <c r="Z387" s="48">
        <v>1</v>
      </c>
      <c r="AA387" s="156">
        <v>0</v>
      </c>
      <c r="AF387" s="48">
        <v>0</v>
      </c>
      <c r="AG387" s="49" t="s">
        <v>32</v>
      </c>
      <c r="AH387" s="48">
        <v>1</v>
      </c>
      <c r="AI387" s="48" t="s">
        <v>33</v>
      </c>
      <c r="AJ387" s="48" t="s">
        <v>33</v>
      </c>
      <c r="AK387" s="48" t="s">
        <v>33</v>
      </c>
      <c r="AL387" s="48" t="s">
        <v>34</v>
      </c>
      <c r="AN387" s="48">
        <v>0</v>
      </c>
      <c r="AO387" s="48">
        <v>0</v>
      </c>
      <c r="AP387" s="48">
        <v>0</v>
      </c>
      <c r="AQ387" s="48">
        <v>0</v>
      </c>
      <c r="AR387" s="48">
        <v>0</v>
      </c>
      <c r="AS387" s="48">
        <v>0</v>
      </c>
      <c r="AT387" s="48">
        <v>0</v>
      </c>
      <c r="AU387" s="48">
        <v>0</v>
      </c>
      <c r="AV387" s="48">
        <v>0</v>
      </c>
      <c r="AW387" s="48">
        <v>0</v>
      </c>
      <c r="AX387" s="48">
        <v>0</v>
      </c>
      <c r="AY387" s="48">
        <v>0</v>
      </c>
      <c r="AZ387" s="48">
        <v>0</v>
      </c>
      <c r="BA387" s="48">
        <v>0</v>
      </c>
      <c r="BB387" s="48">
        <v>0</v>
      </c>
    </row>
    <row r="388" spans="1:54" x14ac:dyDescent="0.35">
      <c r="A388" s="49">
        <v>45930</v>
      </c>
      <c r="B388" s="48">
        <v>1</v>
      </c>
      <c r="C388" s="50" t="s">
        <v>32</v>
      </c>
      <c r="D388" s="48" t="s">
        <v>31</v>
      </c>
      <c r="E388" s="48" t="s">
        <v>138</v>
      </c>
      <c r="F388" s="48" t="s">
        <v>139</v>
      </c>
      <c r="G388" s="49" t="s">
        <v>59</v>
      </c>
      <c r="H388" s="48" t="s">
        <v>158</v>
      </c>
      <c r="I388" s="48">
        <v>1</v>
      </c>
      <c r="J388" s="48">
        <v>275</v>
      </c>
      <c r="K388" s="48">
        <v>1</v>
      </c>
      <c r="N388" s="48">
        <v>0</v>
      </c>
      <c r="R388" s="49"/>
      <c r="S388" s="49"/>
      <c r="T388" s="49">
        <v>54301</v>
      </c>
      <c r="U388" s="49">
        <v>54301</v>
      </c>
      <c r="V388" s="49">
        <v>54301</v>
      </c>
      <c r="W388" s="49">
        <v>54301</v>
      </c>
      <c r="X388" s="48">
        <v>1</v>
      </c>
      <c r="Y388" s="48">
        <v>1</v>
      </c>
      <c r="Z388" s="48">
        <v>1</v>
      </c>
      <c r="AA388" s="156">
        <v>0</v>
      </c>
      <c r="AF388" s="48">
        <v>0</v>
      </c>
      <c r="AG388" s="49" t="s">
        <v>32</v>
      </c>
      <c r="AH388" s="48">
        <v>1</v>
      </c>
      <c r="AI388" s="48" t="s">
        <v>33</v>
      </c>
      <c r="AJ388" s="48" t="s">
        <v>33</v>
      </c>
      <c r="AK388" s="48" t="s">
        <v>33</v>
      </c>
      <c r="AL388" s="48" t="s">
        <v>34</v>
      </c>
      <c r="AN388" s="48">
        <v>0</v>
      </c>
      <c r="AO388" s="48">
        <v>0</v>
      </c>
      <c r="AP388" s="48">
        <v>0</v>
      </c>
      <c r="AQ388" s="48">
        <v>0</v>
      </c>
      <c r="AR388" s="48">
        <v>0</v>
      </c>
      <c r="AS388" s="48">
        <v>0</v>
      </c>
      <c r="AT388" s="48">
        <v>0</v>
      </c>
      <c r="AU388" s="48">
        <v>0</v>
      </c>
      <c r="AV388" s="48">
        <v>0</v>
      </c>
      <c r="AW388" s="48">
        <v>0</v>
      </c>
      <c r="AX388" s="48">
        <v>0</v>
      </c>
      <c r="AY388" s="48">
        <v>0</v>
      </c>
      <c r="AZ388" s="48">
        <v>0</v>
      </c>
      <c r="BA388" s="48">
        <v>0</v>
      </c>
      <c r="BB388" s="48">
        <v>0</v>
      </c>
    </row>
    <row r="389" spans="1:54" x14ac:dyDescent="0.35">
      <c r="A389" s="49">
        <v>45930</v>
      </c>
      <c r="B389" s="48">
        <v>1</v>
      </c>
      <c r="C389" s="50" t="s">
        <v>32</v>
      </c>
      <c r="D389" s="48" t="s">
        <v>31</v>
      </c>
      <c r="E389" s="48" t="s">
        <v>138</v>
      </c>
      <c r="F389" s="48" t="s">
        <v>139</v>
      </c>
      <c r="G389" s="49" t="s">
        <v>59</v>
      </c>
      <c r="H389" s="48" t="s">
        <v>158</v>
      </c>
      <c r="I389" s="48">
        <v>1</v>
      </c>
      <c r="J389" s="48">
        <v>276</v>
      </c>
      <c r="K389" s="48">
        <v>1</v>
      </c>
      <c r="N389" s="48">
        <v>0</v>
      </c>
      <c r="R389" s="49"/>
      <c r="S389" s="49"/>
      <c r="T389" s="49">
        <v>54331</v>
      </c>
      <c r="U389" s="49">
        <v>54331</v>
      </c>
      <c r="V389" s="49">
        <v>54331</v>
      </c>
      <c r="W389" s="49">
        <v>54331</v>
      </c>
      <c r="X389" s="48">
        <v>1</v>
      </c>
      <c r="Y389" s="48">
        <v>1</v>
      </c>
      <c r="Z389" s="48">
        <v>1</v>
      </c>
      <c r="AA389" s="156">
        <v>0</v>
      </c>
      <c r="AF389" s="48">
        <v>0</v>
      </c>
      <c r="AG389" s="49" t="s">
        <v>32</v>
      </c>
      <c r="AH389" s="48">
        <v>1</v>
      </c>
      <c r="AI389" s="48" t="s">
        <v>33</v>
      </c>
      <c r="AJ389" s="48" t="s">
        <v>33</v>
      </c>
      <c r="AK389" s="48" t="s">
        <v>33</v>
      </c>
      <c r="AL389" s="48" t="s">
        <v>34</v>
      </c>
      <c r="AN389" s="48">
        <v>0</v>
      </c>
      <c r="AO389" s="48">
        <v>0</v>
      </c>
      <c r="AP389" s="48">
        <v>0</v>
      </c>
      <c r="AQ389" s="48">
        <v>0</v>
      </c>
      <c r="AR389" s="48">
        <v>0</v>
      </c>
      <c r="AS389" s="48">
        <v>0</v>
      </c>
      <c r="AT389" s="48">
        <v>0</v>
      </c>
      <c r="AU389" s="48">
        <v>0</v>
      </c>
      <c r="AV389" s="48">
        <v>0</v>
      </c>
      <c r="AW389" s="48">
        <v>0</v>
      </c>
      <c r="AX389" s="48">
        <v>0</v>
      </c>
      <c r="AY389" s="48">
        <v>0</v>
      </c>
      <c r="AZ389" s="48">
        <v>0</v>
      </c>
      <c r="BA389" s="48">
        <v>0</v>
      </c>
      <c r="BB389" s="48">
        <v>0</v>
      </c>
    </row>
    <row r="390" spans="1:54" x14ac:dyDescent="0.35">
      <c r="A390" s="49">
        <v>45930</v>
      </c>
      <c r="B390" s="48">
        <v>1</v>
      </c>
      <c r="C390" s="50" t="s">
        <v>32</v>
      </c>
      <c r="D390" s="48" t="s">
        <v>31</v>
      </c>
      <c r="E390" s="48" t="s">
        <v>138</v>
      </c>
      <c r="F390" s="48" t="s">
        <v>139</v>
      </c>
      <c r="G390" s="49" t="s">
        <v>59</v>
      </c>
      <c r="H390" s="48" t="s">
        <v>158</v>
      </c>
      <c r="I390" s="48">
        <v>1</v>
      </c>
      <c r="J390" s="48">
        <v>277</v>
      </c>
      <c r="K390" s="48">
        <v>1</v>
      </c>
      <c r="N390" s="48">
        <v>0</v>
      </c>
      <c r="R390" s="49"/>
      <c r="S390" s="49"/>
      <c r="T390" s="49">
        <v>54362</v>
      </c>
      <c r="U390" s="49">
        <v>54362</v>
      </c>
      <c r="V390" s="49">
        <v>54362</v>
      </c>
      <c r="W390" s="49">
        <v>54362</v>
      </c>
      <c r="X390" s="48">
        <v>1</v>
      </c>
      <c r="Y390" s="48">
        <v>1</v>
      </c>
      <c r="Z390" s="48">
        <v>1</v>
      </c>
      <c r="AA390" s="156">
        <v>0</v>
      </c>
      <c r="AF390" s="48">
        <v>0</v>
      </c>
      <c r="AG390" s="49" t="s">
        <v>32</v>
      </c>
      <c r="AH390" s="48">
        <v>1</v>
      </c>
      <c r="AI390" s="48" t="s">
        <v>33</v>
      </c>
      <c r="AJ390" s="48" t="s">
        <v>33</v>
      </c>
      <c r="AK390" s="48" t="s">
        <v>33</v>
      </c>
      <c r="AL390" s="48" t="s">
        <v>34</v>
      </c>
      <c r="AN390" s="48">
        <v>0</v>
      </c>
      <c r="AO390" s="48">
        <v>0</v>
      </c>
      <c r="AP390" s="48">
        <v>0</v>
      </c>
      <c r="AQ390" s="48">
        <v>0</v>
      </c>
      <c r="AR390" s="48">
        <v>0</v>
      </c>
      <c r="AS390" s="48">
        <v>0</v>
      </c>
      <c r="AT390" s="48">
        <v>0</v>
      </c>
      <c r="AU390" s="48">
        <v>0</v>
      </c>
      <c r="AV390" s="48">
        <v>0</v>
      </c>
      <c r="AW390" s="48">
        <v>0</v>
      </c>
      <c r="AX390" s="48">
        <v>0</v>
      </c>
      <c r="AY390" s="48">
        <v>0</v>
      </c>
      <c r="AZ390" s="48">
        <v>0</v>
      </c>
      <c r="BA390" s="48">
        <v>0</v>
      </c>
      <c r="BB390" s="48">
        <v>0</v>
      </c>
    </row>
    <row r="391" spans="1:54" x14ac:dyDescent="0.35">
      <c r="A391" s="49">
        <v>45930</v>
      </c>
      <c r="B391" s="48">
        <v>1</v>
      </c>
      <c r="C391" s="50" t="s">
        <v>32</v>
      </c>
      <c r="D391" s="48" t="s">
        <v>31</v>
      </c>
      <c r="E391" s="48" t="s">
        <v>138</v>
      </c>
      <c r="F391" s="48" t="s">
        <v>139</v>
      </c>
      <c r="G391" s="49" t="s">
        <v>59</v>
      </c>
      <c r="H391" s="48" t="s">
        <v>158</v>
      </c>
      <c r="I391" s="48">
        <v>1</v>
      </c>
      <c r="J391" s="48">
        <v>278</v>
      </c>
      <c r="K391" s="48">
        <v>1</v>
      </c>
      <c r="N391" s="48">
        <v>0</v>
      </c>
      <c r="R391" s="49"/>
      <c r="S391" s="49"/>
      <c r="T391" s="49">
        <v>54392</v>
      </c>
      <c r="U391" s="49">
        <v>54392</v>
      </c>
      <c r="V391" s="49">
        <v>54392</v>
      </c>
      <c r="W391" s="49">
        <v>54392</v>
      </c>
      <c r="X391" s="48">
        <v>1</v>
      </c>
      <c r="Y391" s="48">
        <v>1</v>
      </c>
      <c r="Z391" s="48">
        <v>1</v>
      </c>
      <c r="AA391" s="156">
        <v>0</v>
      </c>
      <c r="AF391" s="48">
        <v>0</v>
      </c>
      <c r="AG391" s="49" t="s">
        <v>32</v>
      </c>
      <c r="AH391" s="48">
        <v>1</v>
      </c>
      <c r="AI391" s="48" t="s">
        <v>33</v>
      </c>
      <c r="AJ391" s="48" t="s">
        <v>33</v>
      </c>
      <c r="AK391" s="48" t="s">
        <v>33</v>
      </c>
      <c r="AL391" s="48" t="s">
        <v>34</v>
      </c>
      <c r="AN391" s="48">
        <v>0</v>
      </c>
      <c r="AO391" s="48">
        <v>0</v>
      </c>
      <c r="AP391" s="48">
        <v>0</v>
      </c>
      <c r="AQ391" s="48">
        <v>0</v>
      </c>
      <c r="AR391" s="48">
        <v>0</v>
      </c>
      <c r="AS391" s="48">
        <v>0</v>
      </c>
      <c r="AT391" s="48">
        <v>0</v>
      </c>
      <c r="AU391" s="48">
        <v>0</v>
      </c>
      <c r="AV391" s="48">
        <v>0</v>
      </c>
      <c r="AW391" s="48">
        <v>0</v>
      </c>
      <c r="AX391" s="48">
        <v>0</v>
      </c>
      <c r="AY391" s="48">
        <v>0</v>
      </c>
      <c r="AZ391" s="48">
        <v>0</v>
      </c>
      <c r="BA391" s="48">
        <v>0</v>
      </c>
      <c r="BB391" s="48">
        <v>0</v>
      </c>
    </row>
    <row r="392" spans="1:54" x14ac:dyDescent="0.35">
      <c r="A392" s="49">
        <v>45930</v>
      </c>
      <c r="B392" s="48">
        <v>1</v>
      </c>
      <c r="C392" s="50" t="s">
        <v>32</v>
      </c>
      <c r="D392" s="48" t="s">
        <v>31</v>
      </c>
      <c r="E392" s="48" t="s">
        <v>138</v>
      </c>
      <c r="F392" s="48" t="s">
        <v>139</v>
      </c>
      <c r="G392" s="49" t="s">
        <v>59</v>
      </c>
      <c r="H392" s="48" t="s">
        <v>158</v>
      </c>
      <c r="I392" s="48">
        <v>1</v>
      </c>
      <c r="J392" s="48">
        <v>279</v>
      </c>
      <c r="K392" s="48">
        <v>1</v>
      </c>
      <c r="N392" s="48">
        <v>0</v>
      </c>
      <c r="R392" s="49"/>
      <c r="S392" s="49"/>
      <c r="T392" s="49">
        <v>54423</v>
      </c>
      <c r="U392" s="49">
        <v>54423</v>
      </c>
      <c r="V392" s="49">
        <v>54423</v>
      </c>
      <c r="W392" s="49">
        <v>54423</v>
      </c>
      <c r="X392" s="48">
        <v>1</v>
      </c>
      <c r="Y392" s="48">
        <v>1</v>
      </c>
      <c r="Z392" s="48">
        <v>1</v>
      </c>
      <c r="AA392" s="156">
        <v>0</v>
      </c>
      <c r="AF392" s="48">
        <v>0</v>
      </c>
      <c r="AG392" s="49" t="s">
        <v>32</v>
      </c>
      <c r="AH392" s="48">
        <v>1</v>
      </c>
      <c r="AI392" s="48" t="s">
        <v>33</v>
      </c>
      <c r="AJ392" s="48" t="s">
        <v>33</v>
      </c>
      <c r="AK392" s="48" t="s">
        <v>33</v>
      </c>
      <c r="AL392" s="48" t="s">
        <v>34</v>
      </c>
      <c r="AN392" s="48">
        <v>0</v>
      </c>
      <c r="AO392" s="48">
        <v>0</v>
      </c>
      <c r="AP392" s="48">
        <v>0</v>
      </c>
      <c r="AQ392" s="48">
        <v>0</v>
      </c>
      <c r="AR392" s="48">
        <v>0</v>
      </c>
      <c r="AS392" s="48">
        <v>0</v>
      </c>
      <c r="AT392" s="48">
        <v>0</v>
      </c>
      <c r="AU392" s="48">
        <v>0</v>
      </c>
      <c r="AV392" s="48">
        <v>0</v>
      </c>
      <c r="AW392" s="48">
        <v>0</v>
      </c>
      <c r="AX392" s="48">
        <v>0</v>
      </c>
      <c r="AY392" s="48">
        <v>0</v>
      </c>
      <c r="AZ392" s="48">
        <v>0</v>
      </c>
      <c r="BA392" s="48">
        <v>0</v>
      </c>
      <c r="BB392" s="48">
        <v>0</v>
      </c>
    </row>
    <row r="393" spans="1:54" x14ac:dyDescent="0.35">
      <c r="A393" s="49">
        <v>45930</v>
      </c>
      <c r="B393" s="48">
        <v>1</v>
      </c>
      <c r="C393" s="50" t="s">
        <v>32</v>
      </c>
      <c r="D393" s="48" t="s">
        <v>31</v>
      </c>
      <c r="E393" s="48" t="s">
        <v>138</v>
      </c>
      <c r="F393" s="48" t="s">
        <v>139</v>
      </c>
      <c r="G393" s="49" t="s">
        <v>59</v>
      </c>
      <c r="H393" s="48" t="s">
        <v>158</v>
      </c>
      <c r="I393" s="48">
        <v>1</v>
      </c>
      <c r="J393" s="48">
        <v>280</v>
      </c>
      <c r="K393" s="48">
        <v>1</v>
      </c>
      <c r="N393" s="48">
        <v>0</v>
      </c>
      <c r="R393" s="49"/>
      <c r="S393" s="49"/>
      <c r="T393" s="49">
        <v>54454</v>
      </c>
      <c r="U393" s="49">
        <v>54454</v>
      </c>
      <c r="V393" s="49">
        <v>54454</v>
      </c>
      <c r="W393" s="49">
        <v>54454</v>
      </c>
      <c r="X393" s="48">
        <v>1</v>
      </c>
      <c r="Y393" s="48">
        <v>1</v>
      </c>
      <c r="Z393" s="48">
        <v>1</v>
      </c>
      <c r="AA393" s="156">
        <v>0</v>
      </c>
      <c r="AF393" s="48">
        <v>0</v>
      </c>
      <c r="AG393" s="49" t="s">
        <v>32</v>
      </c>
      <c r="AH393" s="48">
        <v>1</v>
      </c>
      <c r="AI393" s="48" t="s">
        <v>33</v>
      </c>
      <c r="AJ393" s="48" t="s">
        <v>33</v>
      </c>
      <c r="AK393" s="48" t="s">
        <v>33</v>
      </c>
      <c r="AL393" s="48" t="s">
        <v>34</v>
      </c>
      <c r="AN393" s="48">
        <v>0</v>
      </c>
      <c r="AO393" s="48">
        <v>0</v>
      </c>
      <c r="AP393" s="48">
        <v>0</v>
      </c>
      <c r="AQ393" s="48">
        <v>0</v>
      </c>
      <c r="AR393" s="48">
        <v>0</v>
      </c>
      <c r="AS393" s="48">
        <v>0</v>
      </c>
      <c r="AT393" s="48">
        <v>0</v>
      </c>
      <c r="AU393" s="48">
        <v>0</v>
      </c>
      <c r="AV393" s="48">
        <v>0</v>
      </c>
      <c r="AW393" s="48">
        <v>0</v>
      </c>
      <c r="AX393" s="48">
        <v>0</v>
      </c>
      <c r="AY393" s="48">
        <v>0</v>
      </c>
      <c r="AZ393" s="48">
        <v>0</v>
      </c>
      <c r="BA393" s="48">
        <v>0</v>
      </c>
      <c r="BB393" s="48">
        <v>0</v>
      </c>
    </row>
    <row r="394" spans="1:54" x14ac:dyDescent="0.35">
      <c r="A394" s="49">
        <v>45930</v>
      </c>
      <c r="B394" s="48">
        <v>1</v>
      </c>
      <c r="C394" s="50" t="s">
        <v>32</v>
      </c>
      <c r="D394" s="48" t="s">
        <v>31</v>
      </c>
      <c r="E394" s="48" t="s">
        <v>138</v>
      </c>
      <c r="F394" s="48" t="s">
        <v>139</v>
      </c>
      <c r="G394" s="49" t="s">
        <v>59</v>
      </c>
      <c r="H394" s="48" t="s">
        <v>158</v>
      </c>
      <c r="I394" s="48">
        <v>1</v>
      </c>
      <c r="J394" s="48">
        <v>281</v>
      </c>
      <c r="K394" s="48">
        <v>1</v>
      </c>
      <c r="N394" s="48">
        <v>0</v>
      </c>
      <c r="R394" s="49"/>
      <c r="S394" s="49"/>
      <c r="T394" s="49">
        <v>54482</v>
      </c>
      <c r="U394" s="49">
        <v>54482</v>
      </c>
      <c r="V394" s="49">
        <v>54482</v>
      </c>
      <c r="W394" s="49">
        <v>54482</v>
      </c>
      <c r="X394" s="48">
        <v>1</v>
      </c>
      <c r="Y394" s="48">
        <v>1</v>
      </c>
      <c r="Z394" s="48">
        <v>1</v>
      </c>
      <c r="AA394" s="156">
        <v>0</v>
      </c>
      <c r="AF394" s="48">
        <v>0</v>
      </c>
      <c r="AG394" s="49" t="s">
        <v>32</v>
      </c>
      <c r="AH394" s="48">
        <v>1</v>
      </c>
      <c r="AI394" s="48" t="s">
        <v>33</v>
      </c>
      <c r="AJ394" s="48" t="s">
        <v>33</v>
      </c>
      <c r="AK394" s="48" t="s">
        <v>33</v>
      </c>
      <c r="AL394" s="48" t="s">
        <v>34</v>
      </c>
      <c r="AN394" s="48">
        <v>0</v>
      </c>
      <c r="AO394" s="48">
        <v>0</v>
      </c>
      <c r="AP394" s="48">
        <v>0</v>
      </c>
      <c r="AQ394" s="48">
        <v>0</v>
      </c>
      <c r="AR394" s="48">
        <v>0</v>
      </c>
      <c r="AS394" s="48">
        <v>0</v>
      </c>
      <c r="AT394" s="48">
        <v>0</v>
      </c>
      <c r="AU394" s="48">
        <v>0</v>
      </c>
      <c r="AV394" s="48">
        <v>0</v>
      </c>
      <c r="AW394" s="48">
        <v>0</v>
      </c>
      <c r="AX394" s="48">
        <v>0</v>
      </c>
      <c r="AY394" s="48">
        <v>0</v>
      </c>
      <c r="AZ394" s="48">
        <v>0</v>
      </c>
      <c r="BA394" s="48">
        <v>0</v>
      </c>
      <c r="BB394" s="48">
        <v>0</v>
      </c>
    </row>
    <row r="395" spans="1:54" x14ac:dyDescent="0.35">
      <c r="A395" s="49">
        <v>45930</v>
      </c>
      <c r="B395" s="48">
        <v>1</v>
      </c>
      <c r="C395" s="50" t="s">
        <v>32</v>
      </c>
      <c r="D395" s="48" t="s">
        <v>31</v>
      </c>
      <c r="E395" s="48" t="s">
        <v>138</v>
      </c>
      <c r="F395" s="48" t="s">
        <v>139</v>
      </c>
      <c r="G395" s="49" t="s">
        <v>59</v>
      </c>
      <c r="H395" s="48" t="s">
        <v>158</v>
      </c>
      <c r="I395" s="48">
        <v>1</v>
      </c>
      <c r="J395" s="48">
        <v>282</v>
      </c>
      <c r="K395" s="48">
        <v>1</v>
      </c>
      <c r="N395" s="48">
        <v>0</v>
      </c>
      <c r="R395" s="49"/>
      <c r="S395" s="49"/>
      <c r="T395" s="49">
        <v>54513</v>
      </c>
      <c r="U395" s="49">
        <v>54513</v>
      </c>
      <c r="V395" s="49">
        <v>54513</v>
      </c>
      <c r="W395" s="49">
        <v>54513</v>
      </c>
      <c r="X395" s="48">
        <v>1</v>
      </c>
      <c r="Y395" s="48">
        <v>1</v>
      </c>
      <c r="Z395" s="48">
        <v>1</v>
      </c>
      <c r="AA395" s="156">
        <v>0</v>
      </c>
      <c r="AF395" s="48">
        <v>0</v>
      </c>
      <c r="AG395" s="49" t="s">
        <v>32</v>
      </c>
      <c r="AH395" s="48">
        <v>1</v>
      </c>
      <c r="AI395" s="48" t="s">
        <v>33</v>
      </c>
      <c r="AJ395" s="48" t="s">
        <v>33</v>
      </c>
      <c r="AK395" s="48" t="s">
        <v>33</v>
      </c>
      <c r="AL395" s="48" t="s">
        <v>34</v>
      </c>
      <c r="AN395" s="48">
        <v>0</v>
      </c>
      <c r="AO395" s="48">
        <v>0</v>
      </c>
      <c r="AP395" s="48">
        <v>0</v>
      </c>
      <c r="AQ395" s="48">
        <v>0</v>
      </c>
      <c r="AR395" s="48">
        <v>0</v>
      </c>
      <c r="AS395" s="48">
        <v>0</v>
      </c>
      <c r="AT395" s="48">
        <v>0</v>
      </c>
      <c r="AU395" s="48">
        <v>0</v>
      </c>
      <c r="AV395" s="48">
        <v>0</v>
      </c>
      <c r="AW395" s="48">
        <v>0</v>
      </c>
      <c r="AX395" s="48">
        <v>0</v>
      </c>
      <c r="AY395" s="48">
        <v>0</v>
      </c>
      <c r="AZ395" s="48">
        <v>0</v>
      </c>
      <c r="BA395" s="48">
        <v>0</v>
      </c>
      <c r="BB395" s="48">
        <v>0</v>
      </c>
    </row>
    <row r="396" spans="1:54" x14ac:dyDescent="0.35">
      <c r="A396" s="49">
        <v>45930</v>
      </c>
      <c r="B396" s="48">
        <v>1</v>
      </c>
      <c r="C396" s="50" t="s">
        <v>32</v>
      </c>
      <c r="D396" s="48" t="s">
        <v>31</v>
      </c>
      <c r="E396" s="48" t="s">
        <v>138</v>
      </c>
      <c r="F396" s="48" t="s">
        <v>139</v>
      </c>
      <c r="G396" s="49" t="s">
        <v>59</v>
      </c>
      <c r="H396" s="48" t="s">
        <v>158</v>
      </c>
      <c r="I396" s="48">
        <v>1</v>
      </c>
      <c r="J396" s="48">
        <v>283</v>
      </c>
      <c r="K396" s="48">
        <v>1</v>
      </c>
      <c r="N396" s="48">
        <v>0</v>
      </c>
      <c r="R396" s="49"/>
      <c r="S396" s="49"/>
      <c r="T396" s="49">
        <v>54543</v>
      </c>
      <c r="U396" s="49">
        <v>54543</v>
      </c>
      <c r="V396" s="49">
        <v>54543</v>
      </c>
      <c r="W396" s="49">
        <v>54543</v>
      </c>
      <c r="X396" s="48">
        <v>1</v>
      </c>
      <c r="Y396" s="48">
        <v>1</v>
      </c>
      <c r="Z396" s="48">
        <v>1</v>
      </c>
      <c r="AA396" s="156">
        <v>0</v>
      </c>
      <c r="AF396" s="48">
        <v>0</v>
      </c>
      <c r="AG396" s="49" t="s">
        <v>32</v>
      </c>
      <c r="AH396" s="48">
        <v>1</v>
      </c>
      <c r="AI396" s="48" t="s">
        <v>33</v>
      </c>
      <c r="AJ396" s="48" t="s">
        <v>33</v>
      </c>
      <c r="AK396" s="48" t="s">
        <v>33</v>
      </c>
      <c r="AL396" s="48" t="s">
        <v>34</v>
      </c>
      <c r="AN396" s="48">
        <v>0</v>
      </c>
      <c r="AO396" s="48">
        <v>0</v>
      </c>
      <c r="AP396" s="48">
        <v>0</v>
      </c>
      <c r="AQ396" s="48">
        <v>0</v>
      </c>
      <c r="AR396" s="48">
        <v>0</v>
      </c>
      <c r="AS396" s="48">
        <v>0</v>
      </c>
      <c r="AT396" s="48">
        <v>0</v>
      </c>
      <c r="AU396" s="48">
        <v>0</v>
      </c>
      <c r="AV396" s="48">
        <v>0</v>
      </c>
      <c r="AW396" s="48">
        <v>0</v>
      </c>
      <c r="AX396" s="48">
        <v>0</v>
      </c>
      <c r="AY396" s="48">
        <v>0</v>
      </c>
      <c r="AZ396" s="48">
        <v>0</v>
      </c>
      <c r="BA396" s="48">
        <v>0</v>
      </c>
      <c r="BB396" s="48">
        <v>0</v>
      </c>
    </row>
    <row r="397" spans="1:54" x14ac:dyDescent="0.35">
      <c r="A397" s="49">
        <v>45930</v>
      </c>
      <c r="B397" s="48">
        <v>1</v>
      </c>
      <c r="C397" s="50" t="s">
        <v>32</v>
      </c>
      <c r="D397" s="48" t="s">
        <v>31</v>
      </c>
      <c r="E397" s="48" t="s">
        <v>138</v>
      </c>
      <c r="F397" s="48" t="s">
        <v>139</v>
      </c>
      <c r="G397" s="49" t="s">
        <v>59</v>
      </c>
      <c r="H397" s="48" t="s">
        <v>158</v>
      </c>
      <c r="I397" s="48">
        <v>1</v>
      </c>
      <c r="J397" s="48">
        <v>284</v>
      </c>
      <c r="K397" s="48">
        <v>1</v>
      </c>
      <c r="N397" s="48">
        <v>0</v>
      </c>
      <c r="R397" s="49"/>
      <c r="S397" s="49"/>
      <c r="T397" s="49">
        <v>54574</v>
      </c>
      <c r="U397" s="49">
        <v>54574</v>
      </c>
      <c r="V397" s="49">
        <v>54574</v>
      </c>
      <c r="W397" s="49">
        <v>54574</v>
      </c>
      <c r="X397" s="48">
        <v>1</v>
      </c>
      <c r="Y397" s="48">
        <v>1</v>
      </c>
      <c r="Z397" s="48">
        <v>1</v>
      </c>
      <c r="AA397" s="156">
        <v>0</v>
      </c>
      <c r="AF397" s="48">
        <v>0</v>
      </c>
      <c r="AG397" s="49" t="s">
        <v>32</v>
      </c>
      <c r="AH397" s="48">
        <v>1</v>
      </c>
      <c r="AI397" s="48" t="s">
        <v>33</v>
      </c>
      <c r="AJ397" s="48" t="s">
        <v>33</v>
      </c>
      <c r="AK397" s="48" t="s">
        <v>33</v>
      </c>
      <c r="AL397" s="48" t="s">
        <v>34</v>
      </c>
      <c r="AN397" s="48">
        <v>0</v>
      </c>
      <c r="AO397" s="48">
        <v>0</v>
      </c>
      <c r="AP397" s="48">
        <v>0</v>
      </c>
      <c r="AQ397" s="48">
        <v>0</v>
      </c>
      <c r="AR397" s="48">
        <v>0</v>
      </c>
      <c r="AS397" s="48">
        <v>0</v>
      </c>
      <c r="AT397" s="48">
        <v>0</v>
      </c>
      <c r="AU397" s="48">
        <v>0</v>
      </c>
      <c r="AV397" s="48">
        <v>0</v>
      </c>
      <c r="AW397" s="48">
        <v>0</v>
      </c>
      <c r="AX397" s="48">
        <v>0</v>
      </c>
      <c r="AY397" s="48">
        <v>0</v>
      </c>
      <c r="AZ397" s="48">
        <v>0</v>
      </c>
      <c r="BA397" s="48">
        <v>0</v>
      </c>
      <c r="BB397" s="48">
        <v>0</v>
      </c>
    </row>
    <row r="398" spans="1:54" x14ac:dyDescent="0.35">
      <c r="A398" s="49">
        <v>45930</v>
      </c>
      <c r="B398" s="48">
        <v>1</v>
      </c>
      <c r="C398" s="50" t="s">
        <v>32</v>
      </c>
      <c r="D398" s="48" t="s">
        <v>31</v>
      </c>
      <c r="E398" s="48" t="s">
        <v>138</v>
      </c>
      <c r="F398" s="48" t="s">
        <v>139</v>
      </c>
      <c r="G398" s="49" t="s">
        <v>59</v>
      </c>
      <c r="H398" s="48" t="s">
        <v>158</v>
      </c>
      <c r="I398" s="48">
        <v>1</v>
      </c>
      <c r="J398" s="48">
        <v>285</v>
      </c>
      <c r="K398" s="48">
        <v>1</v>
      </c>
      <c r="N398" s="48">
        <v>0</v>
      </c>
      <c r="R398" s="49"/>
      <c r="S398" s="49"/>
      <c r="T398" s="49">
        <v>54604</v>
      </c>
      <c r="U398" s="49">
        <v>54604</v>
      </c>
      <c r="V398" s="49">
        <v>54604</v>
      </c>
      <c r="W398" s="49">
        <v>54604</v>
      </c>
      <c r="X398" s="48">
        <v>1</v>
      </c>
      <c r="Y398" s="48">
        <v>1</v>
      </c>
      <c r="Z398" s="48">
        <v>1</v>
      </c>
      <c r="AA398" s="156">
        <v>0</v>
      </c>
      <c r="AF398" s="48">
        <v>0</v>
      </c>
      <c r="AG398" s="49" t="s">
        <v>32</v>
      </c>
      <c r="AH398" s="48">
        <v>1</v>
      </c>
      <c r="AI398" s="48" t="s">
        <v>33</v>
      </c>
      <c r="AJ398" s="48" t="s">
        <v>33</v>
      </c>
      <c r="AK398" s="48" t="s">
        <v>33</v>
      </c>
      <c r="AL398" s="48" t="s">
        <v>34</v>
      </c>
      <c r="AN398" s="48">
        <v>0</v>
      </c>
      <c r="AO398" s="48">
        <v>0</v>
      </c>
      <c r="AP398" s="48">
        <v>0</v>
      </c>
      <c r="AQ398" s="48">
        <v>0</v>
      </c>
      <c r="AR398" s="48">
        <v>0</v>
      </c>
      <c r="AS398" s="48">
        <v>0</v>
      </c>
      <c r="AT398" s="48">
        <v>0</v>
      </c>
      <c r="AU398" s="48">
        <v>0</v>
      </c>
      <c r="AV398" s="48">
        <v>0</v>
      </c>
      <c r="AW398" s="48">
        <v>0</v>
      </c>
      <c r="AX398" s="48">
        <v>0</v>
      </c>
      <c r="AY398" s="48">
        <v>0</v>
      </c>
      <c r="AZ398" s="48">
        <v>0</v>
      </c>
      <c r="BA398" s="48">
        <v>0</v>
      </c>
      <c r="BB398" s="48">
        <v>0</v>
      </c>
    </row>
    <row r="399" spans="1:54" x14ac:dyDescent="0.35">
      <c r="A399" s="49">
        <v>45930</v>
      </c>
      <c r="B399" s="48">
        <v>1</v>
      </c>
      <c r="C399" s="50" t="s">
        <v>32</v>
      </c>
      <c r="D399" s="48" t="s">
        <v>31</v>
      </c>
      <c r="E399" s="48" t="s">
        <v>138</v>
      </c>
      <c r="F399" s="48" t="s">
        <v>139</v>
      </c>
      <c r="G399" s="49" t="s">
        <v>59</v>
      </c>
      <c r="H399" s="48" t="s">
        <v>158</v>
      </c>
      <c r="I399" s="48">
        <v>1</v>
      </c>
      <c r="J399" s="48">
        <v>286</v>
      </c>
      <c r="K399" s="48">
        <v>1</v>
      </c>
      <c r="N399" s="48">
        <v>0</v>
      </c>
      <c r="R399" s="49"/>
      <c r="S399" s="49"/>
      <c r="T399" s="49">
        <v>54635</v>
      </c>
      <c r="U399" s="49">
        <v>54635</v>
      </c>
      <c r="V399" s="49">
        <v>54635</v>
      </c>
      <c r="W399" s="49">
        <v>54635</v>
      </c>
      <c r="X399" s="48">
        <v>1</v>
      </c>
      <c r="Y399" s="48">
        <v>1</v>
      </c>
      <c r="Z399" s="48">
        <v>1</v>
      </c>
      <c r="AA399" s="156">
        <v>0</v>
      </c>
      <c r="AF399" s="48">
        <v>0</v>
      </c>
      <c r="AG399" s="49" t="s">
        <v>32</v>
      </c>
      <c r="AH399" s="48">
        <v>1</v>
      </c>
      <c r="AI399" s="48" t="s">
        <v>33</v>
      </c>
      <c r="AJ399" s="48" t="s">
        <v>33</v>
      </c>
      <c r="AK399" s="48" t="s">
        <v>33</v>
      </c>
      <c r="AL399" s="48" t="s">
        <v>34</v>
      </c>
      <c r="AN399" s="48">
        <v>0</v>
      </c>
      <c r="AO399" s="48">
        <v>0</v>
      </c>
      <c r="AP399" s="48">
        <v>0</v>
      </c>
      <c r="AQ399" s="48">
        <v>0</v>
      </c>
      <c r="AR399" s="48">
        <v>0</v>
      </c>
      <c r="AS399" s="48">
        <v>0</v>
      </c>
      <c r="AT399" s="48">
        <v>0</v>
      </c>
      <c r="AU399" s="48">
        <v>0</v>
      </c>
      <c r="AV399" s="48">
        <v>0</v>
      </c>
      <c r="AW399" s="48">
        <v>0</v>
      </c>
      <c r="AX399" s="48">
        <v>0</v>
      </c>
      <c r="AY399" s="48">
        <v>0</v>
      </c>
      <c r="AZ399" s="48">
        <v>0</v>
      </c>
      <c r="BA399" s="48">
        <v>0</v>
      </c>
      <c r="BB399" s="48">
        <v>0</v>
      </c>
    </row>
    <row r="400" spans="1:54" x14ac:dyDescent="0.35">
      <c r="A400" s="49">
        <v>45930</v>
      </c>
      <c r="B400" s="48">
        <v>1</v>
      </c>
      <c r="C400" s="50" t="s">
        <v>32</v>
      </c>
      <c r="D400" s="48" t="s">
        <v>31</v>
      </c>
      <c r="E400" s="48" t="s">
        <v>138</v>
      </c>
      <c r="F400" s="48" t="s">
        <v>139</v>
      </c>
      <c r="G400" s="49" t="s">
        <v>59</v>
      </c>
      <c r="H400" s="48" t="s">
        <v>158</v>
      </c>
      <c r="I400" s="48">
        <v>1</v>
      </c>
      <c r="J400" s="48">
        <v>287</v>
      </c>
      <c r="K400" s="48">
        <v>1</v>
      </c>
      <c r="N400" s="48">
        <v>0</v>
      </c>
      <c r="R400" s="49"/>
      <c r="S400" s="49"/>
      <c r="T400" s="49">
        <v>54666</v>
      </c>
      <c r="U400" s="49">
        <v>54666</v>
      </c>
      <c r="V400" s="49">
        <v>54666</v>
      </c>
      <c r="W400" s="49">
        <v>54666</v>
      </c>
      <c r="X400" s="48">
        <v>1</v>
      </c>
      <c r="Y400" s="48">
        <v>1</v>
      </c>
      <c r="Z400" s="48">
        <v>1</v>
      </c>
      <c r="AA400" s="156">
        <v>0</v>
      </c>
      <c r="AF400" s="48">
        <v>0</v>
      </c>
      <c r="AG400" s="49" t="s">
        <v>32</v>
      </c>
      <c r="AH400" s="48">
        <v>1</v>
      </c>
      <c r="AI400" s="48" t="s">
        <v>33</v>
      </c>
      <c r="AJ400" s="48" t="s">
        <v>33</v>
      </c>
      <c r="AK400" s="48" t="s">
        <v>33</v>
      </c>
      <c r="AL400" s="48" t="s">
        <v>34</v>
      </c>
      <c r="AN400" s="48">
        <v>0</v>
      </c>
      <c r="AO400" s="48">
        <v>0</v>
      </c>
      <c r="AP400" s="48">
        <v>0</v>
      </c>
      <c r="AQ400" s="48">
        <v>0</v>
      </c>
      <c r="AR400" s="48">
        <v>0</v>
      </c>
      <c r="AS400" s="48">
        <v>0</v>
      </c>
      <c r="AT400" s="48">
        <v>0</v>
      </c>
      <c r="AU400" s="48">
        <v>0</v>
      </c>
      <c r="AV400" s="48">
        <v>0</v>
      </c>
      <c r="AW400" s="48">
        <v>0</v>
      </c>
      <c r="AX400" s="48">
        <v>0</v>
      </c>
      <c r="AY400" s="48">
        <v>0</v>
      </c>
      <c r="AZ400" s="48">
        <v>0</v>
      </c>
      <c r="BA400" s="48">
        <v>0</v>
      </c>
      <c r="BB400" s="48">
        <v>0</v>
      </c>
    </row>
    <row r="401" spans="1:54" x14ac:dyDescent="0.35">
      <c r="A401" s="49">
        <v>45930</v>
      </c>
      <c r="B401" s="48">
        <v>1</v>
      </c>
      <c r="C401" s="50" t="s">
        <v>32</v>
      </c>
      <c r="D401" s="48" t="s">
        <v>31</v>
      </c>
      <c r="E401" s="48" t="s">
        <v>138</v>
      </c>
      <c r="F401" s="48" t="s">
        <v>139</v>
      </c>
      <c r="G401" s="49" t="s">
        <v>59</v>
      </c>
      <c r="H401" s="48" t="s">
        <v>158</v>
      </c>
      <c r="I401" s="48">
        <v>1</v>
      </c>
      <c r="J401" s="48">
        <v>288</v>
      </c>
      <c r="K401" s="48">
        <v>1</v>
      </c>
      <c r="N401" s="48">
        <v>0</v>
      </c>
      <c r="R401" s="49"/>
      <c r="S401" s="49"/>
      <c r="T401" s="49">
        <v>54696</v>
      </c>
      <c r="U401" s="49">
        <v>54696</v>
      </c>
      <c r="V401" s="49">
        <v>54696</v>
      </c>
      <c r="W401" s="49">
        <v>54696</v>
      </c>
      <c r="X401" s="48">
        <v>1</v>
      </c>
      <c r="Y401" s="48">
        <v>1</v>
      </c>
      <c r="Z401" s="48">
        <v>1</v>
      </c>
      <c r="AA401" s="156">
        <v>0</v>
      </c>
      <c r="AF401" s="48">
        <v>0</v>
      </c>
      <c r="AG401" s="49" t="s">
        <v>32</v>
      </c>
      <c r="AH401" s="48">
        <v>1</v>
      </c>
      <c r="AI401" s="48" t="s">
        <v>33</v>
      </c>
      <c r="AJ401" s="48" t="s">
        <v>33</v>
      </c>
      <c r="AK401" s="48" t="s">
        <v>33</v>
      </c>
      <c r="AL401" s="48" t="s">
        <v>34</v>
      </c>
      <c r="AN401" s="48">
        <v>0</v>
      </c>
      <c r="AO401" s="48">
        <v>0</v>
      </c>
      <c r="AP401" s="48">
        <v>0</v>
      </c>
      <c r="AQ401" s="48">
        <v>0</v>
      </c>
      <c r="AR401" s="48">
        <v>0</v>
      </c>
      <c r="AS401" s="48">
        <v>0</v>
      </c>
      <c r="AT401" s="48">
        <v>0</v>
      </c>
      <c r="AU401" s="48">
        <v>0</v>
      </c>
      <c r="AV401" s="48">
        <v>0</v>
      </c>
      <c r="AW401" s="48">
        <v>0</v>
      </c>
      <c r="AX401" s="48">
        <v>0</v>
      </c>
      <c r="AY401" s="48">
        <v>0</v>
      </c>
      <c r="AZ401" s="48">
        <v>0</v>
      </c>
      <c r="BA401" s="48">
        <v>0</v>
      </c>
      <c r="BB401" s="48">
        <v>0</v>
      </c>
    </row>
    <row r="402" spans="1:54" x14ac:dyDescent="0.35">
      <c r="A402" s="49">
        <v>45930</v>
      </c>
      <c r="B402" s="48">
        <v>1</v>
      </c>
      <c r="C402" s="50" t="s">
        <v>32</v>
      </c>
      <c r="D402" s="48" t="s">
        <v>31</v>
      </c>
      <c r="E402" s="48" t="s">
        <v>138</v>
      </c>
      <c r="F402" s="48" t="s">
        <v>139</v>
      </c>
      <c r="G402" s="49" t="s">
        <v>59</v>
      </c>
      <c r="H402" s="48" t="s">
        <v>158</v>
      </c>
      <c r="I402" s="48">
        <v>1</v>
      </c>
      <c r="J402" s="48">
        <v>289</v>
      </c>
      <c r="K402" s="48">
        <v>1</v>
      </c>
      <c r="N402" s="48">
        <v>0</v>
      </c>
      <c r="R402" s="49"/>
      <c r="S402" s="49"/>
      <c r="T402" s="49">
        <v>54727</v>
      </c>
      <c r="U402" s="49">
        <v>54727</v>
      </c>
      <c r="V402" s="49">
        <v>54727</v>
      </c>
      <c r="W402" s="49">
        <v>54727</v>
      </c>
      <c r="X402" s="48">
        <v>1</v>
      </c>
      <c r="Y402" s="48">
        <v>1</v>
      </c>
      <c r="Z402" s="48">
        <v>1</v>
      </c>
      <c r="AA402" s="156">
        <v>0</v>
      </c>
      <c r="AF402" s="48">
        <v>0</v>
      </c>
      <c r="AG402" s="49" t="s">
        <v>32</v>
      </c>
      <c r="AH402" s="48">
        <v>1</v>
      </c>
      <c r="AI402" s="48" t="s">
        <v>33</v>
      </c>
      <c r="AJ402" s="48" t="s">
        <v>33</v>
      </c>
      <c r="AK402" s="48" t="s">
        <v>33</v>
      </c>
      <c r="AL402" s="48" t="s">
        <v>34</v>
      </c>
      <c r="AN402" s="48">
        <v>0</v>
      </c>
      <c r="AO402" s="48">
        <v>0</v>
      </c>
      <c r="AP402" s="48">
        <v>0</v>
      </c>
      <c r="AQ402" s="48">
        <v>0</v>
      </c>
      <c r="AR402" s="48">
        <v>0</v>
      </c>
      <c r="AS402" s="48">
        <v>0</v>
      </c>
      <c r="AT402" s="48">
        <v>0</v>
      </c>
      <c r="AU402" s="48">
        <v>0</v>
      </c>
      <c r="AV402" s="48">
        <v>0</v>
      </c>
      <c r="AW402" s="48">
        <v>0</v>
      </c>
      <c r="AX402" s="48">
        <v>0</v>
      </c>
      <c r="AY402" s="48">
        <v>0</v>
      </c>
      <c r="AZ402" s="48">
        <v>0</v>
      </c>
      <c r="BA402" s="48">
        <v>0</v>
      </c>
      <c r="BB402" s="48">
        <v>0</v>
      </c>
    </row>
    <row r="403" spans="1:54" x14ac:dyDescent="0.35">
      <c r="A403" s="49">
        <v>45930</v>
      </c>
      <c r="B403" s="48">
        <v>1</v>
      </c>
      <c r="C403" s="50" t="s">
        <v>32</v>
      </c>
      <c r="D403" s="48" t="s">
        <v>31</v>
      </c>
      <c r="E403" s="48" t="s">
        <v>138</v>
      </c>
      <c r="F403" s="48" t="s">
        <v>139</v>
      </c>
      <c r="G403" s="49" t="s">
        <v>59</v>
      </c>
      <c r="H403" s="48" t="s">
        <v>158</v>
      </c>
      <c r="I403" s="48">
        <v>1</v>
      </c>
      <c r="J403" s="48">
        <v>290</v>
      </c>
      <c r="K403" s="48">
        <v>1</v>
      </c>
      <c r="N403" s="48">
        <v>0</v>
      </c>
      <c r="R403" s="49"/>
      <c r="S403" s="49"/>
      <c r="T403" s="49">
        <v>54757</v>
      </c>
      <c r="U403" s="49">
        <v>54757</v>
      </c>
      <c r="V403" s="49">
        <v>54757</v>
      </c>
      <c r="W403" s="49">
        <v>54757</v>
      </c>
      <c r="X403" s="48">
        <v>1</v>
      </c>
      <c r="Y403" s="48">
        <v>1</v>
      </c>
      <c r="Z403" s="48">
        <v>1</v>
      </c>
      <c r="AA403" s="156">
        <v>0</v>
      </c>
      <c r="AF403" s="48">
        <v>0</v>
      </c>
      <c r="AG403" s="49" t="s">
        <v>32</v>
      </c>
      <c r="AH403" s="48">
        <v>1</v>
      </c>
      <c r="AI403" s="48" t="s">
        <v>33</v>
      </c>
      <c r="AJ403" s="48" t="s">
        <v>33</v>
      </c>
      <c r="AK403" s="48" t="s">
        <v>33</v>
      </c>
      <c r="AL403" s="48" t="s">
        <v>34</v>
      </c>
      <c r="AN403" s="48">
        <v>0</v>
      </c>
      <c r="AO403" s="48">
        <v>0</v>
      </c>
      <c r="AP403" s="48">
        <v>0</v>
      </c>
      <c r="AQ403" s="48">
        <v>0</v>
      </c>
      <c r="AR403" s="48">
        <v>0</v>
      </c>
      <c r="AS403" s="48">
        <v>0</v>
      </c>
      <c r="AT403" s="48">
        <v>0</v>
      </c>
      <c r="AU403" s="48">
        <v>0</v>
      </c>
      <c r="AV403" s="48">
        <v>0</v>
      </c>
      <c r="AW403" s="48">
        <v>0</v>
      </c>
      <c r="AX403" s="48">
        <v>0</v>
      </c>
      <c r="AY403" s="48">
        <v>0</v>
      </c>
      <c r="AZ403" s="48">
        <v>0</v>
      </c>
      <c r="BA403" s="48">
        <v>0</v>
      </c>
      <c r="BB403" s="48">
        <v>0</v>
      </c>
    </row>
    <row r="404" spans="1:54" x14ac:dyDescent="0.35">
      <c r="A404" s="49">
        <v>45930</v>
      </c>
      <c r="B404" s="48">
        <v>1</v>
      </c>
      <c r="C404" s="50" t="s">
        <v>32</v>
      </c>
      <c r="D404" s="48" t="s">
        <v>31</v>
      </c>
      <c r="E404" s="48" t="s">
        <v>138</v>
      </c>
      <c r="F404" s="48" t="s">
        <v>139</v>
      </c>
      <c r="G404" s="49" t="s">
        <v>59</v>
      </c>
      <c r="H404" s="48" t="s">
        <v>158</v>
      </c>
      <c r="I404" s="48">
        <v>1</v>
      </c>
      <c r="J404" s="48">
        <v>291</v>
      </c>
      <c r="K404" s="48">
        <v>1</v>
      </c>
      <c r="N404" s="48">
        <v>0</v>
      </c>
      <c r="R404" s="49"/>
      <c r="S404" s="49"/>
      <c r="T404" s="49">
        <v>54788</v>
      </c>
      <c r="U404" s="49">
        <v>54788</v>
      </c>
      <c r="V404" s="49">
        <v>54788</v>
      </c>
      <c r="W404" s="49">
        <v>54788</v>
      </c>
      <c r="X404" s="48">
        <v>1</v>
      </c>
      <c r="Y404" s="48">
        <v>1</v>
      </c>
      <c r="Z404" s="48">
        <v>1</v>
      </c>
      <c r="AA404" s="156">
        <v>0</v>
      </c>
      <c r="AF404" s="48">
        <v>0</v>
      </c>
      <c r="AG404" s="49" t="s">
        <v>32</v>
      </c>
      <c r="AH404" s="48">
        <v>1</v>
      </c>
      <c r="AI404" s="48" t="s">
        <v>33</v>
      </c>
      <c r="AJ404" s="48" t="s">
        <v>33</v>
      </c>
      <c r="AK404" s="48" t="s">
        <v>33</v>
      </c>
      <c r="AL404" s="48" t="s">
        <v>34</v>
      </c>
      <c r="AN404" s="48">
        <v>0</v>
      </c>
      <c r="AO404" s="48">
        <v>0</v>
      </c>
      <c r="AP404" s="48">
        <v>0</v>
      </c>
      <c r="AQ404" s="48">
        <v>0</v>
      </c>
      <c r="AR404" s="48">
        <v>0</v>
      </c>
      <c r="AS404" s="48">
        <v>0</v>
      </c>
      <c r="AT404" s="48">
        <v>0</v>
      </c>
      <c r="AU404" s="48">
        <v>0</v>
      </c>
      <c r="AV404" s="48">
        <v>0</v>
      </c>
      <c r="AW404" s="48">
        <v>0</v>
      </c>
      <c r="AX404" s="48">
        <v>0</v>
      </c>
      <c r="AY404" s="48">
        <v>0</v>
      </c>
      <c r="AZ404" s="48">
        <v>0</v>
      </c>
      <c r="BA404" s="48">
        <v>0</v>
      </c>
      <c r="BB404" s="48">
        <v>0</v>
      </c>
    </row>
    <row r="405" spans="1:54" x14ac:dyDescent="0.35">
      <c r="A405" s="49">
        <v>45930</v>
      </c>
      <c r="B405" s="48">
        <v>1</v>
      </c>
      <c r="C405" s="50" t="s">
        <v>32</v>
      </c>
      <c r="D405" s="48" t="s">
        <v>31</v>
      </c>
      <c r="E405" s="48" t="s">
        <v>138</v>
      </c>
      <c r="F405" s="48" t="s">
        <v>139</v>
      </c>
      <c r="G405" s="49" t="s">
        <v>59</v>
      </c>
      <c r="H405" s="48" t="s">
        <v>158</v>
      </c>
      <c r="I405" s="48">
        <v>1</v>
      </c>
      <c r="J405" s="48">
        <v>292</v>
      </c>
      <c r="K405" s="48">
        <v>1</v>
      </c>
      <c r="N405" s="48">
        <v>0</v>
      </c>
      <c r="R405" s="49"/>
      <c r="S405" s="49"/>
      <c r="T405" s="49">
        <v>54819</v>
      </c>
      <c r="U405" s="49">
        <v>54819</v>
      </c>
      <c r="V405" s="49">
        <v>54819</v>
      </c>
      <c r="W405" s="49">
        <v>54819</v>
      </c>
      <c r="X405" s="48">
        <v>1</v>
      </c>
      <c r="Y405" s="48">
        <v>1</v>
      </c>
      <c r="Z405" s="48">
        <v>1</v>
      </c>
      <c r="AA405" s="156">
        <v>0</v>
      </c>
      <c r="AF405" s="48">
        <v>0</v>
      </c>
      <c r="AG405" s="49" t="s">
        <v>32</v>
      </c>
      <c r="AH405" s="48">
        <v>1</v>
      </c>
      <c r="AI405" s="48" t="s">
        <v>33</v>
      </c>
      <c r="AJ405" s="48" t="s">
        <v>33</v>
      </c>
      <c r="AK405" s="48" t="s">
        <v>33</v>
      </c>
      <c r="AL405" s="48" t="s">
        <v>34</v>
      </c>
      <c r="AN405" s="48">
        <v>0</v>
      </c>
      <c r="AO405" s="48">
        <v>0</v>
      </c>
      <c r="AP405" s="48">
        <v>0</v>
      </c>
      <c r="AQ405" s="48">
        <v>0</v>
      </c>
      <c r="AR405" s="48">
        <v>0</v>
      </c>
      <c r="AS405" s="48">
        <v>0</v>
      </c>
      <c r="AT405" s="48">
        <v>0</v>
      </c>
      <c r="AU405" s="48">
        <v>0</v>
      </c>
      <c r="AV405" s="48">
        <v>0</v>
      </c>
      <c r="AW405" s="48">
        <v>0</v>
      </c>
      <c r="AX405" s="48">
        <v>0</v>
      </c>
      <c r="AY405" s="48">
        <v>0</v>
      </c>
      <c r="AZ405" s="48">
        <v>0</v>
      </c>
      <c r="BA405" s="48">
        <v>0</v>
      </c>
      <c r="BB405" s="48">
        <v>0</v>
      </c>
    </row>
    <row r="406" spans="1:54" x14ac:dyDescent="0.35">
      <c r="A406" s="49">
        <v>45930</v>
      </c>
      <c r="B406" s="48">
        <v>1</v>
      </c>
      <c r="C406" s="50" t="s">
        <v>32</v>
      </c>
      <c r="D406" s="48" t="s">
        <v>31</v>
      </c>
      <c r="E406" s="48" t="s">
        <v>138</v>
      </c>
      <c r="F406" s="48" t="s">
        <v>139</v>
      </c>
      <c r="G406" s="49" t="s">
        <v>59</v>
      </c>
      <c r="H406" s="48" t="s">
        <v>158</v>
      </c>
      <c r="I406" s="48">
        <v>1</v>
      </c>
      <c r="J406" s="48">
        <v>293</v>
      </c>
      <c r="K406" s="48">
        <v>1</v>
      </c>
      <c r="N406" s="48">
        <v>0</v>
      </c>
      <c r="R406" s="49"/>
      <c r="S406" s="49"/>
      <c r="T406" s="49">
        <v>54847</v>
      </c>
      <c r="U406" s="49">
        <v>54847</v>
      </c>
      <c r="V406" s="49">
        <v>54847</v>
      </c>
      <c r="W406" s="49">
        <v>54847</v>
      </c>
      <c r="X406" s="48">
        <v>1</v>
      </c>
      <c r="Y406" s="48">
        <v>1</v>
      </c>
      <c r="Z406" s="48">
        <v>1</v>
      </c>
      <c r="AA406" s="156">
        <v>0</v>
      </c>
      <c r="AF406" s="48">
        <v>0</v>
      </c>
      <c r="AG406" s="49" t="s">
        <v>32</v>
      </c>
      <c r="AH406" s="48">
        <v>1</v>
      </c>
      <c r="AI406" s="48" t="s">
        <v>33</v>
      </c>
      <c r="AJ406" s="48" t="s">
        <v>33</v>
      </c>
      <c r="AK406" s="48" t="s">
        <v>33</v>
      </c>
      <c r="AL406" s="48" t="s">
        <v>34</v>
      </c>
      <c r="AN406" s="48">
        <v>0</v>
      </c>
      <c r="AO406" s="48">
        <v>0</v>
      </c>
      <c r="AP406" s="48">
        <v>0</v>
      </c>
      <c r="AQ406" s="48">
        <v>0</v>
      </c>
      <c r="AR406" s="48">
        <v>0</v>
      </c>
      <c r="AS406" s="48">
        <v>0</v>
      </c>
      <c r="AT406" s="48">
        <v>0</v>
      </c>
      <c r="AU406" s="48">
        <v>0</v>
      </c>
      <c r="AV406" s="48">
        <v>0</v>
      </c>
      <c r="AW406" s="48">
        <v>0</v>
      </c>
      <c r="AX406" s="48">
        <v>0</v>
      </c>
      <c r="AY406" s="48">
        <v>0</v>
      </c>
      <c r="AZ406" s="48">
        <v>0</v>
      </c>
      <c r="BA406" s="48">
        <v>0</v>
      </c>
      <c r="BB406" s="48">
        <v>0</v>
      </c>
    </row>
    <row r="407" spans="1:54" x14ac:dyDescent="0.35">
      <c r="A407" s="49">
        <v>45930</v>
      </c>
      <c r="B407" s="48">
        <v>1</v>
      </c>
      <c r="C407" s="50" t="s">
        <v>32</v>
      </c>
      <c r="D407" s="48" t="s">
        <v>31</v>
      </c>
      <c r="E407" s="48" t="s">
        <v>138</v>
      </c>
      <c r="F407" s="48" t="s">
        <v>139</v>
      </c>
      <c r="G407" s="49" t="s">
        <v>59</v>
      </c>
      <c r="H407" s="48" t="s">
        <v>158</v>
      </c>
      <c r="I407" s="48">
        <v>1</v>
      </c>
      <c r="J407" s="48">
        <v>294</v>
      </c>
      <c r="K407" s="48">
        <v>1</v>
      </c>
      <c r="N407" s="48">
        <v>0</v>
      </c>
      <c r="R407" s="49"/>
      <c r="S407" s="49"/>
      <c r="T407" s="49">
        <v>54878</v>
      </c>
      <c r="U407" s="49">
        <v>54878</v>
      </c>
      <c r="V407" s="49">
        <v>54878</v>
      </c>
      <c r="W407" s="49">
        <v>54878</v>
      </c>
      <c r="X407" s="48">
        <v>1</v>
      </c>
      <c r="Y407" s="48">
        <v>1</v>
      </c>
      <c r="Z407" s="48">
        <v>1</v>
      </c>
      <c r="AA407" s="156">
        <v>0</v>
      </c>
      <c r="AF407" s="48">
        <v>0</v>
      </c>
      <c r="AG407" s="49" t="s">
        <v>32</v>
      </c>
      <c r="AH407" s="48">
        <v>1</v>
      </c>
      <c r="AI407" s="48" t="s">
        <v>33</v>
      </c>
      <c r="AJ407" s="48" t="s">
        <v>33</v>
      </c>
      <c r="AK407" s="48" t="s">
        <v>33</v>
      </c>
      <c r="AL407" s="48" t="s">
        <v>34</v>
      </c>
      <c r="AN407" s="48">
        <v>0</v>
      </c>
      <c r="AO407" s="48">
        <v>0</v>
      </c>
      <c r="AP407" s="48">
        <v>0</v>
      </c>
      <c r="AQ407" s="48">
        <v>0</v>
      </c>
      <c r="AR407" s="48">
        <v>0</v>
      </c>
      <c r="AS407" s="48">
        <v>0</v>
      </c>
      <c r="AT407" s="48">
        <v>0</v>
      </c>
      <c r="AU407" s="48">
        <v>0</v>
      </c>
      <c r="AV407" s="48">
        <v>0</v>
      </c>
      <c r="AW407" s="48">
        <v>0</v>
      </c>
      <c r="AX407" s="48">
        <v>0</v>
      </c>
      <c r="AY407" s="48">
        <v>0</v>
      </c>
      <c r="AZ407" s="48">
        <v>0</v>
      </c>
      <c r="BA407" s="48">
        <v>0</v>
      </c>
      <c r="BB407" s="48">
        <v>0</v>
      </c>
    </row>
    <row r="408" spans="1:54" x14ac:dyDescent="0.35">
      <c r="A408" s="49">
        <v>45930</v>
      </c>
      <c r="B408" s="48">
        <v>1</v>
      </c>
      <c r="C408" s="50" t="s">
        <v>32</v>
      </c>
      <c r="D408" s="48" t="s">
        <v>31</v>
      </c>
      <c r="E408" s="48" t="s">
        <v>138</v>
      </c>
      <c r="F408" s="48" t="s">
        <v>139</v>
      </c>
      <c r="G408" s="49" t="s">
        <v>59</v>
      </c>
      <c r="H408" s="48" t="s">
        <v>61</v>
      </c>
      <c r="I408" s="48">
        <v>1</v>
      </c>
      <c r="K408" s="48">
        <v>1</v>
      </c>
      <c r="N408" s="48">
        <v>0</v>
      </c>
      <c r="R408" s="49"/>
      <c r="S408" s="49"/>
      <c r="T408" s="49">
        <v>45931</v>
      </c>
      <c r="U408" s="49">
        <v>45931</v>
      </c>
      <c r="V408" s="49">
        <v>45931</v>
      </c>
      <c r="W408" s="49">
        <v>45931</v>
      </c>
      <c r="X408" s="48">
        <v>1</v>
      </c>
      <c r="Y408" s="48">
        <v>1</v>
      </c>
      <c r="Z408" s="48">
        <v>1</v>
      </c>
      <c r="AA408" s="156">
        <v>36724</v>
      </c>
      <c r="AF408" s="48">
        <v>0</v>
      </c>
      <c r="AG408" s="49" t="s">
        <v>32</v>
      </c>
      <c r="AH408" s="48">
        <v>1</v>
      </c>
      <c r="AI408" s="48" t="s">
        <v>33</v>
      </c>
      <c r="AJ408" s="48" t="s">
        <v>33</v>
      </c>
      <c r="AK408" s="48" t="s">
        <v>33</v>
      </c>
      <c r="AL408" s="48" t="s">
        <v>34</v>
      </c>
      <c r="AN408" s="48">
        <v>0</v>
      </c>
      <c r="AO408" s="48">
        <v>0</v>
      </c>
      <c r="AP408" s="48">
        <v>0</v>
      </c>
      <c r="AQ408" s="48">
        <v>0</v>
      </c>
      <c r="AR408" s="48">
        <v>0</v>
      </c>
      <c r="AS408" s="48">
        <v>0</v>
      </c>
      <c r="AT408" s="48">
        <v>0</v>
      </c>
      <c r="AU408" s="48">
        <v>0</v>
      </c>
      <c r="AV408" s="48">
        <v>0</v>
      </c>
      <c r="AW408" s="48">
        <v>0</v>
      </c>
      <c r="AX408" s="48">
        <v>0</v>
      </c>
      <c r="AY408" s="48">
        <v>0</v>
      </c>
      <c r="AZ408" s="48">
        <v>0</v>
      </c>
      <c r="BA408" s="48">
        <v>0</v>
      </c>
      <c r="BB408" s="48">
        <v>0</v>
      </c>
    </row>
    <row r="409" spans="1:54" x14ac:dyDescent="0.35">
      <c r="A409" s="49">
        <v>45930</v>
      </c>
      <c r="B409" s="48">
        <v>1</v>
      </c>
      <c r="C409" s="50" t="s">
        <v>32</v>
      </c>
      <c r="D409" s="48" t="s">
        <v>31</v>
      </c>
      <c r="E409" s="48" t="s">
        <v>138</v>
      </c>
      <c r="F409" s="48" t="s">
        <v>139</v>
      </c>
      <c r="G409" s="49" t="s">
        <v>59</v>
      </c>
      <c r="H409" s="48" t="s">
        <v>160</v>
      </c>
      <c r="I409" s="48">
        <v>1</v>
      </c>
      <c r="J409" s="48">
        <v>1</v>
      </c>
      <c r="K409" s="48">
        <v>1</v>
      </c>
      <c r="N409" s="48">
        <v>0</v>
      </c>
      <c r="R409" s="49"/>
      <c r="S409" s="49"/>
      <c r="T409" s="49">
        <v>45961</v>
      </c>
      <c r="U409" s="49">
        <v>45961</v>
      </c>
      <c r="V409" s="49">
        <v>45961</v>
      </c>
      <c r="W409" s="49">
        <v>45961</v>
      </c>
      <c r="X409" s="48">
        <v>1</v>
      </c>
      <c r="Y409" s="48">
        <v>1</v>
      </c>
      <c r="Z409" s="48">
        <v>1</v>
      </c>
      <c r="AA409" s="156">
        <v>8390.977733491969</v>
      </c>
      <c r="AF409" s="48">
        <v>0</v>
      </c>
      <c r="AG409" s="49" t="s">
        <v>32</v>
      </c>
      <c r="AH409" s="48">
        <v>1</v>
      </c>
      <c r="AI409" s="48" t="s">
        <v>33</v>
      </c>
      <c r="AJ409" s="48" t="s">
        <v>33</v>
      </c>
      <c r="AK409" s="48" t="s">
        <v>33</v>
      </c>
      <c r="AL409" s="48" t="s">
        <v>34</v>
      </c>
      <c r="AN409" s="48">
        <v>0</v>
      </c>
      <c r="AO409" s="48">
        <v>0</v>
      </c>
      <c r="AP409" s="48">
        <v>0</v>
      </c>
      <c r="AQ409" s="48">
        <v>0</v>
      </c>
      <c r="AR409" s="48">
        <v>0</v>
      </c>
      <c r="AS409" s="48">
        <v>0</v>
      </c>
      <c r="AT409" s="48">
        <v>0</v>
      </c>
      <c r="AU409" s="48">
        <v>0</v>
      </c>
      <c r="AV409" s="48">
        <v>0</v>
      </c>
      <c r="AW409" s="48">
        <v>0</v>
      </c>
      <c r="AX409" s="48">
        <v>0</v>
      </c>
      <c r="AY409" s="48">
        <v>0</v>
      </c>
      <c r="AZ409" s="48">
        <v>0</v>
      </c>
      <c r="BA409" s="48">
        <v>0</v>
      </c>
      <c r="BB409" s="48">
        <v>0</v>
      </c>
    </row>
    <row r="410" spans="1:54" x14ac:dyDescent="0.35">
      <c r="A410" s="49">
        <v>45930</v>
      </c>
      <c r="B410" s="48">
        <v>1</v>
      </c>
      <c r="C410" s="50" t="s">
        <v>32</v>
      </c>
      <c r="D410" s="48" t="s">
        <v>31</v>
      </c>
      <c r="E410" s="48" t="s">
        <v>138</v>
      </c>
      <c r="F410" s="48" t="s">
        <v>139</v>
      </c>
      <c r="G410" s="49" t="s">
        <v>59</v>
      </c>
      <c r="H410" s="48" t="s">
        <v>160</v>
      </c>
      <c r="I410" s="48">
        <v>1</v>
      </c>
      <c r="J410" s="48">
        <v>2</v>
      </c>
      <c r="K410" s="48">
        <v>1</v>
      </c>
      <c r="N410" s="48">
        <v>0</v>
      </c>
      <c r="R410" s="49"/>
      <c r="S410" s="49"/>
      <c r="T410" s="49">
        <v>45991</v>
      </c>
      <c r="U410" s="49">
        <v>45991</v>
      </c>
      <c r="V410" s="49">
        <v>45991</v>
      </c>
      <c r="W410" s="49">
        <v>45991</v>
      </c>
      <c r="X410" s="48">
        <v>1</v>
      </c>
      <c r="Y410" s="48">
        <v>1</v>
      </c>
      <c r="Z410" s="48">
        <v>1</v>
      </c>
      <c r="AA410" s="156">
        <v>8390.977733491969</v>
      </c>
      <c r="AF410" s="48">
        <v>0</v>
      </c>
      <c r="AG410" s="49" t="s">
        <v>32</v>
      </c>
      <c r="AH410" s="48">
        <v>1</v>
      </c>
      <c r="AI410" s="48" t="s">
        <v>33</v>
      </c>
      <c r="AJ410" s="48" t="s">
        <v>33</v>
      </c>
      <c r="AK410" s="48" t="s">
        <v>33</v>
      </c>
      <c r="AL410" s="48" t="s">
        <v>34</v>
      </c>
      <c r="AN410" s="48">
        <v>0</v>
      </c>
      <c r="AO410" s="48">
        <v>0</v>
      </c>
      <c r="AP410" s="48">
        <v>0</v>
      </c>
      <c r="AQ410" s="48">
        <v>0</v>
      </c>
      <c r="AR410" s="48">
        <v>0</v>
      </c>
      <c r="AS410" s="48">
        <v>0</v>
      </c>
      <c r="AT410" s="48">
        <v>0</v>
      </c>
      <c r="AU410" s="48">
        <v>0</v>
      </c>
      <c r="AV410" s="48">
        <v>0</v>
      </c>
      <c r="AW410" s="48">
        <v>0</v>
      </c>
      <c r="AX410" s="48">
        <v>0</v>
      </c>
      <c r="AY410" s="48">
        <v>0</v>
      </c>
      <c r="AZ410" s="48">
        <v>0</v>
      </c>
      <c r="BA410" s="48">
        <v>0</v>
      </c>
      <c r="BB410" s="48">
        <v>0</v>
      </c>
    </row>
    <row r="411" spans="1:54" x14ac:dyDescent="0.35">
      <c r="A411" s="49">
        <v>45930</v>
      </c>
      <c r="B411" s="48">
        <v>1</v>
      </c>
      <c r="C411" s="50" t="s">
        <v>32</v>
      </c>
      <c r="D411" s="48" t="s">
        <v>31</v>
      </c>
      <c r="E411" s="48" t="s">
        <v>138</v>
      </c>
      <c r="F411" s="48" t="s">
        <v>139</v>
      </c>
      <c r="G411" s="49" t="s">
        <v>59</v>
      </c>
      <c r="H411" s="48" t="s">
        <v>160</v>
      </c>
      <c r="I411" s="48">
        <v>1</v>
      </c>
      <c r="J411" s="48">
        <v>3</v>
      </c>
      <c r="K411" s="48">
        <v>1</v>
      </c>
      <c r="N411" s="48">
        <v>0</v>
      </c>
      <c r="R411" s="49"/>
      <c r="S411" s="49"/>
      <c r="T411" s="49">
        <v>46022</v>
      </c>
      <c r="U411" s="49">
        <v>46022</v>
      </c>
      <c r="V411" s="49">
        <v>46022</v>
      </c>
      <c r="W411" s="49">
        <v>46022</v>
      </c>
      <c r="X411" s="48">
        <v>1</v>
      </c>
      <c r="Y411" s="48">
        <v>1</v>
      </c>
      <c r="Z411" s="48">
        <v>1</v>
      </c>
      <c r="AA411" s="156">
        <v>8390.977733491969</v>
      </c>
      <c r="AF411" s="48">
        <v>0</v>
      </c>
      <c r="AG411" s="49" t="s">
        <v>32</v>
      </c>
      <c r="AH411" s="48">
        <v>1</v>
      </c>
      <c r="AI411" s="48" t="s">
        <v>33</v>
      </c>
      <c r="AJ411" s="48" t="s">
        <v>33</v>
      </c>
      <c r="AK411" s="48" t="s">
        <v>33</v>
      </c>
      <c r="AL411" s="48" t="s">
        <v>34</v>
      </c>
      <c r="AN411" s="48">
        <v>0</v>
      </c>
      <c r="AO411" s="48">
        <v>0</v>
      </c>
      <c r="AP411" s="48">
        <v>0</v>
      </c>
      <c r="AQ411" s="48">
        <v>0</v>
      </c>
      <c r="AR411" s="48">
        <v>0</v>
      </c>
      <c r="AS411" s="48">
        <v>0</v>
      </c>
      <c r="AT411" s="48">
        <v>0</v>
      </c>
      <c r="AU411" s="48">
        <v>0</v>
      </c>
      <c r="AV411" s="48">
        <v>0</v>
      </c>
      <c r="AW411" s="48">
        <v>0</v>
      </c>
      <c r="AX411" s="48">
        <v>0</v>
      </c>
      <c r="AY411" s="48">
        <v>0</v>
      </c>
      <c r="AZ411" s="48">
        <v>0</v>
      </c>
      <c r="BA411" s="48">
        <v>0</v>
      </c>
      <c r="BB411" s="48">
        <v>0</v>
      </c>
    </row>
    <row r="412" spans="1:54" x14ac:dyDescent="0.35">
      <c r="A412" s="49">
        <v>45930</v>
      </c>
      <c r="B412" s="48">
        <v>1</v>
      </c>
      <c r="C412" s="50" t="s">
        <v>32</v>
      </c>
      <c r="D412" s="48" t="s">
        <v>31</v>
      </c>
      <c r="E412" s="48" t="s">
        <v>138</v>
      </c>
      <c r="F412" s="48" t="s">
        <v>139</v>
      </c>
      <c r="G412" s="49" t="s">
        <v>59</v>
      </c>
      <c r="H412" s="48" t="s">
        <v>160</v>
      </c>
      <c r="I412" s="48">
        <v>1</v>
      </c>
      <c r="J412" s="48">
        <v>4</v>
      </c>
      <c r="K412" s="48">
        <v>1</v>
      </c>
      <c r="N412" s="48">
        <v>0</v>
      </c>
      <c r="R412" s="49"/>
      <c r="S412" s="49"/>
      <c r="T412" s="49">
        <v>46053</v>
      </c>
      <c r="U412" s="49">
        <v>46053</v>
      </c>
      <c r="V412" s="49">
        <v>46053</v>
      </c>
      <c r="W412" s="49">
        <v>46053</v>
      </c>
      <c r="X412" s="48">
        <v>1</v>
      </c>
      <c r="Y412" s="48">
        <v>1</v>
      </c>
      <c r="Z412" s="48">
        <v>1</v>
      </c>
      <c r="AA412" s="156">
        <v>8390.977733491969</v>
      </c>
      <c r="AF412" s="48">
        <v>0</v>
      </c>
      <c r="AG412" s="49" t="s">
        <v>32</v>
      </c>
      <c r="AH412" s="48">
        <v>1</v>
      </c>
      <c r="AI412" s="48" t="s">
        <v>33</v>
      </c>
      <c r="AJ412" s="48" t="s">
        <v>33</v>
      </c>
      <c r="AK412" s="48" t="s">
        <v>33</v>
      </c>
      <c r="AL412" s="48" t="s">
        <v>34</v>
      </c>
      <c r="AN412" s="48">
        <v>0</v>
      </c>
      <c r="AO412" s="48">
        <v>0</v>
      </c>
      <c r="AP412" s="48">
        <v>0</v>
      </c>
      <c r="AQ412" s="48">
        <v>0</v>
      </c>
      <c r="AR412" s="48">
        <v>0</v>
      </c>
      <c r="AS412" s="48">
        <v>0</v>
      </c>
      <c r="AT412" s="48">
        <v>0</v>
      </c>
      <c r="AU412" s="48">
        <v>0</v>
      </c>
      <c r="AV412" s="48">
        <v>0</v>
      </c>
      <c r="AW412" s="48">
        <v>0</v>
      </c>
      <c r="AX412" s="48">
        <v>0</v>
      </c>
      <c r="AY412" s="48">
        <v>0</v>
      </c>
      <c r="AZ412" s="48">
        <v>0</v>
      </c>
      <c r="BA412" s="48">
        <v>0</v>
      </c>
      <c r="BB412" s="48">
        <v>0</v>
      </c>
    </row>
    <row r="413" spans="1:54" x14ac:dyDescent="0.35">
      <c r="A413" s="49">
        <v>45930</v>
      </c>
      <c r="B413" s="48">
        <v>1</v>
      </c>
      <c r="C413" s="50" t="s">
        <v>32</v>
      </c>
      <c r="D413" s="48" t="s">
        <v>31</v>
      </c>
      <c r="E413" s="48" t="s">
        <v>138</v>
      </c>
      <c r="F413" s="48" t="s">
        <v>139</v>
      </c>
      <c r="G413" s="49" t="s">
        <v>59</v>
      </c>
      <c r="H413" s="48" t="s">
        <v>160</v>
      </c>
      <c r="I413" s="48">
        <v>1</v>
      </c>
      <c r="J413" s="48">
        <v>5</v>
      </c>
      <c r="K413" s="48">
        <v>1</v>
      </c>
      <c r="N413" s="48">
        <v>0</v>
      </c>
      <c r="R413" s="49"/>
      <c r="S413" s="49"/>
      <c r="T413" s="49">
        <v>46081</v>
      </c>
      <c r="U413" s="49">
        <v>46081</v>
      </c>
      <c r="V413" s="49">
        <v>46081</v>
      </c>
      <c r="W413" s="49">
        <v>46081</v>
      </c>
      <c r="X413" s="48">
        <v>1</v>
      </c>
      <c r="Y413" s="48">
        <v>1</v>
      </c>
      <c r="Z413" s="48">
        <v>1</v>
      </c>
      <c r="AA413" s="156">
        <v>8390.977733491969</v>
      </c>
      <c r="AF413" s="48">
        <v>0</v>
      </c>
      <c r="AG413" s="49" t="s">
        <v>32</v>
      </c>
      <c r="AH413" s="48">
        <v>1</v>
      </c>
      <c r="AI413" s="48" t="s">
        <v>33</v>
      </c>
      <c r="AJ413" s="48" t="s">
        <v>33</v>
      </c>
      <c r="AK413" s="48" t="s">
        <v>33</v>
      </c>
      <c r="AL413" s="48" t="s">
        <v>34</v>
      </c>
      <c r="AN413" s="48">
        <v>0</v>
      </c>
      <c r="AO413" s="48">
        <v>0</v>
      </c>
      <c r="AP413" s="48">
        <v>0</v>
      </c>
      <c r="AQ413" s="48">
        <v>0</v>
      </c>
      <c r="AR413" s="48">
        <v>0</v>
      </c>
      <c r="AS413" s="48">
        <v>0</v>
      </c>
      <c r="AT413" s="48">
        <v>0</v>
      </c>
      <c r="AU413" s="48">
        <v>0</v>
      </c>
      <c r="AV413" s="48">
        <v>0</v>
      </c>
      <c r="AW413" s="48">
        <v>0</v>
      </c>
      <c r="AX413" s="48">
        <v>0</v>
      </c>
      <c r="AY413" s="48">
        <v>0</v>
      </c>
      <c r="AZ413" s="48">
        <v>0</v>
      </c>
      <c r="BA413" s="48">
        <v>0</v>
      </c>
      <c r="BB413" s="48">
        <v>0</v>
      </c>
    </row>
    <row r="414" spans="1:54" x14ac:dyDescent="0.35">
      <c r="A414" s="49">
        <v>45930</v>
      </c>
      <c r="B414" s="48">
        <v>1</v>
      </c>
      <c r="C414" s="50" t="s">
        <v>32</v>
      </c>
      <c r="D414" s="48" t="s">
        <v>31</v>
      </c>
      <c r="E414" s="48" t="s">
        <v>138</v>
      </c>
      <c r="F414" s="48" t="s">
        <v>139</v>
      </c>
      <c r="G414" s="49" t="s">
        <v>59</v>
      </c>
      <c r="H414" s="48" t="s">
        <v>160</v>
      </c>
      <c r="I414" s="48">
        <v>1</v>
      </c>
      <c r="J414" s="48">
        <v>6</v>
      </c>
      <c r="K414" s="48">
        <v>1</v>
      </c>
      <c r="N414" s="48">
        <v>0</v>
      </c>
      <c r="R414" s="49"/>
      <c r="S414" s="49"/>
      <c r="T414" s="49">
        <v>46112</v>
      </c>
      <c r="U414" s="49">
        <v>46112</v>
      </c>
      <c r="V414" s="49">
        <v>46112</v>
      </c>
      <c r="W414" s="49">
        <v>46112</v>
      </c>
      <c r="X414" s="48">
        <v>1</v>
      </c>
      <c r="Y414" s="48">
        <v>1</v>
      </c>
      <c r="Z414" s="48">
        <v>1</v>
      </c>
      <c r="AA414" s="156">
        <v>8390.977733491969</v>
      </c>
      <c r="AF414" s="48">
        <v>0</v>
      </c>
      <c r="AG414" s="49" t="s">
        <v>32</v>
      </c>
      <c r="AH414" s="48">
        <v>1</v>
      </c>
      <c r="AI414" s="48" t="s">
        <v>33</v>
      </c>
      <c r="AJ414" s="48" t="s">
        <v>33</v>
      </c>
      <c r="AK414" s="48" t="s">
        <v>33</v>
      </c>
      <c r="AL414" s="48" t="s">
        <v>34</v>
      </c>
      <c r="AN414" s="48">
        <v>0</v>
      </c>
      <c r="AO414" s="48">
        <v>0</v>
      </c>
      <c r="AP414" s="48">
        <v>0</v>
      </c>
      <c r="AQ414" s="48">
        <v>0</v>
      </c>
      <c r="AR414" s="48">
        <v>0</v>
      </c>
      <c r="AS414" s="48">
        <v>0</v>
      </c>
      <c r="AT414" s="48">
        <v>0</v>
      </c>
      <c r="AU414" s="48">
        <v>0</v>
      </c>
      <c r="AV414" s="48">
        <v>0</v>
      </c>
      <c r="AW414" s="48">
        <v>0</v>
      </c>
      <c r="AX414" s="48">
        <v>0</v>
      </c>
      <c r="AY414" s="48">
        <v>0</v>
      </c>
      <c r="AZ414" s="48">
        <v>0</v>
      </c>
      <c r="BA414" s="48">
        <v>0</v>
      </c>
      <c r="BB414" s="48">
        <v>0</v>
      </c>
    </row>
    <row r="415" spans="1:54" x14ac:dyDescent="0.35">
      <c r="A415" s="49">
        <v>45930</v>
      </c>
      <c r="B415" s="48">
        <v>1</v>
      </c>
      <c r="C415" s="50" t="s">
        <v>32</v>
      </c>
      <c r="D415" s="48" t="s">
        <v>31</v>
      </c>
      <c r="E415" s="48" t="s">
        <v>138</v>
      </c>
      <c r="F415" s="48" t="s">
        <v>139</v>
      </c>
      <c r="G415" s="49" t="s">
        <v>59</v>
      </c>
      <c r="H415" s="48" t="s">
        <v>160</v>
      </c>
      <c r="I415" s="48">
        <v>1</v>
      </c>
      <c r="J415" s="48">
        <v>7</v>
      </c>
      <c r="K415" s="48">
        <v>1</v>
      </c>
      <c r="N415" s="48">
        <v>0</v>
      </c>
      <c r="R415" s="49"/>
      <c r="S415" s="49"/>
      <c r="T415" s="49">
        <v>46142</v>
      </c>
      <c r="U415" s="49">
        <v>46142</v>
      </c>
      <c r="V415" s="49">
        <v>46142</v>
      </c>
      <c r="W415" s="49">
        <v>46142</v>
      </c>
      <c r="X415" s="48">
        <v>1</v>
      </c>
      <c r="Y415" s="48">
        <v>1</v>
      </c>
      <c r="Z415" s="48">
        <v>1</v>
      </c>
      <c r="AA415" s="156">
        <v>8390.977733491969</v>
      </c>
      <c r="AF415" s="48">
        <v>0</v>
      </c>
      <c r="AG415" s="49" t="s">
        <v>32</v>
      </c>
      <c r="AH415" s="48">
        <v>1</v>
      </c>
      <c r="AI415" s="48" t="s">
        <v>33</v>
      </c>
      <c r="AJ415" s="48" t="s">
        <v>33</v>
      </c>
      <c r="AK415" s="48" t="s">
        <v>33</v>
      </c>
      <c r="AL415" s="48" t="s">
        <v>34</v>
      </c>
      <c r="AN415" s="48">
        <v>0</v>
      </c>
      <c r="AO415" s="48">
        <v>0</v>
      </c>
      <c r="AP415" s="48">
        <v>0</v>
      </c>
      <c r="AQ415" s="48">
        <v>0</v>
      </c>
      <c r="AR415" s="48">
        <v>0</v>
      </c>
      <c r="AS415" s="48">
        <v>0</v>
      </c>
      <c r="AT415" s="48">
        <v>0</v>
      </c>
      <c r="AU415" s="48">
        <v>0</v>
      </c>
      <c r="AV415" s="48">
        <v>0</v>
      </c>
      <c r="AW415" s="48">
        <v>0</v>
      </c>
      <c r="AX415" s="48">
        <v>0</v>
      </c>
      <c r="AY415" s="48">
        <v>0</v>
      </c>
      <c r="AZ415" s="48">
        <v>0</v>
      </c>
      <c r="BA415" s="48">
        <v>0</v>
      </c>
      <c r="BB415" s="48">
        <v>0</v>
      </c>
    </row>
    <row r="416" spans="1:54" x14ac:dyDescent="0.35">
      <c r="A416" s="49">
        <v>45930</v>
      </c>
      <c r="B416" s="48">
        <v>1</v>
      </c>
      <c r="C416" s="50" t="s">
        <v>32</v>
      </c>
      <c r="D416" s="48" t="s">
        <v>31</v>
      </c>
      <c r="E416" s="48" t="s">
        <v>138</v>
      </c>
      <c r="F416" s="48" t="s">
        <v>139</v>
      </c>
      <c r="G416" s="49" t="s">
        <v>59</v>
      </c>
      <c r="H416" s="48" t="s">
        <v>160</v>
      </c>
      <c r="I416" s="48">
        <v>1</v>
      </c>
      <c r="J416" s="48">
        <v>8</v>
      </c>
      <c r="K416" s="48">
        <v>1</v>
      </c>
      <c r="N416" s="48">
        <v>0</v>
      </c>
      <c r="R416" s="49"/>
      <c r="S416" s="49"/>
      <c r="T416" s="49">
        <v>46173</v>
      </c>
      <c r="U416" s="49">
        <v>46173</v>
      </c>
      <c r="V416" s="49">
        <v>46173</v>
      </c>
      <c r="W416" s="49">
        <v>46173</v>
      </c>
      <c r="X416" s="48">
        <v>1</v>
      </c>
      <c r="Y416" s="48">
        <v>1</v>
      </c>
      <c r="Z416" s="48">
        <v>1</v>
      </c>
      <c r="AA416" s="156">
        <v>8390.977733491969</v>
      </c>
      <c r="AF416" s="48">
        <v>0</v>
      </c>
      <c r="AG416" s="49" t="s">
        <v>32</v>
      </c>
      <c r="AH416" s="48">
        <v>1</v>
      </c>
      <c r="AI416" s="48" t="s">
        <v>33</v>
      </c>
      <c r="AJ416" s="48" t="s">
        <v>33</v>
      </c>
      <c r="AK416" s="48" t="s">
        <v>33</v>
      </c>
      <c r="AL416" s="48" t="s">
        <v>34</v>
      </c>
      <c r="AN416" s="48">
        <v>0</v>
      </c>
      <c r="AO416" s="48">
        <v>0</v>
      </c>
      <c r="AP416" s="48">
        <v>0</v>
      </c>
      <c r="AQ416" s="48">
        <v>0</v>
      </c>
      <c r="AR416" s="48">
        <v>0</v>
      </c>
      <c r="AS416" s="48">
        <v>0</v>
      </c>
      <c r="AT416" s="48">
        <v>0</v>
      </c>
      <c r="AU416" s="48">
        <v>0</v>
      </c>
      <c r="AV416" s="48">
        <v>0</v>
      </c>
      <c r="AW416" s="48">
        <v>0</v>
      </c>
      <c r="AX416" s="48">
        <v>0</v>
      </c>
      <c r="AY416" s="48">
        <v>0</v>
      </c>
      <c r="AZ416" s="48">
        <v>0</v>
      </c>
      <c r="BA416" s="48">
        <v>0</v>
      </c>
      <c r="BB416" s="48">
        <v>0</v>
      </c>
    </row>
    <row r="417" spans="1:54" x14ac:dyDescent="0.35">
      <c r="A417" s="49">
        <v>45930</v>
      </c>
      <c r="B417" s="48">
        <v>1</v>
      </c>
      <c r="C417" s="50" t="s">
        <v>32</v>
      </c>
      <c r="D417" s="48" t="s">
        <v>31</v>
      </c>
      <c r="E417" s="48" t="s">
        <v>138</v>
      </c>
      <c r="F417" s="48" t="s">
        <v>139</v>
      </c>
      <c r="G417" s="49" t="s">
        <v>59</v>
      </c>
      <c r="H417" s="48" t="s">
        <v>160</v>
      </c>
      <c r="I417" s="48">
        <v>1</v>
      </c>
      <c r="J417" s="48">
        <v>9</v>
      </c>
      <c r="K417" s="48">
        <v>1</v>
      </c>
      <c r="N417" s="48">
        <v>0</v>
      </c>
      <c r="R417" s="49"/>
      <c r="S417" s="49"/>
      <c r="T417" s="49">
        <v>46203</v>
      </c>
      <c r="U417" s="49">
        <v>46203</v>
      </c>
      <c r="V417" s="49">
        <v>46203</v>
      </c>
      <c r="W417" s="49">
        <v>46203</v>
      </c>
      <c r="X417" s="48">
        <v>1</v>
      </c>
      <c r="Y417" s="48">
        <v>1</v>
      </c>
      <c r="Z417" s="48">
        <v>1</v>
      </c>
      <c r="AA417" s="156">
        <v>8390.977733491969</v>
      </c>
      <c r="AF417" s="48">
        <v>0</v>
      </c>
      <c r="AG417" s="49" t="s">
        <v>32</v>
      </c>
      <c r="AH417" s="48">
        <v>1</v>
      </c>
      <c r="AI417" s="48" t="s">
        <v>33</v>
      </c>
      <c r="AJ417" s="48" t="s">
        <v>33</v>
      </c>
      <c r="AK417" s="48" t="s">
        <v>33</v>
      </c>
      <c r="AL417" s="48" t="s">
        <v>34</v>
      </c>
      <c r="AN417" s="48">
        <v>0</v>
      </c>
      <c r="AO417" s="48">
        <v>0</v>
      </c>
      <c r="AP417" s="48">
        <v>0</v>
      </c>
      <c r="AQ417" s="48">
        <v>0</v>
      </c>
      <c r="AR417" s="48">
        <v>0</v>
      </c>
      <c r="AS417" s="48">
        <v>0</v>
      </c>
      <c r="AT417" s="48">
        <v>0</v>
      </c>
      <c r="AU417" s="48">
        <v>0</v>
      </c>
      <c r="AV417" s="48">
        <v>0</v>
      </c>
      <c r="AW417" s="48">
        <v>0</v>
      </c>
      <c r="AX417" s="48">
        <v>0</v>
      </c>
      <c r="AY417" s="48">
        <v>0</v>
      </c>
      <c r="AZ417" s="48">
        <v>0</v>
      </c>
      <c r="BA417" s="48">
        <v>0</v>
      </c>
      <c r="BB417" s="48">
        <v>0</v>
      </c>
    </row>
    <row r="418" spans="1:54" x14ac:dyDescent="0.35">
      <c r="A418" s="49">
        <v>45930</v>
      </c>
      <c r="B418" s="48">
        <v>1</v>
      </c>
      <c r="C418" s="50" t="s">
        <v>32</v>
      </c>
      <c r="D418" s="48" t="s">
        <v>31</v>
      </c>
      <c r="E418" s="48" t="s">
        <v>138</v>
      </c>
      <c r="F418" s="48" t="s">
        <v>139</v>
      </c>
      <c r="G418" s="49" t="s">
        <v>59</v>
      </c>
      <c r="H418" s="48" t="s">
        <v>160</v>
      </c>
      <c r="I418" s="48">
        <v>1</v>
      </c>
      <c r="J418" s="48">
        <v>10</v>
      </c>
      <c r="K418" s="48">
        <v>1</v>
      </c>
      <c r="N418" s="48">
        <v>0</v>
      </c>
      <c r="R418" s="49"/>
      <c r="S418" s="49"/>
      <c r="T418" s="49">
        <v>46234</v>
      </c>
      <c r="U418" s="49">
        <v>46234</v>
      </c>
      <c r="V418" s="49">
        <v>46234</v>
      </c>
      <c r="W418" s="49">
        <v>46234</v>
      </c>
      <c r="X418" s="48">
        <v>1</v>
      </c>
      <c r="Y418" s="48">
        <v>1</v>
      </c>
      <c r="Z418" s="48">
        <v>1</v>
      </c>
      <c r="AA418" s="156">
        <v>8390.977733491969</v>
      </c>
      <c r="AF418" s="48">
        <v>0</v>
      </c>
      <c r="AG418" s="49" t="s">
        <v>32</v>
      </c>
      <c r="AH418" s="48">
        <v>1</v>
      </c>
      <c r="AI418" s="48" t="s">
        <v>33</v>
      </c>
      <c r="AJ418" s="48" t="s">
        <v>33</v>
      </c>
      <c r="AK418" s="48" t="s">
        <v>33</v>
      </c>
      <c r="AL418" s="48" t="s">
        <v>34</v>
      </c>
      <c r="AN418" s="48">
        <v>0</v>
      </c>
      <c r="AO418" s="48">
        <v>0</v>
      </c>
      <c r="AP418" s="48">
        <v>0</v>
      </c>
      <c r="AQ418" s="48">
        <v>0</v>
      </c>
      <c r="AR418" s="48">
        <v>0</v>
      </c>
      <c r="AS418" s="48">
        <v>0</v>
      </c>
      <c r="AT418" s="48">
        <v>0</v>
      </c>
      <c r="AU418" s="48">
        <v>0</v>
      </c>
      <c r="AV418" s="48">
        <v>0</v>
      </c>
      <c r="AW418" s="48">
        <v>0</v>
      </c>
      <c r="AX418" s="48">
        <v>0</v>
      </c>
      <c r="AY418" s="48">
        <v>0</v>
      </c>
      <c r="AZ418" s="48">
        <v>0</v>
      </c>
      <c r="BA418" s="48">
        <v>0</v>
      </c>
      <c r="BB418" s="48">
        <v>0</v>
      </c>
    </row>
    <row r="419" spans="1:54" x14ac:dyDescent="0.35">
      <c r="A419" s="49">
        <v>45930</v>
      </c>
      <c r="B419" s="48">
        <v>1</v>
      </c>
      <c r="C419" s="50" t="s">
        <v>32</v>
      </c>
      <c r="D419" s="48" t="s">
        <v>31</v>
      </c>
      <c r="E419" s="48" t="s">
        <v>138</v>
      </c>
      <c r="F419" s="48" t="s">
        <v>139</v>
      </c>
      <c r="G419" s="49" t="s">
        <v>59</v>
      </c>
      <c r="H419" s="48" t="s">
        <v>160</v>
      </c>
      <c r="I419" s="48">
        <v>1</v>
      </c>
      <c r="J419" s="48">
        <v>11</v>
      </c>
      <c r="K419" s="48">
        <v>1</v>
      </c>
      <c r="N419" s="48">
        <v>0</v>
      </c>
      <c r="R419" s="49"/>
      <c r="S419" s="49"/>
      <c r="T419" s="49">
        <v>46265</v>
      </c>
      <c r="U419" s="49">
        <v>46265</v>
      </c>
      <c r="V419" s="49">
        <v>46265</v>
      </c>
      <c r="W419" s="49">
        <v>46265</v>
      </c>
      <c r="X419" s="48">
        <v>1</v>
      </c>
      <c r="Y419" s="48">
        <v>1</v>
      </c>
      <c r="Z419" s="48">
        <v>1</v>
      </c>
      <c r="AA419" s="156">
        <v>8390.977733491969</v>
      </c>
      <c r="AF419" s="48">
        <v>0</v>
      </c>
      <c r="AG419" s="49" t="s">
        <v>32</v>
      </c>
      <c r="AH419" s="48">
        <v>1</v>
      </c>
      <c r="AI419" s="48" t="s">
        <v>33</v>
      </c>
      <c r="AJ419" s="48" t="s">
        <v>33</v>
      </c>
      <c r="AK419" s="48" t="s">
        <v>33</v>
      </c>
      <c r="AL419" s="48" t="s">
        <v>34</v>
      </c>
      <c r="AN419" s="48">
        <v>0</v>
      </c>
      <c r="AO419" s="48">
        <v>0</v>
      </c>
      <c r="AP419" s="48">
        <v>0</v>
      </c>
      <c r="AQ419" s="48">
        <v>0</v>
      </c>
      <c r="AR419" s="48">
        <v>0</v>
      </c>
      <c r="AS419" s="48">
        <v>0</v>
      </c>
      <c r="AT419" s="48">
        <v>0</v>
      </c>
      <c r="AU419" s="48">
        <v>0</v>
      </c>
      <c r="AV419" s="48">
        <v>0</v>
      </c>
      <c r="AW419" s="48">
        <v>0</v>
      </c>
      <c r="AX419" s="48">
        <v>0</v>
      </c>
      <c r="AY419" s="48">
        <v>0</v>
      </c>
      <c r="AZ419" s="48">
        <v>0</v>
      </c>
      <c r="BA419" s="48">
        <v>0</v>
      </c>
      <c r="BB419" s="48">
        <v>0</v>
      </c>
    </row>
    <row r="420" spans="1:54" x14ac:dyDescent="0.35">
      <c r="A420" s="49">
        <v>45930</v>
      </c>
      <c r="B420" s="48">
        <v>1</v>
      </c>
      <c r="C420" s="50" t="s">
        <v>32</v>
      </c>
      <c r="D420" s="48" t="s">
        <v>31</v>
      </c>
      <c r="E420" s="48" t="s">
        <v>138</v>
      </c>
      <c r="F420" s="48" t="s">
        <v>139</v>
      </c>
      <c r="G420" s="49" t="s">
        <v>59</v>
      </c>
      <c r="H420" s="48" t="s">
        <v>160</v>
      </c>
      <c r="I420" s="48">
        <v>1</v>
      </c>
      <c r="J420" s="48">
        <v>12</v>
      </c>
      <c r="K420" s="48">
        <v>1</v>
      </c>
      <c r="N420" s="48">
        <v>0</v>
      </c>
      <c r="R420" s="49"/>
      <c r="S420" s="49"/>
      <c r="T420" s="49">
        <v>46295</v>
      </c>
      <c r="U420" s="49">
        <v>46295</v>
      </c>
      <c r="V420" s="49">
        <v>46295</v>
      </c>
      <c r="W420" s="49">
        <v>46295</v>
      </c>
      <c r="X420" s="48">
        <v>1</v>
      </c>
      <c r="Y420" s="48">
        <v>1</v>
      </c>
      <c r="Z420" s="48">
        <v>1</v>
      </c>
      <c r="AA420" s="156">
        <v>8390.977733491969</v>
      </c>
      <c r="AF420" s="48">
        <v>0</v>
      </c>
      <c r="AG420" s="49" t="s">
        <v>32</v>
      </c>
      <c r="AH420" s="48">
        <v>1</v>
      </c>
      <c r="AI420" s="48" t="s">
        <v>33</v>
      </c>
      <c r="AJ420" s="48" t="s">
        <v>33</v>
      </c>
      <c r="AK420" s="48" t="s">
        <v>33</v>
      </c>
      <c r="AL420" s="48" t="s">
        <v>34</v>
      </c>
      <c r="AN420" s="48">
        <v>0</v>
      </c>
      <c r="AO420" s="48">
        <v>0</v>
      </c>
      <c r="AP420" s="48">
        <v>0</v>
      </c>
      <c r="AQ420" s="48">
        <v>0</v>
      </c>
      <c r="AR420" s="48">
        <v>0</v>
      </c>
      <c r="AS420" s="48">
        <v>0</v>
      </c>
      <c r="AT420" s="48">
        <v>0</v>
      </c>
      <c r="AU420" s="48">
        <v>0</v>
      </c>
      <c r="AV420" s="48">
        <v>0</v>
      </c>
      <c r="AW420" s="48">
        <v>0</v>
      </c>
      <c r="AX420" s="48">
        <v>0</v>
      </c>
      <c r="AY420" s="48">
        <v>0</v>
      </c>
      <c r="AZ420" s="48">
        <v>0</v>
      </c>
      <c r="BA420" s="48">
        <v>0</v>
      </c>
      <c r="BB420" s="48">
        <v>0</v>
      </c>
    </row>
    <row r="421" spans="1:54" x14ac:dyDescent="0.35">
      <c r="A421" s="49">
        <v>45930</v>
      </c>
      <c r="B421" s="48">
        <v>1</v>
      </c>
      <c r="C421" s="50" t="s">
        <v>32</v>
      </c>
      <c r="D421" s="48" t="s">
        <v>31</v>
      </c>
      <c r="E421" s="48" t="s">
        <v>138</v>
      </c>
      <c r="F421" s="48" t="s">
        <v>139</v>
      </c>
      <c r="G421" s="49" t="s">
        <v>59</v>
      </c>
      <c r="H421" s="48" t="s">
        <v>160</v>
      </c>
      <c r="I421" s="48">
        <v>1</v>
      </c>
      <c r="J421" s="48">
        <v>13</v>
      </c>
      <c r="K421" s="48">
        <v>1</v>
      </c>
      <c r="N421" s="48">
        <v>0</v>
      </c>
      <c r="R421" s="49"/>
      <c r="S421" s="49"/>
      <c r="T421" s="49">
        <v>46326</v>
      </c>
      <c r="U421" s="49">
        <v>46326</v>
      </c>
      <c r="V421" s="49">
        <v>46326</v>
      </c>
      <c r="W421" s="49">
        <v>46326</v>
      </c>
      <c r="X421" s="48">
        <v>1</v>
      </c>
      <c r="Y421" s="48">
        <v>1</v>
      </c>
      <c r="Z421" s="48">
        <v>1</v>
      </c>
      <c r="AA421" s="156">
        <v>8390.977733491969</v>
      </c>
      <c r="AF421" s="48">
        <v>0</v>
      </c>
      <c r="AG421" s="49" t="s">
        <v>32</v>
      </c>
      <c r="AH421" s="48">
        <v>1</v>
      </c>
      <c r="AI421" s="48" t="s">
        <v>33</v>
      </c>
      <c r="AJ421" s="48" t="s">
        <v>33</v>
      </c>
      <c r="AK421" s="48" t="s">
        <v>33</v>
      </c>
      <c r="AL421" s="48" t="s">
        <v>34</v>
      </c>
      <c r="AN421" s="48">
        <v>0</v>
      </c>
      <c r="AO421" s="48">
        <v>0</v>
      </c>
      <c r="AP421" s="48">
        <v>0</v>
      </c>
      <c r="AQ421" s="48">
        <v>0</v>
      </c>
      <c r="AR421" s="48">
        <v>0</v>
      </c>
      <c r="AS421" s="48">
        <v>0</v>
      </c>
      <c r="AT421" s="48">
        <v>0</v>
      </c>
      <c r="AU421" s="48">
        <v>0</v>
      </c>
      <c r="AV421" s="48">
        <v>0</v>
      </c>
      <c r="AW421" s="48">
        <v>0</v>
      </c>
      <c r="AX421" s="48">
        <v>0</v>
      </c>
      <c r="AY421" s="48">
        <v>0</v>
      </c>
      <c r="AZ421" s="48">
        <v>0</v>
      </c>
      <c r="BA421" s="48">
        <v>0</v>
      </c>
      <c r="BB421" s="48">
        <v>0</v>
      </c>
    </row>
    <row r="422" spans="1:54" x14ac:dyDescent="0.35">
      <c r="A422" s="49">
        <v>45930</v>
      </c>
      <c r="B422" s="48">
        <v>1</v>
      </c>
      <c r="C422" s="50" t="s">
        <v>32</v>
      </c>
      <c r="D422" s="48" t="s">
        <v>31</v>
      </c>
      <c r="E422" s="48" t="s">
        <v>138</v>
      </c>
      <c r="F422" s="48" t="s">
        <v>139</v>
      </c>
      <c r="G422" s="49" t="s">
        <v>59</v>
      </c>
      <c r="H422" s="48" t="s">
        <v>160</v>
      </c>
      <c r="I422" s="48">
        <v>1</v>
      </c>
      <c r="J422" s="48">
        <v>14</v>
      </c>
      <c r="K422" s="48">
        <v>1</v>
      </c>
      <c r="N422" s="48">
        <v>0</v>
      </c>
      <c r="R422" s="49"/>
      <c r="S422" s="49"/>
      <c r="T422" s="49">
        <v>46356</v>
      </c>
      <c r="U422" s="49">
        <v>46356</v>
      </c>
      <c r="V422" s="49">
        <v>46356</v>
      </c>
      <c r="W422" s="49">
        <v>46356</v>
      </c>
      <c r="X422" s="48">
        <v>1</v>
      </c>
      <c r="Y422" s="48">
        <v>1</v>
      </c>
      <c r="Z422" s="48">
        <v>1</v>
      </c>
      <c r="AA422" s="156">
        <v>8390.977733491969</v>
      </c>
      <c r="AF422" s="48">
        <v>0</v>
      </c>
      <c r="AG422" s="49" t="s">
        <v>32</v>
      </c>
      <c r="AH422" s="48">
        <v>1</v>
      </c>
      <c r="AI422" s="48" t="s">
        <v>33</v>
      </c>
      <c r="AJ422" s="48" t="s">
        <v>33</v>
      </c>
      <c r="AK422" s="48" t="s">
        <v>33</v>
      </c>
      <c r="AL422" s="48" t="s">
        <v>34</v>
      </c>
      <c r="AN422" s="48">
        <v>0</v>
      </c>
      <c r="AO422" s="48">
        <v>0</v>
      </c>
      <c r="AP422" s="48">
        <v>0</v>
      </c>
      <c r="AQ422" s="48">
        <v>0</v>
      </c>
      <c r="AR422" s="48">
        <v>0</v>
      </c>
      <c r="AS422" s="48">
        <v>0</v>
      </c>
      <c r="AT422" s="48">
        <v>0</v>
      </c>
      <c r="AU422" s="48">
        <v>0</v>
      </c>
      <c r="AV422" s="48">
        <v>0</v>
      </c>
      <c r="AW422" s="48">
        <v>0</v>
      </c>
      <c r="AX422" s="48">
        <v>0</v>
      </c>
      <c r="AY422" s="48">
        <v>0</v>
      </c>
      <c r="AZ422" s="48">
        <v>0</v>
      </c>
      <c r="BA422" s="48">
        <v>0</v>
      </c>
      <c r="BB422" s="48">
        <v>0</v>
      </c>
    </row>
    <row r="423" spans="1:54" x14ac:dyDescent="0.35">
      <c r="A423" s="49">
        <v>45930</v>
      </c>
      <c r="B423" s="48">
        <v>1</v>
      </c>
      <c r="C423" s="50" t="s">
        <v>32</v>
      </c>
      <c r="D423" s="48" t="s">
        <v>31</v>
      </c>
      <c r="E423" s="48" t="s">
        <v>138</v>
      </c>
      <c r="F423" s="48" t="s">
        <v>139</v>
      </c>
      <c r="G423" s="49" t="s">
        <v>59</v>
      </c>
      <c r="H423" s="48" t="s">
        <v>160</v>
      </c>
      <c r="I423" s="48">
        <v>1</v>
      </c>
      <c r="J423" s="48">
        <v>15</v>
      </c>
      <c r="K423" s="48">
        <v>1</v>
      </c>
      <c r="N423" s="48">
        <v>0</v>
      </c>
      <c r="R423" s="49"/>
      <c r="S423" s="49"/>
      <c r="T423" s="49">
        <v>46387</v>
      </c>
      <c r="U423" s="49">
        <v>46387</v>
      </c>
      <c r="V423" s="49">
        <v>46387</v>
      </c>
      <c r="W423" s="49">
        <v>46387</v>
      </c>
      <c r="X423" s="48">
        <v>1</v>
      </c>
      <c r="Y423" s="48">
        <v>1</v>
      </c>
      <c r="Z423" s="48">
        <v>1</v>
      </c>
      <c r="AA423" s="156">
        <v>8390.977733491969</v>
      </c>
      <c r="AF423" s="48">
        <v>0</v>
      </c>
      <c r="AG423" s="49" t="s">
        <v>32</v>
      </c>
      <c r="AH423" s="48">
        <v>1</v>
      </c>
      <c r="AI423" s="48" t="s">
        <v>33</v>
      </c>
      <c r="AJ423" s="48" t="s">
        <v>33</v>
      </c>
      <c r="AK423" s="48" t="s">
        <v>33</v>
      </c>
      <c r="AL423" s="48" t="s">
        <v>34</v>
      </c>
      <c r="AN423" s="48">
        <v>0</v>
      </c>
      <c r="AO423" s="48">
        <v>0</v>
      </c>
      <c r="AP423" s="48">
        <v>0</v>
      </c>
      <c r="AQ423" s="48">
        <v>0</v>
      </c>
      <c r="AR423" s="48">
        <v>0</v>
      </c>
      <c r="AS423" s="48">
        <v>0</v>
      </c>
      <c r="AT423" s="48">
        <v>0</v>
      </c>
      <c r="AU423" s="48">
        <v>0</v>
      </c>
      <c r="AV423" s="48">
        <v>0</v>
      </c>
      <c r="AW423" s="48">
        <v>0</v>
      </c>
      <c r="AX423" s="48">
        <v>0</v>
      </c>
      <c r="AY423" s="48">
        <v>0</v>
      </c>
      <c r="AZ423" s="48">
        <v>0</v>
      </c>
      <c r="BA423" s="48">
        <v>0</v>
      </c>
      <c r="BB423" s="48">
        <v>0</v>
      </c>
    </row>
    <row r="424" spans="1:54" x14ac:dyDescent="0.35">
      <c r="A424" s="49">
        <v>45930</v>
      </c>
      <c r="B424" s="48">
        <v>1</v>
      </c>
      <c r="C424" s="50" t="s">
        <v>32</v>
      </c>
      <c r="D424" s="48" t="s">
        <v>31</v>
      </c>
      <c r="E424" s="48" t="s">
        <v>138</v>
      </c>
      <c r="F424" s="48" t="s">
        <v>139</v>
      </c>
      <c r="G424" s="49" t="s">
        <v>59</v>
      </c>
      <c r="H424" s="48" t="s">
        <v>160</v>
      </c>
      <c r="I424" s="48">
        <v>1</v>
      </c>
      <c r="J424" s="48">
        <v>16</v>
      </c>
      <c r="K424" s="48">
        <v>1</v>
      </c>
      <c r="N424" s="48">
        <v>0</v>
      </c>
      <c r="R424" s="49"/>
      <c r="S424" s="49"/>
      <c r="T424" s="49">
        <v>46418</v>
      </c>
      <c r="U424" s="49">
        <v>46418</v>
      </c>
      <c r="V424" s="49">
        <v>46418</v>
      </c>
      <c r="W424" s="49">
        <v>46418</v>
      </c>
      <c r="X424" s="48">
        <v>1</v>
      </c>
      <c r="Y424" s="48">
        <v>1</v>
      </c>
      <c r="Z424" s="48">
        <v>1</v>
      </c>
      <c r="AA424" s="156">
        <v>8390.977733491969</v>
      </c>
      <c r="AF424" s="48">
        <v>0</v>
      </c>
      <c r="AG424" s="49" t="s">
        <v>32</v>
      </c>
      <c r="AH424" s="48">
        <v>1</v>
      </c>
      <c r="AI424" s="48" t="s">
        <v>33</v>
      </c>
      <c r="AJ424" s="48" t="s">
        <v>33</v>
      </c>
      <c r="AK424" s="48" t="s">
        <v>33</v>
      </c>
      <c r="AL424" s="48" t="s">
        <v>34</v>
      </c>
      <c r="AN424" s="48">
        <v>0</v>
      </c>
      <c r="AO424" s="48">
        <v>0</v>
      </c>
      <c r="AP424" s="48">
        <v>0</v>
      </c>
      <c r="AQ424" s="48">
        <v>0</v>
      </c>
      <c r="AR424" s="48">
        <v>0</v>
      </c>
      <c r="AS424" s="48">
        <v>0</v>
      </c>
      <c r="AT424" s="48">
        <v>0</v>
      </c>
      <c r="AU424" s="48">
        <v>0</v>
      </c>
      <c r="AV424" s="48">
        <v>0</v>
      </c>
      <c r="AW424" s="48">
        <v>0</v>
      </c>
      <c r="AX424" s="48">
        <v>0</v>
      </c>
      <c r="AY424" s="48">
        <v>0</v>
      </c>
      <c r="AZ424" s="48">
        <v>0</v>
      </c>
      <c r="BA424" s="48">
        <v>0</v>
      </c>
      <c r="BB424" s="48">
        <v>0</v>
      </c>
    </row>
    <row r="425" spans="1:54" x14ac:dyDescent="0.35">
      <c r="A425" s="49">
        <v>45930</v>
      </c>
      <c r="B425" s="48">
        <v>1</v>
      </c>
      <c r="C425" s="50" t="s">
        <v>32</v>
      </c>
      <c r="D425" s="48" t="s">
        <v>31</v>
      </c>
      <c r="E425" s="48" t="s">
        <v>138</v>
      </c>
      <c r="F425" s="48" t="s">
        <v>139</v>
      </c>
      <c r="G425" s="49" t="s">
        <v>59</v>
      </c>
      <c r="H425" s="48" t="s">
        <v>160</v>
      </c>
      <c r="I425" s="48">
        <v>1</v>
      </c>
      <c r="J425" s="48">
        <v>17</v>
      </c>
      <c r="K425" s="48">
        <v>1</v>
      </c>
      <c r="N425" s="48">
        <v>0</v>
      </c>
      <c r="R425" s="49"/>
      <c r="S425" s="49"/>
      <c r="T425" s="49">
        <v>46446</v>
      </c>
      <c r="U425" s="49">
        <v>46446</v>
      </c>
      <c r="V425" s="49">
        <v>46446</v>
      </c>
      <c r="W425" s="49">
        <v>46446</v>
      </c>
      <c r="X425" s="48">
        <v>1</v>
      </c>
      <c r="Y425" s="48">
        <v>1</v>
      </c>
      <c r="Z425" s="48">
        <v>1</v>
      </c>
      <c r="AA425" s="156">
        <v>8390.977733491969</v>
      </c>
      <c r="AF425" s="48">
        <v>0</v>
      </c>
      <c r="AG425" s="49" t="s">
        <v>32</v>
      </c>
      <c r="AH425" s="48">
        <v>1</v>
      </c>
      <c r="AI425" s="48" t="s">
        <v>33</v>
      </c>
      <c r="AJ425" s="48" t="s">
        <v>33</v>
      </c>
      <c r="AK425" s="48" t="s">
        <v>33</v>
      </c>
      <c r="AL425" s="48" t="s">
        <v>34</v>
      </c>
      <c r="AN425" s="48">
        <v>0</v>
      </c>
      <c r="AO425" s="48">
        <v>0</v>
      </c>
      <c r="AP425" s="48">
        <v>0</v>
      </c>
      <c r="AQ425" s="48">
        <v>0</v>
      </c>
      <c r="AR425" s="48">
        <v>0</v>
      </c>
      <c r="AS425" s="48">
        <v>0</v>
      </c>
      <c r="AT425" s="48">
        <v>0</v>
      </c>
      <c r="AU425" s="48">
        <v>0</v>
      </c>
      <c r="AV425" s="48">
        <v>0</v>
      </c>
      <c r="AW425" s="48">
        <v>0</v>
      </c>
      <c r="AX425" s="48">
        <v>0</v>
      </c>
      <c r="AY425" s="48">
        <v>0</v>
      </c>
      <c r="AZ425" s="48">
        <v>0</v>
      </c>
      <c r="BA425" s="48">
        <v>0</v>
      </c>
      <c r="BB425" s="48">
        <v>0</v>
      </c>
    </row>
    <row r="426" spans="1:54" x14ac:dyDescent="0.35">
      <c r="A426" s="49">
        <v>45930</v>
      </c>
      <c r="B426" s="48">
        <v>1</v>
      </c>
      <c r="C426" s="50" t="s">
        <v>32</v>
      </c>
      <c r="D426" s="48" t="s">
        <v>31</v>
      </c>
      <c r="E426" s="48" t="s">
        <v>138</v>
      </c>
      <c r="F426" s="48" t="s">
        <v>139</v>
      </c>
      <c r="G426" s="49" t="s">
        <v>59</v>
      </c>
      <c r="H426" s="48" t="s">
        <v>160</v>
      </c>
      <c r="I426" s="48">
        <v>1</v>
      </c>
      <c r="J426" s="48">
        <v>18</v>
      </c>
      <c r="K426" s="48">
        <v>1</v>
      </c>
      <c r="N426" s="48">
        <v>0</v>
      </c>
      <c r="R426" s="49"/>
      <c r="S426" s="49"/>
      <c r="T426" s="49">
        <v>46477</v>
      </c>
      <c r="U426" s="49">
        <v>46477</v>
      </c>
      <c r="V426" s="49">
        <v>46477</v>
      </c>
      <c r="W426" s="49">
        <v>46477</v>
      </c>
      <c r="X426" s="48">
        <v>1</v>
      </c>
      <c r="Y426" s="48">
        <v>1</v>
      </c>
      <c r="Z426" s="48">
        <v>1</v>
      </c>
      <c r="AA426" s="156">
        <v>8390.977733491969</v>
      </c>
      <c r="AF426" s="48">
        <v>0</v>
      </c>
      <c r="AG426" s="49" t="s">
        <v>32</v>
      </c>
      <c r="AH426" s="48">
        <v>1</v>
      </c>
      <c r="AI426" s="48" t="s">
        <v>33</v>
      </c>
      <c r="AJ426" s="48" t="s">
        <v>33</v>
      </c>
      <c r="AK426" s="48" t="s">
        <v>33</v>
      </c>
      <c r="AL426" s="48" t="s">
        <v>34</v>
      </c>
      <c r="AN426" s="48">
        <v>0</v>
      </c>
      <c r="AO426" s="48">
        <v>0</v>
      </c>
      <c r="AP426" s="48">
        <v>0</v>
      </c>
      <c r="AQ426" s="48">
        <v>0</v>
      </c>
      <c r="AR426" s="48">
        <v>0</v>
      </c>
      <c r="AS426" s="48">
        <v>0</v>
      </c>
      <c r="AT426" s="48">
        <v>0</v>
      </c>
      <c r="AU426" s="48">
        <v>0</v>
      </c>
      <c r="AV426" s="48">
        <v>0</v>
      </c>
      <c r="AW426" s="48">
        <v>0</v>
      </c>
      <c r="AX426" s="48">
        <v>0</v>
      </c>
      <c r="AY426" s="48">
        <v>0</v>
      </c>
      <c r="AZ426" s="48">
        <v>0</v>
      </c>
      <c r="BA426" s="48">
        <v>0</v>
      </c>
      <c r="BB426" s="48">
        <v>0</v>
      </c>
    </row>
    <row r="427" spans="1:54" x14ac:dyDescent="0.35">
      <c r="A427" s="49">
        <v>45930</v>
      </c>
      <c r="B427" s="48">
        <v>1</v>
      </c>
      <c r="C427" s="50" t="s">
        <v>32</v>
      </c>
      <c r="D427" s="48" t="s">
        <v>31</v>
      </c>
      <c r="E427" s="48" t="s">
        <v>138</v>
      </c>
      <c r="F427" s="48" t="s">
        <v>139</v>
      </c>
      <c r="G427" s="49" t="s">
        <v>59</v>
      </c>
      <c r="H427" s="48" t="s">
        <v>160</v>
      </c>
      <c r="I427" s="48">
        <v>1</v>
      </c>
      <c r="J427" s="48">
        <v>19</v>
      </c>
      <c r="K427" s="48">
        <v>1</v>
      </c>
      <c r="N427" s="48">
        <v>0</v>
      </c>
      <c r="R427" s="49"/>
      <c r="S427" s="49"/>
      <c r="T427" s="49">
        <v>46507</v>
      </c>
      <c r="U427" s="49">
        <v>46507</v>
      </c>
      <c r="V427" s="49">
        <v>46507</v>
      </c>
      <c r="W427" s="49">
        <v>46507</v>
      </c>
      <c r="X427" s="48">
        <v>1</v>
      </c>
      <c r="Y427" s="48">
        <v>1</v>
      </c>
      <c r="Z427" s="48">
        <v>1</v>
      </c>
      <c r="AA427" s="156">
        <v>8390.977733491969</v>
      </c>
      <c r="AF427" s="48">
        <v>0</v>
      </c>
      <c r="AG427" s="49" t="s">
        <v>32</v>
      </c>
      <c r="AH427" s="48">
        <v>1</v>
      </c>
      <c r="AI427" s="48" t="s">
        <v>33</v>
      </c>
      <c r="AJ427" s="48" t="s">
        <v>33</v>
      </c>
      <c r="AK427" s="48" t="s">
        <v>33</v>
      </c>
      <c r="AL427" s="48" t="s">
        <v>34</v>
      </c>
      <c r="AN427" s="48">
        <v>0</v>
      </c>
      <c r="AO427" s="48">
        <v>0</v>
      </c>
      <c r="AP427" s="48">
        <v>0</v>
      </c>
      <c r="AQ427" s="48">
        <v>0</v>
      </c>
      <c r="AR427" s="48">
        <v>0</v>
      </c>
      <c r="AS427" s="48">
        <v>0</v>
      </c>
      <c r="AT427" s="48">
        <v>0</v>
      </c>
      <c r="AU427" s="48">
        <v>0</v>
      </c>
      <c r="AV427" s="48">
        <v>0</v>
      </c>
      <c r="AW427" s="48">
        <v>0</v>
      </c>
      <c r="AX427" s="48">
        <v>0</v>
      </c>
      <c r="AY427" s="48">
        <v>0</v>
      </c>
      <c r="AZ427" s="48">
        <v>0</v>
      </c>
      <c r="BA427" s="48">
        <v>0</v>
      </c>
      <c r="BB427" s="48">
        <v>0</v>
      </c>
    </row>
    <row r="428" spans="1:54" x14ac:dyDescent="0.35">
      <c r="A428" s="49">
        <v>45930</v>
      </c>
      <c r="B428" s="48">
        <v>1</v>
      </c>
      <c r="C428" s="50" t="s">
        <v>32</v>
      </c>
      <c r="D428" s="48" t="s">
        <v>31</v>
      </c>
      <c r="E428" s="48" t="s">
        <v>138</v>
      </c>
      <c r="F428" s="48" t="s">
        <v>139</v>
      </c>
      <c r="G428" s="49" t="s">
        <v>59</v>
      </c>
      <c r="H428" s="48" t="s">
        <v>160</v>
      </c>
      <c r="I428" s="48">
        <v>1</v>
      </c>
      <c r="J428" s="48">
        <v>20</v>
      </c>
      <c r="K428" s="48">
        <v>1</v>
      </c>
      <c r="N428" s="48">
        <v>0</v>
      </c>
      <c r="R428" s="49"/>
      <c r="S428" s="49"/>
      <c r="T428" s="49">
        <v>46538</v>
      </c>
      <c r="U428" s="49">
        <v>46538</v>
      </c>
      <c r="V428" s="49">
        <v>46538</v>
      </c>
      <c r="W428" s="49">
        <v>46538</v>
      </c>
      <c r="X428" s="48">
        <v>1</v>
      </c>
      <c r="Y428" s="48">
        <v>1</v>
      </c>
      <c r="Z428" s="48">
        <v>1</v>
      </c>
      <c r="AA428" s="156">
        <v>8390.977733491969</v>
      </c>
      <c r="AF428" s="48">
        <v>0</v>
      </c>
      <c r="AG428" s="49" t="s">
        <v>32</v>
      </c>
      <c r="AH428" s="48">
        <v>1</v>
      </c>
      <c r="AI428" s="48" t="s">
        <v>33</v>
      </c>
      <c r="AJ428" s="48" t="s">
        <v>33</v>
      </c>
      <c r="AK428" s="48" t="s">
        <v>33</v>
      </c>
      <c r="AL428" s="48" t="s">
        <v>34</v>
      </c>
      <c r="AN428" s="48">
        <v>0</v>
      </c>
      <c r="AO428" s="48">
        <v>0</v>
      </c>
      <c r="AP428" s="48">
        <v>0</v>
      </c>
      <c r="AQ428" s="48">
        <v>0</v>
      </c>
      <c r="AR428" s="48">
        <v>0</v>
      </c>
      <c r="AS428" s="48">
        <v>0</v>
      </c>
      <c r="AT428" s="48">
        <v>0</v>
      </c>
      <c r="AU428" s="48">
        <v>0</v>
      </c>
      <c r="AV428" s="48">
        <v>0</v>
      </c>
      <c r="AW428" s="48">
        <v>0</v>
      </c>
      <c r="AX428" s="48">
        <v>0</v>
      </c>
      <c r="AY428" s="48">
        <v>0</v>
      </c>
      <c r="AZ428" s="48">
        <v>0</v>
      </c>
      <c r="BA428" s="48">
        <v>0</v>
      </c>
      <c r="BB428" s="48">
        <v>0</v>
      </c>
    </row>
    <row r="429" spans="1:54" x14ac:dyDescent="0.35">
      <c r="A429" s="49">
        <v>45930</v>
      </c>
      <c r="B429" s="48">
        <v>1</v>
      </c>
      <c r="C429" s="50" t="s">
        <v>32</v>
      </c>
      <c r="D429" s="48" t="s">
        <v>31</v>
      </c>
      <c r="E429" s="48" t="s">
        <v>138</v>
      </c>
      <c r="F429" s="48" t="s">
        <v>139</v>
      </c>
      <c r="G429" s="49" t="s">
        <v>59</v>
      </c>
      <c r="H429" s="48" t="s">
        <v>160</v>
      </c>
      <c r="I429" s="48">
        <v>1</v>
      </c>
      <c r="J429" s="48">
        <v>21</v>
      </c>
      <c r="K429" s="48">
        <v>1</v>
      </c>
      <c r="N429" s="48">
        <v>0</v>
      </c>
      <c r="R429" s="49"/>
      <c r="S429" s="49"/>
      <c r="T429" s="49">
        <v>46568</v>
      </c>
      <c r="U429" s="49">
        <v>46568</v>
      </c>
      <c r="V429" s="49">
        <v>46568</v>
      </c>
      <c r="W429" s="49">
        <v>46568</v>
      </c>
      <c r="X429" s="48">
        <v>1</v>
      </c>
      <c r="Y429" s="48">
        <v>1</v>
      </c>
      <c r="Z429" s="48">
        <v>1</v>
      </c>
      <c r="AA429" s="156">
        <v>8390.977733491969</v>
      </c>
      <c r="AF429" s="48">
        <v>0</v>
      </c>
      <c r="AG429" s="49" t="s">
        <v>32</v>
      </c>
      <c r="AH429" s="48">
        <v>1</v>
      </c>
      <c r="AI429" s="48" t="s">
        <v>33</v>
      </c>
      <c r="AJ429" s="48" t="s">
        <v>33</v>
      </c>
      <c r="AK429" s="48" t="s">
        <v>33</v>
      </c>
      <c r="AL429" s="48" t="s">
        <v>34</v>
      </c>
      <c r="AN429" s="48">
        <v>0</v>
      </c>
      <c r="AO429" s="48">
        <v>0</v>
      </c>
      <c r="AP429" s="48">
        <v>0</v>
      </c>
      <c r="AQ429" s="48">
        <v>0</v>
      </c>
      <c r="AR429" s="48">
        <v>0</v>
      </c>
      <c r="AS429" s="48">
        <v>0</v>
      </c>
      <c r="AT429" s="48">
        <v>0</v>
      </c>
      <c r="AU429" s="48">
        <v>0</v>
      </c>
      <c r="AV429" s="48">
        <v>0</v>
      </c>
      <c r="AW429" s="48">
        <v>0</v>
      </c>
      <c r="AX429" s="48">
        <v>0</v>
      </c>
      <c r="AY429" s="48">
        <v>0</v>
      </c>
      <c r="AZ429" s="48">
        <v>0</v>
      </c>
      <c r="BA429" s="48">
        <v>0</v>
      </c>
      <c r="BB429" s="48">
        <v>0</v>
      </c>
    </row>
    <row r="430" spans="1:54" x14ac:dyDescent="0.35">
      <c r="A430" s="49">
        <v>45930</v>
      </c>
      <c r="B430" s="48">
        <v>1</v>
      </c>
      <c r="C430" s="50" t="s">
        <v>32</v>
      </c>
      <c r="D430" s="48" t="s">
        <v>31</v>
      </c>
      <c r="E430" s="48" t="s">
        <v>138</v>
      </c>
      <c r="F430" s="48" t="s">
        <v>139</v>
      </c>
      <c r="G430" s="49" t="s">
        <v>59</v>
      </c>
      <c r="H430" s="48" t="s">
        <v>160</v>
      </c>
      <c r="I430" s="48">
        <v>1</v>
      </c>
      <c r="J430" s="48">
        <v>22</v>
      </c>
      <c r="K430" s="48">
        <v>1</v>
      </c>
      <c r="N430" s="48">
        <v>0</v>
      </c>
      <c r="R430" s="49"/>
      <c r="S430" s="49"/>
      <c r="T430" s="49">
        <v>46599</v>
      </c>
      <c r="U430" s="49">
        <v>46599</v>
      </c>
      <c r="V430" s="49">
        <v>46599</v>
      </c>
      <c r="W430" s="49">
        <v>46599</v>
      </c>
      <c r="X430" s="48">
        <v>1</v>
      </c>
      <c r="Y430" s="48">
        <v>1</v>
      </c>
      <c r="Z430" s="48">
        <v>1</v>
      </c>
      <c r="AA430" s="156">
        <v>8390.977733491969</v>
      </c>
      <c r="AF430" s="48">
        <v>0</v>
      </c>
      <c r="AG430" s="49" t="s">
        <v>32</v>
      </c>
      <c r="AH430" s="48">
        <v>1</v>
      </c>
      <c r="AI430" s="48" t="s">
        <v>33</v>
      </c>
      <c r="AJ430" s="48" t="s">
        <v>33</v>
      </c>
      <c r="AK430" s="48" t="s">
        <v>33</v>
      </c>
      <c r="AL430" s="48" t="s">
        <v>34</v>
      </c>
      <c r="AN430" s="48">
        <v>0</v>
      </c>
      <c r="AO430" s="48">
        <v>0</v>
      </c>
      <c r="AP430" s="48">
        <v>0</v>
      </c>
      <c r="AQ430" s="48">
        <v>0</v>
      </c>
      <c r="AR430" s="48">
        <v>0</v>
      </c>
      <c r="AS430" s="48">
        <v>0</v>
      </c>
      <c r="AT430" s="48">
        <v>0</v>
      </c>
      <c r="AU430" s="48">
        <v>0</v>
      </c>
      <c r="AV430" s="48">
        <v>0</v>
      </c>
      <c r="AW430" s="48">
        <v>0</v>
      </c>
      <c r="AX430" s="48">
        <v>0</v>
      </c>
      <c r="AY430" s="48">
        <v>0</v>
      </c>
      <c r="AZ430" s="48">
        <v>0</v>
      </c>
      <c r="BA430" s="48">
        <v>0</v>
      </c>
      <c r="BB430" s="48">
        <v>0</v>
      </c>
    </row>
    <row r="431" spans="1:54" x14ac:dyDescent="0.35">
      <c r="A431" s="49">
        <v>45930</v>
      </c>
      <c r="B431" s="48">
        <v>1</v>
      </c>
      <c r="C431" s="50" t="s">
        <v>32</v>
      </c>
      <c r="D431" s="48" t="s">
        <v>31</v>
      </c>
      <c r="E431" s="48" t="s">
        <v>138</v>
      </c>
      <c r="F431" s="48" t="s">
        <v>139</v>
      </c>
      <c r="G431" s="49" t="s">
        <v>59</v>
      </c>
      <c r="H431" s="48" t="s">
        <v>160</v>
      </c>
      <c r="I431" s="48">
        <v>1</v>
      </c>
      <c r="J431" s="48">
        <v>23</v>
      </c>
      <c r="K431" s="48">
        <v>1</v>
      </c>
      <c r="N431" s="48">
        <v>0</v>
      </c>
      <c r="R431" s="49"/>
      <c r="S431" s="49"/>
      <c r="T431" s="49">
        <v>46630</v>
      </c>
      <c r="U431" s="49">
        <v>46630</v>
      </c>
      <c r="V431" s="49">
        <v>46630</v>
      </c>
      <c r="W431" s="49">
        <v>46630</v>
      </c>
      <c r="X431" s="48">
        <v>1</v>
      </c>
      <c r="Y431" s="48">
        <v>1</v>
      </c>
      <c r="Z431" s="48">
        <v>1</v>
      </c>
      <c r="AA431" s="156">
        <v>8390.977733491969</v>
      </c>
      <c r="AF431" s="48">
        <v>0</v>
      </c>
      <c r="AG431" s="49" t="s">
        <v>32</v>
      </c>
      <c r="AH431" s="48">
        <v>1</v>
      </c>
      <c r="AI431" s="48" t="s">
        <v>33</v>
      </c>
      <c r="AJ431" s="48" t="s">
        <v>33</v>
      </c>
      <c r="AK431" s="48" t="s">
        <v>33</v>
      </c>
      <c r="AL431" s="48" t="s">
        <v>34</v>
      </c>
      <c r="AN431" s="48">
        <v>0</v>
      </c>
      <c r="AO431" s="48">
        <v>0</v>
      </c>
      <c r="AP431" s="48">
        <v>0</v>
      </c>
      <c r="AQ431" s="48">
        <v>0</v>
      </c>
      <c r="AR431" s="48">
        <v>0</v>
      </c>
      <c r="AS431" s="48">
        <v>0</v>
      </c>
      <c r="AT431" s="48">
        <v>0</v>
      </c>
      <c r="AU431" s="48">
        <v>0</v>
      </c>
      <c r="AV431" s="48">
        <v>0</v>
      </c>
      <c r="AW431" s="48">
        <v>0</v>
      </c>
      <c r="AX431" s="48">
        <v>0</v>
      </c>
      <c r="AY431" s="48">
        <v>0</v>
      </c>
      <c r="AZ431" s="48">
        <v>0</v>
      </c>
      <c r="BA431" s="48">
        <v>0</v>
      </c>
      <c r="BB431" s="48">
        <v>0</v>
      </c>
    </row>
    <row r="432" spans="1:54" x14ac:dyDescent="0.35">
      <c r="A432" s="49">
        <v>45930</v>
      </c>
      <c r="B432" s="48">
        <v>1</v>
      </c>
      <c r="C432" s="50" t="s">
        <v>32</v>
      </c>
      <c r="D432" s="48" t="s">
        <v>31</v>
      </c>
      <c r="E432" s="48" t="s">
        <v>138</v>
      </c>
      <c r="F432" s="48" t="s">
        <v>139</v>
      </c>
      <c r="G432" s="49" t="s">
        <v>59</v>
      </c>
      <c r="H432" s="48" t="s">
        <v>160</v>
      </c>
      <c r="I432" s="48">
        <v>1</v>
      </c>
      <c r="J432" s="48">
        <v>24</v>
      </c>
      <c r="K432" s="48">
        <v>1</v>
      </c>
      <c r="N432" s="48">
        <v>0</v>
      </c>
      <c r="R432" s="49"/>
      <c r="S432" s="49"/>
      <c r="T432" s="49">
        <v>46660</v>
      </c>
      <c r="U432" s="49">
        <v>46660</v>
      </c>
      <c r="V432" s="49">
        <v>46660</v>
      </c>
      <c r="W432" s="49">
        <v>46660</v>
      </c>
      <c r="X432" s="48">
        <v>1</v>
      </c>
      <c r="Y432" s="48">
        <v>1</v>
      </c>
      <c r="Z432" s="48">
        <v>1</v>
      </c>
      <c r="AA432" s="156">
        <v>8390.977733491969</v>
      </c>
      <c r="AF432" s="48">
        <v>0</v>
      </c>
      <c r="AG432" s="49" t="s">
        <v>32</v>
      </c>
      <c r="AH432" s="48">
        <v>1</v>
      </c>
      <c r="AI432" s="48" t="s">
        <v>33</v>
      </c>
      <c r="AJ432" s="48" t="s">
        <v>33</v>
      </c>
      <c r="AK432" s="48" t="s">
        <v>33</v>
      </c>
      <c r="AL432" s="48" t="s">
        <v>34</v>
      </c>
      <c r="AN432" s="48">
        <v>0</v>
      </c>
      <c r="AO432" s="48">
        <v>0</v>
      </c>
      <c r="AP432" s="48">
        <v>0</v>
      </c>
      <c r="AQ432" s="48">
        <v>0</v>
      </c>
      <c r="AR432" s="48">
        <v>0</v>
      </c>
      <c r="AS432" s="48">
        <v>0</v>
      </c>
      <c r="AT432" s="48">
        <v>0</v>
      </c>
      <c r="AU432" s="48">
        <v>0</v>
      </c>
      <c r="AV432" s="48">
        <v>0</v>
      </c>
      <c r="AW432" s="48">
        <v>0</v>
      </c>
      <c r="AX432" s="48">
        <v>0</v>
      </c>
      <c r="AY432" s="48">
        <v>0</v>
      </c>
      <c r="AZ432" s="48">
        <v>0</v>
      </c>
      <c r="BA432" s="48">
        <v>0</v>
      </c>
      <c r="BB432" s="48">
        <v>0</v>
      </c>
    </row>
    <row r="433" spans="1:54" x14ac:dyDescent="0.35">
      <c r="A433" s="49">
        <v>45930</v>
      </c>
      <c r="B433" s="48">
        <v>1</v>
      </c>
      <c r="C433" s="50" t="s">
        <v>32</v>
      </c>
      <c r="D433" s="48" t="s">
        <v>31</v>
      </c>
      <c r="E433" s="48" t="s">
        <v>138</v>
      </c>
      <c r="F433" s="48" t="s">
        <v>139</v>
      </c>
      <c r="G433" s="49" t="s">
        <v>59</v>
      </c>
      <c r="H433" s="48" t="s">
        <v>160</v>
      </c>
      <c r="I433" s="48">
        <v>1</v>
      </c>
      <c r="J433" s="48">
        <v>25</v>
      </c>
      <c r="K433" s="48">
        <v>1</v>
      </c>
      <c r="N433" s="48">
        <v>0</v>
      </c>
      <c r="R433" s="49"/>
      <c r="S433" s="49"/>
      <c r="T433" s="49">
        <v>46691</v>
      </c>
      <c r="U433" s="49">
        <v>46691</v>
      </c>
      <c r="V433" s="49">
        <v>46691</v>
      </c>
      <c r="W433" s="49">
        <v>46691</v>
      </c>
      <c r="X433" s="48">
        <v>1</v>
      </c>
      <c r="Y433" s="48">
        <v>1</v>
      </c>
      <c r="Z433" s="48">
        <v>1</v>
      </c>
      <c r="AA433" s="156">
        <v>8390.977733491969</v>
      </c>
      <c r="AF433" s="48">
        <v>0</v>
      </c>
      <c r="AG433" s="49" t="s">
        <v>32</v>
      </c>
      <c r="AH433" s="48">
        <v>1</v>
      </c>
      <c r="AI433" s="48" t="s">
        <v>33</v>
      </c>
      <c r="AJ433" s="48" t="s">
        <v>33</v>
      </c>
      <c r="AK433" s="48" t="s">
        <v>33</v>
      </c>
      <c r="AL433" s="48" t="s">
        <v>34</v>
      </c>
      <c r="AN433" s="48">
        <v>0</v>
      </c>
      <c r="AO433" s="48">
        <v>0</v>
      </c>
      <c r="AP433" s="48">
        <v>0</v>
      </c>
      <c r="AQ433" s="48">
        <v>0</v>
      </c>
      <c r="AR433" s="48">
        <v>0</v>
      </c>
      <c r="AS433" s="48">
        <v>0</v>
      </c>
      <c r="AT433" s="48">
        <v>0</v>
      </c>
      <c r="AU433" s="48">
        <v>0</v>
      </c>
      <c r="AV433" s="48">
        <v>0</v>
      </c>
      <c r="AW433" s="48">
        <v>0</v>
      </c>
      <c r="AX433" s="48">
        <v>0</v>
      </c>
      <c r="AY433" s="48">
        <v>0</v>
      </c>
      <c r="AZ433" s="48">
        <v>0</v>
      </c>
      <c r="BA433" s="48">
        <v>0</v>
      </c>
      <c r="BB433" s="48">
        <v>0</v>
      </c>
    </row>
    <row r="434" spans="1:54" x14ac:dyDescent="0.35">
      <c r="A434" s="49">
        <v>45930</v>
      </c>
      <c r="B434" s="48">
        <v>1</v>
      </c>
      <c r="C434" s="50" t="s">
        <v>32</v>
      </c>
      <c r="D434" s="48" t="s">
        <v>31</v>
      </c>
      <c r="E434" s="48" t="s">
        <v>138</v>
      </c>
      <c r="F434" s="48" t="s">
        <v>139</v>
      </c>
      <c r="G434" s="49" t="s">
        <v>59</v>
      </c>
      <c r="H434" s="48" t="s">
        <v>160</v>
      </c>
      <c r="I434" s="48">
        <v>1</v>
      </c>
      <c r="J434" s="48">
        <v>26</v>
      </c>
      <c r="K434" s="48">
        <v>1</v>
      </c>
      <c r="N434" s="48">
        <v>0</v>
      </c>
      <c r="R434" s="49"/>
      <c r="S434" s="49"/>
      <c r="T434" s="49">
        <v>46721</v>
      </c>
      <c r="U434" s="49">
        <v>46721</v>
      </c>
      <c r="V434" s="49">
        <v>46721</v>
      </c>
      <c r="W434" s="49">
        <v>46721</v>
      </c>
      <c r="X434" s="48">
        <v>1</v>
      </c>
      <c r="Y434" s="48">
        <v>1</v>
      </c>
      <c r="Z434" s="48">
        <v>1</v>
      </c>
      <c r="AA434" s="156">
        <v>8390.977733491969</v>
      </c>
      <c r="AF434" s="48">
        <v>0</v>
      </c>
      <c r="AG434" s="49" t="s">
        <v>32</v>
      </c>
      <c r="AH434" s="48">
        <v>1</v>
      </c>
      <c r="AI434" s="48" t="s">
        <v>33</v>
      </c>
      <c r="AJ434" s="48" t="s">
        <v>33</v>
      </c>
      <c r="AK434" s="48" t="s">
        <v>33</v>
      </c>
      <c r="AL434" s="48" t="s">
        <v>34</v>
      </c>
      <c r="AN434" s="48">
        <v>0</v>
      </c>
      <c r="AO434" s="48">
        <v>0</v>
      </c>
      <c r="AP434" s="48">
        <v>0</v>
      </c>
      <c r="AQ434" s="48">
        <v>0</v>
      </c>
      <c r="AR434" s="48">
        <v>0</v>
      </c>
      <c r="AS434" s="48">
        <v>0</v>
      </c>
      <c r="AT434" s="48">
        <v>0</v>
      </c>
      <c r="AU434" s="48">
        <v>0</v>
      </c>
      <c r="AV434" s="48">
        <v>0</v>
      </c>
      <c r="AW434" s="48">
        <v>0</v>
      </c>
      <c r="AX434" s="48">
        <v>0</v>
      </c>
      <c r="AY434" s="48">
        <v>0</v>
      </c>
      <c r="AZ434" s="48">
        <v>0</v>
      </c>
      <c r="BA434" s="48">
        <v>0</v>
      </c>
      <c r="BB434" s="48">
        <v>0</v>
      </c>
    </row>
    <row r="435" spans="1:54" x14ac:dyDescent="0.35">
      <c r="A435" s="49">
        <v>45930</v>
      </c>
      <c r="B435" s="48">
        <v>1</v>
      </c>
      <c r="C435" s="50" t="s">
        <v>32</v>
      </c>
      <c r="D435" s="48" t="s">
        <v>31</v>
      </c>
      <c r="E435" s="48" t="s">
        <v>138</v>
      </c>
      <c r="F435" s="48" t="s">
        <v>139</v>
      </c>
      <c r="G435" s="49" t="s">
        <v>59</v>
      </c>
      <c r="H435" s="48" t="s">
        <v>160</v>
      </c>
      <c r="I435" s="48">
        <v>1</v>
      </c>
      <c r="J435" s="48">
        <v>27</v>
      </c>
      <c r="K435" s="48">
        <v>1</v>
      </c>
      <c r="N435" s="48">
        <v>0</v>
      </c>
      <c r="R435" s="49"/>
      <c r="S435" s="49"/>
      <c r="T435" s="49">
        <v>46752</v>
      </c>
      <c r="U435" s="49">
        <v>46752</v>
      </c>
      <c r="V435" s="49">
        <v>46752</v>
      </c>
      <c r="W435" s="49">
        <v>46752</v>
      </c>
      <c r="X435" s="48">
        <v>1</v>
      </c>
      <c r="Y435" s="48">
        <v>1</v>
      </c>
      <c r="Z435" s="48">
        <v>1</v>
      </c>
      <c r="AA435" s="156">
        <v>8390.977733491969</v>
      </c>
      <c r="AF435" s="48">
        <v>0</v>
      </c>
      <c r="AG435" s="49" t="s">
        <v>32</v>
      </c>
      <c r="AH435" s="48">
        <v>1</v>
      </c>
      <c r="AI435" s="48" t="s">
        <v>33</v>
      </c>
      <c r="AJ435" s="48" t="s">
        <v>33</v>
      </c>
      <c r="AK435" s="48" t="s">
        <v>33</v>
      </c>
      <c r="AL435" s="48" t="s">
        <v>34</v>
      </c>
      <c r="AN435" s="48">
        <v>0</v>
      </c>
      <c r="AO435" s="48">
        <v>0</v>
      </c>
      <c r="AP435" s="48">
        <v>0</v>
      </c>
      <c r="AQ435" s="48">
        <v>0</v>
      </c>
      <c r="AR435" s="48">
        <v>0</v>
      </c>
      <c r="AS435" s="48">
        <v>0</v>
      </c>
      <c r="AT435" s="48">
        <v>0</v>
      </c>
      <c r="AU435" s="48">
        <v>0</v>
      </c>
      <c r="AV435" s="48">
        <v>0</v>
      </c>
      <c r="AW435" s="48">
        <v>0</v>
      </c>
      <c r="AX435" s="48">
        <v>0</v>
      </c>
      <c r="AY435" s="48">
        <v>0</v>
      </c>
      <c r="AZ435" s="48">
        <v>0</v>
      </c>
      <c r="BA435" s="48">
        <v>0</v>
      </c>
      <c r="BB435" s="48">
        <v>0</v>
      </c>
    </row>
    <row r="436" spans="1:54" x14ac:dyDescent="0.35">
      <c r="A436" s="49">
        <v>45930</v>
      </c>
      <c r="B436" s="48">
        <v>1</v>
      </c>
      <c r="C436" s="50" t="s">
        <v>32</v>
      </c>
      <c r="D436" s="48" t="s">
        <v>31</v>
      </c>
      <c r="E436" s="48" t="s">
        <v>138</v>
      </c>
      <c r="F436" s="48" t="s">
        <v>139</v>
      </c>
      <c r="G436" s="49" t="s">
        <v>59</v>
      </c>
      <c r="H436" s="48" t="s">
        <v>160</v>
      </c>
      <c r="I436" s="48">
        <v>1</v>
      </c>
      <c r="J436" s="48">
        <v>28</v>
      </c>
      <c r="K436" s="48">
        <v>1</v>
      </c>
      <c r="N436" s="48">
        <v>0</v>
      </c>
      <c r="R436" s="49"/>
      <c r="S436" s="49"/>
      <c r="T436" s="49">
        <v>46783</v>
      </c>
      <c r="U436" s="49">
        <v>46783</v>
      </c>
      <c r="V436" s="49">
        <v>46783</v>
      </c>
      <c r="W436" s="49">
        <v>46783</v>
      </c>
      <c r="X436" s="48">
        <v>1</v>
      </c>
      <c r="Y436" s="48">
        <v>1</v>
      </c>
      <c r="Z436" s="48">
        <v>1</v>
      </c>
      <c r="AA436" s="156">
        <v>8390.977733491969</v>
      </c>
      <c r="AF436" s="48">
        <v>0</v>
      </c>
      <c r="AG436" s="49" t="s">
        <v>32</v>
      </c>
      <c r="AH436" s="48">
        <v>1</v>
      </c>
      <c r="AI436" s="48" t="s">
        <v>33</v>
      </c>
      <c r="AJ436" s="48" t="s">
        <v>33</v>
      </c>
      <c r="AK436" s="48" t="s">
        <v>33</v>
      </c>
      <c r="AL436" s="48" t="s">
        <v>34</v>
      </c>
      <c r="AN436" s="48">
        <v>0</v>
      </c>
      <c r="AO436" s="48">
        <v>0</v>
      </c>
      <c r="AP436" s="48">
        <v>0</v>
      </c>
      <c r="AQ436" s="48">
        <v>0</v>
      </c>
      <c r="AR436" s="48">
        <v>0</v>
      </c>
      <c r="AS436" s="48">
        <v>0</v>
      </c>
      <c r="AT436" s="48">
        <v>0</v>
      </c>
      <c r="AU436" s="48">
        <v>0</v>
      </c>
      <c r="AV436" s="48">
        <v>0</v>
      </c>
      <c r="AW436" s="48">
        <v>0</v>
      </c>
      <c r="AX436" s="48">
        <v>0</v>
      </c>
      <c r="AY436" s="48">
        <v>0</v>
      </c>
      <c r="AZ436" s="48">
        <v>0</v>
      </c>
      <c r="BA436" s="48">
        <v>0</v>
      </c>
      <c r="BB436" s="48">
        <v>0</v>
      </c>
    </row>
    <row r="437" spans="1:54" x14ac:dyDescent="0.35">
      <c r="A437" s="49">
        <v>45930</v>
      </c>
      <c r="B437" s="48">
        <v>1</v>
      </c>
      <c r="C437" s="50" t="s">
        <v>32</v>
      </c>
      <c r="D437" s="48" t="s">
        <v>31</v>
      </c>
      <c r="E437" s="48" t="s">
        <v>138</v>
      </c>
      <c r="F437" s="48" t="s">
        <v>139</v>
      </c>
      <c r="G437" s="49" t="s">
        <v>59</v>
      </c>
      <c r="H437" s="48" t="s">
        <v>160</v>
      </c>
      <c r="I437" s="48">
        <v>1</v>
      </c>
      <c r="J437" s="48">
        <v>29</v>
      </c>
      <c r="K437" s="48">
        <v>1</v>
      </c>
      <c r="N437" s="48">
        <v>0</v>
      </c>
      <c r="R437" s="49"/>
      <c r="S437" s="49"/>
      <c r="T437" s="49">
        <v>46812</v>
      </c>
      <c r="U437" s="49">
        <v>46812</v>
      </c>
      <c r="V437" s="49">
        <v>46812</v>
      </c>
      <c r="W437" s="49">
        <v>46812</v>
      </c>
      <c r="X437" s="48">
        <v>1</v>
      </c>
      <c r="Y437" s="48">
        <v>1</v>
      </c>
      <c r="Z437" s="48">
        <v>1</v>
      </c>
      <c r="AA437" s="156">
        <v>8390.977733491969</v>
      </c>
      <c r="AF437" s="48">
        <v>0</v>
      </c>
      <c r="AG437" s="49" t="s">
        <v>32</v>
      </c>
      <c r="AH437" s="48">
        <v>1</v>
      </c>
      <c r="AI437" s="48" t="s">
        <v>33</v>
      </c>
      <c r="AJ437" s="48" t="s">
        <v>33</v>
      </c>
      <c r="AK437" s="48" t="s">
        <v>33</v>
      </c>
      <c r="AL437" s="48" t="s">
        <v>34</v>
      </c>
      <c r="AN437" s="48">
        <v>0</v>
      </c>
      <c r="AO437" s="48">
        <v>0</v>
      </c>
      <c r="AP437" s="48">
        <v>0</v>
      </c>
      <c r="AQ437" s="48">
        <v>0</v>
      </c>
      <c r="AR437" s="48">
        <v>0</v>
      </c>
      <c r="AS437" s="48">
        <v>0</v>
      </c>
      <c r="AT437" s="48">
        <v>0</v>
      </c>
      <c r="AU437" s="48">
        <v>0</v>
      </c>
      <c r="AV437" s="48">
        <v>0</v>
      </c>
      <c r="AW437" s="48">
        <v>0</v>
      </c>
      <c r="AX437" s="48">
        <v>0</v>
      </c>
      <c r="AY437" s="48">
        <v>0</v>
      </c>
      <c r="AZ437" s="48">
        <v>0</v>
      </c>
      <c r="BA437" s="48">
        <v>0</v>
      </c>
      <c r="BB437" s="48">
        <v>0</v>
      </c>
    </row>
    <row r="438" spans="1:54" x14ac:dyDescent="0.35">
      <c r="A438" s="49">
        <v>45930</v>
      </c>
      <c r="B438" s="48">
        <v>1</v>
      </c>
      <c r="C438" s="50" t="s">
        <v>32</v>
      </c>
      <c r="D438" s="48" t="s">
        <v>31</v>
      </c>
      <c r="E438" s="48" t="s">
        <v>138</v>
      </c>
      <c r="F438" s="48" t="s">
        <v>139</v>
      </c>
      <c r="G438" s="49" t="s">
        <v>59</v>
      </c>
      <c r="H438" s="48" t="s">
        <v>160</v>
      </c>
      <c r="I438" s="48">
        <v>1</v>
      </c>
      <c r="J438" s="48">
        <v>30</v>
      </c>
      <c r="K438" s="48">
        <v>1</v>
      </c>
      <c r="N438" s="48">
        <v>0</v>
      </c>
      <c r="R438" s="49"/>
      <c r="S438" s="49"/>
      <c r="T438" s="49">
        <v>46843</v>
      </c>
      <c r="U438" s="49">
        <v>46843</v>
      </c>
      <c r="V438" s="49">
        <v>46843</v>
      </c>
      <c r="W438" s="49">
        <v>46843</v>
      </c>
      <c r="X438" s="48">
        <v>1</v>
      </c>
      <c r="Y438" s="48">
        <v>1</v>
      </c>
      <c r="Z438" s="48">
        <v>1</v>
      </c>
      <c r="AA438" s="156">
        <v>8390.977733491969</v>
      </c>
      <c r="AF438" s="48">
        <v>0</v>
      </c>
      <c r="AG438" s="49" t="s">
        <v>32</v>
      </c>
      <c r="AH438" s="48">
        <v>1</v>
      </c>
      <c r="AI438" s="48" t="s">
        <v>33</v>
      </c>
      <c r="AJ438" s="48" t="s">
        <v>33</v>
      </c>
      <c r="AK438" s="48" t="s">
        <v>33</v>
      </c>
      <c r="AL438" s="48" t="s">
        <v>34</v>
      </c>
      <c r="AN438" s="48">
        <v>0</v>
      </c>
      <c r="AO438" s="48">
        <v>0</v>
      </c>
      <c r="AP438" s="48">
        <v>0</v>
      </c>
      <c r="AQ438" s="48">
        <v>0</v>
      </c>
      <c r="AR438" s="48">
        <v>0</v>
      </c>
      <c r="AS438" s="48">
        <v>0</v>
      </c>
      <c r="AT438" s="48">
        <v>0</v>
      </c>
      <c r="AU438" s="48">
        <v>0</v>
      </c>
      <c r="AV438" s="48">
        <v>0</v>
      </c>
      <c r="AW438" s="48">
        <v>0</v>
      </c>
      <c r="AX438" s="48">
        <v>0</v>
      </c>
      <c r="AY438" s="48">
        <v>0</v>
      </c>
      <c r="AZ438" s="48">
        <v>0</v>
      </c>
      <c r="BA438" s="48">
        <v>0</v>
      </c>
      <c r="BB438" s="48">
        <v>0</v>
      </c>
    </row>
    <row r="439" spans="1:54" x14ac:dyDescent="0.35">
      <c r="A439" s="49">
        <v>45930</v>
      </c>
      <c r="B439" s="48">
        <v>1</v>
      </c>
      <c r="C439" s="50" t="s">
        <v>32</v>
      </c>
      <c r="D439" s="48" t="s">
        <v>31</v>
      </c>
      <c r="E439" s="48" t="s">
        <v>138</v>
      </c>
      <c r="F439" s="48" t="s">
        <v>139</v>
      </c>
      <c r="G439" s="49" t="s">
        <v>59</v>
      </c>
      <c r="H439" s="48" t="s">
        <v>160</v>
      </c>
      <c r="I439" s="48">
        <v>1</v>
      </c>
      <c r="J439" s="48">
        <v>31</v>
      </c>
      <c r="K439" s="48">
        <v>1</v>
      </c>
      <c r="N439" s="48">
        <v>0</v>
      </c>
      <c r="R439" s="49"/>
      <c r="S439" s="49"/>
      <c r="T439" s="49">
        <v>46873</v>
      </c>
      <c r="U439" s="49">
        <v>46873</v>
      </c>
      <c r="V439" s="49">
        <v>46873</v>
      </c>
      <c r="W439" s="49">
        <v>46873</v>
      </c>
      <c r="X439" s="48">
        <v>1</v>
      </c>
      <c r="Y439" s="48">
        <v>1</v>
      </c>
      <c r="Z439" s="48">
        <v>1</v>
      </c>
      <c r="AA439" s="156">
        <v>8390.977733491969</v>
      </c>
      <c r="AF439" s="48">
        <v>0</v>
      </c>
      <c r="AG439" s="49" t="s">
        <v>32</v>
      </c>
      <c r="AH439" s="48">
        <v>1</v>
      </c>
      <c r="AI439" s="48" t="s">
        <v>33</v>
      </c>
      <c r="AJ439" s="48" t="s">
        <v>33</v>
      </c>
      <c r="AK439" s="48" t="s">
        <v>33</v>
      </c>
      <c r="AL439" s="48" t="s">
        <v>34</v>
      </c>
      <c r="AN439" s="48">
        <v>0</v>
      </c>
      <c r="AO439" s="48">
        <v>0</v>
      </c>
      <c r="AP439" s="48">
        <v>0</v>
      </c>
      <c r="AQ439" s="48">
        <v>0</v>
      </c>
      <c r="AR439" s="48">
        <v>0</v>
      </c>
      <c r="AS439" s="48">
        <v>0</v>
      </c>
      <c r="AT439" s="48">
        <v>0</v>
      </c>
      <c r="AU439" s="48">
        <v>0</v>
      </c>
      <c r="AV439" s="48">
        <v>0</v>
      </c>
      <c r="AW439" s="48">
        <v>0</v>
      </c>
      <c r="AX439" s="48">
        <v>0</v>
      </c>
      <c r="AY439" s="48">
        <v>0</v>
      </c>
      <c r="AZ439" s="48">
        <v>0</v>
      </c>
      <c r="BA439" s="48">
        <v>0</v>
      </c>
      <c r="BB439" s="48">
        <v>0</v>
      </c>
    </row>
    <row r="440" spans="1:54" x14ac:dyDescent="0.35">
      <c r="A440" s="49">
        <v>45930</v>
      </c>
      <c r="B440" s="48">
        <v>1</v>
      </c>
      <c r="C440" s="50" t="s">
        <v>32</v>
      </c>
      <c r="D440" s="48" t="s">
        <v>31</v>
      </c>
      <c r="E440" s="48" t="s">
        <v>138</v>
      </c>
      <c r="F440" s="48" t="s">
        <v>139</v>
      </c>
      <c r="G440" s="49" t="s">
        <v>59</v>
      </c>
      <c r="H440" s="48" t="s">
        <v>160</v>
      </c>
      <c r="I440" s="48">
        <v>1</v>
      </c>
      <c r="J440" s="48">
        <v>32</v>
      </c>
      <c r="K440" s="48">
        <v>1</v>
      </c>
      <c r="N440" s="48">
        <v>0</v>
      </c>
      <c r="R440" s="49"/>
      <c r="S440" s="49"/>
      <c r="T440" s="49">
        <v>46904</v>
      </c>
      <c r="U440" s="49">
        <v>46904</v>
      </c>
      <c r="V440" s="49">
        <v>46904</v>
      </c>
      <c r="W440" s="49">
        <v>46904</v>
      </c>
      <c r="X440" s="48">
        <v>1</v>
      </c>
      <c r="Y440" s="48">
        <v>1</v>
      </c>
      <c r="Z440" s="48">
        <v>1</v>
      </c>
      <c r="AA440" s="156">
        <v>8390.977733491969</v>
      </c>
      <c r="AF440" s="48">
        <v>0</v>
      </c>
      <c r="AG440" s="49" t="s">
        <v>32</v>
      </c>
      <c r="AH440" s="48">
        <v>1</v>
      </c>
      <c r="AI440" s="48" t="s">
        <v>33</v>
      </c>
      <c r="AJ440" s="48" t="s">
        <v>33</v>
      </c>
      <c r="AK440" s="48" t="s">
        <v>33</v>
      </c>
      <c r="AL440" s="48" t="s">
        <v>34</v>
      </c>
      <c r="AN440" s="48">
        <v>0</v>
      </c>
      <c r="AO440" s="48">
        <v>0</v>
      </c>
      <c r="AP440" s="48">
        <v>0</v>
      </c>
      <c r="AQ440" s="48">
        <v>0</v>
      </c>
      <c r="AR440" s="48">
        <v>0</v>
      </c>
      <c r="AS440" s="48">
        <v>0</v>
      </c>
      <c r="AT440" s="48">
        <v>0</v>
      </c>
      <c r="AU440" s="48">
        <v>0</v>
      </c>
      <c r="AV440" s="48">
        <v>0</v>
      </c>
      <c r="AW440" s="48">
        <v>0</v>
      </c>
      <c r="AX440" s="48">
        <v>0</v>
      </c>
      <c r="AY440" s="48">
        <v>0</v>
      </c>
      <c r="AZ440" s="48">
        <v>0</v>
      </c>
      <c r="BA440" s="48">
        <v>0</v>
      </c>
      <c r="BB440" s="48">
        <v>0</v>
      </c>
    </row>
    <row r="441" spans="1:54" x14ac:dyDescent="0.35">
      <c r="A441" s="49">
        <v>45930</v>
      </c>
      <c r="B441" s="48">
        <v>1</v>
      </c>
      <c r="C441" s="50" t="s">
        <v>32</v>
      </c>
      <c r="D441" s="48" t="s">
        <v>31</v>
      </c>
      <c r="E441" s="48" t="s">
        <v>138</v>
      </c>
      <c r="F441" s="48" t="s">
        <v>139</v>
      </c>
      <c r="G441" s="49" t="s">
        <v>59</v>
      </c>
      <c r="H441" s="48" t="s">
        <v>160</v>
      </c>
      <c r="I441" s="48">
        <v>1</v>
      </c>
      <c r="J441" s="48">
        <v>33</v>
      </c>
      <c r="K441" s="48">
        <v>1</v>
      </c>
      <c r="N441" s="48">
        <v>0</v>
      </c>
      <c r="R441" s="49"/>
      <c r="S441" s="49"/>
      <c r="T441" s="49">
        <v>46934</v>
      </c>
      <c r="U441" s="49">
        <v>46934</v>
      </c>
      <c r="V441" s="49">
        <v>46934</v>
      </c>
      <c r="W441" s="49">
        <v>46934</v>
      </c>
      <c r="X441" s="48">
        <v>1</v>
      </c>
      <c r="Y441" s="48">
        <v>1</v>
      </c>
      <c r="Z441" s="48">
        <v>1</v>
      </c>
      <c r="AA441" s="156">
        <v>8390.977733491969</v>
      </c>
      <c r="AF441" s="48">
        <v>0</v>
      </c>
      <c r="AG441" s="49" t="s">
        <v>32</v>
      </c>
      <c r="AH441" s="48">
        <v>1</v>
      </c>
      <c r="AI441" s="48" t="s">
        <v>33</v>
      </c>
      <c r="AJ441" s="48" t="s">
        <v>33</v>
      </c>
      <c r="AK441" s="48" t="s">
        <v>33</v>
      </c>
      <c r="AL441" s="48" t="s">
        <v>34</v>
      </c>
      <c r="AN441" s="48">
        <v>0</v>
      </c>
      <c r="AO441" s="48">
        <v>0</v>
      </c>
      <c r="AP441" s="48">
        <v>0</v>
      </c>
      <c r="AQ441" s="48">
        <v>0</v>
      </c>
      <c r="AR441" s="48">
        <v>0</v>
      </c>
      <c r="AS441" s="48">
        <v>0</v>
      </c>
      <c r="AT441" s="48">
        <v>0</v>
      </c>
      <c r="AU441" s="48">
        <v>0</v>
      </c>
      <c r="AV441" s="48">
        <v>0</v>
      </c>
      <c r="AW441" s="48">
        <v>0</v>
      </c>
      <c r="AX441" s="48">
        <v>0</v>
      </c>
      <c r="AY441" s="48">
        <v>0</v>
      </c>
      <c r="AZ441" s="48">
        <v>0</v>
      </c>
      <c r="BA441" s="48">
        <v>0</v>
      </c>
      <c r="BB441" s="48">
        <v>0</v>
      </c>
    </row>
    <row r="442" spans="1:54" x14ac:dyDescent="0.35">
      <c r="A442" s="49">
        <v>45930</v>
      </c>
      <c r="B442" s="48">
        <v>1</v>
      </c>
      <c r="C442" s="50" t="s">
        <v>32</v>
      </c>
      <c r="D442" s="48" t="s">
        <v>31</v>
      </c>
      <c r="E442" s="48" t="s">
        <v>138</v>
      </c>
      <c r="F442" s="48" t="s">
        <v>139</v>
      </c>
      <c r="G442" s="49" t="s">
        <v>59</v>
      </c>
      <c r="H442" s="48" t="s">
        <v>160</v>
      </c>
      <c r="I442" s="48">
        <v>1</v>
      </c>
      <c r="J442" s="48">
        <v>34</v>
      </c>
      <c r="K442" s="48">
        <v>1</v>
      </c>
      <c r="N442" s="48">
        <v>0</v>
      </c>
      <c r="R442" s="49"/>
      <c r="S442" s="49"/>
      <c r="T442" s="49">
        <v>46965</v>
      </c>
      <c r="U442" s="49">
        <v>46965</v>
      </c>
      <c r="V442" s="49">
        <v>46965</v>
      </c>
      <c r="W442" s="49">
        <v>46965</v>
      </c>
      <c r="X442" s="48">
        <v>1</v>
      </c>
      <c r="Y442" s="48">
        <v>1</v>
      </c>
      <c r="Z442" s="48">
        <v>1</v>
      </c>
      <c r="AA442" s="156">
        <v>8390.977733491969</v>
      </c>
      <c r="AF442" s="48">
        <v>0</v>
      </c>
      <c r="AG442" s="49" t="s">
        <v>32</v>
      </c>
      <c r="AH442" s="48">
        <v>1</v>
      </c>
      <c r="AI442" s="48" t="s">
        <v>33</v>
      </c>
      <c r="AJ442" s="48" t="s">
        <v>33</v>
      </c>
      <c r="AK442" s="48" t="s">
        <v>33</v>
      </c>
      <c r="AL442" s="48" t="s">
        <v>34</v>
      </c>
      <c r="AN442" s="48">
        <v>0</v>
      </c>
      <c r="AO442" s="48">
        <v>0</v>
      </c>
      <c r="AP442" s="48">
        <v>0</v>
      </c>
      <c r="AQ442" s="48">
        <v>0</v>
      </c>
      <c r="AR442" s="48">
        <v>0</v>
      </c>
      <c r="AS442" s="48">
        <v>0</v>
      </c>
      <c r="AT442" s="48">
        <v>0</v>
      </c>
      <c r="AU442" s="48">
        <v>0</v>
      </c>
      <c r="AV442" s="48">
        <v>0</v>
      </c>
      <c r="AW442" s="48">
        <v>0</v>
      </c>
      <c r="AX442" s="48">
        <v>0</v>
      </c>
      <c r="AY442" s="48">
        <v>0</v>
      </c>
      <c r="AZ442" s="48">
        <v>0</v>
      </c>
      <c r="BA442" s="48">
        <v>0</v>
      </c>
      <c r="BB442" s="48">
        <v>0</v>
      </c>
    </row>
    <row r="443" spans="1:54" x14ac:dyDescent="0.35">
      <c r="A443" s="49">
        <v>45930</v>
      </c>
      <c r="B443" s="48">
        <v>1</v>
      </c>
      <c r="C443" s="50" t="s">
        <v>32</v>
      </c>
      <c r="D443" s="48" t="s">
        <v>31</v>
      </c>
      <c r="E443" s="48" t="s">
        <v>138</v>
      </c>
      <c r="F443" s="48" t="s">
        <v>139</v>
      </c>
      <c r="G443" s="49" t="s">
        <v>59</v>
      </c>
      <c r="H443" s="48" t="s">
        <v>160</v>
      </c>
      <c r="I443" s="48">
        <v>1</v>
      </c>
      <c r="J443" s="48">
        <v>35</v>
      </c>
      <c r="K443" s="48">
        <v>1</v>
      </c>
      <c r="N443" s="48">
        <v>0</v>
      </c>
      <c r="R443" s="49"/>
      <c r="S443" s="49"/>
      <c r="T443" s="49">
        <v>46996</v>
      </c>
      <c r="U443" s="49">
        <v>46996</v>
      </c>
      <c r="V443" s="49">
        <v>46996</v>
      </c>
      <c r="W443" s="49">
        <v>46996</v>
      </c>
      <c r="X443" s="48">
        <v>1</v>
      </c>
      <c r="Y443" s="48">
        <v>1</v>
      </c>
      <c r="Z443" s="48">
        <v>1</v>
      </c>
      <c r="AA443" s="156">
        <v>8390.977733491969</v>
      </c>
      <c r="AF443" s="48">
        <v>0</v>
      </c>
      <c r="AG443" s="49" t="s">
        <v>32</v>
      </c>
      <c r="AH443" s="48">
        <v>1</v>
      </c>
      <c r="AI443" s="48" t="s">
        <v>33</v>
      </c>
      <c r="AJ443" s="48" t="s">
        <v>33</v>
      </c>
      <c r="AK443" s="48" t="s">
        <v>33</v>
      </c>
      <c r="AL443" s="48" t="s">
        <v>34</v>
      </c>
      <c r="AN443" s="48">
        <v>0</v>
      </c>
      <c r="AO443" s="48">
        <v>0</v>
      </c>
      <c r="AP443" s="48">
        <v>0</v>
      </c>
      <c r="AQ443" s="48">
        <v>0</v>
      </c>
      <c r="AR443" s="48">
        <v>0</v>
      </c>
      <c r="AS443" s="48">
        <v>0</v>
      </c>
      <c r="AT443" s="48">
        <v>0</v>
      </c>
      <c r="AU443" s="48">
        <v>0</v>
      </c>
      <c r="AV443" s="48">
        <v>0</v>
      </c>
      <c r="AW443" s="48">
        <v>0</v>
      </c>
      <c r="AX443" s="48">
        <v>0</v>
      </c>
      <c r="AY443" s="48">
        <v>0</v>
      </c>
      <c r="AZ443" s="48">
        <v>0</v>
      </c>
      <c r="BA443" s="48">
        <v>0</v>
      </c>
      <c r="BB443" s="48">
        <v>0</v>
      </c>
    </row>
    <row r="444" spans="1:54" x14ac:dyDescent="0.35">
      <c r="A444" s="49">
        <v>45930</v>
      </c>
      <c r="B444" s="48">
        <v>1</v>
      </c>
      <c r="C444" s="50" t="s">
        <v>32</v>
      </c>
      <c r="D444" s="48" t="s">
        <v>31</v>
      </c>
      <c r="E444" s="48" t="s">
        <v>138</v>
      </c>
      <c r="F444" s="48" t="s">
        <v>139</v>
      </c>
      <c r="G444" s="49" t="s">
        <v>59</v>
      </c>
      <c r="H444" s="48" t="s">
        <v>160</v>
      </c>
      <c r="I444" s="48">
        <v>1</v>
      </c>
      <c r="J444" s="48">
        <v>36</v>
      </c>
      <c r="K444" s="48">
        <v>1</v>
      </c>
      <c r="N444" s="48">
        <v>0</v>
      </c>
      <c r="R444" s="49"/>
      <c r="S444" s="49"/>
      <c r="T444" s="49">
        <v>47026</v>
      </c>
      <c r="U444" s="49">
        <v>47026</v>
      </c>
      <c r="V444" s="49">
        <v>47026</v>
      </c>
      <c r="W444" s="49">
        <v>47026</v>
      </c>
      <c r="X444" s="48">
        <v>1</v>
      </c>
      <c r="Y444" s="48">
        <v>1</v>
      </c>
      <c r="Z444" s="48">
        <v>1</v>
      </c>
      <c r="AA444" s="156">
        <v>8390.977733491969</v>
      </c>
      <c r="AF444" s="48">
        <v>0</v>
      </c>
      <c r="AG444" s="49" t="s">
        <v>32</v>
      </c>
      <c r="AH444" s="48">
        <v>1</v>
      </c>
      <c r="AI444" s="48" t="s">
        <v>33</v>
      </c>
      <c r="AJ444" s="48" t="s">
        <v>33</v>
      </c>
      <c r="AK444" s="48" t="s">
        <v>33</v>
      </c>
      <c r="AL444" s="48" t="s">
        <v>34</v>
      </c>
      <c r="AN444" s="48">
        <v>0</v>
      </c>
      <c r="AO444" s="48">
        <v>0</v>
      </c>
      <c r="AP444" s="48">
        <v>0</v>
      </c>
      <c r="AQ444" s="48">
        <v>0</v>
      </c>
      <c r="AR444" s="48">
        <v>0</v>
      </c>
      <c r="AS444" s="48">
        <v>0</v>
      </c>
      <c r="AT444" s="48">
        <v>0</v>
      </c>
      <c r="AU444" s="48">
        <v>0</v>
      </c>
      <c r="AV444" s="48">
        <v>0</v>
      </c>
      <c r="AW444" s="48">
        <v>0</v>
      </c>
      <c r="AX444" s="48">
        <v>0</v>
      </c>
      <c r="AY444" s="48">
        <v>0</v>
      </c>
      <c r="AZ444" s="48">
        <v>0</v>
      </c>
      <c r="BA444" s="48">
        <v>0</v>
      </c>
      <c r="BB444" s="48">
        <v>0</v>
      </c>
    </row>
    <row r="445" spans="1:54" x14ac:dyDescent="0.35">
      <c r="A445" s="49">
        <v>45930</v>
      </c>
      <c r="B445" s="48">
        <v>1</v>
      </c>
      <c r="C445" s="50" t="s">
        <v>32</v>
      </c>
      <c r="D445" s="48" t="s">
        <v>31</v>
      </c>
      <c r="E445" s="48" t="s">
        <v>138</v>
      </c>
      <c r="F445" s="48" t="s">
        <v>139</v>
      </c>
      <c r="G445" s="49" t="s">
        <v>59</v>
      </c>
      <c r="H445" s="48" t="s">
        <v>160</v>
      </c>
      <c r="I445" s="48">
        <v>1</v>
      </c>
      <c r="J445" s="48">
        <v>37</v>
      </c>
      <c r="K445" s="48">
        <v>1</v>
      </c>
      <c r="N445" s="48">
        <v>0</v>
      </c>
      <c r="R445" s="49"/>
      <c r="S445" s="49"/>
      <c r="T445" s="49">
        <v>47057</v>
      </c>
      <c r="U445" s="49">
        <v>47057</v>
      </c>
      <c r="V445" s="49">
        <v>47057</v>
      </c>
      <c r="W445" s="49">
        <v>47057</v>
      </c>
      <c r="X445" s="48">
        <v>1</v>
      </c>
      <c r="Y445" s="48">
        <v>1</v>
      </c>
      <c r="Z445" s="48">
        <v>1</v>
      </c>
      <c r="AA445" s="156">
        <v>8390.977733491969</v>
      </c>
      <c r="AF445" s="48">
        <v>0</v>
      </c>
      <c r="AG445" s="49" t="s">
        <v>32</v>
      </c>
      <c r="AH445" s="48">
        <v>1</v>
      </c>
      <c r="AI445" s="48" t="s">
        <v>33</v>
      </c>
      <c r="AJ445" s="48" t="s">
        <v>33</v>
      </c>
      <c r="AK445" s="48" t="s">
        <v>33</v>
      </c>
      <c r="AL445" s="48" t="s">
        <v>34</v>
      </c>
      <c r="AN445" s="48">
        <v>0</v>
      </c>
      <c r="AO445" s="48">
        <v>0</v>
      </c>
      <c r="AP445" s="48">
        <v>0</v>
      </c>
      <c r="AQ445" s="48">
        <v>0</v>
      </c>
      <c r="AR445" s="48">
        <v>0</v>
      </c>
      <c r="AS445" s="48">
        <v>0</v>
      </c>
      <c r="AT445" s="48">
        <v>0</v>
      </c>
      <c r="AU445" s="48">
        <v>0</v>
      </c>
      <c r="AV445" s="48">
        <v>0</v>
      </c>
      <c r="AW445" s="48">
        <v>0</v>
      </c>
      <c r="AX445" s="48">
        <v>0</v>
      </c>
      <c r="AY445" s="48">
        <v>0</v>
      </c>
      <c r="AZ445" s="48">
        <v>0</v>
      </c>
      <c r="BA445" s="48">
        <v>0</v>
      </c>
      <c r="BB445" s="48">
        <v>0</v>
      </c>
    </row>
    <row r="446" spans="1:54" x14ac:dyDescent="0.35">
      <c r="A446" s="49">
        <v>45930</v>
      </c>
      <c r="B446" s="48">
        <v>1</v>
      </c>
      <c r="C446" s="50" t="s">
        <v>32</v>
      </c>
      <c r="D446" s="48" t="s">
        <v>31</v>
      </c>
      <c r="E446" s="48" t="s">
        <v>138</v>
      </c>
      <c r="F446" s="48" t="s">
        <v>139</v>
      </c>
      <c r="G446" s="49" t="s">
        <v>59</v>
      </c>
      <c r="H446" s="48" t="s">
        <v>160</v>
      </c>
      <c r="I446" s="48">
        <v>1</v>
      </c>
      <c r="J446" s="48">
        <v>38</v>
      </c>
      <c r="K446" s="48">
        <v>1</v>
      </c>
      <c r="N446" s="48">
        <v>0</v>
      </c>
      <c r="R446" s="49"/>
      <c r="S446" s="49"/>
      <c r="T446" s="49">
        <v>47087</v>
      </c>
      <c r="U446" s="49">
        <v>47087</v>
      </c>
      <c r="V446" s="49">
        <v>47087</v>
      </c>
      <c r="W446" s="49">
        <v>47087</v>
      </c>
      <c r="X446" s="48">
        <v>1</v>
      </c>
      <c r="Y446" s="48">
        <v>1</v>
      </c>
      <c r="Z446" s="48">
        <v>1</v>
      </c>
      <c r="AA446" s="156">
        <v>8390.977733491969</v>
      </c>
      <c r="AF446" s="48">
        <v>0</v>
      </c>
      <c r="AG446" s="49" t="s">
        <v>32</v>
      </c>
      <c r="AH446" s="48">
        <v>1</v>
      </c>
      <c r="AI446" s="48" t="s">
        <v>33</v>
      </c>
      <c r="AJ446" s="48" t="s">
        <v>33</v>
      </c>
      <c r="AK446" s="48" t="s">
        <v>33</v>
      </c>
      <c r="AL446" s="48" t="s">
        <v>34</v>
      </c>
      <c r="AN446" s="48">
        <v>0</v>
      </c>
      <c r="AO446" s="48">
        <v>0</v>
      </c>
      <c r="AP446" s="48">
        <v>0</v>
      </c>
      <c r="AQ446" s="48">
        <v>0</v>
      </c>
      <c r="AR446" s="48">
        <v>0</v>
      </c>
      <c r="AS446" s="48">
        <v>0</v>
      </c>
      <c r="AT446" s="48">
        <v>0</v>
      </c>
      <c r="AU446" s="48">
        <v>0</v>
      </c>
      <c r="AV446" s="48">
        <v>0</v>
      </c>
      <c r="AW446" s="48">
        <v>0</v>
      </c>
      <c r="AX446" s="48">
        <v>0</v>
      </c>
      <c r="AY446" s="48">
        <v>0</v>
      </c>
      <c r="AZ446" s="48">
        <v>0</v>
      </c>
      <c r="BA446" s="48">
        <v>0</v>
      </c>
      <c r="BB446" s="48">
        <v>0</v>
      </c>
    </row>
    <row r="447" spans="1:54" x14ac:dyDescent="0.35">
      <c r="A447" s="49">
        <v>45930</v>
      </c>
      <c r="B447" s="48">
        <v>1</v>
      </c>
      <c r="C447" s="50" t="s">
        <v>32</v>
      </c>
      <c r="D447" s="48" t="s">
        <v>31</v>
      </c>
      <c r="E447" s="48" t="s">
        <v>138</v>
      </c>
      <c r="F447" s="48" t="s">
        <v>139</v>
      </c>
      <c r="G447" s="49" t="s">
        <v>59</v>
      </c>
      <c r="H447" s="48" t="s">
        <v>160</v>
      </c>
      <c r="I447" s="48">
        <v>1</v>
      </c>
      <c r="J447" s="48">
        <v>39</v>
      </c>
      <c r="K447" s="48">
        <v>1</v>
      </c>
      <c r="N447" s="48">
        <v>0</v>
      </c>
      <c r="R447" s="49"/>
      <c r="S447" s="49"/>
      <c r="T447" s="49">
        <v>47118</v>
      </c>
      <c r="U447" s="49">
        <v>47118</v>
      </c>
      <c r="V447" s="49">
        <v>47118</v>
      </c>
      <c r="W447" s="49">
        <v>47118</v>
      </c>
      <c r="X447" s="48">
        <v>1</v>
      </c>
      <c r="Y447" s="48">
        <v>1</v>
      </c>
      <c r="Z447" s="48">
        <v>1</v>
      </c>
      <c r="AA447" s="156">
        <v>8390.977733491969</v>
      </c>
      <c r="AF447" s="48">
        <v>0</v>
      </c>
      <c r="AG447" s="49" t="s">
        <v>32</v>
      </c>
      <c r="AH447" s="48">
        <v>1</v>
      </c>
      <c r="AI447" s="48" t="s">
        <v>33</v>
      </c>
      <c r="AJ447" s="48" t="s">
        <v>33</v>
      </c>
      <c r="AK447" s="48" t="s">
        <v>33</v>
      </c>
      <c r="AL447" s="48" t="s">
        <v>34</v>
      </c>
      <c r="AN447" s="48">
        <v>0</v>
      </c>
      <c r="AO447" s="48">
        <v>0</v>
      </c>
      <c r="AP447" s="48">
        <v>0</v>
      </c>
      <c r="AQ447" s="48">
        <v>0</v>
      </c>
      <c r="AR447" s="48">
        <v>0</v>
      </c>
      <c r="AS447" s="48">
        <v>0</v>
      </c>
      <c r="AT447" s="48">
        <v>0</v>
      </c>
      <c r="AU447" s="48">
        <v>0</v>
      </c>
      <c r="AV447" s="48">
        <v>0</v>
      </c>
      <c r="AW447" s="48">
        <v>0</v>
      </c>
      <c r="AX447" s="48">
        <v>0</v>
      </c>
      <c r="AY447" s="48">
        <v>0</v>
      </c>
      <c r="AZ447" s="48">
        <v>0</v>
      </c>
      <c r="BA447" s="48">
        <v>0</v>
      </c>
      <c r="BB447" s="48">
        <v>0</v>
      </c>
    </row>
    <row r="448" spans="1:54" x14ac:dyDescent="0.35">
      <c r="A448" s="49">
        <v>45930</v>
      </c>
      <c r="B448" s="48">
        <v>1</v>
      </c>
      <c r="C448" s="50" t="s">
        <v>32</v>
      </c>
      <c r="D448" s="48" t="s">
        <v>31</v>
      </c>
      <c r="E448" s="48" t="s">
        <v>138</v>
      </c>
      <c r="F448" s="48" t="s">
        <v>139</v>
      </c>
      <c r="G448" s="49" t="s">
        <v>59</v>
      </c>
      <c r="H448" s="48" t="s">
        <v>160</v>
      </c>
      <c r="I448" s="48">
        <v>1</v>
      </c>
      <c r="J448" s="48">
        <v>40</v>
      </c>
      <c r="K448" s="48">
        <v>1</v>
      </c>
      <c r="N448" s="48">
        <v>0</v>
      </c>
      <c r="R448" s="49"/>
      <c r="S448" s="49"/>
      <c r="T448" s="49">
        <v>47149</v>
      </c>
      <c r="U448" s="49">
        <v>47149</v>
      </c>
      <c r="V448" s="49">
        <v>47149</v>
      </c>
      <c r="W448" s="49">
        <v>47149</v>
      </c>
      <c r="X448" s="48">
        <v>1</v>
      </c>
      <c r="Y448" s="48">
        <v>1</v>
      </c>
      <c r="Z448" s="48">
        <v>1</v>
      </c>
      <c r="AA448" s="156">
        <v>8390.977733491969</v>
      </c>
      <c r="AF448" s="48">
        <v>0</v>
      </c>
      <c r="AG448" s="49" t="s">
        <v>32</v>
      </c>
      <c r="AH448" s="48">
        <v>1</v>
      </c>
      <c r="AI448" s="48" t="s">
        <v>33</v>
      </c>
      <c r="AJ448" s="48" t="s">
        <v>33</v>
      </c>
      <c r="AK448" s="48" t="s">
        <v>33</v>
      </c>
      <c r="AL448" s="48" t="s">
        <v>34</v>
      </c>
      <c r="AN448" s="48">
        <v>0</v>
      </c>
      <c r="AO448" s="48">
        <v>0</v>
      </c>
      <c r="AP448" s="48">
        <v>0</v>
      </c>
      <c r="AQ448" s="48">
        <v>0</v>
      </c>
      <c r="AR448" s="48">
        <v>0</v>
      </c>
      <c r="AS448" s="48">
        <v>0</v>
      </c>
      <c r="AT448" s="48">
        <v>0</v>
      </c>
      <c r="AU448" s="48">
        <v>0</v>
      </c>
      <c r="AV448" s="48">
        <v>0</v>
      </c>
      <c r="AW448" s="48">
        <v>0</v>
      </c>
      <c r="AX448" s="48">
        <v>0</v>
      </c>
      <c r="AY448" s="48">
        <v>0</v>
      </c>
      <c r="AZ448" s="48">
        <v>0</v>
      </c>
      <c r="BA448" s="48">
        <v>0</v>
      </c>
      <c r="BB448" s="48">
        <v>0</v>
      </c>
    </row>
    <row r="449" spans="1:54" x14ac:dyDescent="0.35">
      <c r="A449" s="49">
        <v>45930</v>
      </c>
      <c r="B449" s="48">
        <v>1</v>
      </c>
      <c r="C449" s="50" t="s">
        <v>32</v>
      </c>
      <c r="D449" s="48" t="s">
        <v>31</v>
      </c>
      <c r="E449" s="48" t="s">
        <v>138</v>
      </c>
      <c r="F449" s="48" t="s">
        <v>139</v>
      </c>
      <c r="G449" s="49" t="s">
        <v>59</v>
      </c>
      <c r="H449" s="48" t="s">
        <v>160</v>
      </c>
      <c r="I449" s="48">
        <v>1</v>
      </c>
      <c r="J449" s="48">
        <v>41</v>
      </c>
      <c r="K449" s="48">
        <v>1</v>
      </c>
      <c r="N449" s="48">
        <v>0</v>
      </c>
      <c r="R449" s="49"/>
      <c r="S449" s="49"/>
      <c r="T449" s="49">
        <v>47177</v>
      </c>
      <c r="U449" s="49">
        <v>47177</v>
      </c>
      <c r="V449" s="49">
        <v>47177</v>
      </c>
      <c r="W449" s="49">
        <v>47177</v>
      </c>
      <c r="X449" s="48">
        <v>1</v>
      </c>
      <c r="Y449" s="48">
        <v>1</v>
      </c>
      <c r="Z449" s="48">
        <v>1</v>
      </c>
      <c r="AA449" s="156">
        <v>8390.977733491969</v>
      </c>
      <c r="AF449" s="48">
        <v>0</v>
      </c>
      <c r="AG449" s="49" t="s">
        <v>32</v>
      </c>
      <c r="AH449" s="48">
        <v>1</v>
      </c>
      <c r="AI449" s="48" t="s">
        <v>33</v>
      </c>
      <c r="AJ449" s="48" t="s">
        <v>33</v>
      </c>
      <c r="AK449" s="48" t="s">
        <v>33</v>
      </c>
      <c r="AL449" s="48" t="s">
        <v>34</v>
      </c>
      <c r="AN449" s="48">
        <v>0</v>
      </c>
      <c r="AO449" s="48">
        <v>0</v>
      </c>
      <c r="AP449" s="48">
        <v>0</v>
      </c>
      <c r="AQ449" s="48">
        <v>0</v>
      </c>
      <c r="AR449" s="48">
        <v>0</v>
      </c>
      <c r="AS449" s="48">
        <v>0</v>
      </c>
      <c r="AT449" s="48">
        <v>0</v>
      </c>
      <c r="AU449" s="48">
        <v>0</v>
      </c>
      <c r="AV449" s="48">
        <v>0</v>
      </c>
      <c r="AW449" s="48">
        <v>0</v>
      </c>
      <c r="AX449" s="48">
        <v>0</v>
      </c>
      <c r="AY449" s="48">
        <v>0</v>
      </c>
      <c r="AZ449" s="48">
        <v>0</v>
      </c>
      <c r="BA449" s="48">
        <v>0</v>
      </c>
      <c r="BB449" s="48">
        <v>0</v>
      </c>
    </row>
    <row r="450" spans="1:54" x14ac:dyDescent="0.35">
      <c r="A450" s="49">
        <v>45930</v>
      </c>
      <c r="B450" s="48">
        <v>1</v>
      </c>
      <c r="C450" s="50" t="s">
        <v>32</v>
      </c>
      <c r="D450" s="48" t="s">
        <v>31</v>
      </c>
      <c r="E450" s="48" t="s">
        <v>138</v>
      </c>
      <c r="F450" s="48" t="s">
        <v>139</v>
      </c>
      <c r="G450" s="49" t="s">
        <v>59</v>
      </c>
      <c r="H450" s="48" t="s">
        <v>160</v>
      </c>
      <c r="I450" s="48">
        <v>1</v>
      </c>
      <c r="J450" s="48">
        <v>42</v>
      </c>
      <c r="K450" s="48">
        <v>1</v>
      </c>
      <c r="N450" s="48">
        <v>0</v>
      </c>
      <c r="R450" s="49"/>
      <c r="S450" s="49"/>
      <c r="T450" s="49">
        <v>47208</v>
      </c>
      <c r="U450" s="49">
        <v>47208</v>
      </c>
      <c r="V450" s="49">
        <v>47208</v>
      </c>
      <c r="W450" s="49">
        <v>47208</v>
      </c>
      <c r="X450" s="48">
        <v>1</v>
      </c>
      <c r="Y450" s="48">
        <v>1</v>
      </c>
      <c r="Z450" s="48">
        <v>1</v>
      </c>
      <c r="AA450" s="156">
        <v>8390.977733491969</v>
      </c>
      <c r="AF450" s="48">
        <v>0</v>
      </c>
      <c r="AG450" s="49" t="s">
        <v>32</v>
      </c>
      <c r="AH450" s="48">
        <v>1</v>
      </c>
      <c r="AI450" s="48" t="s">
        <v>33</v>
      </c>
      <c r="AJ450" s="48" t="s">
        <v>33</v>
      </c>
      <c r="AK450" s="48" t="s">
        <v>33</v>
      </c>
      <c r="AL450" s="48" t="s">
        <v>34</v>
      </c>
      <c r="AN450" s="48">
        <v>0</v>
      </c>
      <c r="AO450" s="48">
        <v>0</v>
      </c>
      <c r="AP450" s="48">
        <v>0</v>
      </c>
      <c r="AQ450" s="48">
        <v>0</v>
      </c>
      <c r="AR450" s="48">
        <v>0</v>
      </c>
      <c r="AS450" s="48">
        <v>0</v>
      </c>
      <c r="AT450" s="48">
        <v>0</v>
      </c>
      <c r="AU450" s="48">
        <v>0</v>
      </c>
      <c r="AV450" s="48">
        <v>0</v>
      </c>
      <c r="AW450" s="48">
        <v>0</v>
      </c>
      <c r="AX450" s="48">
        <v>0</v>
      </c>
      <c r="AY450" s="48">
        <v>0</v>
      </c>
      <c r="AZ450" s="48">
        <v>0</v>
      </c>
      <c r="BA450" s="48">
        <v>0</v>
      </c>
      <c r="BB450" s="48">
        <v>0</v>
      </c>
    </row>
    <row r="451" spans="1:54" x14ac:dyDescent="0.35">
      <c r="A451" s="49">
        <v>45930</v>
      </c>
      <c r="B451" s="48">
        <v>1</v>
      </c>
      <c r="C451" s="50" t="s">
        <v>32</v>
      </c>
      <c r="D451" s="48" t="s">
        <v>31</v>
      </c>
      <c r="E451" s="48" t="s">
        <v>138</v>
      </c>
      <c r="F451" s="48" t="s">
        <v>139</v>
      </c>
      <c r="G451" s="49" t="s">
        <v>59</v>
      </c>
      <c r="H451" s="48" t="s">
        <v>160</v>
      </c>
      <c r="I451" s="48">
        <v>1</v>
      </c>
      <c r="J451" s="48">
        <v>43</v>
      </c>
      <c r="K451" s="48">
        <v>1</v>
      </c>
      <c r="N451" s="48">
        <v>0</v>
      </c>
      <c r="R451" s="49"/>
      <c r="S451" s="49"/>
      <c r="T451" s="49">
        <v>47238</v>
      </c>
      <c r="U451" s="49">
        <v>47238</v>
      </c>
      <c r="V451" s="49">
        <v>47238</v>
      </c>
      <c r="W451" s="49">
        <v>47238</v>
      </c>
      <c r="X451" s="48">
        <v>1</v>
      </c>
      <c r="Y451" s="48">
        <v>1</v>
      </c>
      <c r="Z451" s="48">
        <v>1</v>
      </c>
      <c r="AA451" s="156">
        <v>8390.977733491969</v>
      </c>
      <c r="AF451" s="48">
        <v>0</v>
      </c>
      <c r="AG451" s="49" t="s">
        <v>32</v>
      </c>
      <c r="AH451" s="48">
        <v>1</v>
      </c>
      <c r="AI451" s="48" t="s">
        <v>33</v>
      </c>
      <c r="AJ451" s="48" t="s">
        <v>33</v>
      </c>
      <c r="AK451" s="48" t="s">
        <v>33</v>
      </c>
      <c r="AL451" s="48" t="s">
        <v>34</v>
      </c>
      <c r="AN451" s="48">
        <v>0</v>
      </c>
      <c r="AO451" s="48">
        <v>0</v>
      </c>
      <c r="AP451" s="48">
        <v>0</v>
      </c>
      <c r="AQ451" s="48">
        <v>0</v>
      </c>
      <c r="AR451" s="48">
        <v>0</v>
      </c>
      <c r="AS451" s="48">
        <v>0</v>
      </c>
      <c r="AT451" s="48">
        <v>0</v>
      </c>
      <c r="AU451" s="48">
        <v>0</v>
      </c>
      <c r="AV451" s="48">
        <v>0</v>
      </c>
      <c r="AW451" s="48">
        <v>0</v>
      </c>
      <c r="AX451" s="48">
        <v>0</v>
      </c>
      <c r="AY451" s="48">
        <v>0</v>
      </c>
      <c r="AZ451" s="48">
        <v>0</v>
      </c>
      <c r="BA451" s="48">
        <v>0</v>
      </c>
      <c r="BB451" s="48">
        <v>0</v>
      </c>
    </row>
    <row r="452" spans="1:54" x14ac:dyDescent="0.35">
      <c r="A452" s="49">
        <v>45930</v>
      </c>
      <c r="B452" s="48">
        <v>1</v>
      </c>
      <c r="C452" s="50" t="s">
        <v>32</v>
      </c>
      <c r="D452" s="48" t="s">
        <v>31</v>
      </c>
      <c r="E452" s="48" t="s">
        <v>138</v>
      </c>
      <c r="F452" s="48" t="s">
        <v>139</v>
      </c>
      <c r="G452" s="49" t="s">
        <v>59</v>
      </c>
      <c r="H452" s="48" t="s">
        <v>160</v>
      </c>
      <c r="I452" s="48">
        <v>1</v>
      </c>
      <c r="J452" s="48">
        <v>44</v>
      </c>
      <c r="K452" s="48">
        <v>1</v>
      </c>
      <c r="N452" s="48">
        <v>0</v>
      </c>
      <c r="R452" s="49"/>
      <c r="S452" s="49"/>
      <c r="T452" s="49">
        <v>47269</v>
      </c>
      <c r="U452" s="49">
        <v>47269</v>
      </c>
      <c r="V452" s="49">
        <v>47269</v>
      </c>
      <c r="W452" s="49">
        <v>47269</v>
      </c>
      <c r="X452" s="48">
        <v>1</v>
      </c>
      <c r="Y452" s="48">
        <v>1</v>
      </c>
      <c r="Z452" s="48">
        <v>1</v>
      </c>
      <c r="AA452" s="156">
        <v>8390.977733491969</v>
      </c>
      <c r="AF452" s="48">
        <v>0</v>
      </c>
      <c r="AG452" s="49" t="s">
        <v>32</v>
      </c>
      <c r="AH452" s="48">
        <v>1</v>
      </c>
      <c r="AI452" s="48" t="s">
        <v>33</v>
      </c>
      <c r="AJ452" s="48" t="s">
        <v>33</v>
      </c>
      <c r="AK452" s="48" t="s">
        <v>33</v>
      </c>
      <c r="AL452" s="48" t="s">
        <v>34</v>
      </c>
      <c r="AN452" s="48">
        <v>0</v>
      </c>
      <c r="AO452" s="48">
        <v>0</v>
      </c>
      <c r="AP452" s="48">
        <v>0</v>
      </c>
      <c r="AQ452" s="48">
        <v>0</v>
      </c>
      <c r="AR452" s="48">
        <v>0</v>
      </c>
      <c r="AS452" s="48">
        <v>0</v>
      </c>
      <c r="AT452" s="48">
        <v>0</v>
      </c>
      <c r="AU452" s="48">
        <v>0</v>
      </c>
      <c r="AV452" s="48">
        <v>0</v>
      </c>
      <c r="AW452" s="48">
        <v>0</v>
      </c>
      <c r="AX452" s="48">
        <v>0</v>
      </c>
      <c r="AY452" s="48">
        <v>0</v>
      </c>
      <c r="AZ452" s="48">
        <v>0</v>
      </c>
      <c r="BA452" s="48">
        <v>0</v>
      </c>
      <c r="BB452" s="48">
        <v>0</v>
      </c>
    </row>
    <row r="453" spans="1:54" x14ac:dyDescent="0.35">
      <c r="A453" s="49">
        <v>45930</v>
      </c>
      <c r="B453" s="48">
        <v>1</v>
      </c>
      <c r="C453" s="50" t="s">
        <v>32</v>
      </c>
      <c r="D453" s="48" t="s">
        <v>31</v>
      </c>
      <c r="E453" s="48" t="s">
        <v>138</v>
      </c>
      <c r="F453" s="48" t="s">
        <v>139</v>
      </c>
      <c r="G453" s="49" t="s">
        <v>59</v>
      </c>
      <c r="H453" s="48" t="s">
        <v>160</v>
      </c>
      <c r="I453" s="48">
        <v>1</v>
      </c>
      <c r="J453" s="48">
        <v>45</v>
      </c>
      <c r="K453" s="48">
        <v>1</v>
      </c>
      <c r="N453" s="48">
        <v>0</v>
      </c>
      <c r="R453" s="49"/>
      <c r="S453" s="49"/>
      <c r="T453" s="49">
        <v>47299</v>
      </c>
      <c r="U453" s="49">
        <v>47299</v>
      </c>
      <c r="V453" s="49">
        <v>47299</v>
      </c>
      <c r="W453" s="49">
        <v>47299</v>
      </c>
      <c r="X453" s="48">
        <v>1</v>
      </c>
      <c r="Y453" s="48">
        <v>1</v>
      </c>
      <c r="Z453" s="48">
        <v>1</v>
      </c>
      <c r="AA453" s="156">
        <v>8390.977733491969</v>
      </c>
      <c r="AF453" s="48">
        <v>0</v>
      </c>
      <c r="AG453" s="49" t="s">
        <v>32</v>
      </c>
      <c r="AH453" s="48">
        <v>1</v>
      </c>
      <c r="AI453" s="48" t="s">
        <v>33</v>
      </c>
      <c r="AJ453" s="48" t="s">
        <v>33</v>
      </c>
      <c r="AK453" s="48" t="s">
        <v>33</v>
      </c>
      <c r="AL453" s="48" t="s">
        <v>34</v>
      </c>
      <c r="AN453" s="48">
        <v>0</v>
      </c>
      <c r="AO453" s="48">
        <v>0</v>
      </c>
      <c r="AP453" s="48">
        <v>0</v>
      </c>
      <c r="AQ453" s="48">
        <v>0</v>
      </c>
      <c r="AR453" s="48">
        <v>0</v>
      </c>
      <c r="AS453" s="48">
        <v>0</v>
      </c>
      <c r="AT453" s="48">
        <v>0</v>
      </c>
      <c r="AU453" s="48">
        <v>0</v>
      </c>
      <c r="AV453" s="48">
        <v>0</v>
      </c>
      <c r="AW453" s="48">
        <v>0</v>
      </c>
      <c r="AX453" s="48">
        <v>0</v>
      </c>
      <c r="AY453" s="48">
        <v>0</v>
      </c>
      <c r="AZ453" s="48">
        <v>0</v>
      </c>
      <c r="BA453" s="48">
        <v>0</v>
      </c>
      <c r="BB453" s="48">
        <v>0</v>
      </c>
    </row>
    <row r="454" spans="1:54" x14ac:dyDescent="0.35">
      <c r="A454" s="49">
        <v>45930</v>
      </c>
      <c r="B454" s="48">
        <v>1</v>
      </c>
      <c r="C454" s="50" t="s">
        <v>32</v>
      </c>
      <c r="D454" s="48" t="s">
        <v>31</v>
      </c>
      <c r="E454" s="48" t="s">
        <v>138</v>
      </c>
      <c r="F454" s="48" t="s">
        <v>139</v>
      </c>
      <c r="G454" s="49" t="s">
        <v>59</v>
      </c>
      <c r="H454" s="48" t="s">
        <v>160</v>
      </c>
      <c r="I454" s="48">
        <v>1</v>
      </c>
      <c r="J454" s="48">
        <v>46</v>
      </c>
      <c r="K454" s="48">
        <v>1</v>
      </c>
      <c r="N454" s="48">
        <v>0</v>
      </c>
      <c r="R454" s="49"/>
      <c r="S454" s="49"/>
      <c r="T454" s="49">
        <v>47330</v>
      </c>
      <c r="U454" s="49">
        <v>47330</v>
      </c>
      <c r="V454" s="49">
        <v>47330</v>
      </c>
      <c r="W454" s="49">
        <v>47330</v>
      </c>
      <c r="X454" s="48">
        <v>1</v>
      </c>
      <c r="Y454" s="48">
        <v>1</v>
      </c>
      <c r="Z454" s="48">
        <v>1</v>
      </c>
      <c r="AA454" s="156">
        <v>8390.977733491969</v>
      </c>
      <c r="AF454" s="48">
        <v>0</v>
      </c>
      <c r="AG454" s="49" t="s">
        <v>32</v>
      </c>
      <c r="AH454" s="48">
        <v>1</v>
      </c>
      <c r="AI454" s="48" t="s">
        <v>33</v>
      </c>
      <c r="AJ454" s="48" t="s">
        <v>33</v>
      </c>
      <c r="AK454" s="48" t="s">
        <v>33</v>
      </c>
      <c r="AL454" s="48" t="s">
        <v>34</v>
      </c>
      <c r="AN454" s="48">
        <v>0</v>
      </c>
      <c r="AO454" s="48">
        <v>0</v>
      </c>
      <c r="AP454" s="48">
        <v>0</v>
      </c>
      <c r="AQ454" s="48">
        <v>0</v>
      </c>
      <c r="AR454" s="48">
        <v>0</v>
      </c>
      <c r="AS454" s="48">
        <v>0</v>
      </c>
      <c r="AT454" s="48">
        <v>0</v>
      </c>
      <c r="AU454" s="48">
        <v>0</v>
      </c>
      <c r="AV454" s="48">
        <v>0</v>
      </c>
      <c r="AW454" s="48">
        <v>0</v>
      </c>
      <c r="AX454" s="48">
        <v>0</v>
      </c>
      <c r="AY454" s="48">
        <v>0</v>
      </c>
      <c r="AZ454" s="48">
        <v>0</v>
      </c>
      <c r="BA454" s="48">
        <v>0</v>
      </c>
      <c r="BB454" s="48">
        <v>0</v>
      </c>
    </row>
    <row r="455" spans="1:54" x14ac:dyDescent="0.35">
      <c r="A455" s="49">
        <v>45930</v>
      </c>
      <c r="B455" s="48">
        <v>1</v>
      </c>
      <c r="C455" s="50" t="s">
        <v>32</v>
      </c>
      <c r="D455" s="48" t="s">
        <v>31</v>
      </c>
      <c r="E455" s="48" t="s">
        <v>138</v>
      </c>
      <c r="F455" s="48" t="s">
        <v>139</v>
      </c>
      <c r="G455" s="49" t="s">
        <v>59</v>
      </c>
      <c r="H455" s="48" t="s">
        <v>160</v>
      </c>
      <c r="I455" s="48">
        <v>1</v>
      </c>
      <c r="J455" s="48">
        <v>47</v>
      </c>
      <c r="K455" s="48">
        <v>1</v>
      </c>
      <c r="N455" s="48">
        <v>0</v>
      </c>
      <c r="R455" s="49"/>
      <c r="S455" s="49"/>
      <c r="T455" s="49">
        <v>47361</v>
      </c>
      <c r="U455" s="49">
        <v>47361</v>
      </c>
      <c r="V455" s="49">
        <v>47361</v>
      </c>
      <c r="W455" s="49">
        <v>47361</v>
      </c>
      <c r="X455" s="48">
        <v>1</v>
      </c>
      <c r="Y455" s="48">
        <v>1</v>
      </c>
      <c r="Z455" s="48">
        <v>1</v>
      </c>
      <c r="AA455" s="156">
        <v>8390.977733491969</v>
      </c>
      <c r="AF455" s="48">
        <v>0</v>
      </c>
      <c r="AG455" s="49" t="s">
        <v>32</v>
      </c>
      <c r="AH455" s="48">
        <v>1</v>
      </c>
      <c r="AI455" s="48" t="s">
        <v>33</v>
      </c>
      <c r="AJ455" s="48" t="s">
        <v>33</v>
      </c>
      <c r="AK455" s="48" t="s">
        <v>33</v>
      </c>
      <c r="AL455" s="48" t="s">
        <v>34</v>
      </c>
      <c r="AN455" s="48">
        <v>0</v>
      </c>
      <c r="AO455" s="48">
        <v>0</v>
      </c>
      <c r="AP455" s="48">
        <v>0</v>
      </c>
      <c r="AQ455" s="48">
        <v>0</v>
      </c>
      <c r="AR455" s="48">
        <v>0</v>
      </c>
      <c r="AS455" s="48">
        <v>0</v>
      </c>
      <c r="AT455" s="48">
        <v>0</v>
      </c>
      <c r="AU455" s="48">
        <v>0</v>
      </c>
      <c r="AV455" s="48">
        <v>0</v>
      </c>
      <c r="AW455" s="48">
        <v>0</v>
      </c>
      <c r="AX455" s="48">
        <v>0</v>
      </c>
      <c r="AY455" s="48">
        <v>0</v>
      </c>
      <c r="AZ455" s="48">
        <v>0</v>
      </c>
      <c r="BA455" s="48">
        <v>0</v>
      </c>
      <c r="BB455" s="48">
        <v>0</v>
      </c>
    </row>
    <row r="456" spans="1:54" x14ac:dyDescent="0.35">
      <c r="A456" s="49">
        <v>45930</v>
      </c>
      <c r="B456" s="48">
        <v>1</v>
      </c>
      <c r="C456" s="50" t="s">
        <v>32</v>
      </c>
      <c r="D456" s="48" t="s">
        <v>31</v>
      </c>
      <c r="E456" s="48" t="s">
        <v>138</v>
      </c>
      <c r="F456" s="48" t="s">
        <v>139</v>
      </c>
      <c r="G456" s="49" t="s">
        <v>59</v>
      </c>
      <c r="H456" s="48" t="s">
        <v>160</v>
      </c>
      <c r="I456" s="48">
        <v>1</v>
      </c>
      <c r="J456" s="48">
        <v>48</v>
      </c>
      <c r="K456" s="48">
        <v>1</v>
      </c>
      <c r="N456" s="48">
        <v>0</v>
      </c>
      <c r="R456" s="49"/>
      <c r="S456" s="49"/>
      <c r="T456" s="49">
        <v>47391</v>
      </c>
      <c r="U456" s="49">
        <v>47391</v>
      </c>
      <c r="V456" s="49">
        <v>47391</v>
      </c>
      <c r="W456" s="49">
        <v>47391</v>
      </c>
      <c r="X456" s="48">
        <v>1</v>
      </c>
      <c r="Y456" s="48">
        <v>1</v>
      </c>
      <c r="Z456" s="48">
        <v>1</v>
      </c>
      <c r="AA456" s="156">
        <v>8390.977733491969</v>
      </c>
      <c r="AF456" s="48">
        <v>0</v>
      </c>
      <c r="AG456" s="49" t="s">
        <v>32</v>
      </c>
      <c r="AH456" s="48">
        <v>1</v>
      </c>
      <c r="AI456" s="48" t="s">
        <v>33</v>
      </c>
      <c r="AJ456" s="48" t="s">
        <v>33</v>
      </c>
      <c r="AK456" s="48" t="s">
        <v>33</v>
      </c>
      <c r="AL456" s="48" t="s">
        <v>34</v>
      </c>
      <c r="AN456" s="48">
        <v>0</v>
      </c>
      <c r="AO456" s="48">
        <v>0</v>
      </c>
      <c r="AP456" s="48">
        <v>0</v>
      </c>
      <c r="AQ456" s="48">
        <v>0</v>
      </c>
      <c r="AR456" s="48">
        <v>0</v>
      </c>
      <c r="AS456" s="48">
        <v>0</v>
      </c>
      <c r="AT456" s="48">
        <v>0</v>
      </c>
      <c r="AU456" s="48">
        <v>0</v>
      </c>
      <c r="AV456" s="48">
        <v>0</v>
      </c>
      <c r="AW456" s="48">
        <v>0</v>
      </c>
      <c r="AX456" s="48">
        <v>0</v>
      </c>
      <c r="AY456" s="48">
        <v>0</v>
      </c>
      <c r="AZ456" s="48">
        <v>0</v>
      </c>
      <c r="BA456" s="48">
        <v>0</v>
      </c>
      <c r="BB456" s="48">
        <v>0</v>
      </c>
    </row>
    <row r="457" spans="1:54" x14ac:dyDescent="0.35">
      <c r="A457" s="49">
        <v>45930</v>
      </c>
      <c r="B457" s="48">
        <v>1</v>
      </c>
      <c r="C457" s="50" t="s">
        <v>32</v>
      </c>
      <c r="D457" s="48" t="s">
        <v>31</v>
      </c>
      <c r="E457" s="48" t="s">
        <v>138</v>
      </c>
      <c r="F457" s="48" t="s">
        <v>139</v>
      </c>
      <c r="G457" s="49" t="s">
        <v>59</v>
      </c>
      <c r="H457" s="48" t="s">
        <v>160</v>
      </c>
      <c r="I457" s="48">
        <v>1</v>
      </c>
      <c r="J457" s="48">
        <v>49</v>
      </c>
      <c r="K457" s="48">
        <v>1</v>
      </c>
      <c r="N457" s="48">
        <v>0</v>
      </c>
      <c r="R457" s="49"/>
      <c r="S457" s="49"/>
      <c r="T457" s="49">
        <v>47422</v>
      </c>
      <c r="U457" s="49">
        <v>47422</v>
      </c>
      <c r="V457" s="49">
        <v>47422</v>
      </c>
      <c r="W457" s="49">
        <v>47422</v>
      </c>
      <c r="X457" s="48">
        <v>1</v>
      </c>
      <c r="Y457" s="48">
        <v>1</v>
      </c>
      <c r="Z457" s="48">
        <v>1</v>
      </c>
      <c r="AA457" s="156">
        <v>8390.977733491969</v>
      </c>
      <c r="AF457" s="48">
        <v>0</v>
      </c>
      <c r="AG457" s="49" t="s">
        <v>32</v>
      </c>
      <c r="AH457" s="48">
        <v>1</v>
      </c>
      <c r="AI457" s="48" t="s">
        <v>33</v>
      </c>
      <c r="AJ457" s="48" t="s">
        <v>33</v>
      </c>
      <c r="AK457" s="48" t="s">
        <v>33</v>
      </c>
      <c r="AL457" s="48" t="s">
        <v>34</v>
      </c>
      <c r="AN457" s="48">
        <v>0</v>
      </c>
      <c r="AO457" s="48">
        <v>0</v>
      </c>
      <c r="AP457" s="48">
        <v>0</v>
      </c>
      <c r="AQ457" s="48">
        <v>0</v>
      </c>
      <c r="AR457" s="48">
        <v>0</v>
      </c>
      <c r="AS457" s="48">
        <v>0</v>
      </c>
      <c r="AT457" s="48">
        <v>0</v>
      </c>
      <c r="AU457" s="48">
        <v>0</v>
      </c>
      <c r="AV457" s="48">
        <v>0</v>
      </c>
      <c r="AW457" s="48">
        <v>0</v>
      </c>
      <c r="AX457" s="48">
        <v>0</v>
      </c>
      <c r="AY457" s="48">
        <v>0</v>
      </c>
      <c r="AZ457" s="48">
        <v>0</v>
      </c>
      <c r="BA457" s="48">
        <v>0</v>
      </c>
      <c r="BB457" s="48">
        <v>0</v>
      </c>
    </row>
    <row r="458" spans="1:54" x14ac:dyDescent="0.35">
      <c r="A458" s="49">
        <v>45930</v>
      </c>
      <c r="B458" s="48">
        <v>1</v>
      </c>
      <c r="C458" s="50" t="s">
        <v>32</v>
      </c>
      <c r="D458" s="48" t="s">
        <v>31</v>
      </c>
      <c r="E458" s="48" t="s">
        <v>138</v>
      </c>
      <c r="F458" s="48" t="s">
        <v>139</v>
      </c>
      <c r="G458" s="49" t="s">
        <v>59</v>
      </c>
      <c r="H458" s="48" t="s">
        <v>160</v>
      </c>
      <c r="I458" s="48">
        <v>1</v>
      </c>
      <c r="J458" s="48">
        <v>50</v>
      </c>
      <c r="K458" s="48">
        <v>1</v>
      </c>
      <c r="N458" s="48">
        <v>0</v>
      </c>
      <c r="R458" s="49"/>
      <c r="S458" s="49"/>
      <c r="T458" s="49">
        <v>47452</v>
      </c>
      <c r="U458" s="49">
        <v>47452</v>
      </c>
      <c r="V458" s="49">
        <v>47452</v>
      </c>
      <c r="W458" s="49">
        <v>47452</v>
      </c>
      <c r="X458" s="48">
        <v>1</v>
      </c>
      <c r="Y458" s="48">
        <v>1</v>
      </c>
      <c r="Z458" s="48">
        <v>1</v>
      </c>
      <c r="AA458" s="156">
        <v>8390.977733491969</v>
      </c>
      <c r="AF458" s="48">
        <v>0</v>
      </c>
      <c r="AG458" s="49" t="s">
        <v>32</v>
      </c>
      <c r="AH458" s="48">
        <v>1</v>
      </c>
      <c r="AI458" s="48" t="s">
        <v>33</v>
      </c>
      <c r="AJ458" s="48" t="s">
        <v>33</v>
      </c>
      <c r="AK458" s="48" t="s">
        <v>33</v>
      </c>
      <c r="AL458" s="48" t="s">
        <v>34</v>
      </c>
      <c r="AN458" s="48">
        <v>0</v>
      </c>
      <c r="AO458" s="48">
        <v>0</v>
      </c>
      <c r="AP458" s="48">
        <v>0</v>
      </c>
      <c r="AQ458" s="48">
        <v>0</v>
      </c>
      <c r="AR458" s="48">
        <v>0</v>
      </c>
      <c r="AS458" s="48">
        <v>0</v>
      </c>
      <c r="AT458" s="48">
        <v>0</v>
      </c>
      <c r="AU458" s="48">
        <v>0</v>
      </c>
      <c r="AV458" s="48">
        <v>0</v>
      </c>
      <c r="AW458" s="48">
        <v>0</v>
      </c>
      <c r="AX458" s="48">
        <v>0</v>
      </c>
      <c r="AY458" s="48">
        <v>0</v>
      </c>
      <c r="AZ458" s="48">
        <v>0</v>
      </c>
      <c r="BA458" s="48">
        <v>0</v>
      </c>
      <c r="BB458" s="48">
        <v>0</v>
      </c>
    </row>
    <row r="459" spans="1:54" x14ac:dyDescent="0.35">
      <c r="A459" s="49">
        <v>45930</v>
      </c>
      <c r="B459" s="48">
        <v>1</v>
      </c>
      <c r="C459" s="50" t="s">
        <v>32</v>
      </c>
      <c r="D459" s="48" t="s">
        <v>31</v>
      </c>
      <c r="E459" s="48" t="s">
        <v>138</v>
      </c>
      <c r="F459" s="48" t="s">
        <v>139</v>
      </c>
      <c r="G459" s="49" t="s">
        <v>59</v>
      </c>
      <c r="H459" s="48" t="s">
        <v>160</v>
      </c>
      <c r="I459" s="48">
        <v>1</v>
      </c>
      <c r="J459" s="48">
        <v>51</v>
      </c>
      <c r="K459" s="48">
        <v>1</v>
      </c>
      <c r="N459" s="48">
        <v>0</v>
      </c>
      <c r="R459" s="49"/>
      <c r="S459" s="49"/>
      <c r="T459" s="49">
        <v>47483</v>
      </c>
      <c r="U459" s="49">
        <v>47483</v>
      </c>
      <c r="V459" s="49">
        <v>47483</v>
      </c>
      <c r="W459" s="49">
        <v>47483</v>
      </c>
      <c r="X459" s="48">
        <v>1</v>
      </c>
      <c r="Y459" s="48">
        <v>1</v>
      </c>
      <c r="Z459" s="48">
        <v>1</v>
      </c>
      <c r="AA459" s="156">
        <v>8390.977733491969</v>
      </c>
      <c r="AF459" s="48">
        <v>0</v>
      </c>
      <c r="AG459" s="49" t="s">
        <v>32</v>
      </c>
      <c r="AH459" s="48">
        <v>1</v>
      </c>
      <c r="AI459" s="48" t="s">
        <v>33</v>
      </c>
      <c r="AJ459" s="48" t="s">
        <v>33</v>
      </c>
      <c r="AK459" s="48" t="s">
        <v>33</v>
      </c>
      <c r="AL459" s="48" t="s">
        <v>34</v>
      </c>
      <c r="AN459" s="48">
        <v>0</v>
      </c>
      <c r="AO459" s="48">
        <v>0</v>
      </c>
      <c r="AP459" s="48">
        <v>0</v>
      </c>
      <c r="AQ459" s="48">
        <v>0</v>
      </c>
      <c r="AR459" s="48">
        <v>0</v>
      </c>
      <c r="AS459" s="48">
        <v>0</v>
      </c>
      <c r="AT459" s="48">
        <v>0</v>
      </c>
      <c r="AU459" s="48">
        <v>0</v>
      </c>
      <c r="AV459" s="48">
        <v>0</v>
      </c>
      <c r="AW459" s="48">
        <v>0</v>
      </c>
      <c r="AX459" s="48">
        <v>0</v>
      </c>
      <c r="AY459" s="48">
        <v>0</v>
      </c>
      <c r="AZ459" s="48">
        <v>0</v>
      </c>
      <c r="BA459" s="48">
        <v>0</v>
      </c>
      <c r="BB459" s="48">
        <v>0</v>
      </c>
    </row>
    <row r="460" spans="1:54" x14ac:dyDescent="0.35">
      <c r="A460" s="49">
        <v>45930</v>
      </c>
      <c r="B460" s="48">
        <v>1</v>
      </c>
      <c r="C460" s="50" t="s">
        <v>32</v>
      </c>
      <c r="D460" s="48" t="s">
        <v>31</v>
      </c>
      <c r="E460" s="48" t="s">
        <v>138</v>
      </c>
      <c r="F460" s="48" t="s">
        <v>139</v>
      </c>
      <c r="G460" s="49" t="s">
        <v>59</v>
      </c>
      <c r="H460" s="48" t="s">
        <v>160</v>
      </c>
      <c r="I460" s="48">
        <v>1</v>
      </c>
      <c r="J460" s="48">
        <v>52</v>
      </c>
      <c r="K460" s="48">
        <v>1</v>
      </c>
      <c r="N460" s="48">
        <v>0</v>
      </c>
      <c r="R460" s="49"/>
      <c r="S460" s="49"/>
      <c r="T460" s="49">
        <v>47514</v>
      </c>
      <c r="U460" s="49">
        <v>47514</v>
      </c>
      <c r="V460" s="49">
        <v>47514</v>
      </c>
      <c r="W460" s="49">
        <v>47514</v>
      </c>
      <c r="X460" s="48">
        <v>1</v>
      </c>
      <c r="Y460" s="48">
        <v>1</v>
      </c>
      <c r="Z460" s="48">
        <v>1</v>
      </c>
      <c r="AA460" s="156">
        <v>8390.977733491969</v>
      </c>
      <c r="AF460" s="48">
        <v>0</v>
      </c>
      <c r="AG460" s="49" t="s">
        <v>32</v>
      </c>
      <c r="AH460" s="48">
        <v>1</v>
      </c>
      <c r="AI460" s="48" t="s">
        <v>33</v>
      </c>
      <c r="AJ460" s="48" t="s">
        <v>33</v>
      </c>
      <c r="AK460" s="48" t="s">
        <v>33</v>
      </c>
      <c r="AL460" s="48" t="s">
        <v>34</v>
      </c>
      <c r="AN460" s="48">
        <v>0</v>
      </c>
      <c r="AO460" s="48">
        <v>0</v>
      </c>
      <c r="AP460" s="48">
        <v>0</v>
      </c>
      <c r="AQ460" s="48">
        <v>0</v>
      </c>
      <c r="AR460" s="48">
        <v>0</v>
      </c>
      <c r="AS460" s="48">
        <v>0</v>
      </c>
      <c r="AT460" s="48">
        <v>0</v>
      </c>
      <c r="AU460" s="48">
        <v>0</v>
      </c>
      <c r="AV460" s="48">
        <v>0</v>
      </c>
      <c r="AW460" s="48">
        <v>0</v>
      </c>
      <c r="AX460" s="48">
        <v>0</v>
      </c>
      <c r="AY460" s="48">
        <v>0</v>
      </c>
      <c r="AZ460" s="48">
        <v>0</v>
      </c>
      <c r="BA460" s="48">
        <v>0</v>
      </c>
      <c r="BB460" s="48">
        <v>0</v>
      </c>
    </row>
    <row r="461" spans="1:54" x14ac:dyDescent="0.35">
      <c r="A461" s="49">
        <v>45930</v>
      </c>
      <c r="B461" s="48">
        <v>1</v>
      </c>
      <c r="C461" s="50" t="s">
        <v>32</v>
      </c>
      <c r="D461" s="48" t="s">
        <v>31</v>
      </c>
      <c r="E461" s="48" t="s">
        <v>138</v>
      </c>
      <c r="F461" s="48" t="s">
        <v>139</v>
      </c>
      <c r="G461" s="49" t="s">
        <v>59</v>
      </c>
      <c r="H461" s="48" t="s">
        <v>160</v>
      </c>
      <c r="I461" s="48">
        <v>1</v>
      </c>
      <c r="J461" s="48">
        <v>53</v>
      </c>
      <c r="K461" s="48">
        <v>1</v>
      </c>
      <c r="N461" s="48">
        <v>0</v>
      </c>
      <c r="R461" s="49"/>
      <c r="S461" s="49"/>
      <c r="T461" s="49">
        <v>47542</v>
      </c>
      <c r="U461" s="49">
        <v>47542</v>
      </c>
      <c r="V461" s="49">
        <v>47542</v>
      </c>
      <c r="W461" s="49">
        <v>47542</v>
      </c>
      <c r="X461" s="48">
        <v>1</v>
      </c>
      <c r="Y461" s="48">
        <v>1</v>
      </c>
      <c r="Z461" s="48">
        <v>1</v>
      </c>
      <c r="AA461" s="156">
        <v>8390.977733491969</v>
      </c>
      <c r="AF461" s="48">
        <v>0</v>
      </c>
      <c r="AG461" s="49" t="s">
        <v>32</v>
      </c>
      <c r="AH461" s="48">
        <v>1</v>
      </c>
      <c r="AI461" s="48" t="s">
        <v>33</v>
      </c>
      <c r="AJ461" s="48" t="s">
        <v>33</v>
      </c>
      <c r="AK461" s="48" t="s">
        <v>33</v>
      </c>
      <c r="AL461" s="48" t="s">
        <v>34</v>
      </c>
      <c r="AN461" s="48">
        <v>0</v>
      </c>
      <c r="AO461" s="48">
        <v>0</v>
      </c>
      <c r="AP461" s="48">
        <v>0</v>
      </c>
      <c r="AQ461" s="48">
        <v>0</v>
      </c>
      <c r="AR461" s="48">
        <v>0</v>
      </c>
      <c r="AS461" s="48">
        <v>0</v>
      </c>
      <c r="AT461" s="48">
        <v>0</v>
      </c>
      <c r="AU461" s="48">
        <v>0</v>
      </c>
      <c r="AV461" s="48">
        <v>0</v>
      </c>
      <c r="AW461" s="48">
        <v>0</v>
      </c>
      <c r="AX461" s="48">
        <v>0</v>
      </c>
      <c r="AY461" s="48">
        <v>0</v>
      </c>
      <c r="AZ461" s="48">
        <v>0</v>
      </c>
      <c r="BA461" s="48">
        <v>0</v>
      </c>
      <c r="BB461" s="48">
        <v>0</v>
      </c>
    </row>
    <row r="462" spans="1:54" x14ac:dyDescent="0.35">
      <c r="A462" s="49">
        <v>45930</v>
      </c>
      <c r="B462" s="48">
        <v>1</v>
      </c>
      <c r="C462" s="50" t="s">
        <v>32</v>
      </c>
      <c r="D462" s="48" t="s">
        <v>31</v>
      </c>
      <c r="E462" s="48" t="s">
        <v>138</v>
      </c>
      <c r="F462" s="48" t="s">
        <v>139</v>
      </c>
      <c r="G462" s="49" t="s">
        <v>59</v>
      </c>
      <c r="H462" s="48" t="s">
        <v>160</v>
      </c>
      <c r="I462" s="48">
        <v>1</v>
      </c>
      <c r="J462" s="48">
        <v>54</v>
      </c>
      <c r="K462" s="48">
        <v>1</v>
      </c>
      <c r="N462" s="48">
        <v>0</v>
      </c>
      <c r="R462" s="49"/>
      <c r="S462" s="49"/>
      <c r="T462" s="49">
        <v>47573</v>
      </c>
      <c r="U462" s="49">
        <v>47573</v>
      </c>
      <c r="V462" s="49">
        <v>47573</v>
      </c>
      <c r="W462" s="49">
        <v>47573</v>
      </c>
      <c r="X462" s="48">
        <v>1</v>
      </c>
      <c r="Y462" s="48">
        <v>1</v>
      </c>
      <c r="Z462" s="48">
        <v>1</v>
      </c>
      <c r="AA462" s="156">
        <v>8390.977733491969</v>
      </c>
      <c r="AF462" s="48">
        <v>0</v>
      </c>
      <c r="AG462" s="49" t="s">
        <v>32</v>
      </c>
      <c r="AH462" s="48">
        <v>1</v>
      </c>
      <c r="AI462" s="48" t="s">
        <v>33</v>
      </c>
      <c r="AJ462" s="48" t="s">
        <v>33</v>
      </c>
      <c r="AK462" s="48" t="s">
        <v>33</v>
      </c>
      <c r="AL462" s="48" t="s">
        <v>34</v>
      </c>
      <c r="AN462" s="48">
        <v>0</v>
      </c>
      <c r="AO462" s="48">
        <v>0</v>
      </c>
      <c r="AP462" s="48">
        <v>0</v>
      </c>
      <c r="AQ462" s="48">
        <v>0</v>
      </c>
      <c r="AR462" s="48">
        <v>0</v>
      </c>
      <c r="AS462" s="48">
        <v>0</v>
      </c>
      <c r="AT462" s="48">
        <v>0</v>
      </c>
      <c r="AU462" s="48">
        <v>0</v>
      </c>
      <c r="AV462" s="48">
        <v>0</v>
      </c>
      <c r="AW462" s="48">
        <v>0</v>
      </c>
      <c r="AX462" s="48">
        <v>0</v>
      </c>
      <c r="AY462" s="48">
        <v>0</v>
      </c>
      <c r="AZ462" s="48">
        <v>0</v>
      </c>
      <c r="BA462" s="48">
        <v>0</v>
      </c>
      <c r="BB462" s="48">
        <v>0</v>
      </c>
    </row>
    <row r="463" spans="1:54" x14ac:dyDescent="0.35">
      <c r="A463" s="49">
        <v>45930</v>
      </c>
      <c r="B463" s="48">
        <v>1</v>
      </c>
      <c r="C463" s="50" t="s">
        <v>32</v>
      </c>
      <c r="D463" s="48" t="s">
        <v>31</v>
      </c>
      <c r="E463" s="48" t="s">
        <v>138</v>
      </c>
      <c r="F463" s="48" t="s">
        <v>139</v>
      </c>
      <c r="G463" s="49" t="s">
        <v>59</v>
      </c>
      <c r="H463" s="48" t="s">
        <v>160</v>
      </c>
      <c r="I463" s="48">
        <v>1</v>
      </c>
      <c r="J463" s="48">
        <v>55</v>
      </c>
      <c r="K463" s="48">
        <v>1</v>
      </c>
      <c r="N463" s="48">
        <v>0</v>
      </c>
      <c r="R463" s="49"/>
      <c r="S463" s="49"/>
      <c r="T463" s="49">
        <v>47603</v>
      </c>
      <c r="U463" s="49">
        <v>47603</v>
      </c>
      <c r="V463" s="49">
        <v>47603</v>
      </c>
      <c r="W463" s="49">
        <v>47603</v>
      </c>
      <c r="X463" s="48">
        <v>1</v>
      </c>
      <c r="Y463" s="48">
        <v>1</v>
      </c>
      <c r="Z463" s="48">
        <v>1</v>
      </c>
      <c r="AA463" s="156">
        <v>8390.977733491969</v>
      </c>
      <c r="AF463" s="48">
        <v>0</v>
      </c>
      <c r="AG463" s="49" t="s">
        <v>32</v>
      </c>
      <c r="AH463" s="48">
        <v>1</v>
      </c>
      <c r="AI463" s="48" t="s">
        <v>33</v>
      </c>
      <c r="AJ463" s="48" t="s">
        <v>33</v>
      </c>
      <c r="AK463" s="48" t="s">
        <v>33</v>
      </c>
      <c r="AL463" s="48" t="s">
        <v>34</v>
      </c>
      <c r="AN463" s="48">
        <v>0</v>
      </c>
      <c r="AO463" s="48">
        <v>0</v>
      </c>
      <c r="AP463" s="48">
        <v>0</v>
      </c>
      <c r="AQ463" s="48">
        <v>0</v>
      </c>
      <c r="AR463" s="48">
        <v>0</v>
      </c>
      <c r="AS463" s="48">
        <v>0</v>
      </c>
      <c r="AT463" s="48">
        <v>0</v>
      </c>
      <c r="AU463" s="48">
        <v>0</v>
      </c>
      <c r="AV463" s="48">
        <v>0</v>
      </c>
      <c r="AW463" s="48">
        <v>0</v>
      </c>
      <c r="AX463" s="48">
        <v>0</v>
      </c>
      <c r="AY463" s="48">
        <v>0</v>
      </c>
      <c r="AZ463" s="48">
        <v>0</v>
      </c>
      <c r="BA463" s="48">
        <v>0</v>
      </c>
      <c r="BB463" s="48">
        <v>0</v>
      </c>
    </row>
    <row r="464" spans="1:54" x14ac:dyDescent="0.35">
      <c r="A464" s="49">
        <v>45930</v>
      </c>
      <c r="B464" s="48">
        <v>1</v>
      </c>
      <c r="C464" s="50" t="s">
        <v>32</v>
      </c>
      <c r="D464" s="48" t="s">
        <v>31</v>
      </c>
      <c r="E464" s="48" t="s">
        <v>138</v>
      </c>
      <c r="F464" s="48" t="s">
        <v>139</v>
      </c>
      <c r="G464" s="49" t="s">
        <v>59</v>
      </c>
      <c r="H464" s="48" t="s">
        <v>160</v>
      </c>
      <c r="I464" s="48">
        <v>1</v>
      </c>
      <c r="J464" s="48">
        <v>56</v>
      </c>
      <c r="K464" s="48">
        <v>1</v>
      </c>
      <c r="N464" s="48">
        <v>0</v>
      </c>
      <c r="R464" s="49"/>
      <c r="S464" s="49"/>
      <c r="T464" s="49">
        <v>47634</v>
      </c>
      <c r="U464" s="49">
        <v>47634</v>
      </c>
      <c r="V464" s="49">
        <v>47634</v>
      </c>
      <c r="W464" s="49">
        <v>47634</v>
      </c>
      <c r="X464" s="48">
        <v>1</v>
      </c>
      <c r="Y464" s="48">
        <v>1</v>
      </c>
      <c r="Z464" s="48">
        <v>1</v>
      </c>
      <c r="AA464" s="156">
        <v>8390.977733491969</v>
      </c>
      <c r="AF464" s="48">
        <v>0</v>
      </c>
      <c r="AG464" s="49" t="s">
        <v>32</v>
      </c>
      <c r="AH464" s="48">
        <v>1</v>
      </c>
      <c r="AI464" s="48" t="s">
        <v>33</v>
      </c>
      <c r="AJ464" s="48" t="s">
        <v>33</v>
      </c>
      <c r="AK464" s="48" t="s">
        <v>33</v>
      </c>
      <c r="AL464" s="48" t="s">
        <v>34</v>
      </c>
      <c r="AN464" s="48">
        <v>0</v>
      </c>
      <c r="AO464" s="48">
        <v>0</v>
      </c>
      <c r="AP464" s="48">
        <v>0</v>
      </c>
      <c r="AQ464" s="48">
        <v>0</v>
      </c>
      <c r="AR464" s="48">
        <v>0</v>
      </c>
      <c r="AS464" s="48">
        <v>0</v>
      </c>
      <c r="AT464" s="48">
        <v>0</v>
      </c>
      <c r="AU464" s="48">
        <v>0</v>
      </c>
      <c r="AV464" s="48">
        <v>0</v>
      </c>
      <c r="AW464" s="48">
        <v>0</v>
      </c>
      <c r="AX464" s="48">
        <v>0</v>
      </c>
      <c r="AY464" s="48">
        <v>0</v>
      </c>
      <c r="AZ464" s="48">
        <v>0</v>
      </c>
      <c r="BA464" s="48">
        <v>0</v>
      </c>
      <c r="BB464" s="48">
        <v>0</v>
      </c>
    </row>
    <row r="465" spans="1:54" x14ac:dyDescent="0.35">
      <c r="A465" s="49">
        <v>45930</v>
      </c>
      <c r="B465" s="48">
        <v>1</v>
      </c>
      <c r="C465" s="50" t="s">
        <v>32</v>
      </c>
      <c r="D465" s="48" t="s">
        <v>31</v>
      </c>
      <c r="E465" s="48" t="s">
        <v>138</v>
      </c>
      <c r="F465" s="48" t="s">
        <v>139</v>
      </c>
      <c r="G465" s="49" t="s">
        <v>59</v>
      </c>
      <c r="H465" s="48" t="s">
        <v>160</v>
      </c>
      <c r="I465" s="48">
        <v>1</v>
      </c>
      <c r="J465" s="48">
        <v>57</v>
      </c>
      <c r="K465" s="48">
        <v>1</v>
      </c>
      <c r="N465" s="48">
        <v>0</v>
      </c>
      <c r="R465" s="49"/>
      <c r="S465" s="49"/>
      <c r="T465" s="49">
        <v>47664</v>
      </c>
      <c r="U465" s="49">
        <v>47664</v>
      </c>
      <c r="V465" s="49">
        <v>47664</v>
      </c>
      <c r="W465" s="49">
        <v>47664</v>
      </c>
      <c r="X465" s="48">
        <v>1</v>
      </c>
      <c r="Y465" s="48">
        <v>1</v>
      </c>
      <c r="Z465" s="48">
        <v>1</v>
      </c>
      <c r="AA465" s="156">
        <v>8390.977733491969</v>
      </c>
      <c r="AF465" s="48">
        <v>0</v>
      </c>
      <c r="AG465" s="49" t="s">
        <v>32</v>
      </c>
      <c r="AH465" s="48">
        <v>1</v>
      </c>
      <c r="AI465" s="48" t="s">
        <v>33</v>
      </c>
      <c r="AJ465" s="48" t="s">
        <v>33</v>
      </c>
      <c r="AK465" s="48" t="s">
        <v>33</v>
      </c>
      <c r="AL465" s="48" t="s">
        <v>34</v>
      </c>
      <c r="AN465" s="48">
        <v>0</v>
      </c>
      <c r="AO465" s="48">
        <v>0</v>
      </c>
      <c r="AP465" s="48">
        <v>0</v>
      </c>
      <c r="AQ465" s="48">
        <v>0</v>
      </c>
      <c r="AR465" s="48">
        <v>0</v>
      </c>
      <c r="AS465" s="48">
        <v>0</v>
      </c>
      <c r="AT465" s="48">
        <v>0</v>
      </c>
      <c r="AU465" s="48">
        <v>0</v>
      </c>
      <c r="AV465" s="48">
        <v>0</v>
      </c>
      <c r="AW465" s="48">
        <v>0</v>
      </c>
      <c r="AX465" s="48">
        <v>0</v>
      </c>
      <c r="AY465" s="48">
        <v>0</v>
      </c>
      <c r="AZ465" s="48">
        <v>0</v>
      </c>
      <c r="BA465" s="48">
        <v>0</v>
      </c>
      <c r="BB465" s="48">
        <v>0</v>
      </c>
    </row>
    <row r="466" spans="1:54" x14ac:dyDescent="0.35">
      <c r="A466" s="49">
        <v>45930</v>
      </c>
      <c r="B466" s="48">
        <v>1</v>
      </c>
      <c r="C466" s="50" t="s">
        <v>32</v>
      </c>
      <c r="D466" s="48" t="s">
        <v>31</v>
      </c>
      <c r="E466" s="48" t="s">
        <v>138</v>
      </c>
      <c r="F466" s="48" t="s">
        <v>139</v>
      </c>
      <c r="G466" s="49" t="s">
        <v>59</v>
      </c>
      <c r="H466" s="48" t="s">
        <v>160</v>
      </c>
      <c r="I466" s="48">
        <v>1</v>
      </c>
      <c r="J466" s="48">
        <v>58</v>
      </c>
      <c r="K466" s="48">
        <v>1</v>
      </c>
      <c r="N466" s="48">
        <v>0</v>
      </c>
      <c r="R466" s="49"/>
      <c r="S466" s="49"/>
      <c r="T466" s="49">
        <v>47695</v>
      </c>
      <c r="U466" s="49">
        <v>47695</v>
      </c>
      <c r="V466" s="49">
        <v>47695</v>
      </c>
      <c r="W466" s="49">
        <v>47695</v>
      </c>
      <c r="X466" s="48">
        <v>1</v>
      </c>
      <c r="Y466" s="48">
        <v>1</v>
      </c>
      <c r="Z466" s="48">
        <v>1</v>
      </c>
      <c r="AA466" s="156">
        <v>8390.977733491969</v>
      </c>
      <c r="AF466" s="48">
        <v>0</v>
      </c>
      <c r="AG466" s="49" t="s">
        <v>32</v>
      </c>
      <c r="AH466" s="48">
        <v>1</v>
      </c>
      <c r="AI466" s="48" t="s">
        <v>33</v>
      </c>
      <c r="AJ466" s="48" t="s">
        <v>33</v>
      </c>
      <c r="AK466" s="48" t="s">
        <v>33</v>
      </c>
      <c r="AL466" s="48" t="s">
        <v>34</v>
      </c>
      <c r="AN466" s="48">
        <v>0</v>
      </c>
      <c r="AO466" s="48">
        <v>0</v>
      </c>
      <c r="AP466" s="48">
        <v>0</v>
      </c>
      <c r="AQ466" s="48">
        <v>0</v>
      </c>
      <c r="AR466" s="48">
        <v>0</v>
      </c>
      <c r="AS466" s="48">
        <v>0</v>
      </c>
      <c r="AT466" s="48">
        <v>0</v>
      </c>
      <c r="AU466" s="48">
        <v>0</v>
      </c>
      <c r="AV466" s="48">
        <v>0</v>
      </c>
      <c r="AW466" s="48">
        <v>0</v>
      </c>
      <c r="AX466" s="48">
        <v>0</v>
      </c>
      <c r="AY466" s="48">
        <v>0</v>
      </c>
      <c r="AZ466" s="48">
        <v>0</v>
      </c>
      <c r="BA466" s="48">
        <v>0</v>
      </c>
      <c r="BB466" s="48">
        <v>0</v>
      </c>
    </row>
    <row r="467" spans="1:54" x14ac:dyDescent="0.35">
      <c r="A467" s="49">
        <v>45930</v>
      </c>
      <c r="B467" s="48">
        <v>1</v>
      </c>
      <c r="C467" s="50" t="s">
        <v>32</v>
      </c>
      <c r="D467" s="48" t="s">
        <v>31</v>
      </c>
      <c r="E467" s="48" t="s">
        <v>138</v>
      </c>
      <c r="F467" s="48" t="s">
        <v>139</v>
      </c>
      <c r="G467" s="49" t="s">
        <v>59</v>
      </c>
      <c r="H467" s="48" t="s">
        <v>160</v>
      </c>
      <c r="I467" s="48">
        <v>1</v>
      </c>
      <c r="J467" s="48">
        <v>59</v>
      </c>
      <c r="K467" s="48">
        <v>1</v>
      </c>
      <c r="N467" s="48">
        <v>0</v>
      </c>
      <c r="R467" s="49"/>
      <c r="S467" s="49"/>
      <c r="T467" s="49">
        <v>47726</v>
      </c>
      <c r="U467" s="49">
        <v>47726</v>
      </c>
      <c r="V467" s="49">
        <v>47726</v>
      </c>
      <c r="W467" s="49">
        <v>47726</v>
      </c>
      <c r="X467" s="48">
        <v>1</v>
      </c>
      <c r="Y467" s="48">
        <v>1</v>
      </c>
      <c r="Z467" s="48">
        <v>1</v>
      </c>
      <c r="AA467" s="156">
        <v>8390.977733491969</v>
      </c>
      <c r="AF467" s="48">
        <v>0</v>
      </c>
      <c r="AG467" s="49" t="s">
        <v>32</v>
      </c>
      <c r="AH467" s="48">
        <v>1</v>
      </c>
      <c r="AI467" s="48" t="s">
        <v>33</v>
      </c>
      <c r="AJ467" s="48" t="s">
        <v>33</v>
      </c>
      <c r="AK467" s="48" t="s">
        <v>33</v>
      </c>
      <c r="AL467" s="48" t="s">
        <v>34</v>
      </c>
      <c r="AN467" s="48">
        <v>0</v>
      </c>
      <c r="AO467" s="48">
        <v>0</v>
      </c>
      <c r="AP467" s="48">
        <v>0</v>
      </c>
      <c r="AQ467" s="48">
        <v>0</v>
      </c>
      <c r="AR467" s="48">
        <v>0</v>
      </c>
      <c r="AS467" s="48">
        <v>0</v>
      </c>
      <c r="AT467" s="48">
        <v>0</v>
      </c>
      <c r="AU467" s="48">
        <v>0</v>
      </c>
      <c r="AV467" s="48">
        <v>0</v>
      </c>
      <c r="AW467" s="48">
        <v>0</v>
      </c>
      <c r="AX467" s="48">
        <v>0</v>
      </c>
      <c r="AY467" s="48">
        <v>0</v>
      </c>
      <c r="AZ467" s="48">
        <v>0</v>
      </c>
      <c r="BA467" s="48">
        <v>0</v>
      </c>
      <c r="BB467" s="48">
        <v>0</v>
      </c>
    </row>
    <row r="468" spans="1:54" x14ac:dyDescent="0.35">
      <c r="A468" s="49">
        <v>45930</v>
      </c>
      <c r="B468" s="48">
        <v>1</v>
      </c>
      <c r="C468" s="50" t="s">
        <v>32</v>
      </c>
      <c r="D468" s="48" t="s">
        <v>31</v>
      </c>
      <c r="E468" s="48" t="s">
        <v>138</v>
      </c>
      <c r="F468" s="48" t="s">
        <v>139</v>
      </c>
      <c r="G468" s="49" t="s">
        <v>59</v>
      </c>
      <c r="H468" s="48" t="s">
        <v>160</v>
      </c>
      <c r="I468" s="48">
        <v>1</v>
      </c>
      <c r="J468" s="48">
        <v>60</v>
      </c>
      <c r="K468" s="48">
        <v>1</v>
      </c>
      <c r="N468" s="48">
        <v>0</v>
      </c>
      <c r="R468" s="49"/>
      <c r="S468" s="49"/>
      <c r="T468" s="49">
        <v>47756</v>
      </c>
      <c r="U468" s="49">
        <v>47756</v>
      </c>
      <c r="V468" s="49">
        <v>47756</v>
      </c>
      <c r="W468" s="49">
        <v>47756</v>
      </c>
      <c r="X468" s="48">
        <v>1</v>
      </c>
      <c r="Y468" s="48">
        <v>1</v>
      </c>
      <c r="Z468" s="48">
        <v>1</v>
      </c>
      <c r="AA468" s="156">
        <v>8390.977733491969</v>
      </c>
      <c r="AF468" s="48">
        <v>0</v>
      </c>
      <c r="AG468" s="49" t="s">
        <v>32</v>
      </c>
      <c r="AH468" s="48">
        <v>1</v>
      </c>
      <c r="AI468" s="48" t="s">
        <v>33</v>
      </c>
      <c r="AJ468" s="48" t="s">
        <v>33</v>
      </c>
      <c r="AK468" s="48" t="s">
        <v>33</v>
      </c>
      <c r="AL468" s="48" t="s">
        <v>34</v>
      </c>
      <c r="AN468" s="48">
        <v>0</v>
      </c>
      <c r="AO468" s="48">
        <v>0</v>
      </c>
      <c r="AP468" s="48">
        <v>0</v>
      </c>
      <c r="AQ468" s="48">
        <v>0</v>
      </c>
      <c r="AR468" s="48">
        <v>0</v>
      </c>
      <c r="AS468" s="48">
        <v>0</v>
      </c>
      <c r="AT468" s="48">
        <v>0</v>
      </c>
      <c r="AU468" s="48">
        <v>0</v>
      </c>
      <c r="AV468" s="48">
        <v>0</v>
      </c>
      <c r="AW468" s="48">
        <v>0</v>
      </c>
      <c r="AX468" s="48">
        <v>0</v>
      </c>
      <c r="AY468" s="48">
        <v>0</v>
      </c>
      <c r="AZ468" s="48">
        <v>0</v>
      </c>
      <c r="BA468" s="48">
        <v>0</v>
      </c>
      <c r="BB468" s="48">
        <v>0</v>
      </c>
    </row>
    <row r="469" spans="1:54" x14ac:dyDescent="0.35">
      <c r="A469" s="49">
        <v>45930</v>
      </c>
      <c r="B469" s="48">
        <v>1</v>
      </c>
      <c r="C469" s="50" t="s">
        <v>32</v>
      </c>
      <c r="D469" s="48" t="s">
        <v>31</v>
      </c>
      <c r="E469" s="48" t="s">
        <v>138</v>
      </c>
      <c r="F469" s="48" t="s">
        <v>139</v>
      </c>
      <c r="G469" s="49" t="s">
        <v>59</v>
      </c>
      <c r="H469" s="48" t="s">
        <v>160</v>
      </c>
      <c r="I469" s="48">
        <v>1</v>
      </c>
      <c r="J469" s="48">
        <v>61</v>
      </c>
      <c r="K469" s="48">
        <v>1</v>
      </c>
      <c r="N469" s="48">
        <v>0</v>
      </c>
      <c r="R469" s="49"/>
      <c r="S469" s="49"/>
      <c r="T469" s="49">
        <v>47787</v>
      </c>
      <c r="U469" s="49">
        <v>47787</v>
      </c>
      <c r="V469" s="49">
        <v>47787</v>
      </c>
      <c r="W469" s="49">
        <v>47787</v>
      </c>
      <c r="X469" s="48">
        <v>1</v>
      </c>
      <c r="Y469" s="48">
        <v>1</v>
      </c>
      <c r="Z469" s="48">
        <v>1</v>
      </c>
      <c r="AA469" s="156">
        <v>8390.977733491969</v>
      </c>
      <c r="AF469" s="48">
        <v>0</v>
      </c>
      <c r="AG469" s="49" t="s">
        <v>32</v>
      </c>
      <c r="AH469" s="48">
        <v>1</v>
      </c>
      <c r="AI469" s="48" t="s">
        <v>33</v>
      </c>
      <c r="AJ469" s="48" t="s">
        <v>33</v>
      </c>
      <c r="AK469" s="48" t="s">
        <v>33</v>
      </c>
      <c r="AL469" s="48" t="s">
        <v>34</v>
      </c>
      <c r="AN469" s="48">
        <v>0</v>
      </c>
      <c r="AO469" s="48">
        <v>0</v>
      </c>
      <c r="AP469" s="48">
        <v>0</v>
      </c>
      <c r="AQ469" s="48">
        <v>0</v>
      </c>
      <c r="AR469" s="48">
        <v>0</v>
      </c>
      <c r="AS469" s="48">
        <v>0</v>
      </c>
      <c r="AT469" s="48">
        <v>0</v>
      </c>
      <c r="AU469" s="48">
        <v>0</v>
      </c>
      <c r="AV469" s="48">
        <v>0</v>
      </c>
      <c r="AW469" s="48">
        <v>0</v>
      </c>
      <c r="AX469" s="48">
        <v>0</v>
      </c>
      <c r="AY469" s="48">
        <v>0</v>
      </c>
      <c r="AZ469" s="48">
        <v>0</v>
      </c>
      <c r="BA469" s="48">
        <v>0</v>
      </c>
      <c r="BB469" s="48">
        <v>0</v>
      </c>
    </row>
    <row r="470" spans="1:54" x14ac:dyDescent="0.35">
      <c r="A470" s="49">
        <v>45930</v>
      </c>
      <c r="B470" s="48">
        <v>1</v>
      </c>
      <c r="C470" s="50" t="s">
        <v>32</v>
      </c>
      <c r="D470" s="48" t="s">
        <v>31</v>
      </c>
      <c r="E470" s="48" t="s">
        <v>138</v>
      </c>
      <c r="F470" s="48" t="s">
        <v>139</v>
      </c>
      <c r="G470" s="49" t="s">
        <v>59</v>
      </c>
      <c r="H470" s="48" t="s">
        <v>160</v>
      </c>
      <c r="I470" s="48">
        <v>1</v>
      </c>
      <c r="J470" s="48">
        <v>62</v>
      </c>
      <c r="K470" s="48">
        <v>1</v>
      </c>
      <c r="N470" s="48">
        <v>0</v>
      </c>
      <c r="R470" s="49"/>
      <c r="S470" s="49"/>
      <c r="T470" s="49">
        <v>47817</v>
      </c>
      <c r="U470" s="49">
        <v>47817</v>
      </c>
      <c r="V470" s="49">
        <v>47817</v>
      </c>
      <c r="W470" s="49">
        <v>47817</v>
      </c>
      <c r="X470" s="48">
        <v>1</v>
      </c>
      <c r="Y470" s="48">
        <v>1</v>
      </c>
      <c r="Z470" s="48">
        <v>1</v>
      </c>
      <c r="AA470" s="156">
        <v>8390.977733491969</v>
      </c>
      <c r="AF470" s="48">
        <v>0</v>
      </c>
      <c r="AG470" s="49" t="s">
        <v>32</v>
      </c>
      <c r="AH470" s="48">
        <v>1</v>
      </c>
      <c r="AI470" s="48" t="s">
        <v>33</v>
      </c>
      <c r="AJ470" s="48" t="s">
        <v>33</v>
      </c>
      <c r="AK470" s="48" t="s">
        <v>33</v>
      </c>
      <c r="AL470" s="48" t="s">
        <v>34</v>
      </c>
      <c r="AN470" s="48">
        <v>0</v>
      </c>
      <c r="AO470" s="48">
        <v>0</v>
      </c>
      <c r="AP470" s="48">
        <v>0</v>
      </c>
      <c r="AQ470" s="48">
        <v>0</v>
      </c>
      <c r="AR470" s="48">
        <v>0</v>
      </c>
      <c r="AS470" s="48">
        <v>0</v>
      </c>
      <c r="AT470" s="48">
        <v>0</v>
      </c>
      <c r="AU470" s="48">
        <v>0</v>
      </c>
      <c r="AV470" s="48">
        <v>0</v>
      </c>
      <c r="AW470" s="48">
        <v>0</v>
      </c>
      <c r="AX470" s="48">
        <v>0</v>
      </c>
      <c r="AY470" s="48">
        <v>0</v>
      </c>
      <c r="AZ470" s="48">
        <v>0</v>
      </c>
      <c r="BA470" s="48">
        <v>0</v>
      </c>
      <c r="BB470" s="48">
        <v>0</v>
      </c>
    </row>
    <row r="471" spans="1:54" x14ac:dyDescent="0.35">
      <c r="A471" s="49">
        <v>45930</v>
      </c>
      <c r="B471" s="48">
        <v>1</v>
      </c>
      <c r="C471" s="50" t="s">
        <v>32</v>
      </c>
      <c r="D471" s="48" t="s">
        <v>31</v>
      </c>
      <c r="E471" s="48" t="s">
        <v>138</v>
      </c>
      <c r="F471" s="48" t="s">
        <v>139</v>
      </c>
      <c r="G471" s="49" t="s">
        <v>59</v>
      </c>
      <c r="H471" s="48" t="s">
        <v>160</v>
      </c>
      <c r="I471" s="48">
        <v>1</v>
      </c>
      <c r="J471" s="48">
        <v>63</v>
      </c>
      <c r="K471" s="48">
        <v>1</v>
      </c>
      <c r="N471" s="48">
        <v>0</v>
      </c>
      <c r="R471" s="49"/>
      <c r="S471" s="49"/>
      <c r="T471" s="49">
        <v>47848</v>
      </c>
      <c r="U471" s="49">
        <v>47848</v>
      </c>
      <c r="V471" s="49">
        <v>47848</v>
      </c>
      <c r="W471" s="49">
        <v>47848</v>
      </c>
      <c r="X471" s="48">
        <v>1</v>
      </c>
      <c r="Y471" s="48">
        <v>1</v>
      </c>
      <c r="Z471" s="48">
        <v>1</v>
      </c>
      <c r="AA471" s="156">
        <v>8390.977733491969</v>
      </c>
      <c r="AF471" s="48">
        <v>0</v>
      </c>
      <c r="AG471" s="49" t="s">
        <v>32</v>
      </c>
      <c r="AH471" s="48">
        <v>1</v>
      </c>
      <c r="AI471" s="48" t="s">
        <v>33</v>
      </c>
      <c r="AJ471" s="48" t="s">
        <v>33</v>
      </c>
      <c r="AK471" s="48" t="s">
        <v>33</v>
      </c>
      <c r="AL471" s="48" t="s">
        <v>34</v>
      </c>
      <c r="AN471" s="48">
        <v>0</v>
      </c>
      <c r="AO471" s="48">
        <v>0</v>
      </c>
      <c r="AP471" s="48">
        <v>0</v>
      </c>
      <c r="AQ471" s="48">
        <v>0</v>
      </c>
      <c r="AR471" s="48">
        <v>0</v>
      </c>
      <c r="AS471" s="48">
        <v>0</v>
      </c>
      <c r="AT471" s="48">
        <v>0</v>
      </c>
      <c r="AU471" s="48">
        <v>0</v>
      </c>
      <c r="AV471" s="48">
        <v>0</v>
      </c>
      <c r="AW471" s="48">
        <v>0</v>
      </c>
      <c r="AX471" s="48">
        <v>0</v>
      </c>
      <c r="AY471" s="48">
        <v>0</v>
      </c>
      <c r="AZ471" s="48">
        <v>0</v>
      </c>
      <c r="BA471" s="48">
        <v>0</v>
      </c>
      <c r="BB471" s="48">
        <v>0</v>
      </c>
    </row>
    <row r="472" spans="1:54" x14ac:dyDescent="0.35">
      <c r="A472" s="49">
        <v>45930</v>
      </c>
      <c r="B472" s="48">
        <v>1</v>
      </c>
      <c r="C472" s="50" t="s">
        <v>32</v>
      </c>
      <c r="D472" s="48" t="s">
        <v>31</v>
      </c>
      <c r="E472" s="48" t="s">
        <v>138</v>
      </c>
      <c r="F472" s="48" t="s">
        <v>139</v>
      </c>
      <c r="G472" s="49" t="s">
        <v>59</v>
      </c>
      <c r="H472" s="48" t="s">
        <v>160</v>
      </c>
      <c r="I472" s="48">
        <v>1</v>
      </c>
      <c r="J472" s="48">
        <v>64</v>
      </c>
      <c r="K472" s="48">
        <v>1</v>
      </c>
      <c r="N472" s="48">
        <v>0</v>
      </c>
      <c r="R472" s="49"/>
      <c r="S472" s="49"/>
      <c r="T472" s="49">
        <v>47879</v>
      </c>
      <c r="U472" s="49">
        <v>47879</v>
      </c>
      <c r="V472" s="49">
        <v>47879</v>
      </c>
      <c r="W472" s="49">
        <v>47879</v>
      </c>
      <c r="X472" s="48">
        <v>1</v>
      </c>
      <c r="Y472" s="48">
        <v>1</v>
      </c>
      <c r="Z472" s="48">
        <v>1</v>
      </c>
      <c r="AA472" s="156">
        <v>8390.977733491969</v>
      </c>
      <c r="AF472" s="48">
        <v>0</v>
      </c>
      <c r="AG472" s="49" t="s">
        <v>32</v>
      </c>
      <c r="AH472" s="48">
        <v>1</v>
      </c>
      <c r="AI472" s="48" t="s">
        <v>33</v>
      </c>
      <c r="AJ472" s="48" t="s">
        <v>33</v>
      </c>
      <c r="AK472" s="48" t="s">
        <v>33</v>
      </c>
      <c r="AL472" s="48" t="s">
        <v>34</v>
      </c>
      <c r="AN472" s="48">
        <v>0</v>
      </c>
      <c r="AO472" s="48">
        <v>0</v>
      </c>
      <c r="AP472" s="48">
        <v>0</v>
      </c>
      <c r="AQ472" s="48">
        <v>0</v>
      </c>
      <c r="AR472" s="48">
        <v>0</v>
      </c>
      <c r="AS472" s="48">
        <v>0</v>
      </c>
      <c r="AT472" s="48">
        <v>0</v>
      </c>
      <c r="AU472" s="48">
        <v>0</v>
      </c>
      <c r="AV472" s="48">
        <v>0</v>
      </c>
      <c r="AW472" s="48">
        <v>0</v>
      </c>
      <c r="AX472" s="48">
        <v>0</v>
      </c>
      <c r="AY472" s="48">
        <v>0</v>
      </c>
      <c r="AZ472" s="48">
        <v>0</v>
      </c>
      <c r="BA472" s="48">
        <v>0</v>
      </c>
      <c r="BB472" s="48">
        <v>0</v>
      </c>
    </row>
    <row r="473" spans="1:54" x14ac:dyDescent="0.35">
      <c r="A473" s="49">
        <v>45930</v>
      </c>
      <c r="B473" s="48">
        <v>1</v>
      </c>
      <c r="C473" s="50" t="s">
        <v>32</v>
      </c>
      <c r="D473" s="48" t="s">
        <v>31</v>
      </c>
      <c r="E473" s="48" t="s">
        <v>138</v>
      </c>
      <c r="F473" s="48" t="s">
        <v>139</v>
      </c>
      <c r="G473" s="49" t="s">
        <v>59</v>
      </c>
      <c r="H473" s="48" t="s">
        <v>160</v>
      </c>
      <c r="I473" s="48">
        <v>1</v>
      </c>
      <c r="J473" s="48">
        <v>65</v>
      </c>
      <c r="K473" s="48">
        <v>1</v>
      </c>
      <c r="N473" s="48">
        <v>0</v>
      </c>
      <c r="R473" s="49"/>
      <c r="S473" s="49"/>
      <c r="T473" s="49">
        <v>47907</v>
      </c>
      <c r="U473" s="49">
        <v>47907</v>
      </c>
      <c r="V473" s="49">
        <v>47907</v>
      </c>
      <c r="W473" s="49">
        <v>47907</v>
      </c>
      <c r="X473" s="48">
        <v>1</v>
      </c>
      <c r="Y473" s="48">
        <v>1</v>
      </c>
      <c r="Z473" s="48">
        <v>1</v>
      </c>
      <c r="AA473" s="156">
        <v>8390.977733491969</v>
      </c>
      <c r="AF473" s="48">
        <v>0</v>
      </c>
      <c r="AG473" s="49" t="s">
        <v>32</v>
      </c>
      <c r="AH473" s="48">
        <v>1</v>
      </c>
      <c r="AI473" s="48" t="s">
        <v>33</v>
      </c>
      <c r="AJ473" s="48" t="s">
        <v>33</v>
      </c>
      <c r="AK473" s="48" t="s">
        <v>33</v>
      </c>
      <c r="AL473" s="48" t="s">
        <v>34</v>
      </c>
      <c r="AN473" s="48">
        <v>0</v>
      </c>
      <c r="AO473" s="48">
        <v>0</v>
      </c>
      <c r="AP473" s="48">
        <v>0</v>
      </c>
      <c r="AQ473" s="48">
        <v>0</v>
      </c>
      <c r="AR473" s="48">
        <v>0</v>
      </c>
      <c r="AS473" s="48">
        <v>0</v>
      </c>
      <c r="AT473" s="48">
        <v>0</v>
      </c>
      <c r="AU473" s="48">
        <v>0</v>
      </c>
      <c r="AV473" s="48">
        <v>0</v>
      </c>
      <c r="AW473" s="48">
        <v>0</v>
      </c>
      <c r="AX473" s="48">
        <v>0</v>
      </c>
      <c r="AY473" s="48">
        <v>0</v>
      </c>
      <c r="AZ473" s="48">
        <v>0</v>
      </c>
      <c r="BA473" s="48">
        <v>0</v>
      </c>
      <c r="BB473" s="48">
        <v>0</v>
      </c>
    </row>
    <row r="474" spans="1:54" x14ac:dyDescent="0.35">
      <c r="A474" s="49">
        <v>45930</v>
      </c>
      <c r="B474" s="48">
        <v>1</v>
      </c>
      <c r="C474" s="50" t="s">
        <v>32</v>
      </c>
      <c r="D474" s="48" t="s">
        <v>31</v>
      </c>
      <c r="E474" s="48" t="s">
        <v>138</v>
      </c>
      <c r="F474" s="48" t="s">
        <v>139</v>
      </c>
      <c r="G474" s="49" t="s">
        <v>59</v>
      </c>
      <c r="H474" s="48" t="s">
        <v>160</v>
      </c>
      <c r="I474" s="48">
        <v>1</v>
      </c>
      <c r="J474" s="48">
        <v>66</v>
      </c>
      <c r="K474" s="48">
        <v>1</v>
      </c>
      <c r="N474" s="48">
        <v>0</v>
      </c>
      <c r="R474" s="49"/>
      <c r="S474" s="49"/>
      <c r="T474" s="49">
        <v>47938</v>
      </c>
      <c r="U474" s="49">
        <v>47938</v>
      </c>
      <c r="V474" s="49">
        <v>47938</v>
      </c>
      <c r="W474" s="49">
        <v>47938</v>
      </c>
      <c r="X474" s="48">
        <v>1</v>
      </c>
      <c r="Y474" s="48">
        <v>1</v>
      </c>
      <c r="Z474" s="48">
        <v>1</v>
      </c>
      <c r="AA474" s="156">
        <v>8390.977733491969</v>
      </c>
      <c r="AF474" s="48">
        <v>0</v>
      </c>
      <c r="AG474" s="49" t="s">
        <v>32</v>
      </c>
      <c r="AH474" s="48">
        <v>1</v>
      </c>
      <c r="AI474" s="48" t="s">
        <v>33</v>
      </c>
      <c r="AJ474" s="48" t="s">
        <v>33</v>
      </c>
      <c r="AK474" s="48" t="s">
        <v>33</v>
      </c>
      <c r="AL474" s="48" t="s">
        <v>34</v>
      </c>
      <c r="AN474" s="48">
        <v>0</v>
      </c>
      <c r="AO474" s="48">
        <v>0</v>
      </c>
      <c r="AP474" s="48">
        <v>0</v>
      </c>
      <c r="AQ474" s="48">
        <v>0</v>
      </c>
      <c r="AR474" s="48">
        <v>0</v>
      </c>
      <c r="AS474" s="48">
        <v>0</v>
      </c>
      <c r="AT474" s="48">
        <v>0</v>
      </c>
      <c r="AU474" s="48">
        <v>0</v>
      </c>
      <c r="AV474" s="48">
        <v>0</v>
      </c>
      <c r="AW474" s="48">
        <v>0</v>
      </c>
      <c r="AX474" s="48">
        <v>0</v>
      </c>
      <c r="AY474" s="48">
        <v>0</v>
      </c>
      <c r="AZ474" s="48">
        <v>0</v>
      </c>
      <c r="BA474" s="48">
        <v>0</v>
      </c>
      <c r="BB474" s="48">
        <v>0</v>
      </c>
    </row>
    <row r="475" spans="1:54" x14ac:dyDescent="0.35">
      <c r="A475" s="49">
        <v>45930</v>
      </c>
      <c r="B475" s="48">
        <v>1</v>
      </c>
      <c r="C475" s="50" t="s">
        <v>32</v>
      </c>
      <c r="D475" s="48" t="s">
        <v>31</v>
      </c>
      <c r="E475" s="48" t="s">
        <v>138</v>
      </c>
      <c r="F475" s="48" t="s">
        <v>139</v>
      </c>
      <c r="G475" s="49" t="s">
        <v>59</v>
      </c>
      <c r="H475" s="48" t="s">
        <v>160</v>
      </c>
      <c r="I475" s="48">
        <v>1</v>
      </c>
      <c r="J475" s="48">
        <v>67</v>
      </c>
      <c r="K475" s="48">
        <v>1</v>
      </c>
      <c r="N475" s="48">
        <v>0</v>
      </c>
      <c r="R475" s="49"/>
      <c r="S475" s="49"/>
      <c r="T475" s="49">
        <v>47968</v>
      </c>
      <c r="U475" s="49">
        <v>47968</v>
      </c>
      <c r="V475" s="49">
        <v>47968</v>
      </c>
      <c r="W475" s="49">
        <v>47968</v>
      </c>
      <c r="X475" s="48">
        <v>1</v>
      </c>
      <c r="Y475" s="48">
        <v>1</v>
      </c>
      <c r="Z475" s="48">
        <v>1</v>
      </c>
      <c r="AA475" s="156">
        <v>8390.977733491969</v>
      </c>
      <c r="AF475" s="48">
        <v>0</v>
      </c>
      <c r="AG475" s="49" t="s">
        <v>32</v>
      </c>
      <c r="AH475" s="48">
        <v>1</v>
      </c>
      <c r="AI475" s="48" t="s">
        <v>33</v>
      </c>
      <c r="AJ475" s="48" t="s">
        <v>33</v>
      </c>
      <c r="AK475" s="48" t="s">
        <v>33</v>
      </c>
      <c r="AL475" s="48" t="s">
        <v>34</v>
      </c>
      <c r="AN475" s="48">
        <v>0</v>
      </c>
      <c r="AO475" s="48">
        <v>0</v>
      </c>
      <c r="AP475" s="48">
        <v>0</v>
      </c>
      <c r="AQ475" s="48">
        <v>0</v>
      </c>
      <c r="AR475" s="48">
        <v>0</v>
      </c>
      <c r="AS475" s="48">
        <v>0</v>
      </c>
      <c r="AT475" s="48">
        <v>0</v>
      </c>
      <c r="AU475" s="48">
        <v>0</v>
      </c>
      <c r="AV475" s="48">
        <v>0</v>
      </c>
      <c r="AW475" s="48">
        <v>0</v>
      </c>
      <c r="AX475" s="48">
        <v>0</v>
      </c>
      <c r="AY475" s="48">
        <v>0</v>
      </c>
      <c r="AZ475" s="48">
        <v>0</v>
      </c>
      <c r="BA475" s="48">
        <v>0</v>
      </c>
      <c r="BB475" s="48">
        <v>0</v>
      </c>
    </row>
    <row r="476" spans="1:54" x14ac:dyDescent="0.35">
      <c r="A476" s="49">
        <v>45930</v>
      </c>
      <c r="B476" s="48">
        <v>1</v>
      </c>
      <c r="C476" s="50" t="s">
        <v>32</v>
      </c>
      <c r="D476" s="48" t="s">
        <v>31</v>
      </c>
      <c r="E476" s="48" t="s">
        <v>138</v>
      </c>
      <c r="F476" s="48" t="s">
        <v>139</v>
      </c>
      <c r="G476" s="49" t="s">
        <v>59</v>
      </c>
      <c r="H476" s="48" t="s">
        <v>160</v>
      </c>
      <c r="I476" s="48">
        <v>1</v>
      </c>
      <c r="J476" s="48">
        <v>68</v>
      </c>
      <c r="K476" s="48">
        <v>1</v>
      </c>
      <c r="N476" s="48">
        <v>0</v>
      </c>
      <c r="R476" s="49"/>
      <c r="S476" s="49"/>
      <c r="T476" s="49">
        <v>47999</v>
      </c>
      <c r="U476" s="49">
        <v>47999</v>
      </c>
      <c r="V476" s="49">
        <v>47999</v>
      </c>
      <c r="W476" s="49">
        <v>47999</v>
      </c>
      <c r="X476" s="48">
        <v>1</v>
      </c>
      <c r="Y476" s="48">
        <v>1</v>
      </c>
      <c r="Z476" s="48">
        <v>1</v>
      </c>
      <c r="AA476" s="156">
        <v>8390.977733491969</v>
      </c>
      <c r="AF476" s="48">
        <v>0</v>
      </c>
      <c r="AG476" s="49" t="s">
        <v>32</v>
      </c>
      <c r="AH476" s="48">
        <v>1</v>
      </c>
      <c r="AI476" s="48" t="s">
        <v>33</v>
      </c>
      <c r="AJ476" s="48" t="s">
        <v>33</v>
      </c>
      <c r="AK476" s="48" t="s">
        <v>33</v>
      </c>
      <c r="AL476" s="48" t="s">
        <v>34</v>
      </c>
      <c r="AN476" s="48">
        <v>0</v>
      </c>
      <c r="AO476" s="48">
        <v>0</v>
      </c>
      <c r="AP476" s="48">
        <v>0</v>
      </c>
      <c r="AQ476" s="48">
        <v>0</v>
      </c>
      <c r="AR476" s="48">
        <v>0</v>
      </c>
      <c r="AS476" s="48">
        <v>0</v>
      </c>
      <c r="AT476" s="48">
        <v>0</v>
      </c>
      <c r="AU476" s="48">
        <v>0</v>
      </c>
      <c r="AV476" s="48">
        <v>0</v>
      </c>
      <c r="AW476" s="48">
        <v>0</v>
      </c>
      <c r="AX476" s="48">
        <v>0</v>
      </c>
      <c r="AY476" s="48">
        <v>0</v>
      </c>
      <c r="AZ476" s="48">
        <v>0</v>
      </c>
      <c r="BA476" s="48">
        <v>0</v>
      </c>
      <c r="BB476" s="48">
        <v>0</v>
      </c>
    </row>
    <row r="477" spans="1:54" x14ac:dyDescent="0.35">
      <c r="A477" s="49">
        <v>45930</v>
      </c>
      <c r="B477" s="48">
        <v>1</v>
      </c>
      <c r="C477" s="50" t="s">
        <v>32</v>
      </c>
      <c r="D477" s="48" t="s">
        <v>31</v>
      </c>
      <c r="E477" s="48" t="s">
        <v>138</v>
      </c>
      <c r="F477" s="48" t="s">
        <v>139</v>
      </c>
      <c r="G477" s="49" t="s">
        <v>59</v>
      </c>
      <c r="H477" s="48" t="s">
        <v>160</v>
      </c>
      <c r="I477" s="48">
        <v>1</v>
      </c>
      <c r="J477" s="48">
        <v>69</v>
      </c>
      <c r="K477" s="48">
        <v>1</v>
      </c>
      <c r="N477" s="48">
        <v>0</v>
      </c>
      <c r="R477" s="49"/>
      <c r="S477" s="49"/>
      <c r="T477" s="49">
        <v>48029</v>
      </c>
      <c r="U477" s="49">
        <v>48029</v>
      </c>
      <c r="V477" s="49">
        <v>48029</v>
      </c>
      <c r="W477" s="49">
        <v>48029</v>
      </c>
      <c r="X477" s="48">
        <v>1</v>
      </c>
      <c r="Y477" s="48">
        <v>1</v>
      </c>
      <c r="Z477" s="48">
        <v>1</v>
      </c>
      <c r="AA477" s="156">
        <v>8390.977733491969</v>
      </c>
      <c r="AF477" s="48">
        <v>0</v>
      </c>
      <c r="AG477" s="49" t="s">
        <v>32</v>
      </c>
      <c r="AH477" s="48">
        <v>1</v>
      </c>
      <c r="AI477" s="48" t="s">
        <v>33</v>
      </c>
      <c r="AJ477" s="48" t="s">
        <v>33</v>
      </c>
      <c r="AK477" s="48" t="s">
        <v>33</v>
      </c>
      <c r="AL477" s="48" t="s">
        <v>34</v>
      </c>
      <c r="AN477" s="48">
        <v>0</v>
      </c>
      <c r="AO477" s="48">
        <v>0</v>
      </c>
      <c r="AP477" s="48">
        <v>0</v>
      </c>
      <c r="AQ477" s="48">
        <v>0</v>
      </c>
      <c r="AR477" s="48">
        <v>0</v>
      </c>
      <c r="AS477" s="48">
        <v>0</v>
      </c>
      <c r="AT477" s="48">
        <v>0</v>
      </c>
      <c r="AU477" s="48">
        <v>0</v>
      </c>
      <c r="AV477" s="48">
        <v>0</v>
      </c>
      <c r="AW477" s="48">
        <v>0</v>
      </c>
      <c r="AX477" s="48">
        <v>0</v>
      </c>
      <c r="AY477" s="48">
        <v>0</v>
      </c>
      <c r="AZ477" s="48">
        <v>0</v>
      </c>
      <c r="BA477" s="48">
        <v>0</v>
      </c>
      <c r="BB477" s="48">
        <v>0</v>
      </c>
    </row>
    <row r="478" spans="1:54" x14ac:dyDescent="0.35">
      <c r="A478" s="49">
        <v>45930</v>
      </c>
      <c r="B478" s="48">
        <v>1</v>
      </c>
      <c r="C478" s="50" t="s">
        <v>32</v>
      </c>
      <c r="D478" s="48" t="s">
        <v>31</v>
      </c>
      <c r="E478" s="48" t="s">
        <v>138</v>
      </c>
      <c r="F478" s="48" t="s">
        <v>139</v>
      </c>
      <c r="G478" s="49" t="s">
        <v>59</v>
      </c>
      <c r="H478" s="48" t="s">
        <v>160</v>
      </c>
      <c r="I478" s="48">
        <v>1</v>
      </c>
      <c r="J478" s="48">
        <v>70</v>
      </c>
      <c r="K478" s="48">
        <v>1</v>
      </c>
      <c r="N478" s="48">
        <v>0</v>
      </c>
      <c r="R478" s="49"/>
      <c r="S478" s="49"/>
      <c r="T478" s="49">
        <v>48060</v>
      </c>
      <c r="U478" s="49">
        <v>48060</v>
      </c>
      <c r="V478" s="49">
        <v>48060</v>
      </c>
      <c r="W478" s="49">
        <v>48060</v>
      </c>
      <c r="X478" s="48">
        <v>1</v>
      </c>
      <c r="Y478" s="48">
        <v>1</v>
      </c>
      <c r="Z478" s="48">
        <v>1</v>
      </c>
      <c r="AA478" s="156">
        <v>8390.977733491969</v>
      </c>
      <c r="AF478" s="48">
        <v>0</v>
      </c>
      <c r="AG478" s="49" t="s">
        <v>32</v>
      </c>
      <c r="AH478" s="48">
        <v>1</v>
      </c>
      <c r="AI478" s="48" t="s">
        <v>33</v>
      </c>
      <c r="AJ478" s="48" t="s">
        <v>33</v>
      </c>
      <c r="AK478" s="48" t="s">
        <v>33</v>
      </c>
      <c r="AL478" s="48" t="s">
        <v>34</v>
      </c>
      <c r="AN478" s="48">
        <v>0</v>
      </c>
      <c r="AO478" s="48">
        <v>0</v>
      </c>
      <c r="AP478" s="48">
        <v>0</v>
      </c>
      <c r="AQ478" s="48">
        <v>0</v>
      </c>
      <c r="AR478" s="48">
        <v>0</v>
      </c>
      <c r="AS478" s="48">
        <v>0</v>
      </c>
      <c r="AT478" s="48">
        <v>0</v>
      </c>
      <c r="AU478" s="48">
        <v>0</v>
      </c>
      <c r="AV478" s="48">
        <v>0</v>
      </c>
      <c r="AW478" s="48">
        <v>0</v>
      </c>
      <c r="AX478" s="48">
        <v>0</v>
      </c>
      <c r="AY478" s="48">
        <v>0</v>
      </c>
      <c r="AZ478" s="48">
        <v>0</v>
      </c>
      <c r="BA478" s="48">
        <v>0</v>
      </c>
      <c r="BB478" s="48">
        <v>0</v>
      </c>
    </row>
    <row r="479" spans="1:54" x14ac:dyDescent="0.35">
      <c r="A479" s="49">
        <v>45930</v>
      </c>
      <c r="B479" s="48">
        <v>1</v>
      </c>
      <c r="C479" s="50" t="s">
        <v>32</v>
      </c>
      <c r="D479" s="48" t="s">
        <v>31</v>
      </c>
      <c r="E479" s="48" t="s">
        <v>138</v>
      </c>
      <c r="F479" s="48" t="s">
        <v>139</v>
      </c>
      <c r="G479" s="49" t="s">
        <v>59</v>
      </c>
      <c r="H479" s="48" t="s">
        <v>160</v>
      </c>
      <c r="I479" s="48">
        <v>1</v>
      </c>
      <c r="J479" s="48">
        <v>71</v>
      </c>
      <c r="K479" s="48">
        <v>1</v>
      </c>
      <c r="N479" s="48">
        <v>0</v>
      </c>
      <c r="R479" s="49"/>
      <c r="S479" s="49"/>
      <c r="T479" s="49">
        <v>48091</v>
      </c>
      <c r="U479" s="49">
        <v>48091</v>
      </c>
      <c r="V479" s="49">
        <v>48091</v>
      </c>
      <c r="W479" s="49">
        <v>48091</v>
      </c>
      <c r="X479" s="48">
        <v>1</v>
      </c>
      <c r="Y479" s="48">
        <v>1</v>
      </c>
      <c r="Z479" s="48">
        <v>1</v>
      </c>
      <c r="AA479" s="156">
        <v>8390.977733491969</v>
      </c>
      <c r="AF479" s="48">
        <v>0</v>
      </c>
      <c r="AG479" s="49" t="s">
        <v>32</v>
      </c>
      <c r="AH479" s="48">
        <v>1</v>
      </c>
      <c r="AI479" s="48" t="s">
        <v>33</v>
      </c>
      <c r="AJ479" s="48" t="s">
        <v>33</v>
      </c>
      <c r="AK479" s="48" t="s">
        <v>33</v>
      </c>
      <c r="AL479" s="48" t="s">
        <v>34</v>
      </c>
      <c r="AN479" s="48">
        <v>0</v>
      </c>
      <c r="AO479" s="48">
        <v>0</v>
      </c>
      <c r="AP479" s="48">
        <v>0</v>
      </c>
      <c r="AQ479" s="48">
        <v>0</v>
      </c>
      <c r="AR479" s="48">
        <v>0</v>
      </c>
      <c r="AS479" s="48">
        <v>0</v>
      </c>
      <c r="AT479" s="48">
        <v>0</v>
      </c>
      <c r="AU479" s="48">
        <v>0</v>
      </c>
      <c r="AV479" s="48">
        <v>0</v>
      </c>
      <c r="AW479" s="48">
        <v>0</v>
      </c>
      <c r="AX479" s="48">
        <v>0</v>
      </c>
      <c r="AY479" s="48">
        <v>0</v>
      </c>
      <c r="AZ479" s="48">
        <v>0</v>
      </c>
      <c r="BA479" s="48">
        <v>0</v>
      </c>
      <c r="BB479" s="48">
        <v>0</v>
      </c>
    </row>
    <row r="480" spans="1:54" x14ac:dyDescent="0.35">
      <c r="A480" s="49">
        <v>45930</v>
      </c>
      <c r="B480" s="48">
        <v>1</v>
      </c>
      <c r="C480" s="50" t="s">
        <v>32</v>
      </c>
      <c r="D480" s="48" t="s">
        <v>31</v>
      </c>
      <c r="E480" s="48" t="s">
        <v>138</v>
      </c>
      <c r="F480" s="48" t="s">
        <v>139</v>
      </c>
      <c r="G480" s="49" t="s">
        <v>59</v>
      </c>
      <c r="H480" s="48" t="s">
        <v>160</v>
      </c>
      <c r="I480" s="48">
        <v>1</v>
      </c>
      <c r="J480" s="48">
        <v>72</v>
      </c>
      <c r="K480" s="48">
        <v>1</v>
      </c>
      <c r="N480" s="48">
        <v>0</v>
      </c>
      <c r="R480" s="49"/>
      <c r="S480" s="49"/>
      <c r="T480" s="49">
        <v>48121</v>
      </c>
      <c r="U480" s="49">
        <v>48121</v>
      </c>
      <c r="V480" s="49">
        <v>48121</v>
      </c>
      <c r="W480" s="49">
        <v>48121</v>
      </c>
      <c r="X480" s="48">
        <v>1</v>
      </c>
      <c r="Y480" s="48">
        <v>1</v>
      </c>
      <c r="Z480" s="48">
        <v>1</v>
      </c>
      <c r="AA480" s="156">
        <v>8390.977733491969</v>
      </c>
      <c r="AF480" s="48">
        <v>0</v>
      </c>
      <c r="AG480" s="49" t="s">
        <v>32</v>
      </c>
      <c r="AH480" s="48">
        <v>1</v>
      </c>
      <c r="AI480" s="48" t="s">
        <v>33</v>
      </c>
      <c r="AJ480" s="48" t="s">
        <v>33</v>
      </c>
      <c r="AK480" s="48" t="s">
        <v>33</v>
      </c>
      <c r="AL480" s="48" t="s">
        <v>34</v>
      </c>
      <c r="AN480" s="48">
        <v>0</v>
      </c>
      <c r="AO480" s="48">
        <v>0</v>
      </c>
      <c r="AP480" s="48">
        <v>0</v>
      </c>
      <c r="AQ480" s="48">
        <v>0</v>
      </c>
      <c r="AR480" s="48">
        <v>0</v>
      </c>
      <c r="AS480" s="48">
        <v>0</v>
      </c>
      <c r="AT480" s="48">
        <v>0</v>
      </c>
      <c r="AU480" s="48">
        <v>0</v>
      </c>
      <c r="AV480" s="48">
        <v>0</v>
      </c>
      <c r="AW480" s="48">
        <v>0</v>
      </c>
      <c r="AX480" s="48">
        <v>0</v>
      </c>
      <c r="AY480" s="48">
        <v>0</v>
      </c>
      <c r="AZ480" s="48">
        <v>0</v>
      </c>
      <c r="BA480" s="48">
        <v>0</v>
      </c>
      <c r="BB480" s="48">
        <v>0</v>
      </c>
    </row>
    <row r="481" spans="1:54" x14ac:dyDescent="0.35">
      <c r="A481" s="49">
        <v>45930</v>
      </c>
      <c r="B481" s="48">
        <v>1</v>
      </c>
      <c r="C481" s="50" t="s">
        <v>32</v>
      </c>
      <c r="D481" s="48" t="s">
        <v>31</v>
      </c>
      <c r="E481" s="48" t="s">
        <v>138</v>
      </c>
      <c r="F481" s="48" t="s">
        <v>139</v>
      </c>
      <c r="G481" s="49" t="s">
        <v>59</v>
      </c>
      <c r="H481" s="48" t="s">
        <v>160</v>
      </c>
      <c r="I481" s="48">
        <v>1</v>
      </c>
      <c r="J481" s="48">
        <v>73</v>
      </c>
      <c r="K481" s="48">
        <v>1</v>
      </c>
      <c r="N481" s="48">
        <v>0</v>
      </c>
      <c r="R481" s="49"/>
      <c r="S481" s="49"/>
      <c r="T481" s="49">
        <v>48152</v>
      </c>
      <c r="U481" s="49">
        <v>48152</v>
      </c>
      <c r="V481" s="49">
        <v>48152</v>
      </c>
      <c r="W481" s="49">
        <v>48152</v>
      </c>
      <c r="X481" s="48">
        <v>1</v>
      </c>
      <c r="Y481" s="48">
        <v>1</v>
      </c>
      <c r="Z481" s="48">
        <v>1</v>
      </c>
      <c r="AA481" s="156">
        <v>8390.977733491969</v>
      </c>
      <c r="AF481" s="48">
        <v>0</v>
      </c>
      <c r="AG481" s="49" t="s">
        <v>32</v>
      </c>
      <c r="AH481" s="48">
        <v>1</v>
      </c>
      <c r="AI481" s="48" t="s">
        <v>33</v>
      </c>
      <c r="AJ481" s="48" t="s">
        <v>33</v>
      </c>
      <c r="AK481" s="48" t="s">
        <v>33</v>
      </c>
      <c r="AL481" s="48" t="s">
        <v>34</v>
      </c>
      <c r="AN481" s="48">
        <v>0</v>
      </c>
      <c r="AO481" s="48">
        <v>0</v>
      </c>
      <c r="AP481" s="48">
        <v>0</v>
      </c>
      <c r="AQ481" s="48">
        <v>0</v>
      </c>
      <c r="AR481" s="48">
        <v>0</v>
      </c>
      <c r="AS481" s="48">
        <v>0</v>
      </c>
      <c r="AT481" s="48">
        <v>0</v>
      </c>
      <c r="AU481" s="48">
        <v>0</v>
      </c>
      <c r="AV481" s="48">
        <v>0</v>
      </c>
      <c r="AW481" s="48">
        <v>0</v>
      </c>
      <c r="AX481" s="48">
        <v>0</v>
      </c>
      <c r="AY481" s="48">
        <v>0</v>
      </c>
      <c r="AZ481" s="48">
        <v>0</v>
      </c>
      <c r="BA481" s="48">
        <v>0</v>
      </c>
      <c r="BB481" s="48">
        <v>0</v>
      </c>
    </row>
    <row r="482" spans="1:54" x14ac:dyDescent="0.35">
      <c r="A482" s="49">
        <v>45930</v>
      </c>
      <c r="B482" s="48">
        <v>1</v>
      </c>
      <c r="C482" s="50" t="s">
        <v>32</v>
      </c>
      <c r="D482" s="48" t="s">
        <v>31</v>
      </c>
      <c r="E482" s="48" t="s">
        <v>138</v>
      </c>
      <c r="F482" s="48" t="s">
        <v>139</v>
      </c>
      <c r="G482" s="49" t="s">
        <v>59</v>
      </c>
      <c r="H482" s="48" t="s">
        <v>160</v>
      </c>
      <c r="I482" s="48">
        <v>1</v>
      </c>
      <c r="J482" s="48">
        <v>74</v>
      </c>
      <c r="K482" s="48">
        <v>1</v>
      </c>
      <c r="N482" s="48">
        <v>0</v>
      </c>
      <c r="R482" s="49"/>
      <c r="S482" s="49"/>
      <c r="T482" s="49">
        <v>48182</v>
      </c>
      <c r="U482" s="49">
        <v>48182</v>
      </c>
      <c r="V482" s="49">
        <v>48182</v>
      </c>
      <c r="W482" s="49">
        <v>48182</v>
      </c>
      <c r="X482" s="48">
        <v>1</v>
      </c>
      <c r="Y482" s="48">
        <v>1</v>
      </c>
      <c r="Z482" s="48">
        <v>1</v>
      </c>
      <c r="AA482" s="156">
        <v>8390.977733491969</v>
      </c>
      <c r="AF482" s="48">
        <v>0</v>
      </c>
      <c r="AG482" s="49" t="s">
        <v>32</v>
      </c>
      <c r="AH482" s="48">
        <v>1</v>
      </c>
      <c r="AI482" s="48" t="s">
        <v>33</v>
      </c>
      <c r="AJ482" s="48" t="s">
        <v>33</v>
      </c>
      <c r="AK482" s="48" t="s">
        <v>33</v>
      </c>
      <c r="AL482" s="48" t="s">
        <v>34</v>
      </c>
      <c r="AN482" s="48">
        <v>0</v>
      </c>
      <c r="AO482" s="48">
        <v>0</v>
      </c>
      <c r="AP482" s="48">
        <v>0</v>
      </c>
      <c r="AQ482" s="48">
        <v>0</v>
      </c>
      <c r="AR482" s="48">
        <v>0</v>
      </c>
      <c r="AS482" s="48">
        <v>0</v>
      </c>
      <c r="AT482" s="48">
        <v>0</v>
      </c>
      <c r="AU482" s="48">
        <v>0</v>
      </c>
      <c r="AV482" s="48">
        <v>0</v>
      </c>
      <c r="AW482" s="48">
        <v>0</v>
      </c>
      <c r="AX482" s="48">
        <v>0</v>
      </c>
      <c r="AY482" s="48">
        <v>0</v>
      </c>
      <c r="AZ482" s="48">
        <v>0</v>
      </c>
      <c r="BA482" s="48">
        <v>0</v>
      </c>
      <c r="BB482" s="48">
        <v>0</v>
      </c>
    </row>
    <row r="483" spans="1:54" x14ac:dyDescent="0.35">
      <c r="A483" s="49">
        <v>45930</v>
      </c>
      <c r="B483" s="48">
        <v>1</v>
      </c>
      <c r="C483" s="50" t="s">
        <v>32</v>
      </c>
      <c r="D483" s="48" t="s">
        <v>31</v>
      </c>
      <c r="E483" s="48" t="s">
        <v>138</v>
      </c>
      <c r="F483" s="48" t="s">
        <v>139</v>
      </c>
      <c r="G483" s="49" t="s">
        <v>59</v>
      </c>
      <c r="H483" s="48" t="s">
        <v>160</v>
      </c>
      <c r="I483" s="48">
        <v>1</v>
      </c>
      <c r="J483" s="48">
        <v>75</v>
      </c>
      <c r="K483" s="48">
        <v>1</v>
      </c>
      <c r="N483" s="48">
        <v>0</v>
      </c>
      <c r="R483" s="49"/>
      <c r="S483" s="49"/>
      <c r="T483" s="49">
        <v>48213</v>
      </c>
      <c r="U483" s="49">
        <v>48213</v>
      </c>
      <c r="V483" s="49">
        <v>48213</v>
      </c>
      <c r="W483" s="49">
        <v>48213</v>
      </c>
      <c r="X483" s="48">
        <v>1</v>
      </c>
      <c r="Y483" s="48">
        <v>1</v>
      </c>
      <c r="Z483" s="48">
        <v>1</v>
      </c>
      <c r="AA483" s="156">
        <v>8390.977733491969</v>
      </c>
      <c r="AF483" s="48">
        <v>0</v>
      </c>
      <c r="AG483" s="49" t="s">
        <v>32</v>
      </c>
      <c r="AH483" s="48">
        <v>1</v>
      </c>
      <c r="AI483" s="48" t="s">
        <v>33</v>
      </c>
      <c r="AJ483" s="48" t="s">
        <v>33</v>
      </c>
      <c r="AK483" s="48" t="s">
        <v>33</v>
      </c>
      <c r="AL483" s="48" t="s">
        <v>34</v>
      </c>
      <c r="AN483" s="48">
        <v>0</v>
      </c>
      <c r="AO483" s="48">
        <v>0</v>
      </c>
      <c r="AP483" s="48">
        <v>0</v>
      </c>
      <c r="AQ483" s="48">
        <v>0</v>
      </c>
      <c r="AR483" s="48">
        <v>0</v>
      </c>
      <c r="AS483" s="48">
        <v>0</v>
      </c>
      <c r="AT483" s="48">
        <v>0</v>
      </c>
      <c r="AU483" s="48">
        <v>0</v>
      </c>
      <c r="AV483" s="48">
        <v>0</v>
      </c>
      <c r="AW483" s="48">
        <v>0</v>
      </c>
      <c r="AX483" s="48">
        <v>0</v>
      </c>
      <c r="AY483" s="48">
        <v>0</v>
      </c>
      <c r="AZ483" s="48">
        <v>0</v>
      </c>
      <c r="BA483" s="48">
        <v>0</v>
      </c>
      <c r="BB483" s="48">
        <v>0</v>
      </c>
    </row>
    <row r="484" spans="1:54" x14ac:dyDescent="0.35">
      <c r="A484" s="49">
        <v>45930</v>
      </c>
      <c r="B484" s="48">
        <v>1</v>
      </c>
      <c r="C484" s="50" t="s">
        <v>32</v>
      </c>
      <c r="D484" s="48" t="s">
        <v>31</v>
      </c>
      <c r="E484" s="48" t="s">
        <v>138</v>
      </c>
      <c r="F484" s="48" t="s">
        <v>139</v>
      </c>
      <c r="G484" s="49" t="s">
        <v>59</v>
      </c>
      <c r="H484" s="48" t="s">
        <v>160</v>
      </c>
      <c r="I484" s="48">
        <v>1</v>
      </c>
      <c r="J484" s="48">
        <v>76</v>
      </c>
      <c r="K484" s="48">
        <v>1</v>
      </c>
      <c r="N484" s="48">
        <v>0</v>
      </c>
      <c r="R484" s="49"/>
      <c r="S484" s="49"/>
      <c r="T484" s="49">
        <v>48244</v>
      </c>
      <c r="U484" s="49">
        <v>48244</v>
      </c>
      <c r="V484" s="49">
        <v>48244</v>
      </c>
      <c r="W484" s="49">
        <v>48244</v>
      </c>
      <c r="X484" s="48">
        <v>1</v>
      </c>
      <c r="Y484" s="48">
        <v>1</v>
      </c>
      <c r="Z484" s="48">
        <v>1</v>
      </c>
      <c r="AA484" s="156">
        <v>8390.977733491969</v>
      </c>
      <c r="AF484" s="48">
        <v>0</v>
      </c>
      <c r="AG484" s="49" t="s">
        <v>32</v>
      </c>
      <c r="AH484" s="48">
        <v>1</v>
      </c>
      <c r="AI484" s="48" t="s">
        <v>33</v>
      </c>
      <c r="AJ484" s="48" t="s">
        <v>33</v>
      </c>
      <c r="AK484" s="48" t="s">
        <v>33</v>
      </c>
      <c r="AL484" s="48" t="s">
        <v>34</v>
      </c>
      <c r="AN484" s="48">
        <v>0</v>
      </c>
      <c r="AO484" s="48">
        <v>0</v>
      </c>
      <c r="AP484" s="48">
        <v>0</v>
      </c>
      <c r="AQ484" s="48">
        <v>0</v>
      </c>
      <c r="AR484" s="48">
        <v>0</v>
      </c>
      <c r="AS484" s="48">
        <v>0</v>
      </c>
      <c r="AT484" s="48">
        <v>0</v>
      </c>
      <c r="AU484" s="48">
        <v>0</v>
      </c>
      <c r="AV484" s="48">
        <v>0</v>
      </c>
      <c r="AW484" s="48">
        <v>0</v>
      </c>
      <c r="AX484" s="48">
        <v>0</v>
      </c>
      <c r="AY484" s="48">
        <v>0</v>
      </c>
      <c r="AZ484" s="48">
        <v>0</v>
      </c>
      <c r="BA484" s="48">
        <v>0</v>
      </c>
      <c r="BB484" s="48">
        <v>0</v>
      </c>
    </row>
    <row r="485" spans="1:54" x14ac:dyDescent="0.35">
      <c r="A485" s="49">
        <v>45930</v>
      </c>
      <c r="B485" s="48">
        <v>1</v>
      </c>
      <c r="C485" s="50" t="s">
        <v>32</v>
      </c>
      <c r="D485" s="48" t="s">
        <v>31</v>
      </c>
      <c r="E485" s="48" t="s">
        <v>138</v>
      </c>
      <c r="F485" s="48" t="s">
        <v>139</v>
      </c>
      <c r="G485" s="49" t="s">
        <v>59</v>
      </c>
      <c r="H485" s="48" t="s">
        <v>160</v>
      </c>
      <c r="I485" s="48">
        <v>1</v>
      </c>
      <c r="J485" s="48">
        <v>77</v>
      </c>
      <c r="K485" s="48">
        <v>1</v>
      </c>
      <c r="N485" s="48">
        <v>0</v>
      </c>
      <c r="R485" s="49"/>
      <c r="S485" s="49"/>
      <c r="T485" s="49">
        <v>48273</v>
      </c>
      <c r="U485" s="49">
        <v>48273</v>
      </c>
      <c r="V485" s="49">
        <v>48273</v>
      </c>
      <c r="W485" s="49">
        <v>48273</v>
      </c>
      <c r="X485" s="48">
        <v>1</v>
      </c>
      <c r="Y485" s="48">
        <v>1</v>
      </c>
      <c r="Z485" s="48">
        <v>1</v>
      </c>
      <c r="AA485" s="156">
        <v>8390.977733491969</v>
      </c>
      <c r="AF485" s="48">
        <v>0</v>
      </c>
      <c r="AG485" s="49" t="s">
        <v>32</v>
      </c>
      <c r="AH485" s="48">
        <v>1</v>
      </c>
      <c r="AI485" s="48" t="s">
        <v>33</v>
      </c>
      <c r="AJ485" s="48" t="s">
        <v>33</v>
      </c>
      <c r="AK485" s="48" t="s">
        <v>33</v>
      </c>
      <c r="AL485" s="48" t="s">
        <v>34</v>
      </c>
      <c r="AN485" s="48">
        <v>0</v>
      </c>
      <c r="AO485" s="48">
        <v>0</v>
      </c>
      <c r="AP485" s="48">
        <v>0</v>
      </c>
      <c r="AQ485" s="48">
        <v>0</v>
      </c>
      <c r="AR485" s="48">
        <v>0</v>
      </c>
      <c r="AS485" s="48">
        <v>0</v>
      </c>
      <c r="AT485" s="48">
        <v>0</v>
      </c>
      <c r="AU485" s="48">
        <v>0</v>
      </c>
      <c r="AV485" s="48">
        <v>0</v>
      </c>
      <c r="AW485" s="48">
        <v>0</v>
      </c>
      <c r="AX485" s="48">
        <v>0</v>
      </c>
      <c r="AY485" s="48">
        <v>0</v>
      </c>
      <c r="AZ485" s="48">
        <v>0</v>
      </c>
      <c r="BA485" s="48">
        <v>0</v>
      </c>
      <c r="BB485" s="48">
        <v>0</v>
      </c>
    </row>
    <row r="486" spans="1:54" x14ac:dyDescent="0.35">
      <c r="A486" s="49">
        <v>45930</v>
      </c>
      <c r="B486" s="48">
        <v>1</v>
      </c>
      <c r="C486" s="50" t="s">
        <v>32</v>
      </c>
      <c r="D486" s="48" t="s">
        <v>31</v>
      </c>
      <c r="E486" s="48" t="s">
        <v>138</v>
      </c>
      <c r="F486" s="48" t="s">
        <v>139</v>
      </c>
      <c r="G486" s="49" t="s">
        <v>59</v>
      </c>
      <c r="H486" s="48" t="s">
        <v>160</v>
      </c>
      <c r="I486" s="48">
        <v>1</v>
      </c>
      <c r="J486" s="48">
        <v>78</v>
      </c>
      <c r="K486" s="48">
        <v>1</v>
      </c>
      <c r="N486" s="48">
        <v>0</v>
      </c>
      <c r="R486" s="49"/>
      <c r="S486" s="49"/>
      <c r="T486" s="49">
        <v>48304</v>
      </c>
      <c r="U486" s="49">
        <v>48304</v>
      </c>
      <c r="V486" s="49">
        <v>48304</v>
      </c>
      <c r="W486" s="49">
        <v>48304</v>
      </c>
      <c r="X486" s="48">
        <v>1</v>
      </c>
      <c r="Y486" s="48">
        <v>1</v>
      </c>
      <c r="Z486" s="48">
        <v>1</v>
      </c>
      <c r="AA486" s="156">
        <v>8390.977733491969</v>
      </c>
      <c r="AF486" s="48">
        <v>0</v>
      </c>
      <c r="AG486" s="49" t="s">
        <v>32</v>
      </c>
      <c r="AH486" s="48">
        <v>1</v>
      </c>
      <c r="AI486" s="48" t="s">
        <v>33</v>
      </c>
      <c r="AJ486" s="48" t="s">
        <v>33</v>
      </c>
      <c r="AK486" s="48" t="s">
        <v>33</v>
      </c>
      <c r="AL486" s="48" t="s">
        <v>34</v>
      </c>
      <c r="AN486" s="48">
        <v>0</v>
      </c>
      <c r="AO486" s="48">
        <v>0</v>
      </c>
      <c r="AP486" s="48">
        <v>0</v>
      </c>
      <c r="AQ486" s="48">
        <v>0</v>
      </c>
      <c r="AR486" s="48">
        <v>0</v>
      </c>
      <c r="AS486" s="48">
        <v>0</v>
      </c>
      <c r="AT486" s="48">
        <v>0</v>
      </c>
      <c r="AU486" s="48">
        <v>0</v>
      </c>
      <c r="AV486" s="48">
        <v>0</v>
      </c>
      <c r="AW486" s="48">
        <v>0</v>
      </c>
      <c r="AX486" s="48">
        <v>0</v>
      </c>
      <c r="AY486" s="48">
        <v>0</v>
      </c>
      <c r="AZ486" s="48">
        <v>0</v>
      </c>
      <c r="BA486" s="48">
        <v>0</v>
      </c>
      <c r="BB486" s="48">
        <v>0</v>
      </c>
    </row>
    <row r="487" spans="1:54" x14ac:dyDescent="0.35">
      <c r="A487" s="49">
        <v>45930</v>
      </c>
      <c r="B487" s="48">
        <v>1</v>
      </c>
      <c r="C487" s="50" t="s">
        <v>32</v>
      </c>
      <c r="D487" s="48" t="s">
        <v>31</v>
      </c>
      <c r="E487" s="48" t="s">
        <v>138</v>
      </c>
      <c r="F487" s="48" t="s">
        <v>139</v>
      </c>
      <c r="G487" s="49" t="s">
        <v>59</v>
      </c>
      <c r="H487" s="48" t="s">
        <v>160</v>
      </c>
      <c r="I487" s="48">
        <v>1</v>
      </c>
      <c r="J487" s="48">
        <v>79</v>
      </c>
      <c r="K487" s="48">
        <v>1</v>
      </c>
      <c r="N487" s="48">
        <v>0</v>
      </c>
      <c r="R487" s="49"/>
      <c r="S487" s="49"/>
      <c r="T487" s="49">
        <v>48334</v>
      </c>
      <c r="U487" s="49">
        <v>48334</v>
      </c>
      <c r="V487" s="49">
        <v>48334</v>
      </c>
      <c r="W487" s="49">
        <v>48334</v>
      </c>
      <c r="X487" s="48">
        <v>1</v>
      </c>
      <c r="Y487" s="48">
        <v>1</v>
      </c>
      <c r="Z487" s="48">
        <v>1</v>
      </c>
      <c r="AA487" s="156">
        <v>8390.977733491969</v>
      </c>
      <c r="AF487" s="48">
        <v>0</v>
      </c>
      <c r="AG487" s="49" t="s">
        <v>32</v>
      </c>
      <c r="AH487" s="48">
        <v>1</v>
      </c>
      <c r="AI487" s="48" t="s">
        <v>33</v>
      </c>
      <c r="AJ487" s="48" t="s">
        <v>33</v>
      </c>
      <c r="AK487" s="48" t="s">
        <v>33</v>
      </c>
      <c r="AL487" s="48" t="s">
        <v>34</v>
      </c>
      <c r="AN487" s="48">
        <v>0</v>
      </c>
      <c r="AO487" s="48">
        <v>0</v>
      </c>
      <c r="AP487" s="48">
        <v>0</v>
      </c>
      <c r="AQ487" s="48">
        <v>0</v>
      </c>
      <c r="AR487" s="48">
        <v>0</v>
      </c>
      <c r="AS487" s="48">
        <v>0</v>
      </c>
      <c r="AT487" s="48">
        <v>0</v>
      </c>
      <c r="AU487" s="48">
        <v>0</v>
      </c>
      <c r="AV487" s="48">
        <v>0</v>
      </c>
      <c r="AW487" s="48">
        <v>0</v>
      </c>
      <c r="AX487" s="48">
        <v>0</v>
      </c>
      <c r="AY487" s="48">
        <v>0</v>
      </c>
      <c r="AZ487" s="48">
        <v>0</v>
      </c>
      <c r="BA487" s="48">
        <v>0</v>
      </c>
      <c r="BB487" s="48">
        <v>0</v>
      </c>
    </row>
    <row r="488" spans="1:54" x14ac:dyDescent="0.35">
      <c r="A488" s="49">
        <v>45930</v>
      </c>
      <c r="B488" s="48">
        <v>1</v>
      </c>
      <c r="C488" s="50" t="s">
        <v>32</v>
      </c>
      <c r="D488" s="48" t="s">
        <v>31</v>
      </c>
      <c r="E488" s="48" t="s">
        <v>138</v>
      </c>
      <c r="F488" s="48" t="s">
        <v>139</v>
      </c>
      <c r="G488" s="49" t="s">
        <v>59</v>
      </c>
      <c r="H488" s="48" t="s">
        <v>160</v>
      </c>
      <c r="I488" s="48">
        <v>1</v>
      </c>
      <c r="J488" s="48">
        <v>80</v>
      </c>
      <c r="K488" s="48">
        <v>1</v>
      </c>
      <c r="N488" s="48">
        <v>0</v>
      </c>
      <c r="R488" s="49"/>
      <c r="S488" s="49"/>
      <c r="T488" s="49">
        <v>48365</v>
      </c>
      <c r="U488" s="49">
        <v>48365</v>
      </c>
      <c r="V488" s="49">
        <v>48365</v>
      </c>
      <c r="W488" s="49">
        <v>48365</v>
      </c>
      <c r="X488" s="48">
        <v>1</v>
      </c>
      <c r="Y488" s="48">
        <v>1</v>
      </c>
      <c r="Z488" s="48">
        <v>1</v>
      </c>
      <c r="AA488" s="156">
        <v>8390.977733491969</v>
      </c>
      <c r="AF488" s="48">
        <v>0</v>
      </c>
      <c r="AG488" s="49" t="s">
        <v>32</v>
      </c>
      <c r="AH488" s="48">
        <v>1</v>
      </c>
      <c r="AI488" s="48" t="s">
        <v>33</v>
      </c>
      <c r="AJ488" s="48" t="s">
        <v>33</v>
      </c>
      <c r="AK488" s="48" t="s">
        <v>33</v>
      </c>
      <c r="AL488" s="48" t="s">
        <v>34</v>
      </c>
      <c r="AN488" s="48">
        <v>0</v>
      </c>
      <c r="AO488" s="48">
        <v>0</v>
      </c>
      <c r="AP488" s="48">
        <v>0</v>
      </c>
      <c r="AQ488" s="48">
        <v>0</v>
      </c>
      <c r="AR488" s="48">
        <v>0</v>
      </c>
      <c r="AS488" s="48">
        <v>0</v>
      </c>
      <c r="AT488" s="48">
        <v>0</v>
      </c>
      <c r="AU488" s="48">
        <v>0</v>
      </c>
      <c r="AV488" s="48">
        <v>0</v>
      </c>
      <c r="AW488" s="48">
        <v>0</v>
      </c>
      <c r="AX488" s="48">
        <v>0</v>
      </c>
      <c r="AY488" s="48">
        <v>0</v>
      </c>
      <c r="AZ488" s="48">
        <v>0</v>
      </c>
      <c r="BA488" s="48">
        <v>0</v>
      </c>
      <c r="BB488" s="48">
        <v>0</v>
      </c>
    </row>
    <row r="489" spans="1:54" x14ac:dyDescent="0.35">
      <c r="A489" s="49">
        <v>45930</v>
      </c>
      <c r="B489" s="48">
        <v>1</v>
      </c>
      <c r="C489" s="50" t="s">
        <v>32</v>
      </c>
      <c r="D489" s="48" t="s">
        <v>31</v>
      </c>
      <c r="E489" s="48" t="s">
        <v>138</v>
      </c>
      <c r="F489" s="48" t="s">
        <v>139</v>
      </c>
      <c r="G489" s="49" t="s">
        <v>59</v>
      </c>
      <c r="H489" s="48" t="s">
        <v>160</v>
      </c>
      <c r="I489" s="48">
        <v>1</v>
      </c>
      <c r="J489" s="48">
        <v>81</v>
      </c>
      <c r="K489" s="48">
        <v>1</v>
      </c>
      <c r="N489" s="48">
        <v>0</v>
      </c>
      <c r="R489" s="49"/>
      <c r="S489" s="49"/>
      <c r="T489" s="49">
        <v>48395</v>
      </c>
      <c r="U489" s="49">
        <v>48395</v>
      </c>
      <c r="V489" s="49">
        <v>48395</v>
      </c>
      <c r="W489" s="49">
        <v>48395</v>
      </c>
      <c r="X489" s="48">
        <v>1</v>
      </c>
      <c r="Y489" s="48">
        <v>1</v>
      </c>
      <c r="Z489" s="48">
        <v>1</v>
      </c>
      <c r="AA489" s="156">
        <v>8390.977733491969</v>
      </c>
      <c r="AF489" s="48">
        <v>0</v>
      </c>
      <c r="AG489" s="49" t="s">
        <v>32</v>
      </c>
      <c r="AH489" s="48">
        <v>1</v>
      </c>
      <c r="AI489" s="48" t="s">
        <v>33</v>
      </c>
      <c r="AJ489" s="48" t="s">
        <v>33</v>
      </c>
      <c r="AK489" s="48" t="s">
        <v>33</v>
      </c>
      <c r="AL489" s="48" t="s">
        <v>34</v>
      </c>
      <c r="AN489" s="48">
        <v>0</v>
      </c>
      <c r="AO489" s="48">
        <v>0</v>
      </c>
      <c r="AP489" s="48">
        <v>0</v>
      </c>
      <c r="AQ489" s="48">
        <v>0</v>
      </c>
      <c r="AR489" s="48">
        <v>0</v>
      </c>
      <c r="AS489" s="48">
        <v>0</v>
      </c>
      <c r="AT489" s="48">
        <v>0</v>
      </c>
      <c r="AU489" s="48">
        <v>0</v>
      </c>
      <c r="AV489" s="48">
        <v>0</v>
      </c>
      <c r="AW489" s="48">
        <v>0</v>
      </c>
      <c r="AX489" s="48">
        <v>0</v>
      </c>
      <c r="AY489" s="48">
        <v>0</v>
      </c>
      <c r="AZ489" s="48">
        <v>0</v>
      </c>
      <c r="BA489" s="48">
        <v>0</v>
      </c>
      <c r="BB489" s="48">
        <v>0</v>
      </c>
    </row>
    <row r="490" spans="1:54" x14ac:dyDescent="0.35">
      <c r="A490" s="49">
        <v>45930</v>
      </c>
      <c r="B490" s="48">
        <v>1</v>
      </c>
      <c r="C490" s="50" t="s">
        <v>32</v>
      </c>
      <c r="D490" s="48" t="s">
        <v>31</v>
      </c>
      <c r="E490" s="48" t="s">
        <v>138</v>
      </c>
      <c r="F490" s="48" t="s">
        <v>139</v>
      </c>
      <c r="G490" s="49" t="s">
        <v>59</v>
      </c>
      <c r="H490" s="48" t="s">
        <v>160</v>
      </c>
      <c r="I490" s="48">
        <v>1</v>
      </c>
      <c r="J490" s="48">
        <v>82</v>
      </c>
      <c r="K490" s="48">
        <v>1</v>
      </c>
      <c r="N490" s="48">
        <v>0</v>
      </c>
      <c r="R490" s="49"/>
      <c r="S490" s="49"/>
      <c r="T490" s="49">
        <v>48426</v>
      </c>
      <c r="U490" s="49">
        <v>48426</v>
      </c>
      <c r="V490" s="49">
        <v>48426</v>
      </c>
      <c r="W490" s="49">
        <v>48426</v>
      </c>
      <c r="X490" s="48">
        <v>1</v>
      </c>
      <c r="Y490" s="48">
        <v>1</v>
      </c>
      <c r="Z490" s="48">
        <v>1</v>
      </c>
      <c r="AA490" s="156">
        <v>8390.977733491969</v>
      </c>
      <c r="AF490" s="48">
        <v>0</v>
      </c>
      <c r="AG490" s="49" t="s">
        <v>32</v>
      </c>
      <c r="AH490" s="48">
        <v>1</v>
      </c>
      <c r="AI490" s="48" t="s">
        <v>33</v>
      </c>
      <c r="AJ490" s="48" t="s">
        <v>33</v>
      </c>
      <c r="AK490" s="48" t="s">
        <v>33</v>
      </c>
      <c r="AL490" s="48" t="s">
        <v>34</v>
      </c>
      <c r="AN490" s="48">
        <v>0</v>
      </c>
      <c r="AO490" s="48">
        <v>0</v>
      </c>
      <c r="AP490" s="48">
        <v>0</v>
      </c>
      <c r="AQ490" s="48">
        <v>0</v>
      </c>
      <c r="AR490" s="48">
        <v>0</v>
      </c>
      <c r="AS490" s="48">
        <v>0</v>
      </c>
      <c r="AT490" s="48">
        <v>0</v>
      </c>
      <c r="AU490" s="48">
        <v>0</v>
      </c>
      <c r="AV490" s="48">
        <v>0</v>
      </c>
      <c r="AW490" s="48">
        <v>0</v>
      </c>
      <c r="AX490" s="48">
        <v>0</v>
      </c>
      <c r="AY490" s="48">
        <v>0</v>
      </c>
      <c r="AZ490" s="48">
        <v>0</v>
      </c>
      <c r="BA490" s="48">
        <v>0</v>
      </c>
      <c r="BB490" s="48">
        <v>0</v>
      </c>
    </row>
    <row r="491" spans="1:54" x14ac:dyDescent="0.35">
      <c r="A491" s="49">
        <v>45930</v>
      </c>
      <c r="B491" s="48">
        <v>1</v>
      </c>
      <c r="C491" s="50" t="s">
        <v>32</v>
      </c>
      <c r="D491" s="48" t="s">
        <v>31</v>
      </c>
      <c r="E491" s="48" t="s">
        <v>138</v>
      </c>
      <c r="F491" s="48" t="s">
        <v>139</v>
      </c>
      <c r="G491" s="49" t="s">
        <v>59</v>
      </c>
      <c r="H491" s="48" t="s">
        <v>160</v>
      </c>
      <c r="I491" s="48">
        <v>1</v>
      </c>
      <c r="J491" s="48">
        <v>83</v>
      </c>
      <c r="K491" s="48">
        <v>1</v>
      </c>
      <c r="N491" s="48">
        <v>0</v>
      </c>
      <c r="R491" s="49"/>
      <c r="S491" s="49"/>
      <c r="T491" s="49">
        <v>48457</v>
      </c>
      <c r="U491" s="49">
        <v>48457</v>
      </c>
      <c r="V491" s="49">
        <v>48457</v>
      </c>
      <c r="W491" s="49">
        <v>48457</v>
      </c>
      <c r="X491" s="48">
        <v>1</v>
      </c>
      <c r="Y491" s="48">
        <v>1</v>
      </c>
      <c r="Z491" s="48">
        <v>1</v>
      </c>
      <c r="AA491" s="156">
        <v>8390.977733491969</v>
      </c>
      <c r="AF491" s="48">
        <v>0</v>
      </c>
      <c r="AG491" s="49" t="s">
        <v>32</v>
      </c>
      <c r="AH491" s="48">
        <v>1</v>
      </c>
      <c r="AI491" s="48" t="s">
        <v>33</v>
      </c>
      <c r="AJ491" s="48" t="s">
        <v>33</v>
      </c>
      <c r="AK491" s="48" t="s">
        <v>33</v>
      </c>
      <c r="AL491" s="48" t="s">
        <v>34</v>
      </c>
      <c r="AN491" s="48">
        <v>0</v>
      </c>
      <c r="AO491" s="48">
        <v>0</v>
      </c>
      <c r="AP491" s="48">
        <v>0</v>
      </c>
      <c r="AQ491" s="48">
        <v>0</v>
      </c>
      <c r="AR491" s="48">
        <v>0</v>
      </c>
      <c r="AS491" s="48">
        <v>0</v>
      </c>
      <c r="AT491" s="48">
        <v>0</v>
      </c>
      <c r="AU491" s="48">
        <v>0</v>
      </c>
      <c r="AV491" s="48">
        <v>0</v>
      </c>
      <c r="AW491" s="48">
        <v>0</v>
      </c>
      <c r="AX491" s="48">
        <v>0</v>
      </c>
      <c r="AY491" s="48">
        <v>0</v>
      </c>
      <c r="AZ491" s="48">
        <v>0</v>
      </c>
      <c r="BA491" s="48">
        <v>0</v>
      </c>
      <c r="BB491" s="48">
        <v>0</v>
      </c>
    </row>
    <row r="492" spans="1:54" x14ac:dyDescent="0.35">
      <c r="A492" s="49">
        <v>45930</v>
      </c>
      <c r="B492" s="48">
        <v>1</v>
      </c>
      <c r="C492" s="50" t="s">
        <v>32</v>
      </c>
      <c r="D492" s="48" t="s">
        <v>31</v>
      </c>
      <c r="E492" s="48" t="s">
        <v>138</v>
      </c>
      <c r="F492" s="48" t="s">
        <v>139</v>
      </c>
      <c r="G492" s="49" t="s">
        <v>59</v>
      </c>
      <c r="H492" s="48" t="s">
        <v>160</v>
      </c>
      <c r="I492" s="48">
        <v>1</v>
      </c>
      <c r="J492" s="48">
        <v>84</v>
      </c>
      <c r="K492" s="48">
        <v>1</v>
      </c>
      <c r="N492" s="48">
        <v>0</v>
      </c>
      <c r="R492" s="49"/>
      <c r="S492" s="49"/>
      <c r="T492" s="49">
        <v>48487</v>
      </c>
      <c r="U492" s="49">
        <v>48487</v>
      </c>
      <c r="V492" s="49">
        <v>48487</v>
      </c>
      <c r="W492" s="49">
        <v>48487</v>
      </c>
      <c r="X492" s="48">
        <v>1</v>
      </c>
      <c r="Y492" s="48">
        <v>1</v>
      </c>
      <c r="Z492" s="48">
        <v>1</v>
      </c>
      <c r="AA492" s="156">
        <v>8390.977733491969</v>
      </c>
      <c r="AF492" s="48">
        <v>0</v>
      </c>
      <c r="AG492" s="49" t="s">
        <v>32</v>
      </c>
      <c r="AH492" s="48">
        <v>1</v>
      </c>
      <c r="AI492" s="48" t="s">
        <v>33</v>
      </c>
      <c r="AJ492" s="48" t="s">
        <v>33</v>
      </c>
      <c r="AK492" s="48" t="s">
        <v>33</v>
      </c>
      <c r="AL492" s="48" t="s">
        <v>34</v>
      </c>
      <c r="AN492" s="48">
        <v>0</v>
      </c>
      <c r="AO492" s="48">
        <v>0</v>
      </c>
      <c r="AP492" s="48">
        <v>0</v>
      </c>
      <c r="AQ492" s="48">
        <v>0</v>
      </c>
      <c r="AR492" s="48">
        <v>0</v>
      </c>
      <c r="AS492" s="48">
        <v>0</v>
      </c>
      <c r="AT492" s="48">
        <v>0</v>
      </c>
      <c r="AU492" s="48">
        <v>0</v>
      </c>
      <c r="AV492" s="48">
        <v>0</v>
      </c>
      <c r="AW492" s="48">
        <v>0</v>
      </c>
      <c r="AX492" s="48">
        <v>0</v>
      </c>
      <c r="AY492" s="48">
        <v>0</v>
      </c>
      <c r="AZ492" s="48">
        <v>0</v>
      </c>
      <c r="BA492" s="48">
        <v>0</v>
      </c>
      <c r="BB492" s="48">
        <v>0</v>
      </c>
    </row>
    <row r="493" spans="1:54" x14ac:dyDescent="0.35">
      <c r="A493" s="49">
        <v>45930</v>
      </c>
      <c r="B493" s="48">
        <v>1</v>
      </c>
      <c r="C493" s="50" t="s">
        <v>32</v>
      </c>
      <c r="D493" s="48" t="s">
        <v>31</v>
      </c>
      <c r="E493" s="48" t="s">
        <v>138</v>
      </c>
      <c r="F493" s="48" t="s">
        <v>139</v>
      </c>
      <c r="G493" s="49" t="s">
        <v>59</v>
      </c>
      <c r="H493" s="48" t="s">
        <v>160</v>
      </c>
      <c r="I493" s="48">
        <v>1</v>
      </c>
      <c r="J493" s="48">
        <v>85</v>
      </c>
      <c r="K493" s="48">
        <v>1</v>
      </c>
      <c r="N493" s="48">
        <v>0</v>
      </c>
      <c r="R493" s="49"/>
      <c r="S493" s="49"/>
      <c r="T493" s="49">
        <v>48518</v>
      </c>
      <c r="U493" s="49">
        <v>48518</v>
      </c>
      <c r="V493" s="49">
        <v>48518</v>
      </c>
      <c r="W493" s="49">
        <v>48518</v>
      </c>
      <c r="X493" s="48">
        <v>1</v>
      </c>
      <c r="Y493" s="48">
        <v>1</v>
      </c>
      <c r="Z493" s="48">
        <v>1</v>
      </c>
      <c r="AA493" s="156">
        <v>8390.977733491969</v>
      </c>
      <c r="AF493" s="48">
        <v>0</v>
      </c>
      <c r="AG493" s="49" t="s">
        <v>32</v>
      </c>
      <c r="AH493" s="48">
        <v>1</v>
      </c>
      <c r="AI493" s="48" t="s">
        <v>33</v>
      </c>
      <c r="AJ493" s="48" t="s">
        <v>33</v>
      </c>
      <c r="AK493" s="48" t="s">
        <v>33</v>
      </c>
      <c r="AL493" s="48" t="s">
        <v>34</v>
      </c>
      <c r="AN493" s="48">
        <v>0</v>
      </c>
      <c r="AO493" s="48">
        <v>0</v>
      </c>
      <c r="AP493" s="48">
        <v>0</v>
      </c>
      <c r="AQ493" s="48">
        <v>0</v>
      </c>
      <c r="AR493" s="48">
        <v>0</v>
      </c>
      <c r="AS493" s="48">
        <v>0</v>
      </c>
      <c r="AT493" s="48">
        <v>0</v>
      </c>
      <c r="AU493" s="48">
        <v>0</v>
      </c>
      <c r="AV493" s="48">
        <v>0</v>
      </c>
      <c r="AW493" s="48">
        <v>0</v>
      </c>
      <c r="AX493" s="48">
        <v>0</v>
      </c>
      <c r="AY493" s="48">
        <v>0</v>
      </c>
      <c r="AZ493" s="48">
        <v>0</v>
      </c>
      <c r="BA493" s="48">
        <v>0</v>
      </c>
      <c r="BB493" s="48">
        <v>0</v>
      </c>
    </row>
    <row r="494" spans="1:54" x14ac:dyDescent="0.35">
      <c r="A494" s="49">
        <v>45930</v>
      </c>
      <c r="B494" s="48">
        <v>1</v>
      </c>
      <c r="C494" s="50" t="s">
        <v>32</v>
      </c>
      <c r="D494" s="48" t="s">
        <v>31</v>
      </c>
      <c r="E494" s="48" t="s">
        <v>138</v>
      </c>
      <c r="F494" s="48" t="s">
        <v>139</v>
      </c>
      <c r="G494" s="49" t="s">
        <v>59</v>
      </c>
      <c r="H494" s="48" t="s">
        <v>160</v>
      </c>
      <c r="I494" s="48">
        <v>1</v>
      </c>
      <c r="J494" s="48">
        <v>86</v>
      </c>
      <c r="K494" s="48">
        <v>1</v>
      </c>
      <c r="N494" s="48">
        <v>0</v>
      </c>
      <c r="R494" s="49"/>
      <c r="S494" s="49"/>
      <c r="T494" s="49">
        <v>48548</v>
      </c>
      <c r="U494" s="49">
        <v>48548</v>
      </c>
      <c r="V494" s="49">
        <v>48548</v>
      </c>
      <c r="W494" s="49">
        <v>48548</v>
      </c>
      <c r="X494" s="48">
        <v>1</v>
      </c>
      <c r="Y494" s="48">
        <v>1</v>
      </c>
      <c r="Z494" s="48">
        <v>1</v>
      </c>
      <c r="AA494" s="156">
        <v>8390.977733491969</v>
      </c>
      <c r="AF494" s="48">
        <v>0</v>
      </c>
      <c r="AG494" s="49" t="s">
        <v>32</v>
      </c>
      <c r="AH494" s="48">
        <v>1</v>
      </c>
      <c r="AI494" s="48" t="s">
        <v>33</v>
      </c>
      <c r="AJ494" s="48" t="s">
        <v>33</v>
      </c>
      <c r="AK494" s="48" t="s">
        <v>33</v>
      </c>
      <c r="AL494" s="48" t="s">
        <v>34</v>
      </c>
      <c r="AN494" s="48">
        <v>0</v>
      </c>
      <c r="AO494" s="48">
        <v>0</v>
      </c>
      <c r="AP494" s="48">
        <v>0</v>
      </c>
      <c r="AQ494" s="48">
        <v>0</v>
      </c>
      <c r="AR494" s="48">
        <v>0</v>
      </c>
      <c r="AS494" s="48">
        <v>0</v>
      </c>
      <c r="AT494" s="48">
        <v>0</v>
      </c>
      <c r="AU494" s="48">
        <v>0</v>
      </c>
      <c r="AV494" s="48">
        <v>0</v>
      </c>
      <c r="AW494" s="48">
        <v>0</v>
      </c>
      <c r="AX494" s="48">
        <v>0</v>
      </c>
      <c r="AY494" s="48">
        <v>0</v>
      </c>
      <c r="AZ494" s="48">
        <v>0</v>
      </c>
      <c r="BA494" s="48">
        <v>0</v>
      </c>
      <c r="BB494" s="48">
        <v>0</v>
      </c>
    </row>
    <row r="495" spans="1:54" x14ac:dyDescent="0.35">
      <c r="A495" s="49">
        <v>45930</v>
      </c>
      <c r="B495" s="48">
        <v>1</v>
      </c>
      <c r="C495" s="50" t="s">
        <v>32</v>
      </c>
      <c r="D495" s="48" t="s">
        <v>31</v>
      </c>
      <c r="E495" s="48" t="s">
        <v>138</v>
      </c>
      <c r="F495" s="48" t="s">
        <v>139</v>
      </c>
      <c r="G495" s="49" t="s">
        <v>59</v>
      </c>
      <c r="H495" s="48" t="s">
        <v>160</v>
      </c>
      <c r="I495" s="48">
        <v>1</v>
      </c>
      <c r="J495" s="48">
        <v>87</v>
      </c>
      <c r="K495" s="48">
        <v>1</v>
      </c>
      <c r="N495" s="48">
        <v>0</v>
      </c>
      <c r="R495" s="49"/>
      <c r="S495" s="49"/>
      <c r="T495" s="49">
        <v>48579</v>
      </c>
      <c r="U495" s="49">
        <v>48579</v>
      </c>
      <c r="V495" s="49">
        <v>48579</v>
      </c>
      <c r="W495" s="49">
        <v>48579</v>
      </c>
      <c r="X495" s="48">
        <v>1</v>
      </c>
      <c r="Y495" s="48">
        <v>1</v>
      </c>
      <c r="Z495" s="48">
        <v>1</v>
      </c>
      <c r="AA495" s="156">
        <v>8390.977733491969</v>
      </c>
      <c r="AF495" s="48">
        <v>0</v>
      </c>
      <c r="AG495" s="49" t="s">
        <v>32</v>
      </c>
      <c r="AH495" s="48">
        <v>1</v>
      </c>
      <c r="AI495" s="48" t="s">
        <v>33</v>
      </c>
      <c r="AJ495" s="48" t="s">
        <v>33</v>
      </c>
      <c r="AK495" s="48" t="s">
        <v>33</v>
      </c>
      <c r="AL495" s="48" t="s">
        <v>34</v>
      </c>
      <c r="AN495" s="48">
        <v>0</v>
      </c>
      <c r="AO495" s="48">
        <v>0</v>
      </c>
      <c r="AP495" s="48">
        <v>0</v>
      </c>
      <c r="AQ495" s="48">
        <v>0</v>
      </c>
      <c r="AR495" s="48">
        <v>0</v>
      </c>
      <c r="AS495" s="48">
        <v>0</v>
      </c>
      <c r="AT495" s="48">
        <v>0</v>
      </c>
      <c r="AU495" s="48">
        <v>0</v>
      </c>
      <c r="AV495" s="48">
        <v>0</v>
      </c>
      <c r="AW495" s="48">
        <v>0</v>
      </c>
      <c r="AX495" s="48">
        <v>0</v>
      </c>
      <c r="AY495" s="48">
        <v>0</v>
      </c>
      <c r="AZ495" s="48">
        <v>0</v>
      </c>
      <c r="BA495" s="48">
        <v>0</v>
      </c>
      <c r="BB495" s="48">
        <v>0</v>
      </c>
    </row>
    <row r="496" spans="1:54" x14ac:dyDescent="0.35">
      <c r="A496" s="49">
        <v>45930</v>
      </c>
      <c r="B496" s="48">
        <v>1</v>
      </c>
      <c r="C496" s="50" t="s">
        <v>32</v>
      </c>
      <c r="D496" s="48" t="s">
        <v>31</v>
      </c>
      <c r="E496" s="48" t="s">
        <v>138</v>
      </c>
      <c r="F496" s="48" t="s">
        <v>139</v>
      </c>
      <c r="G496" s="49" t="s">
        <v>59</v>
      </c>
      <c r="H496" s="48" t="s">
        <v>160</v>
      </c>
      <c r="I496" s="48">
        <v>1</v>
      </c>
      <c r="J496" s="48">
        <v>88</v>
      </c>
      <c r="K496" s="48">
        <v>1</v>
      </c>
      <c r="N496" s="48">
        <v>0</v>
      </c>
      <c r="R496" s="49"/>
      <c r="S496" s="49"/>
      <c r="T496" s="49">
        <v>48610</v>
      </c>
      <c r="U496" s="49">
        <v>48610</v>
      </c>
      <c r="V496" s="49">
        <v>48610</v>
      </c>
      <c r="W496" s="49">
        <v>48610</v>
      </c>
      <c r="X496" s="48">
        <v>1</v>
      </c>
      <c r="Y496" s="48">
        <v>1</v>
      </c>
      <c r="Z496" s="48">
        <v>1</v>
      </c>
      <c r="AA496" s="156">
        <v>8390.977733491969</v>
      </c>
      <c r="AF496" s="48">
        <v>0</v>
      </c>
      <c r="AG496" s="49" t="s">
        <v>32</v>
      </c>
      <c r="AH496" s="48">
        <v>1</v>
      </c>
      <c r="AI496" s="48" t="s">
        <v>33</v>
      </c>
      <c r="AJ496" s="48" t="s">
        <v>33</v>
      </c>
      <c r="AK496" s="48" t="s">
        <v>33</v>
      </c>
      <c r="AL496" s="48" t="s">
        <v>34</v>
      </c>
      <c r="AN496" s="48">
        <v>0</v>
      </c>
      <c r="AO496" s="48">
        <v>0</v>
      </c>
      <c r="AP496" s="48">
        <v>0</v>
      </c>
      <c r="AQ496" s="48">
        <v>0</v>
      </c>
      <c r="AR496" s="48">
        <v>0</v>
      </c>
      <c r="AS496" s="48">
        <v>0</v>
      </c>
      <c r="AT496" s="48">
        <v>0</v>
      </c>
      <c r="AU496" s="48">
        <v>0</v>
      </c>
      <c r="AV496" s="48">
        <v>0</v>
      </c>
      <c r="AW496" s="48">
        <v>0</v>
      </c>
      <c r="AX496" s="48">
        <v>0</v>
      </c>
      <c r="AY496" s="48">
        <v>0</v>
      </c>
      <c r="AZ496" s="48">
        <v>0</v>
      </c>
      <c r="BA496" s="48">
        <v>0</v>
      </c>
      <c r="BB496" s="48">
        <v>0</v>
      </c>
    </row>
    <row r="497" spans="1:54" x14ac:dyDescent="0.35">
      <c r="A497" s="49">
        <v>45930</v>
      </c>
      <c r="B497" s="48">
        <v>1</v>
      </c>
      <c r="C497" s="50" t="s">
        <v>32</v>
      </c>
      <c r="D497" s="48" t="s">
        <v>31</v>
      </c>
      <c r="E497" s="48" t="s">
        <v>138</v>
      </c>
      <c r="F497" s="48" t="s">
        <v>139</v>
      </c>
      <c r="G497" s="49" t="s">
        <v>59</v>
      </c>
      <c r="H497" s="48" t="s">
        <v>160</v>
      </c>
      <c r="I497" s="48">
        <v>1</v>
      </c>
      <c r="J497" s="48">
        <v>89</v>
      </c>
      <c r="K497" s="48">
        <v>1</v>
      </c>
      <c r="N497" s="48">
        <v>0</v>
      </c>
      <c r="R497" s="49"/>
      <c r="S497" s="49"/>
      <c r="T497" s="49">
        <v>48638</v>
      </c>
      <c r="U497" s="49">
        <v>48638</v>
      </c>
      <c r="V497" s="49">
        <v>48638</v>
      </c>
      <c r="W497" s="49">
        <v>48638</v>
      </c>
      <c r="X497" s="48">
        <v>1</v>
      </c>
      <c r="Y497" s="48">
        <v>1</v>
      </c>
      <c r="Z497" s="48">
        <v>1</v>
      </c>
      <c r="AA497" s="156">
        <v>8390.977733491969</v>
      </c>
      <c r="AF497" s="48">
        <v>0</v>
      </c>
      <c r="AG497" s="49" t="s">
        <v>32</v>
      </c>
      <c r="AH497" s="48">
        <v>1</v>
      </c>
      <c r="AI497" s="48" t="s">
        <v>33</v>
      </c>
      <c r="AJ497" s="48" t="s">
        <v>33</v>
      </c>
      <c r="AK497" s="48" t="s">
        <v>33</v>
      </c>
      <c r="AL497" s="48" t="s">
        <v>34</v>
      </c>
      <c r="AN497" s="48">
        <v>0</v>
      </c>
      <c r="AO497" s="48">
        <v>0</v>
      </c>
      <c r="AP497" s="48">
        <v>0</v>
      </c>
      <c r="AQ497" s="48">
        <v>0</v>
      </c>
      <c r="AR497" s="48">
        <v>0</v>
      </c>
      <c r="AS497" s="48">
        <v>0</v>
      </c>
      <c r="AT497" s="48">
        <v>0</v>
      </c>
      <c r="AU497" s="48">
        <v>0</v>
      </c>
      <c r="AV497" s="48">
        <v>0</v>
      </c>
      <c r="AW497" s="48">
        <v>0</v>
      </c>
      <c r="AX497" s="48">
        <v>0</v>
      </c>
      <c r="AY497" s="48">
        <v>0</v>
      </c>
      <c r="AZ497" s="48">
        <v>0</v>
      </c>
      <c r="BA497" s="48">
        <v>0</v>
      </c>
      <c r="BB497" s="48">
        <v>0</v>
      </c>
    </row>
    <row r="498" spans="1:54" x14ac:dyDescent="0.35">
      <c r="A498" s="49">
        <v>45930</v>
      </c>
      <c r="B498" s="48">
        <v>1</v>
      </c>
      <c r="C498" s="50" t="s">
        <v>32</v>
      </c>
      <c r="D498" s="48" t="s">
        <v>31</v>
      </c>
      <c r="E498" s="48" t="s">
        <v>138</v>
      </c>
      <c r="F498" s="48" t="s">
        <v>139</v>
      </c>
      <c r="G498" s="49" t="s">
        <v>59</v>
      </c>
      <c r="H498" s="48" t="s">
        <v>160</v>
      </c>
      <c r="I498" s="48">
        <v>1</v>
      </c>
      <c r="J498" s="48">
        <v>90</v>
      </c>
      <c r="K498" s="48">
        <v>1</v>
      </c>
      <c r="N498" s="48">
        <v>0</v>
      </c>
      <c r="R498" s="49"/>
      <c r="S498" s="49"/>
      <c r="T498" s="49">
        <v>48669</v>
      </c>
      <c r="U498" s="49">
        <v>48669</v>
      </c>
      <c r="V498" s="49">
        <v>48669</v>
      </c>
      <c r="W498" s="49">
        <v>48669</v>
      </c>
      <c r="X498" s="48">
        <v>1</v>
      </c>
      <c r="Y498" s="48">
        <v>1</v>
      </c>
      <c r="Z498" s="48">
        <v>1</v>
      </c>
      <c r="AA498" s="156">
        <v>8390.977733491969</v>
      </c>
      <c r="AF498" s="48">
        <v>0</v>
      </c>
      <c r="AG498" s="49" t="s">
        <v>32</v>
      </c>
      <c r="AH498" s="48">
        <v>1</v>
      </c>
      <c r="AI498" s="48" t="s">
        <v>33</v>
      </c>
      <c r="AJ498" s="48" t="s">
        <v>33</v>
      </c>
      <c r="AK498" s="48" t="s">
        <v>33</v>
      </c>
      <c r="AL498" s="48" t="s">
        <v>34</v>
      </c>
      <c r="AN498" s="48">
        <v>0</v>
      </c>
      <c r="AO498" s="48">
        <v>0</v>
      </c>
      <c r="AP498" s="48">
        <v>0</v>
      </c>
      <c r="AQ498" s="48">
        <v>0</v>
      </c>
      <c r="AR498" s="48">
        <v>0</v>
      </c>
      <c r="AS498" s="48">
        <v>0</v>
      </c>
      <c r="AT498" s="48">
        <v>0</v>
      </c>
      <c r="AU498" s="48">
        <v>0</v>
      </c>
      <c r="AV498" s="48">
        <v>0</v>
      </c>
      <c r="AW498" s="48">
        <v>0</v>
      </c>
      <c r="AX498" s="48">
        <v>0</v>
      </c>
      <c r="AY498" s="48">
        <v>0</v>
      </c>
      <c r="AZ498" s="48">
        <v>0</v>
      </c>
      <c r="BA498" s="48">
        <v>0</v>
      </c>
      <c r="BB498" s="48">
        <v>0</v>
      </c>
    </row>
    <row r="499" spans="1:54" x14ac:dyDescent="0.35">
      <c r="A499" s="49">
        <v>45930</v>
      </c>
      <c r="B499" s="48">
        <v>1</v>
      </c>
      <c r="C499" s="50" t="s">
        <v>32</v>
      </c>
      <c r="D499" s="48" t="s">
        <v>31</v>
      </c>
      <c r="E499" s="48" t="s">
        <v>138</v>
      </c>
      <c r="F499" s="48" t="s">
        <v>139</v>
      </c>
      <c r="G499" s="49" t="s">
        <v>59</v>
      </c>
      <c r="H499" s="48" t="s">
        <v>160</v>
      </c>
      <c r="I499" s="48">
        <v>1</v>
      </c>
      <c r="J499" s="48">
        <v>91</v>
      </c>
      <c r="K499" s="48">
        <v>1</v>
      </c>
      <c r="N499" s="48">
        <v>0</v>
      </c>
      <c r="R499" s="49"/>
      <c r="S499" s="49"/>
      <c r="T499" s="49">
        <v>48699</v>
      </c>
      <c r="U499" s="49">
        <v>48699</v>
      </c>
      <c r="V499" s="49">
        <v>48699</v>
      </c>
      <c r="W499" s="49">
        <v>48699</v>
      </c>
      <c r="X499" s="48">
        <v>1</v>
      </c>
      <c r="Y499" s="48">
        <v>1</v>
      </c>
      <c r="Z499" s="48">
        <v>1</v>
      </c>
      <c r="AA499" s="156">
        <v>8390.977733491969</v>
      </c>
      <c r="AF499" s="48">
        <v>0</v>
      </c>
      <c r="AG499" s="49" t="s">
        <v>32</v>
      </c>
      <c r="AH499" s="48">
        <v>1</v>
      </c>
      <c r="AI499" s="48" t="s">
        <v>33</v>
      </c>
      <c r="AJ499" s="48" t="s">
        <v>33</v>
      </c>
      <c r="AK499" s="48" t="s">
        <v>33</v>
      </c>
      <c r="AL499" s="48" t="s">
        <v>34</v>
      </c>
      <c r="AN499" s="48">
        <v>0</v>
      </c>
      <c r="AO499" s="48">
        <v>0</v>
      </c>
      <c r="AP499" s="48">
        <v>0</v>
      </c>
      <c r="AQ499" s="48">
        <v>0</v>
      </c>
      <c r="AR499" s="48">
        <v>0</v>
      </c>
      <c r="AS499" s="48">
        <v>0</v>
      </c>
      <c r="AT499" s="48">
        <v>0</v>
      </c>
      <c r="AU499" s="48">
        <v>0</v>
      </c>
      <c r="AV499" s="48">
        <v>0</v>
      </c>
      <c r="AW499" s="48">
        <v>0</v>
      </c>
      <c r="AX499" s="48">
        <v>0</v>
      </c>
      <c r="AY499" s="48">
        <v>0</v>
      </c>
      <c r="AZ499" s="48">
        <v>0</v>
      </c>
      <c r="BA499" s="48">
        <v>0</v>
      </c>
      <c r="BB499" s="48">
        <v>0</v>
      </c>
    </row>
    <row r="500" spans="1:54" x14ac:dyDescent="0.35">
      <c r="A500" s="49">
        <v>45930</v>
      </c>
      <c r="B500" s="48">
        <v>1</v>
      </c>
      <c r="C500" s="50" t="s">
        <v>32</v>
      </c>
      <c r="D500" s="48" t="s">
        <v>31</v>
      </c>
      <c r="E500" s="48" t="s">
        <v>138</v>
      </c>
      <c r="F500" s="48" t="s">
        <v>139</v>
      </c>
      <c r="G500" s="49" t="s">
        <v>59</v>
      </c>
      <c r="H500" s="48" t="s">
        <v>160</v>
      </c>
      <c r="I500" s="48">
        <v>1</v>
      </c>
      <c r="J500" s="48">
        <v>92</v>
      </c>
      <c r="K500" s="48">
        <v>1</v>
      </c>
      <c r="N500" s="48">
        <v>0</v>
      </c>
      <c r="R500" s="49"/>
      <c r="S500" s="49"/>
      <c r="T500" s="49">
        <v>48730</v>
      </c>
      <c r="U500" s="49">
        <v>48730</v>
      </c>
      <c r="V500" s="49">
        <v>48730</v>
      </c>
      <c r="W500" s="49">
        <v>48730</v>
      </c>
      <c r="X500" s="48">
        <v>1</v>
      </c>
      <c r="Y500" s="48">
        <v>1</v>
      </c>
      <c r="Z500" s="48">
        <v>1</v>
      </c>
      <c r="AA500" s="156">
        <v>8390.977733491969</v>
      </c>
      <c r="AF500" s="48">
        <v>0</v>
      </c>
      <c r="AG500" s="49" t="s">
        <v>32</v>
      </c>
      <c r="AH500" s="48">
        <v>1</v>
      </c>
      <c r="AI500" s="48" t="s">
        <v>33</v>
      </c>
      <c r="AJ500" s="48" t="s">
        <v>33</v>
      </c>
      <c r="AK500" s="48" t="s">
        <v>33</v>
      </c>
      <c r="AL500" s="48" t="s">
        <v>34</v>
      </c>
      <c r="AN500" s="48">
        <v>0</v>
      </c>
      <c r="AO500" s="48">
        <v>0</v>
      </c>
      <c r="AP500" s="48">
        <v>0</v>
      </c>
      <c r="AQ500" s="48">
        <v>0</v>
      </c>
      <c r="AR500" s="48">
        <v>0</v>
      </c>
      <c r="AS500" s="48">
        <v>0</v>
      </c>
      <c r="AT500" s="48">
        <v>0</v>
      </c>
      <c r="AU500" s="48">
        <v>0</v>
      </c>
      <c r="AV500" s="48">
        <v>0</v>
      </c>
      <c r="AW500" s="48">
        <v>0</v>
      </c>
      <c r="AX500" s="48">
        <v>0</v>
      </c>
      <c r="AY500" s="48">
        <v>0</v>
      </c>
      <c r="AZ500" s="48">
        <v>0</v>
      </c>
      <c r="BA500" s="48">
        <v>0</v>
      </c>
      <c r="BB500" s="48">
        <v>0</v>
      </c>
    </row>
    <row r="501" spans="1:54" x14ac:dyDescent="0.35">
      <c r="A501" s="49">
        <v>45930</v>
      </c>
      <c r="B501" s="48">
        <v>1</v>
      </c>
      <c r="C501" s="50" t="s">
        <v>32</v>
      </c>
      <c r="D501" s="48" t="s">
        <v>31</v>
      </c>
      <c r="E501" s="48" t="s">
        <v>138</v>
      </c>
      <c r="F501" s="48" t="s">
        <v>139</v>
      </c>
      <c r="G501" s="49" t="s">
        <v>59</v>
      </c>
      <c r="H501" s="48" t="s">
        <v>160</v>
      </c>
      <c r="I501" s="48">
        <v>1</v>
      </c>
      <c r="J501" s="48">
        <v>93</v>
      </c>
      <c r="K501" s="48">
        <v>1</v>
      </c>
      <c r="N501" s="48">
        <v>0</v>
      </c>
      <c r="R501" s="49"/>
      <c r="S501" s="49"/>
      <c r="T501" s="49">
        <v>48760</v>
      </c>
      <c r="U501" s="49">
        <v>48760</v>
      </c>
      <c r="V501" s="49">
        <v>48760</v>
      </c>
      <c r="W501" s="49">
        <v>48760</v>
      </c>
      <c r="X501" s="48">
        <v>1</v>
      </c>
      <c r="Y501" s="48">
        <v>1</v>
      </c>
      <c r="Z501" s="48">
        <v>1</v>
      </c>
      <c r="AA501" s="156">
        <v>8390.977733491969</v>
      </c>
      <c r="AF501" s="48">
        <v>0</v>
      </c>
      <c r="AG501" s="49" t="s">
        <v>32</v>
      </c>
      <c r="AH501" s="48">
        <v>1</v>
      </c>
      <c r="AI501" s="48" t="s">
        <v>33</v>
      </c>
      <c r="AJ501" s="48" t="s">
        <v>33</v>
      </c>
      <c r="AK501" s="48" t="s">
        <v>33</v>
      </c>
      <c r="AL501" s="48" t="s">
        <v>34</v>
      </c>
      <c r="AN501" s="48">
        <v>0</v>
      </c>
      <c r="AO501" s="48">
        <v>0</v>
      </c>
      <c r="AP501" s="48">
        <v>0</v>
      </c>
      <c r="AQ501" s="48">
        <v>0</v>
      </c>
      <c r="AR501" s="48">
        <v>0</v>
      </c>
      <c r="AS501" s="48">
        <v>0</v>
      </c>
      <c r="AT501" s="48">
        <v>0</v>
      </c>
      <c r="AU501" s="48">
        <v>0</v>
      </c>
      <c r="AV501" s="48">
        <v>0</v>
      </c>
      <c r="AW501" s="48">
        <v>0</v>
      </c>
      <c r="AX501" s="48">
        <v>0</v>
      </c>
      <c r="AY501" s="48">
        <v>0</v>
      </c>
      <c r="AZ501" s="48">
        <v>0</v>
      </c>
      <c r="BA501" s="48">
        <v>0</v>
      </c>
      <c r="BB501" s="48">
        <v>0</v>
      </c>
    </row>
    <row r="502" spans="1:54" x14ac:dyDescent="0.35">
      <c r="A502" s="49">
        <v>45930</v>
      </c>
      <c r="B502" s="48">
        <v>1</v>
      </c>
      <c r="C502" s="50" t="s">
        <v>32</v>
      </c>
      <c r="D502" s="48" t="s">
        <v>31</v>
      </c>
      <c r="E502" s="48" t="s">
        <v>138</v>
      </c>
      <c r="F502" s="48" t="s">
        <v>139</v>
      </c>
      <c r="G502" s="49" t="s">
        <v>59</v>
      </c>
      <c r="H502" s="48" t="s">
        <v>160</v>
      </c>
      <c r="I502" s="48">
        <v>1</v>
      </c>
      <c r="J502" s="48">
        <v>94</v>
      </c>
      <c r="K502" s="48">
        <v>1</v>
      </c>
      <c r="N502" s="48">
        <v>0</v>
      </c>
      <c r="R502" s="49"/>
      <c r="S502" s="49"/>
      <c r="T502" s="49">
        <v>48791</v>
      </c>
      <c r="U502" s="49">
        <v>48791</v>
      </c>
      <c r="V502" s="49">
        <v>48791</v>
      </c>
      <c r="W502" s="49">
        <v>48791</v>
      </c>
      <c r="X502" s="48">
        <v>1</v>
      </c>
      <c r="Y502" s="48">
        <v>1</v>
      </c>
      <c r="Z502" s="48">
        <v>1</v>
      </c>
      <c r="AA502" s="156">
        <v>8390.977733491969</v>
      </c>
      <c r="AF502" s="48">
        <v>0</v>
      </c>
      <c r="AG502" s="49" t="s">
        <v>32</v>
      </c>
      <c r="AH502" s="48">
        <v>1</v>
      </c>
      <c r="AI502" s="48" t="s">
        <v>33</v>
      </c>
      <c r="AJ502" s="48" t="s">
        <v>33</v>
      </c>
      <c r="AK502" s="48" t="s">
        <v>33</v>
      </c>
      <c r="AL502" s="48" t="s">
        <v>34</v>
      </c>
      <c r="AN502" s="48">
        <v>0</v>
      </c>
      <c r="AO502" s="48">
        <v>0</v>
      </c>
      <c r="AP502" s="48">
        <v>0</v>
      </c>
      <c r="AQ502" s="48">
        <v>0</v>
      </c>
      <c r="AR502" s="48">
        <v>0</v>
      </c>
      <c r="AS502" s="48">
        <v>0</v>
      </c>
      <c r="AT502" s="48">
        <v>0</v>
      </c>
      <c r="AU502" s="48">
        <v>0</v>
      </c>
      <c r="AV502" s="48">
        <v>0</v>
      </c>
      <c r="AW502" s="48">
        <v>0</v>
      </c>
      <c r="AX502" s="48">
        <v>0</v>
      </c>
      <c r="AY502" s="48">
        <v>0</v>
      </c>
      <c r="AZ502" s="48">
        <v>0</v>
      </c>
      <c r="BA502" s="48">
        <v>0</v>
      </c>
      <c r="BB502" s="48">
        <v>0</v>
      </c>
    </row>
    <row r="503" spans="1:54" x14ac:dyDescent="0.35">
      <c r="A503" s="49">
        <v>45930</v>
      </c>
      <c r="B503" s="48">
        <v>1</v>
      </c>
      <c r="C503" s="50" t="s">
        <v>32</v>
      </c>
      <c r="D503" s="48" t="s">
        <v>31</v>
      </c>
      <c r="E503" s="48" t="s">
        <v>138</v>
      </c>
      <c r="F503" s="48" t="s">
        <v>139</v>
      </c>
      <c r="G503" s="49" t="s">
        <v>59</v>
      </c>
      <c r="H503" s="48" t="s">
        <v>160</v>
      </c>
      <c r="I503" s="48">
        <v>1</v>
      </c>
      <c r="J503" s="48">
        <v>95</v>
      </c>
      <c r="K503" s="48">
        <v>1</v>
      </c>
      <c r="N503" s="48">
        <v>0</v>
      </c>
      <c r="R503" s="49"/>
      <c r="S503" s="49"/>
      <c r="T503" s="49">
        <v>48822</v>
      </c>
      <c r="U503" s="49">
        <v>48822</v>
      </c>
      <c r="V503" s="49">
        <v>48822</v>
      </c>
      <c r="W503" s="49">
        <v>48822</v>
      </c>
      <c r="X503" s="48">
        <v>1</v>
      </c>
      <c r="Y503" s="48">
        <v>1</v>
      </c>
      <c r="Z503" s="48">
        <v>1</v>
      </c>
      <c r="AA503" s="156">
        <v>8390.977733491969</v>
      </c>
      <c r="AF503" s="48">
        <v>0</v>
      </c>
      <c r="AG503" s="49" t="s">
        <v>32</v>
      </c>
      <c r="AH503" s="48">
        <v>1</v>
      </c>
      <c r="AI503" s="48" t="s">
        <v>33</v>
      </c>
      <c r="AJ503" s="48" t="s">
        <v>33</v>
      </c>
      <c r="AK503" s="48" t="s">
        <v>33</v>
      </c>
      <c r="AL503" s="48" t="s">
        <v>34</v>
      </c>
      <c r="AN503" s="48">
        <v>0</v>
      </c>
      <c r="AO503" s="48">
        <v>0</v>
      </c>
      <c r="AP503" s="48">
        <v>0</v>
      </c>
      <c r="AQ503" s="48">
        <v>0</v>
      </c>
      <c r="AR503" s="48">
        <v>0</v>
      </c>
      <c r="AS503" s="48">
        <v>0</v>
      </c>
      <c r="AT503" s="48">
        <v>0</v>
      </c>
      <c r="AU503" s="48">
        <v>0</v>
      </c>
      <c r="AV503" s="48">
        <v>0</v>
      </c>
      <c r="AW503" s="48">
        <v>0</v>
      </c>
      <c r="AX503" s="48">
        <v>0</v>
      </c>
      <c r="AY503" s="48">
        <v>0</v>
      </c>
      <c r="AZ503" s="48">
        <v>0</v>
      </c>
      <c r="BA503" s="48">
        <v>0</v>
      </c>
      <c r="BB503" s="48">
        <v>0</v>
      </c>
    </row>
    <row r="504" spans="1:54" x14ac:dyDescent="0.35">
      <c r="A504" s="49">
        <v>45930</v>
      </c>
      <c r="B504" s="48">
        <v>1</v>
      </c>
      <c r="C504" s="50" t="s">
        <v>32</v>
      </c>
      <c r="D504" s="48" t="s">
        <v>31</v>
      </c>
      <c r="E504" s="48" t="s">
        <v>138</v>
      </c>
      <c r="F504" s="48" t="s">
        <v>139</v>
      </c>
      <c r="G504" s="49" t="s">
        <v>59</v>
      </c>
      <c r="H504" s="48" t="s">
        <v>160</v>
      </c>
      <c r="I504" s="48">
        <v>1</v>
      </c>
      <c r="J504" s="48">
        <v>96</v>
      </c>
      <c r="K504" s="48">
        <v>1</v>
      </c>
      <c r="N504" s="48">
        <v>0</v>
      </c>
      <c r="R504" s="49"/>
      <c r="S504" s="49"/>
      <c r="T504" s="49">
        <v>48852</v>
      </c>
      <c r="U504" s="49">
        <v>48852</v>
      </c>
      <c r="V504" s="49">
        <v>48852</v>
      </c>
      <c r="W504" s="49">
        <v>48852</v>
      </c>
      <c r="X504" s="48">
        <v>1</v>
      </c>
      <c r="Y504" s="48">
        <v>1</v>
      </c>
      <c r="Z504" s="48">
        <v>1</v>
      </c>
      <c r="AA504" s="156">
        <v>8390.977733491969</v>
      </c>
      <c r="AF504" s="48">
        <v>0</v>
      </c>
      <c r="AG504" s="49" t="s">
        <v>32</v>
      </c>
      <c r="AH504" s="48">
        <v>1</v>
      </c>
      <c r="AI504" s="48" t="s">
        <v>33</v>
      </c>
      <c r="AJ504" s="48" t="s">
        <v>33</v>
      </c>
      <c r="AK504" s="48" t="s">
        <v>33</v>
      </c>
      <c r="AL504" s="48" t="s">
        <v>34</v>
      </c>
      <c r="AN504" s="48">
        <v>0</v>
      </c>
      <c r="AO504" s="48">
        <v>0</v>
      </c>
      <c r="AP504" s="48">
        <v>0</v>
      </c>
      <c r="AQ504" s="48">
        <v>0</v>
      </c>
      <c r="AR504" s="48">
        <v>0</v>
      </c>
      <c r="AS504" s="48">
        <v>0</v>
      </c>
      <c r="AT504" s="48">
        <v>0</v>
      </c>
      <c r="AU504" s="48">
        <v>0</v>
      </c>
      <c r="AV504" s="48">
        <v>0</v>
      </c>
      <c r="AW504" s="48">
        <v>0</v>
      </c>
      <c r="AX504" s="48">
        <v>0</v>
      </c>
      <c r="AY504" s="48">
        <v>0</v>
      </c>
      <c r="AZ504" s="48">
        <v>0</v>
      </c>
      <c r="BA504" s="48">
        <v>0</v>
      </c>
      <c r="BB504" s="48">
        <v>0</v>
      </c>
    </row>
    <row r="505" spans="1:54" x14ac:dyDescent="0.35">
      <c r="A505" s="49">
        <v>45930</v>
      </c>
      <c r="B505" s="48">
        <v>1</v>
      </c>
      <c r="C505" s="50" t="s">
        <v>32</v>
      </c>
      <c r="D505" s="48" t="s">
        <v>31</v>
      </c>
      <c r="E505" s="48" t="s">
        <v>138</v>
      </c>
      <c r="F505" s="48" t="s">
        <v>139</v>
      </c>
      <c r="G505" s="49" t="s">
        <v>59</v>
      </c>
      <c r="H505" s="48" t="s">
        <v>160</v>
      </c>
      <c r="I505" s="48">
        <v>1</v>
      </c>
      <c r="J505" s="48">
        <v>97</v>
      </c>
      <c r="K505" s="48">
        <v>1</v>
      </c>
      <c r="N505" s="48">
        <v>0</v>
      </c>
      <c r="R505" s="49"/>
      <c r="S505" s="49"/>
      <c r="T505" s="49">
        <v>48883</v>
      </c>
      <c r="U505" s="49">
        <v>48883</v>
      </c>
      <c r="V505" s="49">
        <v>48883</v>
      </c>
      <c r="W505" s="49">
        <v>48883</v>
      </c>
      <c r="X505" s="48">
        <v>1</v>
      </c>
      <c r="Y505" s="48">
        <v>1</v>
      </c>
      <c r="Z505" s="48">
        <v>1</v>
      </c>
      <c r="AA505" s="156">
        <v>8390.977733491969</v>
      </c>
      <c r="AF505" s="48">
        <v>0</v>
      </c>
      <c r="AG505" s="49" t="s">
        <v>32</v>
      </c>
      <c r="AH505" s="48">
        <v>1</v>
      </c>
      <c r="AI505" s="48" t="s">
        <v>33</v>
      </c>
      <c r="AJ505" s="48" t="s">
        <v>33</v>
      </c>
      <c r="AK505" s="48" t="s">
        <v>33</v>
      </c>
      <c r="AL505" s="48" t="s">
        <v>34</v>
      </c>
      <c r="AN505" s="48">
        <v>0</v>
      </c>
      <c r="AO505" s="48">
        <v>0</v>
      </c>
      <c r="AP505" s="48">
        <v>0</v>
      </c>
      <c r="AQ505" s="48">
        <v>0</v>
      </c>
      <c r="AR505" s="48">
        <v>0</v>
      </c>
      <c r="AS505" s="48">
        <v>0</v>
      </c>
      <c r="AT505" s="48">
        <v>0</v>
      </c>
      <c r="AU505" s="48">
        <v>0</v>
      </c>
      <c r="AV505" s="48">
        <v>0</v>
      </c>
      <c r="AW505" s="48">
        <v>0</v>
      </c>
      <c r="AX505" s="48">
        <v>0</v>
      </c>
      <c r="AY505" s="48">
        <v>0</v>
      </c>
      <c r="AZ505" s="48">
        <v>0</v>
      </c>
      <c r="BA505" s="48">
        <v>0</v>
      </c>
      <c r="BB505" s="48">
        <v>0</v>
      </c>
    </row>
    <row r="506" spans="1:54" x14ac:dyDescent="0.35">
      <c r="A506" s="49">
        <v>45930</v>
      </c>
      <c r="B506" s="48">
        <v>1</v>
      </c>
      <c r="C506" s="50" t="s">
        <v>32</v>
      </c>
      <c r="D506" s="48" t="s">
        <v>31</v>
      </c>
      <c r="E506" s="48" t="s">
        <v>138</v>
      </c>
      <c r="F506" s="48" t="s">
        <v>139</v>
      </c>
      <c r="G506" s="49" t="s">
        <v>59</v>
      </c>
      <c r="H506" s="48" t="s">
        <v>160</v>
      </c>
      <c r="I506" s="48">
        <v>1</v>
      </c>
      <c r="J506" s="48">
        <v>98</v>
      </c>
      <c r="K506" s="48">
        <v>1</v>
      </c>
      <c r="N506" s="48">
        <v>0</v>
      </c>
      <c r="R506" s="49"/>
      <c r="S506" s="49"/>
      <c r="T506" s="49">
        <v>48913</v>
      </c>
      <c r="U506" s="49">
        <v>48913</v>
      </c>
      <c r="V506" s="49">
        <v>48913</v>
      </c>
      <c r="W506" s="49">
        <v>48913</v>
      </c>
      <c r="X506" s="48">
        <v>1</v>
      </c>
      <c r="Y506" s="48">
        <v>1</v>
      </c>
      <c r="Z506" s="48">
        <v>1</v>
      </c>
      <c r="AA506" s="156">
        <v>8390.977733491969</v>
      </c>
      <c r="AF506" s="48">
        <v>0</v>
      </c>
      <c r="AG506" s="49" t="s">
        <v>32</v>
      </c>
      <c r="AH506" s="48">
        <v>1</v>
      </c>
      <c r="AI506" s="48" t="s">
        <v>33</v>
      </c>
      <c r="AJ506" s="48" t="s">
        <v>33</v>
      </c>
      <c r="AK506" s="48" t="s">
        <v>33</v>
      </c>
      <c r="AL506" s="48" t="s">
        <v>34</v>
      </c>
      <c r="AN506" s="48">
        <v>0</v>
      </c>
      <c r="AO506" s="48">
        <v>0</v>
      </c>
      <c r="AP506" s="48">
        <v>0</v>
      </c>
      <c r="AQ506" s="48">
        <v>0</v>
      </c>
      <c r="AR506" s="48">
        <v>0</v>
      </c>
      <c r="AS506" s="48">
        <v>0</v>
      </c>
      <c r="AT506" s="48">
        <v>0</v>
      </c>
      <c r="AU506" s="48">
        <v>0</v>
      </c>
      <c r="AV506" s="48">
        <v>0</v>
      </c>
      <c r="AW506" s="48">
        <v>0</v>
      </c>
      <c r="AX506" s="48">
        <v>0</v>
      </c>
      <c r="AY506" s="48">
        <v>0</v>
      </c>
      <c r="AZ506" s="48">
        <v>0</v>
      </c>
      <c r="BA506" s="48">
        <v>0</v>
      </c>
      <c r="BB506" s="48">
        <v>0</v>
      </c>
    </row>
    <row r="507" spans="1:54" x14ac:dyDescent="0.35">
      <c r="A507" s="49">
        <v>45930</v>
      </c>
      <c r="B507" s="48">
        <v>1</v>
      </c>
      <c r="C507" s="50" t="s">
        <v>32</v>
      </c>
      <c r="D507" s="48" t="s">
        <v>31</v>
      </c>
      <c r="E507" s="48" t="s">
        <v>138</v>
      </c>
      <c r="F507" s="48" t="s">
        <v>139</v>
      </c>
      <c r="G507" s="49" t="s">
        <v>59</v>
      </c>
      <c r="H507" s="48" t="s">
        <v>160</v>
      </c>
      <c r="I507" s="48">
        <v>1</v>
      </c>
      <c r="J507" s="48">
        <v>99</v>
      </c>
      <c r="K507" s="48">
        <v>1</v>
      </c>
      <c r="N507" s="48">
        <v>0</v>
      </c>
      <c r="R507" s="49"/>
      <c r="S507" s="49"/>
      <c r="T507" s="49">
        <v>48944</v>
      </c>
      <c r="U507" s="49">
        <v>48944</v>
      </c>
      <c r="V507" s="49">
        <v>48944</v>
      </c>
      <c r="W507" s="49">
        <v>48944</v>
      </c>
      <c r="X507" s="48">
        <v>1</v>
      </c>
      <c r="Y507" s="48">
        <v>1</v>
      </c>
      <c r="Z507" s="48">
        <v>1</v>
      </c>
      <c r="AA507" s="156">
        <v>8390.977733491969</v>
      </c>
      <c r="AF507" s="48">
        <v>0</v>
      </c>
      <c r="AG507" s="49" t="s">
        <v>32</v>
      </c>
      <c r="AH507" s="48">
        <v>1</v>
      </c>
      <c r="AI507" s="48" t="s">
        <v>33</v>
      </c>
      <c r="AJ507" s="48" t="s">
        <v>33</v>
      </c>
      <c r="AK507" s="48" t="s">
        <v>33</v>
      </c>
      <c r="AL507" s="48" t="s">
        <v>34</v>
      </c>
      <c r="AN507" s="48">
        <v>0</v>
      </c>
      <c r="AO507" s="48">
        <v>0</v>
      </c>
      <c r="AP507" s="48">
        <v>0</v>
      </c>
      <c r="AQ507" s="48">
        <v>0</v>
      </c>
      <c r="AR507" s="48">
        <v>0</v>
      </c>
      <c r="AS507" s="48">
        <v>0</v>
      </c>
      <c r="AT507" s="48">
        <v>0</v>
      </c>
      <c r="AU507" s="48">
        <v>0</v>
      </c>
      <c r="AV507" s="48">
        <v>0</v>
      </c>
      <c r="AW507" s="48">
        <v>0</v>
      </c>
      <c r="AX507" s="48">
        <v>0</v>
      </c>
      <c r="AY507" s="48">
        <v>0</v>
      </c>
      <c r="AZ507" s="48">
        <v>0</v>
      </c>
      <c r="BA507" s="48">
        <v>0</v>
      </c>
      <c r="BB507" s="48">
        <v>0</v>
      </c>
    </row>
    <row r="508" spans="1:54" x14ac:dyDescent="0.35">
      <c r="A508" s="49">
        <v>45930</v>
      </c>
      <c r="B508" s="48">
        <v>1</v>
      </c>
      <c r="C508" s="50" t="s">
        <v>32</v>
      </c>
      <c r="D508" s="48" t="s">
        <v>31</v>
      </c>
      <c r="E508" s="48" t="s">
        <v>138</v>
      </c>
      <c r="F508" s="48" t="s">
        <v>139</v>
      </c>
      <c r="G508" s="49" t="s">
        <v>59</v>
      </c>
      <c r="H508" s="48" t="s">
        <v>160</v>
      </c>
      <c r="I508" s="48">
        <v>1</v>
      </c>
      <c r="J508" s="48">
        <v>100</v>
      </c>
      <c r="K508" s="48">
        <v>1</v>
      </c>
      <c r="N508" s="48">
        <v>0</v>
      </c>
      <c r="R508" s="49"/>
      <c r="S508" s="49"/>
      <c r="T508" s="49">
        <v>48975</v>
      </c>
      <c r="U508" s="49">
        <v>48975</v>
      </c>
      <c r="V508" s="49">
        <v>48975</v>
      </c>
      <c r="W508" s="49">
        <v>48975</v>
      </c>
      <c r="X508" s="48">
        <v>1</v>
      </c>
      <c r="Y508" s="48">
        <v>1</v>
      </c>
      <c r="Z508" s="48">
        <v>1</v>
      </c>
      <c r="AA508" s="156">
        <v>8390.977733491969</v>
      </c>
      <c r="AF508" s="48">
        <v>0</v>
      </c>
      <c r="AG508" s="49" t="s">
        <v>32</v>
      </c>
      <c r="AH508" s="48">
        <v>1</v>
      </c>
      <c r="AI508" s="48" t="s">
        <v>33</v>
      </c>
      <c r="AJ508" s="48" t="s">
        <v>33</v>
      </c>
      <c r="AK508" s="48" t="s">
        <v>33</v>
      </c>
      <c r="AL508" s="48" t="s">
        <v>34</v>
      </c>
      <c r="AN508" s="48">
        <v>0</v>
      </c>
      <c r="AO508" s="48">
        <v>0</v>
      </c>
      <c r="AP508" s="48">
        <v>0</v>
      </c>
      <c r="AQ508" s="48">
        <v>0</v>
      </c>
      <c r="AR508" s="48">
        <v>0</v>
      </c>
      <c r="AS508" s="48">
        <v>0</v>
      </c>
      <c r="AT508" s="48">
        <v>0</v>
      </c>
      <c r="AU508" s="48">
        <v>0</v>
      </c>
      <c r="AV508" s="48">
        <v>0</v>
      </c>
      <c r="AW508" s="48">
        <v>0</v>
      </c>
      <c r="AX508" s="48">
        <v>0</v>
      </c>
      <c r="AY508" s="48">
        <v>0</v>
      </c>
      <c r="AZ508" s="48">
        <v>0</v>
      </c>
      <c r="BA508" s="48">
        <v>0</v>
      </c>
      <c r="BB508" s="48">
        <v>0</v>
      </c>
    </row>
    <row r="509" spans="1:54" x14ac:dyDescent="0.35">
      <c r="A509" s="49">
        <v>45930</v>
      </c>
      <c r="B509" s="48">
        <v>1</v>
      </c>
      <c r="C509" s="50" t="s">
        <v>32</v>
      </c>
      <c r="D509" s="48" t="s">
        <v>31</v>
      </c>
      <c r="E509" s="48" t="s">
        <v>138</v>
      </c>
      <c r="F509" s="48" t="s">
        <v>139</v>
      </c>
      <c r="G509" s="49" t="s">
        <v>59</v>
      </c>
      <c r="H509" s="48" t="s">
        <v>160</v>
      </c>
      <c r="I509" s="48">
        <v>1</v>
      </c>
      <c r="J509" s="48">
        <v>101</v>
      </c>
      <c r="K509" s="48">
        <v>1</v>
      </c>
      <c r="N509" s="48">
        <v>0</v>
      </c>
      <c r="R509" s="49"/>
      <c r="S509" s="49"/>
      <c r="T509" s="49">
        <v>49003</v>
      </c>
      <c r="U509" s="49">
        <v>49003</v>
      </c>
      <c r="V509" s="49">
        <v>49003</v>
      </c>
      <c r="W509" s="49">
        <v>49003</v>
      </c>
      <c r="X509" s="48">
        <v>1</v>
      </c>
      <c r="Y509" s="48">
        <v>1</v>
      </c>
      <c r="Z509" s="48">
        <v>1</v>
      </c>
      <c r="AA509" s="156">
        <v>8390.977733491969</v>
      </c>
      <c r="AF509" s="48">
        <v>0</v>
      </c>
      <c r="AG509" s="49" t="s">
        <v>32</v>
      </c>
      <c r="AH509" s="48">
        <v>1</v>
      </c>
      <c r="AI509" s="48" t="s">
        <v>33</v>
      </c>
      <c r="AJ509" s="48" t="s">
        <v>33</v>
      </c>
      <c r="AK509" s="48" t="s">
        <v>33</v>
      </c>
      <c r="AL509" s="48" t="s">
        <v>34</v>
      </c>
      <c r="AN509" s="48">
        <v>0</v>
      </c>
      <c r="AO509" s="48">
        <v>0</v>
      </c>
      <c r="AP509" s="48">
        <v>0</v>
      </c>
      <c r="AQ509" s="48">
        <v>0</v>
      </c>
      <c r="AR509" s="48">
        <v>0</v>
      </c>
      <c r="AS509" s="48">
        <v>0</v>
      </c>
      <c r="AT509" s="48">
        <v>0</v>
      </c>
      <c r="AU509" s="48">
        <v>0</v>
      </c>
      <c r="AV509" s="48">
        <v>0</v>
      </c>
      <c r="AW509" s="48">
        <v>0</v>
      </c>
      <c r="AX509" s="48">
        <v>0</v>
      </c>
      <c r="AY509" s="48">
        <v>0</v>
      </c>
      <c r="AZ509" s="48">
        <v>0</v>
      </c>
      <c r="BA509" s="48">
        <v>0</v>
      </c>
      <c r="BB509" s="48">
        <v>0</v>
      </c>
    </row>
    <row r="510" spans="1:54" x14ac:dyDescent="0.35">
      <c r="A510" s="49">
        <v>45930</v>
      </c>
      <c r="B510" s="48">
        <v>1</v>
      </c>
      <c r="C510" s="50" t="s">
        <v>32</v>
      </c>
      <c r="D510" s="48" t="s">
        <v>31</v>
      </c>
      <c r="E510" s="48" t="s">
        <v>138</v>
      </c>
      <c r="F510" s="48" t="s">
        <v>139</v>
      </c>
      <c r="G510" s="49" t="s">
        <v>59</v>
      </c>
      <c r="H510" s="48" t="s">
        <v>160</v>
      </c>
      <c r="I510" s="48">
        <v>1</v>
      </c>
      <c r="J510" s="48">
        <v>102</v>
      </c>
      <c r="K510" s="48">
        <v>1</v>
      </c>
      <c r="N510" s="48">
        <v>0</v>
      </c>
      <c r="R510" s="49"/>
      <c r="S510" s="49"/>
      <c r="T510" s="49">
        <v>49034</v>
      </c>
      <c r="U510" s="49">
        <v>49034</v>
      </c>
      <c r="V510" s="49">
        <v>49034</v>
      </c>
      <c r="W510" s="49">
        <v>49034</v>
      </c>
      <c r="X510" s="48">
        <v>1</v>
      </c>
      <c r="Y510" s="48">
        <v>1</v>
      </c>
      <c r="Z510" s="48">
        <v>1</v>
      </c>
      <c r="AA510" s="156">
        <v>8390.977733491969</v>
      </c>
      <c r="AF510" s="48">
        <v>0</v>
      </c>
      <c r="AG510" s="49" t="s">
        <v>32</v>
      </c>
      <c r="AH510" s="48">
        <v>1</v>
      </c>
      <c r="AI510" s="48" t="s">
        <v>33</v>
      </c>
      <c r="AJ510" s="48" t="s">
        <v>33</v>
      </c>
      <c r="AK510" s="48" t="s">
        <v>33</v>
      </c>
      <c r="AL510" s="48" t="s">
        <v>34</v>
      </c>
      <c r="AN510" s="48">
        <v>0</v>
      </c>
      <c r="AO510" s="48">
        <v>0</v>
      </c>
      <c r="AP510" s="48">
        <v>0</v>
      </c>
      <c r="AQ510" s="48">
        <v>0</v>
      </c>
      <c r="AR510" s="48">
        <v>0</v>
      </c>
      <c r="AS510" s="48">
        <v>0</v>
      </c>
      <c r="AT510" s="48">
        <v>0</v>
      </c>
      <c r="AU510" s="48">
        <v>0</v>
      </c>
      <c r="AV510" s="48">
        <v>0</v>
      </c>
      <c r="AW510" s="48">
        <v>0</v>
      </c>
      <c r="AX510" s="48">
        <v>0</v>
      </c>
      <c r="AY510" s="48">
        <v>0</v>
      </c>
      <c r="AZ510" s="48">
        <v>0</v>
      </c>
      <c r="BA510" s="48">
        <v>0</v>
      </c>
      <c r="BB510" s="48">
        <v>0</v>
      </c>
    </row>
    <row r="511" spans="1:54" x14ac:dyDescent="0.35">
      <c r="A511" s="49">
        <v>45930</v>
      </c>
      <c r="B511" s="48">
        <v>1</v>
      </c>
      <c r="C511" s="50" t="s">
        <v>32</v>
      </c>
      <c r="D511" s="48" t="s">
        <v>31</v>
      </c>
      <c r="E511" s="48" t="s">
        <v>138</v>
      </c>
      <c r="F511" s="48" t="s">
        <v>139</v>
      </c>
      <c r="G511" s="49" t="s">
        <v>59</v>
      </c>
      <c r="H511" s="48" t="s">
        <v>160</v>
      </c>
      <c r="I511" s="48">
        <v>1</v>
      </c>
      <c r="J511" s="48">
        <v>103</v>
      </c>
      <c r="K511" s="48">
        <v>1</v>
      </c>
      <c r="N511" s="48">
        <v>0</v>
      </c>
      <c r="R511" s="49"/>
      <c r="S511" s="49"/>
      <c r="T511" s="49">
        <v>49064</v>
      </c>
      <c r="U511" s="49">
        <v>49064</v>
      </c>
      <c r="V511" s="49">
        <v>49064</v>
      </c>
      <c r="W511" s="49">
        <v>49064</v>
      </c>
      <c r="X511" s="48">
        <v>1</v>
      </c>
      <c r="Y511" s="48">
        <v>1</v>
      </c>
      <c r="Z511" s="48">
        <v>1</v>
      </c>
      <c r="AA511" s="156">
        <v>8390.977733491969</v>
      </c>
      <c r="AF511" s="48">
        <v>0</v>
      </c>
      <c r="AG511" s="49" t="s">
        <v>32</v>
      </c>
      <c r="AH511" s="48">
        <v>1</v>
      </c>
      <c r="AI511" s="48" t="s">
        <v>33</v>
      </c>
      <c r="AJ511" s="48" t="s">
        <v>33</v>
      </c>
      <c r="AK511" s="48" t="s">
        <v>33</v>
      </c>
      <c r="AL511" s="48" t="s">
        <v>34</v>
      </c>
      <c r="AN511" s="48">
        <v>0</v>
      </c>
      <c r="AO511" s="48">
        <v>0</v>
      </c>
      <c r="AP511" s="48">
        <v>0</v>
      </c>
      <c r="AQ511" s="48">
        <v>0</v>
      </c>
      <c r="AR511" s="48">
        <v>0</v>
      </c>
      <c r="AS511" s="48">
        <v>0</v>
      </c>
      <c r="AT511" s="48">
        <v>0</v>
      </c>
      <c r="AU511" s="48">
        <v>0</v>
      </c>
      <c r="AV511" s="48">
        <v>0</v>
      </c>
      <c r="AW511" s="48">
        <v>0</v>
      </c>
      <c r="AX511" s="48">
        <v>0</v>
      </c>
      <c r="AY511" s="48">
        <v>0</v>
      </c>
      <c r="AZ511" s="48">
        <v>0</v>
      </c>
      <c r="BA511" s="48">
        <v>0</v>
      </c>
      <c r="BB511" s="48">
        <v>0</v>
      </c>
    </row>
    <row r="512" spans="1:54" x14ac:dyDescent="0.35">
      <c r="A512" s="49">
        <v>45930</v>
      </c>
      <c r="B512" s="48">
        <v>1</v>
      </c>
      <c r="C512" s="50" t="s">
        <v>32</v>
      </c>
      <c r="D512" s="48" t="s">
        <v>31</v>
      </c>
      <c r="E512" s="48" t="s">
        <v>138</v>
      </c>
      <c r="F512" s="48" t="s">
        <v>139</v>
      </c>
      <c r="G512" s="49" t="s">
        <v>59</v>
      </c>
      <c r="H512" s="48" t="s">
        <v>160</v>
      </c>
      <c r="I512" s="48">
        <v>1</v>
      </c>
      <c r="J512" s="48">
        <v>104</v>
      </c>
      <c r="K512" s="48">
        <v>1</v>
      </c>
      <c r="N512" s="48">
        <v>0</v>
      </c>
      <c r="R512" s="49"/>
      <c r="S512" s="49"/>
      <c r="T512" s="49">
        <v>49095</v>
      </c>
      <c r="U512" s="49">
        <v>49095</v>
      </c>
      <c r="V512" s="49">
        <v>49095</v>
      </c>
      <c r="W512" s="49">
        <v>49095</v>
      </c>
      <c r="X512" s="48">
        <v>1</v>
      </c>
      <c r="Y512" s="48">
        <v>1</v>
      </c>
      <c r="Z512" s="48">
        <v>1</v>
      </c>
      <c r="AA512" s="156">
        <v>8390.977733491969</v>
      </c>
      <c r="AF512" s="48">
        <v>0</v>
      </c>
      <c r="AG512" s="49" t="s">
        <v>32</v>
      </c>
      <c r="AH512" s="48">
        <v>1</v>
      </c>
      <c r="AI512" s="48" t="s">
        <v>33</v>
      </c>
      <c r="AJ512" s="48" t="s">
        <v>33</v>
      </c>
      <c r="AK512" s="48" t="s">
        <v>33</v>
      </c>
      <c r="AL512" s="48" t="s">
        <v>34</v>
      </c>
      <c r="AN512" s="48">
        <v>0</v>
      </c>
      <c r="AO512" s="48">
        <v>0</v>
      </c>
      <c r="AP512" s="48">
        <v>0</v>
      </c>
      <c r="AQ512" s="48">
        <v>0</v>
      </c>
      <c r="AR512" s="48">
        <v>0</v>
      </c>
      <c r="AS512" s="48">
        <v>0</v>
      </c>
      <c r="AT512" s="48">
        <v>0</v>
      </c>
      <c r="AU512" s="48">
        <v>0</v>
      </c>
      <c r="AV512" s="48">
        <v>0</v>
      </c>
      <c r="AW512" s="48">
        <v>0</v>
      </c>
      <c r="AX512" s="48">
        <v>0</v>
      </c>
      <c r="AY512" s="48">
        <v>0</v>
      </c>
      <c r="AZ512" s="48">
        <v>0</v>
      </c>
      <c r="BA512" s="48">
        <v>0</v>
      </c>
      <c r="BB512" s="48">
        <v>0</v>
      </c>
    </row>
    <row r="513" spans="1:54" x14ac:dyDescent="0.35">
      <c r="A513" s="49">
        <v>45930</v>
      </c>
      <c r="B513" s="48">
        <v>1</v>
      </c>
      <c r="C513" s="50" t="s">
        <v>32</v>
      </c>
      <c r="D513" s="48" t="s">
        <v>31</v>
      </c>
      <c r="E513" s="48" t="s">
        <v>138</v>
      </c>
      <c r="F513" s="48" t="s">
        <v>139</v>
      </c>
      <c r="G513" s="49" t="s">
        <v>59</v>
      </c>
      <c r="H513" s="48" t="s">
        <v>160</v>
      </c>
      <c r="I513" s="48">
        <v>1</v>
      </c>
      <c r="J513" s="48">
        <v>105</v>
      </c>
      <c r="K513" s="48">
        <v>1</v>
      </c>
      <c r="N513" s="48">
        <v>0</v>
      </c>
      <c r="R513" s="49"/>
      <c r="S513" s="49"/>
      <c r="T513" s="49">
        <v>49125</v>
      </c>
      <c r="U513" s="49">
        <v>49125</v>
      </c>
      <c r="V513" s="49">
        <v>49125</v>
      </c>
      <c r="W513" s="49">
        <v>49125</v>
      </c>
      <c r="X513" s="48">
        <v>1</v>
      </c>
      <c r="Y513" s="48">
        <v>1</v>
      </c>
      <c r="Z513" s="48">
        <v>1</v>
      </c>
      <c r="AA513" s="156">
        <v>8390.977733491969</v>
      </c>
      <c r="AF513" s="48">
        <v>0</v>
      </c>
      <c r="AG513" s="49" t="s">
        <v>32</v>
      </c>
      <c r="AH513" s="48">
        <v>1</v>
      </c>
      <c r="AI513" s="48" t="s">
        <v>33</v>
      </c>
      <c r="AJ513" s="48" t="s">
        <v>33</v>
      </c>
      <c r="AK513" s="48" t="s">
        <v>33</v>
      </c>
      <c r="AL513" s="48" t="s">
        <v>34</v>
      </c>
      <c r="AN513" s="48">
        <v>0</v>
      </c>
      <c r="AO513" s="48">
        <v>0</v>
      </c>
      <c r="AP513" s="48">
        <v>0</v>
      </c>
      <c r="AQ513" s="48">
        <v>0</v>
      </c>
      <c r="AR513" s="48">
        <v>0</v>
      </c>
      <c r="AS513" s="48">
        <v>0</v>
      </c>
      <c r="AT513" s="48">
        <v>0</v>
      </c>
      <c r="AU513" s="48">
        <v>0</v>
      </c>
      <c r="AV513" s="48">
        <v>0</v>
      </c>
      <c r="AW513" s="48">
        <v>0</v>
      </c>
      <c r="AX513" s="48">
        <v>0</v>
      </c>
      <c r="AY513" s="48">
        <v>0</v>
      </c>
      <c r="AZ513" s="48">
        <v>0</v>
      </c>
      <c r="BA513" s="48">
        <v>0</v>
      </c>
      <c r="BB513" s="48">
        <v>0</v>
      </c>
    </row>
    <row r="514" spans="1:54" x14ac:dyDescent="0.35">
      <c r="A514" s="49">
        <v>45930</v>
      </c>
      <c r="B514" s="48">
        <v>1</v>
      </c>
      <c r="C514" s="50" t="s">
        <v>32</v>
      </c>
      <c r="D514" s="48" t="s">
        <v>31</v>
      </c>
      <c r="E514" s="48" t="s">
        <v>138</v>
      </c>
      <c r="F514" s="48" t="s">
        <v>139</v>
      </c>
      <c r="G514" s="49" t="s">
        <v>59</v>
      </c>
      <c r="H514" s="48" t="s">
        <v>160</v>
      </c>
      <c r="I514" s="48">
        <v>1</v>
      </c>
      <c r="J514" s="48">
        <v>106</v>
      </c>
      <c r="K514" s="48">
        <v>1</v>
      </c>
      <c r="N514" s="48">
        <v>0</v>
      </c>
      <c r="R514" s="49"/>
      <c r="S514" s="49"/>
      <c r="T514" s="49">
        <v>49156</v>
      </c>
      <c r="U514" s="49">
        <v>49156</v>
      </c>
      <c r="V514" s="49">
        <v>49156</v>
      </c>
      <c r="W514" s="49">
        <v>49156</v>
      </c>
      <c r="X514" s="48">
        <v>1</v>
      </c>
      <c r="Y514" s="48">
        <v>1</v>
      </c>
      <c r="Z514" s="48">
        <v>1</v>
      </c>
      <c r="AA514" s="156">
        <v>8390.977733491969</v>
      </c>
      <c r="AF514" s="48">
        <v>0</v>
      </c>
      <c r="AG514" s="49" t="s">
        <v>32</v>
      </c>
      <c r="AH514" s="48">
        <v>1</v>
      </c>
      <c r="AI514" s="48" t="s">
        <v>33</v>
      </c>
      <c r="AJ514" s="48" t="s">
        <v>33</v>
      </c>
      <c r="AK514" s="48" t="s">
        <v>33</v>
      </c>
      <c r="AL514" s="48" t="s">
        <v>34</v>
      </c>
      <c r="AN514" s="48">
        <v>0</v>
      </c>
      <c r="AO514" s="48">
        <v>0</v>
      </c>
      <c r="AP514" s="48">
        <v>0</v>
      </c>
      <c r="AQ514" s="48">
        <v>0</v>
      </c>
      <c r="AR514" s="48">
        <v>0</v>
      </c>
      <c r="AS514" s="48">
        <v>0</v>
      </c>
      <c r="AT514" s="48">
        <v>0</v>
      </c>
      <c r="AU514" s="48">
        <v>0</v>
      </c>
      <c r="AV514" s="48">
        <v>0</v>
      </c>
      <c r="AW514" s="48">
        <v>0</v>
      </c>
      <c r="AX514" s="48">
        <v>0</v>
      </c>
      <c r="AY514" s="48">
        <v>0</v>
      </c>
      <c r="AZ514" s="48">
        <v>0</v>
      </c>
      <c r="BA514" s="48">
        <v>0</v>
      </c>
      <c r="BB514" s="48">
        <v>0</v>
      </c>
    </row>
    <row r="515" spans="1:54" x14ac:dyDescent="0.35">
      <c r="A515" s="49">
        <v>45930</v>
      </c>
      <c r="B515" s="48">
        <v>1</v>
      </c>
      <c r="C515" s="50" t="s">
        <v>32</v>
      </c>
      <c r="D515" s="48" t="s">
        <v>31</v>
      </c>
      <c r="E515" s="48" t="s">
        <v>138</v>
      </c>
      <c r="F515" s="48" t="s">
        <v>139</v>
      </c>
      <c r="G515" s="49" t="s">
        <v>59</v>
      </c>
      <c r="H515" s="48" t="s">
        <v>160</v>
      </c>
      <c r="I515" s="48">
        <v>1</v>
      </c>
      <c r="J515" s="48">
        <v>107</v>
      </c>
      <c r="K515" s="48">
        <v>1</v>
      </c>
      <c r="N515" s="48">
        <v>0</v>
      </c>
      <c r="R515" s="49"/>
      <c r="S515" s="49"/>
      <c r="T515" s="49">
        <v>49187</v>
      </c>
      <c r="U515" s="49">
        <v>49187</v>
      </c>
      <c r="V515" s="49">
        <v>49187</v>
      </c>
      <c r="W515" s="49">
        <v>49187</v>
      </c>
      <c r="X515" s="48">
        <v>1</v>
      </c>
      <c r="Y515" s="48">
        <v>1</v>
      </c>
      <c r="Z515" s="48">
        <v>1</v>
      </c>
      <c r="AA515" s="156">
        <v>8390.977733491969</v>
      </c>
      <c r="AF515" s="48">
        <v>0</v>
      </c>
      <c r="AG515" s="49" t="s">
        <v>32</v>
      </c>
      <c r="AH515" s="48">
        <v>1</v>
      </c>
      <c r="AI515" s="48" t="s">
        <v>33</v>
      </c>
      <c r="AJ515" s="48" t="s">
        <v>33</v>
      </c>
      <c r="AK515" s="48" t="s">
        <v>33</v>
      </c>
      <c r="AL515" s="48" t="s">
        <v>34</v>
      </c>
      <c r="AN515" s="48">
        <v>0</v>
      </c>
      <c r="AO515" s="48">
        <v>0</v>
      </c>
      <c r="AP515" s="48">
        <v>0</v>
      </c>
      <c r="AQ515" s="48">
        <v>0</v>
      </c>
      <c r="AR515" s="48">
        <v>0</v>
      </c>
      <c r="AS515" s="48">
        <v>0</v>
      </c>
      <c r="AT515" s="48">
        <v>0</v>
      </c>
      <c r="AU515" s="48">
        <v>0</v>
      </c>
      <c r="AV515" s="48">
        <v>0</v>
      </c>
      <c r="AW515" s="48">
        <v>0</v>
      </c>
      <c r="AX515" s="48">
        <v>0</v>
      </c>
      <c r="AY515" s="48">
        <v>0</v>
      </c>
      <c r="AZ515" s="48">
        <v>0</v>
      </c>
      <c r="BA515" s="48">
        <v>0</v>
      </c>
      <c r="BB515" s="48">
        <v>0</v>
      </c>
    </row>
    <row r="516" spans="1:54" x14ac:dyDescent="0.35">
      <c r="A516" s="49">
        <v>45930</v>
      </c>
      <c r="B516" s="48">
        <v>1</v>
      </c>
      <c r="C516" s="50" t="s">
        <v>32</v>
      </c>
      <c r="D516" s="48" t="s">
        <v>31</v>
      </c>
      <c r="E516" s="48" t="s">
        <v>138</v>
      </c>
      <c r="F516" s="48" t="s">
        <v>139</v>
      </c>
      <c r="G516" s="49" t="s">
        <v>59</v>
      </c>
      <c r="H516" s="48" t="s">
        <v>160</v>
      </c>
      <c r="I516" s="48">
        <v>1</v>
      </c>
      <c r="J516" s="48">
        <v>108</v>
      </c>
      <c r="K516" s="48">
        <v>1</v>
      </c>
      <c r="N516" s="48">
        <v>0</v>
      </c>
      <c r="R516" s="49"/>
      <c r="S516" s="49"/>
      <c r="T516" s="49">
        <v>49217</v>
      </c>
      <c r="U516" s="49">
        <v>49217</v>
      </c>
      <c r="V516" s="49">
        <v>49217</v>
      </c>
      <c r="W516" s="49">
        <v>49217</v>
      </c>
      <c r="X516" s="48">
        <v>1</v>
      </c>
      <c r="Y516" s="48">
        <v>1</v>
      </c>
      <c r="Z516" s="48">
        <v>1</v>
      </c>
      <c r="AA516" s="156">
        <v>8390.977733491969</v>
      </c>
      <c r="AF516" s="48">
        <v>0</v>
      </c>
      <c r="AG516" s="49" t="s">
        <v>32</v>
      </c>
      <c r="AH516" s="48">
        <v>1</v>
      </c>
      <c r="AI516" s="48" t="s">
        <v>33</v>
      </c>
      <c r="AJ516" s="48" t="s">
        <v>33</v>
      </c>
      <c r="AK516" s="48" t="s">
        <v>33</v>
      </c>
      <c r="AL516" s="48" t="s">
        <v>34</v>
      </c>
      <c r="AN516" s="48">
        <v>0</v>
      </c>
      <c r="AO516" s="48">
        <v>0</v>
      </c>
      <c r="AP516" s="48">
        <v>0</v>
      </c>
      <c r="AQ516" s="48">
        <v>0</v>
      </c>
      <c r="AR516" s="48">
        <v>0</v>
      </c>
      <c r="AS516" s="48">
        <v>0</v>
      </c>
      <c r="AT516" s="48">
        <v>0</v>
      </c>
      <c r="AU516" s="48">
        <v>0</v>
      </c>
      <c r="AV516" s="48">
        <v>0</v>
      </c>
      <c r="AW516" s="48">
        <v>0</v>
      </c>
      <c r="AX516" s="48">
        <v>0</v>
      </c>
      <c r="AY516" s="48">
        <v>0</v>
      </c>
      <c r="AZ516" s="48">
        <v>0</v>
      </c>
      <c r="BA516" s="48">
        <v>0</v>
      </c>
      <c r="BB516" s="48">
        <v>0</v>
      </c>
    </row>
    <row r="517" spans="1:54" x14ac:dyDescent="0.35">
      <c r="A517" s="49">
        <v>45930</v>
      </c>
      <c r="B517" s="48">
        <v>1</v>
      </c>
      <c r="C517" s="50" t="s">
        <v>32</v>
      </c>
      <c r="D517" s="48" t="s">
        <v>31</v>
      </c>
      <c r="E517" s="48" t="s">
        <v>138</v>
      </c>
      <c r="F517" s="48" t="s">
        <v>139</v>
      </c>
      <c r="G517" s="49" t="s">
        <v>59</v>
      </c>
      <c r="H517" s="48" t="s">
        <v>160</v>
      </c>
      <c r="I517" s="48">
        <v>1</v>
      </c>
      <c r="J517" s="48">
        <v>109</v>
      </c>
      <c r="K517" s="48">
        <v>1</v>
      </c>
      <c r="N517" s="48">
        <v>0</v>
      </c>
      <c r="R517" s="49"/>
      <c r="S517" s="49"/>
      <c r="T517" s="49">
        <v>49248</v>
      </c>
      <c r="U517" s="49">
        <v>49248</v>
      </c>
      <c r="V517" s="49">
        <v>49248</v>
      </c>
      <c r="W517" s="49">
        <v>49248</v>
      </c>
      <c r="X517" s="48">
        <v>1</v>
      </c>
      <c r="Y517" s="48">
        <v>1</v>
      </c>
      <c r="Z517" s="48">
        <v>1</v>
      </c>
      <c r="AA517" s="156">
        <v>8390.977733491969</v>
      </c>
      <c r="AF517" s="48">
        <v>0</v>
      </c>
      <c r="AG517" s="49" t="s">
        <v>32</v>
      </c>
      <c r="AH517" s="48">
        <v>1</v>
      </c>
      <c r="AI517" s="48" t="s">
        <v>33</v>
      </c>
      <c r="AJ517" s="48" t="s">
        <v>33</v>
      </c>
      <c r="AK517" s="48" t="s">
        <v>33</v>
      </c>
      <c r="AL517" s="48" t="s">
        <v>34</v>
      </c>
      <c r="AN517" s="48">
        <v>0</v>
      </c>
      <c r="AO517" s="48">
        <v>0</v>
      </c>
      <c r="AP517" s="48">
        <v>0</v>
      </c>
      <c r="AQ517" s="48">
        <v>0</v>
      </c>
      <c r="AR517" s="48">
        <v>0</v>
      </c>
      <c r="AS517" s="48">
        <v>0</v>
      </c>
      <c r="AT517" s="48">
        <v>0</v>
      </c>
      <c r="AU517" s="48">
        <v>0</v>
      </c>
      <c r="AV517" s="48">
        <v>0</v>
      </c>
      <c r="AW517" s="48">
        <v>0</v>
      </c>
      <c r="AX517" s="48">
        <v>0</v>
      </c>
      <c r="AY517" s="48">
        <v>0</v>
      </c>
      <c r="AZ517" s="48">
        <v>0</v>
      </c>
      <c r="BA517" s="48">
        <v>0</v>
      </c>
      <c r="BB517" s="48">
        <v>0</v>
      </c>
    </row>
    <row r="518" spans="1:54" x14ac:dyDescent="0.35">
      <c r="A518" s="49">
        <v>45930</v>
      </c>
      <c r="B518" s="48">
        <v>1</v>
      </c>
      <c r="C518" s="50" t="s">
        <v>32</v>
      </c>
      <c r="D518" s="48" t="s">
        <v>31</v>
      </c>
      <c r="E518" s="48" t="s">
        <v>138</v>
      </c>
      <c r="F518" s="48" t="s">
        <v>139</v>
      </c>
      <c r="G518" s="49" t="s">
        <v>59</v>
      </c>
      <c r="H518" s="48" t="s">
        <v>160</v>
      </c>
      <c r="I518" s="48">
        <v>1</v>
      </c>
      <c r="J518" s="48">
        <v>110</v>
      </c>
      <c r="K518" s="48">
        <v>1</v>
      </c>
      <c r="N518" s="48">
        <v>0</v>
      </c>
      <c r="R518" s="49"/>
      <c r="S518" s="49"/>
      <c r="T518" s="49">
        <v>49278</v>
      </c>
      <c r="U518" s="49">
        <v>49278</v>
      </c>
      <c r="V518" s="49">
        <v>49278</v>
      </c>
      <c r="W518" s="49">
        <v>49278</v>
      </c>
      <c r="X518" s="48">
        <v>1</v>
      </c>
      <c r="Y518" s="48">
        <v>1</v>
      </c>
      <c r="Z518" s="48">
        <v>1</v>
      </c>
      <c r="AA518" s="156">
        <v>8390.977733491969</v>
      </c>
      <c r="AF518" s="48">
        <v>0</v>
      </c>
      <c r="AG518" s="49" t="s">
        <v>32</v>
      </c>
      <c r="AH518" s="48">
        <v>1</v>
      </c>
      <c r="AI518" s="48" t="s">
        <v>33</v>
      </c>
      <c r="AJ518" s="48" t="s">
        <v>33</v>
      </c>
      <c r="AK518" s="48" t="s">
        <v>33</v>
      </c>
      <c r="AL518" s="48" t="s">
        <v>34</v>
      </c>
      <c r="AN518" s="48">
        <v>0</v>
      </c>
      <c r="AO518" s="48">
        <v>0</v>
      </c>
      <c r="AP518" s="48">
        <v>0</v>
      </c>
      <c r="AQ518" s="48">
        <v>0</v>
      </c>
      <c r="AR518" s="48">
        <v>0</v>
      </c>
      <c r="AS518" s="48">
        <v>0</v>
      </c>
      <c r="AT518" s="48">
        <v>0</v>
      </c>
      <c r="AU518" s="48">
        <v>0</v>
      </c>
      <c r="AV518" s="48">
        <v>0</v>
      </c>
      <c r="AW518" s="48">
        <v>0</v>
      </c>
      <c r="AX518" s="48">
        <v>0</v>
      </c>
      <c r="AY518" s="48">
        <v>0</v>
      </c>
      <c r="AZ518" s="48">
        <v>0</v>
      </c>
      <c r="BA518" s="48">
        <v>0</v>
      </c>
      <c r="BB518" s="48">
        <v>0</v>
      </c>
    </row>
    <row r="519" spans="1:54" x14ac:dyDescent="0.35">
      <c r="A519" s="49">
        <v>45930</v>
      </c>
      <c r="B519" s="48">
        <v>1</v>
      </c>
      <c r="C519" s="50" t="s">
        <v>32</v>
      </c>
      <c r="D519" s="48" t="s">
        <v>31</v>
      </c>
      <c r="E519" s="48" t="s">
        <v>138</v>
      </c>
      <c r="F519" s="48" t="s">
        <v>139</v>
      </c>
      <c r="G519" s="49" t="s">
        <v>59</v>
      </c>
      <c r="H519" s="48" t="s">
        <v>160</v>
      </c>
      <c r="I519" s="48">
        <v>1</v>
      </c>
      <c r="J519" s="48">
        <v>111</v>
      </c>
      <c r="K519" s="48">
        <v>1</v>
      </c>
      <c r="N519" s="48">
        <v>0</v>
      </c>
      <c r="R519" s="49"/>
      <c r="S519" s="49"/>
      <c r="T519" s="49">
        <v>49309</v>
      </c>
      <c r="U519" s="49">
        <v>49309</v>
      </c>
      <c r="V519" s="49">
        <v>49309</v>
      </c>
      <c r="W519" s="49">
        <v>49309</v>
      </c>
      <c r="X519" s="48">
        <v>1</v>
      </c>
      <c r="Y519" s="48">
        <v>1</v>
      </c>
      <c r="Z519" s="48">
        <v>1</v>
      </c>
      <c r="AA519" s="156">
        <v>8390.977733491969</v>
      </c>
      <c r="AF519" s="48">
        <v>0</v>
      </c>
      <c r="AG519" s="49" t="s">
        <v>32</v>
      </c>
      <c r="AH519" s="48">
        <v>1</v>
      </c>
      <c r="AI519" s="48" t="s">
        <v>33</v>
      </c>
      <c r="AJ519" s="48" t="s">
        <v>33</v>
      </c>
      <c r="AK519" s="48" t="s">
        <v>33</v>
      </c>
      <c r="AL519" s="48" t="s">
        <v>34</v>
      </c>
      <c r="AN519" s="48">
        <v>0</v>
      </c>
      <c r="AO519" s="48">
        <v>0</v>
      </c>
      <c r="AP519" s="48">
        <v>0</v>
      </c>
      <c r="AQ519" s="48">
        <v>0</v>
      </c>
      <c r="AR519" s="48">
        <v>0</v>
      </c>
      <c r="AS519" s="48">
        <v>0</v>
      </c>
      <c r="AT519" s="48">
        <v>0</v>
      </c>
      <c r="AU519" s="48">
        <v>0</v>
      </c>
      <c r="AV519" s="48">
        <v>0</v>
      </c>
      <c r="AW519" s="48">
        <v>0</v>
      </c>
      <c r="AX519" s="48">
        <v>0</v>
      </c>
      <c r="AY519" s="48">
        <v>0</v>
      </c>
      <c r="AZ519" s="48">
        <v>0</v>
      </c>
      <c r="BA519" s="48">
        <v>0</v>
      </c>
      <c r="BB519" s="48">
        <v>0</v>
      </c>
    </row>
    <row r="520" spans="1:54" x14ac:dyDescent="0.35">
      <c r="A520" s="49">
        <v>45930</v>
      </c>
      <c r="B520" s="48">
        <v>1</v>
      </c>
      <c r="C520" s="50" t="s">
        <v>32</v>
      </c>
      <c r="D520" s="48" t="s">
        <v>31</v>
      </c>
      <c r="E520" s="48" t="s">
        <v>138</v>
      </c>
      <c r="F520" s="48" t="s">
        <v>139</v>
      </c>
      <c r="G520" s="49" t="s">
        <v>59</v>
      </c>
      <c r="H520" s="48" t="s">
        <v>160</v>
      </c>
      <c r="I520" s="48">
        <v>1</v>
      </c>
      <c r="J520" s="48">
        <v>112</v>
      </c>
      <c r="K520" s="48">
        <v>1</v>
      </c>
      <c r="N520" s="48">
        <v>0</v>
      </c>
      <c r="R520" s="49"/>
      <c r="S520" s="49"/>
      <c r="T520" s="49">
        <v>49340</v>
      </c>
      <c r="U520" s="49">
        <v>49340</v>
      </c>
      <c r="V520" s="49">
        <v>49340</v>
      </c>
      <c r="W520" s="49">
        <v>49340</v>
      </c>
      <c r="X520" s="48">
        <v>1</v>
      </c>
      <c r="Y520" s="48">
        <v>1</v>
      </c>
      <c r="Z520" s="48">
        <v>1</v>
      </c>
      <c r="AA520" s="156">
        <v>8390.977733491969</v>
      </c>
      <c r="AF520" s="48">
        <v>0</v>
      </c>
      <c r="AG520" s="49" t="s">
        <v>32</v>
      </c>
      <c r="AH520" s="48">
        <v>1</v>
      </c>
      <c r="AI520" s="48" t="s">
        <v>33</v>
      </c>
      <c r="AJ520" s="48" t="s">
        <v>33</v>
      </c>
      <c r="AK520" s="48" t="s">
        <v>33</v>
      </c>
      <c r="AL520" s="48" t="s">
        <v>34</v>
      </c>
      <c r="AN520" s="48">
        <v>0</v>
      </c>
      <c r="AO520" s="48">
        <v>0</v>
      </c>
      <c r="AP520" s="48">
        <v>0</v>
      </c>
      <c r="AQ520" s="48">
        <v>0</v>
      </c>
      <c r="AR520" s="48">
        <v>0</v>
      </c>
      <c r="AS520" s="48">
        <v>0</v>
      </c>
      <c r="AT520" s="48">
        <v>0</v>
      </c>
      <c r="AU520" s="48">
        <v>0</v>
      </c>
      <c r="AV520" s="48">
        <v>0</v>
      </c>
      <c r="AW520" s="48">
        <v>0</v>
      </c>
      <c r="AX520" s="48">
        <v>0</v>
      </c>
      <c r="AY520" s="48">
        <v>0</v>
      </c>
      <c r="AZ520" s="48">
        <v>0</v>
      </c>
      <c r="BA520" s="48">
        <v>0</v>
      </c>
      <c r="BB520" s="48">
        <v>0</v>
      </c>
    </row>
    <row r="521" spans="1:54" x14ac:dyDescent="0.35">
      <c r="A521" s="49">
        <v>45930</v>
      </c>
      <c r="B521" s="48">
        <v>1</v>
      </c>
      <c r="C521" s="50" t="s">
        <v>32</v>
      </c>
      <c r="D521" s="48" t="s">
        <v>31</v>
      </c>
      <c r="E521" s="48" t="s">
        <v>138</v>
      </c>
      <c r="F521" s="48" t="s">
        <v>139</v>
      </c>
      <c r="G521" s="49" t="s">
        <v>59</v>
      </c>
      <c r="H521" s="48" t="s">
        <v>160</v>
      </c>
      <c r="I521" s="48">
        <v>1</v>
      </c>
      <c r="J521" s="48">
        <v>113</v>
      </c>
      <c r="K521" s="48">
        <v>1</v>
      </c>
      <c r="N521" s="48">
        <v>0</v>
      </c>
      <c r="R521" s="49"/>
      <c r="S521" s="49"/>
      <c r="T521" s="49">
        <v>49368</v>
      </c>
      <c r="U521" s="49">
        <v>49368</v>
      </c>
      <c r="V521" s="49">
        <v>49368</v>
      </c>
      <c r="W521" s="49">
        <v>49368</v>
      </c>
      <c r="X521" s="48">
        <v>1</v>
      </c>
      <c r="Y521" s="48">
        <v>1</v>
      </c>
      <c r="Z521" s="48">
        <v>1</v>
      </c>
      <c r="AA521" s="156">
        <v>8390.977733491969</v>
      </c>
      <c r="AF521" s="48">
        <v>0</v>
      </c>
      <c r="AG521" s="49" t="s">
        <v>32</v>
      </c>
      <c r="AH521" s="48">
        <v>1</v>
      </c>
      <c r="AI521" s="48" t="s">
        <v>33</v>
      </c>
      <c r="AJ521" s="48" t="s">
        <v>33</v>
      </c>
      <c r="AK521" s="48" t="s">
        <v>33</v>
      </c>
      <c r="AL521" s="48" t="s">
        <v>34</v>
      </c>
      <c r="AN521" s="48">
        <v>0</v>
      </c>
      <c r="AO521" s="48">
        <v>0</v>
      </c>
      <c r="AP521" s="48">
        <v>0</v>
      </c>
      <c r="AQ521" s="48">
        <v>0</v>
      </c>
      <c r="AR521" s="48">
        <v>0</v>
      </c>
      <c r="AS521" s="48">
        <v>0</v>
      </c>
      <c r="AT521" s="48">
        <v>0</v>
      </c>
      <c r="AU521" s="48">
        <v>0</v>
      </c>
      <c r="AV521" s="48">
        <v>0</v>
      </c>
      <c r="AW521" s="48">
        <v>0</v>
      </c>
      <c r="AX521" s="48">
        <v>0</v>
      </c>
      <c r="AY521" s="48">
        <v>0</v>
      </c>
      <c r="AZ521" s="48">
        <v>0</v>
      </c>
      <c r="BA521" s="48">
        <v>0</v>
      </c>
      <c r="BB521" s="48">
        <v>0</v>
      </c>
    </row>
    <row r="522" spans="1:54" x14ac:dyDescent="0.35">
      <c r="A522" s="49">
        <v>45930</v>
      </c>
      <c r="B522" s="48">
        <v>1</v>
      </c>
      <c r="C522" s="50" t="s">
        <v>32</v>
      </c>
      <c r="D522" s="48" t="s">
        <v>31</v>
      </c>
      <c r="E522" s="48" t="s">
        <v>138</v>
      </c>
      <c r="F522" s="48" t="s">
        <v>139</v>
      </c>
      <c r="G522" s="49" t="s">
        <v>59</v>
      </c>
      <c r="H522" s="48" t="s">
        <v>160</v>
      </c>
      <c r="I522" s="48">
        <v>1</v>
      </c>
      <c r="J522" s="48">
        <v>114</v>
      </c>
      <c r="K522" s="48">
        <v>1</v>
      </c>
      <c r="N522" s="48">
        <v>0</v>
      </c>
      <c r="R522" s="49"/>
      <c r="S522" s="49"/>
      <c r="T522" s="49">
        <v>49399</v>
      </c>
      <c r="U522" s="49">
        <v>49399</v>
      </c>
      <c r="V522" s="49">
        <v>49399</v>
      </c>
      <c r="W522" s="49">
        <v>49399</v>
      </c>
      <c r="X522" s="48">
        <v>1</v>
      </c>
      <c r="Y522" s="48">
        <v>1</v>
      </c>
      <c r="Z522" s="48">
        <v>1</v>
      </c>
      <c r="AA522" s="156">
        <v>8390.977733491969</v>
      </c>
      <c r="AF522" s="48">
        <v>0</v>
      </c>
      <c r="AG522" s="49" t="s">
        <v>32</v>
      </c>
      <c r="AH522" s="48">
        <v>1</v>
      </c>
      <c r="AI522" s="48" t="s">
        <v>33</v>
      </c>
      <c r="AJ522" s="48" t="s">
        <v>33</v>
      </c>
      <c r="AK522" s="48" t="s">
        <v>33</v>
      </c>
      <c r="AL522" s="48" t="s">
        <v>34</v>
      </c>
      <c r="AN522" s="48">
        <v>0</v>
      </c>
      <c r="AO522" s="48">
        <v>0</v>
      </c>
      <c r="AP522" s="48">
        <v>0</v>
      </c>
      <c r="AQ522" s="48">
        <v>0</v>
      </c>
      <c r="AR522" s="48">
        <v>0</v>
      </c>
      <c r="AS522" s="48">
        <v>0</v>
      </c>
      <c r="AT522" s="48">
        <v>0</v>
      </c>
      <c r="AU522" s="48">
        <v>0</v>
      </c>
      <c r="AV522" s="48">
        <v>0</v>
      </c>
      <c r="AW522" s="48">
        <v>0</v>
      </c>
      <c r="AX522" s="48">
        <v>0</v>
      </c>
      <c r="AY522" s="48">
        <v>0</v>
      </c>
      <c r="AZ522" s="48">
        <v>0</v>
      </c>
      <c r="BA522" s="48">
        <v>0</v>
      </c>
      <c r="BB522" s="48">
        <v>0</v>
      </c>
    </row>
    <row r="523" spans="1:54" x14ac:dyDescent="0.35">
      <c r="A523" s="49">
        <v>45930</v>
      </c>
      <c r="B523" s="48">
        <v>1</v>
      </c>
      <c r="C523" s="50" t="s">
        <v>32</v>
      </c>
      <c r="D523" s="48" t="s">
        <v>31</v>
      </c>
      <c r="E523" s="48" t="s">
        <v>138</v>
      </c>
      <c r="F523" s="48" t="s">
        <v>139</v>
      </c>
      <c r="G523" s="49" t="s">
        <v>59</v>
      </c>
      <c r="H523" s="48" t="s">
        <v>160</v>
      </c>
      <c r="I523" s="48">
        <v>1</v>
      </c>
      <c r="J523" s="48">
        <v>115</v>
      </c>
      <c r="K523" s="48">
        <v>1</v>
      </c>
      <c r="N523" s="48">
        <v>0</v>
      </c>
      <c r="R523" s="49"/>
      <c r="S523" s="49"/>
      <c r="T523" s="49">
        <v>49429</v>
      </c>
      <c r="U523" s="49">
        <v>49429</v>
      </c>
      <c r="V523" s="49">
        <v>49429</v>
      </c>
      <c r="W523" s="49">
        <v>49429</v>
      </c>
      <c r="X523" s="48">
        <v>1</v>
      </c>
      <c r="Y523" s="48">
        <v>1</v>
      </c>
      <c r="Z523" s="48">
        <v>1</v>
      </c>
      <c r="AA523" s="156">
        <v>8390.977733491969</v>
      </c>
      <c r="AF523" s="48">
        <v>0</v>
      </c>
      <c r="AG523" s="49" t="s">
        <v>32</v>
      </c>
      <c r="AH523" s="48">
        <v>1</v>
      </c>
      <c r="AI523" s="48" t="s">
        <v>33</v>
      </c>
      <c r="AJ523" s="48" t="s">
        <v>33</v>
      </c>
      <c r="AK523" s="48" t="s">
        <v>33</v>
      </c>
      <c r="AL523" s="48" t="s">
        <v>34</v>
      </c>
      <c r="AN523" s="48">
        <v>0</v>
      </c>
      <c r="AO523" s="48">
        <v>0</v>
      </c>
      <c r="AP523" s="48">
        <v>0</v>
      </c>
      <c r="AQ523" s="48">
        <v>0</v>
      </c>
      <c r="AR523" s="48">
        <v>0</v>
      </c>
      <c r="AS523" s="48">
        <v>0</v>
      </c>
      <c r="AT523" s="48">
        <v>0</v>
      </c>
      <c r="AU523" s="48">
        <v>0</v>
      </c>
      <c r="AV523" s="48">
        <v>0</v>
      </c>
      <c r="AW523" s="48">
        <v>0</v>
      </c>
      <c r="AX523" s="48">
        <v>0</v>
      </c>
      <c r="AY523" s="48">
        <v>0</v>
      </c>
      <c r="AZ523" s="48">
        <v>0</v>
      </c>
      <c r="BA523" s="48">
        <v>0</v>
      </c>
      <c r="BB523" s="48">
        <v>0</v>
      </c>
    </row>
    <row r="524" spans="1:54" x14ac:dyDescent="0.35">
      <c r="A524" s="49">
        <v>45930</v>
      </c>
      <c r="B524" s="48">
        <v>1</v>
      </c>
      <c r="C524" s="50" t="s">
        <v>32</v>
      </c>
      <c r="D524" s="48" t="s">
        <v>31</v>
      </c>
      <c r="E524" s="48" t="s">
        <v>138</v>
      </c>
      <c r="F524" s="48" t="s">
        <v>139</v>
      </c>
      <c r="G524" s="49" t="s">
        <v>59</v>
      </c>
      <c r="H524" s="48" t="s">
        <v>160</v>
      </c>
      <c r="I524" s="48">
        <v>1</v>
      </c>
      <c r="J524" s="48">
        <v>116</v>
      </c>
      <c r="K524" s="48">
        <v>1</v>
      </c>
      <c r="N524" s="48">
        <v>0</v>
      </c>
      <c r="R524" s="49"/>
      <c r="S524" s="49"/>
      <c r="T524" s="49">
        <v>49460</v>
      </c>
      <c r="U524" s="49">
        <v>49460</v>
      </c>
      <c r="V524" s="49">
        <v>49460</v>
      </c>
      <c r="W524" s="49">
        <v>49460</v>
      </c>
      <c r="X524" s="48">
        <v>1</v>
      </c>
      <c r="Y524" s="48">
        <v>1</v>
      </c>
      <c r="Z524" s="48">
        <v>1</v>
      </c>
      <c r="AA524" s="156">
        <v>8390.977733491969</v>
      </c>
      <c r="AF524" s="48">
        <v>0</v>
      </c>
      <c r="AG524" s="49" t="s">
        <v>32</v>
      </c>
      <c r="AH524" s="48">
        <v>1</v>
      </c>
      <c r="AI524" s="48" t="s">
        <v>33</v>
      </c>
      <c r="AJ524" s="48" t="s">
        <v>33</v>
      </c>
      <c r="AK524" s="48" t="s">
        <v>33</v>
      </c>
      <c r="AL524" s="48" t="s">
        <v>34</v>
      </c>
      <c r="AN524" s="48">
        <v>0</v>
      </c>
      <c r="AO524" s="48">
        <v>0</v>
      </c>
      <c r="AP524" s="48">
        <v>0</v>
      </c>
      <c r="AQ524" s="48">
        <v>0</v>
      </c>
      <c r="AR524" s="48">
        <v>0</v>
      </c>
      <c r="AS524" s="48">
        <v>0</v>
      </c>
      <c r="AT524" s="48">
        <v>0</v>
      </c>
      <c r="AU524" s="48">
        <v>0</v>
      </c>
      <c r="AV524" s="48">
        <v>0</v>
      </c>
      <c r="AW524" s="48">
        <v>0</v>
      </c>
      <c r="AX524" s="48">
        <v>0</v>
      </c>
      <c r="AY524" s="48">
        <v>0</v>
      </c>
      <c r="AZ524" s="48">
        <v>0</v>
      </c>
      <c r="BA524" s="48">
        <v>0</v>
      </c>
      <c r="BB524" s="48">
        <v>0</v>
      </c>
    </row>
    <row r="525" spans="1:54" x14ac:dyDescent="0.35">
      <c r="A525" s="49">
        <v>45930</v>
      </c>
      <c r="B525" s="48">
        <v>1</v>
      </c>
      <c r="C525" s="50" t="s">
        <v>32</v>
      </c>
      <c r="D525" s="48" t="s">
        <v>31</v>
      </c>
      <c r="E525" s="48" t="s">
        <v>138</v>
      </c>
      <c r="F525" s="48" t="s">
        <v>139</v>
      </c>
      <c r="G525" s="49" t="s">
        <v>59</v>
      </c>
      <c r="H525" s="48" t="s">
        <v>160</v>
      </c>
      <c r="I525" s="48">
        <v>1</v>
      </c>
      <c r="J525" s="48">
        <v>117</v>
      </c>
      <c r="K525" s="48">
        <v>1</v>
      </c>
      <c r="N525" s="48">
        <v>0</v>
      </c>
      <c r="R525" s="49"/>
      <c r="S525" s="49"/>
      <c r="T525" s="49">
        <v>49490</v>
      </c>
      <c r="U525" s="49">
        <v>49490</v>
      </c>
      <c r="V525" s="49">
        <v>49490</v>
      </c>
      <c r="W525" s="49">
        <v>49490</v>
      </c>
      <c r="X525" s="48">
        <v>1</v>
      </c>
      <c r="Y525" s="48">
        <v>1</v>
      </c>
      <c r="Z525" s="48">
        <v>1</v>
      </c>
      <c r="AA525" s="156">
        <v>8390.977733491969</v>
      </c>
      <c r="AF525" s="48">
        <v>0</v>
      </c>
      <c r="AG525" s="49" t="s">
        <v>32</v>
      </c>
      <c r="AH525" s="48">
        <v>1</v>
      </c>
      <c r="AI525" s="48" t="s">
        <v>33</v>
      </c>
      <c r="AJ525" s="48" t="s">
        <v>33</v>
      </c>
      <c r="AK525" s="48" t="s">
        <v>33</v>
      </c>
      <c r="AL525" s="48" t="s">
        <v>34</v>
      </c>
      <c r="AN525" s="48">
        <v>0</v>
      </c>
      <c r="AO525" s="48">
        <v>0</v>
      </c>
      <c r="AP525" s="48">
        <v>0</v>
      </c>
      <c r="AQ525" s="48">
        <v>0</v>
      </c>
      <c r="AR525" s="48">
        <v>0</v>
      </c>
      <c r="AS525" s="48">
        <v>0</v>
      </c>
      <c r="AT525" s="48">
        <v>0</v>
      </c>
      <c r="AU525" s="48">
        <v>0</v>
      </c>
      <c r="AV525" s="48">
        <v>0</v>
      </c>
      <c r="AW525" s="48">
        <v>0</v>
      </c>
      <c r="AX525" s="48">
        <v>0</v>
      </c>
      <c r="AY525" s="48">
        <v>0</v>
      </c>
      <c r="AZ525" s="48">
        <v>0</v>
      </c>
      <c r="BA525" s="48">
        <v>0</v>
      </c>
      <c r="BB525" s="48">
        <v>0</v>
      </c>
    </row>
    <row r="526" spans="1:54" x14ac:dyDescent="0.35">
      <c r="A526" s="49">
        <v>45930</v>
      </c>
      <c r="B526" s="48">
        <v>1</v>
      </c>
      <c r="C526" s="50" t="s">
        <v>32</v>
      </c>
      <c r="D526" s="48" t="s">
        <v>31</v>
      </c>
      <c r="E526" s="48" t="s">
        <v>138</v>
      </c>
      <c r="F526" s="48" t="s">
        <v>139</v>
      </c>
      <c r="G526" s="49" t="s">
        <v>59</v>
      </c>
      <c r="H526" s="48" t="s">
        <v>160</v>
      </c>
      <c r="I526" s="48">
        <v>1</v>
      </c>
      <c r="J526" s="48">
        <v>118</v>
      </c>
      <c r="K526" s="48">
        <v>1</v>
      </c>
      <c r="N526" s="48">
        <v>0</v>
      </c>
      <c r="R526" s="49"/>
      <c r="S526" s="49"/>
      <c r="T526" s="49">
        <v>49521</v>
      </c>
      <c r="U526" s="49">
        <v>49521</v>
      </c>
      <c r="V526" s="49">
        <v>49521</v>
      </c>
      <c r="W526" s="49">
        <v>49521</v>
      </c>
      <c r="X526" s="48">
        <v>1</v>
      </c>
      <c r="Y526" s="48">
        <v>1</v>
      </c>
      <c r="Z526" s="48">
        <v>1</v>
      </c>
      <c r="AA526" s="156">
        <v>8390.977733491969</v>
      </c>
      <c r="AF526" s="48">
        <v>0</v>
      </c>
      <c r="AG526" s="49" t="s">
        <v>32</v>
      </c>
      <c r="AH526" s="48">
        <v>1</v>
      </c>
      <c r="AI526" s="48" t="s">
        <v>33</v>
      </c>
      <c r="AJ526" s="48" t="s">
        <v>33</v>
      </c>
      <c r="AK526" s="48" t="s">
        <v>33</v>
      </c>
      <c r="AL526" s="48" t="s">
        <v>34</v>
      </c>
      <c r="AN526" s="48">
        <v>0</v>
      </c>
      <c r="AO526" s="48">
        <v>0</v>
      </c>
      <c r="AP526" s="48">
        <v>0</v>
      </c>
      <c r="AQ526" s="48">
        <v>0</v>
      </c>
      <c r="AR526" s="48">
        <v>0</v>
      </c>
      <c r="AS526" s="48">
        <v>0</v>
      </c>
      <c r="AT526" s="48">
        <v>0</v>
      </c>
      <c r="AU526" s="48">
        <v>0</v>
      </c>
      <c r="AV526" s="48">
        <v>0</v>
      </c>
      <c r="AW526" s="48">
        <v>0</v>
      </c>
      <c r="AX526" s="48">
        <v>0</v>
      </c>
      <c r="AY526" s="48">
        <v>0</v>
      </c>
      <c r="AZ526" s="48">
        <v>0</v>
      </c>
      <c r="BA526" s="48">
        <v>0</v>
      </c>
      <c r="BB526" s="48">
        <v>0</v>
      </c>
    </row>
    <row r="527" spans="1:54" x14ac:dyDescent="0.35">
      <c r="A527" s="49">
        <v>45930</v>
      </c>
      <c r="B527" s="48">
        <v>1</v>
      </c>
      <c r="C527" s="50" t="s">
        <v>32</v>
      </c>
      <c r="D527" s="48" t="s">
        <v>31</v>
      </c>
      <c r="E527" s="48" t="s">
        <v>138</v>
      </c>
      <c r="F527" s="48" t="s">
        <v>139</v>
      </c>
      <c r="G527" s="49" t="s">
        <v>59</v>
      </c>
      <c r="H527" s="48" t="s">
        <v>160</v>
      </c>
      <c r="I527" s="48">
        <v>1</v>
      </c>
      <c r="J527" s="48">
        <v>119</v>
      </c>
      <c r="K527" s="48">
        <v>1</v>
      </c>
      <c r="N527" s="48">
        <v>0</v>
      </c>
      <c r="R527" s="49"/>
      <c r="S527" s="49"/>
      <c r="T527" s="49">
        <v>49552</v>
      </c>
      <c r="U527" s="49">
        <v>49552</v>
      </c>
      <c r="V527" s="49">
        <v>49552</v>
      </c>
      <c r="W527" s="49">
        <v>49552</v>
      </c>
      <c r="X527" s="48">
        <v>1</v>
      </c>
      <c r="Y527" s="48">
        <v>1</v>
      </c>
      <c r="Z527" s="48">
        <v>1</v>
      </c>
      <c r="AA527" s="156">
        <v>8390.977733491969</v>
      </c>
      <c r="AF527" s="48">
        <v>0</v>
      </c>
      <c r="AG527" s="49" t="s">
        <v>32</v>
      </c>
      <c r="AH527" s="48">
        <v>1</v>
      </c>
      <c r="AI527" s="48" t="s">
        <v>33</v>
      </c>
      <c r="AJ527" s="48" t="s">
        <v>33</v>
      </c>
      <c r="AK527" s="48" t="s">
        <v>33</v>
      </c>
      <c r="AL527" s="48" t="s">
        <v>34</v>
      </c>
      <c r="AN527" s="48">
        <v>0</v>
      </c>
      <c r="AO527" s="48">
        <v>0</v>
      </c>
      <c r="AP527" s="48">
        <v>0</v>
      </c>
      <c r="AQ527" s="48">
        <v>0</v>
      </c>
      <c r="AR527" s="48">
        <v>0</v>
      </c>
      <c r="AS527" s="48">
        <v>0</v>
      </c>
      <c r="AT527" s="48">
        <v>0</v>
      </c>
      <c r="AU527" s="48">
        <v>0</v>
      </c>
      <c r="AV527" s="48">
        <v>0</v>
      </c>
      <c r="AW527" s="48">
        <v>0</v>
      </c>
      <c r="AX527" s="48">
        <v>0</v>
      </c>
      <c r="AY527" s="48">
        <v>0</v>
      </c>
      <c r="AZ527" s="48">
        <v>0</v>
      </c>
      <c r="BA527" s="48">
        <v>0</v>
      </c>
      <c r="BB527" s="48">
        <v>0</v>
      </c>
    </row>
    <row r="528" spans="1:54" x14ac:dyDescent="0.35">
      <c r="A528" s="49">
        <v>45930</v>
      </c>
      <c r="B528" s="48">
        <v>1</v>
      </c>
      <c r="C528" s="50" t="s">
        <v>32</v>
      </c>
      <c r="D528" s="48" t="s">
        <v>31</v>
      </c>
      <c r="E528" s="48" t="s">
        <v>138</v>
      </c>
      <c r="F528" s="48" t="s">
        <v>139</v>
      </c>
      <c r="G528" s="49" t="s">
        <v>59</v>
      </c>
      <c r="H528" s="48" t="s">
        <v>160</v>
      </c>
      <c r="I528" s="48">
        <v>1</v>
      </c>
      <c r="J528" s="48">
        <v>120</v>
      </c>
      <c r="K528" s="48">
        <v>1</v>
      </c>
      <c r="N528" s="48">
        <v>0</v>
      </c>
      <c r="R528" s="49"/>
      <c r="S528" s="49"/>
      <c r="T528" s="49">
        <v>49582</v>
      </c>
      <c r="U528" s="49">
        <v>49582</v>
      </c>
      <c r="V528" s="49">
        <v>49582</v>
      </c>
      <c r="W528" s="49">
        <v>49582</v>
      </c>
      <c r="X528" s="48">
        <v>1</v>
      </c>
      <c r="Y528" s="48">
        <v>1</v>
      </c>
      <c r="Z528" s="48">
        <v>1</v>
      </c>
      <c r="AA528" s="156">
        <v>8390.977733491969</v>
      </c>
      <c r="AF528" s="48">
        <v>0</v>
      </c>
      <c r="AG528" s="49" t="s">
        <v>32</v>
      </c>
      <c r="AH528" s="48">
        <v>1</v>
      </c>
      <c r="AI528" s="48" t="s">
        <v>33</v>
      </c>
      <c r="AJ528" s="48" t="s">
        <v>33</v>
      </c>
      <c r="AK528" s="48" t="s">
        <v>33</v>
      </c>
      <c r="AL528" s="48" t="s">
        <v>34</v>
      </c>
      <c r="AN528" s="48">
        <v>0</v>
      </c>
      <c r="AO528" s="48">
        <v>0</v>
      </c>
      <c r="AP528" s="48">
        <v>0</v>
      </c>
      <c r="AQ528" s="48">
        <v>0</v>
      </c>
      <c r="AR528" s="48">
        <v>0</v>
      </c>
      <c r="AS528" s="48">
        <v>0</v>
      </c>
      <c r="AT528" s="48">
        <v>0</v>
      </c>
      <c r="AU528" s="48">
        <v>0</v>
      </c>
      <c r="AV528" s="48">
        <v>0</v>
      </c>
      <c r="AW528" s="48">
        <v>0</v>
      </c>
      <c r="AX528" s="48">
        <v>0</v>
      </c>
      <c r="AY528" s="48">
        <v>0</v>
      </c>
      <c r="AZ528" s="48">
        <v>0</v>
      </c>
      <c r="BA528" s="48">
        <v>0</v>
      </c>
      <c r="BB528" s="48">
        <v>0</v>
      </c>
    </row>
    <row r="529" spans="1:54" x14ac:dyDescent="0.35">
      <c r="A529" s="49">
        <v>45930</v>
      </c>
      <c r="B529" s="48">
        <v>1</v>
      </c>
      <c r="C529" s="50" t="s">
        <v>32</v>
      </c>
      <c r="D529" s="48" t="s">
        <v>31</v>
      </c>
      <c r="E529" s="48" t="s">
        <v>138</v>
      </c>
      <c r="F529" s="48" t="s">
        <v>139</v>
      </c>
      <c r="G529" s="49" t="s">
        <v>59</v>
      </c>
      <c r="H529" s="48" t="s">
        <v>160</v>
      </c>
      <c r="I529" s="48">
        <v>1</v>
      </c>
      <c r="J529" s="48">
        <v>121</v>
      </c>
      <c r="K529" s="48">
        <v>1</v>
      </c>
      <c r="N529" s="48">
        <v>0</v>
      </c>
      <c r="R529" s="49"/>
      <c r="S529" s="49"/>
      <c r="T529" s="49">
        <v>49613</v>
      </c>
      <c r="U529" s="49">
        <v>49613</v>
      </c>
      <c r="V529" s="49">
        <v>49613</v>
      </c>
      <c r="W529" s="49">
        <v>49613</v>
      </c>
      <c r="X529" s="48">
        <v>1</v>
      </c>
      <c r="Y529" s="48">
        <v>1</v>
      </c>
      <c r="Z529" s="48">
        <v>1</v>
      </c>
      <c r="AA529" s="156">
        <v>8390.977733491969</v>
      </c>
      <c r="AF529" s="48">
        <v>0</v>
      </c>
      <c r="AG529" s="49" t="s">
        <v>32</v>
      </c>
      <c r="AH529" s="48">
        <v>1</v>
      </c>
      <c r="AI529" s="48" t="s">
        <v>33</v>
      </c>
      <c r="AJ529" s="48" t="s">
        <v>33</v>
      </c>
      <c r="AK529" s="48" t="s">
        <v>33</v>
      </c>
      <c r="AL529" s="48" t="s">
        <v>34</v>
      </c>
      <c r="AN529" s="48">
        <v>0</v>
      </c>
      <c r="AO529" s="48">
        <v>0</v>
      </c>
      <c r="AP529" s="48">
        <v>0</v>
      </c>
      <c r="AQ529" s="48">
        <v>0</v>
      </c>
      <c r="AR529" s="48">
        <v>0</v>
      </c>
      <c r="AS529" s="48">
        <v>0</v>
      </c>
      <c r="AT529" s="48">
        <v>0</v>
      </c>
      <c r="AU529" s="48">
        <v>0</v>
      </c>
      <c r="AV529" s="48">
        <v>0</v>
      </c>
      <c r="AW529" s="48">
        <v>0</v>
      </c>
      <c r="AX529" s="48">
        <v>0</v>
      </c>
      <c r="AY529" s="48">
        <v>0</v>
      </c>
      <c r="AZ529" s="48">
        <v>0</v>
      </c>
      <c r="BA529" s="48">
        <v>0</v>
      </c>
      <c r="BB529" s="48">
        <v>0</v>
      </c>
    </row>
    <row r="530" spans="1:54" x14ac:dyDescent="0.35">
      <c r="A530" s="49">
        <v>45930</v>
      </c>
      <c r="B530" s="48">
        <v>1</v>
      </c>
      <c r="C530" s="50" t="s">
        <v>32</v>
      </c>
      <c r="D530" s="48" t="s">
        <v>31</v>
      </c>
      <c r="E530" s="48" t="s">
        <v>138</v>
      </c>
      <c r="F530" s="48" t="s">
        <v>139</v>
      </c>
      <c r="G530" s="49" t="s">
        <v>59</v>
      </c>
      <c r="H530" s="48" t="s">
        <v>160</v>
      </c>
      <c r="I530" s="48">
        <v>1</v>
      </c>
      <c r="J530" s="48">
        <v>122</v>
      </c>
      <c r="K530" s="48">
        <v>1</v>
      </c>
      <c r="N530" s="48">
        <v>0</v>
      </c>
      <c r="R530" s="49"/>
      <c r="S530" s="49"/>
      <c r="T530" s="49">
        <v>49643</v>
      </c>
      <c r="U530" s="49">
        <v>49643</v>
      </c>
      <c r="V530" s="49">
        <v>49643</v>
      </c>
      <c r="W530" s="49">
        <v>49643</v>
      </c>
      <c r="X530" s="48">
        <v>1</v>
      </c>
      <c r="Y530" s="48">
        <v>1</v>
      </c>
      <c r="Z530" s="48">
        <v>1</v>
      </c>
      <c r="AA530" s="156">
        <v>8390.977733491969</v>
      </c>
      <c r="AF530" s="48">
        <v>0</v>
      </c>
      <c r="AG530" s="49" t="s">
        <v>32</v>
      </c>
      <c r="AH530" s="48">
        <v>1</v>
      </c>
      <c r="AI530" s="48" t="s">
        <v>33</v>
      </c>
      <c r="AJ530" s="48" t="s">
        <v>33</v>
      </c>
      <c r="AK530" s="48" t="s">
        <v>33</v>
      </c>
      <c r="AL530" s="48" t="s">
        <v>34</v>
      </c>
      <c r="AN530" s="48">
        <v>0</v>
      </c>
      <c r="AO530" s="48">
        <v>0</v>
      </c>
      <c r="AP530" s="48">
        <v>0</v>
      </c>
      <c r="AQ530" s="48">
        <v>0</v>
      </c>
      <c r="AR530" s="48">
        <v>0</v>
      </c>
      <c r="AS530" s="48">
        <v>0</v>
      </c>
      <c r="AT530" s="48">
        <v>0</v>
      </c>
      <c r="AU530" s="48">
        <v>0</v>
      </c>
      <c r="AV530" s="48">
        <v>0</v>
      </c>
      <c r="AW530" s="48">
        <v>0</v>
      </c>
      <c r="AX530" s="48">
        <v>0</v>
      </c>
      <c r="AY530" s="48">
        <v>0</v>
      </c>
      <c r="AZ530" s="48">
        <v>0</v>
      </c>
      <c r="BA530" s="48">
        <v>0</v>
      </c>
      <c r="BB530" s="48">
        <v>0</v>
      </c>
    </row>
    <row r="531" spans="1:54" x14ac:dyDescent="0.35">
      <c r="A531" s="49">
        <v>45930</v>
      </c>
      <c r="B531" s="48">
        <v>1</v>
      </c>
      <c r="C531" s="50" t="s">
        <v>32</v>
      </c>
      <c r="D531" s="48" t="s">
        <v>31</v>
      </c>
      <c r="E531" s="48" t="s">
        <v>138</v>
      </c>
      <c r="F531" s="48" t="s">
        <v>139</v>
      </c>
      <c r="G531" s="49" t="s">
        <v>59</v>
      </c>
      <c r="H531" s="48" t="s">
        <v>160</v>
      </c>
      <c r="I531" s="48">
        <v>1</v>
      </c>
      <c r="J531" s="48">
        <v>123</v>
      </c>
      <c r="K531" s="48">
        <v>1</v>
      </c>
      <c r="N531" s="48">
        <v>0</v>
      </c>
      <c r="R531" s="49"/>
      <c r="S531" s="49"/>
      <c r="T531" s="49">
        <v>49674</v>
      </c>
      <c r="U531" s="49">
        <v>49674</v>
      </c>
      <c r="V531" s="49">
        <v>49674</v>
      </c>
      <c r="W531" s="49">
        <v>49674</v>
      </c>
      <c r="X531" s="48">
        <v>1</v>
      </c>
      <c r="Y531" s="48">
        <v>1</v>
      </c>
      <c r="Z531" s="48">
        <v>1</v>
      </c>
      <c r="AA531" s="156">
        <v>8390.977733491969</v>
      </c>
      <c r="AF531" s="48">
        <v>0</v>
      </c>
      <c r="AG531" s="49" t="s">
        <v>32</v>
      </c>
      <c r="AH531" s="48">
        <v>1</v>
      </c>
      <c r="AI531" s="48" t="s">
        <v>33</v>
      </c>
      <c r="AJ531" s="48" t="s">
        <v>33</v>
      </c>
      <c r="AK531" s="48" t="s">
        <v>33</v>
      </c>
      <c r="AL531" s="48" t="s">
        <v>34</v>
      </c>
      <c r="AN531" s="48">
        <v>0</v>
      </c>
      <c r="AO531" s="48">
        <v>0</v>
      </c>
      <c r="AP531" s="48">
        <v>0</v>
      </c>
      <c r="AQ531" s="48">
        <v>0</v>
      </c>
      <c r="AR531" s="48">
        <v>0</v>
      </c>
      <c r="AS531" s="48">
        <v>0</v>
      </c>
      <c r="AT531" s="48">
        <v>0</v>
      </c>
      <c r="AU531" s="48">
        <v>0</v>
      </c>
      <c r="AV531" s="48">
        <v>0</v>
      </c>
      <c r="AW531" s="48">
        <v>0</v>
      </c>
      <c r="AX531" s="48">
        <v>0</v>
      </c>
      <c r="AY531" s="48">
        <v>0</v>
      </c>
      <c r="AZ531" s="48">
        <v>0</v>
      </c>
      <c r="BA531" s="48">
        <v>0</v>
      </c>
      <c r="BB531" s="48">
        <v>0</v>
      </c>
    </row>
    <row r="532" spans="1:54" x14ac:dyDescent="0.35">
      <c r="A532" s="49">
        <v>45930</v>
      </c>
      <c r="B532" s="48">
        <v>1</v>
      </c>
      <c r="C532" s="50" t="s">
        <v>32</v>
      </c>
      <c r="D532" s="48" t="s">
        <v>31</v>
      </c>
      <c r="E532" s="48" t="s">
        <v>138</v>
      </c>
      <c r="F532" s="48" t="s">
        <v>139</v>
      </c>
      <c r="G532" s="49" t="s">
        <v>59</v>
      </c>
      <c r="H532" s="48" t="s">
        <v>160</v>
      </c>
      <c r="I532" s="48">
        <v>1</v>
      </c>
      <c r="J532" s="48">
        <v>124</v>
      </c>
      <c r="K532" s="48">
        <v>1</v>
      </c>
      <c r="N532" s="48">
        <v>0</v>
      </c>
      <c r="R532" s="49"/>
      <c r="S532" s="49"/>
      <c r="T532" s="49">
        <v>49705</v>
      </c>
      <c r="U532" s="49">
        <v>49705</v>
      </c>
      <c r="V532" s="49">
        <v>49705</v>
      </c>
      <c r="W532" s="49">
        <v>49705</v>
      </c>
      <c r="X532" s="48">
        <v>1</v>
      </c>
      <c r="Y532" s="48">
        <v>1</v>
      </c>
      <c r="Z532" s="48">
        <v>1</v>
      </c>
      <c r="AA532" s="156">
        <v>8390.977733491969</v>
      </c>
      <c r="AF532" s="48">
        <v>0</v>
      </c>
      <c r="AG532" s="49" t="s">
        <v>32</v>
      </c>
      <c r="AH532" s="48">
        <v>1</v>
      </c>
      <c r="AI532" s="48" t="s">
        <v>33</v>
      </c>
      <c r="AJ532" s="48" t="s">
        <v>33</v>
      </c>
      <c r="AK532" s="48" t="s">
        <v>33</v>
      </c>
      <c r="AL532" s="48" t="s">
        <v>34</v>
      </c>
      <c r="AN532" s="48">
        <v>0</v>
      </c>
      <c r="AO532" s="48">
        <v>0</v>
      </c>
      <c r="AP532" s="48">
        <v>0</v>
      </c>
      <c r="AQ532" s="48">
        <v>0</v>
      </c>
      <c r="AR532" s="48">
        <v>0</v>
      </c>
      <c r="AS532" s="48">
        <v>0</v>
      </c>
      <c r="AT532" s="48">
        <v>0</v>
      </c>
      <c r="AU532" s="48">
        <v>0</v>
      </c>
      <c r="AV532" s="48">
        <v>0</v>
      </c>
      <c r="AW532" s="48">
        <v>0</v>
      </c>
      <c r="AX532" s="48">
        <v>0</v>
      </c>
      <c r="AY532" s="48">
        <v>0</v>
      </c>
      <c r="AZ532" s="48">
        <v>0</v>
      </c>
      <c r="BA532" s="48">
        <v>0</v>
      </c>
      <c r="BB532" s="48">
        <v>0</v>
      </c>
    </row>
    <row r="533" spans="1:54" x14ac:dyDescent="0.35">
      <c r="A533" s="49">
        <v>45930</v>
      </c>
      <c r="B533" s="48">
        <v>1</v>
      </c>
      <c r="C533" s="50" t="s">
        <v>32</v>
      </c>
      <c r="D533" s="48" t="s">
        <v>31</v>
      </c>
      <c r="E533" s="48" t="s">
        <v>138</v>
      </c>
      <c r="F533" s="48" t="s">
        <v>139</v>
      </c>
      <c r="G533" s="49" t="s">
        <v>59</v>
      </c>
      <c r="H533" s="48" t="s">
        <v>160</v>
      </c>
      <c r="I533" s="48">
        <v>1</v>
      </c>
      <c r="J533" s="48">
        <v>125</v>
      </c>
      <c r="K533" s="48">
        <v>1</v>
      </c>
      <c r="N533" s="48">
        <v>0</v>
      </c>
      <c r="R533" s="49"/>
      <c r="S533" s="49"/>
      <c r="T533" s="49">
        <v>49734</v>
      </c>
      <c r="U533" s="49">
        <v>49734</v>
      </c>
      <c r="V533" s="49">
        <v>49734</v>
      </c>
      <c r="W533" s="49">
        <v>49734</v>
      </c>
      <c r="X533" s="48">
        <v>1</v>
      </c>
      <c r="Y533" s="48">
        <v>1</v>
      </c>
      <c r="Z533" s="48">
        <v>1</v>
      </c>
      <c r="AA533" s="156">
        <v>8390.977733491969</v>
      </c>
      <c r="AF533" s="48">
        <v>0</v>
      </c>
      <c r="AG533" s="49" t="s">
        <v>32</v>
      </c>
      <c r="AH533" s="48">
        <v>1</v>
      </c>
      <c r="AI533" s="48" t="s">
        <v>33</v>
      </c>
      <c r="AJ533" s="48" t="s">
        <v>33</v>
      </c>
      <c r="AK533" s="48" t="s">
        <v>33</v>
      </c>
      <c r="AL533" s="48" t="s">
        <v>34</v>
      </c>
      <c r="AN533" s="48">
        <v>0</v>
      </c>
      <c r="AO533" s="48">
        <v>0</v>
      </c>
      <c r="AP533" s="48">
        <v>0</v>
      </c>
      <c r="AQ533" s="48">
        <v>0</v>
      </c>
      <c r="AR533" s="48">
        <v>0</v>
      </c>
      <c r="AS533" s="48">
        <v>0</v>
      </c>
      <c r="AT533" s="48">
        <v>0</v>
      </c>
      <c r="AU533" s="48">
        <v>0</v>
      </c>
      <c r="AV533" s="48">
        <v>0</v>
      </c>
      <c r="AW533" s="48">
        <v>0</v>
      </c>
      <c r="AX533" s="48">
        <v>0</v>
      </c>
      <c r="AY533" s="48">
        <v>0</v>
      </c>
      <c r="AZ533" s="48">
        <v>0</v>
      </c>
      <c r="BA533" s="48">
        <v>0</v>
      </c>
      <c r="BB533" s="48">
        <v>0</v>
      </c>
    </row>
    <row r="534" spans="1:54" x14ac:dyDescent="0.35">
      <c r="A534" s="49">
        <v>45930</v>
      </c>
      <c r="B534" s="48">
        <v>1</v>
      </c>
      <c r="C534" s="50" t="s">
        <v>32</v>
      </c>
      <c r="D534" s="48" t="s">
        <v>31</v>
      </c>
      <c r="E534" s="48" t="s">
        <v>138</v>
      </c>
      <c r="F534" s="48" t="s">
        <v>139</v>
      </c>
      <c r="G534" s="49" t="s">
        <v>59</v>
      </c>
      <c r="H534" s="48" t="s">
        <v>160</v>
      </c>
      <c r="I534" s="48">
        <v>1</v>
      </c>
      <c r="J534" s="48">
        <v>126</v>
      </c>
      <c r="K534" s="48">
        <v>1</v>
      </c>
      <c r="N534" s="48">
        <v>0</v>
      </c>
      <c r="R534" s="49"/>
      <c r="S534" s="49"/>
      <c r="T534" s="49">
        <v>49765</v>
      </c>
      <c r="U534" s="49">
        <v>49765</v>
      </c>
      <c r="V534" s="49">
        <v>49765</v>
      </c>
      <c r="W534" s="49">
        <v>49765</v>
      </c>
      <c r="X534" s="48">
        <v>1</v>
      </c>
      <c r="Y534" s="48">
        <v>1</v>
      </c>
      <c r="Z534" s="48">
        <v>1</v>
      </c>
      <c r="AA534" s="156">
        <v>8390.977733491969</v>
      </c>
      <c r="AF534" s="48">
        <v>0</v>
      </c>
      <c r="AG534" s="49" t="s">
        <v>32</v>
      </c>
      <c r="AH534" s="48">
        <v>1</v>
      </c>
      <c r="AI534" s="48" t="s">
        <v>33</v>
      </c>
      <c r="AJ534" s="48" t="s">
        <v>33</v>
      </c>
      <c r="AK534" s="48" t="s">
        <v>33</v>
      </c>
      <c r="AL534" s="48" t="s">
        <v>34</v>
      </c>
      <c r="AN534" s="48">
        <v>0</v>
      </c>
      <c r="AO534" s="48">
        <v>0</v>
      </c>
      <c r="AP534" s="48">
        <v>0</v>
      </c>
      <c r="AQ534" s="48">
        <v>0</v>
      </c>
      <c r="AR534" s="48">
        <v>0</v>
      </c>
      <c r="AS534" s="48">
        <v>0</v>
      </c>
      <c r="AT534" s="48">
        <v>0</v>
      </c>
      <c r="AU534" s="48">
        <v>0</v>
      </c>
      <c r="AV534" s="48">
        <v>0</v>
      </c>
      <c r="AW534" s="48">
        <v>0</v>
      </c>
      <c r="AX534" s="48">
        <v>0</v>
      </c>
      <c r="AY534" s="48">
        <v>0</v>
      </c>
      <c r="AZ534" s="48">
        <v>0</v>
      </c>
      <c r="BA534" s="48">
        <v>0</v>
      </c>
      <c r="BB534" s="48">
        <v>0</v>
      </c>
    </row>
    <row r="535" spans="1:54" x14ac:dyDescent="0.35">
      <c r="A535" s="49">
        <v>45930</v>
      </c>
      <c r="B535" s="48">
        <v>1</v>
      </c>
      <c r="C535" s="50" t="s">
        <v>32</v>
      </c>
      <c r="D535" s="48" t="s">
        <v>31</v>
      </c>
      <c r="E535" s="48" t="s">
        <v>138</v>
      </c>
      <c r="F535" s="48" t="s">
        <v>139</v>
      </c>
      <c r="G535" s="49" t="s">
        <v>59</v>
      </c>
      <c r="H535" s="48" t="s">
        <v>160</v>
      </c>
      <c r="I535" s="48">
        <v>1</v>
      </c>
      <c r="J535" s="48">
        <v>127</v>
      </c>
      <c r="K535" s="48">
        <v>1</v>
      </c>
      <c r="N535" s="48">
        <v>0</v>
      </c>
      <c r="R535" s="49"/>
      <c r="S535" s="49"/>
      <c r="T535" s="49">
        <v>49795</v>
      </c>
      <c r="U535" s="49">
        <v>49795</v>
      </c>
      <c r="V535" s="49">
        <v>49795</v>
      </c>
      <c r="W535" s="49">
        <v>49795</v>
      </c>
      <c r="X535" s="48">
        <v>1</v>
      </c>
      <c r="Y535" s="48">
        <v>1</v>
      </c>
      <c r="Z535" s="48">
        <v>1</v>
      </c>
      <c r="AA535" s="156">
        <v>104.66523349196908</v>
      </c>
      <c r="AF535" s="48">
        <v>0</v>
      </c>
      <c r="AG535" s="49" t="s">
        <v>32</v>
      </c>
      <c r="AH535" s="48">
        <v>1</v>
      </c>
      <c r="AI535" s="48" t="s">
        <v>33</v>
      </c>
      <c r="AJ535" s="48" t="s">
        <v>33</v>
      </c>
      <c r="AK535" s="48" t="s">
        <v>33</v>
      </c>
      <c r="AL535" s="48" t="s">
        <v>34</v>
      </c>
      <c r="AN535" s="48">
        <v>0</v>
      </c>
      <c r="AO535" s="48">
        <v>0</v>
      </c>
      <c r="AP535" s="48">
        <v>0</v>
      </c>
      <c r="AQ535" s="48">
        <v>0</v>
      </c>
      <c r="AR535" s="48">
        <v>0</v>
      </c>
      <c r="AS535" s="48">
        <v>0</v>
      </c>
      <c r="AT535" s="48">
        <v>0</v>
      </c>
      <c r="AU535" s="48">
        <v>0</v>
      </c>
      <c r="AV535" s="48">
        <v>0</v>
      </c>
      <c r="AW535" s="48">
        <v>0</v>
      </c>
      <c r="AX535" s="48">
        <v>0</v>
      </c>
      <c r="AY535" s="48">
        <v>0</v>
      </c>
      <c r="AZ535" s="48">
        <v>0</v>
      </c>
      <c r="BA535" s="48">
        <v>0</v>
      </c>
      <c r="BB535" s="48">
        <v>0</v>
      </c>
    </row>
    <row r="536" spans="1:54" x14ac:dyDescent="0.35">
      <c r="A536" s="49">
        <v>45930</v>
      </c>
      <c r="B536" s="48">
        <v>1</v>
      </c>
      <c r="C536" s="50" t="s">
        <v>32</v>
      </c>
      <c r="D536" s="48" t="s">
        <v>31</v>
      </c>
      <c r="E536" s="48" t="s">
        <v>138</v>
      </c>
      <c r="F536" s="48" t="s">
        <v>139</v>
      </c>
      <c r="G536" s="49" t="s">
        <v>59</v>
      </c>
      <c r="H536" s="48" t="s">
        <v>160</v>
      </c>
      <c r="I536" s="48">
        <v>1</v>
      </c>
      <c r="J536" s="48">
        <v>128</v>
      </c>
      <c r="K536" s="48">
        <v>1</v>
      </c>
      <c r="N536" s="48">
        <v>0</v>
      </c>
      <c r="R536" s="49"/>
      <c r="S536" s="49"/>
      <c r="T536" s="49">
        <v>49826</v>
      </c>
      <c r="U536" s="49">
        <v>49826</v>
      </c>
      <c r="V536" s="49">
        <v>49826</v>
      </c>
      <c r="W536" s="49">
        <v>49826</v>
      </c>
      <c r="X536" s="48">
        <v>1</v>
      </c>
      <c r="Y536" s="48">
        <v>1</v>
      </c>
      <c r="Z536" s="48">
        <v>1</v>
      </c>
      <c r="AA536" s="156">
        <v>104.66523349196908</v>
      </c>
      <c r="AF536" s="48">
        <v>0</v>
      </c>
      <c r="AG536" s="49" t="s">
        <v>32</v>
      </c>
      <c r="AH536" s="48">
        <v>1</v>
      </c>
      <c r="AI536" s="48" t="s">
        <v>33</v>
      </c>
      <c r="AJ536" s="48" t="s">
        <v>33</v>
      </c>
      <c r="AK536" s="48" t="s">
        <v>33</v>
      </c>
      <c r="AL536" s="48" t="s">
        <v>34</v>
      </c>
      <c r="AN536" s="48">
        <v>0</v>
      </c>
      <c r="AO536" s="48">
        <v>0</v>
      </c>
      <c r="AP536" s="48">
        <v>0</v>
      </c>
      <c r="AQ536" s="48">
        <v>0</v>
      </c>
      <c r="AR536" s="48">
        <v>0</v>
      </c>
      <c r="AS536" s="48">
        <v>0</v>
      </c>
      <c r="AT536" s="48">
        <v>0</v>
      </c>
      <c r="AU536" s="48">
        <v>0</v>
      </c>
      <c r="AV536" s="48">
        <v>0</v>
      </c>
      <c r="AW536" s="48">
        <v>0</v>
      </c>
      <c r="AX536" s="48">
        <v>0</v>
      </c>
      <c r="AY536" s="48">
        <v>0</v>
      </c>
      <c r="AZ536" s="48">
        <v>0</v>
      </c>
      <c r="BA536" s="48">
        <v>0</v>
      </c>
      <c r="BB536" s="48">
        <v>0</v>
      </c>
    </row>
    <row r="537" spans="1:54" x14ac:dyDescent="0.35">
      <c r="A537" s="49">
        <v>45930</v>
      </c>
      <c r="B537" s="48">
        <v>1</v>
      </c>
      <c r="C537" s="50" t="s">
        <v>32</v>
      </c>
      <c r="D537" s="48" t="s">
        <v>31</v>
      </c>
      <c r="E537" s="48" t="s">
        <v>138</v>
      </c>
      <c r="F537" s="48" t="s">
        <v>139</v>
      </c>
      <c r="G537" s="49" t="s">
        <v>59</v>
      </c>
      <c r="H537" s="48" t="s">
        <v>160</v>
      </c>
      <c r="I537" s="48">
        <v>1</v>
      </c>
      <c r="J537" s="48">
        <v>129</v>
      </c>
      <c r="K537" s="48">
        <v>1</v>
      </c>
      <c r="N537" s="48">
        <v>0</v>
      </c>
      <c r="R537" s="49"/>
      <c r="S537" s="49"/>
      <c r="T537" s="49">
        <v>49856</v>
      </c>
      <c r="U537" s="49">
        <v>49856</v>
      </c>
      <c r="V537" s="49">
        <v>49856</v>
      </c>
      <c r="W537" s="49">
        <v>49856</v>
      </c>
      <c r="X537" s="48">
        <v>1</v>
      </c>
      <c r="Y537" s="48">
        <v>1</v>
      </c>
      <c r="Z537" s="48">
        <v>1</v>
      </c>
      <c r="AA537" s="156">
        <v>104.66523349196908</v>
      </c>
      <c r="AF537" s="48">
        <v>0</v>
      </c>
      <c r="AG537" s="49" t="s">
        <v>32</v>
      </c>
      <c r="AH537" s="48">
        <v>1</v>
      </c>
      <c r="AI537" s="48" t="s">
        <v>33</v>
      </c>
      <c r="AJ537" s="48" t="s">
        <v>33</v>
      </c>
      <c r="AK537" s="48" t="s">
        <v>33</v>
      </c>
      <c r="AL537" s="48" t="s">
        <v>34</v>
      </c>
      <c r="AN537" s="48">
        <v>0</v>
      </c>
      <c r="AO537" s="48">
        <v>0</v>
      </c>
      <c r="AP537" s="48">
        <v>0</v>
      </c>
      <c r="AQ537" s="48">
        <v>0</v>
      </c>
      <c r="AR537" s="48">
        <v>0</v>
      </c>
      <c r="AS537" s="48">
        <v>0</v>
      </c>
      <c r="AT537" s="48">
        <v>0</v>
      </c>
      <c r="AU537" s="48">
        <v>0</v>
      </c>
      <c r="AV537" s="48">
        <v>0</v>
      </c>
      <c r="AW537" s="48">
        <v>0</v>
      </c>
      <c r="AX537" s="48">
        <v>0</v>
      </c>
      <c r="AY537" s="48">
        <v>0</v>
      </c>
      <c r="AZ537" s="48">
        <v>0</v>
      </c>
      <c r="BA537" s="48">
        <v>0</v>
      </c>
      <c r="BB537" s="48">
        <v>0</v>
      </c>
    </row>
    <row r="538" spans="1:54" x14ac:dyDescent="0.35">
      <c r="A538" s="49">
        <v>45930</v>
      </c>
      <c r="B538" s="48">
        <v>1</v>
      </c>
      <c r="C538" s="50" t="s">
        <v>32</v>
      </c>
      <c r="D538" s="48" t="s">
        <v>31</v>
      </c>
      <c r="E538" s="48" t="s">
        <v>138</v>
      </c>
      <c r="F538" s="48" t="s">
        <v>139</v>
      </c>
      <c r="G538" s="49" t="s">
        <v>59</v>
      </c>
      <c r="H538" s="48" t="s">
        <v>160</v>
      </c>
      <c r="I538" s="48">
        <v>1</v>
      </c>
      <c r="J538" s="48">
        <v>130</v>
      </c>
      <c r="K538" s="48">
        <v>1</v>
      </c>
      <c r="N538" s="48">
        <v>0</v>
      </c>
      <c r="R538" s="49"/>
      <c r="S538" s="49"/>
      <c r="T538" s="49">
        <v>49887</v>
      </c>
      <c r="U538" s="49">
        <v>49887</v>
      </c>
      <c r="V538" s="49">
        <v>49887</v>
      </c>
      <c r="W538" s="49">
        <v>49887</v>
      </c>
      <c r="X538" s="48">
        <v>1</v>
      </c>
      <c r="Y538" s="48">
        <v>1</v>
      </c>
      <c r="Z538" s="48">
        <v>1</v>
      </c>
      <c r="AA538" s="156">
        <v>104.66523349196908</v>
      </c>
      <c r="AF538" s="48">
        <v>0</v>
      </c>
      <c r="AG538" s="49" t="s">
        <v>32</v>
      </c>
      <c r="AH538" s="48">
        <v>1</v>
      </c>
      <c r="AI538" s="48" t="s">
        <v>33</v>
      </c>
      <c r="AJ538" s="48" t="s">
        <v>33</v>
      </c>
      <c r="AK538" s="48" t="s">
        <v>33</v>
      </c>
      <c r="AL538" s="48" t="s">
        <v>34</v>
      </c>
      <c r="AN538" s="48">
        <v>0</v>
      </c>
      <c r="AO538" s="48">
        <v>0</v>
      </c>
      <c r="AP538" s="48">
        <v>0</v>
      </c>
      <c r="AQ538" s="48">
        <v>0</v>
      </c>
      <c r="AR538" s="48">
        <v>0</v>
      </c>
      <c r="AS538" s="48">
        <v>0</v>
      </c>
      <c r="AT538" s="48">
        <v>0</v>
      </c>
      <c r="AU538" s="48">
        <v>0</v>
      </c>
      <c r="AV538" s="48">
        <v>0</v>
      </c>
      <c r="AW538" s="48">
        <v>0</v>
      </c>
      <c r="AX538" s="48">
        <v>0</v>
      </c>
      <c r="AY538" s="48">
        <v>0</v>
      </c>
      <c r="AZ538" s="48">
        <v>0</v>
      </c>
      <c r="BA538" s="48">
        <v>0</v>
      </c>
      <c r="BB538" s="48">
        <v>0</v>
      </c>
    </row>
    <row r="539" spans="1:54" x14ac:dyDescent="0.35">
      <c r="A539" s="49">
        <v>45930</v>
      </c>
      <c r="B539" s="48">
        <v>1</v>
      </c>
      <c r="C539" s="50" t="s">
        <v>32</v>
      </c>
      <c r="D539" s="48" t="s">
        <v>31</v>
      </c>
      <c r="E539" s="48" t="s">
        <v>138</v>
      </c>
      <c r="F539" s="48" t="s">
        <v>139</v>
      </c>
      <c r="G539" s="49" t="s">
        <v>59</v>
      </c>
      <c r="H539" s="48" t="s">
        <v>160</v>
      </c>
      <c r="I539" s="48">
        <v>1</v>
      </c>
      <c r="J539" s="48">
        <v>131</v>
      </c>
      <c r="K539" s="48">
        <v>1</v>
      </c>
      <c r="N539" s="48">
        <v>0</v>
      </c>
      <c r="R539" s="49"/>
      <c r="S539" s="49"/>
      <c r="T539" s="49">
        <v>49918</v>
      </c>
      <c r="U539" s="49">
        <v>49918</v>
      </c>
      <c r="V539" s="49">
        <v>49918</v>
      </c>
      <c r="W539" s="49">
        <v>49918</v>
      </c>
      <c r="X539" s="48">
        <v>1</v>
      </c>
      <c r="Y539" s="48">
        <v>1</v>
      </c>
      <c r="Z539" s="48">
        <v>1</v>
      </c>
      <c r="AA539" s="156">
        <v>104.66523349196908</v>
      </c>
      <c r="AF539" s="48">
        <v>0</v>
      </c>
      <c r="AG539" s="49" t="s">
        <v>32</v>
      </c>
      <c r="AH539" s="48">
        <v>1</v>
      </c>
      <c r="AI539" s="48" t="s">
        <v>33</v>
      </c>
      <c r="AJ539" s="48" t="s">
        <v>33</v>
      </c>
      <c r="AK539" s="48" t="s">
        <v>33</v>
      </c>
      <c r="AL539" s="48" t="s">
        <v>34</v>
      </c>
      <c r="AN539" s="48">
        <v>0</v>
      </c>
      <c r="AO539" s="48">
        <v>0</v>
      </c>
      <c r="AP539" s="48">
        <v>0</v>
      </c>
      <c r="AQ539" s="48">
        <v>0</v>
      </c>
      <c r="AR539" s="48">
        <v>0</v>
      </c>
      <c r="AS539" s="48">
        <v>0</v>
      </c>
      <c r="AT539" s="48">
        <v>0</v>
      </c>
      <c r="AU539" s="48">
        <v>0</v>
      </c>
      <c r="AV539" s="48">
        <v>0</v>
      </c>
      <c r="AW539" s="48">
        <v>0</v>
      </c>
      <c r="AX539" s="48">
        <v>0</v>
      </c>
      <c r="AY539" s="48">
        <v>0</v>
      </c>
      <c r="AZ539" s="48">
        <v>0</v>
      </c>
      <c r="BA539" s="48">
        <v>0</v>
      </c>
      <c r="BB539" s="48">
        <v>0</v>
      </c>
    </row>
    <row r="540" spans="1:54" x14ac:dyDescent="0.35">
      <c r="A540" s="49">
        <v>45930</v>
      </c>
      <c r="B540" s="48">
        <v>1</v>
      </c>
      <c r="C540" s="50" t="s">
        <v>32</v>
      </c>
      <c r="D540" s="48" t="s">
        <v>31</v>
      </c>
      <c r="E540" s="48" t="s">
        <v>138</v>
      </c>
      <c r="F540" s="48" t="s">
        <v>139</v>
      </c>
      <c r="G540" s="49" t="s">
        <v>59</v>
      </c>
      <c r="H540" s="48" t="s">
        <v>160</v>
      </c>
      <c r="I540" s="48">
        <v>1</v>
      </c>
      <c r="J540" s="48">
        <v>132</v>
      </c>
      <c r="K540" s="48">
        <v>1</v>
      </c>
      <c r="N540" s="48">
        <v>0</v>
      </c>
      <c r="R540" s="49"/>
      <c r="S540" s="49"/>
      <c r="T540" s="49">
        <v>49948</v>
      </c>
      <c r="U540" s="49">
        <v>49948</v>
      </c>
      <c r="V540" s="49">
        <v>49948</v>
      </c>
      <c r="W540" s="49">
        <v>49948</v>
      </c>
      <c r="X540" s="48">
        <v>1</v>
      </c>
      <c r="Y540" s="48">
        <v>1</v>
      </c>
      <c r="Z540" s="48">
        <v>1</v>
      </c>
      <c r="AA540" s="156">
        <v>104.66523349196908</v>
      </c>
      <c r="AF540" s="48">
        <v>0</v>
      </c>
      <c r="AG540" s="49" t="s">
        <v>32</v>
      </c>
      <c r="AH540" s="48">
        <v>1</v>
      </c>
      <c r="AI540" s="48" t="s">
        <v>33</v>
      </c>
      <c r="AJ540" s="48" t="s">
        <v>33</v>
      </c>
      <c r="AK540" s="48" t="s">
        <v>33</v>
      </c>
      <c r="AL540" s="48" t="s">
        <v>34</v>
      </c>
      <c r="AN540" s="48">
        <v>0</v>
      </c>
      <c r="AO540" s="48">
        <v>0</v>
      </c>
      <c r="AP540" s="48">
        <v>0</v>
      </c>
      <c r="AQ540" s="48">
        <v>0</v>
      </c>
      <c r="AR540" s="48">
        <v>0</v>
      </c>
      <c r="AS540" s="48">
        <v>0</v>
      </c>
      <c r="AT540" s="48">
        <v>0</v>
      </c>
      <c r="AU540" s="48">
        <v>0</v>
      </c>
      <c r="AV540" s="48">
        <v>0</v>
      </c>
      <c r="AW540" s="48">
        <v>0</v>
      </c>
      <c r="AX540" s="48">
        <v>0</v>
      </c>
      <c r="AY540" s="48">
        <v>0</v>
      </c>
      <c r="AZ540" s="48">
        <v>0</v>
      </c>
      <c r="BA540" s="48">
        <v>0</v>
      </c>
      <c r="BB540" s="48">
        <v>0</v>
      </c>
    </row>
    <row r="541" spans="1:54" x14ac:dyDescent="0.35">
      <c r="A541" s="49">
        <v>45930</v>
      </c>
      <c r="B541" s="48">
        <v>1</v>
      </c>
      <c r="C541" s="50" t="s">
        <v>32</v>
      </c>
      <c r="D541" s="48" t="s">
        <v>31</v>
      </c>
      <c r="E541" s="48" t="s">
        <v>138</v>
      </c>
      <c r="F541" s="48" t="s">
        <v>139</v>
      </c>
      <c r="G541" s="49" t="s">
        <v>59</v>
      </c>
      <c r="H541" s="48" t="s">
        <v>160</v>
      </c>
      <c r="I541" s="48">
        <v>1</v>
      </c>
      <c r="J541" s="48">
        <v>133</v>
      </c>
      <c r="K541" s="48">
        <v>1</v>
      </c>
      <c r="N541" s="48">
        <v>0</v>
      </c>
      <c r="R541" s="49"/>
      <c r="S541" s="49"/>
      <c r="T541" s="49">
        <v>49979</v>
      </c>
      <c r="U541" s="49">
        <v>49979</v>
      </c>
      <c r="V541" s="49">
        <v>49979</v>
      </c>
      <c r="W541" s="49">
        <v>49979</v>
      </c>
      <c r="X541" s="48">
        <v>1</v>
      </c>
      <c r="Y541" s="48">
        <v>1</v>
      </c>
      <c r="Z541" s="48">
        <v>1</v>
      </c>
      <c r="AA541" s="156">
        <v>104.66523349196908</v>
      </c>
      <c r="AF541" s="48">
        <v>0</v>
      </c>
      <c r="AG541" s="49" t="s">
        <v>32</v>
      </c>
      <c r="AH541" s="48">
        <v>1</v>
      </c>
      <c r="AI541" s="48" t="s">
        <v>33</v>
      </c>
      <c r="AJ541" s="48" t="s">
        <v>33</v>
      </c>
      <c r="AK541" s="48" t="s">
        <v>33</v>
      </c>
      <c r="AL541" s="48" t="s">
        <v>34</v>
      </c>
      <c r="AN541" s="48">
        <v>0</v>
      </c>
      <c r="AO541" s="48">
        <v>0</v>
      </c>
      <c r="AP541" s="48">
        <v>0</v>
      </c>
      <c r="AQ541" s="48">
        <v>0</v>
      </c>
      <c r="AR541" s="48">
        <v>0</v>
      </c>
      <c r="AS541" s="48">
        <v>0</v>
      </c>
      <c r="AT541" s="48">
        <v>0</v>
      </c>
      <c r="AU541" s="48">
        <v>0</v>
      </c>
      <c r="AV541" s="48">
        <v>0</v>
      </c>
      <c r="AW541" s="48">
        <v>0</v>
      </c>
      <c r="AX541" s="48">
        <v>0</v>
      </c>
      <c r="AY541" s="48">
        <v>0</v>
      </c>
      <c r="AZ541" s="48">
        <v>0</v>
      </c>
      <c r="BA541" s="48">
        <v>0</v>
      </c>
      <c r="BB541" s="48">
        <v>0</v>
      </c>
    </row>
    <row r="542" spans="1:54" x14ac:dyDescent="0.35">
      <c r="A542" s="49">
        <v>45930</v>
      </c>
      <c r="B542" s="48">
        <v>1</v>
      </c>
      <c r="C542" s="50" t="s">
        <v>32</v>
      </c>
      <c r="D542" s="48" t="s">
        <v>31</v>
      </c>
      <c r="E542" s="48" t="s">
        <v>138</v>
      </c>
      <c r="F542" s="48" t="s">
        <v>139</v>
      </c>
      <c r="G542" s="49" t="s">
        <v>59</v>
      </c>
      <c r="H542" s="48" t="s">
        <v>160</v>
      </c>
      <c r="I542" s="48">
        <v>1</v>
      </c>
      <c r="J542" s="48">
        <v>134</v>
      </c>
      <c r="K542" s="48">
        <v>1</v>
      </c>
      <c r="N542" s="48">
        <v>0</v>
      </c>
      <c r="R542" s="49"/>
      <c r="S542" s="49"/>
      <c r="T542" s="49">
        <v>50009</v>
      </c>
      <c r="U542" s="49">
        <v>50009</v>
      </c>
      <c r="V542" s="49">
        <v>50009</v>
      </c>
      <c r="W542" s="49">
        <v>50009</v>
      </c>
      <c r="X542" s="48">
        <v>1</v>
      </c>
      <c r="Y542" s="48">
        <v>1</v>
      </c>
      <c r="Z542" s="48">
        <v>1</v>
      </c>
      <c r="AA542" s="156">
        <v>104.66523349196908</v>
      </c>
      <c r="AF542" s="48">
        <v>0</v>
      </c>
      <c r="AG542" s="49" t="s">
        <v>32</v>
      </c>
      <c r="AH542" s="48">
        <v>1</v>
      </c>
      <c r="AI542" s="48" t="s">
        <v>33</v>
      </c>
      <c r="AJ542" s="48" t="s">
        <v>33</v>
      </c>
      <c r="AK542" s="48" t="s">
        <v>33</v>
      </c>
      <c r="AL542" s="48" t="s">
        <v>34</v>
      </c>
      <c r="AN542" s="48">
        <v>0</v>
      </c>
      <c r="AO542" s="48">
        <v>0</v>
      </c>
      <c r="AP542" s="48">
        <v>0</v>
      </c>
      <c r="AQ542" s="48">
        <v>0</v>
      </c>
      <c r="AR542" s="48">
        <v>0</v>
      </c>
      <c r="AS542" s="48">
        <v>0</v>
      </c>
      <c r="AT542" s="48">
        <v>0</v>
      </c>
      <c r="AU542" s="48">
        <v>0</v>
      </c>
      <c r="AV542" s="48">
        <v>0</v>
      </c>
      <c r="AW542" s="48">
        <v>0</v>
      </c>
      <c r="AX542" s="48">
        <v>0</v>
      </c>
      <c r="AY542" s="48">
        <v>0</v>
      </c>
      <c r="AZ542" s="48">
        <v>0</v>
      </c>
      <c r="BA542" s="48">
        <v>0</v>
      </c>
      <c r="BB542" s="48">
        <v>0</v>
      </c>
    </row>
    <row r="543" spans="1:54" x14ac:dyDescent="0.35">
      <c r="A543" s="49">
        <v>45930</v>
      </c>
      <c r="B543" s="48">
        <v>1</v>
      </c>
      <c r="C543" s="50" t="s">
        <v>32</v>
      </c>
      <c r="D543" s="48" t="s">
        <v>31</v>
      </c>
      <c r="E543" s="48" t="s">
        <v>138</v>
      </c>
      <c r="F543" s="48" t="s">
        <v>139</v>
      </c>
      <c r="G543" s="49" t="s">
        <v>59</v>
      </c>
      <c r="H543" s="48" t="s">
        <v>160</v>
      </c>
      <c r="I543" s="48">
        <v>1</v>
      </c>
      <c r="J543" s="48">
        <v>135</v>
      </c>
      <c r="K543" s="48">
        <v>1</v>
      </c>
      <c r="N543" s="48">
        <v>0</v>
      </c>
      <c r="R543" s="49"/>
      <c r="S543" s="49"/>
      <c r="T543" s="49">
        <v>50040</v>
      </c>
      <c r="U543" s="49">
        <v>50040</v>
      </c>
      <c r="V543" s="49">
        <v>50040</v>
      </c>
      <c r="W543" s="49">
        <v>50040</v>
      </c>
      <c r="X543" s="48">
        <v>1</v>
      </c>
      <c r="Y543" s="48">
        <v>1</v>
      </c>
      <c r="Z543" s="48">
        <v>1</v>
      </c>
      <c r="AA543" s="156">
        <v>104.66523349196908</v>
      </c>
      <c r="AF543" s="48">
        <v>0</v>
      </c>
      <c r="AG543" s="49" t="s">
        <v>32</v>
      </c>
      <c r="AH543" s="48">
        <v>1</v>
      </c>
      <c r="AI543" s="48" t="s">
        <v>33</v>
      </c>
      <c r="AJ543" s="48" t="s">
        <v>33</v>
      </c>
      <c r="AK543" s="48" t="s">
        <v>33</v>
      </c>
      <c r="AL543" s="48" t="s">
        <v>34</v>
      </c>
      <c r="AN543" s="48">
        <v>0</v>
      </c>
      <c r="AO543" s="48">
        <v>0</v>
      </c>
      <c r="AP543" s="48">
        <v>0</v>
      </c>
      <c r="AQ543" s="48">
        <v>0</v>
      </c>
      <c r="AR543" s="48">
        <v>0</v>
      </c>
      <c r="AS543" s="48">
        <v>0</v>
      </c>
      <c r="AT543" s="48">
        <v>0</v>
      </c>
      <c r="AU543" s="48">
        <v>0</v>
      </c>
      <c r="AV543" s="48">
        <v>0</v>
      </c>
      <c r="AW543" s="48">
        <v>0</v>
      </c>
      <c r="AX543" s="48">
        <v>0</v>
      </c>
      <c r="AY543" s="48">
        <v>0</v>
      </c>
      <c r="AZ543" s="48">
        <v>0</v>
      </c>
      <c r="BA543" s="48">
        <v>0</v>
      </c>
      <c r="BB543" s="48">
        <v>0</v>
      </c>
    </row>
    <row r="544" spans="1:54" x14ac:dyDescent="0.35">
      <c r="A544" s="49">
        <v>45930</v>
      </c>
      <c r="B544" s="48">
        <v>1</v>
      </c>
      <c r="C544" s="50" t="s">
        <v>32</v>
      </c>
      <c r="D544" s="48" t="s">
        <v>31</v>
      </c>
      <c r="E544" s="48" t="s">
        <v>138</v>
      </c>
      <c r="F544" s="48" t="s">
        <v>139</v>
      </c>
      <c r="G544" s="49" t="s">
        <v>59</v>
      </c>
      <c r="H544" s="48" t="s">
        <v>160</v>
      </c>
      <c r="I544" s="48">
        <v>1</v>
      </c>
      <c r="J544" s="48">
        <v>136</v>
      </c>
      <c r="K544" s="48">
        <v>1</v>
      </c>
      <c r="N544" s="48">
        <v>0</v>
      </c>
      <c r="R544" s="49"/>
      <c r="S544" s="49"/>
      <c r="T544" s="49">
        <v>50071</v>
      </c>
      <c r="U544" s="49">
        <v>50071</v>
      </c>
      <c r="V544" s="49">
        <v>50071</v>
      </c>
      <c r="W544" s="49">
        <v>50071</v>
      </c>
      <c r="X544" s="48">
        <v>1</v>
      </c>
      <c r="Y544" s="48">
        <v>1</v>
      </c>
      <c r="Z544" s="48">
        <v>1</v>
      </c>
      <c r="AA544" s="156">
        <v>104.66523349196908</v>
      </c>
      <c r="AF544" s="48">
        <v>0</v>
      </c>
      <c r="AG544" s="49" t="s">
        <v>32</v>
      </c>
      <c r="AH544" s="48">
        <v>1</v>
      </c>
      <c r="AI544" s="48" t="s">
        <v>33</v>
      </c>
      <c r="AJ544" s="48" t="s">
        <v>33</v>
      </c>
      <c r="AK544" s="48" t="s">
        <v>33</v>
      </c>
      <c r="AL544" s="48" t="s">
        <v>34</v>
      </c>
      <c r="AN544" s="48">
        <v>0</v>
      </c>
      <c r="AO544" s="48">
        <v>0</v>
      </c>
      <c r="AP544" s="48">
        <v>0</v>
      </c>
      <c r="AQ544" s="48">
        <v>0</v>
      </c>
      <c r="AR544" s="48">
        <v>0</v>
      </c>
      <c r="AS544" s="48">
        <v>0</v>
      </c>
      <c r="AT544" s="48">
        <v>0</v>
      </c>
      <c r="AU544" s="48">
        <v>0</v>
      </c>
      <c r="AV544" s="48">
        <v>0</v>
      </c>
      <c r="AW544" s="48">
        <v>0</v>
      </c>
      <c r="AX544" s="48">
        <v>0</v>
      </c>
      <c r="AY544" s="48">
        <v>0</v>
      </c>
      <c r="AZ544" s="48">
        <v>0</v>
      </c>
      <c r="BA544" s="48">
        <v>0</v>
      </c>
      <c r="BB544" s="48">
        <v>0</v>
      </c>
    </row>
    <row r="545" spans="1:54" x14ac:dyDescent="0.35">
      <c r="A545" s="49">
        <v>45930</v>
      </c>
      <c r="B545" s="48">
        <v>1</v>
      </c>
      <c r="C545" s="50" t="s">
        <v>32</v>
      </c>
      <c r="D545" s="48" t="s">
        <v>31</v>
      </c>
      <c r="E545" s="48" t="s">
        <v>138</v>
      </c>
      <c r="F545" s="48" t="s">
        <v>139</v>
      </c>
      <c r="G545" s="49" t="s">
        <v>59</v>
      </c>
      <c r="H545" s="48" t="s">
        <v>160</v>
      </c>
      <c r="I545" s="48">
        <v>1</v>
      </c>
      <c r="J545" s="48">
        <v>137</v>
      </c>
      <c r="K545" s="48">
        <v>1</v>
      </c>
      <c r="N545" s="48">
        <v>0</v>
      </c>
      <c r="R545" s="49"/>
      <c r="S545" s="49"/>
      <c r="T545" s="49">
        <v>50099</v>
      </c>
      <c r="U545" s="49">
        <v>50099</v>
      </c>
      <c r="V545" s="49">
        <v>50099</v>
      </c>
      <c r="W545" s="49">
        <v>50099</v>
      </c>
      <c r="X545" s="48">
        <v>1</v>
      </c>
      <c r="Y545" s="48">
        <v>1</v>
      </c>
      <c r="Z545" s="48">
        <v>1</v>
      </c>
      <c r="AA545" s="156">
        <v>104.66523349196908</v>
      </c>
      <c r="AF545" s="48">
        <v>0</v>
      </c>
      <c r="AG545" s="49" t="s">
        <v>32</v>
      </c>
      <c r="AH545" s="48">
        <v>1</v>
      </c>
      <c r="AI545" s="48" t="s">
        <v>33</v>
      </c>
      <c r="AJ545" s="48" t="s">
        <v>33</v>
      </c>
      <c r="AK545" s="48" t="s">
        <v>33</v>
      </c>
      <c r="AL545" s="48" t="s">
        <v>34</v>
      </c>
      <c r="AN545" s="48">
        <v>0</v>
      </c>
      <c r="AO545" s="48">
        <v>0</v>
      </c>
      <c r="AP545" s="48">
        <v>0</v>
      </c>
      <c r="AQ545" s="48">
        <v>0</v>
      </c>
      <c r="AR545" s="48">
        <v>0</v>
      </c>
      <c r="AS545" s="48">
        <v>0</v>
      </c>
      <c r="AT545" s="48">
        <v>0</v>
      </c>
      <c r="AU545" s="48">
        <v>0</v>
      </c>
      <c r="AV545" s="48">
        <v>0</v>
      </c>
      <c r="AW545" s="48">
        <v>0</v>
      </c>
      <c r="AX545" s="48">
        <v>0</v>
      </c>
      <c r="AY545" s="48">
        <v>0</v>
      </c>
      <c r="AZ545" s="48">
        <v>0</v>
      </c>
      <c r="BA545" s="48">
        <v>0</v>
      </c>
      <c r="BB545" s="48">
        <v>0</v>
      </c>
    </row>
    <row r="546" spans="1:54" x14ac:dyDescent="0.35">
      <c r="A546" s="49">
        <v>45930</v>
      </c>
      <c r="B546" s="48">
        <v>1</v>
      </c>
      <c r="C546" s="50" t="s">
        <v>32</v>
      </c>
      <c r="D546" s="48" t="s">
        <v>31</v>
      </c>
      <c r="E546" s="48" t="s">
        <v>138</v>
      </c>
      <c r="F546" s="48" t="s">
        <v>139</v>
      </c>
      <c r="G546" s="49" t="s">
        <v>59</v>
      </c>
      <c r="H546" s="48" t="s">
        <v>160</v>
      </c>
      <c r="I546" s="48">
        <v>1</v>
      </c>
      <c r="J546" s="48">
        <v>138</v>
      </c>
      <c r="K546" s="48">
        <v>1</v>
      </c>
      <c r="N546" s="48">
        <v>0</v>
      </c>
      <c r="R546" s="49"/>
      <c r="S546" s="49"/>
      <c r="T546" s="49">
        <v>50130</v>
      </c>
      <c r="U546" s="49">
        <v>50130</v>
      </c>
      <c r="V546" s="49">
        <v>50130</v>
      </c>
      <c r="W546" s="49">
        <v>50130</v>
      </c>
      <c r="X546" s="48">
        <v>1</v>
      </c>
      <c r="Y546" s="48">
        <v>1</v>
      </c>
      <c r="Z546" s="48">
        <v>1</v>
      </c>
      <c r="AA546" s="156">
        <v>104.66523349196908</v>
      </c>
      <c r="AF546" s="48">
        <v>0</v>
      </c>
      <c r="AG546" s="49" t="s">
        <v>32</v>
      </c>
      <c r="AH546" s="48">
        <v>1</v>
      </c>
      <c r="AI546" s="48" t="s">
        <v>33</v>
      </c>
      <c r="AJ546" s="48" t="s">
        <v>33</v>
      </c>
      <c r="AK546" s="48" t="s">
        <v>33</v>
      </c>
      <c r="AL546" s="48" t="s">
        <v>34</v>
      </c>
      <c r="AN546" s="48">
        <v>0</v>
      </c>
      <c r="AO546" s="48">
        <v>0</v>
      </c>
      <c r="AP546" s="48">
        <v>0</v>
      </c>
      <c r="AQ546" s="48">
        <v>0</v>
      </c>
      <c r="AR546" s="48">
        <v>0</v>
      </c>
      <c r="AS546" s="48">
        <v>0</v>
      </c>
      <c r="AT546" s="48">
        <v>0</v>
      </c>
      <c r="AU546" s="48">
        <v>0</v>
      </c>
      <c r="AV546" s="48">
        <v>0</v>
      </c>
      <c r="AW546" s="48">
        <v>0</v>
      </c>
      <c r="AX546" s="48">
        <v>0</v>
      </c>
      <c r="AY546" s="48">
        <v>0</v>
      </c>
      <c r="AZ546" s="48">
        <v>0</v>
      </c>
      <c r="BA546" s="48">
        <v>0</v>
      </c>
      <c r="BB546" s="48">
        <v>0</v>
      </c>
    </row>
    <row r="547" spans="1:54" x14ac:dyDescent="0.35">
      <c r="A547" s="49">
        <v>45930</v>
      </c>
      <c r="B547" s="48">
        <v>1</v>
      </c>
      <c r="C547" s="50" t="s">
        <v>32</v>
      </c>
      <c r="D547" s="48" t="s">
        <v>31</v>
      </c>
      <c r="E547" s="48" t="s">
        <v>138</v>
      </c>
      <c r="F547" s="48" t="s">
        <v>139</v>
      </c>
      <c r="G547" s="49" t="s">
        <v>59</v>
      </c>
      <c r="H547" s="48" t="s">
        <v>160</v>
      </c>
      <c r="I547" s="48">
        <v>1</v>
      </c>
      <c r="J547" s="48">
        <v>139</v>
      </c>
      <c r="K547" s="48">
        <v>1</v>
      </c>
      <c r="N547" s="48">
        <v>0</v>
      </c>
      <c r="R547" s="49"/>
      <c r="S547" s="49"/>
      <c r="T547" s="49">
        <v>50160</v>
      </c>
      <c r="U547" s="49">
        <v>50160</v>
      </c>
      <c r="V547" s="49">
        <v>50160</v>
      </c>
      <c r="W547" s="49">
        <v>50160</v>
      </c>
      <c r="X547" s="48">
        <v>1</v>
      </c>
      <c r="Y547" s="48">
        <v>1</v>
      </c>
      <c r="Z547" s="48">
        <v>1</v>
      </c>
      <c r="AA547" s="156">
        <v>104.66523349196908</v>
      </c>
      <c r="AF547" s="48">
        <v>0</v>
      </c>
      <c r="AG547" s="49" t="s">
        <v>32</v>
      </c>
      <c r="AH547" s="48">
        <v>1</v>
      </c>
      <c r="AI547" s="48" t="s">
        <v>33</v>
      </c>
      <c r="AJ547" s="48" t="s">
        <v>33</v>
      </c>
      <c r="AK547" s="48" t="s">
        <v>33</v>
      </c>
      <c r="AL547" s="48" t="s">
        <v>34</v>
      </c>
      <c r="AN547" s="48">
        <v>0</v>
      </c>
      <c r="AO547" s="48">
        <v>0</v>
      </c>
      <c r="AP547" s="48">
        <v>0</v>
      </c>
      <c r="AQ547" s="48">
        <v>0</v>
      </c>
      <c r="AR547" s="48">
        <v>0</v>
      </c>
      <c r="AS547" s="48">
        <v>0</v>
      </c>
      <c r="AT547" s="48">
        <v>0</v>
      </c>
      <c r="AU547" s="48">
        <v>0</v>
      </c>
      <c r="AV547" s="48">
        <v>0</v>
      </c>
      <c r="AW547" s="48">
        <v>0</v>
      </c>
      <c r="AX547" s="48">
        <v>0</v>
      </c>
      <c r="AY547" s="48">
        <v>0</v>
      </c>
      <c r="AZ547" s="48">
        <v>0</v>
      </c>
      <c r="BA547" s="48">
        <v>0</v>
      </c>
      <c r="BB547" s="48">
        <v>0</v>
      </c>
    </row>
    <row r="548" spans="1:54" x14ac:dyDescent="0.35">
      <c r="A548" s="49">
        <v>45930</v>
      </c>
      <c r="B548" s="48">
        <v>1</v>
      </c>
      <c r="C548" s="50" t="s">
        <v>32</v>
      </c>
      <c r="D548" s="48" t="s">
        <v>31</v>
      </c>
      <c r="E548" s="48" t="s">
        <v>138</v>
      </c>
      <c r="F548" s="48" t="s">
        <v>139</v>
      </c>
      <c r="G548" s="49" t="s">
        <v>59</v>
      </c>
      <c r="H548" s="48" t="s">
        <v>160</v>
      </c>
      <c r="I548" s="48">
        <v>1</v>
      </c>
      <c r="J548" s="48">
        <v>140</v>
      </c>
      <c r="K548" s="48">
        <v>1</v>
      </c>
      <c r="N548" s="48">
        <v>0</v>
      </c>
      <c r="R548" s="49"/>
      <c r="S548" s="49"/>
      <c r="T548" s="49">
        <v>50191</v>
      </c>
      <c r="U548" s="49">
        <v>50191</v>
      </c>
      <c r="V548" s="49">
        <v>50191</v>
      </c>
      <c r="W548" s="49">
        <v>50191</v>
      </c>
      <c r="X548" s="48">
        <v>1</v>
      </c>
      <c r="Y548" s="48">
        <v>1</v>
      </c>
      <c r="Z548" s="48">
        <v>1</v>
      </c>
      <c r="AA548" s="156">
        <v>104.66523349196908</v>
      </c>
      <c r="AF548" s="48">
        <v>0</v>
      </c>
      <c r="AG548" s="49" t="s">
        <v>32</v>
      </c>
      <c r="AH548" s="48">
        <v>1</v>
      </c>
      <c r="AI548" s="48" t="s">
        <v>33</v>
      </c>
      <c r="AJ548" s="48" t="s">
        <v>33</v>
      </c>
      <c r="AK548" s="48" t="s">
        <v>33</v>
      </c>
      <c r="AL548" s="48" t="s">
        <v>34</v>
      </c>
      <c r="AN548" s="48">
        <v>0</v>
      </c>
      <c r="AO548" s="48">
        <v>0</v>
      </c>
      <c r="AP548" s="48">
        <v>0</v>
      </c>
      <c r="AQ548" s="48">
        <v>0</v>
      </c>
      <c r="AR548" s="48">
        <v>0</v>
      </c>
      <c r="AS548" s="48">
        <v>0</v>
      </c>
      <c r="AT548" s="48">
        <v>0</v>
      </c>
      <c r="AU548" s="48">
        <v>0</v>
      </c>
      <c r="AV548" s="48">
        <v>0</v>
      </c>
      <c r="AW548" s="48">
        <v>0</v>
      </c>
      <c r="AX548" s="48">
        <v>0</v>
      </c>
      <c r="AY548" s="48">
        <v>0</v>
      </c>
      <c r="AZ548" s="48">
        <v>0</v>
      </c>
      <c r="BA548" s="48">
        <v>0</v>
      </c>
      <c r="BB548" s="48">
        <v>0</v>
      </c>
    </row>
    <row r="549" spans="1:54" x14ac:dyDescent="0.35">
      <c r="A549" s="49">
        <v>45930</v>
      </c>
      <c r="B549" s="48">
        <v>1</v>
      </c>
      <c r="C549" s="50" t="s">
        <v>32</v>
      </c>
      <c r="D549" s="48" t="s">
        <v>31</v>
      </c>
      <c r="E549" s="48" t="s">
        <v>138</v>
      </c>
      <c r="F549" s="48" t="s">
        <v>139</v>
      </c>
      <c r="G549" s="49" t="s">
        <v>59</v>
      </c>
      <c r="H549" s="48" t="s">
        <v>160</v>
      </c>
      <c r="I549" s="48">
        <v>1</v>
      </c>
      <c r="J549" s="48">
        <v>141</v>
      </c>
      <c r="K549" s="48">
        <v>1</v>
      </c>
      <c r="N549" s="48">
        <v>0</v>
      </c>
      <c r="R549" s="49"/>
      <c r="S549" s="49"/>
      <c r="T549" s="49">
        <v>50221</v>
      </c>
      <c r="U549" s="49">
        <v>50221</v>
      </c>
      <c r="V549" s="49">
        <v>50221</v>
      </c>
      <c r="W549" s="49">
        <v>50221</v>
      </c>
      <c r="X549" s="48">
        <v>1</v>
      </c>
      <c r="Y549" s="48">
        <v>1</v>
      </c>
      <c r="Z549" s="48">
        <v>1</v>
      </c>
      <c r="AA549" s="156">
        <v>104.66523349196908</v>
      </c>
      <c r="AF549" s="48">
        <v>0</v>
      </c>
      <c r="AG549" s="49" t="s">
        <v>32</v>
      </c>
      <c r="AH549" s="48">
        <v>1</v>
      </c>
      <c r="AI549" s="48" t="s">
        <v>33</v>
      </c>
      <c r="AJ549" s="48" t="s">
        <v>33</v>
      </c>
      <c r="AK549" s="48" t="s">
        <v>33</v>
      </c>
      <c r="AL549" s="48" t="s">
        <v>34</v>
      </c>
      <c r="AN549" s="48">
        <v>0</v>
      </c>
      <c r="AO549" s="48">
        <v>0</v>
      </c>
      <c r="AP549" s="48">
        <v>0</v>
      </c>
      <c r="AQ549" s="48">
        <v>0</v>
      </c>
      <c r="AR549" s="48">
        <v>0</v>
      </c>
      <c r="AS549" s="48">
        <v>0</v>
      </c>
      <c r="AT549" s="48">
        <v>0</v>
      </c>
      <c r="AU549" s="48">
        <v>0</v>
      </c>
      <c r="AV549" s="48">
        <v>0</v>
      </c>
      <c r="AW549" s="48">
        <v>0</v>
      </c>
      <c r="AX549" s="48">
        <v>0</v>
      </c>
      <c r="AY549" s="48">
        <v>0</v>
      </c>
      <c r="AZ549" s="48">
        <v>0</v>
      </c>
      <c r="BA549" s="48">
        <v>0</v>
      </c>
      <c r="BB549" s="48">
        <v>0</v>
      </c>
    </row>
    <row r="550" spans="1:54" x14ac:dyDescent="0.35">
      <c r="A550" s="49">
        <v>45930</v>
      </c>
      <c r="B550" s="48">
        <v>1</v>
      </c>
      <c r="C550" s="50" t="s">
        <v>32</v>
      </c>
      <c r="D550" s="48" t="s">
        <v>31</v>
      </c>
      <c r="E550" s="48" t="s">
        <v>138</v>
      </c>
      <c r="F550" s="48" t="s">
        <v>139</v>
      </c>
      <c r="G550" s="49" t="s">
        <v>59</v>
      </c>
      <c r="H550" s="48" t="s">
        <v>160</v>
      </c>
      <c r="I550" s="48">
        <v>1</v>
      </c>
      <c r="J550" s="48">
        <v>142</v>
      </c>
      <c r="K550" s="48">
        <v>1</v>
      </c>
      <c r="N550" s="48">
        <v>0</v>
      </c>
      <c r="R550" s="49"/>
      <c r="S550" s="49"/>
      <c r="T550" s="49">
        <v>50252</v>
      </c>
      <c r="U550" s="49">
        <v>50252</v>
      </c>
      <c r="V550" s="49">
        <v>50252</v>
      </c>
      <c r="W550" s="49">
        <v>50252</v>
      </c>
      <c r="X550" s="48">
        <v>1</v>
      </c>
      <c r="Y550" s="48">
        <v>1</v>
      </c>
      <c r="Z550" s="48">
        <v>1</v>
      </c>
      <c r="AA550" s="156">
        <v>104.66523349196908</v>
      </c>
      <c r="AF550" s="48">
        <v>0</v>
      </c>
      <c r="AG550" s="49" t="s">
        <v>32</v>
      </c>
      <c r="AH550" s="48">
        <v>1</v>
      </c>
      <c r="AI550" s="48" t="s">
        <v>33</v>
      </c>
      <c r="AJ550" s="48" t="s">
        <v>33</v>
      </c>
      <c r="AK550" s="48" t="s">
        <v>33</v>
      </c>
      <c r="AL550" s="48" t="s">
        <v>34</v>
      </c>
      <c r="AN550" s="48">
        <v>0</v>
      </c>
      <c r="AO550" s="48">
        <v>0</v>
      </c>
      <c r="AP550" s="48">
        <v>0</v>
      </c>
      <c r="AQ550" s="48">
        <v>0</v>
      </c>
      <c r="AR550" s="48">
        <v>0</v>
      </c>
      <c r="AS550" s="48">
        <v>0</v>
      </c>
      <c r="AT550" s="48">
        <v>0</v>
      </c>
      <c r="AU550" s="48">
        <v>0</v>
      </c>
      <c r="AV550" s="48">
        <v>0</v>
      </c>
      <c r="AW550" s="48">
        <v>0</v>
      </c>
      <c r="AX550" s="48">
        <v>0</v>
      </c>
      <c r="AY550" s="48">
        <v>0</v>
      </c>
      <c r="AZ550" s="48">
        <v>0</v>
      </c>
      <c r="BA550" s="48">
        <v>0</v>
      </c>
      <c r="BB550" s="48">
        <v>0</v>
      </c>
    </row>
    <row r="551" spans="1:54" x14ac:dyDescent="0.35">
      <c r="A551" s="49">
        <v>45930</v>
      </c>
      <c r="B551" s="48">
        <v>1</v>
      </c>
      <c r="C551" s="50" t="s">
        <v>32</v>
      </c>
      <c r="D551" s="48" t="s">
        <v>31</v>
      </c>
      <c r="E551" s="48" t="s">
        <v>138</v>
      </c>
      <c r="F551" s="48" t="s">
        <v>139</v>
      </c>
      <c r="G551" s="49" t="s">
        <v>59</v>
      </c>
      <c r="H551" s="48" t="s">
        <v>160</v>
      </c>
      <c r="I551" s="48">
        <v>1</v>
      </c>
      <c r="J551" s="48">
        <v>143</v>
      </c>
      <c r="K551" s="48">
        <v>1</v>
      </c>
      <c r="N551" s="48">
        <v>0</v>
      </c>
      <c r="R551" s="49"/>
      <c r="S551" s="49"/>
      <c r="T551" s="49">
        <v>50283</v>
      </c>
      <c r="U551" s="49">
        <v>50283</v>
      </c>
      <c r="V551" s="49">
        <v>50283</v>
      </c>
      <c r="W551" s="49">
        <v>50283</v>
      </c>
      <c r="X551" s="48">
        <v>1</v>
      </c>
      <c r="Y551" s="48">
        <v>1</v>
      </c>
      <c r="Z551" s="48">
        <v>1</v>
      </c>
      <c r="AA551" s="156">
        <v>104.66523349196908</v>
      </c>
      <c r="AF551" s="48">
        <v>0</v>
      </c>
      <c r="AG551" s="49" t="s">
        <v>32</v>
      </c>
      <c r="AH551" s="48">
        <v>1</v>
      </c>
      <c r="AI551" s="48" t="s">
        <v>33</v>
      </c>
      <c r="AJ551" s="48" t="s">
        <v>33</v>
      </c>
      <c r="AK551" s="48" t="s">
        <v>33</v>
      </c>
      <c r="AL551" s="48" t="s">
        <v>34</v>
      </c>
      <c r="AN551" s="48">
        <v>0</v>
      </c>
      <c r="AO551" s="48">
        <v>0</v>
      </c>
      <c r="AP551" s="48">
        <v>0</v>
      </c>
      <c r="AQ551" s="48">
        <v>0</v>
      </c>
      <c r="AR551" s="48">
        <v>0</v>
      </c>
      <c r="AS551" s="48">
        <v>0</v>
      </c>
      <c r="AT551" s="48">
        <v>0</v>
      </c>
      <c r="AU551" s="48">
        <v>0</v>
      </c>
      <c r="AV551" s="48">
        <v>0</v>
      </c>
      <c r="AW551" s="48">
        <v>0</v>
      </c>
      <c r="AX551" s="48">
        <v>0</v>
      </c>
      <c r="AY551" s="48">
        <v>0</v>
      </c>
      <c r="AZ551" s="48">
        <v>0</v>
      </c>
      <c r="BA551" s="48">
        <v>0</v>
      </c>
      <c r="BB551" s="48">
        <v>0</v>
      </c>
    </row>
    <row r="552" spans="1:54" x14ac:dyDescent="0.35">
      <c r="A552" s="49">
        <v>45930</v>
      </c>
      <c r="B552" s="48">
        <v>1</v>
      </c>
      <c r="C552" s="50" t="s">
        <v>32</v>
      </c>
      <c r="D552" s="48" t="s">
        <v>31</v>
      </c>
      <c r="E552" s="48" t="s">
        <v>138</v>
      </c>
      <c r="F552" s="48" t="s">
        <v>139</v>
      </c>
      <c r="G552" s="49" t="s">
        <v>59</v>
      </c>
      <c r="H552" s="48" t="s">
        <v>160</v>
      </c>
      <c r="I552" s="48">
        <v>1</v>
      </c>
      <c r="J552" s="48">
        <v>144</v>
      </c>
      <c r="K552" s="48">
        <v>1</v>
      </c>
      <c r="N552" s="48">
        <v>0</v>
      </c>
      <c r="R552" s="49"/>
      <c r="S552" s="49"/>
      <c r="T552" s="49">
        <v>50313</v>
      </c>
      <c r="U552" s="49">
        <v>50313</v>
      </c>
      <c r="V552" s="49">
        <v>50313</v>
      </c>
      <c r="W552" s="49">
        <v>50313</v>
      </c>
      <c r="X552" s="48">
        <v>1</v>
      </c>
      <c r="Y552" s="48">
        <v>1</v>
      </c>
      <c r="Z552" s="48">
        <v>1</v>
      </c>
      <c r="AA552" s="156">
        <v>104.66523349196908</v>
      </c>
      <c r="AF552" s="48">
        <v>0</v>
      </c>
      <c r="AG552" s="49" t="s">
        <v>32</v>
      </c>
      <c r="AH552" s="48">
        <v>1</v>
      </c>
      <c r="AI552" s="48" t="s">
        <v>33</v>
      </c>
      <c r="AJ552" s="48" t="s">
        <v>33</v>
      </c>
      <c r="AK552" s="48" t="s">
        <v>33</v>
      </c>
      <c r="AL552" s="48" t="s">
        <v>34</v>
      </c>
      <c r="AN552" s="48">
        <v>0</v>
      </c>
      <c r="AO552" s="48">
        <v>0</v>
      </c>
      <c r="AP552" s="48">
        <v>0</v>
      </c>
      <c r="AQ552" s="48">
        <v>0</v>
      </c>
      <c r="AR552" s="48">
        <v>0</v>
      </c>
      <c r="AS552" s="48">
        <v>0</v>
      </c>
      <c r="AT552" s="48">
        <v>0</v>
      </c>
      <c r="AU552" s="48">
        <v>0</v>
      </c>
      <c r="AV552" s="48">
        <v>0</v>
      </c>
      <c r="AW552" s="48">
        <v>0</v>
      </c>
      <c r="AX552" s="48">
        <v>0</v>
      </c>
      <c r="AY552" s="48">
        <v>0</v>
      </c>
      <c r="AZ552" s="48">
        <v>0</v>
      </c>
      <c r="BA552" s="48">
        <v>0</v>
      </c>
      <c r="BB552" s="48">
        <v>0</v>
      </c>
    </row>
    <row r="553" spans="1:54" x14ac:dyDescent="0.35">
      <c r="A553" s="49">
        <v>45930</v>
      </c>
      <c r="B553" s="48">
        <v>1</v>
      </c>
      <c r="C553" s="50" t="s">
        <v>32</v>
      </c>
      <c r="D553" s="48" t="s">
        <v>31</v>
      </c>
      <c r="E553" s="48" t="s">
        <v>138</v>
      </c>
      <c r="F553" s="48" t="s">
        <v>139</v>
      </c>
      <c r="G553" s="49" t="s">
        <v>59</v>
      </c>
      <c r="H553" s="48" t="s">
        <v>160</v>
      </c>
      <c r="I553" s="48">
        <v>1</v>
      </c>
      <c r="J553" s="48">
        <v>145</v>
      </c>
      <c r="K553" s="48">
        <v>1</v>
      </c>
      <c r="N553" s="48">
        <v>0</v>
      </c>
      <c r="R553" s="49"/>
      <c r="S553" s="49"/>
      <c r="T553" s="49">
        <v>50344</v>
      </c>
      <c r="U553" s="49">
        <v>50344</v>
      </c>
      <c r="V553" s="49">
        <v>50344</v>
      </c>
      <c r="W553" s="49">
        <v>50344</v>
      </c>
      <c r="X553" s="48">
        <v>1</v>
      </c>
      <c r="Y553" s="48">
        <v>1</v>
      </c>
      <c r="Z553" s="48">
        <v>1</v>
      </c>
      <c r="AA553" s="156">
        <v>104.66523349196908</v>
      </c>
      <c r="AF553" s="48">
        <v>0</v>
      </c>
      <c r="AG553" s="49" t="s">
        <v>32</v>
      </c>
      <c r="AH553" s="48">
        <v>1</v>
      </c>
      <c r="AI553" s="48" t="s">
        <v>33</v>
      </c>
      <c r="AJ553" s="48" t="s">
        <v>33</v>
      </c>
      <c r="AK553" s="48" t="s">
        <v>33</v>
      </c>
      <c r="AL553" s="48" t="s">
        <v>34</v>
      </c>
      <c r="AN553" s="48">
        <v>0</v>
      </c>
      <c r="AO553" s="48">
        <v>0</v>
      </c>
      <c r="AP553" s="48">
        <v>0</v>
      </c>
      <c r="AQ553" s="48">
        <v>0</v>
      </c>
      <c r="AR553" s="48">
        <v>0</v>
      </c>
      <c r="AS553" s="48">
        <v>0</v>
      </c>
      <c r="AT553" s="48">
        <v>0</v>
      </c>
      <c r="AU553" s="48">
        <v>0</v>
      </c>
      <c r="AV553" s="48">
        <v>0</v>
      </c>
      <c r="AW553" s="48">
        <v>0</v>
      </c>
      <c r="AX553" s="48">
        <v>0</v>
      </c>
      <c r="AY553" s="48">
        <v>0</v>
      </c>
      <c r="AZ553" s="48">
        <v>0</v>
      </c>
      <c r="BA553" s="48">
        <v>0</v>
      </c>
      <c r="BB553" s="48">
        <v>0</v>
      </c>
    </row>
    <row r="554" spans="1:54" x14ac:dyDescent="0.35">
      <c r="A554" s="49">
        <v>45930</v>
      </c>
      <c r="B554" s="48">
        <v>1</v>
      </c>
      <c r="C554" s="50" t="s">
        <v>32</v>
      </c>
      <c r="D554" s="48" t="s">
        <v>31</v>
      </c>
      <c r="E554" s="48" t="s">
        <v>138</v>
      </c>
      <c r="F554" s="48" t="s">
        <v>139</v>
      </c>
      <c r="G554" s="49" t="s">
        <v>59</v>
      </c>
      <c r="H554" s="48" t="s">
        <v>160</v>
      </c>
      <c r="I554" s="48">
        <v>1</v>
      </c>
      <c r="J554" s="48">
        <v>146</v>
      </c>
      <c r="K554" s="48">
        <v>1</v>
      </c>
      <c r="N554" s="48">
        <v>0</v>
      </c>
      <c r="R554" s="49"/>
      <c r="S554" s="49"/>
      <c r="T554" s="49">
        <v>50374</v>
      </c>
      <c r="U554" s="49">
        <v>50374</v>
      </c>
      <c r="V554" s="49">
        <v>50374</v>
      </c>
      <c r="W554" s="49">
        <v>50374</v>
      </c>
      <c r="X554" s="48">
        <v>1</v>
      </c>
      <c r="Y554" s="48">
        <v>1</v>
      </c>
      <c r="Z554" s="48">
        <v>1</v>
      </c>
      <c r="AA554" s="156">
        <v>104.66523349196908</v>
      </c>
      <c r="AF554" s="48">
        <v>0</v>
      </c>
      <c r="AG554" s="49" t="s">
        <v>32</v>
      </c>
      <c r="AH554" s="48">
        <v>1</v>
      </c>
      <c r="AI554" s="48" t="s">
        <v>33</v>
      </c>
      <c r="AJ554" s="48" t="s">
        <v>33</v>
      </c>
      <c r="AK554" s="48" t="s">
        <v>33</v>
      </c>
      <c r="AL554" s="48" t="s">
        <v>34</v>
      </c>
      <c r="AN554" s="48">
        <v>0</v>
      </c>
      <c r="AO554" s="48">
        <v>0</v>
      </c>
      <c r="AP554" s="48">
        <v>0</v>
      </c>
      <c r="AQ554" s="48">
        <v>0</v>
      </c>
      <c r="AR554" s="48">
        <v>0</v>
      </c>
      <c r="AS554" s="48">
        <v>0</v>
      </c>
      <c r="AT554" s="48">
        <v>0</v>
      </c>
      <c r="AU554" s="48">
        <v>0</v>
      </c>
      <c r="AV554" s="48">
        <v>0</v>
      </c>
      <c r="AW554" s="48">
        <v>0</v>
      </c>
      <c r="AX554" s="48">
        <v>0</v>
      </c>
      <c r="AY554" s="48">
        <v>0</v>
      </c>
      <c r="AZ554" s="48">
        <v>0</v>
      </c>
      <c r="BA554" s="48">
        <v>0</v>
      </c>
      <c r="BB554" s="48">
        <v>0</v>
      </c>
    </row>
    <row r="555" spans="1:54" x14ac:dyDescent="0.35">
      <c r="A555" s="49">
        <v>45930</v>
      </c>
      <c r="B555" s="48">
        <v>1</v>
      </c>
      <c r="C555" s="50" t="s">
        <v>32</v>
      </c>
      <c r="D555" s="48" t="s">
        <v>31</v>
      </c>
      <c r="E555" s="48" t="s">
        <v>138</v>
      </c>
      <c r="F555" s="48" t="s">
        <v>139</v>
      </c>
      <c r="G555" s="49" t="s">
        <v>59</v>
      </c>
      <c r="H555" s="48" t="s">
        <v>160</v>
      </c>
      <c r="I555" s="48">
        <v>1</v>
      </c>
      <c r="J555" s="48">
        <v>147</v>
      </c>
      <c r="K555" s="48">
        <v>1</v>
      </c>
      <c r="N555" s="48">
        <v>0</v>
      </c>
      <c r="R555" s="49"/>
      <c r="S555" s="49"/>
      <c r="T555" s="49">
        <v>50405</v>
      </c>
      <c r="U555" s="49">
        <v>50405</v>
      </c>
      <c r="V555" s="49">
        <v>50405</v>
      </c>
      <c r="W555" s="49">
        <v>50405</v>
      </c>
      <c r="X555" s="48">
        <v>1</v>
      </c>
      <c r="Y555" s="48">
        <v>1</v>
      </c>
      <c r="Z555" s="48">
        <v>1</v>
      </c>
      <c r="AA555" s="156">
        <v>104.66523349196908</v>
      </c>
      <c r="AF555" s="48">
        <v>0</v>
      </c>
      <c r="AG555" s="49" t="s">
        <v>32</v>
      </c>
      <c r="AH555" s="48">
        <v>1</v>
      </c>
      <c r="AI555" s="48" t="s">
        <v>33</v>
      </c>
      <c r="AJ555" s="48" t="s">
        <v>33</v>
      </c>
      <c r="AK555" s="48" t="s">
        <v>33</v>
      </c>
      <c r="AL555" s="48" t="s">
        <v>34</v>
      </c>
      <c r="AN555" s="48">
        <v>0</v>
      </c>
      <c r="AO555" s="48">
        <v>0</v>
      </c>
      <c r="AP555" s="48">
        <v>0</v>
      </c>
      <c r="AQ555" s="48">
        <v>0</v>
      </c>
      <c r="AR555" s="48">
        <v>0</v>
      </c>
      <c r="AS555" s="48">
        <v>0</v>
      </c>
      <c r="AT555" s="48">
        <v>0</v>
      </c>
      <c r="AU555" s="48">
        <v>0</v>
      </c>
      <c r="AV555" s="48">
        <v>0</v>
      </c>
      <c r="AW555" s="48">
        <v>0</v>
      </c>
      <c r="AX555" s="48">
        <v>0</v>
      </c>
      <c r="AY555" s="48">
        <v>0</v>
      </c>
      <c r="AZ555" s="48">
        <v>0</v>
      </c>
      <c r="BA555" s="48">
        <v>0</v>
      </c>
      <c r="BB555" s="48">
        <v>0</v>
      </c>
    </row>
    <row r="556" spans="1:54" x14ac:dyDescent="0.35">
      <c r="A556" s="49">
        <v>45930</v>
      </c>
      <c r="B556" s="48">
        <v>1</v>
      </c>
      <c r="C556" s="50" t="s">
        <v>32</v>
      </c>
      <c r="D556" s="48" t="s">
        <v>31</v>
      </c>
      <c r="E556" s="48" t="s">
        <v>138</v>
      </c>
      <c r="F556" s="48" t="s">
        <v>139</v>
      </c>
      <c r="G556" s="49" t="s">
        <v>59</v>
      </c>
      <c r="H556" s="48" t="s">
        <v>160</v>
      </c>
      <c r="I556" s="48">
        <v>1</v>
      </c>
      <c r="J556" s="48">
        <v>148</v>
      </c>
      <c r="K556" s="48">
        <v>1</v>
      </c>
      <c r="N556" s="48">
        <v>0</v>
      </c>
      <c r="R556" s="49"/>
      <c r="S556" s="49"/>
      <c r="T556" s="49">
        <v>50436</v>
      </c>
      <c r="U556" s="49">
        <v>50436</v>
      </c>
      <c r="V556" s="49">
        <v>50436</v>
      </c>
      <c r="W556" s="49">
        <v>50436</v>
      </c>
      <c r="X556" s="48">
        <v>1</v>
      </c>
      <c r="Y556" s="48">
        <v>1</v>
      </c>
      <c r="Z556" s="48">
        <v>1</v>
      </c>
      <c r="AA556" s="156">
        <v>104.66523349196908</v>
      </c>
      <c r="AF556" s="48">
        <v>0</v>
      </c>
      <c r="AG556" s="49" t="s">
        <v>32</v>
      </c>
      <c r="AH556" s="48">
        <v>1</v>
      </c>
      <c r="AI556" s="48" t="s">
        <v>33</v>
      </c>
      <c r="AJ556" s="48" t="s">
        <v>33</v>
      </c>
      <c r="AK556" s="48" t="s">
        <v>33</v>
      </c>
      <c r="AL556" s="48" t="s">
        <v>34</v>
      </c>
      <c r="AN556" s="48">
        <v>0</v>
      </c>
      <c r="AO556" s="48">
        <v>0</v>
      </c>
      <c r="AP556" s="48">
        <v>0</v>
      </c>
      <c r="AQ556" s="48">
        <v>0</v>
      </c>
      <c r="AR556" s="48">
        <v>0</v>
      </c>
      <c r="AS556" s="48">
        <v>0</v>
      </c>
      <c r="AT556" s="48">
        <v>0</v>
      </c>
      <c r="AU556" s="48">
        <v>0</v>
      </c>
      <c r="AV556" s="48">
        <v>0</v>
      </c>
      <c r="AW556" s="48">
        <v>0</v>
      </c>
      <c r="AX556" s="48">
        <v>0</v>
      </c>
      <c r="AY556" s="48">
        <v>0</v>
      </c>
      <c r="AZ556" s="48">
        <v>0</v>
      </c>
      <c r="BA556" s="48">
        <v>0</v>
      </c>
      <c r="BB556" s="48">
        <v>0</v>
      </c>
    </row>
    <row r="557" spans="1:54" x14ac:dyDescent="0.35">
      <c r="A557" s="49">
        <v>45930</v>
      </c>
      <c r="B557" s="48">
        <v>1</v>
      </c>
      <c r="C557" s="50" t="s">
        <v>32</v>
      </c>
      <c r="D557" s="48" t="s">
        <v>31</v>
      </c>
      <c r="E557" s="48" t="s">
        <v>138</v>
      </c>
      <c r="F557" s="48" t="s">
        <v>139</v>
      </c>
      <c r="G557" s="49" t="s">
        <v>59</v>
      </c>
      <c r="H557" s="48" t="s">
        <v>160</v>
      </c>
      <c r="I557" s="48">
        <v>1</v>
      </c>
      <c r="J557" s="48">
        <v>149</v>
      </c>
      <c r="K557" s="48">
        <v>1</v>
      </c>
      <c r="N557" s="48">
        <v>0</v>
      </c>
      <c r="R557" s="49"/>
      <c r="S557" s="49"/>
      <c r="T557" s="49">
        <v>50464</v>
      </c>
      <c r="U557" s="49">
        <v>50464</v>
      </c>
      <c r="V557" s="49">
        <v>50464</v>
      </c>
      <c r="W557" s="49">
        <v>50464</v>
      </c>
      <c r="X557" s="48">
        <v>1</v>
      </c>
      <c r="Y557" s="48">
        <v>1</v>
      </c>
      <c r="Z557" s="48">
        <v>1</v>
      </c>
      <c r="AA557" s="156">
        <v>104.66523349196908</v>
      </c>
      <c r="AF557" s="48">
        <v>0</v>
      </c>
      <c r="AG557" s="49" t="s">
        <v>32</v>
      </c>
      <c r="AH557" s="48">
        <v>1</v>
      </c>
      <c r="AI557" s="48" t="s">
        <v>33</v>
      </c>
      <c r="AJ557" s="48" t="s">
        <v>33</v>
      </c>
      <c r="AK557" s="48" t="s">
        <v>33</v>
      </c>
      <c r="AL557" s="48" t="s">
        <v>34</v>
      </c>
      <c r="AN557" s="48">
        <v>0</v>
      </c>
      <c r="AO557" s="48">
        <v>0</v>
      </c>
      <c r="AP557" s="48">
        <v>0</v>
      </c>
      <c r="AQ557" s="48">
        <v>0</v>
      </c>
      <c r="AR557" s="48">
        <v>0</v>
      </c>
      <c r="AS557" s="48">
        <v>0</v>
      </c>
      <c r="AT557" s="48">
        <v>0</v>
      </c>
      <c r="AU557" s="48">
        <v>0</v>
      </c>
      <c r="AV557" s="48">
        <v>0</v>
      </c>
      <c r="AW557" s="48">
        <v>0</v>
      </c>
      <c r="AX557" s="48">
        <v>0</v>
      </c>
      <c r="AY557" s="48">
        <v>0</v>
      </c>
      <c r="AZ557" s="48">
        <v>0</v>
      </c>
      <c r="BA557" s="48">
        <v>0</v>
      </c>
      <c r="BB557" s="48">
        <v>0</v>
      </c>
    </row>
    <row r="558" spans="1:54" x14ac:dyDescent="0.35">
      <c r="A558" s="49">
        <v>45930</v>
      </c>
      <c r="B558" s="48">
        <v>1</v>
      </c>
      <c r="C558" s="50" t="s">
        <v>32</v>
      </c>
      <c r="D558" s="48" t="s">
        <v>31</v>
      </c>
      <c r="E558" s="48" t="s">
        <v>138</v>
      </c>
      <c r="F558" s="48" t="s">
        <v>139</v>
      </c>
      <c r="G558" s="49" t="s">
        <v>59</v>
      </c>
      <c r="H558" s="48" t="s">
        <v>160</v>
      </c>
      <c r="I558" s="48">
        <v>1</v>
      </c>
      <c r="J558" s="48">
        <v>150</v>
      </c>
      <c r="K558" s="48">
        <v>1</v>
      </c>
      <c r="N558" s="48">
        <v>0</v>
      </c>
      <c r="R558" s="49"/>
      <c r="S558" s="49"/>
      <c r="T558" s="49">
        <v>50495</v>
      </c>
      <c r="U558" s="49">
        <v>50495</v>
      </c>
      <c r="V558" s="49">
        <v>50495</v>
      </c>
      <c r="W558" s="49">
        <v>50495</v>
      </c>
      <c r="X558" s="48">
        <v>1</v>
      </c>
      <c r="Y558" s="48">
        <v>1</v>
      </c>
      <c r="Z558" s="48">
        <v>1</v>
      </c>
      <c r="AA558" s="156">
        <v>104.66523349196908</v>
      </c>
      <c r="AF558" s="48">
        <v>0</v>
      </c>
      <c r="AG558" s="49" t="s">
        <v>32</v>
      </c>
      <c r="AH558" s="48">
        <v>1</v>
      </c>
      <c r="AI558" s="48" t="s">
        <v>33</v>
      </c>
      <c r="AJ558" s="48" t="s">
        <v>33</v>
      </c>
      <c r="AK558" s="48" t="s">
        <v>33</v>
      </c>
      <c r="AL558" s="48" t="s">
        <v>34</v>
      </c>
      <c r="AN558" s="48">
        <v>0</v>
      </c>
      <c r="AO558" s="48">
        <v>0</v>
      </c>
      <c r="AP558" s="48">
        <v>0</v>
      </c>
      <c r="AQ558" s="48">
        <v>0</v>
      </c>
      <c r="AR558" s="48">
        <v>0</v>
      </c>
      <c r="AS558" s="48">
        <v>0</v>
      </c>
      <c r="AT558" s="48">
        <v>0</v>
      </c>
      <c r="AU558" s="48">
        <v>0</v>
      </c>
      <c r="AV558" s="48">
        <v>0</v>
      </c>
      <c r="AW558" s="48">
        <v>0</v>
      </c>
      <c r="AX558" s="48">
        <v>0</v>
      </c>
      <c r="AY558" s="48">
        <v>0</v>
      </c>
      <c r="AZ558" s="48">
        <v>0</v>
      </c>
      <c r="BA558" s="48">
        <v>0</v>
      </c>
      <c r="BB558" s="48">
        <v>0</v>
      </c>
    </row>
    <row r="559" spans="1:54" x14ac:dyDescent="0.35">
      <c r="A559" s="49">
        <v>45930</v>
      </c>
      <c r="B559" s="48">
        <v>1</v>
      </c>
      <c r="C559" s="50" t="s">
        <v>32</v>
      </c>
      <c r="D559" s="48" t="s">
        <v>31</v>
      </c>
      <c r="E559" s="48" t="s">
        <v>138</v>
      </c>
      <c r="F559" s="48" t="s">
        <v>139</v>
      </c>
      <c r="G559" s="49" t="s">
        <v>59</v>
      </c>
      <c r="H559" s="48" t="s">
        <v>160</v>
      </c>
      <c r="I559" s="48">
        <v>1</v>
      </c>
      <c r="J559" s="48">
        <v>151</v>
      </c>
      <c r="K559" s="48">
        <v>1</v>
      </c>
      <c r="N559" s="48">
        <v>0</v>
      </c>
      <c r="R559" s="49"/>
      <c r="S559" s="49"/>
      <c r="T559" s="49">
        <v>50525</v>
      </c>
      <c r="U559" s="49">
        <v>50525</v>
      </c>
      <c r="V559" s="49">
        <v>50525</v>
      </c>
      <c r="W559" s="49">
        <v>50525</v>
      </c>
      <c r="X559" s="48">
        <v>1</v>
      </c>
      <c r="Y559" s="48">
        <v>1</v>
      </c>
      <c r="Z559" s="48">
        <v>1</v>
      </c>
      <c r="AA559" s="156">
        <v>104.66523349196908</v>
      </c>
      <c r="AF559" s="48">
        <v>0</v>
      </c>
      <c r="AG559" s="49" t="s">
        <v>32</v>
      </c>
      <c r="AH559" s="48">
        <v>1</v>
      </c>
      <c r="AI559" s="48" t="s">
        <v>33</v>
      </c>
      <c r="AJ559" s="48" t="s">
        <v>33</v>
      </c>
      <c r="AK559" s="48" t="s">
        <v>33</v>
      </c>
      <c r="AL559" s="48" t="s">
        <v>34</v>
      </c>
      <c r="AN559" s="48">
        <v>0</v>
      </c>
      <c r="AO559" s="48">
        <v>0</v>
      </c>
      <c r="AP559" s="48">
        <v>0</v>
      </c>
      <c r="AQ559" s="48">
        <v>0</v>
      </c>
      <c r="AR559" s="48">
        <v>0</v>
      </c>
      <c r="AS559" s="48">
        <v>0</v>
      </c>
      <c r="AT559" s="48">
        <v>0</v>
      </c>
      <c r="AU559" s="48">
        <v>0</v>
      </c>
      <c r="AV559" s="48">
        <v>0</v>
      </c>
      <c r="AW559" s="48">
        <v>0</v>
      </c>
      <c r="AX559" s="48">
        <v>0</v>
      </c>
      <c r="AY559" s="48">
        <v>0</v>
      </c>
      <c r="AZ559" s="48">
        <v>0</v>
      </c>
      <c r="BA559" s="48">
        <v>0</v>
      </c>
      <c r="BB559" s="48">
        <v>0</v>
      </c>
    </row>
    <row r="560" spans="1:54" x14ac:dyDescent="0.35">
      <c r="A560" s="49">
        <v>45930</v>
      </c>
      <c r="B560" s="48">
        <v>1</v>
      </c>
      <c r="C560" s="50" t="s">
        <v>32</v>
      </c>
      <c r="D560" s="48" t="s">
        <v>31</v>
      </c>
      <c r="E560" s="48" t="s">
        <v>138</v>
      </c>
      <c r="F560" s="48" t="s">
        <v>139</v>
      </c>
      <c r="G560" s="49" t="s">
        <v>59</v>
      </c>
      <c r="H560" s="48" t="s">
        <v>160</v>
      </c>
      <c r="I560" s="48">
        <v>1</v>
      </c>
      <c r="J560" s="48">
        <v>152</v>
      </c>
      <c r="K560" s="48">
        <v>1</v>
      </c>
      <c r="N560" s="48">
        <v>0</v>
      </c>
      <c r="R560" s="49"/>
      <c r="S560" s="49"/>
      <c r="T560" s="49">
        <v>50556</v>
      </c>
      <c r="U560" s="49">
        <v>50556</v>
      </c>
      <c r="V560" s="49">
        <v>50556</v>
      </c>
      <c r="W560" s="49">
        <v>50556</v>
      </c>
      <c r="X560" s="48">
        <v>1</v>
      </c>
      <c r="Y560" s="48">
        <v>1</v>
      </c>
      <c r="Z560" s="48">
        <v>1</v>
      </c>
      <c r="AA560" s="156">
        <v>104.66523349196908</v>
      </c>
      <c r="AF560" s="48">
        <v>0</v>
      </c>
      <c r="AG560" s="49" t="s">
        <v>32</v>
      </c>
      <c r="AH560" s="48">
        <v>1</v>
      </c>
      <c r="AI560" s="48" t="s">
        <v>33</v>
      </c>
      <c r="AJ560" s="48" t="s">
        <v>33</v>
      </c>
      <c r="AK560" s="48" t="s">
        <v>33</v>
      </c>
      <c r="AL560" s="48" t="s">
        <v>34</v>
      </c>
      <c r="AN560" s="48">
        <v>0</v>
      </c>
      <c r="AO560" s="48">
        <v>0</v>
      </c>
      <c r="AP560" s="48">
        <v>0</v>
      </c>
      <c r="AQ560" s="48">
        <v>0</v>
      </c>
      <c r="AR560" s="48">
        <v>0</v>
      </c>
      <c r="AS560" s="48">
        <v>0</v>
      </c>
      <c r="AT560" s="48">
        <v>0</v>
      </c>
      <c r="AU560" s="48">
        <v>0</v>
      </c>
      <c r="AV560" s="48">
        <v>0</v>
      </c>
      <c r="AW560" s="48">
        <v>0</v>
      </c>
      <c r="AX560" s="48">
        <v>0</v>
      </c>
      <c r="AY560" s="48">
        <v>0</v>
      </c>
      <c r="AZ560" s="48">
        <v>0</v>
      </c>
      <c r="BA560" s="48">
        <v>0</v>
      </c>
      <c r="BB560" s="48">
        <v>0</v>
      </c>
    </row>
    <row r="561" spans="1:54" x14ac:dyDescent="0.35">
      <c r="A561" s="49">
        <v>45930</v>
      </c>
      <c r="B561" s="48">
        <v>1</v>
      </c>
      <c r="C561" s="50" t="s">
        <v>32</v>
      </c>
      <c r="D561" s="48" t="s">
        <v>31</v>
      </c>
      <c r="E561" s="48" t="s">
        <v>138</v>
      </c>
      <c r="F561" s="48" t="s">
        <v>139</v>
      </c>
      <c r="G561" s="49" t="s">
        <v>59</v>
      </c>
      <c r="H561" s="48" t="s">
        <v>160</v>
      </c>
      <c r="I561" s="48">
        <v>1</v>
      </c>
      <c r="J561" s="48">
        <v>153</v>
      </c>
      <c r="K561" s="48">
        <v>1</v>
      </c>
      <c r="N561" s="48">
        <v>0</v>
      </c>
      <c r="R561" s="49"/>
      <c r="S561" s="49"/>
      <c r="T561" s="49">
        <v>50586</v>
      </c>
      <c r="U561" s="49">
        <v>50586</v>
      </c>
      <c r="V561" s="49">
        <v>50586</v>
      </c>
      <c r="W561" s="49">
        <v>50586</v>
      </c>
      <c r="X561" s="48">
        <v>1</v>
      </c>
      <c r="Y561" s="48">
        <v>1</v>
      </c>
      <c r="Z561" s="48">
        <v>1</v>
      </c>
      <c r="AA561" s="156">
        <v>104.66523349196908</v>
      </c>
      <c r="AF561" s="48">
        <v>0</v>
      </c>
      <c r="AG561" s="49" t="s">
        <v>32</v>
      </c>
      <c r="AH561" s="48">
        <v>1</v>
      </c>
      <c r="AI561" s="48" t="s">
        <v>33</v>
      </c>
      <c r="AJ561" s="48" t="s">
        <v>33</v>
      </c>
      <c r="AK561" s="48" t="s">
        <v>33</v>
      </c>
      <c r="AL561" s="48" t="s">
        <v>34</v>
      </c>
      <c r="AN561" s="48">
        <v>0</v>
      </c>
      <c r="AO561" s="48">
        <v>0</v>
      </c>
      <c r="AP561" s="48">
        <v>0</v>
      </c>
      <c r="AQ561" s="48">
        <v>0</v>
      </c>
      <c r="AR561" s="48">
        <v>0</v>
      </c>
      <c r="AS561" s="48">
        <v>0</v>
      </c>
      <c r="AT561" s="48">
        <v>0</v>
      </c>
      <c r="AU561" s="48">
        <v>0</v>
      </c>
      <c r="AV561" s="48">
        <v>0</v>
      </c>
      <c r="AW561" s="48">
        <v>0</v>
      </c>
      <c r="AX561" s="48">
        <v>0</v>
      </c>
      <c r="AY561" s="48">
        <v>0</v>
      </c>
      <c r="AZ561" s="48">
        <v>0</v>
      </c>
      <c r="BA561" s="48">
        <v>0</v>
      </c>
      <c r="BB561" s="48">
        <v>0</v>
      </c>
    </row>
    <row r="562" spans="1:54" x14ac:dyDescent="0.35">
      <c r="A562" s="49">
        <v>45930</v>
      </c>
      <c r="B562" s="48">
        <v>1</v>
      </c>
      <c r="C562" s="50" t="s">
        <v>32</v>
      </c>
      <c r="D562" s="48" t="s">
        <v>31</v>
      </c>
      <c r="E562" s="48" t="s">
        <v>138</v>
      </c>
      <c r="F562" s="48" t="s">
        <v>139</v>
      </c>
      <c r="G562" s="49" t="s">
        <v>59</v>
      </c>
      <c r="H562" s="48" t="s">
        <v>160</v>
      </c>
      <c r="I562" s="48">
        <v>1</v>
      </c>
      <c r="J562" s="48">
        <v>154</v>
      </c>
      <c r="K562" s="48">
        <v>1</v>
      </c>
      <c r="N562" s="48">
        <v>0</v>
      </c>
      <c r="R562" s="49"/>
      <c r="S562" s="49"/>
      <c r="T562" s="49">
        <v>50617</v>
      </c>
      <c r="U562" s="49">
        <v>50617</v>
      </c>
      <c r="V562" s="49">
        <v>50617</v>
      </c>
      <c r="W562" s="49">
        <v>50617</v>
      </c>
      <c r="X562" s="48">
        <v>1</v>
      </c>
      <c r="Y562" s="48">
        <v>1</v>
      </c>
      <c r="Z562" s="48">
        <v>1</v>
      </c>
      <c r="AA562" s="156">
        <v>104.66523349196908</v>
      </c>
      <c r="AF562" s="48">
        <v>0</v>
      </c>
      <c r="AG562" s="49" t="s">
        <v>32</v>
      </c>
      <c r="AH562" s="48">
        <v>1</v>
      </c>
      <c r="AI562" s="48" t="s">
        <v>33</v>
      </c>
      <c r="AJ562" s="48" t="s">
        <v>33</v>
      </c>
      <c r="AK562" s="48" t="s">
        <v>33</v>
      </c>
      <c r="AL562" s="48" t="s">
        <v>34</v>
      </c>
      <c r="AN562" s="48">
        <v>0</v>
      </c>
      <c r="AO562" s="48">
        <v>0</v>
      </c>
      <c r="AP562" s="48">
        <v>0</v>
      </c>
      <c r="AQ562" s="48">
        <v>0</v>
      </c>
      <c r="AR562" s="48">
        <v>0</v>
      </c>
      <c r="AS562" s="48">
        <v>0</v>
      </c>
      <c r="AT562" s="48">
        <v>0</v>
      </c>
      <c r="AU562" s="48">
        <v>0</v>
      </c>
      <c r="AV562" s="48">
        <v>0</v>
      </c>
      <c r="AW562" s="48">
        <v>0</v>
      </c>
      <c r="AX562" s="48">
        <v>0</v>
      </c>
      <c r="AY562" s="48">
        <v>0</v>
      </c>
      <c r="AZ562" s="48">
        <v>0</v>
      </c>
      <c r="BA562" s="48">
        <v>0</v>
      </c>
      <c r="BB562" s="48">
        <v>0</v>
      </c>
    </row>
    <row r="563" spans="1:54" x14ac:dyDescent="0.35">
      <c r="A563" s="49">
        <v>45930</v>
      </c>
      <c r="B563" s="48">
        <v>1</v>
      </c>
      <c r="C563" s="50" t="s">
        <v>32</v>
      </c>
      <c r="D563" s="48" t="s">
        <v>31</v>
      </c>
      <c r="E563" s="48" t="s">
        <v>138</v>
      </c>
      <c r="F563" s="48" t="s">
        <v>139</v>
      </c>
      <c r="G563" s="49" t="s">
        <v>59</v>
      </c>
      <c r="H563" s="48" t="s">
        <v>160</v>
      </c>
      <c r="I563" s="48">
        <v>1</v>
      </c>
      <c r="J563" s="48">
        <v>155</v>
      </c>
      <c r="K563" s="48">
        <v>1</v>
      </c>
      <c r="N563" s="48">
        <v>0</v>
      </c>
      <c r="R563" s="49"/>
      <c r="S563" s="49"/>
      <c r="T563" s="49">
        <v>50648</v>
      </c>
      <c r="U563" s="49">
        <v>50648</v>
      </c>
      <c r="V563" s="49">
        <v>50648</v>
      </c>
      <c r="W563" s="49">
        <v>50648</v>
      </c>
      <c r="X563" s="48">
        <v>1</v>
      </c>
      <c r="Y563" s="48">
        <v>1</v>
      </c>
      <c r="Z563" s="48">
        <v>1</v>
      </c>
      <c r="AA563" s="156">
        <v>104.66523349196908</v>
      </c>
      <c r="AF563" s="48">
        <v>0</v>
      </c>
      <c r="AG563" s="49" t="s">
        <v>32</v>
      </c>
      <c r="AH563" s="48">
        <v>1</v>
      </c>
      <c r="AI563" s="48" t="s">
        <v>33</v>
      </c>
      <c r="AJ563" s="48" t="s">
        <v>33</v>
      </c>
      <c r="AK563" s="48" t="s">
        <v>33</v>
      </c>
      <c r="AL563" s="48" t="s">
        <v>34</v>
      </c>
      <c r="AN563" s="48">
        <v>0</v>
      </c>
      <c r="AO563" s="48">
        <v>0</v>
      </c>
      <c r="AP563" s="48">
        <v>0</v>
      </c>
      <c r="AQ563" s="48">
        <v>0</v>
      </c>
      <c r="AR563" s="48">
        <v>0</v>
      </c>
      <c r="AS563" s="48">
        <v>0</v>
      </c>
      <c r="AT563" s="48">
        <v>0</v>
      </c>
      <c r="AU563" s="48">
        <v>0</v>
      </c>
      <c r="AV563" s="48">
        <v>0</v>
      </c>
      <c r="AW563" s="48">
        <v>0</v>
      </c>
      <c r="AX563" s="48">
        <v>0</v>
      </c>
      <c r="AY563" s="48">
        <v>0</v>
      </c>
      <c r="AZ563" s="48">
        <v>0</v>
      </c>
      <c r="BA563" s="48">
        <v>0</v>
      </c>
      <c r="BB563" s="48">
        <v>0</v>
      </c>
    </row>
    <row r="564" spans="1:54" x14ac:dyDescent="0.35">
      <c r="A564" s="49">
        <v>45930</v>
      </c>
      <c r="B564" s="48">
        <v>1</v>
      </c>
      <c r="C564" s="50" t="s">
        <v>32</v>
      </c>
      <c r="D564" s="48" t="s">
        <v>31</v>
      </c>
      <c r="E564" s="48" t="s">
        <v>138</v>
      </c>
      <c r="F564" s="48" t="s">
        <v>139</v>
      </c>
      <c r="G564" s="49" t="s">
        <v>59</v>
      </c>
      <c r="H564" s="48" t="s">
        <v>160</v>
      </c>
      <c r="I564" s="48">
        <v>1</v>
      </c>
      <c r="J564" s="48">
        <v>156</v>
      </c>
      <c r="K564" s="48">
        <v>1</v>
      </c>
      <c r="N564" s="48">
        <v>0</v>
      </c>
      <c r="R564" s="49"/>
      <c r="S564" s="49"/>
      <c r="T564" s="49">
        <v>50678</v>
      </c>
      <c r="U564" s="49">
        <v>50678</v>
      </c>
      <c r="V564" s="49">
        <v>50678</v>
      </c>
      <c r="W564" s="49">
        <v>50678</v>
      </c>
      <c r="X564" s="48">
        <v>1</v>
      </c>
      <c r="Y564" s="48">
        <v>1</v>
      </c>
      <c r="Z564" s="48">
        <v>1</v>
      </c>
      <c r="AA564" s="156">
        <v>104.66523349196908</v>
      </c>
      <c r="AF564" s="48">
        <v>0</v>
      </c>
      <c r="AG564" s="49" t="s">
        <v>32</v>
      </c>
      <c r="AH564" s="48">
        <v>1</v>
      </c>
      <c r="AI564" s="48" t="s">
        <v>33</v>
      </c>
      <c r="AJ564" s="48" t="s">
        <v>33</v>
      </c>
      <c r="AK564" s="48" t="s">
        <v>33</v>
      </c>
      <c r="AL564" s="48" t="s">
        <v>34</v>
      </c>
      <c r="AN564" s="48">
        <v>0</v>
      </c>
      <c r="AO564" s="48">
        <v>0</v>
      </c>
      <c r="AP564" s="48">
        <v>0</v>
      </c>
      <c r="AQ564" s="48">
        <v>0</v>
      </c>
      <c r="AR564" s="48">
        <v>0</v>
      </c>
      <c r="AS564" s="48">
        <v>0</v>
      </c>
      <c r="AT564" s="48">
        <v>0</v>
      </c>
      <c r="AU564" s="48">
        <v>0</v>
      </c>
      <c r="AV564" s="48">
        <v>0</v>
      </c>
      <c r="AW564" s="48">
        <v>0</v>
      </c>
      <c r="AX564" s="48">
        <v>0</v>
      </c>
      <c r="AY564" s="48">
        <v>0</v>
      </c>
      <c r="AZ564" s="48">
        <v>0</v>
      </c>
      <c r="BA564" s="48">
        <v>0</v>
      </c>
      <c r="BB564" s="48">
        <v>0</v>
      </c>
    </row>
    <row r="565" spans="1:54" x14ac:dyDescent="0.35">
      <c r="A565" s="49">
        <v>45930</v>
      </c>
      <c r="B565" s="48">
        <v>1</v>
      </c>
      <c r="C565" s="50" t="s">
        <v>32</v>
      </c>
      <c r="D565" s="48" t="s">
        <v>31</v>
      </c>
      <c r="E565" s="48" t="s">
        <v>138</v>
      </c>
      <c r="F565" s="48" t="s">
        <v>139</v>
      </c>
      <c r="G565" s="49" t="s">
        <v>59</v>
      </c>
      <c r="H565" s="48" t="s">
        <v>160</v>
      </c>
      <c r="I565" s="48">
        <v>1</v>
      </c>
      <c r="J565" s="48">
        <v>157</v>
      </c>
      <c r="K565" s="48">
        <v>1</v>
      </c>
      <c r="N565" s="48">
        <v>0</v>
      </c>
      <c r="R565" s="49"/>
      <c r="S565" s="49"/>
      <c r="T565" s="49">
        <v>50709</v>
      </c>
      <c r="U565" s="49">
        <v>50709</v>
      </c>
      <c r="V565" s="49">
        <v>50709</v>
      </c>
      <c r="W565" s="49">
        <v>50709</v>
      </c>
      <c r="X565" s="48">
        <v>1</v>
      </c>
      <c r="Y565" s="48">
        <v>1</v>
      </c>
      <c r="Z565" s="48">
        <v>1</v>
      </c>
      <c r="AA565" s="156">
        <v>104.66523349196908</v>
      </c>
      <c r="AF565" s="48">
        <v>0</v>
      </c>
      <c r="AG565" s="49" t="s">
        <v>32</v>
      </c>
      <c r="AH565" s="48">
        <v>1</v>
      </c>
      <c r="AI565" s="48" t="s">
        <v>33</v>
      </c>
      <c r="AJ565" s="48" t="s">
        <v>33</v>
      </c>
      <c r="AK565" s="48" t="s">
        <v>33</v>
      </c>
      <c r="AL565" s="48" t="s">
        <v>34</v>
      </c>
      <c r="AN565" s="48">
        <v>0</v>
      </c>
      <c r="AO565" s="48">
        <v>0</v>
      </c>
      <c r="AP565" s="48">
        <v>0</v>
      </c>
      <c r="AQ565" s="48">
        <v>0</v>
      </c>
      <c r="AR565" s="48">
        <v>0</v>
      </c>
      <c r="AS565" s="48">
        <v>0</v>
      </c>
      <c r="AT565" s="48">
        <v>0</v>
      </c>
      <c r="AU565" s="48">
        <v>0</v>
      </c>
      <c r="AV565" s="48">
        <v>0</v>
      </c>
      <c r="AW565" s="48">
        <v>0</v>
      </c>
      <c r="AX565" s="48">
        <v>0</v>
      </c>
      <c r="AY565" s="48">
        <v>0</v>
      </c>
      <c r="AZ565" s="48">
        <v>0</v>
      </c>
      <c r="BA565" s="48">
        <v>0</v>
      </c>
      <c r="BB565" s="48">
        <v>0</v>
      </c>
    </row>
    <row r="566" spans="1:54" x14ac:dyDescent="0.35">
      <c r="A566" s="49">
        <v>45930</v>
      </c>
      <c r="B566" s="48">
        <v>1</v>
      </c>
      <c r="C566" s="50" t="s">
        <v>32</v>
      </c>
      <c r="D566" s="48" t="s">
        <v>31</v>
      </c>
      <c r="E566" s="48" t="s">
        <v>138</v>
      </c>
      <c r="F566" s="48" t="s">
        <v>139</v>
      </c>
      <c r="G566" s="49" t="s">
        <v>59</v>
      </c>
      <c r="H566" s="48" t="s">
        <v>160</v>
      </c>
      <c r="I566" s="48">
        <v>1</v>
      </c>
      <c r="J566" s="48">
        <v>158</v>
      </c>
      <c r="K566" s="48">
        <v>1</v>
      </c>
      <c r="N566" s="48">
        <v>0</v>
      </c>
      <c r="R566" s="49"/>
      <c r="S566" s="49"/>
      <c r="T566" s="49">
        <v>50739</v>
      </c>
      <c r="U566" s="49">
        <v>50739</v>
      </c>
      <c r="V566" s="49">
        <v>50739</v>
      </c>
      <c r="W566" s="49">
        <v>50739</v>
      </c>
      <c r="X566" s="48">
        <v>1</v>
      </c>
      <c r="Y566" s="48">
        <v>1</v>
      </c>
      <c r="Z566" s="48">
        <v>1</v>
      </c>
      <c r="AA566" s="156">
        <v>104.66523349196908</v>
      </c>
      <c r="AF566" s="48">
        <v>0</v>
      </c>
      <c r="AG566" s="49" t="s">
        <v>32</v>
      </c>
      <c r="AH566" s="48">
        <v>1</v>
      </c>
      <c r="AI566" s="48" t="s">
        <v>33</v>
      </c>
      <c r="AJ566" s="48" t="s">
        <v>33</v>
      </c>
      <c r="AK566" s="48" t="s">
        <v>33</v>
      </c>
      <c r="AL566" s="48" t="s">
        <v>34</v>
      </c>
      <c r="AN566" s="48">
        <v>0</v>
      </c>
      <c r="AO566" s="48">
        <v>0</v>
      </c>
      <c r="AP566" s="48">
        <v>0</v>
      </c>
      <c r="AQ566" s="48">
        <v>0</v>
      </c>
      <c r="AR566" s="48">
        <v>0</v>
      </c>
      <c r="AS566" s="48">
        <v>0</v>
      </c>
      <c r="AT566" s="48">
        <v>0</v>
      </c>
      <c r="AU566" s="48">
        <v>0</v>
      </c>
      <c r="AV566" s="48">
        <v>0</v>
      </c>
      <c r="AW566" s="48">
        <v>0</v>
      </c>
      <c r="AX566" s="48">
        <v>0</v>
      </c>
      <c r="AY566" s="48">
        <v>0</v>
      </c>
      <c r="AZ566" s="48">
        <v>0</v>
      </c>
      <c r="BA566" s="48">
        <v>0</v>
      </c>
      <c r="BB566" s="48">
        <v>0</v>
      </c>
    </row>
    <row r="567" spans="1:54" x14ac:dyDescent="0.35">
      <c r="A567" s="49">
        <v>45930</v>
      </c>
      <c r="B567" s="48">
        <v>1</v>
      </c>
      <c r="C567" s="50" t="s">
        <v>32</v>
      </c>
      <c r="D567" s="48" t="s">
        <v>31</v>
      </c>
      <c r="E567" s="48" t="s">
        <v>138</v>
      </c>
      <c r="F567" s="48" t="s">
        <v>139</v>
      </c>
      <c r="G567" s="49" t="s">
        <v>59</v>
      </c>
      <c r="H567" s="48" t="s">
        <v>160</v>
      </c>
      <c r="I567" s="48">
        <v>1</v>
      </c>
      <c r="J567" s="48">
        <v>159</v>
      </c>
      <c r="K567" s="48">
        <v>1</v>
      </c>
      <c r="N567" s="48">
        <v>0</v>
      </c>
      <c r="R567" s="49"/>
      <c r="S567" s="49"/>
      <c r="T567" s="49">
        <v>50770</v>
      </c>
      <c r="U567" s="49">
        <v>50770</v>
      </c>
      <c r="V567" s="49">
        <v>50770</v>
      </c>
      <c r="W567" s="49">
        <v>50770</v>
      </c>
      <c r="X567" s="48">
        <v>1</v>
      </c>
      <c r="Y567" s="48">
        <v>1</v>
      </c>
      <c r="Z567" s="48">
        <v>1</v>
      </c>
      <c r="AA567" s="156">
        <v>104.66523349196908</v>
      </c>
      <c r="AF567" s="48">
        <v>0</v>
      </c>
      <c r="AG567" s="49" t="s">
        <v>32</v>
      </c>
      <c r="AH567" s="48">
        <v>1</v>
      </c>
      <c r="AI567" s="48" t="s">
        <v>33</v>
      </c>
      <c r="AJ567" s="48" t="s">
        <v>33</v>
      </c>
      <c r="AK567" s="48" t="s">
        <v>33</v>
      </c>
      <c r="AL567" s="48" t="s">
        <v>34</v>
      </c>
      <c r="AN567" s="48">
        <v>0</v>
      </c>
      <c r="AO567" s="48">
        <v>0</v>
      </c>
      <c r="AP567" s="48">
        <v>0</v>
      </c>
      <c r="AQ567" s="48">
        <v>0</v>
      </c>
      <c r="AR567" s="48">
        <v>0</v>
      </c>
      <c r="AS567" s="48">
        <v>0</v>
      </c>
      <c r="AT567" s="48">
        <v>0</v>
      </c>
      <c r="AU567" s="48">
        <v>0</v>
      </c>
      <c r="AV567" s="48">
        <v>0</v>
      </c>
      <c r="AW567" s="48">
        <v>0</v>
      </c>
      <c r="AX567" s="48">
        <v>0</v>
      </c>
      <c r="AY567" s="48">
        <v>0</v>
      </c>
      <c r="AZ567" s="48">
        <v>0</v>
      </c>
      <c r="BA567" s="48">
        <v>0</v>
      </c>
      <c r="BB567" s="48">
        <v>0</v>
      </c>
    </row>
    <row r="568" spans="1:54" x14ac:dyDescent="0.35">
      <c r="A568" s="49">
        <v>45930</v>
      </c>
      <c r="B568" s="48">
        <v>1</v>
      </c>
      <c r="C568" s="50" t="s">
        <v>32</v>
      </c>
      <c r="D568" s="48" t="s">
        <v>31</v>
      </c>
      <c r="E568" s="48" t="s">
        <v>138</v>
      </c>
      <c r="F568" s="48" t="s">
        <v>139</v>
      </c>
      <c r="G568" s="49" t="s">
        <v>59</v>
      </c>
      <c r="H568" s="48" t="s">
        <v>160</v>
      </c>
      <c r="I568" s="48">
        <v>1</v>
      </c>
      <c r="J568" s="48">
        <v>160</v>
      </c>
      <c r="K568" s="48">
        <v>1</v>
      </c>
      <c r="N568" s="48">
        <v>0</v>
      </c>
      <c r="R568" s="49"/>
      <c r="S568" s="49"/>
      <c r="T568" s="49">
        <v>50801</v>
      </c>
      <c r="U568" s="49">
        <v>50801</v>
      </c>
      <c r="V568" s="49">
        <v>50801</v>
      </c>
      <c r="W568" s="49">
        <v>50801</v>
      </c>
      <c r="X568" s="48">
        <v>1</v>
      </c>
      <c r="Y568" s="48">
        <v>1</v>
      </c>
      <c r="Z568" s="48">
        <v>1</v>
      </c>
      <c r="AA568" s="156">
        <v>104.66523349196908</v>
      </c>
      <c r="AF568" s="48">
        <v>0</v>
      </c>
      <c r="AG568" s="49" t="s">
        <v>32</v>
      </c>
      <c r="AH568" s="48">
        <v>1</v>
      </c>
      <c r="AI568" s="48" t="s">
        <v>33</v>
      </c>
      <c r="AJ568" s="48" t="s">
        <v>33</v>
      </c>
      <c r="AK568" s="48" t="s">
        <v>33</v>
      </c>
      <c r="AL568" s="48" t="s">
        <v>34</v>
      </c>
      <c r="AN568" s="48">
        <v>0</v>
      </c>
      <c r="AO568" s="48">
        <v>0</v>
      </c>
      <c r="AP568" s="48">
        <v>0</v>
      </c>
      <c r="AQ568" s="48">
        <v>0</v>
      </c>
      <c r="AR568" s="48">
        <v>0</v>
      </c>
      <c r="AS568" s="48">
        <v>0</v>
      </c>
      <c r="AT568" s="48">
        <v>0</v>
      </c>
      <c r="AU568" s="48">
        <v>0</v>
      </c>
      <c r="AV568" s="48">
        <v>0</v>
      </c>
      <c r="AW568" s="48">
        <v>0</v>
      </c>
      <c r="AX568" s="48">
        <v>0</v>
      </c>
      <c r="AY568" s="48">
        <v>0</v>
      </c>
      <c r="AZ568" s="48">
        <v>0</v>
      </c>
      <c r="BA568" s="48">
        <v>0</v>
      </c>
      <c r="BB568" s="48">
        <v>0</v>
      </c>
    </row>
    <row r="569" spans="1:54" x14ac:dyDescent="0.35">
      <c r="A569" s="49">
        <v>45930</v>
      </c>
      <c r="B569" s="48">
        <v>1</v>
      </c>
      <c r="C569" s="50" t="s">
        <v>32</v>
      </c>
      <c r="D569" s="48" t="s">
        <v>31</v>
      </c>
      <c r="E569" s="48" t="s">
        <v>138</v>
      </c>
      <c r="F569" s="48" t="s">
        <v>139</v>
      </c>
      <c r="G569" s="49" t="s">
        <v>59</v>
      </c>
      <c r="H569" s="48" t="s">
        <v>160</v>
      </c>
      <c r="I569" s="48">
        <v>1</v>
      </c>
      <c r="J569" s="48">
        <v>161</v>
      </c>
      <c r="K569" s="48">
        <v>1</v>
      </c>
      <c r="N569" s="48">
        <v>0</v>
      </c>
      <c r="R569" s="49"/>
      <c r="S569" s="49"/>
      <c r="T569" s="49">
        <v>50829</v>
      </c>
      <c r="U569" s="49">
        <v>50829</v>
      </c>
      <c r="V569" s="49">
        <v>50829</v>
      </c>
      <c r="W569" s="49">
        <v>50829</v>
      </c>
      <c r="X569" s="48">
        <v>1</v>
      </c>
      <c r="Y569" s="48">
        <v>1</v>
      </c>
      <c r="Z569" s="48">
        <v>1</v>
      </c>
      <c r="AA569" s="156">
        <v>104.66523349196908</v>
      </c>
      <c r="AF569" s="48">
        <v>0</v>
      </c>
      <c r="AG569" s="49" t="s">
        <v>32</v>
      </c>
      <c r="AH569" s="48">
        <v>1</v>
      </c>
      <c r="AI569" s="48" t="s">
        <v>33</v>
      </c>
      <c r="AJ569" s="48" t="s">
        <v>33</v>
      </c>
      <c r="AK569" s="48" t="s">
        <v>33</v>
      </c>
      <c r="AL569" s="48" t="s">
        <v>34</v>
      </c>
      <c r="AN569" s="48">
        <v>0</v>
      </c>
      <c r="AO569" s="48">
        <v>0</v>
      </c>
      <c r="AP569" s="48">
        <v>0</v>
      </c>
      <c r="AQ569" s="48">
        <v>0</v>
      </c>
      <c r="AR569" s="48">
        <v>0</v>
      </c>
      <c r="AS569" s="48">
        <v>0</v>
      </c>
      <c r="AT569" s="48">
        <v>0</v>
      </c>
      <c r="AU569" s="48">
        <v>0</v>
      </c>
      <c r="AV569" s="48">
        <v>0</v>
      </c>
      <c r="AW569" s="48">
        <v>0</v>
      </c>
      <c r="AX569" s="48">
        <v>0</v>
      </c>
      <c r="AY569" s="48">
        <v>0</v>
      </c>
      <c r="AZ569" s="48">
        <v>0</v>
      </c>
      <c r="BA569" s="48">
        <v>0</v>
      </c>
      <c r="BB569" s="48">
        <v>0</v>
      </c>
    </row>
    <row r="570" spans="1:54" x14ac:dyDescent="0.35">
      <c r="A570" s="49">
        <v>45930</v>
      </c>
      <c r="B570" s="48">
        <v>1</v>
      </c>
      <c r="C570" s="50" t="s">
        <v>32</v>
      </c>
      <c r="D570" s="48" t="s">
        <v>31</v>
      </c>
      <c r="E570" s="48" t="s">
        <v>138</v>
      </c>
      <c r="F570" s="48" t="s">
        <v>139</v>
      </c>
      <c r="G570" s="49" t="s">
        <v>59</v>
      </c>
      <c r="H570" s="48" t="s">
        <v>160</v>
      </c>
      <c r="I570" s="48">
        <v>1</v>
      </c>
      <c r="J570" s="48">
        <v>162</v>
      </c>
      <c r="K570" s="48">
        <v>1</v>
      </c>
      <c r="N570" s="48">
        <v>0</v>
      </c>
      <c r="R570" s="49"/>
      <c r="S570" s="49"/>
      <c r="T570" s="49">
        <v>50860</v>
      </c>
      <c r="U570" s="49">
        <v>50860</v>
      </c>
      <c r="V570" s="49">
        <v>50860</v>
      </c>
      <c r="W570" s="49">
        <v>50860</v>
      </c>
      <c r="X570" s="48">
        <v>1</v>
      </c>
      <c r="Y570" s="48">
        <v>1</v>
      </c>
      <c r="Z570" s="48">
        <v>1</v>
      </c>
      <c r="AA570" s="156">
        <v>104.66523349196908</v>
      </c>
      <c r="AF570" s="48">
        <v>0</v>
      </c>
      <c r="AG570" s="49" t="s">
        <v>32</v>
      </c>
      <c r="AH570" s="48">
        <v>1</v>
      </c>
      <c r="AI570" s="48" t="s">
        <v>33</v>
      </c>
      <c r="AJ570" s="48" t="s">
        <v>33</v>
      </c>
      <c r="AK570" s="48" t="s">
        <v>33</v>
      </c>
      <c r="AL570" s="48" t="s">
        <v>34</v>
      </c>
      <c r="AN570" s="48">
        <v>0</v>
      </c>
      <c r="AO570" s="48">
        <v>0</v>
      </c>
      <c r="AP570" s="48">
        <v>0</v>
      </c>
      <c r="AQ570" s="48">
        <v>0</v>
      </c>
      <c r="AR570" s="48">
        <v>0</v>
      </c>
      <c r="AS570" s="48">
        <v>0</v>
      </c>
      <c r="AT570" s="48">
        <v>0</v>
      </c>
      <c r="AU570" s="48">
        <v>0</v>
      </c>
      <c r="AV570" s="48">
        <v>0</v>
      </c>
      <c r="AW570" s="48">
        <v>0</v>
      </c>
      <c r="AX570" s="48">
        <v>0</v>
      </c>
      <c r="AY570" s="48">
        <v>0</v>
      </c>
      <c r="AZ570" s="48">
        <v>0</v>
      </c>
      <c r="BA570" s="48">
        <v>0</v>
      </c>
      <c r="BB570" s="48">
        <v>0</v>
      </c>
    </row>
    <row r="571" spans="1:54" x14ac:dyDescent="0.35">
      <c r="A571" s="49">
        <v>45930</v>
      </c>
      <c r="B571" s="48">
        <v>1</v>
      </c>
      <c r="C571" s="50" t="s">
        <v>32</v>
      </c>
      <c r="D571" s="48" t="s">
        <v>31</v>
      </c>
      <c r="E571" s="48" t="s">
        <v>138</v>
      </c>
      <c r="F571" s="48" t="s">
        <v>139</v>
      </c>
      <c r="G571" s="49" t="s">
        <v>59</v>
      </c>
      <c r="H571" s="48" t="s">
        <v>160</v>
      </c>
      <c r="I571" s="48">
        <v>1</v>
      </c>
      <c r="J571" s="48">
        <v>163</v>
      </c>
      <c r="K571" s="48">
        <v>1</v>
      </c>
      <c r="N571" s="48">
        <v>0</v>
      </c>
      <c r="R571" s="49"/>
      <c r="S571" s="49"/>
      <c r="T571" s="49">
        <v>50890</v>
      </c>
      <c r="U571" s="49">
        <v>50890</v>
      </c>
      <c r="V571" s="49">
        <v>50890</v>
      </c>
      <c r="W571" s="49">
        <v>50890</v>
      </c>
      <c r="X571" s="48">
        <v>1</v>
      </c>
      <c r="Y571" s="48">
        <v>1</v>
      </c>
      <c r="Z571" s="48">
        <v>1</v>
      </c>
      <c r="AA571" s="156">
        <v>104.66523349196908</v>
      </c>
      <c r="AF571" s="48">
        <v>0</v>
      </c>
      <c r="AG571" s="49" t="s">
        <v>32</v>
      </c>
      <c r="AH571" s="48">
        <v>1</v>
      </c>
      <c r="AI571" s="48" t="s">
        <v>33</v>
      </c>
      <c r="AJ571" s="48" t="s">
        <v>33</v>
      </c>
      <c r="AK571" s="48" t="s">
        <v>33</v>
      </c>
      <c r="AL571" s="48" t="s">
        <v>34</v>
      </c>
      <c r="AN571" s="48">
        <v>0</v>
      </c>
      <c r="AO571" s="48">
        <v>0</v>
      </c>
      <c r="AP571" s="48">
        <v>0</v>
      </c>
      <c r="AQ571" s="48">
        <v>0</v>
      </c>
      <c r="AR571" s="48">
        <v>0</v>
      </c>
      <c r="AS571" s="48">
        <v>0</v>
      </c>
      <c r="AT571" s="48">
        <v>0</v>
      </c>
      <c r="AU571" s="48">
        <v>0</v>
      </c>
      <c r="AV571" s="48">
        <v>0</v>
      </c>
      <c r="AW571" s="48">
        <v>0</v>
      </c>
      <c r="AX571" s="48">
        <v>0</v>
      </c>
      <c r="AY571" s="48">
        <v>0</v>
      </c>
      <c r="AZ571" s="48">
        <v>0</v>
      </c>
      <c r="BA571" s="48">
        <v>0</v>
      </c>
      <c r="BB571" s="48">
        <v>0</v>
      </c>
    </row>
    <row r="572" spans="1:54" x14ac:dyDescent="0.35">
      <c r="A572" s="49">
        <v>45930</v>
      </c>
      <c r="B572" s="48">
        <v>1</v>
      </c>
      <c r="C572" s="50" t="s">
        <v>32</v>
      </c>
      <c r="D572" s="48" t="s">
        <v>31</v>
      </c>
      <c r="E572" s="48" t="s">
        <v>138</v>
      </c>
      <c r="F572" s="48" t="s">
        <v>139</v>
      </c>
      <c r="G572" s="49" t="s">
        <v>59</v>
      </c>
      <c r="H572" s="48" t="s">
        <v>160</v>
      </c>
      <c r="I572" s="48">
        <v>1</v>
      </c>
      <c r="J572" s="48">
        <v>164</v>
      </c>
      <c r="K572" s="48">
        <v>1</v>
      </c>
      <c r="N572" s="48">
        <v>0</v>
      </c>
      <c r="R572" s="49"/>
      <c r="S572" s="49"/>
      <c r="T572" s="49">
        <v>50921</v>
      </c>
      <c r="U572" s="49">
        <v>50921</v>
      </c>
      <c r="V572" s="49">
        <v>50921</v>
      </c>
      <c r="W572" s="49">
        <v>50921</v>
      </c>
      <c r="X572" s="48">
        <v>1</v>
      </c>
      <c r="Y572" s="48">
        <v>1</v>
      </c>
      <c r="Z572" s="48">
        <v>1</v>
      </c>
      <c r="AA572" s="156">
        <v>104.66523349196908</v>
      </c>
      <c r="AF572" s="48">
        <v>0</v>
      </c>
      <c r="AG572" s="49" t="s">
        <v>32</v>
      </c>
      <c r="AH572" s="48">
        <v>1</v>
      </c>
      <c r="AI572" s="48" t="s">
        <v>33</v>
      </c>
      <c r="AJ572" s="48" t="s">
        <v>33</v>
      </c>
      <c r="AK572" s="48" t="s">
        <v>33</v>
      </c>
      <c r="AL572" s="48" t="s">
        <v>34</v>
      </c>
      <c r="AN572" s="48">
        <v>0</v>
      </c>
      <c r="AO572" s="48">
        <v>0</v>
      </c>
      <c r="AP572" s="48">
        <v>0</v>
      </c>
      <c r="AQ572" s="48">
        <v>0</v>
      </c>
      <c r="AR572" s="48">
        <v>0</v>
      </c>
      <c r="AS572" s="48">
        <v>0</v>
      </c>
      <c r="AT572" s="48">
        <v>0</v>
      </c>
      <c r="AU572" s="48">
        <v>0</v>
      </c>
      <c r="AV572" s="48">
        <v>0</v>
      </c>
      <c r="AW572" s="48">
        <v>0</v>
      </c>
      <c r="AX572" s="48">
        <v>0</v>
      </c>
      <c r="AY572" s="48">
        <v>0</v>
      </c>
      <c r="AZ572" s="48">
        <v>0</v>
      </c>
      <c r="BA572" s="48">
        <v>0</v>
      </c>
      <c r="BB572" s="48">
        <v>0</v>
      </c>
    </row>
    <row r="573" spans="1:54" x14ac:dyDescent="0.35">
      <c r="A573" s="49">
        <v>45930</v>
      </c>
      <c r="B573" s="48">
        <v>1</v>
      </c>
      <c r="C573" s="50" t="s">
        <v>32</v>
      </c>
      <c r="D573" s="48" t="s">
        <v>31</v>
      </c>
      <c r="E573" s="48" t="s">
        <v>138</v>
      </c>
      <c r="F573" s="48" t="s">
        <v>139</v>
      </c>
      <c r="G573" s="49" t="s">
        <v>59</v>
      </c>
      <c r="H573" s="48" t="s">
        <v>160</v>
      </c>
      <c r="I573" s="48">
        <v>1</v>
      </c>
      <c r="J573" s="48">
        <v>165</v>
      </c>
      <c r="K573" s="48">
        <v>1</v>
      </c>
      <c r="N573" s="48">
        <v>0</v>
      </c>
      <c r="R573" s="49"/>
      <c r="S573" s="49"/>
      <c r="T573" s="49">
        <v>50951</v>
      </c>
      <c r="U573" s="49">
        <v>50951</v>
      </c>
      <c r="V573" s="49">
        <v>50951</v>
      </c>
      <c r="W573" s="49">
        <v>50951</v>
      </c>
      <c r="X573" s="48">
        <v>1</v>
      </c>
      <c r="Y573" s="48">
        <v>1</v>
      </c>
      <c r="Z573" s="48">
        <v>1</v>
      </c>
      <c r="AA573" s="156">
        <v>104.66523349196908</v>
      </c>
      <c r="AF573" s="48">
        <v>0</v>
      </c>
      <c r="AG573" s="49" t="s">
        <v>32</v>
      </c>
      <c r="AH573" s="48">
        <v>1</v>
      </c>
      <c r="AI573" s="48" t="s">
        <v>33</v>
      </c>
      <c r="AJ573" s="48" t="s">
        <v>33</v>
      </c>
      <c r="AK573" s="48" t="s">
        <v>33</v>
      </c>
      <c r="AL573" s="48" t="s">
        <v>34</v>
      </c>
      <c r="AN573" s="48">
        <v>0</v>
      </c>
      <c r="AO573" s="48">
        <v>0</v>
      </c>
      <c r="AP573" s="48">
        <v>0</v>
      </c>
      <c r="AQ573" s="48">
        <v>0</v>
      </c>
      <c r="AR573" s="48">
        <v>0</v>
      </c>
      <c r="AS573" s="48">
        <v>0</v>
      </c>
      <c r="AT573" s="48">
        <v>0</v>
      </c>
      <c r="AU573" s="48">
        <v>0</v>
      </c>
      <c r="AV573" s="48">
        <v>0</v>
      </c>
      <c r="AW573" s="48">
        <v>0</v>
      </c>
      <c r="AX573" s="48">
        <v>0</v>
      </c>
      <c r="AY573" s="48">
        <v>0</v>
      </c>
      <c r="AZ573" s="48">
        <v>0</v>
      </c>
      <c r="BA573" s="48">
        <v>0</v>
      </c>
      <c r="BB573" s="48">
        <v>0</v>
      </c>
    </row>
    <row r="574" spans="1:54" x14ac:dyDescent="0.35">
      <c r="A574" s="49">
        <v>45930</v>
      </c>
      <c r="B574" s="48">
        <v>1</v>
      </c>
      <c r="C574" s="50" t="s">
        <v>32</v>
      </c>
      <c r="D574" s="48" t="s">
        <v>31</v>
      </c>
      <c r="E574" s="48" t="s">
        <v>138</v>
      </c>
      <c r="F574" s="48" t="s">
        <v>139</v>
      </c>
      <c r="G574" s="49" t="s">
        <v>59</v>
      </c>
      <c r="H574" s="48" t="s">
        <v>160</v>
      </c>
      <c r="I574" s="48">
        <v>1</v>
      </c>
      <c r="J574" s="48">
        <v>166</v>
      </c>
      <c r="K574" s="48">
        <v>1</v>
      </c>
      <c r="N574" s="48">
        <v>0</v>
      </c>
      <c r="R574" s="49"/>
      <c r="S574" s="49"/>
      <c r="T574" s="49">
        <v>50982</v>
      </c>
      <c r="U574" s="49">
        <v>50982</v>
      </c>
      <c r="V574" s="49">
        <v>50982</v>
      </c>
      <c r="W574" s="49">
        <v>50982</v>
      </c>
      <c r="X574" s="48">
        <v>1</v>
      </c>
      <c r="Y574" s="48">
        <v>1</v>
      </c>
      <c r="Z574" s="48">
        <v>1</v>
      </c>
      <c r="AA574" s="156">
        <v>104.66523349196908</v>
      </c>
      <c r="AF574" s="48">
        <v>0</v>
      </c>
      <c r="AG574" s="49" t="s">
        <v>32</v>
      </c>
      <c r="AH574" s="48">
        <v>1</v>
      </c>
      <c r="AI574" s="48" t="s">
        <v>33</v>
      </c>
      <c r="AJ574" s="48" t="s">
        <v>33</v>
      </c>
      <c r="AK574" s="48" t="s">
        <v>33</v>
      </c>
      <c r="AL574" s="48" t="s">
        <v>34</v>
      </c>
      <c r="AN574" s="48">
        <v>0</v>
      </c>
      <c r="AO574" s="48">
        <v>0</v>
      </c>
      <c r="AP574" s="48">
        <v>0</v>
      </c>
      <c r="AQ574" s="48">
        <v>0</v>
      </c>
      <c r="AR574" s="48">
        <v>0</v>
      </c>
      <c r="AS574" s="48">
        <v>0</v>
      </c>
      <c r="AT574" s="48">
        <v>0</v>
      </c>
      <c r="AU574" s="48">
        <v>0</v>
      </c>
      <c r="AV574" s="48">
        <v>0</v>
      </c>
      <c r="AW574" s="48">
        <v>0</v>
      </c>
      <c r="AX574" s="48">
        <v>0</v>
      </c>
      <c r="AY574" s="48">
        <v>0</v>
      </c>
      <c r="AZ574" s="48">
        <v>0</v>
      </c>
      <c r="BA574" s="48">
        <v>0</v>
      </c>
      <c r="BB574" s="48">
        <v>0</v>
      </c>
    </row>
    <row r="575" spans="1:54" x14ac:dyDescent="0.35">
      <c r="A575" s="49">
        <v>45930</v>
      </c>
      <c r="B575" s="48">
        <v>1</v>
      </c>
      <c r="C575" s="50" t="s">
        <v>32</v>
      </c>
      <c r="D575" s="48" t="s">
        <v>31</v>
      </c>
      <c r="E575" s="48" t="s">
        <v>138</v>
      </c>
      <c r="F575" s="48" t="s">
        <v>139</v>
      </c>
      <c r="G575" s="49" t="s">
        <v>59</v>
      </c>
      <c r="H575" s="48" t="s">
        <v>160</v>
      </c>
      <c r="I575" s="48">
        <v>1</v>
      </c>
      <c r="J575" s="48">
        <v>167</v>
      </c>
      <c r="K575" s="48">
        <v>1</v>
      </c>
      <c r="N575" s="48">
        <v>0</v>
      </c>
      <c r="R575" s="49"/>
      <c r="S575" s="49"/>
      <c r="T575" s="49">
        <v>51013</v>
      </c>
      <c r="U575" s="49">
        <v>51013</v>
      </c>
      <c r="V575" s="49">
        <v>51013</v>
      </c>
      <c r="W575" s="49">
        <v>51013</v>
      </c>
      <c r="X575" s="48">
        <v>1</v>
      </c>
      <c r="Y575" s="48">
        <v>1</v>
      </c>
      <c r="Z575" s="48">
        <v>1</v>
      </c>
      <c r="AA575" s="156">
        <v>104.66523349196908</v>
      </c>
      <c r="AF575" s="48">
        <v>0</v>
      </c>
      <c r="AG575" s="49" t="s">
        <v>32</v>
      </c>
      <c r="AH575" s="48">
        <v>1</v>
      </c>
      <c r="AI575" s="48" t="s">
        <v>33</v>
      </c>
      <c r="AJ575" s="48" t="s">
        <v>33</v>
      </c>
      <c r="AK575" s="48" t="s">
        <v>33</v>
      </c>
      <c r="AL575" s="48" t="s">
        <v>34</v>
      </c>
      <c r="AN575" s="48">
        <v>0</v>
      </c>
      <c r="AO575" s="48">
        <v>0</v>
      </c>
      <c r="AP575" s="48">
        <v>0</v>
      </c>
      <c r="AQ575" s="48">
        <v>0</v>
      </c>
      <c r="AR575" s="48">
        <v>0</v>
      </c>
      <c r="AS575" s="48">
        <v>0</v>
      </c>
      <c r="AT575" s="48">
        <v>0</v>
      </c>
      <c r="AU575" s="48">
        <v>0</v>
      </c>
      <c r="AV575" s="48">
        <v>0</v>
      </c>
      <c r="AW575" s="48">
        <v>0</v>
      </c>
      <c r="AX575" s="48">
        <v>0</v>
      </c>
      <c r="AY575" s="48">
        <v>0</v>
      </c>
      <c r="AZ575" s="48">
        <v>0</v>
      </c>
      <c r="BA575" s="48">
        <v>0</v>
      </c>
      <c r="BB575" s="48">
        <v>0</v>
      </c>
    </row>
    <row r="576" spans="1:54" x14ac:dyDescent="0.35">
      <c r="A576" s="49">
        <v>45930</v>
      </c>
      <c r="B576" s="48">
        <v>1</v>
      </c>
      <c r="C576" s="50" t="s">
        <v>32</v>
      </c>
      <c r="D576" s="48" t="s">
        <v>31</v>
      </c>
      <c r="E576" s="48" t="s">
        <v>138</v>
      </c>
      <c r="F576" s="48" t="s">
        <v>139</v>
      </c>
      <c r="G576" s="49" t="s">
        <v>59</v>
      </c>
      <c r="H576" s="48" t="s">
        <v>160</v>
      </c>
      <c r="I576" s="48">
        <v>1</v>
      </c>
      <c r="J576" s="48">
        <v>168</v>
      </c>
      <c r="K576" s="48">
        <v>1</v>
      </c>
      <c r="N576" s="48">
        <v>0</v>
      </c>
      <c r="R576" s="49"/>
      <c r="S576" s="49"/>
      <c r="T576" s="49">
        <v>51043</v>
      </c>
      <c r="U576" s="49">
        <v>51043</v>
      </c>
      <c r="V576" s="49">
        <v>51043</v>
      </c>
      <c r="W576" s="49">
        <v>51043</v>
      </c>
      <c r="X576" s="48">
        <v>1</v>
      </c>
      <c r="Y576" s="48">
        <v>1</v>
      </c>
      <c r="Z576" s="48">
        <v>1</v>
      </c>
      <c r="AA576" s="156">
        <v>104.66523349196908</v>
      </c>
      <c r="AF576" s="48">
        <v>0</v>
      </c>
      <c r="AG576" s="49" t="s">
        <v>32</v>
      </c>
      <c r="AH576" s="48">
        <v>1</v>
      </c>
      <c r="AI576" s="48" t="s">
        <v>33</v>
      </c>
      <c r="AJ576" s="48" t="s">
        <v>33</v>
      </c>
      <c r="AK576" s="48" t="s">
        <v>33</v>
      </c>
      <c r="AL576" s="48" t="s">
        <v>34</v>
      </c>
      <c r="AN576" s="48">
        <v>0</v>
      </c>
      <c r="AO576" s="48">
        <v>0</v>
      </c>
      <c r="AP576" s="48">
        <v>0</v>
      </c>
      <c r="AQ576" s="48">
        <v>0</v>
      </c>
      <c r="AR576" s="48">
        <v>0</v>
      </c>
      <c r="AS576" s="48">
        <v>0</v>
      </c>
      <c r="AT576" s="48">
        <v>0</v>
      </c>
      <c r="AU576" s="48">
        <v>0</v>
      </c>
      <c r="AV576" s="48">
        <v>0</v>
      </c>
      <c r="AW576" s="48">
        <v>0</v>
      </c>
      <c r="AX576" s="48">
        <v>0</v>
      </c>
      <c r="AY576" s="48">
        <v>0</v>
      </c>
      <c r="AZ576" s="48">
        <v>0</v>
      </c>
      <c r="BA576" s="48">
        <v>0</v>
      </c>
      <c r="BB576" s="48">
        <v>0</v>
      </c>
    </row>
    <row r="577" spans="1:54" x14ac:dyDescent="0.35">
      <c r="A577" s="49">
        <v>45930</v>
      </c>
      <c r="B577" s="48">
        <v>1</v>
      </c>
      <c r="C577" s="50" t="s">
        <v>32</v>
      </c>
      <c r="D577" s="48" t="s">
        <v>31</v>
      </c>
      <c r="E577" s="48" t="s">
        <v>138</v>
      </c>
      <c r="F577" s="48" t="s">
        <v>139</v>
      </c>
      <c r="G577" s="49" t="s">
        <v>59</v>
      </c>
      <c r="H577" s="48" t="s">
        <v>160</v>
      </c>
      <c r="I577" s="48">
        <v>1</v>
      </c>
      <c r="J577" s="48">
        <v>169</v>
      </c>
      <c r="K577" s="48">
        <v>1</v>
      </c>
      <c r="N577" s="48">
        <v>0</v>
      </c>
      <c r="R577" s="49"/>
      <c r="S577" s="49"/>
      <c r="T577" s="49">
        <v>51074</v>
      </c>
      <c r="U577" s="49">
        <v>51074</v>
      </c>
      <c r="V577" s="49">
        <v>51074</v>
      </c>
      <c r="W577" s="49">
        <v>51074</v>
      </c>
      <c r="X577" s="48">
        <v>1</v>
      </c>
      <c r="Y577" s="48">
        <v>1</v>
      </c>
      <c r="Z577" s="48">
        <v>1</v>
      </c>
      <c r="AA577" s="156">
        <v>104.66523349196908</v>
      </c>
      <c r="AF577" s="48">
        <v>0</v>
      </c>
      <c r="AG577" s="49" t="s">
        <v>32</v>
      </c>
      <c r="AH577" s="48">
        <v>1</v>
      </c>
      <c r="AI577" s="48" t="s">
        <v>33</v>
      </c>
      <c r="AJ577" s="48" t="s">
        <v>33</v>
      </c>
      <c r="AK577" s="48" t="s">
        <v>33</v>
      </c>
      <c r="AL577" s="48" t="s">
        <v>34</v>
      </c>
      <c r="AN577" s="48">
        <v>0</v>
      </c>
      <c r="AO577" s="48">
        <v>0</v>
      </c>
      <c r="AP577" s="48">
        <v>0</v>
      </c>
      <c r="AQ577" s="48">
        <v>0</v>
      </c>
      <c r="AR577" s="48">
        <v>0</v>
      </c>
      <c r="AS577" s="48">
        <v>0</v>
      </c>
      <c r="AT577" s="48">
        <v>0</v>
      </c>
      <c r="AU577" s="48">
        <v>0</v>
      </c>
      <c r="AV577" s="48">
        <v>0</v>
      </c>
      <c r="AW577" s="48">
        <v>0</v>
      </c>
      <c r="AX577" s="48">
        <v>0</v>
      </c>
      <c r="AY577" s="48">
        <v>0</v>
      </c>
      <c r="AZ577" s="48">
        <v>0</v>
      </c>
      <c r="BA577" s="48">
        <v>0</v>
      </c>
      <c r="BB577" s="48">
        <v>0</v>
      </c>
    </row>
    <row r="578" spans="1:54" x14ac:dyDescent="0.35">
      <c r="A578" s="49">
        <v>45930</v>
      </c>
      <c r="B578" s="48">
        <v>1</v>
      </c>
      <c r="C578" s="50" t="s">
        <v>32</v>
      </c>
      <c r="D578" s="48" t="s">
        <v>31</v>
      </c>
      <c r="E578" s="48" t="s">
        <v>138</v>
      </c>
      <c r="F578" s="48" t="s">
        <v>139</v>
      </c>
      <c r="G578" s="49" t="s">
        <v>59</v>
      </c>
      <c r="H578" s="48" t="s">
        <v>160</v>
      </c>
      <c r="I578" s="48">
        <v>1</v>
      </c>
      <c r="J578" s="48">
        <v>170</v>
      </c>
      <c r="K578" s="48">
        <v>1</v>
      </c>
      <c r="N578" s="48">
        <v>0</v>
      </c>
      <c r="R578" s="49"/>
      <c r="S578" s="49"/>
      <c r="T578" s="49">
        <v>51104</v>
      </c>
      <c r="U578" s="49">
        <v>51104</v>
      </c>
      <c r="V578" s="49">
        <v>51104</v>
      </c>
      <c r="W578" s="49">
        <v>51104</v>
      </c>
      <c r="X578" s="48">
        <v>1</v>
      </c>
      <c r="Y578" s="48">
        <v>1</v>
      </c>
      <c r="Z578" s="48">
        <v>1</v>
      </c>
      <c r="AA578" s="156">
        <v>104.66523349196908</v>
      </c>
      <c r="AF578" s="48">
        <v>0</v>
      </c>
      <c r="AG578" s="49" t="s">
        <v>32</v>
      </c>
      <c r="AH578" s="48">
        <v>1</v>
      </c>
      <c r="AI578" s="48" t="s">
        <v>33</v>
      </c>
      <c r="AJ578" s="48" t="s">
        <v>33</v>
      </c>
      <c r="AK578" s="48" t="s">
        <v>33</v>
      </c>
      <c r="AL578" s="48" t="s">
        <v>34</v>
      </c>
      <c r="AN578" s="48">
        <v>0</v>
      </c>
      <c r="AO578" s="48">
        <v>0</v>
      </c>
      <c r="AP578" s="48">
        <v>0</v>
      </c>
      <c r="AQ578" s="48">
        <v>0</v>
      </c>
      <c r="AR578" s="48">
        <v>0</v>
      </c>
      <c r="AS578" s="48">
        <v>0</v>
      </c>
      <c r="AT578" s="48">
        <v>0</v>
      </c>
      <c r="AU578" s="48">
        <v>0</v>
      </c>
      <c r="AV578" s="48">
        <v>0</v>
      </c>
      <c r="AW578" s="48">
        <v>0</v>
      </c>
      <c r="AX578" s="48">
        <v>0</v>
      </c>
      <c r="AY578" s="48">
        <v>0</v>
      </c>
      <c r="AZ578" s="48">
        <v>0</v>
      </c>
      <c r="BA578" s="48">
        <v>0</v>
      </c>
      <c r="BB578" s="48">
        <v>0</v>
      </c>
    </row>
    <row r="579" spans="1:54" x14ac:dyDescent="0.35">
      <c r="A579" s="49">
        <v>45930</v>
      </c>
      <c r="B579" s="48">
        <v>1</v>
      </c>
      <c r="C579" s="50" t="s">
        <v>32</v>
      </c>
      <c r="D579" s="48" t="s">
        <v>31</v>
      </c>
      <c r="E579" s="48" t="s">
        <v>138</v>
      </c>
      <c r="F579" s="48" t="s">
        <v>139</v>
      </c>
      <c r="G579" s="49" t="s">
        <v>59</v>
      </c>
      <c r="H579" s="48" t="s">
        <v>160</v>
      </c>
      <c r="I579" s="48">
        <v>1</v>
      </c>
      <c r="J579" s="48">
        <v>171</v>
      </c>
      <c r="K579" s="48">
        <v>1</v>
      </c>
      <c r="N579" s="48">
        <v>0</v>
      </c>
      <c r="R579" s="49"/>
      <c r="S579" s="49"/>
      <c r="T579" s="49">
        <v>51135</v>
      </c>
      <c r="U579" s="49">
        <v>51135</v>
      </c>
      <c r="V579" s="49">
        <v>51135</v>
      </c>
      <c r="W579" s="49">
        <v>51135</v>
      </c>
      <c r="X579" s="48">
        <v>1</v>
      </c>
      <c r="Y579" s="48">
        <v>1</v>
      </c>
      <c r="Z579" s="48">
        <v>1</v>
      </c>
      <c r="AA579" s="156">
        <v>104.66523349196908</v>
      </c>
      <c r="AF579" s="48">
        <v>0</v>
      </c>
      <c r="AG579" s="49" t="s">
        <v>32</v>
      </c>
      <c r="AH579" s="48">
        <v>1</v>
      </c>
      <c r="AI579" s="48" t="s">
        <v>33</v>
      </c>
      <c r="AJ579" s="48" t="s">
        <v>33</v>
      </c>
      <c r="AK579" s="48" t="s">
        <v>33</v>
      </c>
      <c r="AL579" s="48" t="s">
        <v>34</v>
      </c>
      <c r="AN579" s="48">
        <v>0</v>
      </c>
      <c r="AO579" s="48">
        <v>0</v>
      </c>
      <c r="AP579" s="48">
        <v>0</v>
      </c>
      <c r="AQ579" s="48">
        <v>0</v>
      </c>
      <c r="AR579" s="48">
        <v>0</v>
      </c>
      <c r="AS579" s="48">
        <v>0</v>
      </c>
      <c r="AT579" s="48">
        <v>0</v>
      </c>
      <c r="AU579" s="48">
        <v>0</v>
      </c>
      <c r="AV579" s="48">
        <v>0</v>
      </c>
      <c r="AW579" s="48">
        <v>0</v>
      </c>
      <c r="AX579" s="48">
        <v>0</v>
      </c>
      <c r="AY579" s="48">
        <v>0</v>
      </c>
      <c r="AZ579" s="48">
        <v>0</v>
      </c>
      <c r="BA579" s="48">
        <v>0</v>
      </c>
      <c r="BB579" s="48">
        <v>0</v>
      </c>
    </row>
    <row r="580" spans="1:54" x14ac:dyDescent="0.35">
      <c r="A580" s="49">
        <v>45930</v>
      </c>
      <c r="B580" s="48">
        <v>1</v>
      </c>
      <c r="C580" s="50" t="s">
        <v>32</v>
      </c>
      <c r="D580" s="48" t="s">
        <v>31</v>
      </c>
      <c r="E580" s="48" t="s">
        <v>138</v>
      </c>
      <c r="F580" s="48" t="s">
        <v>139</v>
      </c>
      <c r="G580" s="49" t="s">
        <v>59</v>
      </c>
      <c r="H580" s="48" t="s">
        <v>160</v>
      </c>
      <c r="I580" s="48">
        <v>1</v>
      </c>
      <c r="J580" s="48">
        <v>172</v>
      </c>
      <c r="K580" s="48">
        <v>1</v>
      </c>
      <c r="N580" s="48">
        <v>0</v>
      </c>
      <c r="R580" s="49"/>
      <c r="S580" s="49"/>
      <c r="T580" s="49">
        <v>51166</v>
      </c>
      <c r="U580" s="49">
        <v>51166</v>
      </c>
      <c r="V580" s="49">
        <v>51166</v>
      </c>
      <c r="W580" s="49">
        <v>51166</v>
      </c>
      <c r="X580" s="48">
        <v>1</v>
      </c>
      <c r="Y580" s="48">
        <v>1</v>
      </c>
      <c r="Z580" s="48">
        <v>1</v>
      </c>
      <c r="AA580" s="156">
        <v>104.66523349196908</v>
      </c>
      <c r="AF580" s="48">
        <v>0</v>
      </c>
      <c r="AG580" s="49" t="s">
        <v>32</v>
      </c>
      <c r="AH580" s="48">
        <v>1</v>
      </c>
      <c r="AI580" s="48" t="s">
        <v>33</v>
      </c>
      <c r="AJ580" s="48" t="s">
        <v>33</v>
      </c>
      <c r="AK580" s="48" t="s">
        <v>33</v>
      </c>
      <c r="AL580" s="48" t="s">
        <v>34</v>
      </c>
      <c r="AN580" s="48">
        <v>0</v>
      </c>
      <c r="AO580" s="48">
        <v>0</v>
      </c>
      <c r="AP580" s="48">
        <v>0</v>
      </c>
      <c r="AQ580" s="48">
        <v>0</v>
      </c>
      <c r="AR580" s="48">
        <v>0</v>
      </c>
      <c r="AS580" s="48">
        <v>0</v>
      </c>
      <c r="AT580" s="48">
        <v>0</v>
      </c>
      <c r="AU580" s="48">
        <v>0</v>
      </c>
      <c r="AV580" s="48">
        <v>0</v>
      </c>
      <c r="AW580" s="48">
        <v>0</v>
      </c>
      <c r="AX580" s="48">
        <v>0</v>
      </c>
      <c r="AY580" s="48">
        <v>0</v>
      </c>
      <c r="AZ580" s="48">
        <v>0</v>
      </c>
      <c r="BA580" s="48">
        <v>0</v>
      </c>
      <c r="BB580" s="48">
        <v>0</v>
      </c>
    </row>
    <row r="581" spans="1:54" x14ac:dyDescent="0.35">
      <c r="A581" s="49">
        <v>45930</v>
      </c>
      <c r="B581" s="48">
        <v>1</v>
      </c>
      <c r="C581" s="50" t="s">
        <v>32</v>
      </c>
      <c r="D581" s="48" t="s">
        <v>31</v>
      </c>
      <c r="E581" s="48" t="s">
        <v>138</v>
      </c>
      <c r="F581" s="48" t="s">
        <v>139</v>
      </c>
      <c r="G581" s="49" t="s">
        <v>59</v>
      </c>
      <c r="H581" s="48" t="s">
        <v>160</v>
      </c>
      <c r="I581" s="48">
        <v>1</v>
      </c>
      <c r="J581" s="48">
        <v>173</v>
      </c>
      <c r="K581" s="48">
        <v>1</v>
      </c>
      <c r="N581" s="48">
        <v>0</v>
      </c>
      <c r="R581" s="49"/>
      <c r="S581" s="49"/>
      <c r="T581" s="49">
        <v>51195</v>
      </c>
      <c r="U581" s="49">
        <v>51195</v>
      </c>
      <c r="V581" s="49">
        <v>51195</v>
      </c>
      <c r="W581" s="49">
        <v>51195</v>
      </c>
      <c r="X581" s="48">
        <v>1</v>
      </c>
      <c r="Y581" s="48">
        <v>1</v>
      </c>
      <c r="Z581" s="48">
        <v>1</v>
      </c>
      <c r="AA581" s="156">
        <v>104.66523349196908</v>
      </c>
      <c r="AF581" s="48">
        <v>0</v>
      </c>
      <c r="AG581" s="49" t="s">
        <v>32</v>
      </c>
      <c r="AH581" s="48">
        <v>1</v>
      </c>
      <c r="AI581" s="48" t="s">
        <v>33</v>
      </c>
      <c r="AJ581" s="48" t="s">
        <v>33</v>
      </c>
      <c r="AK581" s="48" t="s">
        <v>33</v>
      </c>
      <c r="AL581" s="48" t="s">
        <v>34</v>
      </c>
      <c r="AN581" s="48">
        <v>0</v>
      </c>
      <c r="AO581" s="48">
        <v>0</v>
      </c>
      <c r="AP581" s="48">
        <v>0</v>
      </c>
      <c r="AQ581" s="48">
        <v>0</v>
      </c>
      <c r="AR581" s="48">
        <v>0</v>
      </c>
      <c r="AS581" s="48">
        <v>0</v>
      </c>
      <c r="AT581" s="48">
        <v>0</v>
      </c>
      <c r="AU581" s="48">
        <v>0</v>
      </c>
      <c r="AV581" s="48">
        <v>0</v>
      </c>
      <c r="AW581" s="48">
        <v>0</v>
      </c>
      <c r="AX581" s="48">
        <v>0</v>
      </c>
      <c r="AY581" s="48">
        <v>0</v>
      </c>
      <c r="AZ581" s="48">
        <v>0</v>
      </c>
      <c r="BA581" s="48">
        <v>0</v>
      </c>
      <c r="BB581" s="48">
        <v>0</v>
      </c>
    </row>
    <row r="582" spans="1:54" x14ac:dyDescent="0.35">
      <c r="A582" s="49">
        <v>45930</v>
      </c>
      <c r="B582" s="48">
        <v>1</v>
      </c>
      <c r="C582" s="50" t="s">
        <v>32</v>
      </c>
      <c r="D582" s="48" t="s">
        <v>31</v>
      </c>
      <c r="E582" s="48" t="s">
        <v>138</v>
      </c>
      <c r="F582" s="48" t="s">
        <v>139</v>
      </c>
      <c r="G582" s="49" t="s">
        <v>59</v>
      </c>
      <c r="H582" s="48" t="s">
        <v>160</v>
      </c>
      <c r="I582" s="48">
        <v>1</v>
      </c>
      <c r="J582" s="48">
        <v>174</v>
      </c>
      <c r="K582" s="48">
        <v>1</v>
      </c>
      <c r="N582" s="48">
        <v>0</v>
      </c>
      <c r="R582" s="49"/>
      <c r="S582" s="49"/>
      <c r="T582" s="49">
        <v>51226</v>
      </c>
      <c r="U582" s="49">
        <v>51226</v>
      </c>
      <c r="V582" s="49">
        <v>51226</v>
      </c>
      <c r="W582" s="49">
        <v>51226</v>
      </c>
      <c r="X582" s="48">
        <v>1</v>
      </c>
      <c r="Y582" s="48">
        <v>1</v>
      </c>
      <c r="Z582" s="48">
        <v>1</v>
      </c>
      <c r="AA582" s="156">
        <v>104.66523349196908</v>
      </c>
      <c r="AF582" s="48">
        <v>0</v>
      </c>
      <c r="AG582" s="49" t="s">
        <v>32</v>
      </c>
      <c r="AH582" s="48">
        <v>1</v>
      </c>
      <c r="AI582" s="48" t="s">
        <v>33</v>
      </c>
      <c r="AJ582" s="48" t="s">
        <v>33</v>
      </c>
      <c r="AK582" s="48" t="s">
        <v>33</v>
      </c>
      <c r="AL582" s="48" t="s">
        <v>34</v>
      </c>
      <c r="AN582" s="48">
        <v>0</v>
      </c>
      <c r="AO582" s="48">
        <v>0</v>
      </c>
      <c r="AP582" s="48">
        <v>0</v>
      </c>
      <c r="AQ582" s="48">
        <v>0</v>
      </c>
      <c r="AR582" s="48">
        <v>0</v>
      </c>
      <c r="AS582" s="48">
        <v>0</v>
      </c>
      <c r="AT582" s="48">
        <v>0</v>
      </c>
      <c r="AU582" s="48">
        <v>0</v>
      </c>
      <c r="AV582" s="48">
        <v>0</v>
      </c>
      <c r="AW582" s="48">
        <v>0</v>
      </c>
      <c r="AX582" s="48">
        <v>0</v>
      </c>
      <c r="AY582" s="48">
        <v>0</v>
      </c>
      <c r="AZ582" s="48">
        <v>0</v>
      </c>
      <c r="BA582" s="48">
        <v>0</v>
      </c>
      <c r="BB582" s="48">
        <v>0</v>
      </c>
    </row>
    <row r="583" spans="1:54" x14ac:dyDescent="0.35">
      <c r="A583" s="49">
        <v>45930</v>
      </c>
      <c r="B583" s="48">
        <v>1</v>
      </c>
      <c r="C583" s="50" t="s">
        <v>32</v>
      </c>
      <c r="D583" s="48" t="s">
        <v>31</v>
      </c>
      <c r="E583" s="48" t="s">
        <v>138</v>
      </c>
      <c r="F583" s="48" t="s">
        <v>139</v>
      </c>
      <c r="G583" s="49" t="s">
        <v>59</v>
      </c>
      <c r="H583" s="48" t="s">
        <v>160</v>
      </c>
      <c r="I583" s="48">
        <v>1</v>
      </c>
      <c r="J583" s="48">
        <v>175</v>
      </c>
      <c r="K583" s="48">
        <v>1</v>
      </c>
      <c r="N583" s="48">
        <v>0</v>
      </c>
      <c r="R583" s="49"/>
      <c r="S583" s="49"/>
      <c r="T583" s="49">
        <v>51256</v>
      </c>
      <c r="U583" s="49">
        <v>51256</v>
      </c>
      <c r="V583" s="49">
        <v>51256</v>
      </c>
      <c r="W583" s="49">
        <v>51256</v>
      </c>
      <c r="X583" s="48">
        <v>1</v>
      </c>
      <c r="Y583" s="48">
        <v>1</v>
      </c>
      <c r="Z583" s="48">
        <v>1</v>
      </c>
      <c r="AA583" s="156">
        <v>104.66523349196908</v>
      </c>
      <c r="AF583" s="48">
        <v>0</v>
      </c>
      <c r="AG583" s="49" t="s">
        <v>32</v>
      </c>
      <c r="AH583" s="48">
        <v>1</v>
      </c>
      <c r="AI583" s="48" t="s">
        <v>33</v>
      </c>
      <c r="AJ583" s="48" t="s">
        <v>33</v>
      </c>
      <c r="AK583" s="48" t="s">
        <v>33</v>
      </c>
      <c r="AL583" s="48" t="s">
        <v>34</v>
      </c>
      <c r="AN583" s="48">
        <v>0</v>
      </c>
      <c r="AO583" s="48">
        <v>0</v>
      </c>
      <c r="AP583" s="48">
        <v>0</v>
      </c>
      <c r="AQ583" s="48">
        <v>0</v>
      </c>
      <c r="AR583" s="48">
        <v>0</v>
      </c>
      <c r="AS583" s="48">
        <v>0</v>
      </c>
      <c r="AT583" s="48">
        <v>0</v>
      </c>
      <c r="AU583" s="48">
        <v>0</v>
      </c>
      <c r="AV583" s="48">
        <v>0</v>
      </c>
      <c r="AW583" s="48">
        <v>0</v>
      </c>
      <c r="AX583" s="48">
        <v>0</v>
      </c>
      <c r="AY583" s="48">
        <v>0</v>
      </c>
      <c r="AZ583" s="48">
        <v>0</v>
      </c>
      <c r="BA583" s="48">
        <v>0</v>
      </c>
      <c r="BB583" s="48">
        <v>0</v>
      </c>
    </row>
    <row r="584" spans="1:54" x14ac:dyDescent="0.35">
      <c r="A584" s="49">
        <v>45930</v>
      </c>
      <c r="B584" s="48">
        <v>1</v>
      </c>
      <c r="C584" s="50" t="s">
        <v>32</v>
      </c>
      <c r="D584" s="48" t="s">
        <v>31</v>
      </c>
      <c r="E584" s="48" t="s">
        <v>138</v>
      </c>
      <c r="F584" s="48" t="s">
        <v>139</v>
      </c>
      <c r="G584" s="49" t="s">
        <v>59</v>
      </c>
      <c r="H584" s="48" t="s">
        <v>160</v>
      </c>
      <c r="I584" s="48">
        <v>1</v>
      </c>
      <c r="J584" s="48">
        <v>176</v>
      </c>
      <c r="K584" s="48">
        <v>1</v>
      </c>
      <c r="N584" s="48">
        <v>0</v>
      </c>
      <c r="R584" s="49"/>
      <c r="S584" s="49"/>
      <c r="T584" s="49">
        <v>51287</v>
      </c>
      <c r="U584" s="49">
        <v>51287</v>
      </c>
      <c r="V584" s="49">
        <v>51287</v>
      </c>
      <c r="W584" s="49">
        <v>51287</v>
      </c>
      <c r="X584" s="48">
        <v>1</v>
      </c>
      <c r="Y584" s="48">
        <v>1</v>
      </c>
      <c r="Z584" s="48">
        <v>1</v>
      </c>
      <c r="AA584" s="156">
        <v>104.66523349196908</v>
      </c>
      <c r="AF584" s="48">
        <v>0</v>
      </c>
      <c r="AG584" s="49" t="s">
        <v>32</v>
      </c>
      <c r="AH584" s="48">
        <v>1</v>
      </c>
      <c r="AI584" s="48" t="s">
        <v>33</v>
      </c>
      <c r="AJ584" s="48" t="s">
        <v>33</v>
      </c>
      <c r="AK584" s="48" t="s">
        <v>33</v>
      </c>
      <c r="AL584" s="48" t="s">
        <v>34</v>
      </c>
      <c r="AN584" s="48">
        <v>0</v>
      </c>
      <c r="AO584" s="48">
        <v>0</v>
      </c>
      <c r="AP584" s="48">
        <v>0</v>
      </c>
      <c r="AQ584" s="48">
        <v>0</v>
      </c>
      <c r="AR584" s="48">
        <v>0</v>
      </c>
      <c r="AS584" s="48">
        <v>0</v>
      </c>
      <c r="AT584" s="48">
        <v>0</v>
      </c>
      <c r="AU584" s="48">
        <v>0</v>
      </c>
      <c r="AV584" s="48">
        <v>0</v>
      </c>
      <c r="AW584" s="48">
        <v>0</v>
      </c>
      <c r="AX584" s="48">
        <v>0</v>
      </c>
      <c r="AY584" s="48">
        <v>0</v>
      </c>
      <c r="AZ584" s="48">
        <v>0</v>
      </c>
      <c r="BA584" s="48">
        <v>0</v>
      </c>
      <c r="BB584" s="48">
        <v>0</v>
      </c>
    </row>
    <row r="585" spans="1:54" x14ac:dyDescent="0.35">
      <c r="A585" s="49">
        <v>45930</v>
      </c>
      <c r="B585" s="48">
        <v>1</v>
      </c>
      <c r="C585" s="50" t="s">
        <v>32</v>
      </c>
      <c r="D585" s="48" t="s">
        <v>31</v>
      </c>
      <c r="E585" s="48" t="s">
        <v>138</v>
      </c>
      <c r="F585" s="48" t="s">
        <v>139</v>
      </c>
      <c r="G585" s="49" t="s">
        <v>59</v>
      </c>
      <c r="H585" s="48" t="s">
        <v>160</v>
      </c>
      <c r="I585" s="48">
        <v>1</v>
      </c>
      <c r="J585" s="48">
        <v>177</v>
      </c>
      <c r="K585" s="48">
        <v>1</v>
      </c>
      <c r="N585" s="48">
        <v>0</v>
      </c>
      <c r="R585" s="49"/>
      <c r="S585" s="49"/>
      <c r="T585" s="49">
        <v>51317</v>
      </c>
      <c r="U585" s="49">
        <v>51317</v>
      </c>
      <c r="V585" s="49">
        <v>51317</v>
      </c>
      <c r="W585" s="49">
        <v>51317</v>
      </c>
      <c r="X585" s="48">
        <v>1</v>
      </c>
      <c r="Y585" s="48">
        <v>1</v>
      </c>
      <c r="Z585" s="48">
        <v>1</v>
      </c>
      <c r="AA585" s="156">
        <v>104.66523349196908</v>
      </c>
      <c r="AF585" s="48">
        <v>0</v>
      </c>
      <c r="AG585" s="49" t="s">
        <v>32</v>
      </c>
      <c r="AH585" s="48">
        <v>1</v>
      </c>
      <c r="AI585" s="48" t="s">
        <v>33</v>
      </c>
      <c r="AJ585" s="48" t="s">
        <v>33</v>
      </c>
      <c r="AK585" s="48" t="s">
        <v>33</v>
      </c>
      <c r="AL585" s="48" t="s">
        <v>34</v>
      </c>
      <c r="AN585" s="48">
        <v>0</v>
      </c>
      <c r="AO585" s="48">
        <v>0</v>
      </c>
      <c r="AP585" s="48">
        <v>0</v>
      </c>
      <c r="AQ585" s="48">
        <v>0</v>
      </c>
      <c r="AR585" s="48">
        <v>0</v>
      </c>
      <c r="AS585" s="48">
        <v>0</v>
      </c>
      <c r="AT585" s="48">
        <v>0</v>
      </c>
      <c r="AU585" s="48">
        <v>0</v>
      </c>
      <c r="AV585" s="48">
        <v>0</v>
      </c>
      <c r="AW585" s="48">
        <v>0</v>
      </c>
      <c r="AX585" s="48">
        <v>0</v>
      </c>
      <c r="AY585" s="48">
        <v>0</v>
      </c>
      <c r="AZ585" s="48">
        <v>0</v>
      </c>
      <c r="BA585" s="48">
        <v>0</v>
      </c>
      <c r="BB585" s="48">
        <v>0</v>
      </c>
    </row>
    <row r="586" spans="1:54" x14ac:dyDescent="0.35">
      <c r="A586" s="49">
        <v>45930</v>
      </c>
      <c r="B586" s="48">
        <v>1</v>
      </c>
      <c r="C586" s="50" t="s">
        <v>32</v>
      </c>
      <c r="D586" s="48" t="s">
        <v>31</v>
      </c>
      <c r="E586" s="48" t="s">
        <v>138</v>
      </c>
      <c r="F586" s="48" t="s">
        <v>139</v>
      </c>
      <c r="G586" s="49" t="s">
        <v>59</v>
      </c>
      <c r="H586" s="48" t="s">
        <v>160</v>
      </c>
      <c r="I586" s="48">
        <v>1</v>
      </c>
      <c r="J586" s="48">
        <v>178</v>
      </c>
      <c r="K586" s="48">
        <v>1</v>
      </c>
      <c r="N586" s="48">
        <v>0</v>
      </c>
      <c r="R586" s="49"/>
      <c r="S586" s="49"/>
      <c r="T586" s="49">
        <v>51348</v>
      </c>
      <c r="U586" s="49">
        <v>51348</v>
      </c>
      <c r="V586" s="49">
        <v>51348</v>
      </c>
      <c r="W586" s="49">
        <v>51348</v>
      </c>
      <c r="X586" s="48">
        <v>1</v>
      </c>
      <c r="Y586" s="48">
        <v>1</v>
      </c>
      <c r="Z586" s="48">
        <v>1</v>
      </c>
      <c r="AA586" s="156">
        <v>104.66523349196908</v>
      </c>
      <c r="AF586" s="48">
        <v>0</v>
      </c>
      <c r="AG586" s="49" t="s">
        <v>32</v>
      </c>
      <c r="AH586" s="48">
        <v>1</v>
      </c>
      <c r="AI586" s="48" t="s">
        <v>33</v>
      </c>
      <c r="AJ586" s="48" t="s">
        <v>33</v>
      </c>
      <c r="AK586" s="48" t="s">
        <v>33</v>
      </c>
      <c r="AL586" s="48" t="s">
        <v>34</v>
      </c>
      <c r="AN586" s="48">
        <v>0</v>
      </c>
      <c r="AO586" s="48">
        <v>0</v>
      </c>
      <c r="AP586" s="48">
        <v>0</v>
      </c>
      <c r="AQ586" s="48">
        <v>0</v>
      </c>
      <c r="AR586" s="48">
        <v>0</v>
      </c>
      <c r="AS586" s="48">
        <v>0</v>
      </c>
      <c r="AT586" s="48">
        <v>0</v>
      </c>
      <c r="AU586" s="48">
        <v>0</v>
      </c>
      <c r="AV586" s="48">
        <v>0</v>
      </c>
      <c r="AW586" s="48">
        <v>0</v>
      </c>
      <c r="AX586" s="48">
        <v>0</v>
      </c>
      <c r="AY586" s="48">
        <v>0</v>
      </c>
      <c r="AZ586" s="48">
        <v>0</v>
      </c>
      <c r="BA586" s="48">
        <v>0</v>
      </c>
      <c r="BB586" s="48">
        <v>0</v>
      </c>
    </row>
    <row r="587" spans="1:54" x14ac:dyDescent="0.35">
      <c r="A587" s="49">
        <v>45930</v>
      </c>
      <c r="B587" s="48">
        <v>1</v>
      </c>
      <c r="C587" s="50" t="s">
        <v>32</v>
      </c>
      <c r="D587" s="48" t="s">
        <v>31</v>
      </c>
      <c r="E587" s="48" t="s">
        <v>138</v>
      </c>
      <c r="F587" s="48" t="s">
        <v>139</v>
      </c>
      <c r="G587" s="49" t="s">
        <v>59</v>
      </c>
      <c r="H587" s="48" t="s">
        <v>160</v>
      </c>
      <c r="I587" s="48">
        <v>1</v>
      </c>
      <c r="J587" s="48">
        <v>179</v>
      </c>
      <c r="K587" s="48">
        <v>1</v>
      </c>
      <c r="N587" s="48">
        <v>0</v>
      </c>
      <c r="R587" s="49"/>
      <c r="S587" s="49"/>
      <c r="T587" s="49">
        <v>51379</v>
      </c>
      <c r="U587" s="49">
        <v>51379</v>
      </c>
      <c r="V587" s="49">
        <v>51379</v>
      </c>
      <c r="W587" s="49">
        <v>51379</v>
      </c>
      <c r="X587" s="48">
        <v>1</v>
      </c>
      <c r="Y587" s="48">
        <v>1</v>
      </c>
      <c r="Z587" s="48">
        <v>1</v>
      </c>
      <c r="AA587" s="156">
        <v>104.66523349196908</v>
      </c>
      <c r="AF587" s="48">
        <v>0</v>
      </c>
      <c r="AG587" s="49" t="s">
        <v>32</v>
      </c>
      <c r="AH587" s="48">
        <v>1</v>
      </c>
      <c r="AI587" s="48" t="s">
        <v>33</v>
      </c>
      <c r="AJ587" s="48" t="s">
        <v>33</v>
      </c>
      <c r="AK587" s="48" t="s">
        <v>33</v>
      </c>
      <c r="AL587" s="48" t="s">
        <v>34</v>
      </c>
      <c r="AN587" s="48">
        <v>0</v>
      </c>
      <c r="AO587" s="48">
        <v>0</v>
      </c>
      <c r="AP587" s="48">
        <v>0</v>
      </c>
      <c r="AQ587" s="48">
        <v>0</v>
      </c>
      <c r="AR587" s="48">
        <v>0</v>
      </c>
      <c r="AS587" s="48">
        <v>0</v>
      </c>
      <c r="AT587" s="48">
        <v>0</v>
      </c>
      <c r="AU587" s="48">
        <v>0</v>
      </c>
      <c r="AV587" s="48">
        <v>0</v>
      </c>
      <c r="AW587" s="48">
        <v>0</v>
      </c>
      <c r="AX587" s="48">
        <v>0</v>
      </c>
      <c r="AY587" s="48">
        <v>0</v>
      </c>
      <c r="AZ587" s="48">
        <v>0</v>
      </c>
      <c r="BA587" s="48">
        <v>0</v>
      </c>
      <c r="BB587" s="48">
        <v>0</v>
      </c>
    </row>
    <row r="588" spans="1:54" x14ac:dyDescent="0.35">
      <c r="A588" s="49">
        <v>45930</v>
      </c>
      <c r="B588" s="48">
        <v>1</v>
      </c>
      <c r="C588" s="50" t="s">
        <v>32</v>
      </c>
      <c r="D588" s="48" t="s">
        <v>31</v>
      </c>
      <c r="E588" s="48" t="s">
        <v>138</v>
      </c>
      <c r="F588" s="48" t="s">
        <v>139</v>
      </c>
      <c r="G588" s="49" t="s">
        <v>59</v>
      </c>
      <c r="H588" s="48" t="s">
        <v>160</v>
      </c>
      <c r="I588" s="48">
        <v>1</v>
      </c>
      <c r="J588" s="48">
        <v>180</v>
      </c>
      <c r="K588" s="48">
        <v>1</v>
      </c>
      <c r="N588" s="48">
        <v>0</v>
      </c>
      <c r="R588" s="49"/>
      <c r="S588" s="49"/>
      <c r="T588" s="49">
        <v>51409</v>
      </c>
      <c r="U588" s="49">
        <v>51409</v>
      </c>
      <c r="V588" s="49">
        <v>51409</v>
      </c>
      <c r="W588" s="49">
        <v>51409</v>
      </c>
      <c r="X588" s="48">
        <v>1</v>
      </c>
      <c r="Y588" s="48">
        <v>1</v>
      </c>
      <c r="Z588" s="48">
        <v>1</v>
      </c>
      <c r="AA588" s="156">
        <v>104.66523349196908</v>
      </c>
      <c r="AF588" s="48">
        <v>0</v>
      </c>
      <c r="AG588" s="49" t="s">
        <v>32</v>
      </c>
      <c r="AH588" s="48">
        <v>1</v>
      </c>
      <c r="AI588" s="48" t="s">
        <v>33</v>
      </c>
      <c r="AJ588" s="48" t="s">
        <v>33</v>
      </c>
      <c r="AK588" s="48" t="s">
        <v>33</v>
      </c>
      <c r="AL588" s="48" t="s">
        <v>34</v>
      </c>
      <c r="AN588" s="48">
        <v>0</v>
      </c>
      <c r="AO588" s="48">
        <v>0</v>
      </c>
      <c r="AP588" s="48">
        <v>0</v>
      </c>
      <c r="AQ588" s="48">
        <v>0</v>
      </c>
      <c r="AR588" s="48">
        <v>0</v>
      </c>
      <c r="AS588" s="48">
        <v>0</v>
      </c>
      <c r="AT588" s="48">
        <v>0</v>
      </c>
      <c r="AU588" s="48">
        <v>0</v>
      </c>
      <c r="AV588" s="48">
        <v>0</v>
      </c>
      <c r="AW588" s="48">
        <v>0</v>
      </c>
      <c r="AX588" s="48">
        <v>0</v>
      </c>
      <c r="AY588" s="48">
        <v>0</v>
      </c>
      <c r="AZ588" s="48">
        <v>0</v>
      </c>
      <c r="BA588" s="48">
        <v>0</v>
      </c>
      <c r="BB588" s="48">
        <v>0</v>
      </c>
    </row>
    <row r="589" spans="1:54" x14ac:dyDescent="0.35">
      <c r="A589" s="49">
        <v>45930</v>
      </c>
      <c r="B589" s="48">
        <v>1</v>
      </c>
      <c r="C589" s="50" t="s">
        <v>32</v>
      </c>
      <c r="D589" s="48" t="s">
        <v>31</v>
      </c>
      <c r="E589" s="48" t="s">
        <v>138</v>
      </c>
      <c r="F589" s="48" t="s">
        <v>139</v>
      </c>
      <c r="G589" s="49" t="s">
        <v>59</v>
      </c>
      <c r="H589" s="48" t="s">
        <v>160</v>
      </c>
      <c r="I589" s="48">
        <v>1</v>
      </c>
      <c r="J589" s="48">
        <v>181</v>
      </c>
      <c r="K589" s="48">
        <v>1</v>
      </c>
      <c r="N589" s="48">
        <v>0</v>
      </c>
      <c r="R589" s="49"/>
      <c r="S589" s="49"/>
      <c r="T589" s="49">
        <v>51440</v>
      </c>
      <c r="U589" s="49">
        <v>51440</v>
      </c>
      <c r="V589" s="49">
        <v>51440</v>
      </c>
      <c r="W589" s="49">
        <v>51440</v>
      </c>
      <c r="X589" s="48">
        <v>1</v>
      </c>
      <c r="Y589" s="48">
        <v>1</v>
      </c>
      <c r="Z589" s="48">
        <v>1</v>
      </c>
      <c r="AA589" s="156">
        <v>104.66523349196908</v>
      </c>
      <c r="AF589" s="48">
        <v>0</v>
      </c>
      <c r="AG589" s="49" t="s">
        <v>32</v>
      </c>
      <c r="AH589" s="48">
        <v>1</v>
      </c>
      <c r="AI589" s="48" t="s">
        <v>33</v>
      </c>
      <c r="AJ589" s="48" t="s">
        <v>33</v>
      </c>
      <c r="AK589" s="48" t="s">
        <v>33</v>
      </c>
      <c r="AL589" s="48" t="s">
        <v>34</v>
      </c>
      <c r="AN589" s="48">
        <v>0</v>
      </c>
      <c r="AO589" s="48">
        <v>0</v>
      </c>
      <c r="AP589" s="48">
        <v>0</v>
      </c>
      <c r="AQ589" s="48">
        <v>0</v>
      </c>
      <c r="AR589" s="48">
        <v>0</v>
      </c>
      <c r="AS589" s="48">
        <v>0</v>
      </c>
      <c r="AT589" s="48">
        <v>0</v>
      </c>
      <c r="AU589" s="48">
        <v>0</v>
      </c>
      <c r="AV589" s="48">
        <v>0</v>
      </c>
      <c r="AW589" s="48">
        <v>0</v>
      </c>
      <c r="AX589" s="48">
        <v>0</v>
      </c>
      <c r="AY589" s="48">
        <v>0</v>
      </c>
      <c r="AZ589" s="48">
        <v>0</v>
      </c>
      <c r="BA589" s="48">
        <v>0</v>
      </c>
      <c r="BB589" s="48">
        <v>0</v>
      </c>
    </row>
    <row r="590" spans="1:54" x14ac:dyDescent="0.35">
      <c r="A590" s="49">
        <v>45930</v>
      </c>
      <c r="B590" s="48">
        <v>1</v>
      </c>
      <c r="C590" s="50" t="s">
        <v>32</v>
      </c>
      <c r="D590" s="48" t="s">
        <v>31</v>
      </c>
      <c r="E590" s="48" t="s">
        <v>138</v>
      </c>
      <c r="F590" s="48" t="s">
        <v>139</v>
      </c>
      <c r="G590" s="49" t="s">
        <v>59</v>
      </c>
      <c r="H590" s="48" t="s">
        <v>160</v>
      </c>
      <c r="I590" s="48">
        <v>1</v>
      </c>
      <c r="J590" s="48">
        <v>182</v>
      </c>
      <c r="K590" s="48">
        <v>1</v>
      </c>
      <c r="N590" s="48">
        <v>0</v>
      </c>
      <c r="R590" s="49"/>
      <c r="S590" s="49"/>
      <c r="T590" s="49">
        <v>51470</v>
      </c>
      <c r="U590" s="49">
        <v>51470</v>
      </c>
      <c r="V590" s="49">
        <v>51470</v>
      </c>
      <c r="W590" s="49">
        <v>51470</v>
      </c>
      <c r="X590" s="48">
        <v>1</v>
      </c>
      <c r="Y590" s="48">
        <v>1</v>
      </c>
      <c r="Z590" s="48">
        <v>1</v>
      </c>
      <c r="AA590" s="156">
        <v>104.66523349196908</v>
      </c>
      <c r="AF590" s="48">
        <v>0</v>
      </c>
      <c r="AG590" s="49" t="s">
        <v>32</v>
      </c>
      <c r="AH590" s="48">
        <v>1</v>
      </c>
      <c r="AI590" s="48" t="s">
        <v>33</v>
      </c>
      <c r="AJ590" s="48" t="s">
        <v>33</v>
      </c>
      <c r="AK590" s="48" t="s">
        <v>33</v>
      </c>
      <c r="AL590" s="48" t="s">
        <v>34</v>
      </c>
      <c r="AN590" s="48">
        <v>0</v>
      </c>
      <c r="AO590" s="48">
        <v>0</v>
      </c>
      <c r="AP590" s="48">
        <v>0</v>
      </c>
      <c r="AQ590" s="48">
        <v>0</v>
      </c>
      <c r="AR590" s="48">
        <v>0</v>
      </c>
      <c r="AS590" s="48">
        <v>0</v>
      </c>
      <c r="AT590" s="48">
        <v>0</v>
      </c>
      <c r="AU590" s="48">
        <v>0</v>
      </c>
      <c r="AV590" s="48">
        <v>0</v>
      </c>
      <c r="AW590" s="48">
        <v>0</v>
      </c>
      <c r="AX590" s="48">
        <v>0</v>
      </c>
      <c r="AY590" s="48">
        <v>0</v>
      </c>
      <c r="AZ590" s="48">
        <v>0</v>
      </c>
      <c r="BA590" s="48">
        <v>0</v>
      </c>
      <c r="BB590" s="48">
        <v>0</v>
      </c>
    </row>
    <row r="591" spans="1:54" x14ac:dyDescent="0.35">
      <c r="A591" s="49">
        <v>45930</v>
      </c>
      <c r="B591" s="48">
        <v>1</v>
      </c>
      <c r="C591" s="50" t="s">
        <v>32</v>
      </c>
      <c r="D591" s="48" t="s">
        <v>31</v>
      </c>
      <c r="E591" s="48" t="s">
        <v>138</v>
      </c>
      <c r="F591" s="48" t="s">
        <v>139</v>
      </c>
      <c r="G591" s="49" t="s">
        <v>59</v>
      </c>
      <c r="H591" s="48" t="s">
        <v>160</v>
      </c>
      <c r="I591" s="48">
        <v>1</v>
      </c>
      <c r="J591" s="48">
        <v>183</v>
      </c>
      <c r="K591" s="48">
        <v>1</v>
      </c>
      <c r="N591" s="48">
        <v>0</v>
      </c>
      <c r="R591" s="49"/>
      <c r="S591" s="49"/>
      <c r="T591" s="49">
        <v>51501</v>
      </c>
      <c r="U591" s="49">
        <v>51501</v>
      </c>
      <c r="V591" s="49">
        <v>51501</v>
      </c>
      <c r="W591" s="49">
        <v>51501</v>
      </c>
      <c r="X591" s="48">
        <v>1</v>
      </c>
      <c r="Y591" s="48">
        <v>1</v>
      </c>
      <c r="Z591" s="48">
        <v>1</v>
      </c>
      <c r="AA591" s="156">
        <v>104.66523349196908</v>
      </c>
      <c r="AF591" s="48">
        <v>0</v>
      </c>
      <c r="AG591" s="49" t="s">
        <v>32</v>
      </c>
      <c r="AH591" s="48">
        <v>1</v>
      </c>
      <c r="AI591" s="48" t="s">
        <v>33</v>
      </c>
      <c r="AJ591" s="48" t="s">
        <v>33</v>
      </c>
      <c r="AK591" s="48" t="s">
        <v>33</v>
      </c>
      <c r="AL591" s="48" t="s">
        <v>34</v>
      </c>
      <c r="AN591" s="48">
        <v>0</v>
      </c>
      <c r="AO591" s="48">
        <v>0</v>
      </c>
      <c r="AP591" s="48">
        <v>0</v>
      </c>
      <c r="AQ591" s="48">
        <v>0</v>
      </c>
      <c r="AR591" s="48">
        <v>0</v>
      </c>
      <c r="AS591" s="48">
        <v>0</v>
      </c>
      <c r="AT591" s="48">
        <v>0</v>
      </c>
      <c r="AU591" s="48">
        <v>0</v>
      </c>
      <c r="AV591" s="48">
        <v>0</v>
      </c>
      <c r="AW591" s="48">
        <v>0</v>
      </c>
      <c r="AX591" s="48">
        <v>0</v>
      </c>
      <c r="AY591" s="48">
        <v>0</v>
      </c>
      <c r="AZ591" s="48">
        <v>0</v>
      </c>
      <c r="BA591" s="48">
        <v>0</v>
      </c>
      <c r="BB591" s="48">
        <v>0</v>
      </c>
    </row>
    <row r="592" spans="1:54" x14ac:dyDescent="0.35">
      <c r="A592" s="49">
        <v>45930</v>
      </c>
      <c r="B592" s="48">
        <v>1</v>
      </c>
      <c r="C592" s="50" t="s">
        <v>32</v>
      </c>
      <c r="D592" s="48" t="s">
        <v>31</v>
      </c>
      <c r="E592" s="48" t="s">
        <v>138</v>
      </c>
      <c r="F592" s="48" t="s">
        <v>139</v>
      </c>
      <c r="G592" s="49" t="s">
        <v>59</v>
      </c>
      <c r="H592" s="48" t="s">
        <v>160</v>
      </c>
      <c r="I592" s="48">
        <v>1</v>
      </c>
      <c r="J592" s="48">
        <v>184</v>
      </c>
      <c r="K592" s="48">
        <v>1</v>
      </c>
      <c r="N592" s="48">
        <v>0</v>
      </c>
      <c r="R592" s="49"/>
      <c r="S592" s="49"/>
      <c r="T592" s="49">
        <v>51532</v>
      </c>
      <c r="U592" s="49">
        <v>51532</v>
      </c>
      <c r="V592" s="49">
        <v>51532</v>
      </c>
      <c r="W592" s="49">
        <v>51532</v>
      </c>
      <c r="X592" s="48">
        <v>1</v>
      </c>
      <c r="Y592" s="48">
        <v>1</v>
      </c>
      <c r="Z592" s="48">
        <v>1</v>
      </c>
      <c r="AA592" s="156">
        <v>104.66523349196908</v>
      </c>
      <c r="AF592" s="48">
        <v>0</v>
      </c>
      <c r="AG592" s="49" t="s">
        <v>32</v>
      </c>
      <c r="AH592" s="48">
        <v>1</v>
      </c>
      <c r="AI592" s="48" t="s">
        <v>33</v>
      </c>
      <c r="AJ592" s="48" t="s">
        <v>33</v>
      </c>
      <c r="AK592" s="48" t="s">
        <v>33</v>
      </c>
      <c r="AL592" s="48" t="s">
        <v>34</v>
      </c>
      <c r="AN592" s="48">
        <v>0</v>
      </c>
      <c r="AO592" s="48">
        <v>0</v>
      </c>
      <c r="AP592" s="48">
        <v>0</v>
      </c>
      <c r="AQ592" s="48">
        <v>0</v>
      </c>
      <c r="AR592" s="48">
        <v>0</v>
      </c>
      <c r="AS592" s="48">
        <v>0</v>
      </c>
      <c r="AT592" s="48">
        <v>0</v>
      </c>
      <c r="AU592" s="48">
        <v>0</v>
      </c>
      <c r="AV592" s="48">
        <v>0</v>
      </c>
      <c r="AW592" s="48">
        <v>0</v>
      </c>
      <c r="AX592" s="48">
        <v>0</v>
      </c>
      <c r="AY592" s="48">
        <v>0</v>
      </c>
      <c r="AZ592" s="48">
        <v>0</v>
      </c>
      <c r="BA592" s="48">
        <v>0</v>
      </c>
      <c r="BB592" s="48">
        <v>0</v>
      </c>
    </row>
    <row r="593" spans="1:54" x14ac:dyDescent="0.35">
      <c r="A593" s="49">
        <v>45930</v>
      </c>
      <c r="B593" s="48">
        <v>1</v>
      </c>
      <c r="C593" s="50" t="s">
        <v>32</v>
      </c>
      <c r="D593" s="48" t="s">
        <v>31</v>
      </c>
      <c r="E593" s="48" t="s">
        <v>138</v>
      </c>
      <c r="F593" s="48" t="s">
        <v>139</v>
      </c>
      <c r="G593" s="49" t="s">
        <v>59</v>
      </c>
      <c r="H593" s="48" t="s">
        <v>160</v>
      </c>
      <c r="I593" s="48">
        <v>1</v>
      </c>
      <c r="J593" s="48">
        <v>185</v>
      </c>
      <c r="K593" s="48">
        <v>1</v>
      </c>
      <c r="N593" s="48">
        <v>0</v>
      </c>
      <c r="R593" s="49"/>
      <c r="S593" s="49"/>
      <c r="T593" s="49">
        <v>51560</v>
      </c>
      <c r="U593" s="49">
        <v>51560</v>
      </c>
      <c r="V593" s="49">
        <v>51560</v>
      </c>
      <c r="W593" s="49">
        <v>51560</v>
      </c>
      <c r="X593" s="48">
        <v>1</v>
      </c>
      <c r="Y593" s="48">
        <v>1</v>
      </c>
      <c r="Z593" s="48">
        <v>1</v>
      </c>
      <c r="AA593" s="156">
        <v>104.66523349196908</v>
      </c>
      <c r="AF593" s="48">
        <v>0</v>
      </c>
      <c r="AG593" s="49" t="s">
        <v>32</v>
      </c>
      <c r="AH593" s="48">
        <v>1</v>
      </c>
      <c r="AI593" s="48" t="s">
        <v>33</v>
      </c>
      <c r="AJ593" s="48" t="s">
        <v>33</v>
      </c>
      <c r="AK593" s="48" t="s">
        <v>33</v>
      </c>
      <c r="AL593" s="48" t="s">
        <v>34</v>
      </c>
      <c r="AN593" s="48">
        <v>0</v>
      </c>
      <c r="AO593" s="48">
        <v>0</v>
      </c>
      <c r="AP593" s="48">
        <v>0</v>
      </c>
      <c r="AQ593" s="48">
        <v>0</v>
      </c>
      <c r="AR593" s="48">
        <v>0</v>
      </c>
      <c r="AS593" s="48">
        <v>0</v>
      </c>
      <c r="AT593" s="48">
        <v>0</v>
      </c>
      <c r="AU593" s="48">
        <v>0</v>
      </c>
      <c r="AV593" s="48">
        <v>0</v>
      </c>
      <c r="AW593" s="48">
        <v>0</v>
      </c>
      <c r="AX593" s="48">
        <v>0</v>
      </c>
      <c r="AY593" s="48">
        <v>0</v>
      </c>
      <c r="AZ593" s="48">
        <v>0</v>
      </c>
      <c r="BA593" s="48">
        <v>0</v>
      </c>
      <c r="BB593" s="48">
        <v>0</v>
      </c>
    </row>
    <row r="594" spans="1:54" x14ac:dyDescent="0.35">
      <c r="A594" s="49">
        <v>45930</v>
      </c>
      <c r="B594" s="48">
        <v>1</v>
      </c>
      <c r="C594" s="50" t="s">
        <v>32</v>
      </c>
      <c r="D594" s="48" t="s">
        <v>31</v>
      </c>
      <c r="E594" s="48" t="s">
        <v>138</v>
      </c>
      <c r="F594" s="48" t="s">
        <v>139</v>
      </c>
      <c r="G594" s="49" t="s">
        <v>59</v>
      </c>
      <c r="H594" s="48" t="s">
        <v>160</v>
      </c>
      <c r="I594" s="48">
        <v>1</v>
      </c>
      <c r="J594" s="48">
        <v>186</v>
      </c>
      <c r="K594" s="48">
        <v>1</v>
      </c>
      <c r="N594" s="48">
        <v>0</v>
      </c>
      <c r="R594" s="49"/>
      <c r="S594" s="49"/>
      <c r="T594" s="49">
        <v>51591</v>
      </c>
      <c r="U594" s="49">
        <v>51591</v>
      </c>
      <c r="V594" s="49">
        <v>51591</v>
      </c>
      <c r="W594" s="49">
        <v>51591</v>
      </c>
      <c r="X594" s="48">
        <v>1</v>
      </c>
      <c r="Y594" s="48">
        <v>1</v>
      </c>
      <c r="Z594" s="48">
        <v>1</v>
      </c>
      <c r="AA594" s="156">
        <v>104.66523349196908</v>
      </c>
      <c r="AF594" s="48">
        <v>0</v>
      </c>
      <c r="AG594" s="49" t="s">
        <v>32</v>
      </c>
      <c r="AH594" s="48">
        <v>1</v>
      </c>
      <c r="AI594" s="48" t="s">
        <v>33</v>
      </c>
      <c r="AJ594" s="48" t="s">
        <v>33</v>
      </c>
      <c r="AK594" s="48" t="s">
        <v>33</v>
      </c>
      <c r="AL594" s="48" t="s">
        <v>34</v>
      </c>
      <c r="AN594" s="48">
        <v>0</v>
      </c>
      <c r="AO594" s="48">
        <v>0</v>
      </c>
      <c r="AP594" s="48">
        <v>0</v>
      </c>
      <c r="AQ594" s="48">
        <v>0</v>
      </c>
      <c r="AR594" s="48">
        <v>0</v>
      </c>
      <c r="AS594" s="48">
        <v>0</v>
      </c>
      <c r="AT594" s="48">
        <v>0</v>
      </c>
      <c r="AU594" s="48">
        <v>0</v>
      </c>
      <c r="AV594" s="48">
        <v>0</v>
      </c>
      <c r="AW594" s="48">
        <v>0</v>
      </c>
      <c r="AX594" s="48">
        <v>0</v>
      </c>
      <c r="AY594" s="48">
        <v>0</v>
      </c>
      <c r="AZ594" s="48">
        <v>0</v>
      </c>
      <c r="BA594" s="48">
        <v>0</v>
      </c>
      <c r="BB594" s="48">
        <v>0</v>
      </c>
    </row>
    <row r="595" spans="1:54" x14ac:dyDescent="0.35">
      <c r="A595" s="49">
        <v>45930</v>
      </c>
      <c r="B595" s="48">
        <v>1</v>
      </c>
      <c r="C595" s="50" t="s">
        <v>32</v>
      </c>
      <c r="D595" s="48" t="s">
        <v>31</v>
      </c>
      <c r="E595" s="48" t="s">
        <v>138</v>
      </c>
      <c r="F595" s="48" t="s">
        <v>139</v>
      </c>
      <c r="G595" s="49" t="s">
        <v>59</v>
      </c>
      <c r="H595" s="48" t="s">
        <v>160</v>
      </c>
      <c r="I595" s="48">
        <v>1</v>
      </c>
      <c r="J595" s="48">
        <v>187</v>
      </c>
      <c r="K595" s="48">
        <v>1</v>
      </c>
      <c r="N595" s="48">
        <v>0</v>
      </c>
      <c r="R595" s="49"/>
      <c r="S595" s="49"/>
      <c r="T595" s="49">
        <v>51621</v>
      </c>
      <c r="U595" s="49">
        <v>51621</v>
      </c>
      <c r="V595" s="49">
        <v>51621</v>
      </c>
      <c r="W595" s="49">
        <v>51621</v>
      </c>
      <c r="X595" s="48">
        <v>1</v>
      </c>
      <c r="Y595" s="48">
        <v>1</v>
      </c>
      <c r="Z595" s="48">
        <v>1</v>
      </c>
      <c r="AA595" s="156">
        <v>104.66523349196908</v>
      </c>
      <c r="AF595" s="48">
        <v>0</v>
      </c>
      <c r="AG595" s="49" t="s">
        <v>32</v>
      </c>
      <c r="AH595" s="48">
        <v>1</v>
      </c>
      <c r="AI595" s="48" t="s">
        <v>33</v>
      </c>
      <c r="AJ595" s="48" t="s">
        <v>33</v>
      </c>
      <c r="AK595" s="48" t="s">
        <v>33</v>
      </c>
      <c r="AL595" s="48" t="s">
        <v>34</v>
      </c>
      <c r="AN595" s="48">
        <v>0</v>
      </c>
      <c r="AO595" s="48">
        <v>0</v>
      </c>
      <c r="AP595" s="48">
        <v>0</v>
      </c>
      <c r="AQ595" s="48">
        <v>0</v>
      </c>
      <c r="AR595" s="48">
        <v>0</v>
      </c>
      <c r="AS595" s="48">
        <v>0</v>
      </c>
      <c r="AT595" s="48">
        <v>0</v>
      </c>
      <c r="AU595" s="48">
        <v>0</v>
      </c>
      <c r="AV595" s="48">
        <v>0</v>
      </c>
      <c r="AW595" s="48">
        <v>0</v>
      </c>
      <c r="AX595" s="48">
        <v>0</v>
      </c>
      <c r="AY595" s="48">
        <v>0</v>
      </c>
      <c r="AZ595" s="48">
        <v>0</v>
      </c>
      <c r="BA595" s="48">
        <v>0</v>
      </c>
      <c r="BB595" s="48">
        <v>0</v>
      </c>
    </row>
    <row r="596" spans="1:54" x14ac:dyDescent="0.35">
      <c r="A596" s="49">
        <v>45930</v>
      </c>
      <c r="B596" s="48">
        <v>1</v>
      </c>
      <c r="C596" s="50" t="s">
        <v>32</v>
      </c>
      <c r="D596" s="48" t="s">
        <v>31</v>
      </c>
      <c r="E596" s="48" t="s">
        <v>138</v>
      </c>
      <c r="F596" s="48" t="s">
        <v>139</v>
      </c>
      <c r="G596" s="49" t="s">
        <v>59</v>
      </c>
      <c r="H596" s="48" t="s">
        <v>160</v>
      </c>
      <c r="I596" s="48">
        <v>1</v>
      </c>
      <c r="J596" s="48">
        <v>188</v>
      </c>
      <c r="K596" s="48">
        <v>1</v>
      </c>
      <c r="N596" s="48">
        <v>0</v>
      </c>
      <c r="R596" s="49"/>
      <c r="S596" s="49"/>
      <c r="T596" s="49">
        <v>51652</v>
      </c>
      <c r="U596" s="49">
        <v>51652</v>
      </c>
      <c r="V596" s="49">
        <v>51652</v>
      </c>
      <c r="W596" s="49">
        <v>51652</v>
      </c>
      <c r="X596" s="48">
        <v>1</v>
      </c>
      <c r="Y596" s="48">
        <v>1</v>
      </c>
      <c r="Z596" s="48">
        <v>1</v>
      </c>
      <c r="AA596" s="156">
        <v>104.66523349196908</v>
      </c>
      <c r="AF596" s="48">
        <v>0</v>
      </c>
      <c r="AG596" s="49" t="s">
        <v>32</v>
      </c>
      <c r="AH596" s="48">
        <v>1</v>
      </c>
      <c r="AI596" s="48" t="s">
        <v>33</v>
      </c>
      <c r="AJ596" s="48" t="s">
        <v>33</v>
      </c>
      <c r="AK596" s="48" t="s">
        <v>33</v>
      </c>
      <c r="AL596" s="48" t="s">
        <v>34</v>
      </c>
      <c r="AN596" s="48">
        <v>0</v>
      </c>
      <c r="AO596" s="48">
        <v>0</v>
      </c>
      <c r="AP596" s="48">
        <v>0</v>
      </c>
      <c r="AQ596" s="48">
        <v>0</v>
      </c>
      <c r="AR596" s="48">
        <v>0</v>
      </c>
      <c r="AS596" s="48">
        <v>0</v>
      </c>
      <c r="AT596" s="48">
        <v>0</v>
      </c>
      <c r="AU596" s="48">
        <v>0</v>
      </c>
      <c r="AV596" s="48">
        <v>0</v>
      </c>
      <c r="AW596" s="48">
        <v>0</v>
      </c>
      <c r="AX596" s="48">
        <v>0</v>
      </c>
      <c r="AY596" s="48">
        <v>0</v>
      </c>
      <c r="AZ596" s="48">
        <v>0</v>
      </c>
      <c r="BA596" s="48">
        <v>0</v>
      </c>
      <c r="BB596" s="48">
        <v>0</v>
      </c>
    </row>
    <row r="597" spans="1:54" x14ac:dyDescent="0.35">
      <c r="A597" s="49">
        <v>45930</v>
      </c>
      <c r="B597" s="48">
        <v>1</v>
      </c>
      <c r="C597" s="50" t="s">
        <v>32</v>
      </c>
      <c r="D597" s="48" t="s">
        <v>31</v>
      </c>
      <c r="E597" s="48" t="s">
        <v>138</v>
      </c>
      <c r="F597" s="48" t="s">
        <v>139</v>
      </c>
      <c r="G597" s="49" t="s">
        <v>59</v>
      </c>
      <c r="H597" s="48" t="s">
        <v>160</v>
      </c>
      <c r="I597" s="48">
        <v>1</v>
      </c>
      <c r="J597" s="48">
        <v>189</v>
      </c>
      <c r="K597" s="48">
        <v>1</v>
      </c>
      <c r="N597" s="48">
        <v>0</v>
      </c>
      <c r="R597" s="49"/>
      <c r="S597" s="49"/>
      <c r="T597" s="49">
        <v>51682</v>
      </c>
      <c r="U597" s="49">
        <v>51682</v>
      </c>
      <c r="V597" s="49">
        <v>51682</v>
      </c>
      <c r="W597" s="49">
        <v>51682</v>
      </c>
      <c r="X597" s="48">
        <v>1</v>
      </c>
      <c r="Y597" s="48">
        <v>1</v>
      </c>
      <c r="Z597" s="48">
        <v>1</v>
      </c>
      <c r="AA597" s="156">
        <v>104.66523349196908</v>
      </c>
      <c r="AF597" s="48">
        <v>0</v>
      </c>
      <c r="AG597" s="49" t="s">
        <v>32</v>
      </c>
      <c r="AH597" s="48">
        <v>1</v>
      </c>
      <c r="AI597" s="48" t="s">
        <v>33</v>
      </c>
      <c r="AJ597" s="48" t="s">
        <v>33</v>
      </c>
      <c r="AK597" s="48" t="s">
        <v>33</v>
      </c>
      <c r="AL597" s="48" t="s">
        <v>34</v>
      </c>
      <c r="AN597" s="48">
        <v>0</v>
      </c>
      <c r="AO597" s="48">
        <v>0</v>
      </c>
      <c r="AP597" s="48">
        <v>0</v>
      </c>
      <c r="AQ597" s="48">
        <v>0</v>
      </c>
      <c r="AR597" s="48">
        <v>0</v>
      </c>
      <c r="AS597" s="48">
        <v>0</v>
      </c>
      <c r="AT597" s="48">
        <v>0</v>
      </c>
      <c r="AU597" s="48">
        <v>0</v>
      </c>
      <c r="AV597" s="48">
        <v>0</v>
      </c>
      <c r="AW597" s="48">
        <v>0</v>
      </c>
      <c r="AX597" s="48">
        <v>0</v>
      </c>
      <c r="AY597" s="48">
        <v>0</v>
      </c>
      <c r="AZ597" s="48">
        <v>0</v>
      </c>
      <c r="BA597" s="48">
        <v>0</v>
      </c>
      <c r="BB597" s="48">
        <v>0</v>
      </c>
    </row>
    <row r="598" spans="1:54" x14ac:dyDescent="0.35">
      <c r="A598" s="49">
        <v>45930</v>
      </c>
      <c r="B598" s="48">
        <v>1</v>
      </c>
      <c r="C598" s="50" t="s">
        <v>32</v>
      </c>
      <c r="D598" s="48" t="s">
        <v>31</v>
      </c>
      <c r="E598" s="48" t="s">
        <v>138</v>
      </c>
      <c r="F598" s="48" t="s">
        <v>139</v>
      </c>
      <c r="G598" s="49" t="s">
        <v>59</v>
      </c>
      <c r="H598" s="48" t="s">
        <v>160</v>
      </c>
      <c r="I598" s="48">
        <v>1</v>
      </c>
      <c r="J598" s="48">
        <v>190</v>
      </c>
      <c r="K598" s="48">
        <v>1</v>
      </c>
      <c r="N598" s="48">
        <v>0</v>
      </c>
      <c r="R598" s="49"/>
      <c r="S598" s="49"/>
      <c r="T598" s="49">
        <v>51713</v>
      </c>
      <c r="U598" s="49">
        <v>51713</v>
      </c>
      <c r="V598" s="49">
        <v>51713</v>
      </c>
      <c r="W598" s="49">
        <v>51713</v>
      </c>
      <c r="X598" s="48">
        <v>1</v>
      </c>
      <c r="Y598" s="48">
        <v>1</v>
      </c>
      <c r="Z598" s="48">
        <v>1</v>
      </c>
      <c r="AA598" s="156">
        <v>104.66523349196908</v>
      </c>
      <c r="AF598" s="48">
        <v>0</v>
      </c>
      <c r="AG598" s="49" t="s">
        <v>32</v>
      </c>
      <c r="AH598" s="48">
        <v>1</v>
      </c>
      <c r="AI598" s="48" t="s">
        <v>33</v>
      </c>
      <c r="AJ598" s="48" t="s">
        <v>33</v>
      </c>
      <c r="AK598" s="48" t="s">
        <v>33</v>
      </c>
      <c r="AL598" s="48" t="s">
        <v>34</v>
      </c>
      <c r="AN598" s="48">
        <v>0</v>
      </c>
      <c r="AO598" s="48">
        <v>0</v>
      </c>
      <c r="AP598" s="48">
        <v>0</v>
      </c>
      <c r="AQ598" s="48">
        <v>0</v>
      </c>
      <c r="AR598" s="48">
        <v>0</v>
      </c>
      <c r="AS598" s="48">
        <v>0</v>
      </c>
      <c r="AT598" s="48">
        <v>0</v>
      </c>
      <c r="AU598" s="48">
        <v>0</v>
      </c>
      <c r="AV598" s="48">
        <v>0</v>
      </c>
      <c r="AW598" s="48">
        <v>0</v>
      </c>
      <c r="AX598" s="48">
        <v>0</v>
      </c>
      <c r="AY598" s="48">
        <v>0</v>
      </c>
      <c r="AZ598" s="48">
        <v>0</v>
      </c>
      <c r="BA598" s="48">
        <v>0</v>
      </c>
      <c r="BB598" s="48">
        <v>0</v>
      </c>
    </row>
    <row r="599" spans="1:54" x14ac:dyDescent="0.35">
      <c r="A599" s="49">
        <v>45930</v>
      </c>
      <c r="B599" s="48">
        <v>1</v>
      </c>
      <c r="C599" s="50" t="s">
        <v>32</v>
      </c>
      <c r="D599" s="48" t="s">
        <v>31</v>
      </c>
      <c r="E599" s="48" t="s">
        <v>138</v>
      </c>
      <c r="F599" s="48" t="s">
        <v>139</v>
      </c>
      <c r="G599" s="49" t="s">
        <v>59</v>
      </c>
      <c r="H599" s="48" t="s">
        <v>160</v>
      </c>
      <c r="I599" s="48">
        <v>1</v>
      </c>
      <c r="J599" s="48">
        <v>191</v>
      </c>
      <c r="K599" s="48">
        <v>1</v>
      </c>
      <c r="N599" s="48">
        <v>0</v>
      </c>
      <c r="R599" s="49"/>
      <c r="S599" s="49"/>
      <c r="T599" s="49">
        <v>51744</v>
      </c>
      <c r="U599" s="49">
        <v>51744</v>
      </c>
      <c r="V599" s="49">
        <v>51744</v>
      </c>
      <c r="W599" s="49">
        <v>51744</v>
      </c>
      <c r="X599" s="48">
        <v>1</v>
      </c>
      <c r="Y599" s="48">
        <v>1</v>
      </c>
      <c r="Z599" s="48">
        <v>1</v>
      </c>
      <c r="AA599" s="156">
        <v>104.66523349196908</v>
      </c>
      <c r="AF599" s="48">
        <v>0</v>
      </c>
      <c r="AG599" s="49" t="s">
        <v>32</v>
      </c>
      <c r="AH599" s="48">
        <v>1</v>
      </c>
      <c r="AI599" s="48" t="s">
        <v>33</v>
      </c>
      <c r="AJ599" s="48" t="s">
        <v>33</v>
      </c>
      <c r="AK599" s="48" t="s">
        <v>33</v>
      </c>
      <c r="AL599" s="48" t="s">
        <v>34</v>
      </c>
      <c r="AN599" s="48">
        <v>0</v>
      </c>
      <c r="AO599" s="48">
        <v>0</v>
      </c>
      <c r="AP599" s="48">
        <v>0</v>
      </c>
      <c r="AQ599" s="48">
        <v>0</v>
      </c>
      <c r="AR599" s="48">
        <v>0</v>
      </c>
      <c r="AS599" s="48">
        <v>0</v>
      </c>
      <c r="AT599" s="48">
        <v>0</v>
      </c>
      <c r="AU599" s="48">
        <v>0</v>
      </c>
      <c r="AV599" s="48">
        <v>0</v>
      </c>
      <c r="AW599" s="48">
        <v>0</v>
      </c>
      <c r="AX599" s="48">
        <v>0</v>
      </c>
      <c r="AY599" s="48">
        <v>0</v>
      </c>
      <c r="AZ599" s="48">
        <v>0</v>
      </c>
      <c r="BA599" s="48">
        <v>0</v>
      </c>
      <c r="BB599" s="48">
        <v>0</v>
      </c>
    </row>
    <row r="600" spans="1:54" x14ac:dyDescent="0.35">
      <c r="A600" s="49">
        <v>45930</v>
      </c>
      <c r="B600" s="48">
        <v>1</v>
      </c>
      <c r="C600" s="50" t="s">
        <v>32</v>
      </c>
      <c r="D600" s="48" t="s">
        <v>31</v>
      </c>
      <c r="E600" s="48" t="s">
        <v>138</v>
      </c>
      <c r="F600" s="48" t="s">
        <v>139</v>
      </c>
      <c r="G600" s="49" t="s">
        <v>59</v>
      </c>
      <c r="H600" s="48" t="s">
        <v>160</v>
      </c>
      <c r="I600" s="48">
        <v>1</v>
      </c>
      <c r="J600" s="48">
        <v>192</v>
      </c>
      <c r="K600" s="48">
        <v>1</v>
      </c>
      <c r="N600" s="48">
        <v>0</v>
      </c>
      <c r="R600" s="49"/>
      <c r="S600" s="49"/>
      <c r="T600" s="49">
        <v>51774</v>
      </c>
      <c r="U600" s="49">
        <v>51774</v>
      </c>
      <c r="V600" s="49">
        <v>51774</v>
      </c>
      <c r="W600" s="49">
        <v>51774</v>
      </c>
      <c r="X600" s="48">
        <v>1</v>
      </c>
      <c r="Y600" s="48">
        <v>1</v>
      </c>
      <c r="Z600" s="48">
        <v>1</v>
      </c>
      <c r="AA600" s="156">
        <v>104.66523349196908</v>
      </c>
      <c r="AF600" s="48">
        <v>0</v>
      </c>
      <c r="AG600" s="49" t="s">
        <v>32</v>
      </c>
      <c r="AH600" s="48">
        <v>1</v>
      </c>
      <c r="AI600" s="48" t="s">
        <v>33</v>
      </c>
      <c r="AJ600" s="48" t="s">
        <v>33</v>
      </c>
      <c r="AK600" s="48" t="s">
        <v>33</v>
      </c>
      <c r="AL600" s="48" t="s">
        <v>34</v>
      </c>
      <c r="AN600" s="48">
        <v>0</v>
      </c>
      <c r="AO600" s="48">
        <v>0</v>
      </c>
      <c r="AP600" s="48">
        <v>0</v>
      </c>
      <c r="AQ600" s="48">
        <v>0</v>
      </c>
      <c r="AR600" s="48">
        <v>0</v>
      </c>
      <c r="AS600" s="48">
        <v>0</v>
      </c>
      <c r="AT600" s="48">
        <v>0</v>
      </c>
      <c r="AU600" s="48">
        <v>0</v>
      </c>
      <c r="AV600" s="48">
        <v>0</v>
      </c>
      <c r="AW600" s="48">
        <v>0</v>
      </c>
      <c r="AX600" s="48">
        <v>0</v>
      </c>
      <c r="AY600" s="48">
        <v>0</v>
      </c>
      <c r="AZ600" s="48">
        <v>0</v>
      </c>
      <c r="BA600" s="48">
        <v>0</v>
      </c>
      <c r="BB600" s="48">
        <v>0</v>
      </c>
    </row>
    <row r="601" spans="1:54" x14ac:dyDescent="0.35">
      <c r="A601" s="49">
        <v>45930</v>
      </c>
      <c r="B601" s="48">
        <v>1</v>
      </c>
      <c r="C601" s="50" t="s">
        <v>32</v>
      </c>
      <c r="D601" s="48" t="s">
        <v>31</v>
      </c>
      <c r="E601" s="48" t="s">
        <v>138</v>
      </c>
      <c r="F601" s="48" t="s">
        <v>139</v>
      </c>
      <c r="G601" s="49" t="s">
        <v>59</v>
      </c>
      <c r="H601" s="48" t="s">
        <v>160</v>
      </c>
      <c r="I601" s="48">
        <v>1</v>
      </c>
      <c r="J601" s="48">
        <v>193</v>
      </c>
      <c r="K601" s="48">
        <v>1</v>
      </c>
      <c r="N601" s="48">
        <v>0</v>
      </c>
      <c r="R601" s="49"/>
      <c r="S601" s="49"/>
      <c r="T601" s="49">
        <v>51805</v>
      </c>
      <c r="U601" s="49">
        <v>51805</v>
      </c>
      <c r="V601" s="49">
        <v>51805</v>
      </c>
      <c r="W601" s="49">
        <v>51805</v>
      </c>
      <c r="X601" s="48">
        <v>1</v>
      </c>
      <c r="Y601" s="48">
        <v>1</v>
      </c>
      <c r="Z601" s="48">
        <v>1</v>
      </c>
      <c r="AA601" s="156">
        <v>104.66523349196908</v>
      </c>
      <c r="AF601" s="48">
        <v>0</v>
      </c>
      <c r="AG601" s="49" t="s">
        <v>32</v>
      </c>
      <c r="AH601" s="48">
        <v>1</v>
      </c>
      <c r="AI601" s="48" t="s">
        <v>33</v>
      </c>
      <c r="AJ601" s="48" t="s">
        <v>33</v>
      </c>
      <c r="AK601" s="48" t="s">
        <v>33</v>
      </c>
      <c r="AL601" s="48" t="s">
        <v>34</v>
      </c>
      <c r="AN601" s="48">
        <v>0</v>
      </c>
      <c r="AO601" s="48">
        <v>0</v>
      </c>
      <c r="AP601" s="48">
        <v>0</v>
      </c>
      <c r="AQ601" s="48">
        <v>0</v>
      </c>
      <c r="AR601" s="48">
        <v>0</v>
      </c>
      <c r="AS601" s="48">
        <v>0</v>
      </c>
      <c r="AT601" s="48">
        <v>0</v>
      </c>
      <c r="AU601" s="48">
        <v>0</v>
      </c>
      <c r="AV601" s="48">
        <v>0</v>
      </c>
      <c r="AW601" s="48">
        <v>0</v>
      </c>
      <c r="AX601" s="48">
        <v>0</v>
      </c>
      <c r="AY601" s="48">
        <v>0</v>
      </c>
      <c r="AZ601" s="48">
        <v>0</v>
      </c>
      <c r="BA601" s="48">
        <v>0</v>
      </c>
      <c r="BB601" s="48">
        <v>0</v>
      </c>
    </row>
    <row r="602" spans="1:54" x14ac:dyDescent="0.35">
      <c r="A602" s="49">
        <v>45930</v>
      </c>
      <c r="B602" s="48">
        <v>1</v>
      </c>
      <c r="C602" s="50" t="s">
        <v>32</v>
      </c>
      <c r="D602" s="48" t="s">
        <v>31</v>
      </c>
      <c r="E602" s="48" t="s">
        <v>138</v>
      </c>
      <c r="F602" s="48" t="s">
        <v>139</v>
      </c>
      <c r="G602" s="49" t="s">
        <v>59</v>
      </c>
      <c r="H602" s="48" t="s">
        <v>160</v>
      </c>
      <c r="I602" s="48">
        <v>1</v>
      </c>
      <c r="J602" s="48">
        <v>194</v>
      </c>
      <c r="K602" s="48">
        <v>1</v>
      </c>
      <c r="N602" s="48">
        <v>0</v>
      </c>
      <c r="R602" s="49"/>
      <c r="S602" s="49"/>
      <c r="T602" s="49">
        <v>51835</v>
      </c>
      <c r="U602" s="49">
        <v>51835</v>
      </c>
      <c r="V602" s="49">
        <v>51835</v>
      </c>
      <c r="W602" s="49">
        <v>51835</v>
      </c>
      <c r="X602" s="48">
        <v>1</v>
      </c>
      <c r="Y602" s="48">
        <v>1</v>
      </c>
      <c r="Z602" s="48">
        <v>1</v>
      </c>
      <c r="AA602" s="156">
        <v>104.66523349196908</v>
      </c>
      <c r="AF602" s="48">
        <v>0</v>
      </c>
      <c r="AG602" s="49" t="s">
        <v>32</v>
      </c>
      <c r="AH602" s="48">
        <v>1</v>
      </c>
      <c r="AI602" s="48" t="s">
        <v>33</v>
      </c>
      <c r="AJ602" s="48" t="s">
        <v>33</v>
      </c>
      <c r="AK602" s="48" t="s">
        <v>33</v>
      </c>
      <c r="AL602" s="48" t="s">
        <v>34</v>
      </c>
      <c r="AN602" s="48">
        <v>0</v>
      </c>
      <c r="AO602" s="48">
        <v>0</v>
      </c>
      <c r="AP602" s="48">
        <v>0</v>
      </c>
      <c r="AQ602" s="48">
        <v>0</v>
      </c>
      <c r="AR602" s="48">
        <v>0</v>
      </c>
      <c r="AS602" s="48">
        <v>0</v>
      </c>
      <c r="AT602" s="48">
        <v>0</v>
      </c>
      <c r="AU602" s="48">
        <v>0</v>
      </c>
      <c r="AV602" s="48">
        <v>0</v>
      </c>
      <c r="AW602" s="48">
        <v>0</v>
      </c>
      <c r="AX602" s="48">
        <v>0</v>
      </c>
      <c r="AY602" s="48">
        <v>0</v>
      </c>
      <c r="AZ602" s="48">
        <v>0</v>
      </c>
      <c r="BA602" s="48">
        <v>0</v>
      </c>
      <c r="BB602" s="48">
        <v>0</v>
      </c>
    </row>
    <row r="603" spans="1:54" x14ac:dyDescent="0.35">
      <c r="A603" s="49">
        <v>45930</v>
      </c>
      <c r="B603" s="48">
        <v>1</v>
      </c>
      <c r="C603" s="50" t="s">
        <v>32</v>
      </c>
      <c r="D603" s="48" t="s">
        <v>31</v>
      </c>
      <c r="E603" s="48" t="s">
        <v>138</v>
      </c>
      <c r="F603" s="48" t="s">
        <v>139</v>
      </c>
      <c r="G603" s="49" t="s">
        <v>59</v>
      </c>
      <c r="H603" s="48" t="s">
        <v>160</v>
      </c>
      <c r="I603" s="48">
        <v>1</v>
      </c>
      <c r="J603" s="48">
        <v>195</v>
      </c>
      <c r="K603" s="48">
        <v>1</v>
      </c>
      <c r="N603" s="48">
        <v>0</v>
      </c>
      <c r="R603" s="49"/>
      <c r="S603" s="49"/>
      <c r="T603" s="49">
        <v>51866</v>
      </c>
      <c r="U603" s="49">
        <v>51866</v>
      </c>
      <c r="V603" s="49">
        <v>51866</v>
      </c>
      <c r="W603" s="49">
        <v>51866</v>
      </c>
      <c r="X603" s="48">
        <v>1</v>
      </c>
      <c r="Y603" s="48">
        <v>1</v>
      </c>
      <c r="Z603" s="48">
        <v>1</v>
      </c>
      <c r="AA603" s="156">
        <v>104.66523349196908</v>
      </c>
      <c r="AF603" s="48">
        <v>0</v>
      </c>
      <c r="AG603" s="49" t="s">
        <v>32</v>
      </c>
      <c r="AH603" s="48">
        <v>1</v>
      </c>
      <c r="AI603" s="48" t="s">
        <v>33</v>
      </c>
      <c r="AJ603" s="48" t="s">
        <v>33</v>
      </c>
      <c r="AK603" s="48" t="s">
        <v>33</v>
      </c>
      <c r="AL603" s="48" t="s">
        <v>34</v>
      </c>
      <c r="AN603" s="48">
        <v>0</v>
      </c>
      <c r="AO603" s="48">
        <v>0</v>
      </c>
      <c r="AP603" s="48">
        <v>0</v>
      </c>
      <c r="AQ603" s="48">
        <v>0</v>
      </c>
      <c r="AR603" s="48">
        <v>0</v>
      </c>
      <c r="AS603" s="48">
        <v>0</v>
      </c>
      <c r="AT603" s="48">
        <v>0</v>
      </c>
      <c r="AU603" s="48">
        <v>0</v>
      </c>
      <c r="AV603" s="48">
        <v>0</v>
      </c>
      <c r="AW603" s="48">
        <v>0</v>
      </c>
      <c r="AX603" s="48">
        <v>0</v>
      </c>
      <c r="AY603" s="48">
        <v>0</v>
      </c>
      <c r="AZ603" s="48">
        <v>0</v>
      </c>
      <c r="BA603" s="48">
        <v>0</v>
      </c>
      <c r="BB603" s="48">
        <v>0</v>
      </c>
    </row>
    <row r="604" spans="1:54" x14ac:dyDescent="0.35">
      <c r="A604" s="49">
        <v>45930</v>
      </c>
      <c r="B604" s="48">
        <v>1</v>
      </c>
      <c r="C604" s="50" t="s">
        <v>32</v>
      </c>
      <c r="D604" s="48" t="s">
        <v>31</v>
      </c>
      <c r="E604" s="48" t="s">
        <v>138</v>
      </c>
      <c r="F604" s="48" t="s">
        <v>139</v>
      </c>
      <c r="G604" s="49" t="s">
        <v>59</v>
      </c>
      <c r="H604" s="48" t="s">
        <v>160</v>
      </c>
      <c r="I604" s="48">
        <v>1</v>
      </c>
      <c r="J604" s="48">
        <v>196</v>
      </c>
      <c r="K604" s="48">
        <v>1</v>
      </c>
      <c r="N604" s="48">
        <v>0</v>
      </c>
      <c r="R604" s="49"/>
      <c r="S604" s="49"/>
      <c r="T604" s="49">
        <v>51897</v>
      </c>
      <c r="U604" s="49">
        <v>51897</v>
      </c>
      <c r="V604" s="49">
        <v>51897</v>
      </c>
      <c r="W604" s="49">
        <v>51897</v>
      </c>
      <c r="X604" s="48">
        <v>1</v>
      </c>
      <c r="Y604" s="48">
        <v>1</v>
      </c>
      <c r="Z604" s="48">
        <v>1</v>
      </c>
      <c r="AA604" s="156">
        <v>104.66523349196908</v>
      </c>
      <c r="AF604" s="48">
        <v>0</v>
      </c>
      <c r="AG604" s="49" t="s">
        <v>32</v>
      </c>
      <c r="AH604" s="48">
        <v>1</v>
      </c>
      <c r="AI604" s="48" t="s">
        <v>33</v>
      </c>
      <c r="AJ604" s="48" t="s">
        <v>33</v>
      </c>
      <c r="AK604" s="48" t="s">
        <v>33</v>
      </c>
      <c r="AL604" s="48" t="s">
        <v>34</v>
      </c>
      <c r="AN604" s="48">
        <v>0</v>
      </c>
      <c r="AO604" s="48">
        <v>0</v>
      </c>
      <c r="AP604" s="48">
        <v>0</v>
      </c>
      <c r="AQ604" s="48">
        <v>0</v>
      </c>
      <c r="AR604" s="48">
        <v>0</v>
      </c>
      <c r="AS604" s="48">
        <v>0</v>
      </c>
      <c r="AT604" s="48">
        <v>0</v>
      </c>
      <c r="AU604" s="48">
        <v>0</v>
      </c>
      <c r="AV604" s="48">
        <v>0</v>
      </c>
      <c r="AW604" s="48">
        <v>0</v>
      </c>
      <c r="AX604" s="48">
        <v>0</v>
      </c>
      <c r="AY604" s="48">
        <v>0</v>
      </c>
      <c r="AZ604" s="48">
        <v>0</v>
      </c>
      <c r="BA604" s="48">
        <v>0</v>
      </c>
      <c r="BB604" s="48">
        <v>0</v>
      </c>
    </row>
    <row r="605" spans="1:54" x14ac:dyDescent="0.35">
      <c r="A605" s="49">
        <v>45930</v>
      </c>
      <c r="B605" s="48">
        <v>1</v>
      </c>
      <c r="C605" s="50" t="s">
        <v>32</v>
      </c>
      <c r="D605" s="48" t="s">
        <v>31</v>
      </c>
      <c r="E605" s="48" t="s">
        <v>138</v>
      </c>
      <c r="F605" s="48" t="s">
        <v>139</v>
      </c>
      <c r="G605" s="49" t="s">
        <v>59</v>
      </c>
      <c r="H605" s="48" t="s">
        <v>160</v>
      </c>
      <c r="I605" s="48">
        <v>1</v>
      </c>
      <c r="J605" s="48">
        <v>197</v>
      </c>
      <c r="K605" s="48">
        <v>1</v>
      </c>
      <c r="N605" s="48">
        <v>0</v>
      </c>
      <c r="R605" s="49"/>
      <c r="S605" s="49"/>
      <c r="T605" s="49">
        <v>51925</v>
      </c>
      <c r="U605" s="49">
        <v>51925</v>
      </c>
      <c r="V605" s="49">
        <v>51925</v>
      </c>
      <c r="W605" s="49">
        <v>51925</v>
      </c>
      <c r="X605" s="48">
        <v>1</v>
      </c>
      <c r="Y605" s="48">
        <v>1</v>
      </c>
      <c r="Z605" s="48">
        <v>1</v>
      </c>
      <c r="AA605" s="156">
        <v>104.66523349196908</v>
      </c>
      <c r="AF605" s="48">
        <v>0</v>
      </c>
      <c r="AG605" s="49" t="s">
        <v>32</v>
      </c>
      <c r="AH605" s="48">
        <v>1</v>
      </c>
      <c r="AI605" s="48" t="s">
        <v>33</v>
      </c>
      <c r="AJ605" s="48" t="s">
        <v>33</v>
      </c>
      <c r="AK605" s="48" t="s">
        <v>33</v>
      </c>
      <c r="AL605" s="48" t="s">
        <v>34</v>
      </c>
      <c r="AN605" s="48">
        <v>0</v>
      </c>
      <c r="AO605" s="48">
        <v>0</v>
      </c>
      <c r="AP605" s="48">
        <v>0</v>
      </c>
      <c r="AQ605" s="48">
        <v>0</v>
      </c>
      <c r="AR605" s="48">
        <v>0</v>
      </c>
      <c r="AS605" s="48">
        <v>0</v>
      </c>
      <c r="AT605" s="48">
        <v>0</v>
      </c>
      <c r="AU605" s="48">
        <v>0</v>
      </c>
      <c r="AV605" s="48">
        <v>0</v>
      </c>
      <c r="AW605" s="48">
        <v>0</v>
      </c>
      <c r="AX605" s="48">
        <v>0</v>
      </c>
      <c r="AY605" s="48">
        <v>0</v>
      </c>
      <c r="AZ605" s="48">
        <v>0</v>
      </c>
      <c r="BA605" s="48">
        <v>0</v>
      </c>
      <c r="BB605" s="48">
        <v>0</v>
      </c>
    </row>
    <row r="606" spans="1:54" x14ac:dyDescent="0.35">
      <c r="A606" s="49">
        <v>45930</v>
      </c>
      <c r="B606" s="48">
        <v>1</v>
      </c>
      <c r="C606" s="50" t="s">
        <v>32</v>
      </c>
      <c r="D606" s="48" t="s">
        <v>31</v>
      </c>
      <c r="E606" s="48" t="s">
        <v>138</v>
      </c>
      <c r="F606" s="48" t="s">
        <v>139</v>
      </c>
      <c r="G606" s="49" t="s">
        <v>59</v>
      </c>
      <c r="H606" s="48" t="s">
        <v>160</v>
      </c>
      <c r="I606" s="48">
        <v>1</v>
      </c>
      <c r="J606" s="48">
        <v>198</v>
      </c>
      <c r="K606" s="48">
        <v>1</v>
      </c>
      <c r="N606" s="48">
        <v>0</v>
      </c>
      <c r="R606" s="49"/>
      <c r="S606" s="49"/>
      <c r="T606" s="49">
        <v>51956</v>
      </c>
      <c r="U606" s="49">
        <v>51956</v>
      </c>
      <c r="V606" s="49">
        <v>51956</v>
      </c>
      <c r="W606" s="49">
        <v>51956</v>
      </c>
      <c r="X606" s="48">
        <v>1</v>
      </c>
      <c r="Y606" s="48">
        <v>1</v>
      </c>
      <c r="Z606" s="48">
        <v>1</v>
      </c>
      <c r="AA606" s="156">
        <v>104.66523349196908</v>
      </c>
      <c r="AF606" s="48">
        <v>0</v>
      </c>
      <c r="AG606" s="49" t="s">
        <v>32</v>
      </c>
      <c r="AH606" s="48">
        <v>1</v>
      </c>
      <c r="AI606" s="48" t="s">
        <v>33</v>
      </c>
      <c r="AJ606" s="48" t="s">
        <v>33</v>
      </c>
      <c r="AK606" s="48" t="s">
        <v>33</v>
      </c>
      <c r="AL606" s="48" t="s">
        <v>34</v>
      </c>
      <c r="AN606" s="48">
        <v>0</v>
      </c>
      <c r="AO606" s="48">
        <v>0</v>
      </c>
      <c r="AP606" s="48">
        <v>0</v>
      </c>
      <c r="AQ606" s="48">
        <v>0</v>
      </c>
      <c r="AR606" s="48">
        <v>0</v>
      </c>
      <c r="AS606" s="48">
        <v>0</v>
      </c>
      <c r="AT606" s="48">
        <v>0</v>
      </c>
      <c r="AU606" s="48">
        <v>0</v>
      </c>
      <c r="AV606" s="48">
        <v>0</v>
      </c>
      <c r="AW606" s="48">
        <v>0</v>
      </c>
      <c r="AX606" s="48">
        <v>0</v>
      </c>
      <c r="AY606" s="48">
        <v>0</v>
      </c>
      <c r="AZ606" s="48">
        <v>0</v>
      </c>
      <c r="BA606" s="48">
        <v>0</v>
      </c>
      <c r="BB606" s="48">
        <v>0</v>
      </c>
    </row>
    <row r="607" spans="1:54" x14ac:dyDescent="0.35">
      <c r="A607" s="49">
        <v>45930</v>
      </c>
      <c r="B607" s="48">
        <v>1</v>
      </c>
      <c r="C607" s="50" t="s">
        <v>32</v>
      </c>
      <c r="D607" s="48" t="s">
        <v>31</v>
      </c>
      <c r="E607" s="48" t="s">
        <v>138</v>
      </c>
      <c r="F607" s="48" t="s">
        <v>139</v>
      </c>
      <c r="G607" s="49" t="s">
        <v>59</v>
      </c>
      <c r="H607" s="48" t="s">
        <v>160</v>
      </c>
      <c r="I607" s="48">
        <v>1</v>
      </c>
      <c r="J607" s="48">
        <v>199</v>
      </c>
      <c r="K607" s="48">
        <v>1</v>
      </c>
      <c r="N607" s="48">
        <v>0</v>
      </c>
      <c r="R607" s="49"/>
      <c r="S607" s="49"/>
      <c r="T607" s="49">
        <v>51986</v>
      </c>
      <c r="U607" s="49">
        <v>51986</v>
      </c>
      <c r="V607" s="49">
        <v>51986</v>
      </c>
      <c r="W607" s="49">
        <v>51986</v>
      </c>
      <c r="X607" s="48">
        <v>1</v>
      </c>
      <c r="Y607" s="48">
        <v>1</v>
      </c>
      <c r="Z607" s="48">
        <v>1</v>
      </c>
      <c r="AA607" s="156">
        <v>104.66523349196908</v>
      </c>
      <c r="AF607" s="48">
        <v>0</v>
      </c>
      <c r="AG607" s="49" t="s">
        <v>32</v>
      </c>
      <c r="AH607" s="48">
        <v>1</v>
      </c>
      <c r="AI607" s="48" t="s">
        <v>33</v>
      </c>
      <c r="AJ607" s="48" t="s">
        <v>33</v>
      </c>
      <c r="AK607" s="48" t="s">
        <v>33</v>
      </c>
      <c r="AL607" s="48" t="s">
        <v>34</v>
      </c>
      <c r="AN607" s="48">
        <v>0</v>
      </c>
      <c r="AO607" s="48">
        <v>0</v>
      </c>
      <c r="AP607" s="48">
        <v>0</v>
      </c>
      <c r="AQ607" s="48">
        <v>0</v>
      </c>
      <c r="AR607" s="48">
        <v>0</v>
      </c>
      <c r="AS607" s="48">
        <v>0</v>
      </c>
      <c r="AT607" s="48">
        <v>0</v>
      </c>
      <c r="AU607" s="48">
        <v>0</v>
      </c>
      <c r="AV607" s="48">
        <v>0</v>
      </c>
      <c r="AW607" s="48">
        <v>0</v>
      </c>
      <c r="AX607" s="48">
        <v>0</v>
      </c>
      <c r="AY607" s="48">
        <v>0</v>
      </c>
      <c r="AZ607" s="48">
        <v>0</v>
      </c>
      <c r="BA607" s="48">
        <v>0</v>
      </c>
      <c r="BB607" s="48">
        <v>0</v>
      </c>
    </row>
    <row r="608" spans="1:54" x14ac:dyDescent="0.35">
      <c r="A608" s="49">
        <v>45930</v>
      </c>
      <c r="B608" s="48">
        <v>1</v>
      </c>
      <c r="C608" s="50" t="s">
        <v>32</v>
      </c>
      <c r="D608" s="48" t="s">
        <v>31</v>
      </c>
      <c r="E608" s="48" t="s">
        <v>138</v>
      </c>
      <c r="F608" s="48" t="s">
        <v>139</v>
      </c>
      <c r="G608" s="49" t="s">
        <v>59</v>
      </c>
      <c r="H608" s="48" t="s">
        <v>160</v>
      </c>
      <c r="I608" s="48">
        <v>1</v>
      </c>
      <c r="J608" s="48">
        <v>200</v>
      </c>
      <c r="K608" s="48">
        <v>1</v>
      </c>
      <c r="N608" s="48">
        <v>0</v>
      </c>
      <c r="R608" s="49"/>
      <c r="S608" s="49"/>
      <c r="T608" s="49">
        <v>52017</v>
      </c>
      <c r="U608" s="49">
        <v>52017</v>
      </c>
      <c r="V608" s="49">
        <v>52017</v>
      </c>
      <c r="W608" s="49">
        <v>52017</v>
      </c>
      <c r="X608" s="48">
        <v>1</v>
      </c>
      <c r="Y608" s="48">
        <v>1</v>
      </c>
      <c r="Z608" s="48">
        <v>1</v>
      </c>
      <c r="AA608" s="156">
        <v>104.66523349196908</v>
      </c>
      <c r="AF608" s="48">
        <v>0</v>
      </c>
      <c r="AG608" s="49" t="s">
        <v>32</v>
      </c>
      <c r="AH608" s="48">
        <v>1</v>
      </c>
      <c r="AI608" s="48" t="s">
        <v>33</v>
      </c>
      <c r="AJ608" s="48" t="s">
        <v>33</v>
      </c>
      <c r="AK608" s="48" t="s">
        <v>33</v>
      </c>
      <c r="AL608" s="48" t="s">
        <v>34</v>
      </c>
      <c r="AN608" s="48">
        <v>0</v>
      </c>
      <c r="AO608" s="48">
        <v>0</v>
      </c>
      <c r="AP608" s="48">
        <v>0</v>
      </c>
      <c r="AQ608" s="48">
        <v>0</v>
      </c>
      <c r="AR608" s="48">
        <v>0</v>
      </c>
      <c r="AS608" s="48">
        <v>0</v>
      </c>
      <c r="AT608" s="48">
        <v>0</v>
      </c>
      <c r="AU608" s="48">
        <v>0</v>
      </c>
      <c r="AV608" s="48">
        <v>0</v>
      </c>
      <c r="AW608" s="48">
        <v>0</v>
      </c>
      <c r="AX608" s="48">
        <v>0</v>
      </c>
      <c r="AY608" s="48">
        <v>0</v>
      </c>
      <c r="AZ608" s="48">
        <v>0</v>
      </c>
      <c r="BA608" s="48">
        <v>0</v>
      </c>
      <c r="BB608" s="48">
        <v>0</v>
      </c>
    </row>
    <row r="609" spans="1:54" x14ac:dyDescent="0.35">
      <c r="A609" s="49">
        <v>45930</v>
      </c>
      <c r="B609" s="48">
        <v>1</v>
      </c>
      <c r="C609" s="50" t="s">
        <v>32</v>
      </c>
      <c r="D609" s="48" t="s">
        <v>31</v>
      </c>
      <c r="E609" s="48" t="s">
        <v>138</v>
      </c>
      <c r="F609" s="48" t="s">
        <v>139</v>
      </c>
      <c r="G609" s="49" t="s">
        <v>59</v>
      </c>
      <c r="H609" s="48" t="s">
        <v>160</v>
      </c>
      <c r="I609" s="48">
        <v>1</v>
      </c>
      <c r="J609" s="48">
        <v>201</v>
      </c>
      <c r="K609" s="48">
        <v>1</v>
      </c>
      <c r="N609" s="48">
        <v>0</v>
      </c>
      <c r="R609" s="49"/>
      <c r="S609" s="49"/>
      <c r="T609" s="49">
        <v>52047</v>
      </c>
      <c r="U609" s="49">
        <v>52047</v>
      </c>
      <c r="V609" s="49">
        <v>52047</v>
      </c>
      <c r="W609" s="49">
        <v>52047</v>
      </c>
      <c r="X609" s="48">
        <v>1</v>
      </c>
      <c r="Y609" s="48">
        <v>1</v>
      </c>
      <c r="Z609" s="48">
        <v>1</v>
      </c>
      <c r="AA609" s="156">
        <v>104.66523349196908</v>
      </c>
      <c r="AF609" s="48">
        <v>0</v>
      </c>
      <c r="AG609" s="49" t="s">
        <v>32</v>
      </c>
      <c r="AH609" s="48">
        <v>1</v>
      </c>
      <c r="AI609" s="48" t="s">
        <v>33</v>
      </c>
      <c r="AJ609" s="48" t="s">
        <v>33</v>
      </c>
      <c r="AK609" s="48" t="s">
        <v>33</v>
      </c>
      <c r="AL609" s="48" t="s">
        <v>34</v>
      </c>
      <c r="AN609" s="48">
        <v>0</v>
      </c>
      <c r="AO609" s="48">
        <v>0</v>
      </c>
      <c r="AP609" s="48">
        <v>0</v>
      </c>
      <c r="AQ609" s="48">
        <v>0</v>
      </c>
      <c r="AR609" s="48">
        <v>0</v>
      </c>
      <c r="AS609" s="48">
        <v>0</v>
      </c>
      <c r="AT609" s="48">
        <v>0</v>
      </c>
      <c r="AU609" s="48">
        <v>0</v>
      </c>
      <c r="AV609" s="48">
        <v>0</v>
      </c>
      <c r="AW609" s="48">
        <v>0</v>
      </c>
      <c r="AX609" s="48">
        <v>0</v>
      </c>
      <c r="AY609" s="48">
        <v>0</v>
      </c>
      <c r="AZ609" s="48">
        <v>0</v>
      </c>
      <c r="BA609" s="48">
        <v>0</v>
      </c>
      <c r="BB609" s="48">
        <v>0</v>
      </c>
    </row>
    <row r="610" spans="1:54" x14ac:dyDescent="0.35">
      <c r="A610" s="49">
        <v>45930</v>
      </c>
      <c r="B610" s="48">
        <v>1</v>
      </c>
      <c r="C610" s="50" t="s">
        <v>32</v>
      </c>
      <c r="D610" s="48" t="s">
        <v>31</v>
      </c>
      <c r="E610" s="48" t="s">
        <v>138</v>
      </c>
      <c r="F610" s="48" t="s">
        <v>139</v>
      </c>
      <c r="G610" s="49" t="s">
        <v>59</v>
      </c>
      <c r="H610" s="48" t="s">
        <v>160</v>
      </c>
      <c r="I610" s="48">
        <v>1</v>
      </c>
      <c r="J610" s="48">
        <v>202</v>
      </c>
      <c r="K610" s="48">
        <v>1</v>
      </c>
      <c r="N610" s="48">
        <v>0</v>
      </c>
      <c r="R610" s="49"/>
      <c r="S610" s="49"/>
      <c r="T610" s="49">
        <v>52078</v>
      </c>
      <c r="U610" s="49">
        <v>52078</v>
      </c>
      <c r="V610" s="49">
        <v>52078</v>
      </c>
      <c r="W610" s="49">
        <v>52078</v>
      </c>
      <c r="X610" s="48">
        <v>1</v>
      </c>
      <c r="Y610" s="48">
        <v>1</v>
      </c>
      <c r="Z610" s="48">
        <v>1</v>
      </c>
      <c r="AA610" s="156">
        <v>104.66523349196908</v>
      </c>
      <c r="AF610" s="48">
        <v>0</v>
      </c>
      <c r="AG610" s="49" t="s">
        <v>32</v>
      </c>
      <c r="AH610" s="48">
        <v>1</v>
      </c>
      <c r="AI610" s="48" t="s">
        <v>33</v>
      </c>
      <c r="AJ610" s="48" t="s">
        <v>33</v>
      </c>
      <c r="AK610" s="48" t="s">
        <v>33</v>
      </c>
      <c r="AL610" s="48" t="s">
        <v>34</v>
      </c>
      <c r="AN610" s="48">
        <v>0</v>
      </c>
      <c r="AO610" s="48">
        <v>0</v>
      </c>
      <c r="AP610" s="48">
        <v>0</v>
      </c>
      <c r="AQ610" s="48">
        <v>0</v>
      </c>
      <c r="AR610" s="48">
        <v>0</v>
      </c>
      <c r="AS610" s="48">
        <v>0</v>
      </c>
      <c r="AT610" s="48">
        <v>0</v>
      </c>
      <c r="AU610" s="48">
        <v>0</v>
      </c>
      <c r="AV610" s="48">
        <v>0</v>
      </c>
      <c r="AW610" s="48">
        <v>0</v>
      </c>
      <c r="AX610" s="48">
        <v>0</v>
      </c>
      <c r="AY610" s="48">
        <v>0</v>
      </c>
      <c r="AZ610" s="48">
        <v>0</v>
      </c>
      <c r="BA610" s="48">
        <v>0</v>
      </c>
      <c r="BB610" s="48">
        <v>0</v>
      </c>
    </row>
    <row r="611" spans="1:54" x14ac:dyDescent="0.35">
      <c r="A611" s="49">
        <v>45930</v>
      </c>
      <c r="B611" s="48">
        <v>1</v>
      </c>
      <c r="C611" s="50" t="s">
        <v>32</v>
      </c>
      <c r="D611" s="48" t="s">
        <v>31</v>
      </c>
      <c r="E611" s="48" t="s">
        <v>138</v>
      </c>
      <c r="F611" s="48" t="s">
        <v>139</v>
      </c>
      <c r="G611" s="49" t="s">
        <v>59</v>
      </c>
      <c r="H611" s="48" t="s">
        <v>160</v>
      </c>
      <c r="I611" s="48">
        <v>1</v>
      </c>
      <c r="J611" s="48">
        <v>203</v>
      </c>
      <c r="K611" s="48">
        <v>1</v>
      </c>
      <c r="N611" s="48">
        <v>0</v>
      </c>
      <c r="R611" s="49"/>
      <c r="S611" s="49"/>
      <c r="T611" s="49">
        <v>52109</v>
      </c>
      <c r="U611" s="49">
        <v>52109</v>
      </c>
      <c r="V611" s="49">
        <v>52109</v>
      </c>
      <c r="W611" s="49">
        <v>52109</v>
      </c>
      <c r="X611" s="48">
        <v>1</v>
      </c>
      <c r="Y611" s="48">
        <v>1</v>
      </c>
      <c r="Z611" s="48">
        <v>1</v>
      </c>
      <c r="AA611" s="156">
        <v>104.66523349196908</v>
      </c>
      <c r="AF611" s="48">
        <v>0</v>
      </c>
      <c r="AG611" s="49" t="s">
        <v>32</v>
      </c>
      <c r="AH611" s="48">
        <v>1</v>
      </c>
      <c r="AI611" s="48" t="s">
        <v>33</v>
      </c>
      <c r="AJ611" s="48" t="s">
        <v>33</v>
      </c>
      <c r="AK611" s="48" t="s">
        <v>33</v>
      </c>
      <c r="AL611" s="48" t="s">
        <v>34</v>
      </c>
      <c r="AN611" s="48">
        <v>0</v>
      </c>
      <c r="AO611" s="48">
        <v>0</v>
      </c>
      <c r="AP611" s="48">
        <v>0</v>
      </c>
      <c r="AQ611" s="48">
        <v>0</v>
      </c>
      <c r="AR611" s="48">
        <v>0</v>
      </c>
      <c r="AS611" s="48">
        <v>0</v>
      </c>
      <c r="AT611" s="48">
        <v>0</v>
      </c>
      <c r="AU611" s="48">
        <v>0</v>
      </c>
      <c r="AV611" s="48">
        <v>0</v>
      </c>
      <c r="AW611" s="48">
        <v>0</v>
      </c>
      <c r="AX611" s="48">
        <v>0</v>
      </c>
      <c r="AY611" s="48">
        <v>0</v>
      </c>
      <c r="AZ611" s="48">
        <v>0</v>
      </c>
      <c r="BA611" s="48">
        <v>0</v>
      </c>
      <c r="BB611" s="48">
        <v>0</v>
      </c>
    </row>
    <row r="612" spans="1:54" x14ac:dyDescent="0.35">
      <c r="A612" s="49">
        <v>45930</v>
      </c>
      <c r="B612" s="48">
        <v>1</v>
      </c>
      <c r="C612" s="50" t="s">
        <v>32</v>
      </c>
      <c r="D612" s="48" t="s">
        <v>31</v>
      </c>
      <c r="E612" s="48" t="s">
        <v>138</v>
      </c>
      <c r="F612" s="48" t="s">
        <v>139</v>
      </c>
      <c r="G612" s="49" t="s">
        <v>59</v>
      </c>
      <c r="H612" s="48" t="s">
        <v>160</v>
      </c>
      <c r="I612" s="48">
        <v>1</v>
      </c>
      <c r="J612" s="48">
        <v>204</v>
      </c>
      <c r="K612" s="48">
        <v>1</v>
      </c>
      <c r="N612" s="48">
        <v>0</v>
      </c>
      <c r="R612" s="49"/>
      <c r="S612" s="49"/>
      <c r="T612" s="49">
        <v>52139</v>
      </c>
      <c r="U612" s="49">
        <v>52139</v>
      </c>
      <c r="V612" s="49">
        <v>52139</v>
      </c>
      <c r="W612" s="49">
        <v>52139</v>
      </c>
      <c r="X612" s="48">
        <v>1</v>
      </c>
      <c r="Y612" s="48">
        <v>1</v>
      </c>
      <c r="Z612" s="48">
        <v>1</v>
      </c>
      <c r="AA612" s="156">
        <v>104.66523349196908</v>
      </c>
      <c r="AF612" s="48">
        <v>0</v>
      </c>
      <c r="AG612" s="49" t="s">
        <v>32</v>
      </c>
      <c r="AH612" s="48">
        <v>1</v>
      </c>
      <c r="AI612" s="48" t="s">
        <v>33</v>
      </c>
      <c r="AJ612" s="48" t="s">
        <v>33</v>
      </c>
      <c r="AK612" s="48" t="s">
        <v>33</v>
      </c>
      <c r="AL612" s="48" t="s">
        <v>34</v>
      </c>
      <c r="AN612" s="48">
        <v>0</v>
      </c>
      <c r="AO612" s="48">
        <v>0</v>
      </c>
      <c r="AP612" s="48">
        <v>0</v>
      </c>
      <c r="AQ612" s="48">
        <v>0</v>
      </c>
      <c r="AR612" s="48">
        <v>0</v>
      </c>
      <c r="AS612" s="48">
        <v>0</v>
      </c>
      <c r="AT612" s="48">
        <v>0</v>
      </c>
      <c r="AU612" s="48">
        <v>0</v>
      </c>
      <c r="AV612" s="48">
        <v>0</v>
      </c>
      <c r="AW612" s="48">
        <v>0</v>
      </c>
      <c r="AX612" s="48">
        <v>0</v>
      </c>
      <c r="AY612" s="48">
        <v>0</v>
      </c>
      <c r="AZ612" s="48">
        <v>0</v>
      </c>
      <c r="BA612" s="48">
        <v>0</v>
      </c>
      <c r="BB612" s="48">
        <v>0</v>
      </c>
    </row>
    <row r="613" spans="1:54" x14ac:dyDescent="0.35">
      <c r="A613" s="49">
        <v>45930</v>
      </c>
      <c r="B613" s="48">
        <v>1</v>
      </c>
      <c r="C613" s="50" t="s">
        <v>32</v>
      </c>
      <c r="D613" s="48" t="s">
        <v>31</v>
      </c>
      <c r="E613" s="48" t="s">
        <v>138</v>
      </c>
      <c r="F613" s="48" t="s">
        <v>139</v>
      </c>
      <c r="G613" s="49" t="s">
        <v>59</v>
      </c>
      <c r="H613" s="48" t="s">
        <v>160</v>
      </c>
      <c r="I613" s="48">
        <v>1</v>
      </c>
      <c r="J613" s="48">
        <v>205</v>
      </c>
      <c r="K613" s="48">
        <v>1</v>
      </c>
      <c r="N613" s="48">
        <v>0</v>
      </c>
      <c r="R613" s="49"/>
      <c r="S613" s="49"/>
      <c r="T613" s="49">
        <v>52170</v>
      </c>
      <c r="U613" s="49">
        <v>52170</v>
      </c>
      <c r="V613" s="49">
        <v>52170</v>
      </c>
      <c r="W613" s="49">
        <v>52170</v>
      </c>
      <c r="X613" s="48">
        <v>1</v>
      </c>
      <c r="Y613" s="48">
        <v>1</v>
      </c>
      <c r="Z613" s="48">
        <v>1</v>
      </c>
      <c r="AA613" s="156">
        <v>90.917367638310537</v>
      </c>
      <c r="AF613" s="48">
        <v>0</v>
      </c>
      <c r="AG613" s="49" t="s">
        <v>32</v>
      </c>
      <c r="AH613" s="48">
        <v>1</v>
      </c>
      <c r="AI613" s="48" t="s">
        <v>33</v>
      </c>
      <c r="AJ613" s="48" t="s">
        <v>33</v>
      </c>
      <c r="AK613" s="48" t="s">
        <v>33</v>
      </c>
      <c r="AL613" s="48" t="s">
        <v>34</v>
      </c>
      <c r="AN613" s="48">
        <v>0</v>
      </c>
      <c r="AO613" s="48">
        <v>0</v>
      </c>
      <c r="AP613" s="48">
        <v>0</v>
      </c>
      <c r="AQ613" s="48">
        <v>0</v>
      </c>
      <c r="AR613" s="48">
        <v>0</v>
      </c>
      <c r="AS613" s="48">
        <v>0</v>
      </c>
      <c r="AT613" s="48">
        <v>0</v>
      </c>
      <c r="AU613" s="48">
        <v>0</v>
      </c>
      <c r="AV613" s="48">
        <v>0</v>
      </c>
      <c r="AW613" s="48">
        <v>0</v>
      </c>
      <c r="AX613" s="48">
        <v>0</v>
      </c>
      <c r="AY613" s="48">
        <v>0</v>
      </c>
      <c r="AZ613" s="48">
        <v>0</v>
      </c>
      <c r="BA613" s="48">
        <v>0</v>
      </c>
      <c r="BB613" s="48">
        <v>0</v>
      </c>
    </row>
    <row r="614" spans="1:54" x14ac:dyDescent="0.35">
      <c r="A614" s="49">
        <v>45930</v>
      </c>
      <c r="B614" s="48">
        <v>1</v>
      </c>
      <c r="C614" s="50" t="s">
        <v>32</v>
      </c>
      <c r="D614" s="48" t="s">
        <v>31</v>
      </c>
      <c r="E614" s="48" t="s">
        <v>138</v>
      </c>
      <c r="F614" s="48" t="s">
        <v>139</v>
      </c>
      <c r="G614" s="49" t="s">
        <v>59</v>
      </c>
      <c r="H614" s="48" t="s">
        <v>160</v>
      </c>
      <c r="I614" s="48">
        <v>1</v>
      </c>
      <c r="J614" s="48">
        <v>206</v>
      </c>
      <c r="K614" s="48">
        <v>1</v>
      </c>
      <c r="N614" s="48">
        <v>0</v>
      </c>
      <c r="R614" s="49"/>
      <c r="S614" s="49"/>
      <c r="T614" s="49">
        <v>52200</v>
      </c>
      <c r="U614" s="49">
        <v>52200</v>
      </c>
      <c r="V614" s="49">
        <v>52200</v>
      </c>
      <c r="W614" s="49">
        <v>52200</v>
      </c>
      <c r="X614" s="48">
        <v>1</v>
      </c>
      <c r="Y614" s="48">
        <v>1</v>
      </c>
      <c r="Z614" s="48">
        <v>1</v>
      </c>
      <c r="AA614" s="156">
        <v>0</v>
      </c>
      <c r="AF614" s="48">
        <v>0</v>
      </c>
      <c r="AG614" s="49" t="s">
        <v>32</v>
      </c>
      <c r="AH614" s="48">
        <v>1</v>
      </c>
      <c r="AI614" s="48" t="s">
        <v>33</v>
      </c>
      <c r="AJ614" s="48" t="s">
        <v>33</v>
      </c>
      <c r="AK614" s="48" t="s">
        <v>33</v>
      </c>
      <c r="AL614" s="48" t="s">
        <v>34</v>
      </c>
      <c r="AN614" s="48">
        <v>0</v>
      </c>
      <c r="AO614" s="48">
        <v>0</v>
      </c>
      <c r="AP614" s="48">
        <v>0</v>
      </c>
      <c r="AQ614" s="48">
        <v>0</v>
      </c>
      <c r="AR614" s="48">
        <v>0</v>
      </c>
      <c r="AS614" s="48">
        <v>0</v>
      </c>
      <c r="AT614" s="48">
        <v>0</v>
      </c>
      <c r="AU614" s="48">
        <v>0</v>
      </c>
      <c r="AV614" s="48">
        <v>0</v>
      </c>
      <c r="AW614" s="48">
        <v>0</v>
      </c>
      <c r="AX614" s="48">
        <v>0</v>
      </c>
      <c r="AY614" s="48">
        <v>0</v>
      </c>
      <c r="AZ614" s="48">
        <v>0</v>
      </c>
      <c r="BA614" s="48">
        <v>0</v>
      </c>
      <c r="BB614" s="48">
        <v>0</v>
      </c>
    </row>
    <row r="615" spans="1:54" x14ac:dyDescent="0.35">
      <c r="A615" s="49">
        <v>45930</v>
      </c>
      <c r="B615" s="48">
        <v>1</v>
      </c>
      <c r="C615" s="50" t="s">
        <v>32</v>
      </c>
      <c r="D615" s="48" t="s">
        <v>31</v>
      </c>
      <c r="E615" s="48" t="s">
        <v>138</v>
      </c>
      <c r="F615" s="48" t="s">
        <v>139</v>
      </c>
      <c r="G615" s="49" t="s">
        <v>59</v>
      </c>
      <c r="H615" s="48" t="s">
        <v>160</v>
      </c>
      <c r="I615" s="48">
        <v>1</v>
      </c>
      <c r="J615" s="48">
        <v>207</v>
      </c>
      <c r="K615" s="48">
        <v>1</v>
      </c>
      <c r="N615" s="48">
        <v>0</v>
      </c>
      <c r="R615" s="49"/>
      <c r="S615" s="49"/>
      <c r="T615" s="49">
        <v>52231</v>
      </c>
      <c r="U615" s="49">
        <v>52231</v>
      </c>
      <c r="V615" s="49">
        <v>52231</v>
      </c>
      <c r="W615" s="49">
        <v>52231</v>
      </c>
      <c r="X615" s="48">
        <v>1</v>
      </c>
      <c r="Y615" s="48">
        <v>1</v>
      </c>
      <c r="Z615" s="48">
        <v>1</v>
      </c>
      <c r="AA615" s="156">
        <v>0</v>
      </c>
      <c r="AF615" s="48">
        <v>0</v>
      </c>
      <c r="AG615" s="49" t="s">
        <v>32</v>
      </c>
      <c r="AH615" s="48">
        <v>1</v>
      </c>
      <c r="AI615" s="48" t="s">
        <v>33</v>
      </c>
      <c r="AJ615" s="48" t="s">
        <v>33</v>
      </c>
      <c r="AK615" s="48" t="s">
        <v>33</v>
      </c>
      <c r="AL615" s="48" t="s">
        <v>34</v>
      </c>
      <c r="AN615" s="48">
        <v>0</v>
      </c>
      <c r="AO615" s="48">
        <v>0</v>
      </c>
      <c r="AP615" s="48">
        <v>0</v>
      </c>
      <c r="AQ615" s="48">
        <v>0</v>
      </c>
      <c r="AR615" s="48">
        <v>0</v>
      </c>
      <c r="AS615" s="48">
        <v>0</v>
      </c>
      <c r="AT615" s="48">
        <v>0</v>
      </c>
      <c r="AU615" s="48">
        <v>0</v>
      </c>
      <c r="AV615" s="48">
        <v>0</v>
      </c>
      <c r="AW615" s="48">
        <v>0</v>
      </c>
      <c r="AX615" s="48">
        <v>0</v>
      </c>
      <c r="AY615" s="48">
        <v>0</v>
      </c>
      <c r="AZ615" s="48">
        <v>0</v>
      </c>
      <c r="BA615" s="48">
        <v>0</v>
      </c>
      <c r="BB615" s="48">
        <v>0</v>
      </c>
    </row>
    <row r="616" spans="1:54" x14ac:dyDescent="0.35">
      <c r="A616" s="49">
        <v>45930</v>
      </c>
      <c r="B616" s="48">
        <v>1</v>
      </c>
      <c r="C616" s="50" t="s">
        <v>32</v>
      </c>
      <c r="D616" s="48" t="s">
        <v>31</v>
      </c>
      <c r="E616" s="48" t="s">
        <v>138</v>
      </c>
      <c r="F616" s="48" t="s">
        <v>139</v>
      </c>
      <c r="G616" s="49" t="s">
        <v>59</v>
      </c>
      <c r="H616" s="48" t="s">
        <v>160</v>
      </c>
      <c r="I616" s="48">
        <v>1</v>
      </c>
      <c r="J616" s="48">
        <v>208</v>
      </c>
      <c r="K616" s="48">
        <v>1</v>
      </c>
      <c r="N616" s="48">
        <v>0</v>
      </c>
      <c r="R616" s="49"/>
      <c r="S616" s="49"/>
      <c r="T616" s="49">
        <v>52262</v>
      </c>
      <c r="U616" s="49">
        <v>52262</v>
      </c>
      <c r="V616" s="49">
        <v>52262</v>
      </c>
      <c r="W616" s="49">
        <v>52262</v>
      </c>
      <c r="X616" s="48">
        <v>1</v>
      </c>
      <c r="Y616" s="48">
        <v>1</v>
      </c>
      <c r="Z616" s="48">
        <v>1</v>
      </c>
      <c r="AA616" s="156">
        <v>0</v>
      </c>
      <c r="AF616" s="48">
        <v>0</v>
      </c>
      <c r="AG616" s="49" t="s">
        <v>32</v>
      </c>
      <c r="AH616" s="48">
        <v>1</v>
      </c>
      <c r="AI616" s="48" t="s">
        <v>33</v>
      </c>
      <c r="AJ616" s="48" t="s">
        <v>33</v>
      </c>
      <c r="AK616" s="48" t="s">
        <v>33</v>
      </c>
      <c r="AL616" s="48" t="s">
        <v>34</v>
      </c>
      <c r="AN616" s="48">
        <v>0</v>
      </c>
      <c r="AO616" s="48">
        <v>0</v>
      </c>
      <c r="AP616" s="48">
        <v>0</v>
      </c>
      <c r="AQ616" s="48">
        <v>0</v>
      </c>
      <c r="AR616" s="48">
        <v>0</v>
      </c>
      <c r="AS616" s="48">
        <v>0</v>
      </c>
      <c r="AT616" s="48">
        <v>0</v>
      </c>
      <c r="AU616" s="48">
        <v>0</v>
      </c>
      <c r="AV616" s="48">
        <v>0</v>
      </c>
      <c r="AW616" s="48">
        <v>0</v>
      </c>
      <c r="AX616" s="48">
        <v>0</v>
      </c>
      <c r="AY616" s="48">
        <v>0</v>
      </c>
      <c r="AZ616" s="48">
        <v>0</v>
      </c>
      <c r="BA616" s="48">
        <v>0</v>
      </c>
      <c r="BB616" s="48">
        <v>0</v>
      </c>
    </row>
    <row r="617" spans="1:54" x14ac:dyDescent="0.35">
      <c r="A617" s="49">
        <v>45930</v>
      </c>
      <c r="B617" s="48">
        <v>1</v>
      </c>
      <c r="C617" s="50" t="s">
        <v>32</v>
      </c>
      <c r="D617" s="48" t="s">
        <v>31</v>
      </c>
      <c r="E617" s="48" t="s">
        <v>138</v>
      </c>
      <c r="F617" s="48" t="s">
        <v>139</v>
      </c>
      <c r="G617" s="49" t="s">
        <v>59</v>
      </c>
      <c r="H617" s="48" t="s">
        <v>160</v>
      </c>
      <c r="I617" s="48">
        <v>1</v>
      </c>
      <c r="J617" s="48">
        <v>209</v>
      </c>
      <c r="K617" s="48">
        <v>1</v>
      </c>
      <c r="N617" s="48">
        <v>0</v>
      </c>
      <c r="R617" s="49"/>
      <c r="S617" s="49"/>
      <c r="T617" s="49">
        <v>52290</v>
      </c>
      <c r="U617" s="49">
        <v>52290</v>
      </c>
      <c r="V617" s="49">
        <v>52290</v>
      </c>
      <c r="W617" s="49">
        <v>52290</v>
      </c>
      <c r="X617" s="48">
        <v>1</v>
      </c>
      <c r="Y617" s="48">
        <v>1</v>
      </c>
      <c r="Z617" s="48">
        <v>1</v>
      </c>
      <c r="AA617" s="156">
        <v>0</v>
      </c>
      <c r="AF617" s="48">
        <v>0</v>
      </c>
      <c r="AG617" s="49" t="s">
        <v>32</v>
      </c>
      <c r="AH617" s="48">
        <v>1</v>
      </c>
      <c r="AI617" s="48" t="s">
        <v>33</v>
      </c>
      <c r="AJ617" s="48" t="s">
        <v>33</v>
      </c>
      <c r="AK617" s="48" t="s">
        <v>33</v>
      </c>
      <c r="AL617" s="48" t="s">
        <v>34</v>
      </c>
      <c r="AN617" s="48">
        <v>0</v>
      </c>
      <c r="AO617" s="48">
        <v>0</v>
      </c>
      <c r="AP617" s="48">
        <v>0</v>
      </c>
      <c r="AQ617" s="48">
        <v>0</v>
      </c>
      <c r="AR617" s="48">
        <v>0</v>
      </c>
      <c r="AS617" s="48">
        <v>0</v>
      </c>
      <c r="AT617" s="48">
        <v>0</v>
      </c>
      <c r="AU617" s="48">
        <v>0</v>
      </c>
      <c r="AV617" s="48">
        <v>0</v>
      </c>
      <c r="AW617" s="48">
        <v>0</v>
      </c>
      <c r="AX617" s="48">
        <v>0</v>
      </c>
      <c r="AY617" s="48">
        <v>0</v>
      </c>
      <c r="AZ617" s="48">
        <v>0</v>
      </c>
      <c r="BA617" s="48">
        <v>0</v>
      </c>
      <c r="BB617" s="48">
        <v>0</v>
      </c>
    </row>
    <row r="618" spans="1:54" x14ac:dyDescent="0.35">
      <c r="A618" s="49">
        <v>45930</v>
      </c>
      <c r="B618" s="48">
        <v>1</v>
      </c>
      <c r="C618" s="50" t="s">
        <v>32</v>
      </c>
      <c r="D618" s="48" t="s">
        <v>31</v>
      </c>
      <c r="E618" s="48" t="s">
        <v>138</v>
      </c>
      <c r="F618" s="48" t="s">
        <v>139</v>
      </c>
      <c r="G618" s="49" t="s">
        <v>59</v>
      </c>
      <c r="H618" s="48" t="s">
        <v>160</v>
      </c>
      <c r="I618" s="48">
        <v>1</v>
      </c>
      <c r="J618" s="48">
        <v>210</v>
      </c>
      <c r="K618" s="48">
        <v>1</v>
      </c>
      <c r="N618" s="48">
        <v>0</v>
      </c>
      <c r="R618" s="49"/>
      <c r="S618" s="49"/>
      <c r="T618" s="49">
        <v>52321</v>
      </c>
      <c r="U618" s="49">
        <v>52321</v>
      </c>
      <c r="V618" s="49">
        <v>52321</v>
      </c>
      <c r="W618" s="49">
        <v>52321</v>
      </c>
      <c r="X618" s="48">
        <v>1</v>
      </c>
      <c r="Y618" s="48">
        <v>1</v>
      </c>
      <c r="Z618" s="48">
        <v>1</v>
      </c>
      <c r="AA618" s="156">
        <v>0</v>
      </c>
      <c r="AF618" s="48">
        <v>0</v>
      </c>
      <c r="AG618" s="49" t="s">
        <v>32</v>
      </c>
      <c r="AH618" s="48">
        <v>1</v>
      </c>
      <c r="AI618" s="48" t="s">
        <v>33</v>
      </c>
      <c r="AJ618" s="48" t="s">
        <v>33</v>
      </c>
      <c r="AK618" s="48" t="s">
        <v>33</v>
      </c>
      <c r="AL618" s="48" t="s">
        <v>34</v>
      </c>
      <c r="AN618" s="48">
        <v>0</v>
      </c>
      <c r="AO618" s="48">
        <v>0</v>
      </c>
      <c r="AP618" s="48">
        <v>0</v>
      </c>
      <c r="AQ618" s="48">
        <v>0</v>
      </c>
      <c r="AR618" s="48">
        <v>0</v>
      </c>
      <c r="AS618" s="48">
        <v>0</v>
      </c>
      <c r="AT618" s="48">
        <v>0</v>
      </c>
      <c r="AU618" s="48">
        <v>0</v>
      </c>
      <c r="AV618" s="48">
        <v>0</v>
      </c>
      <c r="AW618" s="48">
        <v>0</v>
      </c>
      <c r="AX618" s="48">
        <v>0</v>
      </c>
      <c r="AY618" s="48">
        <v>0</v>
      </c>
      <c r="AZ618" s="48">
        <v>0</v>
      </c>
      <c r="BA618" s="48">
        <v>0</v>
      </c>
      <c r="BB618" s="48">
        <v>0</v>
      </c>
    </row>
    <row r="619" spans="1:54" x14ac:dyDescent="0.35">
      <c r="A619" s="49">
        <v>45930</v>
      </c>
      <c r="B619" s="48">
        <v>1</v>
      </c>
      <c r="C619" s="50" t="s">
        <v>32</v>
      </c>
      <c r="D619" s="48" t="s">
        <v>31</v>
      </c>
      <c r="E619" s="48" t="s">
        <v>138</v>
      </c>
      <c r="F619" s="48" t="s">
        <v>139</v>
      </c>
      <c r="G619" s="49" t="s">
        <v>59</v>
      </c>
      <c r="H619" s="48" t="s">
        <v>160</v>
      </c>
      <c r="I619" s="48">
        <v>1</v>
      </c>
      <c r="J619" s="48">
        <v>211</v>
      </c>
      <c r="K619" s="48">
        <v>1</v>
      </c>
      <c r="N619" s="48">
        <v>0</v>
      </c>
      <c r="R619" s="49"/>
      <c r="S619" s="49"/>
      <c r="T619" s="49">
        <v>52351</v>
      </c>
      <c r="U619" s="49">
        <v>52351</v>
      </c>
      <c r="V619" s="49">
        <v>52351</v>
      </c>
      <c r="W619" s="49">
        <v>52351</v>
      </c>
      <c r="X619" s="48">
        <v>1</v>
      </c>
      <c r="Y619" s="48">
        <v>1</v>
      </c>
      <c r="Z619" s="48">
        <v>1</v>
      </c>
      <c r="AA619" s="156">
        <v>0</v>
      </c>
      <c r="AF619" s="48">
        <v>0</v>
      </c>
      <c r="AG619" s="49" t="s">
        <v>32</v>
      </c>
      <c r="AH619" s="48">
        <v>1</v>
      </c>
      <c r="AI619" s="48" t="s">
        <v>33</v>
      </c>
      <c r="AJ619" s="48" t="s">
        <v>33</v>
      </c>
      <c r="AK619" s="48" t="s">
        <v>33</v>
      </c>
      <c r="AL619" s="48" t="s">
        <v>34</v>
      </c>
      <c r="AN619" s="48">
        <v>0</v>
      </c>
      <c r="AO619" s="48">
        <v>0</v>
      </c>
      <c r="AP619" s="48">
        <v>0</v>
      </c>
      <c r="AQ619" s="48">
        <v>0</v>
      </c>
      <c r="AR619" s="48">
        <v>0</v>
      </c>
      <c r="AS619" s="48">
        <v>0</v>
      </c>
      <c r="AT619" s="48">
        <v>0</v>
      </c>
      <c r="AU619" s="48">
        <v>0</v>
      </c>
      <c r="AV619" s="48">
        <v>0</v>
      </c>
      <c r="AW619" s="48">
        <v>0</v>
      </c>
      <c r="AX619" s="48">
        <v>0</v>
      </c>
      <c r="AY619" s="48">
        <v>0</v>
      </c>
      <c r="AZ619" s="48">
        <v>0</v>
      </c>
      <c r="BA619" s="48">
        <v>0</v>
      </c>
      <c r="BB619" s="48">
        <v>0</v>
      </c>
    </row>
    <row r="620" spans="1:54" x14ac:dyDescent="0.35">
      <c r="A620" s="49">
        <v>45930</v>
      </c>
      <c r="B620" s="48">
        <v>1</v>
      </c>
      <c r="C620" s="50" t="s">
        <v>32</v>
      </c>
      <c r="D620" s="48" t="s">
        <v>31</v>
      </c>
      <c r="E620" s="48" t="s">
        <v>138</v>
      </c>
      <c r="F620" s="48" t="s">
        <v>139</v>
      </c>
      <c r="G620" s="49" t="s">
        <v>59</v>
      </c>
      <c r="H620" s="48" t="s">
        <v>160</v>
      </c>
      <c r="I620" s="48">
        <v>1</v>
      </c>
      <c r="J620" s="48">
        <v>212</v>
      </c>
      <c r="K620" s="48">
        <v>1</v>
      </c>
      <c r="N620" s="48">
        <v>0</v>
      </c>
      <c r="R620" s="49"/>
      <c r="S620" s="49"/>
      <c r="T620" s="49">
        <v>52382</v>
      </c>
      <c r="U620" s="49">
        <v>52382</v>
      </c>
      <c r="V620" s="49">
        <v>52382</v>
      </c>
      <c r="W620" s="49">
        <v>52382</v>
      </c>
      <c r="X620" s="48">
        <v>1</v>
      </c>
      <c r="Y620" s="48">
        <v>1</v>
      </c>
      <c r="Z620" s="48">
        <v>1</v>
      </c>
      <c r="AA620" s="156">
        <v>0</v>
      </c>
      <c r="AF620" s="48">
        <v>0</v>
      </c>
      <c r="AG620" s="49" t="s">
        <v>32</v>
      </c>
      <c r="AH620" s="48">
        <v>1</v>
      </c>
      <c r="AI620" s="48" t="s">
        <v>33</v>
      </c>
      <c r="AJ620" s="48" t="s">
        <v>33</v>
      </c>
      <c r="AK620" s="48" t="s">
        <v>33</v>
      </c>
      <c r="AL620" s="48" t="s">
        <v>34</v>
      </c>
      <c r="AN620" s="48">
        <v>0</v>
      </c>
      <c r="AO620" s="48">
        <v>0</v>
      </c>
      <c r="AP620" s="48">
        <v>0</v>
      </c>
      <c r="AQ620" s="48">
        <v>0</v>
      </c>
      <c r="AR620" s="48">
        <v>0</v>
      </c>
      <c r="AS620" s="48">
        <v>0</v>
      </c>
      <c r="AT620" s="48">
        <v>0</v>
      </c>
      <c r="AU620" s="48">
        <v>0</v>
      </c>
      <c r="AV620" s="48">
        <v>0</v>
      </c>
      <c r="AW620" s="48">
        <v>0</v>
      </c>
      <c r="AX620" s="48">
        <v>0</v>
      </c>
      <c r="AY620" s="48">
        <v>0</v>
      </c>
      <c r="AZ620" s="48">
        <v>0</v>
      </c>
      <c r="BA620" s="48">
        <v>0</v>
      </c>
      <c r="BB620" s="48">
        <v>0</v>
      </c>
    </row>
    <row r="621" spans="1:54" x14ac:dyDescent="0.35">
      <c r="A621" s="49">
        <v>45930</v>
      </c>
      <c r="B621" s="48">
        <v>1</v>
      </c>
      <c r="C621" s="50" t="s">
        <v>32</v>
      </c>
      <c r="D621" s="48" t="s">
        <v>31</v>
      </c>
      <c r="E621" s="48" t="s">
        <v>138</v>
      </c>
      <c r="F621" s="48" t="s">
        <v>139</v>
      </c>
      <c r="G621" s="49" t="s">
        <v>59</v>
      </c>
      <c r="H621" s="48" t="s">
        <v>160</v>
      </c>
      <c r="I621" s="48">
        <v>1</v>
      </c>
      <c r="J621" s="48">
        <v>213</v>
      </c>
      <c r="K621" s="48">
        <v>1</v>
      </c>
      <c r="N621" s="48">
        <v>0</v>
      </c>
      <c r="R621" s="49"/>
      <c r="S621" s="49"/>
      <c r="T621" s="49">
        <v>52412</v>
      </c>
      <c r="U621" s="49">
        <v>52412</v>
      </c>
      <c r="V621" s="49">
        <v>52412</v>
      </c>
      <c r="W621" s="49">
        <v>52412</v>
      </c>
      <c r="X621" s="48">
        <v>1</v>
      </c>
      <c r="Y621" s="48">
        <v>1</v>
      </c>
      <c r="Z621" s="48">
        <v>1</v>
      </c>
      <c r="AA621" s="156">
        <v>0</v>
      </c>
      <c r="AF621" s="48">
        <v>0</v>
      </c>
      <c r="AG621" s="49" t="s">
        <v>32</v>
      </c>
      <c r="AH621" s="48">
        <v>1</v>
      </c>
      <c r="AI621" s="48" t="s">
        <v>33</v>
      </c>
      <c r="AJ621" s="48" t="s">
        <v>33</v>
      </c>
      <c r="AK621" s="48" t="s">
        <v>33</v>
      </c>
      <c r="AL621" s="48" t="s">
        <v>34</v>
      </c>
      <c r="AN621" s="48">
        <v>0</v>
      </c>
      <c r="AO621" s="48">
        <v>0</v>
      </c>
      <c r="AP621" s="48">
        <v>0</v>
      </c>
      <c r="AQ621" s="48">
        <v>0</v>
      </c>
      <c r="AR621" s="48">
        <v>0</v>
      </c>
      <c r="AS621" s="48">
        <v>0</v>
      </c>
      <c r="AT621" s="48">
        <v>0</v>
      </c>
      <c r="AU621" s="48">
        <v>0</v>
      </c>
      <c r="AV621" s="48">
        <v>0</v>
      </c>
      <c r="AW621" s="48">
        <v>0</v>
      </c>
      <c r="AX621" s="48">
        <v>0</v>
      </c>
      <c r="AY621" s="48">
        <v>0</v>
      </c>
      <c r="AZ621" s="48">
        <v>0</v>
      </c>
      <c r="BA621" s="48">
        <v>0</v>
      </c>
      <c r="BB621" s="48">
        <v>0</v>
      </c>
    </row>
    <row r="622" spans="1:54" x14ac:dyDescent="0.35">
      <c r="A622" s="49">
        <v>45930</v>
      </c>
      <c r="B622" s="48">
        <v>1</v>
      </c>
      <c r="C622" s="50" t="s">
        <v>32</v>
      </c>
      <c r="D622" s="48" t="s">
        <v>31</v>
      </c>
      <c r="E622" s="48" t="s">
        <v>138</v>
      </c>
      <c r="F622" s="48" t="s">
        <v>139</v>
      </c>
      <c r="G622" s="49" t="s">
        <v>59</v>
      </c>
      <c r="H622" s="48" t="s">
        <v>160</v>
      </c>
      <c r="I622" s="48">
        <v>1</v>
      </c>
      <c r="J622" s="48">
        <v>214</v>
      </c>
      <c r="K622" s="48">
        <v>1</v>
      </c>
      <c r="N622" s="48">
        <v>0</v>
      </c>
      <c r="R622" s="49"/>
      <c r="S622" s="49"/>
      <c r="T622" s="49">
        <v>52443</v>
      </c>
      <c r="U622" s="49">
        <v>52443</v>
      </c>
      <c r="V622" s="49">
        <v>52443</v>
      </c>
      <c r="W622" s="49">
        <v>52443</v>
      </c>
      <c r="X622" s="48">
        <v>1</v>
      </c>
      <c r="Y622" s="48">
        <v>1</v>
      </c>
      <c r="Z622" s="48">
        <v>1</v>
      </c>
      <c r="AA622" s="156">
        <v>0</v>
      </c>
      <c r="AF622" s="48">
        <v>0</v>
      </c>
      <c r="AG622" s="49" t="s">
        <v>32</v>
      </c>
      <c r="AH622" s="48">
        <v>1</v>
      </c>
      <c r="AI622" s="48" t="s">
        <v>33</v>
      </c>
      <c r="AJ622" s="48" t="s">
        <v>33</v>
      </c>
      <c r="AK622" s="48" t="s">
        <v>33</v>
      </c>
      <c r="AL622" s="48" t="s">
        <v>34</v>
      </c>
      <c r="AN622" s="48">
        <v>0</v>
      </c>
      <c r="AO622" s="48">
        <v>0</v>
      </c>
      <c r="AP622" s="48">
        <v>0</v>
      </c>
      <c r="AQ622" s="48">
        <v>0</v>
      </c>
      <c r="AR622" s="48">
        <v>0</v>
      </c>
      <c r="AS622" s="48">
        <v>0</v>
      </c>
      <c r="AT622" s="48">
        <v>0</v>
      </c>
      <c r="AU622" s="48">
        <v>0</v>
      </c>
      <c r="AV622" s="48">
        <v>0</v>
      </c>
      <c r="AW622" s="48">
        <v>0</v>
      </c>
      <c r="AX622" s="48">
        <v>0</v>
      </c>
      <c r="AY622" s="48">
        <v>0</v>
      </c>
      <c r="AZ622" s="48">
        <v>0</v>
      </c>
      <c r="BA622" s="48">
        <v>0</v>
      </c>
      <c r="BB622" s="48">
        <v>0</v>
      </c>
    </row>
    <row r="623" spans="1:54" x14ac:dyDescent="0.35">
      <c r="A623" s="49">
        <v>45930</v>
      </c>
      <c r="B623" s="48">
        <v>1</v>
      </c>
      <c r="C623" s="50" t="s">
        <v>32</v>
      </c>
      <c r="D623" s="48" t="s">
        <v>31</v>
      </c>
      <c r="E623" s="48" t="s">
        <v>138</v>
      </c>
      <c r="F623" s="48" t="s">
        <v>139</v>
      </c>
      <c r="G623" s="49" t="s">
        <v>59</v>
      </c>
      <c r="H623" s="48" t="s">
        <v>160</v>
      </c>
      <c r="I623" s="48">
        <v>1</v>
      </c>
      <c r="J623" s="48">
        <v>215</v>
      </c>
      <c r="K623" s="48">
        <v>1</v>
      </c>
      <c r="N623" s="48">
        <v>0</v>
      </c>
      <c r="R623" s="49"/>
      <c r="S623" s="49"/>
      <c r="T623" s="49">
        <v>52474</v>
      </c>
      <c r="U623" s="49">
        <v>52474</v>
      </c>
      <c r="V623" s="49">
        <v>52474</v>
      </c>
      <c r="W623" s="49">
        <v>52474</v>
      </c>
      <c r="X623" s="48">
        <v>1</v>
      </c>
      <c r="Y623" s="48">
        <v>1</v>
      </c>
      <c r="Z623" s="48">
        <v>1</v>
      </c>
      <c r="AA623" s="156">
        <v>0</v>
      </c>
      <c r="AF623" s="48">
        <v>0</v>
      </c>
      <c r="AG623" s="49" t="s">
        <v>32</v>
      </c>
      <c r="AH623" s="48">
        <v>1</v>
      </c>
      <c r="AI623" s="48" t="s">
        <v>33</v>
      </c>
      <c r="AJ623" s="48" t="s">
        <v>33</v>
      </c>
      <c r="AK623" s="48" t="s">
        <v>33</v>
      </c>
      <c r="AL623" s="48" t="s">
        <v>34</v>
      </c>
      <c r="AN623" s="48">
        <v>0</v>
      </c>
      <c r="AO623" s="48">
        <v>0</v>
      </c>
      <c r="AP623" s="48">
        <v>0</v>
      </c>
      <c r="AQ623" s="48">
        <v>0</v>
      </c>
      <c r="AR623" s="48">
        <v>0</v>
      </c>
      <c r="AS623" s="48">
        <v>0</v>
      </c>
      <c r="AT623" s="48">
        <v>0</v>
      </c>
      <c r="AU623" s="48">
        <v>0</v>
      </c>
      <c r="AV623" s="48">
        <v>0</v>
      </c>
      <c r="AW623" s="48">
        <v>0</v>
      </c>
      <c r="AX623" s="48">
        <v>0</v>
      </c>
      <c r="AY623" s="48">
        <v>0</v>
      </c>
      <c r="AZ623" s="48">
        <v>0</v>
      </c>
      <c r="BA623" s="48">
        <v>0</v>
      </c>
      <c r="BB623" s="48">
        <v>0</v>
      </c>
    </row>
    <row r="624" spans="1:54" x14ac:dyDescent="0.35">
      <c r="A624" s="49">
        <v>45930</v>
      </c>
      <c r="B624" s="48">
        <v>1</v>
      </c>
      <c r="C624" s="50" t="s">
        <v>32</v>
      </c>
      <c r="D624" s="48" t="s">
        <v>31</v>
      </c>
      <c r="E624" s="48" t="s">
        <v>138</v>
      </c>
      <c r="F624" s="48" t="s">
        <v>139</v>
      </c>
      <c r="G624" s="49" t="s">
        <v>59</v>
      </c>
      <c r="H624" s="48" t="s">
        <v>160</v>
      </c>
      <c r="I624" s="48">
        <v>1</v>
      </c>
      <c r="J624" s="48">
        <v>216</v>
      </c>
      <c r="K624" s="48">
        <v>1</v>
      </c>
      <c r="N624" s="48">
        <v>0</v>
      </c>
      <c r="R624" s="49"/>
      <c r="S624" s="49"/>
      <c r="T624" s="49">
        <v>52504</v>
      </c>
      <c r="U624" s="49">
        <v>52504</v>
      </c>
      <c r="V624" s="49">
        <v>52504</v>
      </c>
      <c r="W624" s="49">
        <v>52504</v>
      </c>
      <c r="X624" s="48">
        <v>1</v>
      </c>
      <c r="Y624" s="48">
        <v>1</v>
      </c>
      <c r="Z624" s="48">
        <v>1</v>
      </c>
      <c r="AA624" s="156">
        <v>0</v>
      </c>
      <c r="AF624" s="48">
        <v>0</v>
      </c>
      <c r="AG624" s="49" t="s">
        <v>32</v>
      </c>
      <c r="AH624" s="48">
        <v>1</v>
      </c>
      <c r="AI624" s="48" t="s">
        <v>33</v>
      </c>
      <c r="AJ624" s="48" t="s">
        <v>33</v>
      </c>
      <c r="AK624" s="48" t="s">
        <v>33</v>
      </c>
      <c r="AL624" s="48" t="s">
        <v>34</v>
      </c>
      <c r="AN624" s="48">
        <v>0</v>
      </c>
      <c r="AO624" s="48">
        <v>0</v>
      </c>
      <c r="AP624" s="48">
        <v>0</v>
      </c>
      <c r="AQ624" s="48">
        <v>0</v>
      </c>
      <c r="AR624" s="48">
        <v>0</v>
      </c>
      <c r="AS624" s="48">
        <v>0</v>
      </c>
      <c r="AT624" s="48">
        <v>0</v>
      </c>
      <c r="AU624" s="48">
        <v>0</v>
      </c>
      <c r="AV624" s="48">
        <v>0</v>
      </c>
      <c r="AW624" s="48">
        <v>0</v>
      </c>
      <c r="AX624" s="48">
        <v>0</v>
      </c>
      <c r="AY624" s="48">
        <v>0</v>
      </c>
      <c r="AZ624" s="48">
        <v>0</v>
      </c>
      <c r="BA624" s="48">
        <v>0</v>
      </c>
      <c r="BB624" s="48">
        <v>0</v>
      </c>
    </row>
    <row r="625" spans="1:54" x14ac:dyDescent="0.35">
      <c r="A625" s="49">
        <v>45930</v>
      </c>
      <c r="B625" s="48">
        <v>1</v>
      </c>
      <c r="C625" s="50" t="s">
        <v>32</v>
      </c>
      <c r="D625" s="48" t="s">
        <v>31</v>
      </c>
      <c r="E625" s="48" t="s">
        <v>138</v>
      </c>
      <c r="F625" s="48" t="s">
        <v>139</v>
      </c>
      <c r="G625" s="49" t="s">
        <v>59</v>
      </c>
      <c r="H625" s="48" t="s">
        <v>161</v>
      </c>
      <c r="I625" s="48">
        <v>1</v>
      </c>
      <c r="J625" s="48">
        <v>217</v>
      </c>
      <c r="K625" s="48">
        <v>1</v>
      </c>
      <c r="N625" s="48">
        <v>0</v>
      </c>
      <c r="R625" s="49"/>
      <c r="S625" s="49"/>
      <c r="T625" s="49">
        <v>52535</v>
      </c>
      <c r="U625" s="49">
        <v>52535</v>
      </c>
      <c r="V625" s="49">
        <v>52535</v>
      </c>
      <c r="W625" s="49">
        <v>52535</v>
      </c>
      <c r="X625" s="48">
        <v>1</v>
      </c>
      <c r="Y625" s="48">
        <v>1</v>
      </c>
      <c r="Z625" s="48">
        <v>1</v>
      </c>
      <c r="AA625" s="156">
        <v>0</v>
      </c>
      <c r="AF625" s="48">
        <v>0</v>
      </c>
      <c r="AG625" s="49" t="s">
        <v>32</v>
      </c>
      <c r="AH625" s="48">
        <v>1</v>
      </c>
      <c r="AI625" s="48" t="s">
        <v>33</v>
      </c>
      <c r="AJ625" s="48" t="s">
        <v>33</v>
      </c>
      <c r="AK625" s="48" t="s">
        <v>33</v>
      </c>
      <c r="AL625" s="48" t="s">
        <v>34</v>
      </c>
      <c r="AN625" s="48">
        <v>0</v>
      </c>
      <c r="AO625" s="48">
        <v>0</v>
      </c>
      <c r="AP625" s="48">
        <v>0</v>
      </c>
      <c r="AQ625" s="48">
        <v>0</v>
      </c>
      <c r="AR625" s="48">
        <v>0</v>
      </c>
      <c r="AS625" s="48">
        <v>0</v>
      </c>
      <c r="AT625" s="48">
        <v>0</v>
      </c>
      <c r="AU625" s="48">
        <v>0</v>
      </c>
      <c r="AV625" s="48">
        <v>0</v>
      </c>
      <c r="AW625" s="48">
        <v>0</v>
      </c>
      <c r="AX625" s="48">
        <v>0</v>
      </c>
      <c r="AY625" s="48">
        <v>0</v>
      </c>
      <c r="AZ625" s="48">
        <v>0</v>
      </c>
      <c r="BA625" s="48">
        <v>0</v>
      </c>
      <c r="BB625" s="48">
        <v>0</v>
      </c>
    </row>
    <row r="626" spans="1:54" x14ac:dyDescent="0.35">
      <c r="A626" s="49">
        <v>45930</v>
      </c>
      <c r="B626" s="48">
        <v>1</v>
      </c>
      <c r="C626" s="50" t="s">
        <v>32</v>
      </c>
      <c r="D626" s="48" t="s">
        <v>31</v>
      </c>
      <c r="E626" s="48" t="s">
        <v>138</v>
      </c>
      <c r="F626" s="48" t="s">
        <v>139</v>
      </c>
      <c r="G626" s="49" t="s">
        <v>59</v>
      </c>
      <c r="H626" s="48" t="s">
        <v>161</v>
      </c>
      <c r="I626" s="48">
        <v>1</v>
      </c>
      <c r="J626" s="48">
        <v>218</v>
      </c>
      <c r="K626" s="48">
        <v>1</v>
      </c>
      <c r="N626" s="48">
        <v>0</v>
      </c>
      <c r="R626" s="49"/>
      <c r="S626" s="49"/>
      <c r="T626" s="49">
        <v>52565</v>
      </c>
      <c r="U626" s="49">
        <v>52565</v>
      </c>
      <c r="V626" s="49">
        <v>52565</v>
      </c>
      <c r="W626" s="49">
        <v>52565</v>
      </c>
      <c r="X626" s="48">
        <v>1</v>
      </c>
      <c r="Y626" s="48">
        <v>1</v>
      </c>
      <c r="Z626" s="48">
        <v>1</v>
      </c>
      <c r="AA626" s="156">
        <v>0</v>
      </c>
      <c r="AF626" s="48">
        <v>0</v>
      </c>
      <c r="AG626" s="49" t="s">
        <v>32</v>
      </c>
      <c r="AH626" s="48">
        <v>1</v>
      </c>
      <c r="AI626" s="48" t="s">
        <v>33</v>
      </c>
      <c r="AJ626" s="48" t="s">
        <v>33</v>
      </c>
      <c r="AK626" s="48" t="s">
        <v>33</v>
      </c>
      <c r="AL626" s="48" t="s">
        <v>34</v>
      </c>
      <c r="AN626" s="48">
        <v>0</v>
      </c>
      <c r="AO626" s="48">
        <v>0</v>
      </c>
      <c r="AP626" s="48">
        <v>0</v>
      </c>
      <c r="AQ626" s="48">
        <v>0</v>
      </c>
      <c r="AR626" s="48">
        <v>0</v>
      </c>
      <c r="AS626" s="48">
        <v>0</v>
      </c>
      <c r="AT626" s="48">
        <v>0</v>
      </c>
      <c r="AU626" s="48">
        <v>0</v>
      </c>
      <c r="AV626" s="48">
        <v>0</v>
      </c>
      <c r="AW626" s="48">
        <v>0</v>
      </c>
      <c r="AX626" s="48">
        <v>0</v>
      </c>
      <c r="AY626" s="48">
        <v>0</v>
      </c>
      <c r="AZ626" s="48">
        <v>0</v>
      </c>
      <c r="BA626" s="48">
        <v>0</v>
      </c>
      <c r="BB626" s="48">
        <v>0</v>
      </c>
    </row>
    <row r="627" spans="1:54" x14ac:dyDescent="0.35">
      <c r="A627" s="49">
        <v>45930</v>
      </c>
      <c r="B627" s="48">
        <v>1</v>
      </c>
      <c r="C627" s="50" t="s">
        <v>32</v>
      </c>
      <c r="D627" s="48" t="s">
        <v>31</v>
      </c>
      <c r="E627" s="48" t="s">
        <v>138</v>
      </c>
      <c r="F627" s="48" t="s">
        <v>139</v>
      </c>
      <c r="G627" s="49" t="s">
        <v>59</v>
      </c>
      <c r="H627" s="48" t="s">
        <v>161</v>
      </c>
      <c r="I627" s="48">
        <v>1</v>
      </c>
      <c r="J627" s="48">
        <v>219</v>
      </c>
      <c r="K627" s="48">
        <v>1</v>
      </c>
      <c r="N627" s="48">
        <v>0</v>
      </c>
      <c r="R627" s="49"/>
      <c r="S627" s="49"/>
      <c r="T627" s="49">
        <v>52596</v>
      </c>
      <c r="U627" s="49">
        <v>52596</v>
      </c>
      <c r="V627" s="49">
        <v>52596</v>
      </c>
      <c r="W627" s="49">
        <v>52596</v>
      </c>
      <c r="X627" s="48">
        <v>1</v>
      </c>
      <c r="Y627" s="48">
        <v>1</v>
      </c>
      <c r="Z627" s="48">
        <v>1</v>
      </c>
      <c r="AA627" s="156">
        <v>0</v>
      </c>
      <c r="AF627" s="48">
        <v>0</v>
      </c>
      <c r="AG627" s="49" t="s">
        <v>32</v>
      </c>
      <c r="AH627" s="48">
        <v>1</v>
      </c>
      <c r="AI627" s="48" t="s">
        <v>33</v>
      </c>
      <c r="AJ627" s="48" t="s">
        <v>33</v>
      </c>
      <c r="AK627" s="48" t="s">
        <v>33</v>
      </c>
      <c r="AL627" s="48" t="s">
        <v>34</v>
      </c>
      <c r="AN627" s="48">
        <v>0</v>
      </c>
      <c r="AO627" s="48">
        <v>0</v>
      </c>
      <c r="AP627" s="48">
        <v>0</v>
      </c>
      <c r="AQ627" s="48">
        <v>0</v>
      </c>
      <c r="AR627" s="48">
        <v>0</v>
      </c>
      <c r="AS627" s="48">
        <v>0</v>
      </c>
      <c r="AT627" s="48">
        <v>0</v>
      </c>
      <c r="AU627" s="48">
        <v>0</v>
      </c>
      <c r="AV627" s="48">
        <v>0</v>
      </c>
      <c r="AW627" s="48">
        <v>0</v>
      </c>
      <c r="AX627" s="48">
        <v>0</v>
      </c>
      <c r="AY627" s="48">
        <v>0</v>
      </c>
      <c r="AZ627" s="48">
        <v>0</v>
      </c>
      <c r="BA627" s="48">
        <v>0</v>
      </c>
      <c r="BB627" s="48">
        <v>0</v>
      </c>
    </row>
    <row r="628" spans="1:54" x14ac:dyDescent="0.35">
      <c r="A628" s="49">
        <v>45930</v>
      </c>
      <c r="B628" s="48">
        <v>1</v>
      </c>
      <c r="C628" s="50" t="s">
        <v>32</v>
      </c>
      <c r="D628" s="48" t="s">
        <v>31</v>
      </c>
      <c r="E628" s="48" t="s">
        <v>138</v>
      </c>
      <c r="F628" s="48" t="s">
        <v>139</v>
      </c>
      <c r="G628" s="49" t="s">
        <v>59</v>
      </c>
      <c r="H628" s="48" t="s">
        <v>161</v>
      </c>
      <c r="I628" s="48">
        <v>1</v>
      </c>
      <c r="J628" s="48">
        <v>220</v>
      </c>
      <c r="K628" s="48">
        <v>1</v>
      </c>
      <c r="N628" s="48">
        <v>0</v>
      </c>
      <c r="R628" s="49"/>
      <c r="S628" s="49"/>
      <c r="T628" s="49">
        <v>52627</v>
      </c>
      <c r="U628" s="49">
        <v>52627</v>
      </c>
      <c r="V628" s="49">
        <v>52627</v>
      </c>
      <c r="W628" s="49">
        <v>52627</v>
      </c>
      <c r="X628" s="48">
        <v>1</v>
      </c>
      <c r="Y628" s="48">
        <v>1</v>
      </c>
      <c r="Z628" s="48">
        <v>1</v>
      </c>
      <c r="AA628" s="156">
        <v>0</v>
      </c>
      <c r="AF628" s="48">
        <v>0</v>
      </c>
      <c r="AG628" s="49" t="s">
        <v>32</v>
      </c>
      <c r="AH628" s="48">
        <v>1</v>
      </c>
      <c r="AI628" s="48" t="s">
        <v>33</v>
      </c>
      <c r="AJ628" s="48" t="s">
        <v>33</v>
      </c>
      <c r="AK628" s="48" t="s">
        <v>33</v>
      </c>
      <c r="AL628" s="48" t="s">
        <v>34</v>
      </c>
      <c r="AN628" s="48">
        <v>0</v>
      </c>
      <c r="AO628" s="48">
        <v>0</v>
      </c>
      <c r="AP628" s="48">
        <v>0</v>
      </c>
      <c r="AQ628" s="48">
        <v>0</v>
      </c>
      <c r="AR628" s="48">
        <v>0</v>
      </c>
      <c r="AS628" s="48">
        <v>0</v>
      </c>
      <c r="AT628" s="48">
        <v>0</v>
      </c>
      <c r="AU628" s="48">
        <v>0</v>
      </c>
      <c r="AV628" s="48">
        <v>0</v>
      </c>
      <c r="AW628" s="48">
        <v>0</v>
      </c>
      <c r="AX628" s="48">
        <v>0</v>
      </c>
      <c r="AY628" s="48">
        <v>0</v>
      </c>
      <c r="AZ628" s="48">
        <v>0</v>
      </c>
      <c r="BA628" s="48">
        <v>0</v>
      </c>
      <c r="BB628" s="48">
        <v>0</v>
      </c>
    </row>
    <row r="629" spans="1:54" x14ac:dyDescent="0.35">
      <c r="A629" s="49">
        <v>45930</v>
      </c>
      <c r="B629" s="48">
        <v>1</v>
      </c>
      <c r="C629" s="50" t="s">
        <v>32</v>
      </c>
      <c r="D629" s="48" t="s">
        <v>31</v>
      </c>
      <c r="E629" s="48" t="s">
        <v>138</v>
      </c>
      <c r="F629" s="48" t="s">
        <v>139</v>
      </c>
      <c r="G629" s="49" t="s">
        <v>59</v>
      </c>
      <c r="H629" s="48" t="s">
        <v>161</v>
      </c>
      <c r="I629" s="48">
        <v>1</v>
      </c>
      <c r="J629" s="48">
        <v>221</v>
      </c>
      <c r="K629" s="48">
        <v>1</v>
      </c>
      <c r="N629" s="48">
        <v>0</v>
      </c>
      <c r="R629" s="49"/>
      <c r="S629" s="49"/>
      <c r="T629" s="49">
        <v>52656</v>
      </c>
      <c r="U629" s="49">
        <v>52656</v>
      </c>
      <c r="V629" s="49">
        <v>52656</v>
      </c>
      <c r="W629" s="49">
        <v>52656</v>
      </c>
      <c r="X629" s="48">
        <v>1</v>
      </c>
      <c r="Y629" s="48">
        <v>1</v>
      </c>
      <c r="Z629" s="48">
        <v>1</v>
      </c>
      <c r="AA629" s="156">
        <v>0</v>
      </c>
      <c r="AF629" s="48">
        <v>0</v>
      </c>
      <c r="AG629" s="49" t="s">
        <v>32</v>
      </c>
      <c r="AH629" s="48">
        <v>1</v>
      </c>
      <c r="AI629" s="48" t="s">
        <v>33</v>
      </c>
      <c r="AJ629" s="48" t="s">
        <v>33</v>
      </c>
      <c r="AK629" s="48" t="s">
        <v>33</v>
      </c>
      <c r="AL629" s="48" t="s">
        <v>34</v>
      </c>
      <c r="AN629" s="48">
        <v>0</v>
      </c>
      <c r="AO629" s="48">
        <v>0</v>
      </c>
      <c r="AP629" s="48">
        <v>0</v>
      </c>
      <c r="AQ629" s="48">
        <v>0</v>
      </c>
      <c r="AR629" s="48">
        <v>0</v>
      </c>
      <c r="AS629" s="48">
        <v>0</v>
      </c>
      <c r="AT629" s="48">
        <v>0</v>
      </c>
      <c r="AU629" s="48">
        <v>0</v>
      </c>
      <c r="AV629" s="48">
        <v>0</v>
      </c>
      <c r="AW629" s="48">
        <v>0</v>
      </c>
      <c r="AX629" s="48">
        <v>0</v>
      </c>
      <c r="AY629" s="48">
        <v>0</v>
      </c>
      <c r="AZ629" s="48">
        <v>0</v>
      </c>
      <c r="BA629" s="48">
        <v>0</v>
      </c>
      <c r="BB629" s="48">
        <v>0</v>
      </c>
    </row>
    <row r="630" spans="1:54" x14ac:dyDescent="0.35">
      <c r="A630" s="49">
        <v>45930</v>
      </c>
      <c r="B630" s="48">
        <v>1</v>
      </c>
      <c r="C630" s="50" t="s">
        <v>32</v>
      </c>
      <c r="D630" s="48" t="s">
        <v>31</v>
      </c>
      <c r="E630" s="48" t="s">
        <v>138</v>
      </c>
      <c r="F630" s="48" t="s">
        <v>139</v>
      </c>
      <c r="G630" s="49" t="s">
        <v>59</v>
      </c>
      <c r="H630" s="48" t="s">
        <v>161</v>
      </c>
      <c r="I630" s="48">
        <v>1</v>
      </c>
      <c r="J630" s="48">
        <v>222</v>
      </c>
      <c r="K630" s="48">
        <v>1</v>
      </c>
      <c r="N630" s="48">
        <v>0</v>
      </c>
      <c r="R630" s="49"/>
      <c r="S630" s="49"/>
      <c r="T630" s="49">
        <v>52687</v>
      </c>
      <c r="U630" s="49">
        <v>52687</v>
      </c>
      <c r="V630" s="49">
        <v>52687</v>
      </c>
      <c r="W630" s="49">
        <v>52687</v>
      </c>
      <c r="X630" s="48">
        <v>1</v>
      </c>
      <c r="Y630" s="48">
        <v>1</v>
      </c>
      <c r="Z630" s="48">
        <v>1</v>
      </c>
      <c r="AA630" s="156">
        <v>0</v>
      </c>
      <c r="AF630" s="48">
        <v>0</v>
      </c>
      <c r="AG630" s="49" t="s">
        <v>32</v>
      </c>
      <c r="AH630" s="48">
        <v>1</v>
      </c>
      <c r="AI630" s="48" t="s">
        <v>33</v>
      </c>
      <c r="AJ630" s="48" t="s">
        <v>33</v>
      </c>
      <c r="AK630" s="48" t="s">
        <v>33</v>
      </c>
      <c r="AL630" s="48" t="s">
        <v>34</v>
      </c>
      <c r="AN630" s="48">
        <v>0</v>
      </c>
      <c r="AO630" s="48">
        <v>0</v>
      </c>
      <c r="AP630" s="48">
        <v>0</v>
      </c>
      <c r="AQ630" s="48">
        <v>0</v>
      </c>
      <c r="AR630" s="48">
        <v>0</v>
      </c>
      <c r="AS630" s="48">
        <v>0</v>
      </c>
      <c r="AT630" s="48">
        <v>0</v>
      </c>
      <c r="AU630" s="48">
        <v>0</v>
      </c>
      <c r="AV630" s="48">
        <v>0</v>
      </c>
      <c r="AW630" s="48">
        <v>0</v>
      </c>
      <c r="AX630" s="48">
        <v>0</v>
      </c>
      <c r="AY630" s="48">
        <v>0</v>
      </c>
      <c r="AZ630" s="48">
        <v>0</v>
      </c>
      <c r="BA630" s="48">
        <v>0</v>
      </c>
      <c r="BB630" s="48">
        <v>0</v>
      </c>
    </row>
    <row r="631" spans="1:54" x14ac:dyDescent="0.35">
      <c r="A631" s="49">
        <v>45930</v>
      </c>
      <c r="B631" s="48">
        <v>1</v>
      </c>
      <c r="C631" s="50" t="s">
        <v>32</v>
      </c>
      <c r="D631" s="48" t="s">
        <v>31</v>
      </c>
      <c r="E631" s="48" t="s">
        <v>138</v>
      </c>
      <c r="F631" s="48" t="s">
        <v>139</v>
      </c>
      <c r="G631" s="49" t="s">
        <v>59</v>
      </c>
      <c r="H631" s="48" t="s">
        <v>161</v>
      </c>
      <c r="I631" s="48">
        <v>1</v>
      </c>
      <c r="J631" s="48">
        <v>223</v>
      </c>
      <c r="K631" s="48">
        <v>1</v>
      </c>
      <c r="N631" s="48">
        <v>0</v>
      </c>
      <c r="R631" s="49"/>
      <c r="S631" s="49"/>
      <c r="T631" s="49">
        <v>52717</v>
      </c>
      <c r="U631" s="49">
        <v>52717</v>
      </c>
      <c r="V631" s="49">
        <v>52717</v>
      </c>
      <c r="W631" s="49">
        <v>52717</v>
      </c>
      <c r="X631" s="48">
        <v>1</v>
      </c>
      <c r="Y631" s="48">
        <v>1</v>
      </c>
      <c r="Z631" s="48">
        <v>1</v>
      </c>
      <c r="AA631" s="156">
        <v>0</v>
      </c>
      <c r="AF631" s="48">
        <v>0</v>
      </c>
      <c r="AG631" s="49" t="s">
        <v>32</v>
      </c>
      <c r="AH631" s="48">
        <v>1</v>
      </c>
      <c r="AI631" s="48" t="s">
        <v>33</v>
      </c>
      <c r="AJ631" s="48" t="s">
        <v>33</v>
      </c>
      <c r="AK631" s="48" t="s">
        <v>33</v>
      </c>
      <c r="AL631" s="48" t="s">
        <v>34</v>
      </c>
      <c r="AN631" s="48">
        <v>0</v>
      </c>
      <c r="AO631" s="48">
        <v>0</v>
      </c>
      <c r="AP631" s="48">
        <v>0</v>
      </c>
      <c r="AQ631" s="48">
        <v>0</v>
      </c>
      <c r="AR631" s="48">
        <v>0</v>
      </c>
      <c r="AS631" s="48">
        <v>0</v>
      </c>
      <c r="AT631" s="48">
        <v>0</v>
      </c>
      <c r="AU631" s="48">
        <v>0</v>
      </c>
      <c r="AV631" s="48">
        <v>0</v>
      </c>
      <c r="AW631" s="48">
        <v>0</v>
      </c>
      <c r="AX631" s="48">
        <v>0</v>
      </c>
      <c r="AY631" s="48">
        <v>0</v>
      </c>
      <c r="AZ631" s="48">
        <v>0</v>
      </c>
      <c r="BA631" s="48">
        <v>0</v>
      </c>
      <c r="BB631" s="48">
        <v>0</v>
      </c>
    </row>
    <row r="632" spans="1:54" x14ac:dyDescent="0.35">
      <c r="A632" s="49">
        <v>45930</v>
      </c>
      <c r="B632" s="48">
        <v>1</v>
      </c>
      <c r="C632" s="50" t="s">
        <v>32</v>
      </c>
      <c r="D632" s="48" t="s">
        <v>31</v>
      </c>
      <c r="E632" s="48" t="s">
        <v>138</v>
      </c>
      <c r="F632" s="48" t="s">
        <v>139</v>
      </c>
      <c r="G632" s="49" t="s">
        <v>59</v>
      </c>
      <c r="H632" s="48" t="s">
        <v>161</v>
      </c>
      <c r="I632" s="48">
        <v>1</v>
      </c>
      <c r="J632" s="48">
        <v>224</v>
      </c>
      <c r="K632" s="48">
        <v>1</v>
      </c>
      <c r="N632" s="48">
        <v>0</v>
      </c>
      <c r="R632" s="49"/>
      <c r="S632" s="49"/>
      <c r="T632" s="49">
        <v>52748</v>
      </c>
      <c r="U632" s="49">
        <v>52748</v>
      </c>
      <c r="V632" s="49">
        <v>52748</v>
      </c>
      <c r="W632" s="49">
        <v>52748</v>
      </c>
      <c r="X632" s="48">
        <v>1</v>
      </c>
      <c r="Y632" s="48">
        <v>1</v>
      </c>
      <c r="Z632" s="48">
        <v>1</v>
      </c>
      <c r="AA632" s="156">
        <v>0</v>
      </c>
      <c r="AF632" s="48">
        <v>0</v>
      </c>
      <c r="AG632" s="49" t="s">
        <v>32</v>
      </c>
      <c r="AH632" s="48">
        <v>1</v>
      </c>
      <c r="AI632" s="48" t="s">
        <v>33</v>
      </c>
      <c r="AJ632" s="48" t="s">
        <v>33</v>
      </c>
      <c r="AK632" s="48" t="s">
        <v>33</v>
      </c>
      <c r="AL632" s="48" t="s">
        <v>34</v>
      </c>
      <c r="AN632" s="48">
        <v>0</v>
      </c>
      <c r="AO632" s="48">
        <v>0</v>
      </c>
      <c r="AP632" s="48">
        <v>0</v>
      </c>
      <c r="AQ632" s="48">
        <v>0</v>
      </c>
      <c r="AR632" s="48">
        <v>0</v>
      </c>
      <c r="AS632" s="48">
        <v>0</v>
      </c>
      <c r="AT632" s="48">
        <v>0</v>
      </c>
      <c r="AU632" s="48">
        <v>0</v>
      </c>
      <c r="AV632" s="48">
        <v>0</v>
      </c>
      <c r="AW632" s="48">
        <v>0</v>
      </c>
      <c r="AX632" s="48">
        <v>0</v>
      </c>
      <c r="AY632" s="48">
        <v>0</v>
      </c>
      <c r="AZ632" s="48">
        <v>0</v>
      </c>
      <c r="BA632" s="48">
        <v>0</v>
      </c>
      <c r="BB632" s="48">
        <v>0</v>
      </c>
    </row>
    <row r="633" spans="1:54" x14ac:dyDescent="0.35">
      <c r="A633" s="49">
        <v>45930</v>
      </c>
      <c r="B633" s="48">
        <v>1</v>
      </c>
      <c r="C633" s="50" t="s">
        <v>32</v>
      </c>
      <c r="D633" s="48" t="s">
        <v>31</v>
      </c>
      <c r="E633" s="48" t="s">
        <v>138</v>
      </c>
      <c r="F633" s="48" t="s">
        <v>139</v>
      </c>
      <c r="G633" s="49" t="s">
        <v>59</v>
      </c>
      <c r="H633" s="48" t="s">
        <v>161</v>
      </c>
      <c r="I633" s="48">
        <v>1</v>
      </c>
      <c r="J633" s="48">
        <v>225</v>
      </c>
      <c r="K633" s="48">
        <v>1</v>
      </c>
      <c r="N633" s="48">
        <v>0</v>
      </c>
      <c r="R633" s="49"/>
      <c r="S633" s="49"/>
      <c r="T633" s="49">
        <v>52778</v>
      </c>
      <c r="U633" s="49">
        <v>52778</v>
      </c>
      <c r="V633" s="49">
        <v>52778</v>
      </c>
      <c r="W633" s="49">
        <v>52778</v>
      </c>
      <c r="X633" s="48">
        <v>1</v>
      </c>
      <c r="Y633" s="48">
        <v>1</v>
      </c>
      <c r="Z633" s="48">
        <v>1</v>
      </c>
      <c r="AA633" s="156">
        <v>0</v>
      </c>
      <c r="AF633" s="48">
        <v>0</v>
      </c>
      <c r="AG633" s="49" t="s">
        <v>32</v>
      </c>
      <c r="AH633" s="48">
        <v>1</v>
      </c>
      <c r="AI633" s="48" t="s">
        <v>33</v>
      </c>
      <c r="AJ633" s="48" t="s">
        <v>33</v>
      </c>
      <c r="AK633" s="48" t="s">
        <v>33</v>
      </c>
      <c r="AL633" s="48" t="s">
        <v>34</v>
      </c>
      <c r="AN633" s="48">
        <v>0</v>
      </c>
      <c r="AO633" s="48">
        <v>0</v>
      </c>
      <c r="AP633" s="48">
        <v>0</v>
      </c>
      <c r="AQ633" s="48">
        <v>0</v>
      </c>
      <c r="AR633" s="48">
        <v>0</v>
      </c>
      <c r="AS633" s="48">
        <v>0</v>
      </c>
      <c r="AT633" s="48">
        <v>0</v>
      </c>
      <c r="AU633" s="48">
        <v>0</v>
      </c>
      <c r="AV633" s="48">
        <v>0</v>
      </c>
      <c r="AW633" s="48">
        <v>0</v>
      </c>
      <c r="AX633" s="48">
        <v>0</v>
      </c>
      <c r="AY633" s="48">
        <v>0</v>
      </c>
      <c r="AZ633" s="48">
        <v>0</v>
      </c>
      <c r="BA633" s="48">
        <v>0</v>
      </c>
      <c r="BB633" s="48">
        <v>0</v>
      </c>
    </row>
    <row r="634" spans="1:54" x14ac:dyDescent="0.35">
      <c r="A634" s="49">
        <v>45930</v>
      </c>
      <c r="B634" s="48">
        <v>1</v>
      </c>
      <c r="C634" s="50" t="s">
        <v>32</v>
      </c>
      <c r="D634" s="48" t="s">
        <v>31</v>
      </c>
      <c r="E634" s="48" t="s">
        <v>138</v>
      </c>
      <c r="F634" s="48" t="s">
        <v>139</v>
      </c>
      <c r="G634" s="49" t="s">
        <v>59</v>
      </c>
      <c r="H634" s="48" t="s">
        <v>161</v>
      </c>
      <c r="I634" s="48">
        <v>1</v>
      </c>
      <c r="J634" s="48">
        <v>226</v>
      </c>
      <c r="K634" s="48">
        <v>1</v>
      </c>
      <c r="N634" s="48">
        <v>0</v>
      </c>
      <c r="R634" s="49"/>
      <c r="S634" s="49"/>
      <c r="T634" s="49">
        <v>52809</v>
      </c>
      <c r="U634" s="49">
        <v>52809</v>
      </c>
      <c r="V634" s="49">
        <v>52809</v>
      </c>
      <c r="W634" s="49">
        <v>52809</v>
      </c>
      <c r="X634" s="48">
        <v>1</v>
      </c>
      <c r="Y634" s="48">
        <v>1</v>
      </c>
      <c r="Z634" s="48">
        <v>1</v>
      </c>
      <c r="AA634" s="156">
        <v>0</v>
      </c>
      <c r="AF634" s="48">
        <v>0</v>
      </c>
      <c r="AG634" s="49" t="s">
        <v>32</v>
      </c>
      <c r="AH634" s="48">
        <v>1</v>
      </c>
      <c r="AI634" s="48" t="s">
        <v>33</v>
      </c>
      <c r="AJ634" s="48" t="s">
        <v>33</v>
      </c>
      <c r="AK634" s="48" t="s">
        <v>33</v>
      </c>
      <c r="AL634" s="48" t="s">
        <v>34</v>
      </c>
      <c r="AN634" s="48">
        <v>0</v>
      </c>
      <c r="AO634" s="48">
        <v>0</v>
      </c>
      <c r="AP634" s="48">
        <v>0</v>
      </c>
      <c r="AQ634" s="48">
        <v>0</v>
      </c>
      <c r="AR634" s="48">
        <v>0</v>
      </c>
      <c r="AS634" s="48">
        <v>0</v>
      </c>
      <c r="AT634" s="48">
        <v>0</v>
      </c>
      <c r="AU634" s="48">
        <v>0</v>
      </c>
      <c r="AV634" s="48">
        <v>0</v>
      </c>
      <c r="AW634" s="48">
        <v>0</v>
      </c>
      <c r="AX634" s="48">
        <v>0</v>
      </c>
      <c r="AY634" s="48">
        <v>0</v>
      </c>
      <c r="AZ634" s="48">
        <v>0</v>
      </c>
      <c r="BA634" s="48">
        <v>0</v>
      </c>
      <c r="BB634" s="48">
        <v>0</v>
      </c>
    </row>
    <row r="635" spans="1:54" x14ac:dyDescent="0.35">
      <c r="A635" s="49">
        <v>45930</v>
      </c>
      <c r="B635" s="48">
        <v>1</v>
      </c>
      <c r="C635" s="50" t="s">
        <v>32</v>
      </c>
      <c r="D635" s="48" t="s">
        <v>31</v>
      </c>
      <c r="E635" s="48" t="s">
        <v>138</v>
      </c>
      <c r="F635" s="48" t="s">
        <v>139</v>
      </c>
      <c r="G635" s="49" t="s">
        <v>59</v>
      </c>
      <c r="H635" s="48" t="s">
        <v>161</v>
      </c>
      <c r="I635" s="48">
        <v>1</v>
      </c>
      <c r="J635" s="48">
        <v>227</v>
      </c>
      <c r="K635" s="48">
        <v>1</v>
      </c>
      <c r="N635" s="48">
        <v>0</v>
      </c>
      <c r="R635" s="49"/>
      <c r="S635" s="49"/>
      <c r="T635" s="49">
        <v>52840</v>
      </c>
      <c r="U635" s="49">
        <v>52840</v>
      </c>
      <c r="V635" s="49">
        <v>52840</v>
      </c>
      <c r="W635" s="49">
        <v>52840</v>
      </c>
      <c r="X635" s="48">
        <v>1</v>
      </c>
      <c r="Y635" s="48">
        <v>1</v>
      </c>
      <c r="Z635" s="48">
        <v>1</v>
      </c>
      <c r="AA635" s="156">
        <v>0</v>
      </c>
      <c r="AF635" s="48">
        <v>0</v>
      </c>
      <c r="AG635" s="49" t="s">
        <v>32</v>
      </c>
      <c r="AH635" s="48">
        <v>1</v>
      </c>
      <c r="AI635" s="48" t="s">
        <v>33</v>
      </c>
      <c r="AJ635" s="48" t="s">
        <v>33</v>
      </c>
      <c r="AK635" s="48" t="s">
        <v>33</v>
      </c>
      <c r="AL635" s="48" t="s">
        <v>34</v>
      </c>
      <c r="AN635" s="48">
        <v>0</v>
      </c>
      <c r="AO635" s="48">
        <v>0</v>
      </c>
      <c r="AP635" s="48">
        <v>0</v>
      </c>
      <c r="AQ635" s="48">
        <v>0</v>
      </c>
      <c r="AR635" s="48">
        <v>0</v>
      </c>
      <c r="AS635" s="48">
        <v>0</v>
      </c>
      <c r="AT635" s="48">
        <v>0</v>
      </c>
      <c r="AU635" s="48">
        <v>0</v>
      </c>
      <c r="AV635" s="48">
        <v>0</v>
      </c>
      <c r="AW635" s="48">
        <v>0</v>
      </c>
      <c r="AX635" s="48">
        <v>0</v>
      </c>
      <c r="AY635" s="48">
        <v>0</v>
      </c>
      <c r="AZ635" s="48">
        <v>0</v>
      </c>
      <c r="BA635" s="48">
        <v>0</v>
      </c>
      <c r="BB635" s="48">
        <v>0</v>
      </c>
    </row>
    <row r="636" spans="1:54" x14ac:dyDescent="0.35">
      <c r="A636" s="49">
        <v>45930</v>
      </c>
      <c r="B636" s="48">
        <v>1</v>
      </c>
      <c r="C636" s="50" t="s">
        <v>32</v>
      </c>
      <c r="D636" s="48" t="s">
        <v>31</v>
      </c>
      <c r="E636" s="48" t="s">
        <v>138</v>
      </c>
      <c r="F636" s="48" t="s">
        <v>139</v>
      </c>
      <c r="G636" s="49" t="s">
        <v>59</v>
      </c>
      <c r="H636" s="48" t="s">
        <v>161</v>
      </c>
      <c r="I636" s="48">
        <v>1</v>
      </c>
      <c r="J636" s="48">
        <v>228</v>
      </c>
      <c r="K636" s="48">
        <v>1</v>
      </c>
      <c r="N636" s="48">
        <v>0</v>
      </c>
      <c r="R636" s="49"/>
      <c r="S636" s="49"/>
      <c r="T636" s="49">
        <v>52870</v>
      </c>
      <c r="U636" s="49">
        <v>52870</v>
      </c>
      <c r="V636" s="49">
        <v>52870</v>
      </c>
      <c r="W636" s="49">
        <v>52870</v>
      </c>
      <c r="X636" s="48">
        <v>1</v>
      </c>
      <c r="Y636" s="48">
        <v>1</v>
      </c>
      <c r="Z636" s="48">
        <v>1</v>
      </c>
      <c r="AA636" s="156">
        <v>0</v>
      </c>
      <c r="AF636" s="48">
        <v>0</v>
      </c>
      <c r="AG636" s="49" t="s">
        <v>32</v>
      </c>
      <c r="AH636" s="48">
        <v>1</v>
      </c>
      <c r="AI636" s="48" t="s">
        <v>33</v>
      </c>
      <c r="AJ636" s="48" t="s">
        <v>33</v>
      </c>
      <c r="AK636" s="48" t="s">
        <v>33</v>
      </c>
      <c r="AL636" s="48" t="s">
        <v>34</v>
      </c>
      <c r="AN636" s="48">
        <v>0</v>
      </c>
      <c r="AO636" s="48">
        <v>0</v>
      </c>
      <c r="AP636" s="48">
        <v>0</v>
      </c>
      <c r="AQ636" s="48">
        <v>0</v>
      </c>
      <c r="AR636" s="48">
        <v>0</v>
      </c>
      <c r="AS636" s="48">
        <v>0</v>
      </c>
      <c r="AT636" s="48">
        <v>0</v>
      </c>
      <c r="AU636" s="48">
        <v>0</v>
      </c>
      <c r="AV636" s="48">
        <v>0</v>
      </c>
      <c r="AW636" s="48">
        <v>0</v>
      </c>
      <c r="AX636" s="48">
        <v>0</v>
      </c>
      <c r="AY636" s="48">
        <v>0</v>
      </c>
      <c r="AZ636" s="48">
        <v>0</v>
      </c>
      <c r="BA636" s="48">
        <v>0</v>
      </c>
      <c r="BB636" s="48">
        <v>0</v>
      </c>
    </row>
    <row r="637" spans="1:54" x14ac:dyDescent="0.35">
      <c r="A637" s="49">
        <v>45930</v>
      </c>
      <c r="B637" s="48">
        <v>1</v>
      </c>
      <c r="C637" s="50" t="s">
        <v>32</v>
      </c>
      <c r="D637" s="48" t="s">
        <v>31</v>
      </c>
      <c r="E637" s="48" t="s">
        <v>138</v>
      </c>
      <c r="F637" s="48" t="s">
        <v>139</v>
      </c>
      <c r="G637" s="49" t="s">
        <v>59</v>
      </c>
      <c r="H637" s="48" t="s">
        <v>161</v>
      </c>
      <c r="I637" s="48">
        <v>1</v>
      </c>
      <c r="J637" s="48">
        <v>229</v>
      </c>
      <c r="K637" s="48">
        <v>1</v>
      </c>
      <c r="N637" s="48">
        <v>0</v>
      </c>
      <c r="R637" s="49"/>
      <c r="S637" s="49"/>
      <c r="T637" s="49">
        <v>52901</v>
      </c>
      <c r="U637" s="49">
        <v>52901</v>
      </c>
      <c r="V637" s="49">
        <v>52901</v>
      </c>
      <c r="W637" s="49">
        <v>52901</v>
      </c>
      <c r="X637" s="48">
        <v>1</v>
      </c>
      <c r="Y637" s="48">
        <v>1</v>
      </c>
      <c r="Z637" s="48">
        <v>1</v>
      </c>
      <c r="AA637" s="156">
        <v>0</v>
      </c>
      <c r="AF637" s="48">
        <v>0</v>
      </c>
      <c r="AG637" s="49" t="s">
        <v>32</v>
      </c>
      <c r="AH637" s="48">
        <v>1</v>
      </c>
      <c r="AI637" s="48" t="s">
        <v>33</v>
      </c>
      <c r="AJ637" s="48" t="s">
        <v>33</v>
      </c>
      <c r="AK637" s="48" t="s">
        <v>33</v>
      </c>
      <c r="AL637" s="48" t="s">
        <v>34</v>
      </c>
      <c r="AN637" s="48">
        <v>0</v>
      </c>
      <c r="AO637" s="48">
        <v>0</v>
      </c>
      <c r="AP637" s="48">
        <v>0</v>
      </c>
      <c r="AQ637" s="48">
        <v>0</v>
      </c>
      <c r="AR637" s="48">
        <v>0</v>
      </c>
      <c r="AS637" s="48">
        <v>0</v>
      </c>
      <c r="AT637" s="48">
        <v>0</v>
      </c>
      <c r="AU637" s="48">
        <v>0</v>
      </c>
      <c r="AV637" s="48">
        <v>0</v>
      </c>
      <c r="AW637" s="48">
        <v>0</v>
      </c>
      <c r="AX637" s="48">
        <v>0</v>
      </c>
      <c r="AY637" s="48">
        <v>0</v>
      </c>
      <c r="AZ637" s="48">
        <v>0</v>
      </c>
      <c r="BA637" s="48">
        <v>0</v>
      </c>
      <c r="BB637" s="48">
        <v>0</v>
      </c>
    </row>
    <row r="638" spans="1:54" x14ac:dyDescent="0.35">
      <c r="A638" s="49">
        <v>45930</v>
      </c>
      <c r="B638" s="48">
        <v>1</v>
      </c>
      <c r="C638" s="50" t="s">
        <v>32</v>
      </c>
      <c r="D638" s="48" t="s">
        <v>31</v>
      </c>
      <c r="E638" s="48" t="s">
        <v>138</v>
      </c>
      <c r="F638" s="48" t="s">
        <v>139</v>
      </c>
      <c r="G638" s="49" t="s">
        <v>59</v>
      </c>
      <c r="H638" s="48" t="s">
        <v>161</v>
      </c>
      <c r="I638" s="48">
        <v>1</v>
      </c>
      <c r="J638" s="48">
        <v>230</v>
      </c>
      <c r="K638" s="48">
        <v>1</v>
      </c>
      <c r="N638" s="48">
        <v>0</v>
      </c>
      <c r="R638" s="49"/>
      <c r="S638" s="49"/>
      <c r="T638" s="49">
        <v>52931</v>
      </c>
      <c r="U638" s="49">
        <v>52931</v>
      </c>
      <c r="V638" s="49">
        <v>52931</v>
      </c>
      <c r="W638" s="49">
        <v>52931</v>
      </c>
      <c r="X638" s="48">
        <v>1</v>
      </c>
      <c r="Y638" s="48">
        <v>1</v>
      </c>
      <c r="Z638" s="48">
        <v>1</v>
      </c>
      <c r="AA638" s="156">
        <v>0</v>
      </c>
      <c r="AF638" s="48">
        <v>0</v>
      </c>
      <c r="AG638" s="49" t="s">
        <v>32</v>
      </c>
      <c r="AH638" s="48">
        <v>1</v>
      </c>
      <c r="AI638" s="48" t="s">
        <v>33</v>
      </c>
      <c r="AJ638" s="48" t="s">
        <v>33</v>
      </c>
      <c r="AK638" s="48" t="s">
        <v>33</v>
      </c>
      <c r="AL638" s="48" t="s">
        <v>34</v>
      </c>
      <c r="AN638" s="48">
        <v>0</v>
      </c>
      <c r="AO638" s="48">
        <v>0</v>
      </c>
      <c r="AP638" s="48">
        <v>0</v>
      </c>
      <c r="AQ638" s="48">
        <v>0</v>
      </c>
      <c r="AR638" s="48">
        <v>0</v>
      </c>
      <c r="AS638" s="48">
        <v>0</v>
      </c>
      <c r="AT638" s="48">
        <v>0</v>
      </c>
      <c r="AU638" s="48">
        <v>0</v>
      </c>
      <c r="AV638" s="48">
        <v>0</v>
      </c>
      <c r="AW638" s="48">
        <v>0</v>
      </c>
      <c r="AX638" s="48">
        <v>0</v>
      </c>
      <c r="AY638" s="48">
        <v>0</v>
      </c>
      <c r="AZ638" s="48">
        <v>0</v>
      </c>
      <c r="BA638" s="48">
        <v>0</v>
      </c>
      <c r="BB638" s="48">
        <v>0</v>
      </c>
    </row>
    <row r="639" spans="1:54" x14ac:dyDescent="0.35">
      <c r="A639" s="49">
        <v>45930</v>
      </c>
      <c r="B639" s="48">
        <v>1</v>
      </c>
      <c r="C639" s="50" t="s">
        <v>32</v>
      </c>
      <c r="D639" s="48" t="s">
        <v>31</v>
      </c>
      <c r="E639" s="48" t="s">
        <v>138</v>
      </c>
      <c r="F639" s="48" t="s">
        <v>139</v>
      </c>
      <c r="G639" s="49" t="s">
        <v>59</v>
      </c>
      <c r="H639" s="48" t="s">
        <v>161</v>
      </c>
      <c r="I639" s="48">
        <v>1</v>
      </c>
      <c r="J639" s="48">
        <v>231</v>
      </c>
      <c r="K639" s="48">
        <v>1</v>
      </c>
      <c r="N639" s="48">
        <v>0</v>
      </c>
      <c r="R639" s="49"/>
      <c r="S639" s="49"/>
      <c r="T639" s="49">
        <v>52962</v>
      </c>
      <c r="U639" s="49">
        <v>52962</v>
      </c>
      <c r="V639" s="49">
        <v>52962</v>
      </c>
      <c r="W639" s="49">
        <v>52962</v>
      </c>
      <c r="X639" s="48">
        <v>1</v>
      </c>
      <c r="Y639" s="48">
        <v>1</v>
      </c>
      <c r="Z639" s="48">
        <v>1</v>
      </c>
      <c r="AA639" s="156">
        <v>0</v>
      </c>
      <c r="AF639" s="48">
        <v>0</v>
      </c>
      <c r="AG639" s="49" t="s">
        <v>32</v>
      </c>
      <c r="AH639" s="48">
        <v>1</v>
      </c>
      <c r="AI639" s="48" t="s">
        <v>33</v>
      </c>
      <c r="AJ639" s="48" t="s">
        <v>33</v>
      </c>
      <c r="AK639" s="48" t="s">
        <v>33</v>
      </c>
      <c r="AL639" s="48" t="s">
        <v>34</v>
      </c>
      <c r="AN639" s="48">
        <v>0</v>
      </c>
      <c r="AO639" s="48">
        <v>0</v>
      </c>
      <c r="AP639" s="48">
        <v>0</v>
      </c>
      <c r="AQ639" s="48">
        <v>0</v>
      </c>
      <c r="AR639" s="48">
        <v>0</v>
      </c>
      <c r="AS639" s="48">
        <v>0</v>
      </c>
      <c r="AT639" s="48">
        <v>0</v>
      </c>
      <c r="AU639" s="48">
        <v>0</v>
      </c>
      <c r="AV639" s="48">
        <v>0</v>
      </c>
      <c r="AW639" s="48">
        <v>0</v>
      </c>
      <c r="AX639" s="48">
        <v>0</v>
      </c>
      <c r="AY639" s="48">
        <v>0</v>
      </c>
      <c r="AZ639" s="48">
        <v>0</v>
      </c>
      <c r="BA639" s="48">
        <v>0</v>
      </c>
      <c r="BB639" s="48">
        <v>0</v>
      </c>
    </row>
    <row r="640" spans="1:54" x14ac:dyDescent="0.35">
      <c r="A640" s="49">
        <v>45930</v>
      </c>
      <c r="B640" s="48">
        <v>1</v>
      </c>
      <c r="C640" s="50" t="s">
        <v>32</v>
      </c>
      <c r="D640" s="48" t="s">
        <v>31</v>
      </c>
      <c r="E640" s="48" t="s">
        <v>138</v>
      </c>
      <c r="F640" s="48" t="s">
        <v>139</v>
      </c>
      <c r="G640" s="49" t="s">
        <v>59</v>
      </c>
      <c r="H640" s="48" t="s">
        <v>161</v>
      </c>
      <c r="I640" s="48">
        <v>1</v>
      </c>
      <c r="J640" s="48">
        <v>232</v>
      </c>
      <c r="K640" s="48">
        <v>1</v>
      </c>
      <c r="N640" s="48">
        <v>0</v>
      </c>
      <c r="R640" s="49"/>
      <c r="S640" s="49"/>
      <c r="T640" s="49">
        <v>52993</v>
      </c>
      <c r="U640" s="49">
        <v>52993</v>
      </c>
      <c r="V640" s="49">
        <v>52993</v>
      </c>
      <c r="W640" s="49">
        <v>52993</v>
      </c>
      <c r="X640" s="48">
        <v>1</v>
      </c>
      <c r="Y640" s="48">
        <v>1</v>
      </c>
      <c r="Z640" s="48">
        <v>1</v>
      </c>
      <c r="AA640" s="156">
        <v>0</v>
      </c>
      <c r="AF640" s="48">
        <v>0</v>
      </c>
      <c r="AG640" s="49" t="s">
        <v>32</v>
      </c>
      <c r="AH640" s="48">
        <v>1</v>
      </c>
      <c r="AI640" s="48" t="s">
        <v>33</v>
      </c>
      <c r="AJ640" s="48" t="s">
        <v>33</v>
      </c>
      <c r="AK640" s="48" t="s">
        <v>33</v>
      </c>
      <c r="AL640" s="48" t="s">
        <v>34</v>
      </c>
      <c r="AN640" s="48">
        <v>0</v>
      </c>
      <c r="AO640" s="48">
        <v>0</v>
      </c>
      <c r="AP640" s="48">
        <v>0</v>
      </c>
      <c r="AQ640" s="48">
        <v>0</v>
      </c>
      <c r="AR640" s="48">
        <v>0</v>
      </c>
      <c r="AS640" s="48">
        <v>0</v>
      </c>
      <c r="AT640" s="48">
        <v>0</v>
      </c>
      <c r="AU640" s="48">
        <v>0</v>
      </c>
      <c r="AV640" s="48">
        <v>0</v>
      </c>
      <c r="AW640" s="48">
        <v>0</v>
      </c>
      <c r="AX640" s="48">
        <v>0</v>
      </c>
      <c r="AY640" s="48">
        <v>0</v>
      </c>
      <c r="AZ640" s="48">
        <v>0</v>
      </c>
      <c r="BA640" s="48">
        <v>0</v>
      </c>
      <c r="BB640" s="48">
        <v>0</v>
      </c>
    </row>
    <row r="641" spans="1:54" x14ac:dyDescent="0.35">
      <c r="A641" s="49">
        <v>45930</v>
      </c>
      <c r="B641" s="48">
        <v>1</v>
      </c>
      <c r="C641" s="50" t="s">
        <v>32</v>
      </c>
      <c r="D641" s="48" t="s">
        <v>31</v>
      </c>
      <c r="E641" s="48" t="s">
        <v>138</v>
      </c>
      <c r="F641" s="48" t="s">
        <v>139</v>
      </c>
      <c r="G641" s="49" t="s">
        <v>59</v>
      </c>
      <c r="H641" s="48" t="s">
        <v>161</v>
      </c>
      <c r="I641" s="48">
        <v>1</v>
      </c>
      <c r="J641" s="48">
        <v>233</v>
      </c>
      <c r="K641" s="48">
        <v>1</v>
      </c>
      <c r="N641" s="48">
        <v>0</v>
      </c>
      <c r="R641" s="49"/>
      <c r="S641" s="49"/>
      <c r="T641" s="49">
        <v>53021</v>
      </c>
      <c r="U641" s="49">
        <v>53021</v>
      </c>
      <c r="V641" s="49">
        <v>53021</v>
      </c>
      <c r="W641" s="49">
        <v>53021</v>
      </c>
      <c r="X641" s="48">
        <v>1</v>
      </c>
      <c r="Y641" s="48">
        <v>1</v>
      </c>
      <c r="Z641" s="48">
        <v>1</v>
      </c>
      <c r="AA641" s="156">
        <v>0</v>
      </c>
      <c r="AF641" s="48">
        <v>0</v>
      </c>
      <c r="AG641" s="49" t="s">
        <v>32</v>
      </c>
      <c r="AH641" s="48">
        <v>1</v>
      </c>
      <c r="AI641" s="48" t="s">
        <v>33</v>
      </c>
      <c r="AJ641" s="48" t="s">
        <v>33</v>
      </c>
      <c r="AK641" s="48" t="s">
        <v>33</v>
      </c>
      <c r="AL641" s="48" t="s">
        <v>34</v>
      </c>
      <c r="AN641" s="48">
        <v>0</v>
      </c>
      <c r="AO641" s="48">
        <v>0</v>
      </c>
      <c r="AP641" s="48">
        <v>0</v>
      </c>
      <c r="AQ641" s="48">
        <v>0</v>
      </c>
      <c r="AR641" s="48">
        <v>0</v>
      </c>
      <c r="AS641" s="48">
        <v>0</v>
      </c>
      <c r="AT641" s="48">
        <v>0</v>
      </c>
      <c r="AU641" s="48">
        <v>0</v>
      </c>
      <c r="AV641" s="48">
        <v>0</v>
      </c>
      <c r="AW641" s="48">
        <v>0</v>
      </c>
      <c r="AX641" s="48">
        <v>0</v>
      </c>
      <c r="AY641" s="48">
        <v>0</v>
      </c>
      <c r="AZ641" s="48">
        <v>0</v>
      </c>
      <c r="BA641" s="48">
        <v>0</v>
      </c>
      <c r="BB641" s="48">
        <v>0</v>
      </c>
    </row>
    <row r="642" spans="1:54" x14ac:dyDescent="0.35">
      <c r="A642" s="49">
        <v>45930</v>
      </c>
      <c r="B642" s="48">
        <v>1</v>
      </c>
      <c r="C642" s="50" t="s">
        <v>32</v>
      </c>
      <c r="D642" s="48" t="s">
        <v>31</v>
      </c>
      <c r="E642" s="48" t="s">
        <v>138</v>
      </c>
      <c r="F642" s="48" t="s">
        <v>139</v>
      </c>
      <c r="G642" s="49" t="s">
        <v>59</v>
      </c>
      <c r="H642" s="48" t="s">
        <v>161</v>
      </c>
      <c r="I642" s="48">
        <v>1</v>
      </c>
      <c r="J642" s="48">
        <v>234</v>
      </c>
      <c r="K642" s="48">
        <v>1</v>
      </c>
      <c r="N642" s="48">
        <v>0</v>
      </c>
      <c r="R642" s="49"/>
      <c r="S642" s="49"/>
      <c r="T642" s="49">
        <v>53052</v>
      </c>
      <c r="U642" s="49">
        <v>53052</v>
      </c>
      <c r="V642" s="49">
        <v>53052</v>
      </c>
      <c r="W642" s="49">
        <v>53052</v>
      </c>
      <c r="X642" s="48">
        <v>1</v>
      </c>
      <c r="Y642" s="48">
        <v>1</v>
      </c>
      <c r="Z642" s="48">
        <v>1</v>
      </c>
      <c r="AA642" s="156">
        <v>0</v>
      </c>
      <c r="AF642" s="48">
        <v>0</v>
      </c>
      <c r="AG642" s="49" t="s">
        <v>32</v>
      </c>
      <c r="AH642" s="48">
        <v>1</v>
      </c>
      <c r="AI642" s="48" t="s">
        <v>33</v>
      </c>
      <c r="AJ642" s="48" t="s">
        <v>33</v>
      </c>
      <c r="AK642" s="48" t="s">
        <v>33</v>
      </c>
      <c r="AL642" s="48" t="s">
        <v>34</v>
      </c>
      <c r="AN642" s="48">
        <v>0</v>
      </c>
      <c r="AO642" s="48">
        <v>0</v>
      </c>
      <c r="AP642" s="48">
        <v>0</v>
      </c>
      <c r="AQ642" s="48">
        <v>0</v>
      </c>
      <c r="AR642" s="48">
        <v>0</v>
      </c>
      <c r="AS642" s="48">
        <v>0</v>
      </c>
      <c r="AT642" s="48">
        <v>0</v>
      </c>
      <c r="AU642" s="48">
        <v>0</v>
      </c>
      <c r="AV642" s="48">
        <v>0</v>
      </c>
      <c r="AW642" s="48">
        <v>0</v>
      </c>
      <c r="AX642" s="48">
        <v>0</v>
      </c>
      <c r="AY642" s="48">
        <v>0</v>
      </c>
      <c r="AZ642" s="48">
        <v>0</v>
      </c>
      <c r="BA642" s="48">
        <v>0</v>
      </c>
      <c r="BB642" s="48">
        <v>0</v>
      </c>
    </row>
    <row r="643" spans="1:54" x14ac:dyDescent="0.35">
      <c r="A643" s="49">
        <v>45930</v>
      </c>
      <c r="B643" s="48">
        <v>1</v>
      </c>
      <c r="C643" s="50" t="s">
        <v>32</v>
      </c>
      <c r="D643" s="48" t="s">
        <v>31</v>
      </c>
      <c r="E643" s="48" t="s">
        <v>138</v>
      </c>
      <c r="F643" s="48" t="s">
        <v>139</v>
      </c>
      <c r="G643" s="49" t="s">
        <v>59</v>
      </c>
      <c r="H643" s="48" t="s">
        <v>161</v>
      </c>
      <c r="I643" s="48">
        <v>1</v>
      </c>
      <c r="J643" s="48">
        <v>235</v>
      </c>
      <c r="K643" s="48">
        <v>1</v>
      </c>
      <c r="N643" s="48">
        <v>0</v>
      </c>
      <c r="R643" s="49"/>
      <c r="S643" s="49"/>
      <c r="T643" s="49">
        <v>53082</v>
      </c>
      <c r="U643" s="49">
        <v>53082</v>
      </c>
      <c r="V643" s="49">
        <v>53082</v>
      </c>
      <c r="W643" s="49">
        <v>53082</v>
      </c>
      <c r="X643" s="48">
        <v>1</v>
      </c>
      <c r="Y643" s="48">
        <v>1</v>
      </c>
      <c r="Z643" s="48">
        <v>1</v>
      </c>
      <c r="AA643" s="156">
        <v>0</v>
      </c>
      <c r="AF643" s="48">
        <v>0</v>
      </c>
      <c r="AG643" s="49" t="s">
        <v>32</v>
      </c>
      <c r="AH643" s="48">
        <v>1</v>
      </c>
      <c r="AI643" s="48" t="s">
        <v>33</v>
      </c>
      <c r="AJ643" s="48" t="s">
        <v>33</v>
      </c>
      <c r="AK643" s="48" t="s">
        <v>33</v>
      </c>
      <c r="AL643" s="48" t="s">
        <v>34</v>
      </c>
      <c r="AN643" s="48">
        <v>0</v>
      </c>
      <c r="AO643" s="48">
        <v>0</v>
      </c>
      <c r="AP643" s="48">
        <v>0</v>
      </c>
      <c r="AQ643" s="48">
        <v>0</v>
      </c>
      <c r="AR643" s="48">
        <v>0</v>
      </c>
      <c r="AS643" s="48">
        <v>0</v>
      </c>
      <c r="AT643" s="48">
        <v>0</v>
      </c>
      <c r="AU643" s="48">
        <v>0</v>
      </c>
      <c r="AV643" s="48">
        <v>0</v>
      </c>
      <c r="AW643" s="48">
        <v>0</v>
      </c>
      <c r="AX643" s="48">
        <v>0</v>
      </c>
      <c r="AY643" s="48">
        <v>0</v>
      </c>
      <c r="AZ643" s="48">
        <v>0</v>
      </c>
      <c r="BA643" s="48">
        <v>0</v>
      </c>
      <c r="BB643" s="48">
        <v>0</v>
      </c>
    </row>
    <row r="644" spans="1:54" x14ac:dyDescent="0.35">
      <c r="A644" s="49">
        <v>45930</v>
      </c>
      <c r="B644" s="48">
        <v>1</v>
      </c>
      <c r="C644" s="50" t="s">
        <v>32</v>
      </c>
      <c r="D644" s="48" t="s">
        <v>31</v>
      </c>
      <c r="E644" s="48" t="s">
        <v>138</v>
      </c>
      <c r="F644" s="48" t="s">
        <v>139</v>
      </c>
      <c r="G644" s="49" t="s">
        <v>59</v>
      </c>
      <c r="H644" s="48" t="s">
        <v>161</v>
      </c>
      <c r="I644" s="48">
        <v>1</v>
      </c>
      <c r="J644" s="48">
        <v>236</v>
      </c>
      <c r="K644" s="48">
        <v>1</v>
      </c>
      <c r="N644" s="48">
        <v>0</v>
      </c>
      <c r="R644" s="49"/>
      <c r="S644" s="49"/>
      <c r="T644" s="49">
        <v>53113</v>
      </c>
      <c r="U644" s="49">
        <v>53113</v>
      </c>
      <c r="V644" s="49">
        <v>53113</v>
      </c>
      <c r="W644" s="49">
        <v>53113</v>
      </c>
      <c r="X644" s="48">
        <v>1</v>
      </c>
      <c r="Y644" s="48">
        <v>1</v>
      </c>
      <c r="Z644" s="48">
        <v>1</v>
      </c>
      <c r="AA644" s="156">
        <v>0</v>
      </c>
      <c r="AF644" s="48">
        <v>0</v>
      </c>
      <c r="AG644" s="49" t="s">
        <v>32</v>
      </c>
      <c r="AH644" s="48">
        <v>1</v>
      </c>
      <c r="AI644" s="48" t="s">
        <v>33</v>
      </c>
      <c r="AJ644" s="48" t="s">
        <v>33</v>
      </c>
      <c r="AK644" s="48" t="s">
        <v>33</v>
      </c>
      <c r="AL644" s="48" t="s">
        <v>34</v>
      </c>
      <c r="AN644" s="48">
        <v>0</v>
      </c>
      <c r="AO644" s="48">
        <v>0</v>
      </c>
      <c r="AP644" s="48">
        <v>0</v>
      </c>
      <c r="AQ644" s="48">
        <v>0</v>
      </c>
      <c r="AR644" s="48">
        <v>0</v>
      </c>
      <c r="AS644" s="48">
        <v>0</v>
      </c>
      <c r="AT644" s="48">
        <v>0</v>
      </c>
      <c r="AU644" s="48">
        <v>0</v>
      </c>
      <c r="AV644" s="48">
        <v>0</v>
      </c>
      <c r="AW644" s="48">
        <v>0</v>
      </c>
      <c r="AX644" s="48">
        <v>0</v>
      </c>
      <c r="AY644" s="48">
        <v>0</v>
      </c>
      <c r="AZ644" s="48">
        <v>0</v>
      </c>
      <c r="BA644" s="48">
        <v>0</v>
      </c>
      <c r="BB644" s="48">
        <v>0</v>
      </c>
    </row>
    <row r="645" spans="1:54" x14ac:dyDescent="0.35">
      <c r="A645" s="49">
        <v>45930</v>
      </c>
      <c r="B645" s="48">
        <v>1</v>
      </c>
      <c r="C645" s="50" t="s">
        <v>32</v>
      </c>
      <c r="D645" s="48" t="s">
        <v>31</v>
      </c>
      <c r="E645" s="48" t="s">
        <v>138</v>
      </c>
      <c r="F645" s="48" t="s">
        <v>139</v>
      </c>
      <c r="G645" s="49" t="s">
        <v>59</v>
      </c>
      <c r="H645" s="48" t="s">
        <v>161</v>
      </c>
      <c r="I645" s="48">
        <v>1</v>
      </c>
      <c r="J645" s="48">
        <v>237</v>
      </c>
      <c r="K645" s="48">
        <v>1</v>
      </c>
      <c r="N645" s="48">
        <v>0</v>
      </c>
      <c r="R645" s="49"/>
      <c r="S645" s="49"/>
      <c r="T645" s="49">
        <v>53143</v>
      </c>
      <c r="U645" s="49">
        <v>53143</v>
      </c>
      <c r="V645" s="49">
        <v>53143</v>
      </c>
      <c r="W645" s="49">
        <v>53143</v>
      </c>
      <c r="X645" s="48">
        <v>1</v>
      </c>
      <c r="Y645" s="48">
        <v>1</v>
      </c>
      <c r="Z645" s="48">
        <v>1</v>
      </c>
      <c r="AA645" s="156">
        <v>0</v>
      </c>
      <c r="AF645" s="48">
        <v>0</v>
      </c>
      <c r="AG645" s="49" t="s">
        <v>32</v>
      </c>
      <c r="AH645" s="48">
        <v>1</v>
      </c>
      <c r="AI645" s="48" t="s">
        <v>33</v>
      </c>
      <c r="AJ645" s="48" t="s">
        <v>33</v>
      </c>
      <c r="AK645" s="48" t="s">
        <v>33</v>
      </c>
      <c r="AL645" s="48" t="s">
        <v>34</v>
      </c>
      <c r="AN645" s="48">
        <v>0</v>
      </c>
      <c r="AO645" s="48">
        <v>0</v>
      </c>
      <c r="AP645" s="48">
        <v>0</v>
      </c>
      <c r="AQ645" s="48">
        <v>0</v>
      </c>
      <c r="AR645" s="48">
        <v>0</v>
      </c>
      <c r="AS645" s="48">
        <v>0</v>
      </c>
      <c r="AT645" s="48">
        <v>0</v>
      </c>
      <c r="AU645" s="48">
        <v>0</v>
      </c>
      <c r="AV645" s="48">
        <v>0</v>
      </c>
      <c r="AW645" s="48">
        <v>0</v>
      </c>
      <c r="AX645" s="48">
        <v>0</v>
      </c>
      <c r="AY645" s="48">
        <v>0</v>
      </c>
      <c r="AZ645" s="48">
        <v>0</v>
      </c>
      <c r="BA645" s="48">
        <v>0</v>
      </c>
      <c r="BB645" s="48">
        <v>0</v>
      </c>
    </row>
    <row r="646" spans="1:54" x14ac:dyDescent="0.35">
      <c r="A646" s="49">
        <v>45930</v>
      </c>
      <c r="B646" s="48">
        <v>1</v>
      </c>
      <c r="C646" s="50" t="s">
        <v>32</v>
      </c>
      <c r="D646" s="48" t="s">
        <v>31</v>
      </c>
      <c r="E646" s="48" t="s">
        <v>138</v>
      </c>
      <c r="F646" s="48" t="s">
        <v>139</v>
      </c>
      <c r="G646" s="49" t="s">
        <v>59</v>
      </c>
      <c r="H646" s="48" t="s">
        <v>161</v>
      </c>
      <c r="I646" s="48">
        <v>1</v>
      </c>
      <c r="J646" s="48">
        <v>238</v>
      </c>
      <c r="K646" s="48">
        <v>1</v>
      </c>
      <c r="N646" s="48">
        <v>0</v>
      </c>
      <c r="R646" s="49"/>
      <c r="S646" s="49"/>
      <c r="T646" s="49">
        <v>53174</v>
      </c>
      <c r="U646" s="49">
        <v>53174</v>
      </c>
      <c r="V646" s="49">
        <v>53174</v>
      </c>
      <c r="W646" s="49">
        <v>53174</v>
      </c>
      <c r="X646" s="48">
        <v>1</v>
      </c>
      <c r="Y646" s="48">
        <v>1</v>
      </c>
      <c r="Z646" s="48">
        <v>1</v>
      </c>
      <c r="AA646" s="156">
        <v>0</v>
      </c>
      <c r="AF646" s="48">
        <v>0</v>
      </c>
      <c r="AG646" s="49" t="s">
        <v>32</v>
      </c>
      <c r="AH646" s="48">
        <v>1</v>
      </c>
      <c r="AI646" s="48" t="s">
        <v>33</v>
      </c>
      <c r="AJ646" s="48" t="s">
        <v>33</v>
      </c>
      <c r="AK646" s="48" t="s">
        <v>33</v>
      </c>
      <c r="AL646" s="48" t="s">
        <v>34</v>
      </c>
      <c r="AN646" s="48">
        <v>0</v>
      </c>
      <c r="AO646" s="48">
        <v>0</v>
      </c>
      <c r="AP646" s="48">
        <v>0</v>
      </c>
      <c r="AQ646" s="48">
        <v>0</v>
      </c>
      <c r="AR646" s="48">
        <v>0</v>
      </c>
      <c r="AS646" s="48">
        <v>0</v>
      </c>
      <c r="AT646" s="48">
        <v>0</v>
      </c>
      <c r="AU646" s="48">
        <v>0</v>
      </c>
      <c r="AV646" s="48">
        <v>0</v>
      </c>
      <c r="AW646" s="48">
        <v>0</v>
      </c>
      <c r="AX646" s="48">
        <v>0</v>
      </c>
      <c r="AY646" s="48">
        <v>0</v>
      </c>
      <c r="AZ646" s="48">
        <v>0</v>
      </c>
      <c r="BA646" s="48">
        <v>0</v>
      </c>
      <c r="BB646" s="48">
        <v>0</v>
      </c>
    </row>
    <row r="647" spans="1:54" x14ac:dyDescent="0.35">
      <c r="A647" s="49">
        <v>45930</v>
      </c>
      <c r="B647" s="48">
        <v>1</v>
      </c>
      <c r="C647" s="50" t="s">
        <v>32</v>
      </c>
      <c r="D647" s="48" t="s">
        <v>31</v>
      </c>
      <c r="E647" s="48" t="s">
        <v>138</v>
      </c>
      <c r="F647" s="48" t="s">
        <v>139</v>
      </c>
      <c r="G647" s="49" t="s">
        <v>59</v>
      </c>
      <c r="H647" s="48" t="s">
        <v>161</v>
      </c>
      <c r="I647" s="48">
        <v>1</v>
      </c>
      <c r="J647" s="48">
        <v>239</v>
      </c>
      <c r="K647" s="48">
        <v>1</v>
      </c>
      <c r="N647" s="48">
        <v>0</v>
      </c>
      <c r="R647" s="49"/>
      <c r="S647" s="49"/>
      <c r="T647" s="49">
        <v>53205</v>
      </c>
      <c r="U647" s="49">
        <v>53205</v>
      </c>
      <c r="V647" s="49">
        <v>53205</v>
      </c>
      <c r="W647" s="49">
        <v>53205</v>
      </c>
      <c r="X647" s="48">
        <v>1</v>
      </c>
      <c r="Y647" s="48">
        <v>1</v>
      </c>
      <c r="Z647" s="48">
        <v>1</v>
      </c>
      <c r="AA647" s="156">
        <v>0</v>
      </c>
      <c r="AF647" s="48">
        <v>0</v>
      </c>
      <c r="AG647" s="49" t="s">
        <v>32</v>
      </c>
      <c r="AH647" s="48">
        <v>1</v>
      </c>
      <c r="AI647" s="48" t="s">
        <v>33</v>
      </c>
      <c r="AJ647" s="48" t="s">
        <v>33</v>
      </c>
      <c r="AK647" s="48" t="s">
        <v>33</v>
      </c>
      <c r="AL647" s="48" t="s">
        <v>34</v>
      </c>
      <c r="AN647" s="48">
        <v>0</v>
      </c>
      <c r="AO647" s="48">
        <v>0</v>
      </c>
      <c r="AP647" s="48">
        <v>0</v>
      </c>
      <c r="AQ647" s="48">
        <v>0</v>
      </c>
      <c r="AR647" s="48">
        <v>0</v>
      </c>
      <c r="AS647" s="48">
        <v>0</v>
      </c>
      <c r="AT647" s="48">
        <v>0</v>
      </c>
      <c r="AU647" s="48">
        <v>0</v>
      </c>
      <c r="AV647" s="48">
        <v>0</v>
      </c>
      <c r="AW647" s="48">
        <v>0</v>
      </c>
      <c r="AX647" s="48">
        <v>0</v>
      </c>
      <c r="AY647" s="48">
        <v>0</v>
      </c>
      <c r="AZ647" s="48">
        <v>0</v>
      </c>
      <c r="BA647" s="48">
        <v>0</v>
      </c>
      <c r="BB647" s="48">
        <v>0</v>
      </c>
    </row>
    <row r="648" spans="1:54" x14ac:dyDescent="0.35">
      <c r="A648" s="49">
        <v>45930</v>
      </c>
      <c r="B648" s="48">
        <v>1</v>
      </c>
      <c r="C648" s="50" t="s">
        <v>32</v>
      </c>
      <c r="D648" s="48" t="s">
        <v>31</v>
      </c>
      <c r="E648" s="48" t="s">
        <v>138</v>
      </c>
      <c r="F648" s="48" t="s">
        <v>139</v>
      </c>
      <c r="G648" s="49" t="s">
        <v>59</v>
      </c>
      <c r="H648" s="48" t="s">
        <v>161</v>
      </c>
      <c r="I648" s="48">
        <v>1</v>
      </c>
      <c r="J648" s="48">
        <v>240</v>
      </c>
      <c r="K648" s="48">
        <v>1</v>
      </c>
      <c r="N648" s="48">
        <v>0</v>
      </c>
      <c r="R648" s="49"/>
      <c r="S648" s="49"/>
      <c r="T648" s="49">
        <v>53235</v>
      </c>
      <c r="U648" s="49">
        <v>53235</v>
      </c>
      <c r="V648" s="49">
        <v>53235</v>
      </c>
      <c r="W648" s="49">
        <v>53235</v>
      </c>
      <c r="X648" s="48">
        <v>1</v>
      </c>
      <c r="Y648" s="48">
        <v>1</v>
      </c>
      <c r="Z648" s="48">
        <v>1</v>
      </c>
      <c r="AA648" s="156">
        <v>0</v>
      </c>
      <c r="AF648" s="48">
        <v>0</v>
      </c>
      <c r="AG648" s="49" t="s">
        <v>32</v>
      </c>
      <c r="AH648" s="48">
        <v>1</v>
      </c>
      <c r="AI648" s="48" t="s">
        <v>33</v>
      </c>
      <c r="AJ648" s="48" t="s">
        <v>33</v>
      </c>
      <c r="AK648" s="48" t="s">
        <v>33</v>
      </c>
      <c r="AL648" s="48" t="s">
        <v>34</v>
      </c>
      <c r="AN648" s="48">
        <v>0</v>
      </c>
      <c r="AO648" s="48">
        <v>0</v>
      </c>
      <c r="AP648" s="48">
        <v>0</v>
      </c>
      <c r="AQ648" s="48">
        <v>0</v>
      </c>
      <c r="AR648" s="48">
        <v>0</v>
      </c>
      <c r="AS648" s="48">
        <v>0</v>
      </c>
      <c r="AT648" s="48">
        <v>0</v>
      </c>
      <c r="AU648" s="48">
        <v>0</v>
      </c>
      <c r="AV648" s="48">
        <v>0</v>
      </c>
      <c r="AW648" s="48">
        <v>0</v>
      </c>
      <c r="AX648" s="48">
        <v>0</v>
      </c>
      <c r="AY648" s="48">
        <v>0</v>
      </c>
      <c r="AZ648" s="48">
        <v>0</v>
      </c>
      <c r="BA648" s="48">
        <v>0</v>
      </c>
      <c r="BB648" s="48">
        <v>0</v>
      </c>
    </row>
    <row r="649" spans="1:54" x14ac:dyDescent="0.35">
      <c r="A649" s="49">
        <v>45930</v>
      </c>
      <c r="B649" s="48">
        <v>1</v>
      </c>
      <c r="C649" s="50" t="s">
        <v>32</v>
      </c>
      <c r="D649" s="48" t="s">
        <v>31</v>
      </c>
      <c r="E649" s="48" t="s">
        <v>138</v>
      </c>
      <c r="F649" s="48" t="s">
        <v>139</v>
      </c>
      <c r="G649" s="49" t="s">
        <v>59</v>
      </c>
      <c r="H649" s="48" t="s">
        <v>161</v>
      </c>
      <c r="I649" s="48">
        <v>1</v>
      </c>
      <c r="J649" s="48">
        <v>241</v>
      </c>
      <c r="K649" s="48">
        <v>1</v>
      </c>
      <c r="N649" s="48">
        <v>0</v>
      </c>
      <c r="R649" s="49"/>
      <c r="S649" s="49"/>
      <c r="T649" s="49">
        <v>53266</v>
      </c>
      <c r="U649" s="49">
        <v>53266</v>
      </c>
      <c r="V649" s="49">
        <v>53266</v>
      </c>
      <c r="W649" s="49">
        <v>53266</v>
      </c>
      <c r="X649" s="48">
        <v>1</v>
      </c>
      <c r="Y649" s="48">
        <v>1</v>
      </c>
      <c r="Z649" s="48">
        <v>1</v>
      </c>
      <c r="AA649" s="156">
        <v>0</v>
      </c>
      <c r="AF649" s="48">
        <v>0</v>
      </c>
      <c r="AG649" s="49" t="s">
        <v>32</v>
      </c>
      <c r="AH649" s="48">
        <v>1</v>
      </c>
      <c r="AI649" s="48" t="s">
        <v>33</v>
      </c>
      <c r="AJ649" s="48" t="s">
        <v>33</v>
      </c>
      <c r="AK649" s="48" t="s">
        <v>33</v>
      </c>
      <c r="AL649" s="48" t="s">
        <v>34</v>
      </c>
      <c r="AN649" s="48">
        <v>0</v>
      </c>
      <c r="AO649" s="48">
        <v>0</v>
      </c>
      <c r="AP649" s="48">
        <v>0</v>
      </c>
      <c r="AQ649" s="48">
        <v>0</v>
      </c>
      <c r="AR649" s="48">
        <v>0</v>
      </c>
      <c r="AS649" s="48">
        <v>0</v>
      </c>
      <c r="AT649" s="48">
        <v>0</v>
      </c>
      <c r="AU649" s="48">
        <v>0</v>
      </c>
      <c r="AV649" s="48">
        <v>0</v>
      </c>
      <c r="AW649" s="48">
        <v>0</v>
      </c>
      <c r="AX649" s="48">
        <v>0</v>
      </c>
      <c r="AY649" s="48">
        <v>0</v>
      </c>
      <c r="AZ649" s="48">
        <v>0</v>
      </c>
      <c r="BA649" s="48">
        <v>0</v>
      </c>
      <c r="BB649" s="48">
        <v>0</v>
      </c>
    </row>
    <row r="650" spans="1:54" x14ac:dyDescent="0.35">
      <c r="A650" s="49">
        <v>45930</v>
      </c>
      <c r="B650" s="48">
        <v>1</v>
      </c>
      <c r="C650" s="50" t="s">
        <v>32</v>
      </c>
      <c r="D650" s="48" t="s">
        <v>31</v>
      </c>
      <c r="E650" s="48" t="s">
        <v>138</v>
      </c>
      <c r="F650" s="48" t="s">
        <v>139</v>
      </c>
      <c r="G650" s="49" t="s">
        <v>59</v>
      </c>
      <c r="H650" s="48" t="s">
        <v>161</v>
      </c>
      <c r="I650" s="48">
        <v>1</v>
      </c>
      <c r="J650" s="48">
        <v>242</v>
      </c>
      <c r="K650" s="48">
        <v>1</v>
      </c>
      <c r="N650" s="48">
        <v>0</v>
      </c>
      <c r="R650" s="49"/>
      <c r="S650" s="49"/>
      <c r="T650" s="49">
        <v>53296</v>
      </c>
      <c r="U650" s="49">
        <v>53296</v>
      </c>
      <c r="V650" s="49">
        <v>53296</v>
      </c>
      <c r="W650" s="49">
        <v>53296</v>
      </c>
      <c r="X650" s="48">
        <v>1</v>
      </c>
      <c r="Y650" s="48">
        <v>1</v>
      </c>
      <c r="Z650" s="48">
        <v>1</v>
      </c>
      <c r="AA650" s="156">
        <v>0</v>
      </c>
      <c r="AF650" s="48">
        <v>0</v>
      </c>
      <c r="AG650" s="49" t="s">
        <v>32</v>
      </c>
      <c r="AH650" s="48">
        <v>1</v>
      </c>
      <c r="AI650" s="48" t="s">
        <v>33</v>
      </c>
      <c r="AJ650" s="48" t="s">
        <v>33</v>
      </c>
      <c r="AK650" s="48" t="s">
        <v>33</v>
      </c>
      <c r="AL650" s="48" t="s">
        <v>34</v>
      </c>
      <c r="AN650" s="48">
        <v>0</v>
      </c>
      <c r="AO650" s="48">
        <v>0</v>
      </c>
      <c r="AP650" s="48">
        <v>0</v>
      </c>
      <c r="AQ650" s="48">
        <v>0</v>
      </c>
      <c r="AR650" s="48">
        <v>0</v>
      </c>
      <c r="AS650" s="48">
        <v>0</v>
      </c>
      <c r="AT650" s="48">
        <v>0</v>
      </c>
      <c r="AU650" s="48">
        <v>0</v>
      </c>
      <c r="AV650" s="48">
        <v>0</v>
      </c>
      <c r="AW650" s="48">
        <v>0</v>
      </c>
      <c r="AX650" s="48">
        <v>0</v>
      </c>
      <c r="AY650" s="48">
        <v>0</v>
      </c>
      <c r="AZ650" s="48">
        <v>0</v>
      </c>
      <c r="BA650" s="48">
        <v>0</v>
      </c>
      <c r="BB650" s="48">
        <v>0</v>
      </c>
    </row>
    <row r="651" spans="1:54" x14ac:dyDescent="0.35">
      <c r="A651" s="49">
        <v>45930</v>
      </c>
      <c r="B651" s="48">
        <v>1</v>
      </c>
      <c r="C651" s="50" t="s">
        <v>32</v>
      </c>
      <c r="D651" s="48" t="s">
        <v>31</v>
      </c>
      <c r="E651" s="48" t="s">
        <v>138</v>
      </c>
      <c r="F651" s="48" t="s">
        <v>139</v>
      </c>
      <c r="G651" s="49" t="s">
        <v>59</v>
      </c>
      <c r="H651" s="48" t="s">
        <v>161</v>
      </c>
      <c r="I651" s="48">
        <v>1</v>
      </c>
      <c r="J651" s="48">
        <v>243</v>
      </c>
      <c r="K651" s="48">
        <v>1</v>
      </c>
      <c r="N651" s="48">
        <v>0</v>
      </c>
      <c r="R651" s="49"/>
      <c r="S651" s="49"/>
      <c r="T651" s="49">
        <v>53327</v>
      </c>
      <c r="U651" s="49">
        <v>53327</v>
      </c>
      <c r="V651" s="49">
        <v>53327</v>
      </c>
      <c r="W651" s="49">
        <v>53327</v>
      </c>
      <c r="X651" s="48">
        <v>1</v>
      </c>
      <c r="Y651" s="48">
        <v>1</v>
      </c>
      <c r="Z651" s="48">
        <v>1</v>
      </c>
      <c r="AA651" s="156">
        <v>0</v>
      </c>
      <c r="AF651" s="48">
        <v>0</v>
      </c>
      <c r="AG651" s="49" t="s">
        <v>32</v>
      </c>
      <c r="AH651" s="48">
        <v>1</v>
      </c>
      <c r="AI651" s="48" t="s">
        <v>33</v>
      </c>
      <c r="AJ651" s="48" t="s">
        <v>33</v>
      </c>
      <c r="AK651" s="48" t="s">
        <v>33</v>
      </c>
      <c r="AL651" s="48" t="s">
        <v>34</v>
      </c>
      <c r="AN651" s="48">
        <v>0</v>
      </c>
      <c r="AO651" s="48">
        <v>0</v>
      </c>
      <c r="AP651" s="48">
        <v>0</v>
      </c>
      <c r="AQ651" s="48">
        <v>0</v>
      </c>
      <c r="AR651" s="48">
        <v>0</v>
      </c>
      <c r="AS651" s="48">
        <v>0</v>
      </c>
      <c r="AT651" s="48">
        <v>0</v>
      </c>
      <c r="AU651" s="48">
        <v>0</v>
      </c>
      <c r="AV651" s="48">
        <v>0</v>
      </c>
      <c r="AW651" s="48">
        <v>0</v>
      </c>
      <c r="AX651" s="48">
        <v>0</v>
      </c>
      <c r="AY651" s="48">
        <v>0</v>
      </c>
      <c r="AZ651" s="48">
        <v>0</v>
      </c>
      <c r="BA651" s="48">
        <v>0</v>
      </c>
      <c r="BB651" s="48">
        <v>0</v>
      </c>
    </row>
    <row r="652" spans="1:54" x14ac:dyDescent="0.35">
      <c r="A652" s="49">
        <v>45930</v>
      </c>
      <c r="B652" s="48">
        <v>1</v>
      </c>
      <c r="C652" s="50" t="s">
        <v>32</v>
      </c>
      <c r="D652" s="48" t="s">
        <v>31</v>
      </c>
      <c r="E652" s="48" t="s">
        <v>138</v>
      </c>
      <c r="F652" s="48" t="s">
        <v>139</v>
      </c>
      <c r="G652" s="49" t="s">
        <v>59</v>
      </c>
      <c r="H652" s="48" t="s">
        <v>161</v>
      </c>
      <c r="I652" s="48">
        <v>1</v>
      </c>
      <c r="J652" s="48">
        <v>244</v>
      </c>
      <c r="K652" s="48">
        <v>1</v>
      </c>
      <c r="N652" s="48">
        <v>0</v>
      </c>
      <c r="R652" s="49"/>
      <c r="S652" s="49"/>
      <c r="T652" s="49">
        <v>53358</v>
      </c>
      <c r="U652" s="49">
        <v>53358</v>
      </c>
      <c r="V652" s="49">
        <v>53358</v>
      </c>
      <c r="W652" s="49">
        <v>53358</v>
      </c>
      <c r="X652" s="48">
        <v>1</v>
      </c>
      <c r="Y652" s="48">
        <v>1</v>
      </c>
      <c r="Z652" s="48">
        <v>1</v>
      </c>
      <c r="AA652" s="156">
        <v>0</v>
      </c>
      <c r="AF652" s="48">
        <v>0</v>
      </c>
      <c r="AG652" s="49" t="s">
        <v>32</v>
      </c>
      <c r="AH652" s="48">
        <v>1</v>
      </c>
      <c r="AI652" s="48" t="s">
        <v>33</v>
      </c>
      <c r="AJ652" s="48" t="s">
        <v>33</v>
      </c>
      <c r="AK652" s="48" t="s">
        <v>33</v>
      </c>
      <c r="AL652" s="48" t="s">
        <v>34</v>
      </c>
      <c r="AN652" s="48">
        <v>0</v>
      </c>
      <c r="AO652" s="48">
        <v>0</v>
      </c>
      <c r="AP652" s="48">
        <v>0</v>
      </c>
      <c r="AQ652" s="48">
        <v>0</v>
      </c>
      <c r="AR652" s="48">
        <v>0</v>
      </c>
      <c r="AS652" s="48">
        <v>0</v>
      </c>
      <c r="AT652" s="48">
        <v>0</v>
      </c>
      <c r="AU652" s="48">
        <v>0</v>
      </c>
      <c r="AV652" s="48">
        <v>0</v>
      </c>
      <c r="AW652" s="48">
        <v>0</v>
      </c>
      <c r="AX652" s="48">
        <v>0</v>
      </c>
      <c r="AY652" s="48">
        <v>0</v>
      </c>
      <c r="AZ652" s="48">
        <v>0</v>
      </c>
      <c r="BA652" s="48">
        <v>0</v>
      </c>
      <c r="BB652" s="48">
        <v>0</v>
      </c>
    </row>
    <row r="653" spans="1:54" x14ac:dyDescent="0.35">
      <c r="A653" s="49">
        <v>45930</v>
      </c>
      <c r="B653" s="48">
        <v>1</v>
      </c>
      <c r="C653" s="50" t="s">
        <v>32</v>
      </c>
      <c r="D653" s="48" t="s">
        <v>31</v>
      </c>
      <c r="E653" s="48" t="s">
        <v>138</v>
      </c>
      <c r="F653" s="48" t="s">
        <v>139</v>
      </c>
      <c r="G653" s="49" t="s">
        <v>59</v>
      </c>
      <c r="H653" s="48" t="s">
        <v>161</v>
      </c>
      <c r="I653" s="48">
        <v>1</v>
      </c>
      <c r="J653" s="48">
        <v>245</v>
      </c>
      <c r="K653" s="48">
        <v>1</v>
      </c>
      <c r="N653" s="48">
        <v>0</v>
      </c>
      <c r="R653" s="49"/>
      <c r="S653" s="49"/>
      <c r="T653" s="49">
        <v>53386</v>
      </c>
      <c r="U653" s="49">
        <v>53386</v>
      </c>
      <c r="V653" s="49">
        <v>53386</v>
      </c>
      <c r="W653" s="49">
        <v>53386</v>
      </c>
      <c r="X653" s="48">
        <v>1</v>
      </c>
      <c r="Y653" s="48">
        <v>1</v>
      </c>
      <c r="Z653" s="48">
        <v>1</v>
      </c>
      <c r="AA653" s="156">
        <v>0</v>
      </c>
      <c r="AF653" s="48">
        <v>0</v>
      </c>
      <c r="AG653" s="49" t="s">
        <v>32</v>
      </c>
      <c r="AH653" s="48">
        <v>1</v>
      </c>
      <c r="AI653" s="48" t="s">
        <v>33</v>
      </c>
      <c r="AJ653" s="48" t="s">
        <v>33</v>
      </c>
      <c r="AK653" s="48" t="s">
        <v>33</v>
      </c>
      <c r="AL653" s="48" t="s">
        <v>34</v>
      </c>
      <c r="AN653" s="48">
        <v>0</v>
      </c>
      <c r="AO653" s="48">
        <v>0</v>
      </c>
      <c r="AP653" s="48">
        <v>0</v>
      </c>
      <c r="AQ653" s="48">
        <v>0</v>
      </c>
      <c r="AR653" s="48">
        <v>0</v>
      </c>
      <c r="AS653" s="48">
        <v>0</v>
      </c>
      <c r="AT653" s="48">
        <v>0</v>
      </c>
      <c r="AU653" s="48">
        <v>0</v>
      </c>
      <c r="AV653" s="48">
        <v>0</v>
      </c>
      <c r="AW653" s="48">
        <v>0</v>
      </c>
      <c r="AX653" s="48">
        <v>0</v>
      </c>
      <c r="AY653" s="48">
        <v>0</v>
      </c>
      <c r="AZ653" s="48">
        <v>0</v>
      </c>
      <c r="BA653" s="48">
        <v>0</v>
      </c>
      <c r="BB653" s="48">
        <v>0</v>
      </c>
    </row>
    <row r="654" spans="1:54" x14ac:dyDescent="0.35">
      <c r="A654" s="49">
        <v>45930</v>
      </c>
      <c r="B654" s="48">
        <v>1</v>
      </c>
      <c r="C654" s="50" t="s">
        <v>32</v>
      </c>
      <c r="D654" s="48" t="s">
        <v>31</v>
      </c>
      <c r="E654" s="48" t="s">
        <v>138</v>
      </c>
      <c r="F654" s="48" t="s">
        <v>139</v>
      </c>
      <c r="G654" s="49" t="s">
        <v>59</v>
      </c>
      <c r="H654" s="48" t="s">
        <v>161</v>
      </c>
      <c r="I654" s="48">
        <v>1</v>
      </c>
      <c r="J654" s="48">
        <v>246</v>
      </c>
      <c r="K654" s="48">
        <v>1</v>
      </c>
      <c r="N654" s="48">
        <v>0</v>
      </c>
      <c r="R654" s="49"/>
      <c r="S654" s="49"/>
      <c r="T654" s="49">
        <v>53417</v>
      </c>
      <c r="U654" s="49">
        <v>53417</v>
      </c>
      <c r="V654" s="49">
        <v>53417</v>
      </c>
      <c r="W654" s="49">
        <v>53417</v>
      </c>
      <c r="X654" s="48">
        <v>1</v>
      </c>
      <c r="Y654" s="48">
        <v>1</v>
      </c>
      <c r="Z654" s="48">
        <v>1</v>
      </c>
      <c r="AA654" s="156">
        <v>0</v>
      </c>
      <c r="AF654" s="48">
        <v>0</v>
      </c>
      <c r="AG654" s="49" t="s">
        <v>32</v>
      </c>
      <c r="AH654" s="48">
        <v>1</v>
      </c>
      <c r="AI654" s="48" t="s">
        <v>33</v>
      </c>
      <c r="AJ654" s="48" t="s">
        <v>33</v>
      </c>
      <c r="AK654" s="48" t="s">
        <v>33</v>
      </c>
      <c r="AL654" s="48" t="s">
        <v>34</v>
      </c>
      <c r="AN654" s="48">
        <v>0</v>
      </c>
      <c r="AO654" s="48">
        <v>0</v>
      </c>
      <c r="AP654" s="48">
        <v>0</v>
      </c>
      <c r="AQ654" s="48">
        <v>0</v>
      </c>
      <c r="AR654" s="48">
        <v>0</v>
      </c>
      <c r="AS654" s="48">
        <v>0</v>
      </c>
      <c r="AT654" s="48">
        <v>0</v>
      </c>
      <c r="AU654" s="48">
        <v>0</v>
      </c>
      <c r="AV654" s="48">
        <v>0</v>
      </c>
      <c r="AW654" s="48">
        <v>0</v>
      </c>
      <c r="AX654" s="48">
        <v>0</v>
      </c>
      <c r="AY654" s="48">
        <v>0</v>
      </c>
      <c r="AZ654" s="48">
        <v>0</v>
      </c>
      <c r="BA654" s="48">
        <v>0</v>
      </c>
      <c r="BB654" s="48">
        <v>0</v>
      </c>
    </row>
    <row r="655" spans="1:54" x14ac:dyDescent="0.35">
      <c r="A655" s="49">
        <v>45930</v>
      </c>
      <c r="B655" s="48">
        <v>1</v>
      </c>
      <c r="C655" s="50" t="s">
        <v>32</v>
      </c>
      <c r="D655" s="48" t="s">
        <v>31</v>
      </c>
      <c r="E655" s="48" t="s">
        <v>138</v>
      </c>
      <c r="F655" s="48" t="s">
        <v>139</v>
      </c>
      <c r="G655" s="49" t="s">
        <v>59</v>
      </c>
      <c r="H655" s="48" t="s">
        <v>161</v>
      </c>
      <c r="I655" s="48">
        <v>1</v>
      </c>
      <c r="J655" s="48">
        <v>247</v>
      </c>
      <c r="K655" s="48">
        <v>1</v>
      </c>
      <c r="N655" s="48">
        <v>0</v>
      </c>
      <c r="R655" s="49"/>
      <c r="S655" s="49"/>
      <c r="T655" s="49">
        <v>53447</v>
      </c>
      <c r="U655" s="49">
        <v>53447</v>
      </c>
      <c r="V655" s="49">
        <v>53447</v>
      </c>
      <c r="W655" s="49">
        <v>53447</v>
      </c>
      <c r="X655" s="48">
        <v>1</v>
      </c>
      <c r="Y655" s="48">
        <v>1</v>
      </c>
      <c r="Z655" s="48">
        <v>1</v>
      </c>
      <c r="AA655" s="156">
        <v>0</v>
      </c>
      <c r="AF655" s="48">
        <v>0</v>
      </c>
      <c r="AG655" s="49" t="s">
        <v>32</v>
      </c>
      <c r="AH655" s="48">
        <v>1</v>
      </c>
      <c r="AI655" s="48" t="s">
        <v>33</v>
      </c>
      <c r="AJ655" s="48" t="s">
        <v>33</v>
      </c>
      <c r="AK655" s="48" t="s">
        <v>33</v>
      </c>
      <c r="AL655" s="48" t="s">
        <v>34</v>
      </c>
      <c r="AN655" s="48">
        <v>0</v>
      </c>
      <c r="AO655" s="48">
        <v>0</v>
      </c>
      <c r="AP655" s="48">
        <v>0</v>
      </c>
      <c r="AQ655" s="48">
        <v>0</v>
      </c>
      <c r="AR655" s="48">
        <v>0</v>
      </c>
      <c r="AS655" s="48">
        <v>0</v>
      </c>
      <c r="AT655" s="48">
        <v>0</v>
      </c>
      <c r="AU655" s="48">
        <v>0</v>
      </c>
      <c r="AV655" s="48">
        <v>0</v>
      </c>
      <c r="AW655" s="48">
        <v>0</v>
      </c>
      <c r="AX655" s="48">
        <v>0</v>
      </c>
      <c r="AY655" s="48">
        <v>0</v>
      </c>
      <c r="AZ655" s="48">
        <v>0</v>
      </c>
      <c r="BA655" s="48">
        <v>0</v>
      </c>
      <c r="BB655" s="48">
        <v>0</v>
      </c>
    </row>
    <row r="656" spans="1:54" x14ac:dyDescent="0.35">
      <c r="A656" s="49">
        <v>45930</v>
      </c>
      <c r="B656" s="48">
        <v>1</v>
      </c>
      <c r="C656" s="50" t="s">
        <v>32</v>
      </c>
      <c r="D656" s="48" t="s">
        <v>31</v>
      </c>
      <c r="E656" s="48" t="s">
        <v>138</v>
      </c>
      <c r="F656" s="48" t="s">
        <v>139</v>
      </c>
      <c r="G656" s="49" t="s">
        <v>59</v>
      </c>
      <c r="H656" s="48" t="s">
        <v>161</v>
      </c>
      <c r="I656" s="48">
        <v>1</v>
      </c>
      <c r="J656" s="48">
        <v>248</v>
      </c>
      <c r="K656" s="48">
        <v>1</v>
      </c>
      <c r="N656" s="48">
        <v>0</v>
      </c>
      <c r="R656" s="49"/>
      <c r="S656" s="49"/>
      <c r="T656" s="49">
        <v>53478</v>
      </c>
      <c r="U656" s="49">
        <v>53478</v>
      </c>
      <c r="V656" s="49">
        <v>53478</v>
      </c>
      <c r="W656" s="49">
        <v>53478</v>
      </c>
      <c r="X656" s="48">
        <v>1</v>
      </c>
      <c r="Y656" s="48">
        <v>1</v>
      </c>
      <c r="Z656" s="48">
        <v>1</v>
      </c>
      <c r="AA656" s="156">
        <v>0</v>
      </c>
      <c r="AF656" s="48">
        <v>0</v>
      </c>
      <c r="AG656" s="49" t="s">
        <v>32</v>
      </c>
      <c r="AH656" s="48">
        <v>1</v>
      </c>
      <c r="AI656" s="48" t="s">
        <v>33</v>
      </c>
      <c r="AJ656" s="48" t="s">
        <v>33</v>
      </c>
      <c r="AK656" s="48" t="s">
        <v>33</v>
      </c>
      <c r="AL656" s="48" t="s">
        <v>34</v>
      </c>
      <c r="AN656" s="48">
        <v>0</v>
      </c>
      <c r="AO656" s="48">
        <v>0</v>
      </c>
      <c r="AP656" s="48">
        <v>0</v>
      </c>
      <c r="AQ656" s="48">
        <v>0</v>
      </c>
      <c r="AR656" s="48">
        <v>0</v>
      </c>
      <c r="AS656" s="48">
        <v>0</v>
      </c>
      <c r="AT656" s="48">
        <v>0</v>
      </c>
      <c r="AU656" s="48">
        <v>0</v>
      </c>
      <c r="AV656" s="48">
        <v>0</v>
      </c>
      <c r="AW656" s="48">
        <v>0</v>
      </c>
      <c r="AX656" s="48">
        <v>0</v>
      </c>
      <c r="AY656" s="48">
        <v>0</v>
      </c>
      <c r="AZ656" s="48">
        <v>0</v>
      </c>
      <c r="BA656" s="48">
        <v>0</v>
      </c>
      <c r="BB656" s="48">
        <v>0</v>
      </c>
    </row>
    <row r="657" spans="1:54" x14ac:dyDescent="0.35">
      <c r="A657" s="49">
        <v>45930</v>
      </c>
      <c r="B657" s="48">
        <v>1</v>
      </c>
      <c r="C657" s="50" t="s">
        <v>32</v>
      </c>
      <c r="D657" s="48" t="s">
        <v>31</v>
      </c>
      <c r="E657" s="48" t="s">
        <v>138</v>
      </c>
      <c r="F657" s="48" t="s">
        <v>139</v>
      </c>
      <c r="G657" s="49" t="s">
        <v>59</v>
      </c>
      <c r="H657" s="48" t="s">
        <v>161</v>
      </c>
      <c r="I657" s="48">
        <v>1</v>
      </c>
      <c r="J657" s="48">
        <v>249</v>
      </c>
      <c r="K657" s="48">
        <v>1</v>
      </c>
      <c r="N657" s="48">
        <v>0</v>
      </c>
      <c r="R657" s="49"/>
      <c r="S657" s="49"/>
      <c r="T657" s="49">
        <v>53508</v>
      </c>
      <c r="U657" s="49">
        <v>53508</v>
      </c>
      <c r="V657" s="49">
        <v>53508</v>
      </c>
      <c r="W657" s="49">
        <v>53508</v>
      </c>
      <c r="X657" s="48">
        <v>1</v>
      </c>
      <c r="Y657" s="48">
        <v>1</v>
      </c>
      <c r="Z657" s="48">
        <v>1</v>
      </c>
      <c r="AA657" s="156">
        <v>0</v>
      </c>
      <c r="AF657" s="48">
        <v>0</v>
      </c>
      <c r="AG657" s="49" t="s">
        <v>32</v>
      </c>
      <c r="AH657" s="48">
        <v>1</v>
      </c>
      <c r="AI657" s="48" t="s">
        <v>33</v>
      </c>
      <c r="AJ657" s="48" t="s">
        <v>33</v>
      </c>
      <c r="AK657" s="48" t="s">
        <v>33</v>
      </c>
      <c r="AL657" s="48" t="s">
        <v>34</v>
      </c>
      <c r="AN657" s="48">
        <v>0</v>
      </c>
      <c r="AO657" s="48">
        <v>0</v>
      </c>
      <c r="AP657" s="48">
        <v>0</v>
      </c>
      <c r="AQ657" s="48">
        <v>0</v>
      </c>
      <c r="AR657" s="48">
        <v>0</v>
      </c>
      <c r="AS657" s="48">
        <v>0</v>
      </c>
      <c r="AT657" s="48">
        <v>0</v>
      </c>
      <c r="AU657" s="48">
        <v>0</v>
      </c>
      <c r="AV657" s="48">
        <v>0</v>
      </c>
      <c r="AW657" s="48">
        <v>0</v>
      </c>
      <c r="AX657" s="48">
        <v>0</v>
      </c>
      <c r="AY657" s="48">
        <v>0</v>
      </c>
      <c r="AZ657" s="48">
        <v>0</v>
      </c>
      <c r="BA657" s="48">
        <v>0</v>
      </c>
      <c r="BB657" s="48">
        <v>0</v>
      </c>
    </row>
    <row r="658" spans="1:54" x14ac:dyDescent="0.35">
      <c r="A658" s="49">
        <v>45930</v>
      </c>
      <c r="B658" s="48">
        <v>1</v>
      </c>
      <c r="C658" s="50" t="s">
        <v>32</v>
      </c>
      <c r="D658" s="48" t="s">
        <v>31</v>
      </c>
      <c r="E658" s="48" t="s">
        <v>138</v>
      </c>
      <c r="F658" s="48" t="s">
        <v>139</v>
      </c>
      <c r="G658" s="49" t="s">
        <v>59</v>
      </c>
      <c r="H658" s="48" t="s">
        <v>161</v>
      </c>
      <c r="I658" s="48">
        <v>1</v>
      </c>
      <c r="J658" s="48">
        <v>250</v>
      </c>
      <c r="K658" s="48">
        <v>1</v>
      </c>
      <c r="N658" s="48">
        <v>0</v>
      </c>
      <c r="R658" s="49"/>
      <c r="S658" s="49"/>
      <c r="T658" s="49">
        <v>53539</v>
      </c>
      <c r="U658" s="49">
        <v>53539</v>
      </c>
      <c r="V658" s="49">
        <v>53539</v>
      </c>
      <c r="W658" s="49">
        <v>53539</v>
      </c>
      <c r="X658" s="48">
        <v>1</v>
      </c>
      <c r="Y658" s="48">
        <v>1</v>
      </c>
      <c r="Z658" s="48">
        <v>1</v>
      </c>
      <c r="AA658" s="156">
        <v>0</v>
      </c>
      <c r="AF658" s="48">
        <v>0</v>
      </c>
      <c r="AG658" s="49" t="s">
        <v>32</v>
      </c>
      <c r="AH658" s="48">
        <v>1</v>
      </c>
      <c r="AI658" s="48" t="s">
        <v>33</v>
      </c>
      <c r="AJ658" s="48" t="s">
        <v>33</v>
      </c>
      <c r="AK658" s="48" t="s">
        <v>33</v>
      </c>
      <c r="AL658" s="48" t="s">
        <v>34</v>
      </c>
      <c r="AN658" s="48">
        <v>0</v>
      </c>
      <c r="AO658" s="48">
        <v>0</v>
      </c>
      <c r="AP658" s="48">
        <v>0</v>
      </c>
      <c r="AQ658" s="48">
        <v>0</v>
      </c>
      <c r="AR658" s="48">
        <v>0</v>
      </c>
      <c r="AS658" s="48">
        <v>0</v>
      </c>
      <c r="AT658" s="48">
        <v>0</v>
      </c>
      <c r="AU658" s="48">
        <v>0</v>
      </c>
      <c r="AV658" s="48">
        <v>0</v>
      </c>
      <c r="AW658" s="48">
        <v>0</v>
      </c>
      <c r="AX658" s="48">
        <v>0</v>
      </c>
      <c r="AY658" s="48">
        <v>0</v>
      </c>
      <c r="AZ658" s="48">
        <v>0</v>
      </c>
      <c r="BA658" s="48">
        <v>0</v>
      </c>
      <c r="BB658" s="48">
        <v>0</v>
      </c>
    </row>
    <row r="659" spans="1:54" x14ac:dyDescent="0.35">
      <c r="A659" s="49">
        <v>45930</v>
      </c>
      <c r="B659" s="48">
        <v>1</v>
      </c>
      <c r="C659" s="50" t="s">
        <v>32</v>
      </c>
      <c r="D659" s="48" t="s">
        <v>31</v>
      </c>
      <c r="E659" s="48" t="s">
        <v>138</v>
      </c>
      <c r="F659" s="48" t="s">
        <v>139</v>
      </c>
      <c r="G659" s="49" t="s">
        <v>59</v>
      </c>
      <c r="H659" s="48" t="s">
        <v>161</v>
      </c>
      <c r="I659" s="48">
        <v>1</v>
      </c>
      <c r="J659" s="48">
        <v>251</v>
      </c>
      <c r="K659" s="48">
        <v>1</v>
      </c>
      <c r="N659" s="48">
        <v>0</v>
      </c>
      <c r="R659" s="49"/>
      <c r="S659" s="49"/>
      <c r="T659" s="49">
        <v>53570</v>
      </c>
      <c r="U659" s="49">
        <v>53570</v>
      </c>
      <c r="V659" s="49">
        <v>53570</v>
      </c>
      <c r="W659" s="49">
        <v>53570</v>
      </c>
      <c r="X659" s="48">
        <v>1</v>
      </c>
      <c r="Y659" s="48">
        <v>1</v>
      </c>
      <c r="Z659" s="48">
        <v>1</v>
      </c>
      <c r="AA659" s="156">
        <v>0</v>
      </c>
      <c r="AF659" s="48">
        <v>0</v>
      </c>
      <c r="AG659" s="49" t="s">
        <v>32</v>
      </c>
      <c r="AH659" s="48">
        <v>1</v>
      </c>
      <c r="AI659" s="48" t="s">
        <v>33</v>
      </c>
      <c r="AJ659" s="48" t="s">
        <v>33</v>
      </c>
      <c r="AK659" s="48" t="s">
        <v>33</v>
      </c>
      <c r="AL659" s="48" t="s">
        <v>34</v>
      </c>
      <c r="AN659" s="48">
        <v>0</v>
      </c>
      <c r="AO659" s="48">
        <v>0</v>
      </c>
      <c r="AP659" s="48">
        <v>0</v>
      </c>
      <c r="AQ659" s="48">
        <v>0</v>
      </c>
      <c r="AR659" s="48">
        <v>0</v>
      </c>
      <c r="AS659" s="48">
        <v>0</v>
      </c>
      <c r="AT659" s="48">
        <v>0</v>
      </c>
      <c r="AU659" s="48">
        <v>0</v>
      </c>
      <c r="AV659" s="48">
        <v>0</v>
      </c>
      <c r="AW659" s="48">
        <v>0</v>
      </c>
      <c r="AX659" s="48">
        <v>0</v>
      </c>
      <c r="AY659" s="48">
        <v>0</v>
      </c>
      <c r="AZ659" s="48">
        <v>0</v>
      </c>
      <c r="BA659" s="48">
        <v>0</v>
      </c>
      <c r="BB659" s="48">
        <v>0</v>
      </c>
    </row>
    <row r="660" spans="1:54" x14ac:dyDescent="0.35">
      <c r="A660" s="49">
        <v>45930</v>
      </c>
      <c r="B660" s="48">
        <v>1</v>
      </c>
      <c r="C660" s="50" t="s">
        <v>32</v>
      </c>
      <c r="D660" s="48" t="s">
        <v>31</v>
      </c>
      <c r="E660" s="48" t="s">
        <v>138</v>
      </c>
      <c r="F660" s="48" t="s">
        <v>139</v>
      </c>
      <c r="G660" s="49" t="s">
        <v>59</v>
      </c>
      <c r="H660" s="48" t="s">
        <v>161</v>
      </c>
      <c r="I660" s="48">
        <v>1</v>
      </c>
      <c r="J660" s="48">
        <v>252</v>
      </c>
      <c r="K660" s="48">
        <v>1</v>
      </c>
      <c r="N660" s="48">
        <v>0</v>
      </c>
      <c r="R660" s="49"/>
      <c r="S660" s="49"/>
      <c r="T660" s="49">
        <v>53600</v>
      </c>
      <c r="U660" s="49">
        <v>53600</v>
      </c>
      <c r="V660" s="49">
        <v>53600</v>
      </c>
      <c r="W660" s="49">
        <v>53600</v>
      </c>
      <c r="X660" s="48">
        <v>1</v>
      </c>
      <c r="Y660" s="48">
        <v>1</v>
      </c>
      <c r="Z660" s="48">
        <v>1</v>
      </c>
      <c r="AA660" s="156">
        <v>0</v>
      </c>
      <c r="AF660" s="48">
        <v>0</v>
      </c>
      <c r="AG660" s="49" t="s">
        <v>32</v>
      </c>
      <c r="AH660" s="48">
        <v>1</v>
      </c>
      <c r="AI660" s="48" t="s">
        <v>33</v>
      </c>
      <c r="AJ660" s="48" t="s">
        <v>33</v>
      </c>
      <c r="AK660" s="48" t="s">
        <v>33</v>
      </c>
      <c r="AL660" s="48" t="s">
        <v>34</v>
      </c>
      <c r="AN660" s="48">
        <v>0</v>
      </c>
      <c r="AO660" s="48">
        <v>0</v>
      </c>
      <c r="AP660" s="48">
        <v>0</v>
      </c>
      <c r="AQ660" s="48">
        <v>0</v>
      </c>
      <c r="AR660" s="48">
        <v>0</v>
      </c>
      <c r="AS660" s="48">
        <v>0</v>
      </c>
      <c r="AT660" s="48">
        <v>0</v>
      </c>
      <c r="AU660" s="48">
        <v>0</v>
      </c>
      <c r="AV660" s="48">
        <v>0</v>
      </c>
      <c r="AW660" s="48">
        <v>0</v>
      </c>
      <c r="AX660" s="48">
        <v>0</v>
      </c>
      <c r="AY660" s="48">
        <v>0</v>
      </c>
      <c r="AZ660" s="48">
        <v>0</v>
      </c>
      <c r="BA660" s="48">
        <v>0</v>
      </c>
      <c r="BB660" s="48">
        <v>0</v>
      </c>
    </row>
    <row r="661" spans="1:54" x14ac:dyDescent="0.35">
      <c r="A661" s="49">
        <v>45930</v>
      </c>
      <c r="B661" s="48">
        <v>1</v>
      </c>
      <c r="C661" s="50" t="s">
        <v>32</v>
      </c>
      <c r="D661" s="48" t="s">
        <v>31</v>
      </c>
      <c r="E661" s="48" t="s">
        <v>138</v>
      </c>
      <c r="F661" s="48" t="s">
        <v>139</v>
      </c>
      <c r="G661" s="49" t="s">
        <v>59</v>
      </c>
      <c r="H661" s="48" t="s">
        <v>161</v>
      </c>
      <c r="I661" s="48">
        <v>1</v>
      </c>
      <c r="J661" s="48">
        <v>253</v>
      </c>
      <c r="K661" s="48">
        <v>1</v>
      </c>
      <c r="N661" s="48">
        <v>0</v>
      </c>
      <c r="R661" s="49"/>
      <c r="S661" s="49"/>
      <c r="T661" s="49">
        <v>53631</v>
      </c>
      <c r="U661" s="49">
        <v>53631</v>
      </c>
      <c r="V661" s="49">
        <v>53631</v>
      </c>
      <c r="W661" s="49">
        <v>53631</v>
      </c>
      <c r="X661" s="48">
        <v>1</v>
      </c>
      <c r="Y661" s="48">
        <v>1</v>
      </c>
      <c r="Z661" s="48">
        <v>1</v>
      </c>
      <c r="AA661" s="156">
        <v>0</v>
      </c>
      <c r="AF661" s="48">
        <v>0</v>
      </c>
      <c r="AG661" s="49" t="s">
        <v>32</v>
      </c>
      <c r="AH661" s="48">
        <v>1</v>
      </c>
      <c r="AI661" s="48" t="s">
        <v>33</v>
      </c>
      <c r="AJ661" s="48" t="s">
        <v>33</v>
      </c>
      <c r="AK661" s="48" t="s">
        <v>33</v>
      </c>
      <c r="AL661" s="48" t="s">
        <v>34</v>
      </c>
      <c r="AN661" s="48">
        <v>0</v>
      </c>
      <c r="AO661" s="48">
        <v>0</v>
      </c>
      <c r="AP661" s="48">
        <v>0</v>
      </c>
      <c r="AQ661" s="48">
        <v>0</v>
      </c>
      <c r="AR661" s="48">
        <v>0</v>
      </c>
      <c r="AS661" s="48">
        <v>0</v>
      </c>
      <c r="AT661" s="48">
        <v>0</v>
      </c>
      <c r="AU661" s="48">
        <v>0</v>
      </c>
      <c r="AV661" s="48">
        <v>0</v>
      </c>
      <c r="AW661" s="48">
        <v>0</v>
      </c>
      <c r="AX661" s="48">
        <v>0</v>
      </c>
      <c r="AY661" s="48">
        <v>0</v>
      </c>
      <c r="AZ661" s="48">
        <v>0</v>
      </c>
      <c r="BA661" s="48">
        <v>0</v>
      </c>
      <c r="BB661" s="48">
        <v>0</v>
      </c>
    </row>
    <row r="662" spans="1:54" x14ac:dyDescent="0.35">
      <c r="A662" s="49">
        <v>45930</v>
      </c>
      <c r="B662" s="48">
        <v>1</v>
      </c>
      <c r="C662" s="50" t="s">
        <v>32</v>
      </c>
      <c r="D662" s="48" t="s">
        <v>31</v>
      </c>
      <c r="E662" s="48" t="s">
        <v>138</v>
      </c>
      <c r="F662" s="48" t="s">
        <v>139</v>
      </c>
      <c r="G662" s="49" t="s">
        <v>59</v>
      </c>
      <c r="H662" s="48" t="s">
        <v>161</v>
      </c>
      <c r="I662" s="48">
        <v>1</v>
      </c>
      <c r="J662" s="48">
        <v>254</v>
      </c>
      <c r="K662" s="48">
        <v>1</v>
      </c>
      <c r="N662" s="48">
        <v>0</v>
      </c>
      <c r="R662" s="49"/>
      <c r="S662" s="49"/>
      <c r="T662" s="49">
        <v>53661</v>
      </c>
      <c r="U662" s="49">
        <v>53661</v>
      </c>
      <c r="V662" s="49">
        <v>53661</v>
      </c>
      <c r="W662" s="49">
        <v>53661</v>
      </c>
      <c r="X662" s="48">
        <v>1</v>
      </c>
      <c r="Y662" s="48">
        <v>1</v>
      </c>
      <c r="Z662" s="48">
        <v>1</v>
      </c>
      <c r="AA662" s="156">
        <v>0</v>
      </c>
      <c r="AF662" s="48">
        <v>0</v>
      </c>
      <c r="AG662" s="49" t="s">
        <v>32</v>
      </c>
      <c r="AH662" s="48">
        <v>1</v>
      </c>
      <c r="AI662" s="48" t="s">
        <v>33</v>
      </c>
      <c r="AJ662" s="48" t="s">
        <v>33</v>
      </c>
      <c r="AK662" s="48" t="s">
        <v>33</v>
      </c>
      <c r="AL662" s="48" t="s">
        <v>34</v>
      </c>
      <c r="AN662" s="48">
        <v>0</v>
      </c>
      <c r="AO662" s="48">
        <v>0</v>
      </c>
      <c r="AP662" s="48">
        <v>0</v>
      </c>
      <c r="AQ662" s="48">
        <v>0</v>
      </c>
      <c r="AR662" s="48">
        <v>0</v>
      </c>
      <c r="AS662" s="48">
        <v>0</v>
      </c>
      <c r="AT662" s="48">
        <v>0</v>
      </c>
      <c r="AU662" s="48">
        <v>0</v>
      </c>
      <c r="AV662" s="48">
        <v>0</v>
      </c>
      <c r="AW662" s="48">
        <v>0</v>
      </c>
      <c r="AX662" s="48">
        <v>0</v>
      </c>
      <c r="AY662" s="48">
        <v>0</v>
      </c>
      <c r="AZ662" s="48">
        <v>0</v>
      </c>
      <c r="BA662" s="48">
        <v>0</v>
      </c>
      <c r="BB662" s="48">
        <v>0</v>
      </c>
    </row>
    <row r="663" spans="1:54" x14ac:dyDescent="0.35">
      <c r="A663" s="49">
        <v>45930</v>
      </c>
      <c r="B663" s="48">
        <v>1</v>
      </c>
      <c r="C663" s="50" t="s">
        <v>32</v>
      </c>
      <c r="D663" s="48" t="s">
        <v>31</v>
      </c>
      <c r="E663" s="48" t="s">
        <v>138</v>
      </c>
      <c r="F663" s="48" t="s">
        <v>139</v>
      </c>
      <c r="G663" s="49" t="s">
        <v>59</v>
      </c>
      <c r="H663" s="48" t="s">
        <v>161</v>
      </c>
      <c r="I663" s="48">
        <v>1</v>
      </c>
      <c r="J663" s="48">
        <v>255</v>
      </c>
      <c r="K663" s="48">
        <v>1</v>
      </c>
      <c r="N663" s="48">
        <v>0</v>
      </c>
      <c r="R663" s="49"/>
      <c r="S663" s="49"/>
      <c r="T663" s="49">
        <v>53692</v>
      </c>
      <c r="U663" s="49">
        <v>53692</v>
      </c>
      <c r="V663" s="49">
        <v>53692</v>
      </c>
      <c r="W663" s="49">
        <v>53692</v>
      </c>
      <c r="X663" s="48">
        <v>1</v>
      </c>
      <c r="Y663" s="48">
        <v>1</v>
      </c>
      <c r="Z663" s="48">
        <v>1</v>
      </c>
      <c r="AA663" s="156">
        <v>0</v>
      </c>
      <c r="AF663" s="48">
        <v>0</v>
      </c>
      <c r="AG663" s="49" t="s">
        <v>32</v>
      </c>
      <c r="AH663" s="48">
        <v>1</v>
      </c>
      <c r="AI663" s="48" t="s">
        <v>33</v>
      </c>
      <c r="AJ663" s="48" t="s">
        <v>33</v>
      </c>
      <c r="AK663" s="48" t="s">
        <v>33</v>
      </c>
      <c r="AL663" s="48" t="s">
        <v>34</v>
      </c>
      <c r="AN663" s="48">
        <v>0</v>
      </c>
      <c r="AO663" s="48">
        <v>0</v>
      </c>
      <c r="AP663" s="48">
        <v>0</v>
      </c>
      <c r="AQ663" s="48">
        <v>0</v>
      </c>
      <c r="AR663" s="48">
        <v>0</v>
      </c>
      <c r="AS663" s="48">
        <v>0</v>
      </c>
      <c r="AT663" s="48">
        <v>0</v>
      </c>
      <c r="AU663" s="48">
        <v>0</v>
      </c>
      <c r="AV663" s="48">
        <v>0</v>
      </c>
      <c r="AW663" s="48">
        <v>0</v>
      </c>
      <c r="AX663" s="48">
        <v>0</v>
      </c>
      <c r="AY663" s="48">
        <v>0</v>
      </c>
      <c r="AZ663" s="48">
        <v>0</v>
      </c>
      <c r="BA663" s="48">
        <v>0</v>
      </c>
      <c r="BB663" s="48">
        <v>0</v>
      </c>
    </row>
    <row r="664" spans="1:54" x14ac:dyDescent="0.35">
      <c r="A664" s="49">
        <v>45930</v>
      </c>
      <c r="B664" s="48">
        <v>1</v>
      </c>
      <c r="C664" s="50" t="s">
        <v>32</v>
      </c>
      <c r="D664" s="48" t="s">
        <v>31</v>
      </c>
      <c r="E664" s="48" t="s">
        <v>138</v>
      </c>
      <c r="F664" s="48" t="s">
        <v>139</v>
      </c>
      <c r="G664" s="49" t="s">
        <v>59</v>
      </c>
      <c r="H664" s="48" t="s">
        <v>161</v>
      </c>
      <c r="I664" s="48">
        <v>1</v>
      </c>
      <c r="J664" s="48">
        <v>256</v>
      </c>
      <c r="K664" s="48">
        <v>1</v>
      </c>
      <c r="N664" s="48">
        <v>0</v>
      </c>
      <c r="R664" s="49"/>
      <c r="S664" s="49"/>
      <c r="T664" s="49">
        <v>53723</v>
      </c>
      <c r="U664" s="49">
        <v>53723</v>
      </c>
      <c r="V664" s="49">
        <v>53723</v>
      </c>
      <c r="W664" s="49">
        <v>53723</v>
      </c>
      <c r="X664" s="48">
        <v>1</v>
      </c>
      <c r="Y664" s="48">
        <v>1</v>
      </c>
      <c r="Z664" s="48">
        <v>1</v>
      </c>
      <c r="AA664" s="156">
        <v>0</v>
      </c>
      <c r="AF664" s="48">
        <v>0</v>
      </c>
      <c r="AG664" s="49" t="s">
        <v>32</v>
      </c>
      <c r="AH664" s="48">
        <v>1</v>
      </c>
      <c r="AI664" s="48" t="s">
        <v>33</v>
      </c>
      <c r="AJ664" s="48" t="s">
        <v>33</v>
      </c>
      <c r="AK664" s="48" t="s">
        <v>33</v>
      </c>
      <c r="AL664" s="48" t="s">
        <v>34</v>
      </c>
      <c r="AN664" s="48">
        <v>0</v>
      </c>
      <c r="AO664" s="48">
        <v>0</v>
      </c>
      <c r="AP664" s="48">
        <v>0</v>
      </c>
      <c r="AQ664" s="48">
        <v>0</v>
      </c>
      <c r="AR664" s="48">
        <v>0</v>
      </c>
      <c r="AS664" s="48">
        <v>0</v>
      </c>
      <c r="AT664" s="48">
        <v>0</v>
      </c>
      <c r="AU664" s="48">
        <v>0</v>
      </c>
      <c r="AV664" s="48">
        <v>0</v>
      </c>
      <c r="AW664" s="48">
        <v>0</v>
      </c>
      <c r="AX664" s="48">
        <v>0</v>
      </c>
      <c r="AY664" s="48">
        <v>0</v>
      </c>
      <c r="AZ664" s="48">
        <v>0</v>
      </c>
      <c r="BA664" s="48">
        <v>0</v>
      </c>
      <c r="BB664" s="48">
        <v>0</v>
      </c>
    </row>
    <row r="665" spans="1:54" x14ac:dyDescent="0.35">
      <c r="A665" s="49">
        <v>45930</v>
      </c>
      <c r="B665" s="48">
        <v>1</v>
      </c>
      <c r="C665" s="50" t="s">
        <v>32</v>
      </c>
      <c r="D665" s="48" t="s">
        <v>31</v>
      </c>
      <c r="E665" s="48" t="s">
        <v>138</v>
      </c>
      <c r="F665" s="48" t="s">
        <v>139</v>
      </c>
      <c r="G665" s="49" t="s">
        <v>59</v>
      </c>
      <c r="H665" s="48" t="s">
        <v>161</v>
      </c>
      <c r="I665" s="48">
        <v>1</v>
      </c>
      <c r="J665" s="48">
        <v>257</v>
      </c>
      <c r="K665" s="48">
        <v>1</v>
      </c>
      <c r="N665" s="48">
        <v>0</v>
      </c>
      <c r="R665" s="49"/>
      <c r="S665" s="49"/>
      <c r="T665" s="49">
        <v>53751</v>
      </c>
      <c r="U665" s="49">
        <v>53751</v>
      </c>
      <c r="V665" s="49">
        <v>53751</v>
      </c>
      <c r="W665" s="49">
        <v>53751</v>
      </c>
      <c r="X665" s="48">
        <v>1</v>
      </c>
      <c r="Y665" s="48">
        <v>1</v>
      </c>
      <c r="Z665" s="48">
        <v>1</v>
      </c>
      <c r="AA665" s="156">
        <v>0</v>
      </c>
      <c r="AF665" s="48">
        <v>0</v>
      </c>
      <c r="AG665" s="49" t="s">
        <v>32</v>
      </c>
      <c r="AH665" s="48">
        <v>1</v>
      </c>
      <c r="AI665" s="48" t="s">
        <v>33</v>
      </c>
      <c r="AJ665" s="48" t="s">
        <v>33</v>
      </c>
      <c r="AK665" s="48" t="s">
        <v>33</v>
      </c>
      <c r="AL665" s="48" t="s">
        <v>34</v>
      </c>
      <c r="AN665" s="48">
        <v>0</v>
      </c>
      <c r="AO665" s="48">
        <v>0</v>
      </c>
      <c r="AP665" s="48">
        <v>0</v>
      </c>
      <c r="AQ665" s="48">
        <v>0</v>
      </c>
      <c r="AR665" s="48">
        <v>0</v>
      </c>
      <c r="AS665" s="48">
        <v>0</v>
      </c>
      <c r="AT665" s="48">
        <v>0</v>
      </c>
      <c r="AU665" s="48">
        <v>0</v>
      </c>
      <c r="AV665" s="48">
        <v>0</v>
      </c>
      <c r="AW665" s="48">
        <v>0</v>
      </c>
      <c r="AX665" s="48">
        <v>0</v>
      </c>
      <c r="AY665" s="48">
        <v>0</v>
      </c>
      <c r="AZ665" s="48">
        <v>0</v>
      </c>
      <c r="BA665" s="48">
        <v>0</v>
      </c>
      <c r="BB665" s="48">
        <v>0</v>
      </c>
    </row>
    <row r="666" spans="1:54" x14ac:dyDescent="0.35">
      <c r="A666" s="49">
        <v>45930</v>
      </c>
      <c r="B666" s="48">
        <v>1</v>
      </c>
      <c r="C666" s="50" t="s">
        <v>32</v>
      </c>
      <c r="D666" s="48" t="s">
        <v>31</v>
      </c>
      <c r="E666" s="48" t="s">
        <v>138</v>
      </c>
      <c r="F666" s="48" t="s">
        <v>139</v>
      </c>
      <c r="G666" s="49" t="s">
        <v>59</v>
      </c>
      <c r="H666" s="48" t="s">
        <v>161</v>
      </c>
      <c r="I666" s="48">
        <v>1</v>
      </c>
      <c r="J666" s="48">
        <v>258</v>
      </c>
      <c r="K666" s="48">
        <v>1</v>
      </c>
      <c r="N666" s="48">
        <v>0</v>
      </c>
      <c r="R666" s="49"/>
      <c r="S666" s="49"/>
      <c r="T666" s="49">
        <v>53782</v>
      </c>
      <c r="U666" s="49">
        <v>53782</v>
      </c>
      <c r="V666" s="49">
        <v>53782</v>
      </c>
      <c r="W666" s="49">
        <v>53782</v>
      </c>
      <c r="X666" s="48">
        <v>1</v>
      </c>
      <c r="Y666" s="48">
        <v>1</v>
      </c>
      <c r="Z666" s="48">
        <v>1</v>
      </c>
      <c r="AA666" s="156">
        <v>0</v>
      </c>
      <c r="AF666" s="48">
        <v>0</v>
      </c>
      <c r="AG666" s="49" t="s">
        <v>32</v>
      </c>
      <c r="AH666" s="48">
        <v>1</v>
      </c>
      <c r="AI666" s="48" t="s">
        <v>33</v>
      </c>
      <c r="AJ666" s="48" t="s">
        <v>33</v>
      </c>
      <c r="AK666" s="48" t="s">
        <v>33</v>
      </c>
      <c r="AL666" s="48" t="s">
        <v>34</v>
      </c>
      <c r="AN666" s="48">
        <v>0</v>
      </c>
      <c r="AO666" s="48">
        <v>0</v>
      </c>
      <c r="AP666" s="48">
        <v>0</v>
      </c>
      <c r="AQ666" s="48">
        <v>0</v>
      </c>
      <c r="AR666" s="48">
        <v>0</v>
      </c>
      <c r="AS666" s="48">
        <v>0</v>
      </c>
      <c r="AT666" s="48">
        <v>0</v>
      </c>
      <c r="AU666" s="48">
        <v>0</v>
      </c>
      <c r="AV666" s="48">
        <v>0</v>
      </c>
      <c r="AW666" s="48">
        <v>0</v>
      </c>
      <c r="AX666" s="48">
        <v>0</v>
      </c>
      <c r="AY666" s="48">
        <v>0</v>
      </c>
      <c r="AZ666" s="48">
        <v>0</v>
      </c>
      <c r="BA666" s="48">
        <v>0</v>
      </c>
      <c r="BB666" s="48">
        <v>0</v>
      </c>
    </row>
    <row r="667" spans="1:54" x14ac:dyDescent="0.35">
      <c r="A667" s="49">
        <v>45930</v>
      </c>
      <c r="B667" s="48">
        <v>1</v>
      </c>
      <c r="C667" s="50" t="s">
        <v>32</v>
      </c>
      <c r="D667" s="48" t="s">
        <v>31</v>
      </c>
      <c r="E667" s="48" t="s">
        <v>138</v>
      </c>
      <c r="F667" s="48" t="s">
        <v>139</v>
      </c>
      <c r="G667" s="49" t="s">
        <v>59</v>
      </c>
      <c r="H667" s="48" t="s">
        <v>161</v>
      </c>
      <c r="I667" s="48">
        <v>1</v>
      </c>
      <c r="J667" s="48">
        <v>259</v>
      </c>
      <c r="K667" s="48">
        <v>1</v>
      </c>
      <c r="N667" s="48">
        <v>0</v>
      </c>
      <c r="R667" s="49"/>
      <c r="S667" s="49"/>
      <c r="T667" s="49">
        <v>53812</v>
      </c>
      <c r="U667" s="49">
        <v>53812</v>
      </c>
      <c r="V667" s="49">
        <v>53812</v>
      </c>
      <c r="W667" s="49">
        <v>53812</v>
      </c>
      <c r="X667" s="48">
        <v>1</v>
      </c>
      <c r="Y667" s="48">
        <v>1</v>
      </c>
      <c r="Z667" s="48">
        <v>1</v>
      </c>
      <c r="AA667" s="156">
        <v>0</v>
      </c>
      <c r="AF667" s="48">
        <v>0</v>
      </c>
      <c r="AG667" s="49" t="s">
        <v>32</v>
      </c>
      <c r="AH667" s="48">
        <v>1</v>
      </c>
      <c r="AI667" s="48" t="s">
        <v>33</v>
      </c>
      <c r="AJ667" s="48" t="s">
        <v>33</v>
      </c>
      <c r="AK667" s="48" t="s">
        <v>33</v>
      </c>
      <c r="AL667" s="48" t="s">
        <v>34</v>
      </c>
      <c r="AN667" s="48">
        <v>0</v>
      </c>
      <c r="AO667" s="48">
        <v>0</v>
      </c>
      <c r="AP667" s="48">
        <v>0</v>
      </c>
      <c r="AQ667" s="48">
        <v>0</v>
      </c>
      <c r="AR667" s="48">
        <v>0</v>
      </c>
      <c r="AS667" s="48">
        <v>0</v>
      </c>
      <c r="AT667" s="48">
        <v>0</v>
      </c>
      <c r="AU667" s="48">
        <v>0</v>
      </c>
      <c r="AV667" s="48">
        <v>0</v>
      </c>
      <c r="AW667" s="48">
        <v>0</v>
      </c>
      <c r="AX667" s="48">
        <v>0</v>
      </c>
      <c r="AY667" s="48">
        <v>0</v>
      </c>
      <c r="AZ667" s="48">
        <v>0</v>
      </c>
      <c r="BA667" s="48">
        <v>0</v>
      </c>
      <c r="BB667" s="48">
        <v>0</v>
      </c>
    </row>
    <row r="668" spans="1:54" x14ac:dyDescent="0.35">
      <c r="A668" s="49">
        <v>45930</v>
      </c>
      <c r="B668" s="48">
        <v>1</v>
      </c>
      <c r="C668" s="50" t="s">
        <v>32</v>
      </c>
      <c r="D668" s="48" t="s">
        <v>31</v>
      </c>
      <c r="E668" s="48" t="s">
        <v>138</v>
      </c>
      <c r="F668" s="48" t="s">
        <v>139</v>
      </c>
      <c r="G668" s="49" t="s">
        <v>59</v>
      </c>
      <c r="H668" s="48" t="s">
        <v>161</v>
      </c>
      <c r="I668" s="48">
        <v>1</v>
      </c>
      <c r="J668" s="48">
        <v>260</v>
      </c>
      <c r="K668" s="48">
        <v>1</v>
      </c>
      <c r="N668" s="48">
        <v>0</v>
      </c>
      <c r="R668" s="49"/>
      <c r="S668" s="49"/>
      <c r="T668" s="49">
        <v>53843</v>
      </c>
      <c r="U668" s="49">
        <v>53843</v>
      </c>
      <c r="V668" s="49">
        <v>53843</v>
      </c>
      <c r="W668" s="49">
        <v>53843</v>
      </c>
      <c r="X668" s="48">
        <v>1</v>
      </c>
      <c r="Y668" s="48">
        <v>1</v>
      </c>
      <c r="Z668" s="48">
        <v>1</v>
      </c>
      <c r="AA668" s="156">
        <v>0</v>
      </c>
      <c r="AF668" s="48">
        <v>0</v>
      </c>
      <c r="AG668" s="49" t="s">
        <v>32</v>
      </c>
      <c r="AH668" s="48">
        <v>1</v>
      </c>
      <c r="AI668" s="48" t="s">
        <v>33</v>
      </c>
      <c r="AJ668" s="48" t="s">
        <v>33</v>
      </c>
      <c r="AK668" s="48" t="s">
        <v>33</v>
      </c>
      <c r="AL668" s="48" t="s">
        <v>34</v>
      </c>
      <c r="AN668" s="48">
        <v>0</v>
      </c>
      <c r="AO668" s="48">
        <v>0</v>
      </c>
      <c r="AP668" s="48">
        <v>0</v>
      </c>
      <c r="AQ668" s="48">
        <v>0</v>
      </c>
      <c r="AR668" s="48">
        <v>0</v>
      </c>
      <c r="AS668" s="48">
        <v>0</v>
      </c>
      <c r="AT668" s="48">
        <v>0</v>
      </c>
      <c r="AU668" s="48">
        <v>0</v>
      </c>
      <c r="AV668" s="48">
        <v>0</v>
      </c>
      <c r="AW668" s="48">
        <v>0</v>
      </c>
      <c r="AX668" s="48">
        <v>0</v>
      </c>
      <c r="AY668" s="48">
        <v>0</v>
      </c>
      <c r="AZ668" s="48">
        <v>0</v>
      </c>
      <c r="BA668" s="48">
        <v>0</v>
      </c>
      <c r="BB668" s="48">
        <v>0</v>
      </c>
    </row>
    <row r="669" spans="1:54" x14ac:dyDescent="0.35">
      <c r="A669" s="49">
        <v>45930</v>
      </c>
      <c r="B669" s="48">
        <v>1</v>
      </c>
      <c r="C669" s="50" t="s">
        <v>32</v>
      </c>
      <c r="D669" s="48" t="s">
        <v>31</v>
      </c>
      <c r="E669" s="48" t="s">
        <v>138</v>
      </c>
      <c r="F669" s="48" t="s">
        <v>139</v>
      </c>
      <c r="G669" s="49" t="s">
        <v>59</v>
      </c>
      <c r="H669" s="48" t="s">
        <v>161</v>
      </c>
      <c r="I669" s="48">
        <v>1</v>
      </c>
      <c r="J669" s="48">
        <v>261</v>
      </c>
      <c r="K669" s="48">
        <v>1</v>
      </c>
      <c r="N669" s="48">
        <v>0</v>
      </c>
      <c r="R669" s="49"/>
      <c r="S669" s="49"/>
      <c r="T669" s="49">
        <v>53873</v>
      </c>
      <c r="U669" s="49">
        <v>53873</v>
      </c>
      <c r="V669" s="49">
        <v>53873</v>
      </c>
      <c r="W669" s="49">
        <v>53873</v>
      </c>
      <c r="X669" s="48">
        <v>1</v>
      </c>
      <c r="Y669" s="48">
        <v>1</v>
      </c>
      <c r="Z669" s="48">
        <v>1</v>
      </c>
      <c r="AA669" s="156">
        <v>0</v>
      </c>
      <c r="AF669" s="48">
        <v>0</v>
      </c>
      <c r="AG669" s="49" t="s">
        <v>32</v>
      </c>
      <c r="AH669" s="48">
        <v>1</v>
      </c>
      <c r="AI669" s="48" t="s">
        <v>33</v>
      </c>
      <c r="AJ669" s="48" t="s">
        <v>33</v>
      </c>
      <c r="AK669" s="48" t="s">
        <v>33</v>
      </c>
      <c r="AL669" s="48" t="s">
        <v>34</v>
      </c>
      <c r="AN669" s="48">
        <v>0</v>
      </c>
      <c r="AO669" s="48">
        <v>0</v>
      </c>
      <c r="AP669" s="48">
        <v>0</v>
      </c>
      <c r="AQ669" s="48">
        <v>0</v>
      </c>
      <c r="AR669" s="48">
        <v>0</v>
      </c>
      <c r="AS669" s="48">
        <v>0</v>
      </c>
      <c r="AT669" s="48">
        <v>0</v>
      </c>
      <c r="AU669" s="48">
        <v>0</v>
      </c>
      <c r="AV669" s="48">
        <v>0</v>
      </c>
      <c r="AW669" s="48">
        <v>0</v>
      </c>
      <c r="AX669" s="48">
        <v>0</v>
      </c>
      <c r="AY669" s="48">
        <v>0</v>
      </c>
      <c r="AZ669" s="48">
        <v>0</v>
      </c>
      <c r="BA669" s="48">
        <v>0</v>
      </c>
      <c r="BB669" s="48">
        <v>0</v>
      </c>
    </row>
    <row r="670" spans="1:54" x14ac:dyDescent="0.35">
      <c r="A670" s="49">
        <v>45930</v>
      </c>
      <c r="B670" s="48">
        <v>1</v>
      </c>
      <c r="C670" s="50" t="s">
        <v>32</v>
      </c>
      <c r="D670" s="48" t="s">
        <v>31</v>
      </c>
      <c r="E670" s="48" t="s">
        <v>138</v>
      </c>
      <c r="F670" s="48" t="s">
        <v>139</v>
      </c>
      <c r="G670" s="49" t="s">
        <v>59</v>
      </c>
      <c r="H670" s="48" t="s">
        <v>161</v>
      </c>
      <c r="I670" s="48">
        <v>1</v>
      </c>
      <c r="J670" s="48">
        <v>262</v>
      </c>
      <c r="K670" s="48">
        <v>1</v>
      </c>
      <c r="N670" s="48">
        <v>0</v>
      </c>
      <c r="R670" s="49"/>
      <c r="S670" s="49"/>
      <c r="T670" s="49">
        <v>53904</v>
      </c>
      <c r="U670" s="49">
        <v>53904</v>
      </c>
      <c r="V670" s="49">
        <v>53904</v>
      </c>
      <c r="W670" s="49">
        <v>53904</v>
      </c>
      <c r="X670" s="48">
        <v>1</v>
      </c>
      <c r="Y670" s="48">
        <v>1</v>
      </c>
      <c r="Z670" s="48">
        <v>1</v>
      </c>
      <c r="AA670" s="156">
        <v>0</v>
      </c>
      <c r="AF670" s="48">
        <v>0</v>
      </c>
      <c r="AG670" s="49" t="s">
        <v>32</v>
      </c>
      <c r="AH670" s="48">
        <v>1</v>
      </c>
      <c r="AI670" s="48" t="s">
        <v>33</v>
      </c>
      <c r="AJ670" s="48" t="s">
        <v>33</v>
      </c>
      <c r="AK670" s="48" t="s">
        <v>33</v>
      </c>
      <c r="AL670" s="48" t="s">
        <v>34</v>
      </c>
      <c r="AN670" s="48">
        <v>0</v>
      </c>
      <c r="AO670" s="48">
        <v>0</v>
      </c>
      <c r="AP670" s="48">
        <v>0</v>
      </c>
      <c r="AQ670" s="48">
        <v>0</v>
      </c>
      <c r="AR670" s="48">
        <v>0</v>
      </c>
      <c r="AS670" s="48">
        <v>0</v>
      </c>
      <c r="AT670" s="48">
        <v>0</v>
      </c>
      <c r="AU670" s="48">
        <v>0</v>
      </c>
      <c r="AV670" s="48">
        <v>0</v>
      </c>
      <c r="AW670" s="48">
        <v>0</v>
      </c>
      <c r="AX670" s="48">
        <v>0</v>
      </c>
      <c r="AY670" s="48">
        <v>0</v>
      </c>
      <c r="AZ670" s="48">
        <v>0</v>
      </c>
      <c r="BA670" s="48">
        <v>0</v>
      </c>
      <c r="BB670" s="48">
        <v>0</v>
      </c>
    </row>
    <row r="671" spans="1:54" x14ac:dyDescent="0.35">
      <c r="A671" s="49">
        <v>45930</v>
      </c>
      <c r="B671" s="48">
        <v>1</v>
      </c>
      <c r="C671" s="50" t="s">
        <v>32</v>
      </c>
      <c r="D671" s="48" t="s">
        <v>31</v>
      </c>
      <c r="E671" s="48" t="s">
        <v>138</v>
      </c>
      <c r="F671" s="48" t="s">
        <v>139</v>
      </c>
      <c r="G671" s="49" t="s">
        <v>59</v>
      </c>
      <c r="H671" s="48" t="s">
        <v>161</v>
      </c>
      <c r="I671" s="48">
        <v>1</v>
      </c>
      <c r="J671" s="48">
        <v>263</v>
      </c>
      <c r="K671" s="48">
        <v>1</v>
      </c>
      <c r="N671" s="48">
        <v>0</v>
      </c>
      <c r="R671" s="49"/>
      <c r="S671" s="49"/>
      <c r="T671" s="49">
        <v>53935</v>
      </c>
      <c r="U671" s="49">
        <v>53935</v>
      </c>
      <c r="V671" s="49">
        <v>53935</v>
      </c>
      <c r="W671" s="49">
        <v>53935</v>
      </c>
      <c r="X671" s="48">
        <v>1</v>
      </c>
      <c r="Y671" s="48">
        <v>1</v>
      </c>
      <c r="Z671" s="48">
        <v>1</v>
      </c>
      <c r="AA671" s="156">
        <v>0</v>
      </c>
      <c r="AF671" s="48">
        <v>0</v>
      </c>
      <c r="AG671" s="49" t="s">
        <v>32</v>
      </c>
      <c r="AH671" s="48">
        <v>1</v>
      </c>
      <c r="AI671" s="48" t="s">
        <v>33</v>
      </c>
      <c r="AJ671" s="48" t="s">
        <v>33</v>
      </c>
      <c r="AK671" s="48" t="s">
        <v>33</v>
      </c>
      <c r="AL671" s="48" t="s">
        <v>34</v>
      </c>
      <c r="AN671" s="48">
        <v>0</v>
      </c>
      <c r="AO671" s="48">
        <v>0</v>
      </c>
      <c r="AP671" s="48">
        <v>0</v>
      </c>
      <c r="AQ671" s="48">
        <v>0</v>
      </c>
      <c r="AR671" s="48">
        <v>0</v>
      </c>
      <c r="AS671" s="48">
        <v>0</v>
      </c>
      <c r="AT671" s="48">
        <v>0</v>
      </c>
      <c r="AU671" s="48">
        <v>0</v>
      </c>
      <c r="AV671" s="48">
        <v>0</v>
      </c>
      <c r="AW671" s="48">
        <v>0</v>
      </c>
      <c r="AX671" s="48">
        <v>0</v>
      </c>
      <c r="AY671" s="48">
        <v>0</v>
      </c>
      <c r="AZ671" s="48">
        <v>0</v>
      </c>
      <c r="BA671" s="48">
        <v>0</v>
      </c>
      <c r="BB671" s="48">
        <v>0</v>
      </c>
    </row>
    <row r="672" spans="1:54" x14ac:dyDescent="0.35">
      <c r="A672" s="49">
        <v>45930</v>
      </c>
      <c r="B672" s="48">
        <v>1</v>
      </c>
      <c r="C672" s="50" t="s">
        <v>32</v>
      </c>
      <c r="D672" s="48" t="s">
        <v>31</v>
      </c>
      <c r="E672" s="48" t="s">
        <v>138</v>
      </c>
      <c r="F672" s="48" t="s">
        <v>139</v>
      </c>
      <c r="G672" s="49" t="s">
        <v>59</v>
      </c>
      <c r="H672" s="48" t="s">
        <v>161</v>
      </c>
      <c r="I672" s="48">
        <v>1</v>
      </c>
      <c r="J672" s="48">
        <v>264</v>
      </c>
      <c r="K672" s="48">
        <v>1</v>
      </c>
      <c r="N672" s="48">
        <v>0</v>
      </c>
      <c r="R672" s="49"/>
      <c r="S672" s="49"/>
      <c r="T672" s="49">
        <v>53965</v>
      </c>
      <c r="U672" s="49">
        <v>53965</v>
      </c>
      <c r="V672" s="49">
        <v>53965</v>
      </c>
      <c r="W672" s="49">
        <v>53965</v>
      </c>
      <c r="X672" s="48">
        <v>1</v>
      </c>
      <c r="Y672" s="48">
        <v>1</v>
      </c>
      <c r="Z672" s="48">
        <v>1</v>
      </c>
      <c r="AA672" s="156">
        <v>0</v>
      </c>
      <c r="AF672" s="48">
        <v>0</v>
      </c>
      <c r="AG672" s="49" t="s">
        <v>32</v>
      </c>
      <c r="AH672" s="48">
        <v>1</v>
      </c>
      <c r="AI672" s="48" t="s">
        <v>33</v>
      </c>
      <c r="AJ672" s="48" t="s">
        <v>33</v>
      </c>
      <c r="AK672" s="48" t="s">
        <v>33</v>
      </c>
      <c r="AL672" s="48" t="s">
        <v>34</v>
      </c>
      <c r="AN672" s="48">
        <v>0</v>
      </c>
      <c r="AO672" s="48">
        <v>0</v>
      </c>
      <c r="AP672" s="48">
        <v>0</v>
      </c>
      <c r="AQ672" s="48">
        <v>0</v>
      </c>
      <c r="AR672" s="48">
        <v>0</v>
      </c>
      <c r="AS672" s="48">
        <v>0</v>
      </c>
      <c r="AT672" s="48">
        <v>0</v>
      </c>
      <c r="AU672" s="48">
        <v>0</v>
      </c>
      <c r="AV672" s="48">
        <v>0</v>
      </c>
      <c r="AW672" s="48">
        <v>0</v>
      </c>
      <c r="AX672" s="48">
        <v>0</v>
      </c>
      <c r="AY672" s="48">
        <v>0</v>
      </c>
      <c r="AZ672" s="48">
        <v>0</v>
      </c>
      <c r="BA672" s="48">
        <v>0</v>
      </c>
      <c r="BB672" s="48">
        <v>0</v>
      </c>
    </row>
    <row r="673" spans="1:54" x14ac:dyDescent="0.35">
      <c r="A673" s="49">
        <v>45930</v>
      </c>
      <c r="B673" s="48">
        <v>1</v>
      </c>
      <c r="C673" s="50" t="s">
        <v>32</v>
      </c>
      <c r="D673" s="48" t="s">
        <v>31</v>
      </c>
      <c r="E673" s="48" t="s">
        <v>138</v>
      </c>
      <c r="F673" s="48" t="s">
        <v>139</v>
      </c>
      <c r="G673" s="49" t="s">
        <v>59</v>
      </c>
      <c r="H673" s="48" t="s">
        <v>161</v>
      </c>
      <c r="I673" s="48">
        <v>1</v>
      </c>
      <c r="J673" s="48">
        <v>265</v>
      </c>
      <c r="K673" s="48">
        <v>1</v>
      </c>
      <c r="N673" s="48">
        <v>0</v>
      </c>
      <c r="R673" s="49"/>
      <c r="S673" s="49"/>
      <c r="T673" s="49">
        <v>53996</v>
      </c>
      <c r="U673" s="49">
        <v>53996</v>
      </c>
      <c r="V673" s="49">
        <v>53996</v>
      </c>
      <c r="W673" s="49">
        <v>53996</v>
      </c>
      <c r="X673" s="48">
        <v>1</v>
      </c>
      <c r="Y673" s="48">
        <v>1</v>
      </c>
      <c r="Z673" s="48">
        <v>1</v>
      </c>
      <c r="AA673" s="156">
        <v>0</v>
      </c>
      <c r="AF673" s="48">
        <v>0</v>
      </c>
      <c r="AG673" s="49" t="s">
        <v>32</v>
      </c>
      <c r="AH673" s="48">
        <v>1</v>
      </c>
      <c r="AI673" s="48" t="s">
        <v>33</v>
      </c>
      <c r="AJ673" s="48" t="s">
        <v>33</v>
      </c>
      <c r="AK673" s="48" t="s">
        <v>33</v>
      </c>
      <c r="AL673" s="48" t="s">
        <v>34</v>
      </c>
      <c r="AN673" s="48">
        <v>0</v>
      </c>
      <c r="AO673" s="48">
        <v>0</v>
      </c>
      <c r="AP673" s="48">
        <v>0</v>
      </c>
      <c r="AQ673" s="48">
        <v>0</v>
      </c>
      <c r="AR673" s="48">
        <v>0</v>
      </c>
      <c r="AS673" s="48">
        <v>0</v>
      </c>
      <c r="AT673" s="48">
        <v>0</v>
      </c>
      <c r="AU673" s="48">
        <v>0</v>
      </c>
      <c r="AV673" s="48">
        <v>0</v>
      </c>
      <c r="AW673" s="48">
        <v>0</v>
      </c>
      <c r="AX673" s="48">
        <v>0</v>
      </c>
      <c r="AY673" s="48">
        <v>0</v>
      </c>
      <c r="AZ673" s="48">
        <v>0</v>
      </c>
      <c r="BA673" s="48">
        <v>0</v>
      </c>
      <c r="BB673" s="48">
        <v>0</v>
      </c>
    </row>
    <row r="674" spans="1:54" x14ac:dyDescent="0.35">
      <c r="A674" s="49">
        <v>45930</v>
      </c>
      <c r="B674" s="48">
        <v>1</v>
      </c>
      <c r="C674" s="50" t="s">
        <v>32</v>
      </c>
      <c r="D674" s="48" t="s">
        <v>31</v>
      </c>
      <c r="E674" s="48" t="s">
        <v>138</v>
      </c>
      <c r="F674" s="48" t="s">
        <v>139</v>
      </c>
      <c r="G674" s="49" t="s">
        <v>59</v>
      </c>
      <c r="H674" s="48" t="s">
        <v>161</v>
      </c>
      <c r="I674" s="48">
        <v>1</v>
      </c>
      <c r="J674" s="48">
        <v>266</v>
      </c>
      <c r="K674" s="48">
        <v>1</v>
      </c>
      <c r="N674" s="48">
        <v>0</v>
      </c>
      <c r="R674" s="49"/>
      <c r="S674" s="49"/>
      <c r="T674" s="49">
        <v>54026</v>
      </c>
      <c r="U674" s="49">
        <v>54026</v>
      </c>
      <c r="V674" s="49">
        <v>54026</v>
      </c>
      <c r="W674" s="49">
        <v>54026</v>
      </c>
      <c r="X674" s="48">
        <v>1</v>
      </c>
      <c r="Y674" s="48">
        <v>1</v>
      </c>
      <c r="Z674" s="48">
        <v>1</v>
      </c>
      <c r="AA674" s="156">
        <v>0</v>
      </c>
      <c r="AF674" s="48">
        <v>0</v>
      </c>
      <c r="AG674" s="49" t="s">
        <v>32</v>
      </c>
      <c r="AH674" s="48">
        <v>1</v>
      </c>
      <c r="AI674" s="48" t="s">
        <v>33</v>
      </c>
      <c r="AJ674" s="48" t="s">
        <v>33</v>
      </c>
      <c r="AK674" s="48" t="s">
        <v>33</v>
      </c>
      <c r="AL674" s="48" t="s">
        <v>34</v>
      </c>
      <c r="AN674" s="48">
        <v>0</v>
      </c>
      <c r="AO674" s="48">
        <v>0</v>
      </c>
      <c r="AP674" s="48">
        <v>0</v>
      </c>
      <c r="AQ674" s="48">
        <v>0</v>
      </c>
      <c r="AR674" s="48">
        <v>0</v>
      </c>
      <c r="AS674" s="48">
        <v>0</v>
      </c>
      <c r="AT674" s="48">
        <v>0</v>
      </c>
      <c r="AU674" s="48">
        <v>0</v>
      </c>
      <c r="AV674" s="48">
        <v>0</v>
      </c>
      <c r="AW674" s="48">
        <v>0</v>
      </c>
      <c r="AX674" s="48">
        <v>0</v>
      </c>
      <c r="AY674" s="48">
        <v>0</v>
      </c>
      <c r="AZ674" s="48">
        <v>0</v>
      </c>
      <c r="BA674" s="48">
        <v>0</v>
      </c>
      <c r="BB674" s="48">
        <v>0</v>
      </c>
    </row>
    <row r="675" spans="1:54" x14ac:dyDescent="0.35">
      <c r="A675" s="49">
        <v>45930</v>
      </c>
      <c r="B675" s="48">
        <v>1</v>
      </c>
      <c r="C675" s="50" t="s">
        <v>32</v>
      </c>
      <c r="D675" s="48" t="s">
        <v>31</v>
      </c>
      <c r="E675" s="48" t="s">
        <v>138</v>
      </c>
      <c r="F675" s="48" t="s">
        <v>139</v>
      </c>
      <c r="G675" s="49" t="s">
        <v>59</v>
      </c>
      <c r="H675" s="48" t="s">
        <v>161</v>
      </c>
      <c r="I675" s="48">
        <v>1</v>
      </c>
      <c r="J675" s="48">
        <v>267</v>
      </c>
      <c r="K675" s="48">
        <v>1</v>
      </c>
      <c r="N675" s="48">
        <v>0</v>
      </c>
      <c r="R675" s="49"/>
      <c r="S675" s="49"/>
      <c r="T675" s="49">
        <v>54057</v>
      </c>
      <c r="U675" s="49">
        <v>54057</v>
      </c>
      <c r="V675" s="49">
        <v>54057</v>
      </c>
      <c r="W675" s="49">
        <v>54057</v>
      </c>
      <c r="X675" s="48">
        <v>1</v>
      </c>
      <c r="Y675" s="48">
        <v>1</v>
      </c>
      <c r="Z675" s="48">
        <v>1</v>
      </c>
      <c r="AA675" s="156">
        <v>0</v>
      </c>
      <c r="AF675" s="48">
        <v>0</v>
      </c>
      <c r="AG675" s="49" t="s">
        <v>32</v>
      </c>
      <c r="AH675" s="48">
        <v>1</v>
      </c>
      <c r="AI675" s="48" t="s">
        <v>33</v>
      </c>
      <c r="AJ675" s="48" t="s">
        <v>33</v>
      </c>
      <c r="AK675" s="48" t="s">
        <v>33</v>
      </c>
      <c r="AL675" s="48" t="s">
        <v>34</v>
      </c>
      <c r="AN675" s="48">
        <v>0</v>
      </c>
      <c r="AO675" s="48">
        <v>0</v>
      </c>
      <c r="AP675" s="48">
        <v>0</v>
      </c>
      <c r="AQ675" s="48">
        <v>0</v>
      </c>
      <c r="AR675" s="48">
        <v>0</v>
      </c>
      <c r="AS675" s="48">
        <v>0</v>
      </c>
      <c r="AT675" s="48">
        <v>0</v>
      </c>
      <c r="AU675" s="48">
        <v>0</v>
      </c>
      <c r="AV675" s="48">
        <v>0</v>
      </c>
      <c r="AW675" s="48">
        <v>0</v>
      </c>
      <c r="AX675" s="48">
        <v>0</v>
      </c>
      <c r="AY675" s="48">
        <v>0</v>
      </c>
      <c r="AZ675" s="48">
        <v>0</v>
      </c>
      <c r="BA675" s="48">
        <v>0</v>
      </c>
      <c r="BB675" s="48">
        <v>0</v>
      </c>
    </row>
    <row r="676" spans="1:54" x14ac:dyDescent="0.35">
      <c r="A676" s="49">
        <v>45930</v>
      </c>
      <c r="B676" s="48">
        <v>1</v>
      </c>
      <c r="C676" s="50" t="s">
        <v>32</v>
      </c>
      <c r="D676" s="48" t="s">
        <v>31</v>
      </c>
      <c r="E676" s="48" t="s">
        <v>138</v>
      </c>
      <c r="F676" s="48" t="s">
        <v>139</v>
      </c>
      <c r="G676" s="49" t="s">
        <v>59</v>
      </c>
      <c r="H676" s="48" t="s">
        <v>161</v>
      </c>
      <c r="I676" s="48">
        <v>1</v>
      </c>
      <c r="J676" s="48">
        <v>268</v>
      </c>
      <c r="K676" s="48">
        <v>1</v>
      </c>
      <c r="N676" s="48">
        <v>0</v>
      </c>
      <c r="R676" s="49"/>
      <c r="S676" s="49"/>
      <c r="T676" s="49">
        <v>54088</v>
      </c>
      <c r="U676" s="49">
        <v>54088</v>
      </c>
      <c r="V676" s="49">
        <v>54088</v>
      </c>
      <c r="W676" s="49">
        <v>54088</v>
      </c>
      <c r="X676" s="48">
        <v>1</v>
      </c>
      <c r="Y676" s="48">
        <v>1</v>
      </c>
      <c r="Z676" s="48">
        <v>1</v>
      </c>
      <c r="AA676" s="156">
        <v>0</v>
      </c>
      <c r="AF676" s="48">
        <v>0</v>
      </c>
      <c r="AG676" s="49" t="s">
        <v>32</v>
      </c>
      <c r="AH676" s="48">
        <v>1</v>
      </c>
      <c r="AI676" s="48" t="s">
        <v>33</v>
      </c>
      <c r="AJ676" s="48" t="s">
        <v>33</v>
      </c>
      <c r="AK676" s="48" t="s">
        <v>33</v>
      </c>
      <c r="AL676" s="48" t="s">
        <v>34</v>
      </c>
      <c r="AN676" s="48">
        <v>0</v>
      </c>
      <c r="AO676" s="48">
        <v>0</v>
      </c>
      <c r="AP676" s="48">
        <v>0</v>
      </c>
      <c r="AQ676" s="48">
        <v>0</v>
      </c>
      <c r="AR676" s="48">
        <v>0</v>
      </c>
      <c r="AS676" s="48">
        <v>0</v>
      </c>
      <c r="AT676" s="48">
        <v>0</v>
      </c>
      <c r="AU676" s="48">
        <v>0</v>
      </c>
      <c r="AV676" s="48">
        <v>0</v>
      </c>
      <c r="AW676" s="48">
        <v>0</v>
      </c>
      <c r="AX676" s="48">
        <v>0</v>
      </c>
      <c r="AY676" s="48">
        <v>0</v>
      </c>
      <c r="AZ676" s="48">
        <v>0</v>
      </c>
      <c r="BA676" s="48">
        <v>0</v>
      </c>
      <c r="BB676" s="48">
        <v>0</v>
      </c>
    </row>
    <row r="677" spans="1:54" x14ac:dyDescent="0.35">
      <c r="A677" s="49">
        <v>45930</v>
      </c>
      <c r="B677" s="48">
        <v>1</v>
      </c>
      <c r="C677" s="50" t="s">
        <v>32</v>
      </c>
      <c r="D677" s="48" t="s">
        <v>31</v>
      </c>
      <c r="E677" s="48" t="s">
        <v>138</v>
      </c>
      <c r="F677" s="48" t="s">
        <v>139</v>
      </c>
      <c r="G677" s="49" t="s">
        <v>59</v>
      </c>
      <c r="H677" s="48" t="s">
        <v>161</v>
      </c>
      <c r="I677" s="48">
        <v>1</v>
      </c>
      <c r="J677" s="48">
        <v>269</v>
      </c>
      <c r="K677" s="48">
        <v>1</v>
      </c>
      <c r="N677" s="48">
        <v>0</v>
      </c>
      <c r="R677" s="49"/>
      <c r="S677" s="49"/>
      <c r="T677" s="49">
        <v>54117</v>
      </c>
      <c r="U677" s="49">
        <v>54117</v>
      </c>
      <c r="V677" s="49">
        <v>54117</v>
      </c>
      <c r="W677" s="49">
        <v>54117</v>
      </c>
      <c r="X677" s="48">
        <v>1</v>
      </c>
      <c r="Y677" s="48">
        <v>1</v>
      </c>
      <c r="Z677" s="48">
        <v>1</v>
      </c>
      <c r="AA677" s="156">
        <v>0</v>
      </c>
      <c r="AF677" s="48">
        <v>0</v>
      </c>
      <c r="AG677" s="49" t="s">
        <v>32</v>
      </c>
      <c r="AH677" s="48">
        <v>1</v>
      </c>
      <c r="AI677" s="48" t="s">
        <v>33</v>
      </c>
      <c r="AJ677" s="48" t="s">
        <v>33</v>
      </c>
      <c r="AK677" s="48" t="s">
        <v>33</v>
      </c>
      <c r="AL677" s="48" t="s">
        <v>34</v>
      </c>
      <c r="AN677" s="48">
        <v>0</v>
      </c>
      <c r="AO677" s="48">
        <v>0</v>
      </c>
      <c r="AP677" s="48">
        <v>0</v>
      </c>
      <c r="AQ677" s="48">
        <v>0</v>
      </c>
      <c r="AR677" s="48">
        <v>0</v>
      </c>
      <c r="AS677" s="48">
        <v>0</v>
      </c>
      <c r="AT677" s="48">
        <v>0</v>
      </c>
      <c r="AU677" s="48">
        <v>0</v>
      </c>
      <c r="AV677" s="48">
        <v>0</v>
      </c>
      <c r="AW677" s="48">
        <v>0</v>
      </c>
      <c r="AX677" s="48">
        <v>0</v>
      </c>
      <c r="AY677" s="48">
        <v>0</v>
      </c>
      <c r="AZ677" s="48">
        <v>0</v>
      </c>
      <c r="BA677" s="48">
        <v>0</v>
      </c>
      <c r="BB677" s="48">
        <v>0</v>
      </c>
    </row>
    <row r="678" spans="1:54" x14ac:dyDescent="0.35">
      <c r="A678" s="49">
        <v>45930</v>
      </c>
      <c r="B678" s="48">
        <v>1</v>
      </c>
      <c r="C678" s="50" t="s">
        <v>32</v>
      </c>
      <c r="D678" s="48" t="s">
        <v>31</v>
      </c>
      <c r="E678" s="48" t="s">
        <v>138</v>
      </c>
      <c r="F678" s="48" t="s">
        <v>139</v>
      </c>
      <c r="G678" s="49" t="s">
        <v>59</v>
      </c>
      <c r="H678" s="48" t="s">
        <v>161</v>
      </c>
      <c r="I678" s="48">
        <v>1</v>
      </c>
      <c r="J678" s="48">
        <v>270</v>
      </c>
      <c r="K678" s="48">
        <v>1</v>
      </c>
      <c r="N678" s="48">
        <v>0</v>
      </c>
      <c r="R678" s="49"/>
      <c r="S678" s="49"/>
      <c r="T678" s="49">
        <v>54148</v>
      </c>
      <c r="U678" s="49">
        <v>54148</v>
      </c>
      <c r="V678" s="49">
        <v>54148</v>
      </c>
      <c r="W678" s="49">
        <v>54148</v>
      </c>
      <c r="X678" s="48">
        <v>1</v>
      </c>
      <c r="Y678" s="48">
        <v>1</v>
      </c>
      <c r="Z678" s="48">
        <v>1</v>
      </c>
      <c r="AA678" s="156">
        <v>0</v>
      </c>
      <c r="AF678" s="48">
        <v>0</v>
      </c>
      <c r="AG678" s="49" t="s">
        <v>32</v>
      </c>
      <c r="AH678" s="48">
        <v>1</v>
      </c>
      <c r="AI678" s="48" t="s">
        <v>33</v>
      </c>
      <c r="AJ678" s="48" t="s">
        <v>33</v>
      </c>
      <c r="AK678" s="48" t="s">
        <v>33</v>
      </c>
      <c r="AL678" s="48" t="s">
        <v>34</v>
      </c>
      <c r="AN678" s="48">
        <v>0</v>
      </c>
      <c r="AO678" s="48">
        <v>0</v>
      </c>
      <c r="AP678" s="48">
        <v>0</v>
      </c>
      <c r="AQ678" s="48">
        <v>0</v>
      </c>
      <c r="AR678" s="48">
        <v>0</v>
      </c>
      <c r="AS678" s="48">
        <v>0</v>
      </c>
      <c r="AT678" s="48">
        <v>0</v>
      </c>
      <c r="AU678" s="48">
        <v>0</v>
      </c>
      <c r="AV678" s="48">
        <v>0</v>
      </c>
      <c r="AW678" s="48">
        <v>0</v>
      </c>
      <c r="AX678" s="48">
        <v>0</v>
      </c>
      <c r="AY678" s="48">
        <v>0</v>
      </c>
      <c r="AZ678" s="48">
        <v>0</v>
      </c>
      <c r="BA678" s="48">
        <v>0</v>
      </c>
      <c r="BB678" s="48">
        <v>0</v>
      </c>
    </row>
    <row r="679" spans="1:54" x14ac:dyDescent="0.35">
      <c r="A679" s="49">
        <v>45930</v>
      </c>
      <c r="B679" s="48">
        <v>1</v>
      </c>
      <c r="C679" s="50" t="s">
        <v>32</v>
      </c>
      <c r="D679" s="48" t="s">
        <v>31</v>
      </c>
      <c r="E679" s="48" t="s">
        <v>138</v>
      </c>
      <c r="F679" s="48" t="s">
        <v>139</v>
      </c>
      <c r="G679" s="49" t="s">
        <v>59</v>
      </c>
      <c r="H679" s="48" t="s">
        <v>161</v>
      </c>
      <c r="I679" s="48">
        <v>1</v>
      </c>
      <c r="J679" s="48">
        <v>271</v>
      </c>
      <c r="K679" s="48">
        <v>1</v>
      </c>
      <c r="N679" s="48">
        <v>0</v>
      </c>
      <c r="R679" s="49"/>
      <c r="S679" s="49"/>
      <c r="T679" s="49">
        <v>54178</v>
      </c>
      <c r="U679" s="49">
        <v>54178</v>
      </c>
      <c r="V679" s="49">
        <v>54178</v>
      </c>
      <c r="W679" s="49">
        <v>54178</v>
      </c>
      <c r="X679" s="48">
        <v>1</v>
      </c>
      <c r="Y679" s="48">
        <v>1</v>
      </c>
      <c r="Z679" s="48">
        <v>1</v>
      </c>
      <c r="AA679" s="156">
        <v>0</v>
      </c>
      <c r="AF679" s="48">
        <v>0</v>
      </c>
      <c r="AG679" s="49" t="s">
        <v>32</v>
      </c>
      <c r="AH679" s="48">
        <v>1</v>
      </c>
      <c r="AI679" s="48" t="s">
        <v>33</v>
      </c>
      <c r="AJ679" s="48" t="s">
        <v>33</v>
      </c>
      <c r="AK679" s="48" t="s">
        <v>33</v>
      </c>
      <c r="AL679" s="48" t="s">
        <v>34</v>
      </c>
      <c r="AN679" s="48">
        <v>0</v>
      </c>
      <c r="AO679" s="48">
        <v>0</v>
      </c>
      <c r="AP679" s="48">
        <v>0</v>
      </c>
      <c r="AQ679" s="48">
        <v>0</v>
      </c>
      <c r="AR679" s="48">
        <v>0</v>
      </c>
      <c r="AS679" s="48">
        <v>0</v>
      </c>
      <c r="AT679" s="48">
        <v>0</v>
      </c>
      <c r="AU679" s="48">
        <v>0</v>
      </c>
      <c r="AV679" s="48">
        <v>0</v>
      </c>
      <c r="AW679" s="48">
        <v>0</v>
      </c>
      <c r="AX679" s="48">
        <v>0</v>
      </c>
      <c r="AY679" s="48">
        <v>0</v>
      </c>
      <c r="AZ679" s="48">
        <v>0</v>
      </c>
      <c r="BA679" s="48">
        <v>0</v>
      </c>
      <c r="BB679" s="48">
        <v>0</v>
      </c>
    </row>
    <row r="680" spans="1:54" x14ac:dyDescent="0.35">
      <c r="A680" s="49">
        <v>45930</v>
      </c>
      <c r="B680" s="48">
        <v>1</v>
      </c>
      <c r="C680" s="50" t="s">
        <v>32</v>
      </c>
      <c r="D680" s="48" t="s">
        <v>31</v>
      </c>
      <c r="E680" s="48" t="s">
        <v>138</v>
      </c>
      <c r="F680" s="48" t="s">
        <v>139</v>
      </c>
      <c r="G680" s="49" t="s">
        <v>59</v>
      </c>
      <c r="H680" s="48" t="s">
        <v>161</v>
      </c>
      <c r="I680" s="48">
        <v>1</v>
      </c>
      <c r="J680" s="48">
        <v>272</v>
      </c>
      <c r="K680" s="48">
        <v>1</v>
      </c>
      <c r="N680" s="48">
        <v>0</v>
      </c>
      <c r="R680" s="49"/>
      <c r="S680" s="49"/>
      <c r="T680" s="49">
        <v>54209</v>
      </c>
      <c r="U680" s="49">
        <v>54209</v>
      </c>
      <c r="V680" s="49">
        <v>54209</v>
      </c>
      <c r="W680" s="49">
        <v>54209</v>
      </c>
      <c r="X680" s="48">
        <v>1</v>
      </c>
      <c r="Y680" s="48">
        <v>1</v>
      </c>
      <c r="Z680" s="48">
        <v>1</v>
      </c>
      <c r="AA680" s="156">
        <v>0</v>
      </c>
      <c r="AF680" s="48">
        <v>0</v>
      </c>
      <c r="AG680" s="49" t="s">
        <v>32</v>
      </c>
      <c r="AH680" s="48">
        <v>1</v>
      </c>
      <c r="AI680" s="48" t="s">
        <v>33</v>
      </c>
      <c r="AJ680" s="48" t="s">
        <v>33</v>
      </c>
      <c r="AK680" s="48" t="s">
        <v>33</v>
      </c>
      <c r="AL680" s="48" t="s">
        <v>34</v>
      </c>
      <c r="AN680" s="48">
        <v>0</v>
      </c>
      <c r="AO680" s="48">
        <v>0</v>
      </c>
      <c r="AP680" s="48">
        <v>0</v>
      </c>
      <c r="AQ680" s="48">
        <v>0</v>
      </c>
      <c r="AR680" s="48">
        <v>0</v>
      </c>
      <c r="AS680" s="48">
        <v>0</v>
      </c>
      <c r="AT680" s="48">
        <v>0</v>
      </c>
      <c r="AU680" s="48">
        <v>0</v>
      </c>
      <c r="AV680" s="48">
        <v>0</v>
      </c>
      <c r="AW680" s="48">
        <v>0</v>
      </c>
      <c r="AX680" s="48">
        <v>0</v>
      </c>
      <c r="AY680" s="48">
        <v>0</v>
      </c>
      <c r="AZ680" s="48">
        <v>0</v>
      </c>
      <c r="BA680" s="48">
        <v>0</v>
      </c>
      <c r="BB680" s="48">
        <v>0</v>
      </c>
    </row>
    <row r="681" spans="1:54" x14ac:dyDescent="0.35">
      <c r="A681" s="49">
        <v>45930</v>
      </c>
      <c r="B681" s="48">
        <v>1</v>
      </c>
      <c r="C681" s="50" t="s">
        <v>32</v>
      </c>
      <c r="D681" s="48" t="s">
        <v>31</v>
      </c>
      <c r="E681" s="48" t="s">
        <v>138</v>
      </c>
      <c r="F681" s="48" t="s">
        <v>139</v>
      </c>
      <c r="G681" s="49" t="s">
        <v>59</v>
      </c>
      <c r="H681" s="48" t="s">
        <v>161</v>
      </c>
      <c r="I681" s="48">
        <v>1</v>
      </c>
      <c r="J681" s="48">
        <v>273</v>
      </c>
      <c r="K681" s="48">
        <v>1</v>
      </c>
      <c r="N681" s="48">
        <v>0</v>
      </c>
      <c r="R681" s="49"/>
      <c r="S681" s="49"/>
      <c r="T681" s="49">
        <v>54239</v>
      </c>
      <c r="U681" s="49">
        <v>54239</v>
      </c>
      <c r="V681" s="49">
        <v>54239</v>
      </c>
      <c r="W681" s="49">
        <v>54239</v>
      </c>
      <c r="X681" s="48">
        <v>1</v>
      </c>
      <c r="Y681" s="48">
        <v>1</v>
      </c>
      <c r="Z681" s="48">
        <v>1</v>
      </c>
      <c r="AA681" s="156">
        <v>0</v>
      </c>
      <c r="AF681" s="48">
        <v>0</v>
      </c>
      <c r="AG681" s="49" t="s">
        <v>32</v>
      </c>
      <c r="AH681" s="48">
        <v>1</v>
      </c>
      <c r="AI681" s="48" t="s">
        <v>33</v>
      </c>
      <c r="AJ681" s="48" t="s">
        <v>33</v>
      </c>
      <c r="AK681" s="48" t="s">
        <v>33</v>
      </c>
      <c r="AL681" s="48" t="s">
        <v>34</v>
      </c>
      <c r="AN681" s="48">
        <v>0</v>
      </c>
      <c r="AO681" s="48">
        <v>0</v>
      </c>
      <c r="AP681" s="48">
        <v>0</v>
      </c>
      <c r="AQ681" s="48">
        <v>0</v>
      </c>
      <c r="AR681" s="48">
        <v>0</v>
      </c>
      <c r="AS681" s="48">
        <v>0</v>
      </c>
      <c r="AT681" s="48">
        <v>0</v>
      </c>
      <c r="AU681" s="48">
        <v>0</v>
      </c>
      <c r="AV681" s="48">
        <v>0</v>
      </c>
      <c r="AW681" s="48">
        <v>0</v>
      </c>
      <c r="AX681" s="48">
        <v>0</v>
      </c>
      <c r="AY681" s="48">
        <v>0</v>
      </c>
      <c r="AZ681" s="48">
        <v>0</v>
      </c>
      <c r="BA681" s="48">
        <v>0</v>
      </c>
      <c r="BB681" s="48">
        <v>0</v>
      </c>
    </row>
    <row r="682" spans="1:54" x14ac:dyDescent="0.35">
      <c r="A682" s="49">
        <v>45930</v>
      </c>
      <c r="B682" s="48">
        <v>1</v>
      </c>
      <c r="C682" s="50" t="s">
        <v>32</v>
      </c>
      <c r="D682" s="48" t="s">
        <v>31</v>
      </c>
      <c r="E682" s="48" t="s">
        <v>138</v>
      </c>
      <c r="F682" s="48" t="s">
        <v>139</v>
      </c>
      <c r="G682" s="49" t="s">
        <v>59</v>
      </c>
      <c r="H682" s="48" t="s">
        <v>161</v>
      </c>
      <c r="I682" s="48">
        <v>1</v>
      </c>
      <c r="J682" s="48">
        <v>274</v>
      </c>
      <c r="K682" s="48">
        <v>1</v>
      </c>
      <c r="N682" s="48">
        <v>0</v>
      </c>
      <c r="R682" s="49"/>
      <c r="S682" s="49"/>
      <c r="T682" s="49">
        <v>54270</v>
      </c>
      <c r="U682" s="49">
        <v>54270</v>
      </c>
      <c r="V682" s="49">
        <v>54270</v>
      </c>
      <c r="W682" s="49">
        <v>54270</v>
      </c>
      <c r="X682" s="48">
        <v>1</v>
      </c>
      <c r="Y682" s="48">
        <v>1</v>
      </c>
      <c r="Z682" s="48">
        <v>1</v>
      </c>
      <c r="AA682" s="156">
        <v>0</v>
      </c>
      <c r="AF682" s="48">
        <v>0</v>
      </c>
      <c r="AG682" s="49" t="s">
        <v>32</v>
      </c>
      <c r="AH682" s="48">
        <v>1</v>
      </c>
      <c r="AI682" s="48" t="s">
        <v>33</v>
      </c>
      <c r="AJ682" s="48" t="s">
        <v>33</v>
      </c>
      <c r="AK682" s="48" t="s">
        <v>33</v>
      </c>
      <c r="AL682" s="48" t="s">
        <v>34</v>
      </c>
      <c r="AN682" s="48">
        <v>0</v>
      </c>
      <c r="AO682" s="48">
        <v>0</v>
      </c>
      <c r="AP682" s="48">
        <v>0</v>
      </c>
      <c r="AQ682" s="48">
        <v>0</v>
      </c>
      <c r="AR682" s="48">
        <v>0</v>
      </c>
      <c r="AS682" s="48">
        <v>0</v>
      </c>
      <c r="AT682" s="48">
        <v>0</v>
      </c>
      <c r="AU682" s="48">
        <v>0</v>
      </c>
      <c r="AV682" s="48">
        <v>0</v>
      </c>
      <c r="AW682" s="48">
        <v>0</v>
      </c>
      <c r="AX682" s="48">
        <v>0</v>
      </c>
      <c r="AY682" s="48">
        <v>0</v>
      </c>
      <c r="AZ682" s="48">
        <v>0</v>
      </c>
      <c r="BA682" s="48">
        <v>0</v>
      </c>
      <c r="BB682" s="48">
        <v>0</v>
      </c>
    </row>
    <row r="683" spans="1:54" x14ac:dyDescent="0.35">
      <c r="A683" s="49">
        <v>45930</v>
      </c>
      <c r="B683" s="48">
        <v>1</v>
      </c>
      <c r="C683" s="50" t="s">
        <v>32</v>
      </c>
      <c r="D683" s="48" t="s">
        <v>31</v>
      </c>
      <c r="E683" s="48" t="s">
        <v>138</v>
      </c>
      <c r="F683" s="48" t="s">
        <v>139</v>
      </c>
      <c r="G683" s="49" t="s">
        <v>59</v>
      </c>
      <c r="H683" s="48" t="s">
        <v>161</v>
      </c>
      <c r="I683" s="48">
        <v>1</v>
      </c>
      <c r="J683" s="48">
        <v>275</v>
      </c>
      <c r="K683" s="48">
        <v>1</v>
      </c>
      <c r="N683" s="48">
        <v>0</v>
      </c>
      <c r="R683" s="49"/>
      <c r="S683" s="49"/>
      <c r="T683" s="49">
        <v>54301</v>
      </c>
      <c r="U683" s="49">
        <v>54301</v>
      </c>
      <c r="V683" s="49">
        <v>54301</v>
      </c>
      <c r="W683" s="49">
        <v>54301</v>
      </c>
      <c r="X683" s="48">
        <v>1</v>
      </c>
      <c r="Y683" s="48">
        <v>1</v>
      </c>
      <c r="Z683" s="48">
        <v>1</v>
      </c>
      <c r="AA683" s="156">
        <v>0</v>
      </c>
      <c r="AF683" s="48">
        <v>0</v>
      </c>
      <c r="AG683" s="49" t="s">
        <v>32</v>
      </c>
      <c r="AH683" s="48">
        <v>1</v>
      </c>
      <c r="AI683" s="48" t="s">
        <v>33</v>
      </c>
      <c r="AJ683" s="48" t="s">
        <v>33</v>
      </c>
      <c r="AK683" s="48" t="s">
        <v>33</v>
      </c>
      <c r="AL683" s="48" t="s">
        <v>34</v>
      </c>
      <c r="AN683" s="48">
        <v>0</v>
      </c>
      <c r="AO683" s="48">
        <v>0</v>
      </c>
      <c r="AP683" s="48">
        <v>0</v>
      </c>
      <c r="AQ683" s="48">
        <v>0</v>
      </c>
      <c r="AR683" s="48">
        <v>0</v>
      </c>
      <c r="AS683" s="48">
        <v>0</v>
      </c>
      <c r="AT683" s="48">
        <v>0</v>
      </c>
      <c r="AU683" s="48">
        <v>0</v>
      </c>
      <c r="AV683" s="48">
        <v>0</v>
      </c>
      <c r="AW683" s="48">
        <v>0</v>
      </c>
      <c r="AX683" s="48">
        <v>0</v>
      </c>
      <c r="AY683" s="48">
        <v>0</v>
      </c>
      <c r="AZ683" s="48">
        <v>0</v>
      </c>
      <c r="BA683" s="48">
        <v>0</v>
      </c>
      <c r="BB683" s="48">
        <v>0</v>
      </c>
    </row>
    <row r="684" spans="1:54" x14ac:dyDescent="0.35">
      <c r="A684" s="49">
        <v>45930</v>
      </c>
      <c r="B684" s="48">
        <v>1</v>
      </c>
      <c r="C684" s="50" t="s">
        <v>32</v>
      </c>
      <c r="D684" s="48" t="s">
        <v>31</v>
      </c>
      <c r="E684" s="48" t="s">
        <v>138</v>
      </c>
      <c r="F684" s="48" t="s">
        <v>139</v>
      </c>
      <c r="G684" s="49" t="s">
        <v>59</v>
      </c>
      <c r="H684" s="48" t="s">
        <v>161</v>
      </c>
      <c r="I684" s="48">
        <v>1</v>
      </c>
      <c r="J684" s="48">
        <v>276</v>
      </c>
      <c r="K684" s="48">
        <v>1</v>
      </c>
      <c r="N684" s="48">
        <v>0</v>
      </c>
      <c r="R684" s="49"/>
      <c r="S684" s="49"/>
      <c r="T684" s="49">
        <v>54331</v>
      </c>
      <c r="U684" s="49">
        <v>54331</v>
      </c>
      <c r="V684" s="49">
        <v>54331</v>
      </c>
      <c r="W684" s="49">
        <v>54331</v>
      </c>
      <c r="X684" s="48">
        <v>1</v>
      </c>
      <c r="Y684" s="48">
        <v>1</v>
      </c>
      <c r="Z684" s="48">
        <v>1</v>
      </c>
      <c r="AA684" s="156">
        <v>0</v>
      </c>
      <c r="AF684" s="48">
        <v>0</v>
      </c>
      <c r="AG684" s="49" t="s">
        <v>32</v>
      </c>
      <c r="AH684" s="48">
        <v>1</v>
      </c>
      <c r="AI684" s="48" t="s">
        <v>33</v>
      </c>
      <c r="AJ684" s="48" t="s">
        <v>33</v>
      </c>
      <c r="AK684" s="48" t="s">
        <v>33</v>
      </c>
      <c r="AL684" s="48" t="s">
        <v>34</v>
      </c>
      <c r="AN684" s="48">
        <v>0</v>
      </c>
      <c r="AO684" s="48">
        <v>0</v>
      </c>
      <c r="AP684" s="48">
        <v>0</v>
      </c>
      <c r="AQ684" s="48">
        <v>0</v>
      </c>
      <c r="AR684" s="48">
        <v>0</v>
      </c>
      <c r="AS684" s="48">
        <v>0</v>
      </c>
      <c r="AT684" s="48">
        <v>0</v>
      </c>
      <c r="AU684" s="48">
        <v>0</v>
      </c>
      <c r="AV684" s="48">
        <v>0</v>
      </c>
      <c r="AW684" s="48">
        <v>0</v>
      </c>
      <c r="AX684" s="48">
        <v>0</v>
      </c>
      <c r="AY684" s="48">
        <v>0</v>
      </c>
      <c r="AZ684" s="48">
        <v>0</v>
      </c>
      <c r="BA684" s="48">
        <v>0</v>
      </c>
      <c r="BB684" s="48">
        <v>0</v>
      </c>
    </row>
    <row r="685" spans="1:54" x14ac:dyDescent="0.35">
      <c r="A685" s="49">
        <v>45930</v>
      </c>
      <c r="B685" s="48">
        <v>1</v>
      </c>
      <c r="C685" s="50" t="s">
        <v>32</v>
      </c>
      <c r="D685" s="48" t="s">
        <v>31</v>
      </c>
      <c r="E685" s="48" t="s">
        <v>138</v>
      </c>
      <c r="F685" s="48" t="s">
        <v>139</v>
      </c>
      <c r="G685" s="49" t="s">
        <v>59</v>
      </c>
      <c r="H685" s="48" t="s">
        <v>161</v>
      </c>
      <c r="I685" s="48">
        <v>1</v>
      </c>
      <c r="J685" s="48">
        <v>277</v>
      </c>
      <c r="K685" s="48">
        <v>1</v>
      </c>
      <c r="N685" s="48">
        <v>0</v>
      </c>
      <c r="R685" s="49"/>
      <c r="S685" s="49"/>
      <c r="T685" s="49">
        <v>54362</v>
      </c>
      <c r="U685" s="49">
        <v>54362</v>
      </c>
      <c r="V685" s="49">
        <v>54362</v>
      </c>
      <c r="W685" s="49">
        <v>54362</v>
      </c>
      <c r="X685" s="48">
        <v>1</v>
      </c>
      <c r="Y685" s="48">
        <v>1</v>
      </c>
      <c r="Z685" s="48">
        <v>1</v>
      </c>
      <c r="AA685" s="156">
        <v>0</v>
      </c>
      <c r="AF685" s="48">
        <v>0</v>
      </c>
      <c r="AG685" s="49" t="s">
        <v>32</v>
      </c>
      <c r="AH685" s="48">
        <v>1</v>
      </c>
      <c r="AI685" s="48" t="s">
        <v>33</v>
      </c>
      <c r="AJ685" s="48" t="s">
        <v>33</v>
      </c>
      <c r="AK685" s="48" t="s">
        <v>33</v>
      </c>
      <c r="AL685" s="48" t="s">
        <v>34</v>
      </c>
      <c r="AN685" s="48">
        <v>0</v>
      </c>
      <c r="AO685" s="48">
        <v>0</v>
      </c>
      <c r="AP685" s="48">
        <v>0</v>
      </c>
      <c r="AQ685" s="48">
        <v>0</v>
      </c>
      <c r="AR685" s="48">
        <v>0</v>
      </c>
      <c r="AS685" s="48">
        <v>0</v>
      </c>
      <c r="AT685" s="48">
        <v>0</v>
      </c>
      <c r="AU685" s="48">
        <v>0</v>
      </c>
      <c r="AV685" s="48">
        <v>0</v>
      </c>
      <c r="AW685" s="48">
        <v>0</v>
      </c>
      <c r="AX685" s="48">
        <v>0</v>
      </c>
      <c r="AY685" s="48">
        <v>0</v>
      </c>
      <c r="AZ685" s="48">
        <v>0</v>
      </c>
      <c r="BA685" s="48">
        <v>0</v>
      </c>
      <c r="BB685" s="48">
        <v>0</v>
      </c>
    </row>
    <row r="686" spans="1:54" x14ac:dyDescent="0.35">
      <c r="A686" s="49">
        <v>45930</v>
      </c>
      <c r="B686" s="48">
        <v>1</v>
      </c>
      <c r="C686" s="50" t="s">
        <v>32</v>
      </c>
      <c r="D686" s="48" t="s">
        <v>31</v>
      </c>
      <c r="E686" s="48" t="s">
        <v>138</v>
      </c>
      <c r="F686" s="48" t="s">
        <v>139</v>
      </c>
      <c r="G686" s="49" t="s">
        <v>59</v>
      </c>
      <c r="H686" s="48" t="s">
        <v>161</v>
      </c>
      <c r="I686" s="48">
        <v>1</v>
      </c>
      <c r="J686" s="48">
        <v>278</v>
      </c>
      <c r="K686" s="48">
        <v>1</v>
      </c>
      <c r="N686" s="48">
        <v>0</v>
      </c>
      <c r="R686" s="49"/>
      <c r="S686" s="49"/>
      <c r="T686" s="49">
        <v>54392</v>
      </c>
      <c r="U686" s="49">
        <v>54392</v>
      </c>
      <c r="V686" s="49">
        <v>54392</v>
      </c>
      <c r="W686" s="49">
        <v>54392</v>
      </c>
      <c r="X686" s="48">
        <v>1</v>
      </c>
      <c r="Y686" s="48">
        <v>1</v>
      </c>
      <c r="Z686" s="48">
        <v>1</v>
      </c>
      <c r="AA686" s="156">
        <v>0</v>
      </c>
      <c r="AF686" s="48">
        <v>0</v>
      </c>
      <c r="AG686" s="49" t="s">
        <v>32</v>
      </c>
      <c r="AH686" s="48">
        <v>1</v>
      </c>
      <c r="AI686" s="48" t="s">
        <v>33</v>
      </c>
      <c r="AJ686" s="48" t="s">
        <v>33</v>
      </c>
      <c r="AK686" s="48" t="s">
        <v>33</v>
      </c>
      <c r="AL686" s="48" t="s">
        <v>34</v>
      </c>
      <c r="AN686" s="48">
        <v>0</v>
      </c>
      <c r="AO686" s="48">
        <v>0</v>
      </c>
      <c r="AP686" s="48">
        <v>0</v>
      </c>
      <c r="AQ686" s="48">
        <v>0</v>
      </c>
      <c r="AR686" s="48">
        <v>0</v>
      </c>
      <c r="AS686" s="48">
        <v>0</v>
      </c>
      <c r="AT686" s="48">
        <v>0</v>
      </c>
      <c r="AU686" s="48">
        <v>0</v>
      </c>
      <c r="AV686" s="48">
        <v>0</v>
      </c>
      <c r="AW686" s="48">
        <v>0</v>
      </c>
      <c r="AX686" s="48">
        <v>0</v>
      </c>
      <c r="AY686" s="48">
        <v>0</v>
      </c>
      <c r="AZ686" s="48">
        <v>0</v>
      </c>
      <c r="BA686" s="48">
        <v>0</v>
      </c>
      <c r="BB686" s="48">
        <v>0</v>
      </c>
    </row>
    <row r="687" spans="1:54" x14ac:dyDescent="0.35">
      <c r="A687" s="49">
        <v>45930</v>
      </c>
      <c r="B687" s="48">
        <v>1</v>
      </c>
      <c r="C687" s="50" t="s">
        <v>32</v>
      </c>
      <c r="D687" s="48" t="s">
        <v>31</v>
      </c>
      <c r="E687" s="48" t="s">
        <v>138</v>
      </c>
      <c r="F687" s="48" t="s">
        <v>139</v>
      </c>
      <c r="G687" s="49" t="s">
        <v>59</v>
      </c>
      <c r="H687" s="48" t="s">
        <v>161</v>
      </c>
      <c r="I687" s="48">
        <v>1</v>
      </c>
      <c r="J687" s="48">
        <v>279</v>
      </c>
      <c r="K687" s="48">
        <v>1</v>
      </c>
      <c r="N687" s="48">
        <v>0</v>
      </c>
      <c r="R687" s="49"/>
      <c r="S687" s="49"/>
      <c r="T687" s="49">
        <v>54423</v>
      </c>
      <c r="U687" s="49">
        <v>54423</v>
      </c>
      <c r="V687" s="49">
        <v>54423</v>
      </c>
      <c r="W687" s="49">
        <v>54423</v>
      </c>
      <c r="X687" s="48">
        <v>1</v>
      </c>
      <c r="Y687" s="48">
        <v>1</v>
      </c>
      <c r="Z687" s="48">
        <v>1</v>
      </c>
      <c r="AA687" s="156">
        <v>0</v>
      </c>
      <c r="AF687" s="48">
        <v>0</v>
      </c>
      <c r="AG687" s="49" t="s">
        <v>32</v>
      </c>
      <c r="AH687" s="48">
        <v>1</v>
      </c>
      <c r="AI687" s="48" t="s">
        <v>33</v>
      </c>
      <c r="AJ687" s="48" t="s">
        <v>33</v>
      </c>
      <c r="AK687" s="48" t="s">
        <v>33</v>
      </c>
      <c r="AL687" s="48" t="s">
        <v>34</v>
      </c>
      <c r="AN687" s="48">
        <v>0</v>
      </c>
      <c r="AO687" s="48">
        <v>0</v>
      </c>
      <c r="AP687" s="48">
        <v>0</v>
      </c>
      <c r="AQ687" s="48">
        <v>0</v>
      </c>
      <c r="AR687" s="48">
        <v>0</v>
      </c>
      <c r="AS687" s="48">
        <v>0</v>
      </c>
      <c r="AT687" s="48">
        <v>0</v>
      </c>
      <c r="AU687" s="48">
        <v>0</v>
      </c>
      <c r="AV687" s="48">
        <v>0</v>
      </c>
      <c r="AW687" s="48">
        <v>0</v>
      </c>
      <c r="AX687" s="48">
        <v>0</v>
      </c>
      <c r="AY687" s="48">
        <v>0</v>
      </c>
      <c r="AZ687" s="48">
        <v>0</v>
      </c>
      <c r="BA687" s="48">
        <v>0</v>
      </c>
      <c r="BB687" s="48">
        <v>0</v>
      </c>
    </row>
    <row r="688" spans="1:54" x14ac:dyDescent="0.35">
      <c r="A688" s="49">
        <v>45930</v>
      </c>
      <c r="B688" s="48">
        <v>1</v>
      </c>
      <c r="C688" s="50" t="s">
        <v>32</v>
      </c>
      <c r="D688" s="48" t="s">
        <v>31</v>
      </c>
      <c r="E688" s="48" t="s">
        <v>138</v>
      </c>
      <c r="F688" s="48" t="s">
        <v>139</v>
      </c>
      <c r="G688" s="49" t="s">
        <v>59</v>
      </c>
      <c r="H688" s="48" t="s">
        <v>161</v>
      </c>
      <c r="I688" s="48">
        <v>1</v>
      </c>
      <c r="J688" s="48">
        <v>280</v>
      </c>
      <c r="K688" s="48">
        <v>1</v>
      </c>
      <c r="N688" s="48">
        <v>0</v>
      </c>
      <c r="R688" s="49"/>
      <c r="S688" s="49"/>
      <c r="T688" s="49">
        <v>54454</v>
      </c>
      <c r="U688" s="49">
        <v>54454</v>
      </c>
      <c r="V688" s="49">
        <v>54454</v>
      </c>
      <c r="W688" s="49">
        <v>54454</v>
      </c>
      <c r="X688" s="48">
        <v>1</v>
      </c>
      <c r="Y688" s="48">
        <v>1</v>
      </c>
      <c r="Z688" s="48">
        <v>1</v>
      </c>
      <c r="AA688" s="156">
        <v>0</v>
      </c>
      <c r="AF688" s="48">
        <v>0</v>
      </c>
      <c r="AG688" s="49" t="s">
        <v>32</v>
      </c>
      <c r="AH688" s="48">
        <v>1</v>
      </c>
      <c r="AI688" s="48" t="s">
        <v>33</v>
      </c>
      <c r="AJ688" s="48" t="s">
        <v>33</v>
      </c>
      <c r="AK688" s="48" t="s">
        <v>33</v>
      </c>
      <c r="AL688" s="48" t="s">
        <v>34</v>
      </c>
      <c r="AN688" s="48">
        <v>0</v>
      </c>
      <c r="AO688" s="48">
        <v>0</v>
      </c>
      <c r="AP688" s="48">
        <v>0</v>
      </c>
      <c r="AQ688" s="48">
        <v>0</v>
      </c>
      <c r="AR688" s="48">
        <v>0</v>
      </c>
      <c r="AS688" s="48">
        <v>0</v>
      </c>
      <c r="AT688" s="48">
        <v>0</v>
      </c>
      <c r="AU688" s="48">
        <v>0</v>
      </c>
      <c r="AV688" s="48">
        <v>0</v>
      </c>
      <c r="AW688" s="48">
        <v>0</v>
      </c>
      <c r="AX688" s="48">
        <v>0</v>
      </c>
      <c r="AY688" s="48">
        <v>0</v>
      </c>
      <c r="AZ688" s="48">
        <v>0</v>
      </c>
      <c r="BA688" s="48">
        <v>0</v>
      </c>
      <c r="BB688" s="48">
        <v>0</v>
      </c>
    </row>
    <row r="689" spans="1:54" x14ac:dyDescent="0.35">
      <c r="A689" s="49">
        <v>45930</v>
      </c>
      <c r="B689" s="48">
        <v>1</v>
      </c>
      <c r="C689" s="50" t="s">
        <v>32</v>
      </c>
      <c r="D689" s="48" t="s">
        <v>31</v>
      </c>
      <c r="E689" s="48" t="s">
        <v>138</v>
      </c>
      <c r="F689" s="48" t="s">
        <v>139</v>
      </c>
      <c r="G689" s="49" t="s">
        <v>59</v>
      </c>
      <c r="H689" s="48" t="s">
        <v>161</v>
      </c>
      <c r="I689" s="48">
        <v>1</v>
      </c>
      <c r="J689" s="48">
        <v>281</v>
      </c>
      <c r="K689" s="48">
        <v>1</v>
      </c>
      <c r="N689" s="48">
        <v>0</v>
      </c>
      <c r="R689" s="49"/>
      <c r="S689" s="49"/>
      <c r="T689" s="49">
        <v>54482</v>
      </c>
      <c r="U689" s="49">
        <v>54482</v>
      </c>
      <c r="V689" s="49">
        <v>54482</v>
      </c>
      <c r="W689" s="49">
        <v>54482</v>
      </c>
      <c r="X689" s="48">
        <v>1</v>
      </c>
      <c r="Y689" s="48">
        <v>1</v>
      </c>
      <c r="Z689" s="48">
        <v>1</v>
      </c>
      <c r="AA689" s="156">
        <v>0</v>
      </c>
      <c r="AF689" s="48">
        <v>0</v>
      </c>
      <c r="AG689" s="49" t="s">
        <v>32</v>
      </c>
      <c r="AH689" s="48">
        <v>1</v>
      </c>
      <c r="AI689" s="48" t="s">
        <v>33</v>
      </c>
      <c r="AJ689" s="48" t="s">
        <v>33</v>
      </c>
      <c r="AK689" s="48" t="s">
        <v>33</v>
      </c>
      <c r="AL689" s="48" t="s">
        <v>34</v>
      </c>
      <c r="AN689" s="48">
        <v>0</v>
      </c>
      <c r="AO689" s="48">
        <v>0</v>
      </c>
      <c r="AP689" s="48">
        <v>0</v>
      </c>
      <c r="AQ689" s="48">
        <v>0</v>
      </c>
      <c r="AR689" s="48">
        <v>0</v>
      </c>
      <c r="AS689" s="48">
        <v>0</v>
      </c>
      <c r="AT689" s="48">
        <v>0</v>
      </c>
      <c r="AU689" s="48">
        <v>0</v>
      </c>
      <c r="AV689" s="48">
        <v>0</v>
      </c>
      <c r="AW689" s="48">
        <v>0</v>
      </c>
      <c r="AX689" s="48">
        <v>0</v>
      </c>
      <c r="AY689" s="48">
        <v>0</v>
      </c>
      <c r="AZ689" s="48">
        <v>0</v>
      </c>
      <c r="BA689" s="48">
        <v>0</v>
      </c>
      <c r="BB689" s="48">
        <v>0</v>
      </c>
    </row>
    <row r="690" spans="1:54" x14ac:dyDescent="0.35">
      <c r="A690" s="49">
        <v>45930</v>
      </c>
      <c r="B690" s="48">
        <v>1</v>
      </c>
      <c r="C690" s="50" t="s">
        <v>32</v>
      </c>
      <c r="D690" s="48" t="s">
        <v>31</v>
      </c>
      <c r="E690" s="48" t="s">
        <v>138</v>
      </c>
      <c r="F690" s="48" t="s">
        <v>139</v>
      </c>
      <c r="G690" s="49" t="s">
        <v>59</v>
      </c>
      <c r="H690" s="48" t="s">
        <v>161</v>
      </c>
      <c r="I690" s="48">
        <v>1</v>
      </c>
      <c r="J690" s="48">
        <v>282</v>
      </c>
      <c r="K690" s="48">
        <v>1</v>
      </c>
      <c r="N690" s="48">
        <v>0</v>
      </c>
      <c r="R690" s="49"/>
      <c r="S690" s="49"/>
      <c r="T690" s="49">
        <v>54513</v>
      </c>
      <c r="U690" s="49">
        <v>54513</v>
      </c>
      <c r="V690" s="49">
        <v>54513</v>
      </c>
      <c r="W690" s="49">
        <v>54513</v>
      </c>
      <c r="X690" s="48">
        <v>1</v>
      </c>
      <c r="Y690" s="48">
        <v>1</v>
      </c>
      <c r="Z690" s="48">
        <v>1</v>
      </c>
      <c r="AA690" s="156">
        <v>0</v>
      </c>
      <c r="AF690" s="48">
        <v>0</v>
      </c>
      <c r="AG690" s="49" t="s">
        <v>32</v>
      </c>
      <c r="AH690" s="48">
        <v>1</v>
      </c>
      <c r="AI690" s="48" t="s">
        <v>33</v>
      </c>
      <c r="AJ690" s="48" t="s">
        <v>33</v>
      </c>
      <c r="AK690" s="48" t="s">
        <v>33</v>
      </c>
      <c r="AL690" s="48" t="s">
        <v>34</v>
      </c>
      <c r="AN690" s="48">
        <v>0</v>
      </c>
      <c r="AO690" s="48">
        <v>0</v>
      </c>
      <c r="AP690" s="48">
        <v>0</v>
      </c>
      <c r="AQ690" s="48">
        <v>0</v>
      </c>
      <c r="AR690" s="48">
        <v>0</v>
      </c>
      <c r="AS690" s="48">
        <v>0</v>
      </c>
      <c r="AT690" s="48">
        <v>0</v>
      </c>
      <c r="AU690" s="48">
        <v>0</v>
      </c>
      <c r="AV690" s="48">
        <v>0</v>
      </c>
      <c r="AW690" s="48">
        <v>0</v>
      </c>
      <c r="AX690" s="48">
        <v>0</v>
      </c>
      <c r="AY690" s="48">
        <v>0</v>
      </c>
      <c r="AZ690" s="48">
        <v>0</v>
      </c>
      <c r="BA690" s="48">
        <v>0</v>
      </c>
      <c r="BB690" s="48">
        <v>0</v>
      </c>
    </row>
    <row r="691" spans="1:54" x14ac:dyDescent="0.35">
      <c r="A691" s="49">
        <v>45930</v>
      </c>
      <c r="B691" s="48">
        <v>1</v>
      </c>
      <c r="C691" s="50" t="s">
        <v>32</v>
      </c>
      <c r="D691" s="48" t="s">
        <v>31</v>
      </c>
      <c r="E691" s="48" t="s">
        <v>138</v>
      </c>
      <c r="F691" s="48" t="s">
        <v>139</v>
      </c>
      <c r="G691" s="49" t="s">
        <v>59</v>
      </c>
      <c r="H691" s="48" t="s">
        <v>161</v>
      </c>
      <c r="I691" s="48">
        <v>1</v>
      </c>
      <c r="J691" s="48">
        <v>283</v>
      </c>
      <c r="K691" s="48">
        <v>1</v>
      </c>
      <c r="N691" s="48">
        <v>0</v>
      </c>
      <c r="R691" s="49"/>
      <c r="S691" s="49"/>
      <c r="T691" s="49">
        <v>54543</v>
      </c>
      <c r="U691" s="49">
        <v>54543</v>
      </c>
      <c r="V691" s="49">
        <v>54543</v>
      </c>
      <c r="W691" s="49">
        <v>54543</v>
      </c>
      <c r="X691" s="48">
        <v>1</v>
      </c>
      <c r="Y691" s="48">
        <v>1</v>
      </c>
      <c r="Z691" s="48">
        <v>1</v>
      </c>
      <c r="AA691" s="156">
        <v>0</v>
      </c>
      <c r="AF691" s="48">
        <v>0</v>
      </c>
      <c r="AG691" s="49" t="s">
        <v>32</v>
      </c>
      <c r="AH691" s="48">
        <v>1</v>
      </c>
      <c r="AI691" s="48" t="s">
        <v>33</v>
      </c>
      <c r="AJ691" s="48" t="s">
        <v>33</v>
      </c>
      <c r="AK691" s="48" t="s">
        <v>33</v>
      </c>
      <c r="AL691" s="48" t="s">
        <v>34</v>
      </c>
      <c r="AN691" s="48">
        <v>0</v>
      </c>
      <c r="AO691" s="48">
        <v>0</v>
      </c>
      <c r="AP691" s="48">
        <v>0</v>
      </c>
      <c r="AQ691" s="48">
        <v>0</v>
      </c>
      <c r="AR691" s="48">
        <v>0</v>
      </c>
      <c r="AS691" s="48">
        <v>0</v>
      </c>
      <c r="AT691" s="48">
        <v>0</v>
      </c>
      <c r="AU691" s="48">
        <v>0</v>
      </c>
      <c r="AV691" s="48">
        <v>0</v>
      </c>
      <c r="AW691" s="48">
        <v>0</v>
      </c>
      <c r="AX691" s="48">
        <v>0</v>
      </c>
      <c r="AY691" s="48">
        <v>0</v>
      </c>
      <c r="AZ691" s="48">
        <v>0</v>
      </c>
      <c r="BA691" s="48">
        <v>0</v>
      </c>
      <c r="BB691" s="48">
        <v>0</v>
      </c>
    </row>
    <row r="692" spans="1:54" x14ac:dyDescent="0.35">
      <c r="A692" s="49">
        <v>45930</v>
      </c>
      <c r="B692" s="48">
        <v>1</v>
      </c>
      <c r="C692" s="50" t="s">
        <v>32</v>
      </c>
      <c r="D692" s="48" t="s">
        <v>31</v>
      </c>
      <c r="E692" s="48" t="s">
        <v>138</v>
      </c>
      <c r="F692" s="48" t="s">
        <v>139</v>
      </c>
      <c r="G692" s="49" t="s">
        <v>59</v>
      </c>
      <c r="H692" s="48" t="s">
        <v>161</v>
      </c>
      <c r="I692" s="48">
        <v>1</v>
      </c>
      <c r="J692" s="48">
        <v>284</v>
      </c>
      <c r="K692" s="48">
        <v>1</v>
      </c>
      <c r="N692" s="48">
        <v>0</v>
      </c>
      <c r="R692" s="49"/>
      <c r="S692" s="49"/>
      <c r="T692" s="49">
        <v>54574</v>
      </c>
      <c r="U692" s="49">
        <v>54574</v>
      </c>
      <c r="V692" s="49">
        <v>54574</v>
      </c>
      <c r="W692" s="49">
        <v>54574</v>
      </c>
      <c r="X692" s="48">
        <v>1</v>
      </c>
      <c r="Y692" s="48">
        <v>1</v>
      </c>
      <c r="Z692" s="48">
        <v>1</v>
      </c>
      <c r="AA692" s="156">
        <v>0</v>
      </c>
      <c r="AF692" s="48">
        <v>0</v>
      </c>
      <c r="AG692" s="49" t="s">
        <v>32</v>
      </c>
      <c r="AH692" s="48">
        <v>1</v>
      </c>
      <c r="AI692" s="48" t="s">
        <v>33</v>
      </c>
      <c r="AJ692" s="48" t="s">
        <v>33</v>
      </c>
      <c r="AK692" s="48" t="s">
        <v>33</v>
      </c>
      <c r="AL692" s="48" t="s">
        <v>34</v>
      </c>
      <c r="AN692" s="48">
        <v>0</v>
      </c>
      <c r="AO692" s="48">
        <v>0</v>
      </c>
      <c r="AP692" s="48">
        <v>0</v>
      </c>
      <c r="AQ692" s="48">
        <v>0</v>
      </c>
      <c r="AR692" s="48">
        <v>0</v>
      </c>
      <c r="AS692" s="48">
        <v>0</v>
      </c>
      <c r="AT692" s="48">
        <v>0</v>
      </c>
      <c r="AU692" s="48">
        <v>0</v>
      </c>
      <c r="AV692" s="48">
        <v>0</v>
      </c>
      <c r="AW692" s="48">
        <v>0</v>
      </c>
      <c r="AX692" s="48">
        <v>0</v>
      </c>
      <c r="AY692" s="48">
        <v>0</v>
      </c>
      <c r="AZ692" s="48">
        <v>0</v>
      </c>
      <c r="BA692" s="48">
        <v>0</v>
      </c>
      <c r="BB692" s="48">
        <v>0</v>
      </c>
    </row>
    <row r="693" spans="1:54" x14ac:dyDescent="0.35">
      <c r="A693" s="49">
        <v>45930</v>
      </c>
      <c r="B693" s="48">
        <v>1</v>
      </c>
      <c r="C693" s="50" t="s">
        <v>32</v>
      </c>
      <c r="D693" s="48" t="s">
        <v>31</v>
      </c>
      <c r="E693" s="48" t="s">
        <v>138</v>
      </c>
      <c r="F693" s="48" t="s">
        <v>139</v>
      </c>
      <c r="G693" s="49" t="s">
        <v>59</v>
      </c>
      <c r="H693" s="48" t="s">
        <v>161</v>
      </c>
      <c r="I693" s="48">
        <v>1</v>
      </c>
      <c r="J693" s="48">
        <v>285</v>
      </c>
      <c r="K693" s="48">
        <v>1</v>
      </c>
      <c r="N693" s="48">
        <v>0</v>
      </c>
      <c r="R693" s="49"/>
      <c r="S693" s="49"/>
      <c r="T693" s="49">
        <v>54604</v>
      </c>
      <c r="U693" s="49">
        <v>54604</v>
      </c>
      <c r="V693" s="49">
        <v>54604</v>
      </c>
      <c r="W693" s="49">
        <v>54604</v>
      </c>
      <c r="X693" s="48">
        <v>1</v>
      </c>
      <c r="Y693" s="48">
        <v>1</v>
      </c>
      <c r="Z693" s="48">
        <v>1</v>
      </c>
      <c r="AA693" s="156">
        <v>0</v>
      </c>
      <c r="AF693" s="48">
        <v>0</v>
      </c>
      <c r="AG693" s="49" t="s">
        <v>32</v>
      </c>
      <c r="AH693" s="48">
        <v>1</v>
      </c>
      <c r="AI693" s="48" t="s">
        <v>33</v>
      </c>
      <c r="AJ693" s="48" t="s">
        <v>33</v>
      </c>
      <c r="AK693" s="48" t="s">
        <v>33</v>
      </c>
      <c r="AL693" s="48" t="s">
        <v>34</v>
      </c>
      <c r="AN693" s="48">
        <v>0</v>
      </c>
      <c r="AO693" s="48">
        <v>0</v>
      </c>
      <c r="AP693" s="48">
        <v>0</v>
      </c>
      <c r="AQ693" s="48">
        <v>0</v>
      </c>
      <c r="AR693" s="48">
        <v>0</v>
      </c>
      <c r="AS693" s="48">
        <v>0</v>
      </c>
      <c r="AT693" s="48">
        <v>0</v>
      </c>
      <c r="AU693" s="48">
        <v>0</v>
      </c>
      <c r="AV693" s="48">
        <v>0</v>
      </c>
      <c r="AW693" s="48">
        <v>0</v>
      </c>
      <c r="AX693" s="48">
        <v>0</v>
      </c>
      <c r="AY693" s="48">
        <v>0</v>
      </c>
      <c r="AZ693" s="48">
        <v>0</v>
      </c>
      <c r="BA693" s="48">
        <v>0</v>
      </c>
      <c r="BB693" s="48">
        <v>0</v>
      </c>
    </row>
    <row r="694" spans="1:54" x14ac:dyDescent="0.35">
      <c r="A694" s="49">
        <v>45930</v>
      </c>
      <c r="B694" s="48">
        <v>1</v>
      </c>
      <c r="C694" s="50" t="s">
        <v>32</v>
      </c>
      <c r="D694" s="48" t="s">
        <v>31</v>
      </c>
      <c r="E694" s="48" t="s">
        <v>138</v>
      </c>
      <c r="F694" s="48" t="s">
        <v>139</v>
      </c>
      <c r="G694" s="49" t="s">
        <v>59</v>
      </c>
      <c r="H694" s="48" t="s">
        <v>161</v>
      </c>
      <c r="I694" s="48">
        <v>1</v>
      </c>
      <c r="J694" s="48">
        <v>286</v>
      </c>
      <c r="K694" s="48">
        <v>1</v>
      </c>
      <c r="N694" s="48">
        <v>0</v>
      </c>
      <c r="R694" s="49"/>
      <c r="S694" s="49"/>
      <c r="T694" s="49">
        <v>54635</v>
      </c>
      <c r="U694" s="49">
        <v>54635</v>
      </c>
      <c r="V694" s="49">
        <v>54635</v>
      </c>
      <c r="W694" s="49">
        <v>54635</v>
      </c>
      <c r="X694" s="48">
        <v>1</v>
      </c>
      <c r="Y694" s="48">
        <v>1</v>
      </c>
      <c r="Z694" s="48">
        <v>1</v>
      </c>
      <c r="AA694" s="156">
        <v>0</v>
      </c>
      <c r="AF694" s="48">
        <v>0</v>
      </c>
      <c r="AG694" s="49" t="s">
        <v>32</v>
      </c>
      <c r="AH694" s="48">
        <v>1</v>
      </c>
      <c r="AI694" s="48" t="s">
        <v>33</v>
      </c>
      <c r="AJ694" s="48" t="s">
        <v>33</v>
      </c>
      <c r="AK694" s="48" t="s">
        <v>33</v>
      </c>
      <c r="AL694" s="48" t="s">
        <v>34</v>
      </c>
      <c r="AN694" s="48">
        <v>0</v>
      </c>
      <c r="AO694" s="48">
        <v>0</v>
      </c>
      <c r="AP694" s="48">
        <v>0</v>
      </c>
      <c r="AQ694" s="48">
        <v>0</v>
      </c>
      <c r="AR694" s="48">
        <v>0</v>
      </c>
      <c r="AS694" s="48">
        <v>0</v>
      </c>
      <c r="AT694" s="48">
        <v>0</v>
      </c>
      <c r="AU694" s="48">
        <v>0</v>
      </c>
      <c r="AV694" s="48">
        <v>0</v>
      </c>
      <c r="AW694" s="48">
        <v>0</v>
      </c>
      <c r="AX694" s="48">
        <v>0</v>
      </c>
      <c r="AY694" s="48">
        <v>0</v>
      </c>
      <c r="AZ694" s="48">
        <v>0</v>
      </c>
      <c r="BA694" s="48">
        <v>0</v>
      </c>
      <c r="BB694" s="48">
        <v>0</v>
      </c>
    </row>
    <row r="695" spans="1:54" x14ac:dyDescent="0.35">
      <c r="A695" s="49">
        <v>45930</v>
      </c>
      <c r="B695" s="48">
        <v>1</v>
      </c>
      <c r="C695" s="50" t="s">
        <v>32</v>
      </c>
      <c r="D695" s="48" t="s">
        <v>31</v>
      </c>
      <c r="E695" s="48" t="s">
        <v>138</v>
      </c>
      <c r="F695" s="48" t="s">
        <v>139</v>
      </c>
      <c r="G695" s="49" t="s">
        <v>59</v>
      </c>
      <c r="H695" s="48" t="s">
        <v>161</v>
      </c>
      <c r="I695" s="48">
        <v>1</v>
      </c>
      <c r="J695" s="48">
        <v>287</v>
      </c>
      <c r="K695" s="48">
        <v>1</v>
      </c>
      <c r="N695" s="48">
        <v>0</v>
      </c>
      <c r="R695" s="49"/>
      <c r="S695" s="49"/>
      <c r="T695" s="49">
        <v>54666</v>
      </c>
      <c r="U695" s="49">
        <v>54666</v>
      </c>
      <c r="V695" s="49">
        <v>54666</v>
      </c>
      <c r="W695" s="49">
        <v>54666</v>
      </c>
      <c r="X695" s="48">
        <v>1</v>
      </c>
      <c r="Y695" s="48">
        <v>1</v>
      </c>
      <c r="Z695" s="48">
        <v>1</v>
      </c>
      <c r="AA695" s="156">
        <v>0</v>
      </c>
      <c r="AF695" s="48">
        <v>0</v>
      </c>
      <c r="AG695" s="49" t="s">
        <v>32</v>
      </c>
      <c r="AH695" s="48">
        <v>1</v>
      </c>
      <c r="AI695" s="48" t="s">
        <v>33</v>
      </c>
      <c r="AJ695" s="48" t="s">
        <v>33</v>
      </c>
      <c r="AK695" s="48" t="s">
        <v>33</v>
      </c>
      <c r="AL695" s="48" t="s">
        <v>34</v>
      </c>
      <c r="AN695" s="48">
        <v>0</v>
      </c>
      <c r="AO695" s="48">
        <v>0</v>
      </c>
      <c r="AP695" s="48">
        <v>0</v>
      </c>
      <c r="AQ695" s="48">
        <v>0</v>
      </c>
      <c r="AR695" s="48">
        <v>0</v>
      </c>
      <c r="AS695" s="48">
        <v>0</v>
      </c>
      <c r="AT695" s="48">
        <v>0</v>
      </c>
      <c r="AU695" s="48">
        <v>0</v>
      </c>
      <c r="AV695" s="48">
        <v>0</v>
      </c>
      <c r="AW695" s="48">
        <v>0</v>
      </c>
      <c r="AX695" s="48">
        <v>0</v>
      </c>
      <c r="AY695" s="48">
        <v>0</v>
      </c>
      <c r="AZ695" s="48">
        <v>0</v>
      </c>
      <c r="BA695" s="48">
        <v>0</v>
      </c>
      <c r="BB695" s="48">
        <v>0</v>
      </c>
    </row>
    <row r="696" spans="1:54" x14ac:dyDescent="0.35">
      <c r="A696" s="49">
        <v>45930</v>
      </c>
      <c r="B696" s="48">
        <v>1</v>
      </c>
      <c r="C696" s="50" t="s">
        <v>32</v>
      </c>
      <c r="D696" s="48" t="s">
        <v>31</v>
      </c>
      <c r="E696" s="48" t="s">
        <v>138</v>
      </c>
      <c r="F696" s="48" t="s">
        <v>139</v>
      </c>
      <c r="G696" s="49" t="s">
        <v>59</v>
      </c>
      <c r="H696" s="48" t="s">
        <v>161</v>
      </c>
      <c r="I696" s="48">
        <v>1</v>
      </c>
      <c r="J696" s="48">
        <v>288</v>
      </c>
      <c r="K696" s="48">
        <v>1</v>
      </c>
      <c r="N696" s="48">
        <v>0</v>
      </c>
      <c r="R696" s="49"/>
      <c r="S696" s="49"/>
      <c r="T696" s="49">
        <v>54696</v>
      </c>
      <c r="U696" s="49">
        <v>54696</v>
      </c>
      <c r="V696" s="49">
        <v>54696</v>
      </c>
      <c r="W696" s="49">
        <v>54696</v>
      </c>
      <c r="X696" s="48">
        <v>1</v>
      </c>
      <c r="Y696" s="48">
        <v>1</v>
      </c>
      <c r="Z696" s="48">
        <v>1</v>
      </c>
      <c r="AA696" s="156">
        <v>0</v>
      </c>
      <c r="AF696" s="48">
        <v>0</v>
      </c>
      <c r="AG696" s="49" t="s">
        <v>32</v>
      </c>
      <c r="AH696" s="48">
        <v>1</v>
      </c>
      <c r="AI696" s="48" t="s">
        <v>33</v>
      </c>
      <c r="AJ696" s="48" t="s">
        <v>33</v>
      </c>
      <c r="AK696" s="48" t="s">
        <v>33</v>
      </c>
      <c r="AL696" s="48" t="s">
        <v>34</v>
      </c>
      <c r="AN696" s="48">
        <v>0</v>
      </c>
      <c r="AO696" s="48">
        <v>0</v>
      </c>
      <c r="AP696" s="48">
        <v>0</v>
      </c>
      <c r="AQ696" s="48">
        <v>0</v>
      </c>
      <c r="AR696" s="48">
        <v>0</v>
      </c>
      <c r="AS696" s="48">
        <v>0</v>
      </c>
      <c r="AT696" s="48">
        <v>0</v>
      </c>
      <c r="AU696" s="48">
        <v>0</v>
      </c>
      <c r="AV696" s="48">
        <v>0</v>
      </c>
      <c r="AW696" s="48">
        <v>0</v>
      </c>
      <c r="AX696" s="48">
        <v>0</v>
      </c>
      <c r="AY696" s="48">
        <v>0</v>
      </c>
      <c r="AZ696" s="48">
        <v>0</v>
      </c>
      <c r="BA696" s="48">
        <v>0</v>
      </c>
      <c r="BB696" s="48">
        <v>0</v>
      </c>
    </row>
    <row r="697" spans="1:54" x14ac:dyDescent="0.35">
      <c r="A697" s="49">
        <v>45930</v>
      </c>
      <c r="B697" s="48">
        <v>1</v>
      </c>
      <c r="C697" s="50" t="s">
        <v>32</v>
      </c>
      <c r="D697" s="48" t="s">
        <v>31</v>
      </c>
      <c r="E697" s="48" t="s">
        <v>138</v>
      </c>
      <c r="F697" s="48" t="s">
        <v>139</v>
      </c>
      <c r="G697" s="49" t="s">
        <v>59</v>
      </c>
      <c r="H697" s="48" t="s">
        <v>161</v>
      </c>
      <c r="I697" s="48">
        <v>1</v>
      </c>
      <c r="J697" s="48">
        <v>289</v>
      </c>
      <c r="K697" s="48">
        <v>1</v>
      </c>
      <c r="N697" s="48">
        <v>0</v>
      </c>
      <c r="R697" s="49"/>
      <c r="S697" s="49"/>
      <c r="T697" s="49">
        <v>54727</v>
      </c>
      <c r="U697" s="49">
        <v>54727</v>
      </c>
      <c r="V697" s="49">
        <v>54727</v>
      </c>
      <c r="W697" s="49">
        <v>54727</v>
      </c>
      <c r="X697" s="48">
        <v>1</v>
      </c>
      <c r="Y697" s="48">
        <v>1</v>
      </c>
      <c r="Z697" s="48">
        <v>1</v>
      </c>
      <c r="AA697" s="156">
        <v>0</v>
      </c>
      <c r="AF697" s="48">
        <v>0</v>
      </c>
      <c r="AG697" s="49" t="s">
        <v>32</v>
      </c>
      <c r="AH697" s="48">
        <v>1</v>
      </c>
      <c r="AI697" s="48" t="s">
        <v>33</v>
      </c>
      <c r="AJ697" s="48" t="s">
        <v>33</v>
      </c>
      <c r="AK697" s="48" t="s">
        <v>33</v>
      </c>
      <c r="AL697" s="48" t="s">
        <v>34</v>
      </c>
      <c r="AN697" s="48">
        <v>0</v>
      </c>
      <c r="AO697" s="48">
        <v>0</v>
      </c>
      <c r="AP697" s="48">
        <v>0</v>
      </c>
      <c r="AQ697" s="48">
        <v>0</v>
      </c>
      <c r="AR697" s="48">
        <v>0</v>
      </c>
      <c r="AS697" s="48">
        <v>0</v>
      </c>
      <c r="AT697" s="48">
        <v>0</v>
      </c>
      <c r="AU697" s="48">
        <v>0</v>
      </c>
      <c r="AV697" s="48">
        <v>0</v>
      </c>
      <c r="AW697" s="48">
        <v>0</v>
      </c>
      <c r="AX697" s="48">
        <v>0</v>
      </c>
      <c r="AY697" s="48">
        <v>0</v>
      </c>
      <c r="AZ697" s="48">
        <v>0</v>
      </c>
      <c r="BA697" s="48">
        <v>0</v>
      </c>
      <c r="BB697" s="48">
        <v>0</v>
      </c>
    </row>
    <row r="698" spans="1:54" x14ac:dyDescent="0.35">
      <c r="A698" s="49">
        <v>45930</v>
      </c>
      <c r="B698" s="48">
        <v>1</v>
      </c>
      <c r="C698" s="50" t="s">
        <v>32</v>
      </c>
      <c r="D698" s="48" t="s">
        <v>31</v>
      </c>
      <c r="E698" s="48" t="s">
        <v>138</v>
      </c>
      <c r="F698" s="48" t="s">
        <v>139</v>
      </c>
      <c r="G698" s="49" t="s">
        <v>59</v>
      </c>
      <c r="H698" s="48" t="s">
        <v>161</v>
      </c>
      <c r="I698" s="48">
        <v>1</v>
      </c>
      <c r="J698" s="48">
        <v>290</v>
      </c>
      <c r="K698" s="48">
        <v>1</v>
      </c>
      <c r="N698" s="48">
        <v>0</v>
      </c>
      <c r="R698" s="49"/>
      <c r="S698" s="49"/>
      <c r="T698" s="49">
        <v>54757</v>
      </c>
      <c r="U698" s="49">
        <v>54757</v>
      </c>
      <c r="V698" s="49">
        <v>54757</v>
      </c>
      <c r="W698" s="49">
        <v>54757</v>
      </c>
      <c r="X698" s="48">
        <v>1</v>
      </c>
      <c r="Y698" s="48">
        <v>1</v>
      </c>
      <c r="Z698" s="48">
        <v>1</v>
      </c>
      <c r="AA698" s="156">
        <v>0</v>
      </c>
      <c r="AF698" s="48">
        <v>0</v>
      </c>
      <c r="AG698" s="49" t="s">
        <v>32</v>
      </c>
      <c r="AH698" s="48">
        <v>1</v>
      </c>
      <c r="AI698" s="48" t="s">
        <v>33</v>
      </c>
      <c r="AJ698" s="48" t="s">
        <v>33</v>
      </c>
      <c r="AK698" s="48" t="s">
        <v>33</v>
      </c>
      <c r="AL698" s="48" t="s">
        <v>34</v>
      </c>
      <c r="AN698" s="48">
        <v>0</v>
      </c>
      <c r="AO698" s="48">
        <v>0</v>
      </c>
      <c r="AP698" s="48">
        <v>0</v>
      </c>
      <c r="AQ698" s="48">
        <v>0</v>
      </c>
      <c r="AR698" s="48">
        <v>0</v>
      </c>
      <c r="AS698" s="48">
        <v>0</v>
      </c>
      <c r="AT698" s="48">
        <v>0</v>
      </c>
      <c r="AU698" s="48">
        <v>0</v>
      </c>
      <c r="AV698" s="48">
        <v>0</v>
      </c>
      <c r="AW698" s="48">
        <v>0</v>
      </c>
      <c r="AX698" s="48">
        <v>0</v>
      </c>
      <c r="AY698" s="48">
        <v>0</v>
      </c>
      <c r="AZ698" s="48">
        <v>0</v>
      </c>
      <c r="BA698" s="48">
        <v>0</v>
      </c>
      <c r="BB698" s="48">
        <v>0</v>
      </c>
    </row>
    <row r="699" spans="1:54" x14ac:dyDescent="0.35">
      <c r="A699" s="49">
        <v>45930</v>
      </c>
      <c r="B699" s="48">
        <v>1</v>
      </c>
      <c r="C699" s="50" t="s">
        <v>32</v>
      </c>
      <c r="D699" s="48" t="s">
        <v>31</v>
      </c>
      <c r="E699" s="48" t="s">
        <v>138</v>
      </c>
      <c r="F699" s="48" t="s">
        <v>139</v>
      </c>
      <c r="G699" s="49" t="s">
        <v>59</v>
      </c>
      <c r="H699" s="48" t="s">
        <v>161</v>
      </c>
      <c r="I699" s="48">
        <v>1</v>
      </c>
      <c r="J699" s="48">
        <v>291</v>
      </c>
      <c r="K699" s="48">
        <v>1</v>
      </c>
      <c r="N699" s="48">
        <v>0</v>
      </c>
      <c r="R699" s="49"/>
      <c r="S699" s="49"/>
      <c r="T699" s="49">
        <v>54788</v>
      </c>
      <c r="U699" s="49">
        <v>54788</v>
      </c>
      <c r="V699" s="49">
        <v>54788</v>
      </c>
      <c r="W699" s="49">
        <v>54788</v>
      </c>
      <c r="X699" s="48">
        <v>1</v>
      </c>
      <c r="Y699" s="48">
        <v>1</v>
      </c>
      <c r="Z699" s="48">
        <v>1</v>
      </c>
      <c r="AA699" s="156">
        <v>0</v>
      </c>
      <c r="AF699" s="48">
        <v>0</v>
      </c>
      <c r="AG699" s="49" t="s">
        <v>32</v>
      </c>
      <c r="AH699" s="48">
        <v>1</v>
      </c>
      <c r="AI699" s="48" t="s">
        <v>33</v>
      </c>
      <c r="AJ699" s="48" t="s">
        <v>33</v>
      </c>
      <c r="AK699" s="48" t="s">
        <v>33</v>
      </c>
      <c r="AL699" s="48" t="s">
        <v>34</v>
      </c>
      <c r="AN699" s="48">
        <v>0</v>
      </c>
      <c r="AO699" s="48">
        <v>0</v>
      </c>
      <c r="AP699" s="48">
        <v>0</v>
      </c>
      <c r="AQ699" s="48">
        <v>0</v>
      </c>
      <c r="AR699" s="48">
        <v>0</v>
      </c>
      <c r="AS699" s="48">
        <v>0</v>
      </c>
      <c r="AT699" s="48">
        <v>0</v>
      </c>
      <c r="AU699" s="48">
        <v>0</v>
      </c>
      <c r="AV699" s="48">
        <v>0</v>
      </c>
      <c r="AW699" s="48">
        <v>0</v>
      </c>
      <c r="AX699" s="48">
        <v>0</v>
      </c>
      <c r="AY699" s="48">
        <v>0</v>
      </c>
      <c r="AZ699" s="48">
        <v>0</v>
      </c>
      <c r="BA699" s="48">
        <v>0</v>
      </c>
      <c r="BB699" s="48">
        <v>0</v>
      </c>
    </row>
    <row r="700" spans="1:54" x14ac:dyDescent="0.35">
      <c r="A700" s="49">
        <v>45930</v>
      </c>
      <c r="B700" s="48">
        <v>1</v>
      </c>
      <c r="C700" s="50" t="s">
        <v>32</v>
      </c>
      <c r="D700" s="48" t="s">
        <v>31</v>
      </c>
      <c r="E700" s="48" t="s">
        <v>138</v>
      </c>
      <c r="F700" s="48" t="s">
        <v>139</v>
      </c>
      <c r="G700" s="49" t="s">
        <v>59</v>
      </c>
      <c r="H700" s="48" t="s">
        <v>161</v>
      </c>
      <c r="I700" s="48">
        <v>1</v>
      </c>
      <c r="J700" s="48">
        <v>292</v>
      </c>
      <c r="K700" s="48">
        <v>1</v>
      </c>
      <c r="N700" s="48">
        <v>0</v>
      </c>
      <c r="R700" s="49"/>
      <c r="S700" s="49"/>
      <c r="T700" s="49">
        <v>54819</v>
      </c>
      <c r="U700" s="49">
        <v>54819</v>
      </c>
      <c r="V700" s="49">
        <v>54819</v>
      </c>
      <c r="W700" s="49">
        <v>54819</v>
      </c>
      <c r="X700" s="48">
        <v>1</v>
      </c>
      <c r="Y700" s="48">
        <v>1</v>
      </c>
      <c r="Z700" s="48">
        <v>1</v>
      </c>
      <c r="AA700" s="156">
        <v>0</v>
      </c>
      <c r="AF700" s="48">
        <v>0</v>
      </c>
      <c r="AG700" s="49" t="s">
        <v>32</v>
      </c>
      <c r="AH700" s="48">
        <v>1</v>
      </c>
      <c r="AI700" s="48" t="s">
        <v>33</v>
      </c>
      <c r="AJ700" s="48" t="s">
        <v>33</v>
      </c>
      <c r="AK700" s="48" t="s">
        <v>33</v>
      </c>
      <c r="AL700" s="48" t="s">
        <v>34</v>
      </c>
      <c r="AN700" s="48">
        <v>0</v>
      </c>
      <c r="AO700" s="48">
        <v>0</v>
      </c>
      <c r="AP700" s="48">
        <v>0</v>
      </c>
      <c r="AQ700" s="48">
        <v>0</v>
      </c>
      <c r="AR700" s="48">
        <v>0</v>
      </c>
      <c r="AS700" s="48">
        <v>0</v>
      </c>
      <c r="AT700" s="48">
        <v>0</v>
      </c>
      <c r="AU700" s="48">
        <v>0</v>
      </c>
      <c r="AV700" s="48">
        <v>0</v>
      </c>
      <c r="AW700" s="48">
        <v>0</v>
      </c>
      <c r="AX700" s="48">
        <v>0</v>
      </c>
      <c r="AY700" s="48">
        <v>0</v>
      </c>
      <c r="AZ700" s="48">
        <v>0</v>
      </c>
      <c r="BA700" s="48">
        <v>0</v>
      </c>
      <c r="BB700" s="48">
        <v>0</v>
      </c>
    </row>
    <row r="701" spans="1:54" x14ac:dyDescent="0.35">
      <c r="A701" s="49">
        <v>45930</v>
      </c>
      <c r="B701" s="48">
        <v>1</v>
      </c>
      <c r="C701" s="50" t="s">
        <v>32</v>
      </c>
      <c r="D701" s="48" t="s">
        <v>31</v>
      </c>
      <c r="E701" s="48" t="s">
        <v>138</v>
      </c>
      <c r="F701" s="48" t="s">
        <v>139</v>
      </c>
      <c r="G701" s="49" t="s">
        <v>59</v>
      </c>
      <c r="H701" s="48" t="s">
        <v>161</v>
      </c>
      <c r="I701" s="48">
        <v>1</v>
      </c>
      <c r="J701" s="48">
        <v>293</v>
      </c>
      <c r="K701" s="48">
        <v>1</v>
      </c>
      <c r="N701" s="48">
        <v>0</v>
      </c>
      <c r="R701" s="49"/>
      <c r="S701" s="49"/>
      <c r="T701" s="49">
        <v>54847</v>
      </c>
      <c r="U701" s="49">
        <v>54847</v>
      </c>
      <c r="V701" s="49">
        <v>54847</v>
      </c>
      <c r="W701" s="49">
        <v>54847</v>
      </c>
      <c r="X701" s="48">
        <v>1</v>
      </c>
      <c r="Y701" s="48">
        <v>1</v>
      </c>
      <c r="Z701" s="48">
        <v>1</v>
      </c>
      <c r="AA701" s="156">
        <v>0</v>
      </c>
      <c r="AF701" s="48">
        <v>0</v>
      </c>
      <c r="AG701" s="49" t="s">
        <v>32</v>
      </c>
      <c r="AH701" s="48">
        <v>1</v>
      </c>
      <c r="AI701" s="48" t="s">
        <v>33</v>
      </c>
      <c r="AJ701" s="48" t="s">
        <v>33</v>
      </c>
      <c r="AK701" s="48" t="s">
        <v>33</v>
      </c>
      <c r="AL701" s="48" t="s">
        <v>34</v>
      </c>
      <c r="AN701" s="48">
        <v>0</v>
      </c>
      <c r="AO701" s="48">
        <v>0</v>
      </c>
      <c r="AP701" s="48">
        <v>0</v>
      </c>
      <c r="AQ701" s="48">
        <v>0</v>
      </c>
      <c r="AR701" s="48">
        <v>0</v>
      </c>
      <c r="AS701" s="48">
        <v>0</v>
      </c>
      <c r="AT701" s="48">
        <v>0</v>
      </c>
      <c r="AU701" s="48">
        <v>0</v>
      </c>
      <c r="AV701" s="48">
        <v>0</v>
      </c>
      <c r="AW701" s="48">
        <v>0</v>
      </c>
      <c r="AX701" s="48">
        <v>0</v>
      </c>
      <c r="AY701" s="48">
        <v>0</v>
      </c>
      <c r="AZ701" s="48">
        <v>0</v>
      </c>
      <c r="BA701" s="48">
        <v>0</v>
      </c>
      <c r="BB701" s="48">
        <v>0</v>
      </c>
    </row>
    <row r="702" spans="1:54" x14ac:dyDescent="0.35">
      <c r="A702" s="49">
        <v>45930</v>
      </c>
      <c r="B702" s="48">
        <v>1</v>
      </c>
      <c r="C702" s="50" t="s">
        <v>32</v>
      </c>
      <c r="D702" s="48" t="s">
        <v>31</v>
      </c>
      <c r="E702" s="48" t="s">
        <v>138</v>
      </c>
      <c r="F702" s="48" t="s">
        <v>139</v>
      </c>
      <c r="G702" s="49" t="s">
        <v>59</v>
      </c>
      <c r="H702" s="48" t="s">
        <v>161</v>
      </c>
      <c r="I702" s="48">
        <v>1</v>
      </c>
      <c r="J702" s="48">
        <v>294</v>
      </c>
      <c r="K702" s="48">
        <v>1</v>
      </c>
      <c r="N702" s="48">
        <v>0</v>
      </c>
      <c r="R702" s="49"/>
      <c r="S702" s="49"/>
      <c r="T702" s="49">
        <v>54878</v>
      </c>
      <c r="U702" s="49">
        <v>54878</v>
      </c>
      <c r="V702" s="49">
        <v>54878</v>
      </c>
      <c r="W702" s="49">
        <v>54878</v>
      </c>
      <c r="X702" s="48">
        <v>1</v>
      </c>
      <c r="Y702" s="48">
        <v>1</v>
      </c>
      <c r="Z702" s="48">
        <v>1</v>
      </c>
      <c r="AA702" s="156">
        <v>0</v>
      </c>
      <c r="AF702" s="48">
        <v>0</v>
      </c>
      <c r="AG702" s="49" t="s">
        <v>32</v>
      </c>
      <c r="AH702" s="48">
        <v>1</v>
      </c>
      <c r="AI702" s="48" t="s">
        <v>33</v>
      </c>
      <c r="AJ702" s="48" t="s">
        <v>33</v>
      </c>
      <c r="AK702" s="48" t="s">
        <v>33</v>
      </c>
      <c r="AL702" s="48" t="s">
        <v>34</v>
      </c>
      <c r="AN702" s="48">
        <v>0</v>
      </c>
      <c r="AO702" s="48">
        <v>0</v>
      </c>
      <c r="AP702" s="48">
        <v>0</v>
      </c>
      <c r="AQ702" s="48">
        <v>0</v>
      </c>
      <c r="AR702" s="48">
        <v>0</v>
      </c>
      <c r="AS702" s="48">
        <v>0</v>
      </c>
      <c r="AT702" s="48">
        <v>0</v>
      </c>
      <c r="AU702" s="48">
        <v>0</v>
      </c>
      <c r="AV702" s="48">
        <v>0</v>
      </c>
      <c r="AW702" s="48">
        <v>0</v>
      </c>
      <c r="AX702" s="48">
        <v>0</v>
      </c>
      <c r="AY702" s="48">
        <v>0</v>
      </c>
      <c r="AZ702" s="48">
        <v>0</v>
      </c>
      <c r="BA702" s="48">
        <v>0</v>
      </c>
      <c r="BB702" s="48">
        <v>0</v>
      </c>
    </row>
    <row r="703" spans="1:54" x14ac:dyDescent="0.35">
      <c r="A703" s="49">
        <v>45930</v>
      </c>
      <c r="B703" s="48">
        <v>1</v>
      </c>
      <c r="C703" s="50" t="s">
        <v>41</v>
      </c>
      <c r="D703" s="48" t="s">
        <v>31</v>
      </c>
      <c r="E703" s="48" t="s">
        <v>138</v>
      </c>
      <c r="F703" s="48" t="s">
        <v>139</v>
      </c>
      <c r="G703" s="49" t="s">
        <v>65</v>
      </c>
      <c r="H703" s="48" t="s">
        <v>71</v>
      </c>
      <c r="I703" s="48">
        <v>1</v>
      </c>
      <c r="K703" s="48">
        <v>1</v>
      </c>
      <c r="N703" s="48">
        <v>0</v>
      </c>
      <c r="R703" s="49"/>
      <c r="S703" s="49"/>
      <c r="T703" s="49">
        <v>45931</v>
      </c>
      <c r="U703" s="49">
        <v>45931</v>
      </c>
      <c r="V703" s="49">
        <v>45931</v>
      </c>
      <c r="W703" s="49">
        <v>45931</v>
      </c>
      <c r="X703" s="48">
        <v>1</v>
      </c>
      <c r="Y703" s="48">
        <v>1</v>
      </c>
      <c r="Z703" s="48">
        <v>1</v>
      </c>
      <c r="AA703" s="156">
        <v>0</v>
      </c>
      <c r="AF703" s="48">
        <v>0</v>
      </c>
      <c r="AG703" s="49" t="s">
        <v>41</v>
      </c>
      <c r="AH703" s="48">
        <v>1</v>
      </c>
      <c r="AI703" s="48" t="s">
        <v>33</v>
      </c>
      <c r="AJ703" s="48" t="s">
        <v>33</v>
      </c>
      <c r="AK703" s="48" t="s">
        <v>33</v>
      </c>
      <c r="AL703" s="48" t="s">
        <v>34</v>
      </c>
      <c r="AN703" s="48">
        <v>0</v>
      </c>
      <c r="AO703" s="48">
        <v>0</v>
      </c>
      <c r="AP703" s="48">
        <v>0</v>
      </c>
      <c r="AQ703" s="48">
        <v>0</v>
      </c>
      <c r="AR703" s="48">
        <v>0</v>
      </c>
      <c r="AS703" s="48">
        <v>0</v>
      </c>
      <c r="AT703" s="48">
        <v>0</v>
      </c>
      <c r="AU703" s="48">
        <v>0</v>
      </c>
      <c r="AV703" s="48">
        <v>0</v>
      </c>
      <c r="AW703" s="48">
        <v>0</v>
      </c>
      <c r="AX703" s="48">
        <v>0</v>
      </c>
      <c r="AY703" s="48">
        <v>0</v>
      </c>
      <c r="AZ703" s="48">
        <v>0</v>
      </c>
      <c r="BA703" s="48">
        <v>0</v>
      </c>
      <c r="BB703" s="48">
        <v>0</v>
      </c>
    </row>
    <row r="704" spans="1:54" x14ac:dyDescent="0.35">
      <c r="A704" s="49">
        <v>45930</v>
      </c>
      <c r="B704" s="48">
        <v>1</v>
      </c>
      <c r="C704" s="50" t="s">
        <v>41</v>
      </c>
      <c r="D704" s="48" t="s">
        <v>31</v>
      </c>
      <c r="E704" s="48" t="s">
        <v>138</v>
      </c>
      <c r="F704" s="48" t="s">
        <v>139</v>
      </c>
      <c r="G704" s="49" t="s">
        <v>65</v>
      </c>
      <c r="H704" s="48" t="s">
        <v>65</v>
      </c>
      <c r="I704" s="48">
        <v>1</v>
      </c>
      <c r="K704" s="48">
        <v>1</v>
      </c>
      <c r="N704" s="48">
        <v>0</v>
      </c>
      <c r="R704" s="49"/>
      <c r="S704" s="49"/>
      <c r="T704" s="49">
        <v>45931</v>
      </c>
      <c r="U704" s="49">
        <v>45931</v>
      </c>
      <c r="V704" s="49">
        <v>45931</v>
      </c>
      <c r="W704" s="49">
        <v>45931</v>
      </c>
      <c r="X704" s="48">
        <v>1</v>
      </c>
      <c r="Y704" s="48">
        <v>1</v>
      </c>
      <c r="Z704" s="48">
        <v>1</v>
      </c>
      <c r="AA704" s="156">
        <v>357810792922</v>
      </c>
      <c r="AF704" s="48">
        <v>0</v>
      </c>
      <c r="AG704" s="49" t="s">
        <v>41</v>
      </c>
      <c r="AH704" s="48">
        <v>1</v>
      </c>
      <c r="AI704" s="48" t="s">
        <v>33</v>
      </c>
      <c r="AJ704" s="48" t="s">
        <v>33</v>
      </c>
      <c r="AK704" s="48" t="s">
        <v>33</v>
      </c>
      <c r="AL704" s="48" t="s">
        <v>34</v>
      </c>
      <c r="AN704" s="48">
        <v>0</v>
      </c>
      <c r="AO704" s="48">
        <v>0</v>
      </c>
      <c r="AP704" s="48">
        <v>0</v>
      </c>
      <c r="AQ704" s="48">
        <v>0</v>
      </c>
      <c r="AR704" s="48">
        <v>0</v>
      </c>
      <c r="AS704" s="48">
        <v>0</v>
      </c>
      <c r="AT704" s="48">
        <v>0</v>
      </c>
      <c r="AU704" s="48">
        <v>0</v>
      </c>
      <c r="AV704" s="48">
        <v>0</v>
      </c>
      <c r="AW704" s="48">
        <v>0</v>
      </c>
      <c r="AX704" s="48">
        <v>0</v>
      </c>
      <c r="AY704" s="48">
        <v>0</v>
      </c>
      <c r="AZ704" s="48">
        <v>0</v>
      </c>
      <c r="BA704" s="48">
        <v>0</v>
      </c>
      <c r="BB704" s="48">
        <v>0</v>
      </c>
    </row>
    <row r="705" spans="1:54" x14ac:dyDescent="0.35">
      <c r="A705" s="49">
        <v>45930</v>
      </c>
      <c r="B705" s="48">
        <v>1</v>
      </c>
      <c r="C705" s="50" t="s">
        <v>41</v>
      </c>
      <c r="D705" s="48" t="s">
        <v>31</v>
      </c>
      <c r="E705" s="48" t="s">
        <v>138</v>
      </c>
      <c r="F705" s="48" t="s">
        <v>139</v>
      </c>
      <c r="G705" s="49" t="s">
        <v>65</v>
      </c>
      <c r="H705" s="48" t="s">
        <v>65</v>
      </c>
      <c r="I705" s="48">
        <v>1</v>
      </c>
      <c r="J705" s="48">
        <v>1</v>
      </c>
      <c r="K705" s="48">
        <v>1</v>
      </c>
      <c r="N705" s="48">
        <v>0</v>
      </c>
      <c r="R705" s="49"/>
      <c r="S705" s="181">
        <v>0</v>
      </c>
      <c r="T705" s="49">
        <v>45961</v>
      </c>
      <c r="U705" s="49">
        <v>45961</v>
      </c>
      <c r="V705" s="49">
        <v>45961</v>
      </c>
      <c r="W705" s="49">
        <v>45961</v>
      </c>
      <c r="X705" s="48">
        <v>1</v>
      </c>
      <c r="Y705" s="48">
        <v>1</v>
      </c>
      <c r="Z705" s="48">
        <v>1</v>
      </c>
      <c r="AA705" s="156">
        <v>36011519040.949715</v>
      </c>
      <c r="AF705" s="48">
        <v>0</v>
      </c>
      <c r="AG705" s="49" t="s">
        <v>41</v>
      </c>
      <c r="AH705" s="48">
        <v>1</v>
      </c>
      <c r="AI705" s="48" t="s">
        <v>33</v>
      </c>
      <c r="AJ705" s="48" t="s">
        <v>33</v>
      </c>
      <c r="AK705" s="48" t="s">
        <v>33</v>
      </c>
      <c r="AL705" s="48" t="s">
        <v>34</v>
      </c>
      <c r="AN705" s="48">
        <v>0</v>
      </c>
      <c r="AO705" s="48">
        <v>0</v>
      </c>
      <c r="AP705" s="48">
        <v>0</v>
      </c>
      <c r="AQ705" s="48">
        <v>0</v>
      </c>
      <c r="AR705" s="48">
        <v>0</v>
      </c>
      <c r="AS705" s="48">
        <v>0</v>
      </c>
      <c r="AT705" s="48">
        <v>0</v>
      </c>
      <c r="AU705" s="48">
        <v>0</v>
      </c>
      <c r="AV705" s="48">
        <v>0</v>
      </c>
      <c r="AW705" s="48">
        <v>0</v>
      </c>
      <c r="AX705" s="48">
        <v>0</v>
      </c>
      <c r="AY705" s="48">
        <v>0</v>
      </c>
      <c r="AZ705" s="48">
        <v>0</v>
      </c>
      <c r="BA705" s="48">
        <v>0</v>
      </c>
      <c r="BB705" s="48">
        <v>0</v>
      </c>
    </row>
    <row r="706" spans="1:54" x14ac:dyDescent="0.35">
      <c r="A706" s="49">
        <v>45930</v>
      </c>
      <c r="B706" s="48">
        <v>1</v>
      </c>
      <c r="C706" s="50" t="s">
        <v>41</v>
      </c>
      <c r="D706" s="48" t="s">
        <v>31</v>
      </c>
      <c r="E706" s="48" t="s">
        <v>138</v>
      </c>
      <c r="F706" s="48" t="s">
        <v>139</v>
      </c>
      <c r="G706" s="49" t="s">
        <v>65</v>
      </c>
      <c r="H706" s="48" t="s">
        <v>65</v>
      </c>
      <c r="I706" s="48">
        <v>1</v>
      </c>
      <c r="J706" s="48">
        <v>2</v>
      </c>
      <c r="K706" s="48">
        <v>1</v>
      </c>
      <c r="N706" s="48">
        <v>0</v>
      </c>
      <c r="R706" s="49"/>
      <c r="S706" s="181">
        <v>0</v>
      </c>
      <c r="T706" s="49">
        <v>45991</v>
      </c>
      <c r="U706" s="49">
        <v>45991</v>
      </c>
      <c r="V706" s="49">
        <v>45991</v>
      </c>
      <c r="W706" s="49">
        <v>45991</v>
      </c>
      <c r="X706" s="48">
        <v>1</v>
      </c>
      <c r="Y706" s="48">
        <v>1</v>
      </c>
      <c r="Z706" s="48">
        <v>1</v>
      </c>
      <c r="AA706" s="156">
        <v>36011519040.949715</v>
      </c>
      <c r="AF706" s="48">
        <v>0</v>
      </c>
      <c r="AG706" s="49" t="s">
        <v>41</v>
      </c>
      <c r="AH706" s="48">
        <v>1</v>
      </c>
      <c r="AI706" s="48" t="s">
        <v>33</v>
      </c>
      <c r="AJ706" s="48" t="s">
        <v>33</v>
      </c>
      <c r="AK706" s="48" t="s">
        <v>33</v>
      </c>
      <c r="AL706" s="48" t="s">
        <v>34</v>
      </c>
      <c r="AN706" s="48">
        <v>0</v>
      </c>
      <c r="AO706" s="48">
        <v>0</v>
      </c>
      <c r="AP706" s="48">
        <v>0</v>
      </c>
      <c r="AQ706" s="48">
        <v>0</v>
      </c>
      <c r="AR706" s="48">
        <v>0</v>
      </c>
      <c r="AS706" s="48">
        <v>0</v>
      </c>
      <c r="AT706" s="48">
        <v>0</v>
      </c>
      <c r="AU706" s="48">
        <v>0</v>
      </c>
      <c r="AV706" s="48">
        <v>0</v>
      </c>
      <c r="AW706" s="48">
        <v>0</v>
      </c>
      <c r="AX706" s="48">
        <v>0</v>
      </c>
      <c r="AY706" s="48">
        <v>0</v>
      </c>
      <c r="AZ706" s="48">
        <v>0</v>
      </c>
      <c r="BA706" s="48">
        <v>0</v>
      </c>
      <c r="BB706" s="48">
        <v>0</v>
      </c>
    </row>
    <row r="707" spans="1:54" x14ac:dyDescent="0.35">
      <c r="A707" s="49">
        <v>45930</v>
      </c>
      <c r="B707" s="48">
        <v>1</v>
      </c>
      <c r="C707" s="50" t="s">
        <v>41</v>
      </c>
      <c r="D707" s="48" t="s">
        <v>31</v>
      </c>
      <c r="E707" s="48" t="s">
        <v>138</v>
      </c>
      <c r="F707" s="48" t="s">
        <v>139</v>
      </c>
      <c r="G707" s="49" t="s">
        <v>65</v>
      </c>
      <c r="H707" s="48" t="s">
        <v>65</v>
      </c>
      <c r="I707" s="48">
        <v>1</v>
      </c>
      <c r="J707" s="48">
        <v>3</v>
      </c>
      <c r="K707" s="48">
        <v>1</v>
      </c>
      <c r="N707" s="48">
        <v>0</v>
      </c>
      <c r="R707" s="49"/>
      <c r="S707" s="181">
        <v>0</v>
      </c>
      <c r="T707" s="49">
        <v>46022</v>
      </c>
      <c r="U707" s="49">
        <v>46022</v>
      </c>
      <c r="V707" s="49">
        <v>46022</v>
      </c>
      <c r="W707" s="49">
        <v>46022</v>
      </c>
      <c r="X707" s="48">
        <v>1</v>
      </c>
      <c r="Y707" s="48">
        <v>1</v>
      </c>
      <c r="Z707" s="48">
        <v>1</v>
      </c>
      <c r="AA707" s="156">
        <v>36011519040.949715</v>
      </c>
      <c r="AF707" s="48">
        <v>0</v>
      </c>
      <c r="AG707" s="49" t="s">
        <v>41</v>
      </c>
      <c r="AH707" s="48">
        <v>1</v>
      </c>
      <c r="AI707" s="48" t="s">
        <v>33</v>
      </c>
      <c r="AJ707" s="48" t="s">
        <v>33</v>
      </c>
      <c r="AK707" s="48" t="s">
        <v>33</v>
      </c>
      <c r="AL707" s="48" t="s">
        <v>34</v>
      </c>
      <c r="AN707" s="48">
        <v>0</v>
      </c>
      <c r="AO707" s="48">
        <v>0</v>
      </c>
      <c r="AP707" s="48">
        <v>0</v>
      </c>
      <c r="AQ707" s="48">
        <v>0</v>
      </c>
      <c r="AR707" s="48">
        <v>0</v>
      </c>
      <c r="AS707" s="48">
        <v>0</v>
      </c>
      <c r="AT707" s="48">
        <v>0</v>
      </c>
      <c r="AU707" s="48">
        <v>0</v>
      </c>
      <c r="AV707" s="48">
        <v>0</v>
      </c>
      <c r="AW707" s="48">
        <v>0</v>
      </c>
      <c r="AX707" s="48">
        <v>0</v>
      </c>
      <c r="AY707" s="48">
        <v>0</v>
      </c>
      <c r="AZ707" s="48">
        <v>0</v>
      </c>
      <c r="BA707" s="48">
        <v>0</v>
      </c>
      <c r="BB707" s="48">
        <v>0</v>
      </c>
    </row>
    <row r="708" spans="1:54" x14ac:dyDescent="0.35">
      <c r="A708" s="49">
        <v>45930</v>
      </c>
      <c r="B708" s="48">
        <v>1</v>
      </c>
      <c r="C708" s="50" t="s">
        <v>41</v>
      </c>
      <c r="D708" s="48" t="s">
        <v>31</v>
      </c>
      <c r="E708" s="48" t="s">
        <v>138</v>
      </c>
      <c r="F708" s="48" t="s">
        <v>139</v>
      </c>
      <c r="G708" s="49" t="s">
        <v>65</v>
      </c>
      <c r="H708" s="48" t="s">
        <v>65</v>
      </c>
      <c r="I708" s="48">
        <v>1</v>
      </c>
      <c r="J708" s="48">
        <v>4</v>
      </c>
      <c r="K708" s="48">
        <v>1</v>
      </c>
      <c r="N708" s="48">
        <v>0</v>
      </c>
      <c r="R708" s="49"/>
      <c r="S708" s="181">
        <v>0</v>
      </c>
      <c r="T708" s="49">
        <v>46053</v>
      </c>
      <c r="U708" s="49">
        <v>46053</v>
      </c>
      <c r="V708" s="49">
        <v>46053</v>
      </c>
      <c r="W708" s="49">
        <v>46053</v>
      </c>
      <c r="X708" s="48">
        <v>1</v>
      </c>
      <c r="Y708" s="48">
        <v>1</v>
      </c>
      <c r="Z708" s="48">
        <v>1</v>
      </c>
      <c r="AA708" s="156">
        <v>36011519040.949715</v>
      </c>
      <c r="AF708" s="48">
        <v>0</v>
      </c>
      <c r="AG708" s="49" t="s">
        <v>41</v>
      </c>
      <c r="AH708" s="48">
        <v>1</v>
      </c>
      <c r="AI708" s="48" t="s">
        <v>33</v>
      </c>
      <c r="AJ708" s="48" t="s">
        <v>33</v>
      </c>
      <c r="AK708" s="48" t="s">
        <v>33</v>
      </c>
      <c r="AL708" s="48" t="s">
        <v>34</v>
      </c>
      <c r="AN708" s="48">
        <v>0</v>
      </c>
      <c r="AO708" s="48">
        <v>0</v>
      </c>
      <c r="AP708" s="48">
        <v>0</v>
      </c>
      <c r="AQ708" s="48">
        <v>0</v>
      </c>
      <c r="AR708" s="48">
        <v>0</v>
      </c>
      <c r="AS708" s="48">
        <v>0</v>
      </c>
      <c r="AT708" s="48">
        <v>0</v>
      </c>
      <c r="AU708" s="48">
        <v>0</v>
      </c>
      <c r="AV708" s="48">
        <v>0</v>
      </c>
      <c r="AW708" s="48">
        <v>0</v>
      </c>
      <c r="AX708" s="48">
        <v>0</v>
      </c>
      <c r="AY708" s="48">
        <v>0</v>
      </c>
      <c r="AZ708" s="48">
        <v>0</v>
      </c>
      <c r="BA708" s="48">
        <v>0</v>
      </c>
      <c r="BB708" s="48">
        <v>0</v>
      </c>
    </row>
    <row r="709" spans="1:54" x14ac:dyDescent="0.35">
      <c r="A709" s="49">
        <v>45930</v>
      </c>
      <c r="B709" s="48">
        <v>1</v>
      </c>
      <c r="C709" s="50" t="s">
        <v>41</v>
      </c>
      <c r="D709" s="48" t="s">
        <v>31</v>
      </c>
      <c r="E709" s="48" t="s">
        <v>138</v>
      </c>
      <c r="F709" s="48" t="s">
        <v>139</v>
      </c>
      <c r="G709" s="49" t="s">
        <v>65</v>
      </c>
      <c r="H709" s="48" t="s">
        <v>65</v>
      </c>
      <c r="I709" s="48">
        <v>1</v>
      </c>
      <c r="J709" s="48">
        <v>5</v>
      </c>
      <c r="K709" s="48">
        <v>1</v>
      </c>
      <c r="N709" s="48">
        <v>0</v>
      </c>
      <c r="R709" s="49"/>
      <c r="S709" s="181">
        <v>0</v>
      </c>
      <c r="T709" s="49">
        <v>46081</v>
      </c>
      <c r="U709" s="49">
        <v>46081</v>
      </c>
      <c r="V709" s="49">
        <v>46081</v>
      </c>
      <c r="W709" s="49">
        <v>46081</v>
      </c>
      <c r="X709" s="48">
        <v>1</v>
      </c>
      <c r="Y709" s="48">
        <v>1</v>
      </c>
      <c r="Z709" s="48">
        <v>1</v>
      </c>
      <c r="AA709" s="156">
        <v>36011519040.949715</v>
      </c>
      <c r="AF709" s="48">
        <v>0</v>
      </c>
      <c r="AG709" s="49" t="s">
        <v>41</v>
      </c>
      <c r="AH709" s="48">
        <v>1</v>
      </c>
      <c r="AI709" s="48" t="s">
        <v>33</v>
      </c>
      <c r="AJ709" s="48" t="s">
        <v>33</v>
      </c>
      <c r="AK709" s="48" t="s">
        <v>33</v>
      </c>
      <c r="AL709" s="48" t="s">
        <v>34</v>
      </c>
      <c r="AN709" s="48">
        <v>0</v>
      </c>
      <c r="AO709" s="48">
        <v>0</v>
      </c>
      <c r="AP709" s="48">
        <v>0</v>
      </c>
      <c r="AQ709" s="48">
        <v>0</v>
      </c>
      <c r="AR709" s="48">
        <v>0</v>
      </c>
      <c r="AS709" s="48">
        <v>0</v>
      </c>
      <c r="AT709" s="48">
        <v>0</v>
      </c>
      <c r="AU709" s="48">
        <v>0</v>
      </c>
      <c r="AV709" s="48">
        <v>0</v>
      </c>
      <c r="AW709" s="48">
        <v>0</v>
      </c>
      <c r="AX709" s="48">
        <v>0</v>
      </c>
      <c r="AY709" s="48">
        <v>0</v>
      </c>
      <c r="AZ709" s="48">
        <v>0</v>
      </c>
      <c r="BA709" s="48">
        <v>0</v>
      </c>
      <c r="BB709" s="48">
        <v>0</v>
      </c>
    </row>
    <row r="710" spans="1:54" x14ac:dyDescent="0.35">
      <c r="A710" s="49">
        <v>45930</v>
      </c>
      <c r="B710" s="48">
        <v>1</v>
      </c>
      <c r="C710" s="50" t="s">
        <v>41</v>
      </c>
      <c r="D710" s="48" t="s">
        <v>31</v>
      </c>
      <c r="E710" s="48" t="s">
        <v>138</v>
      </c>
      <c r="F710" s="48" t="s">
        <v>139</v>
      </c>
      <c r="G710" s="49" t="s">
        <v>65</v>
      </c>
      <c r="H710" s="48" t="s">
        <v>65</v>
      </c>
      <c r="I710" s="48">
        <v>1</v>
      </c>
      <c r="J710" s="48">
        <v>6</v>
      </c>
      <c r="K710" s="48">
        <v>1</v>
      </c>
      <c r="N710" s="48">
        <v>0</v>
      </c>
      <c r="R710" s="49"/>
      <c r="S710" s="181">
        <v>0</v>
      </c>
      <c r="T710" s="49">
        <v>46112</v>
      </c>
      <c r="U710" s="49">
        <v>46112</v>
      </c>
      <c r="V710" s="49">
        <v>46112</v>
      </c>
      <c r="W710" s="49">
        <v>46112</v>
      </c>
      <c r="X710" s="48">
        <v>1</v>
      </c>
      <c r="Y710" s="48">
        <v>1</v>
      </c>
      <c r="Z710" s="48">
        <v>1</v>
      </c>
      <c r="AA710" s="156">
        <v>36011519040.949715</v>
      </c>
      <c r="AF710" s="48">
        <v>0</v>
      </c>
      <c r="AG710" s="49" t="s">
        <v>41</v>
      </c>
      <c r="AH710" s="48">
        <v>1</v>
      </c>
      <c r="AI710" s="48" t="s">
        <v>33</v>
      </c>
      <c r="AJ710" s="48" t="s">
        <v>33</v>
      </c>
      <c r="AK710" s="48" t="s">
        <v>33</v>
      </c>
      <c r="AL710" s="48" t="s">
        <v>34</v>
      </c>
      <c r="AN710" s="48">
        <v>0</v>
      </c>
      <c r="AO710" s="48">
        <v>0</v>
      </c>
      <c r="AP710" s="48">
        <v>0</v>
      </c>
      <c r="AQ710" s="48">
        <v>0</v>
      </c>
      <c r="AR710" s="48">
        <v>0</v>
      </c>
      <c r="AS710" s="48">
        <v>0</v>
      </c>
      <c r="AT710" s="48">
        <v>0</v>
      </c>
      <c r="AU710" s="48">
        <v>0</v>
      </c>
      <c r="AV710" s="48">
        <v>0</v>
      </c>
      <c r="AW710" s="48">
        <v>0</v>
      </c>
      <c r="AX710" s="48">
        <v>0</v>
      </c>
      <c r="AY710" s="48">
        <v>0</v>
      </c>
      <c r="AZ710" s="48">
        <v>0</v>
      </c>
      <c r="BA710" s="48">
        <v>0</v>
      </c>
      <c r="BB710" s="48">
        <v>0</v>
      </c>
    </row>
    <row r="711" spans="1:54" x14ac:dyDescent="0.35">
      <c r="A711" s="49">
        <v>45930</v>
      </c>
      <c r="B711" s="48">
        <v>1</v>
      </c>
      <c r="C711" s="50" t="s">
        <v>41</v>
      </c>
      <c r="D711" s="48" t="s">
        <v>31</v>
      </c>
      <c r="E711" s="48" t="s">
        <v>138</v>
      </c>
      <c r="F711" s="48" t="s">
        <v>139</v>
      </c>
      <c r="G711" s="49" t="s">
        <v>65</v>
      </c>
      <c r="H711" s="48" t="s">
        <v>65</v>
      </c>
      <c r="I711" s="48">
        <v>1</v>
      </c>
      <c r="J711" s="48">
        <v>7</v>
      </c>
      <c r="K711" s="48">
        <v>1</v>
      </c>
      <c r="N711" s="48">
        <v>0</v>
      </c>
      <c r="R711" s="49"/>
      <c r="S711" s="181">
        <v>0</v>
      </c>
      <c r="T711" s="49">
        <v>46142</v>
      </c>
      <c r="U711" s="49">
        <v>46142</v>
      </c>
      <c r="V711" s="49">
        <v>46142</v>
      </c>
      <c r="W711" s="49">
        <v>46142</v>
      </c>
      <c r="X711" s="48">
        <v>1</v>
      </c>
      <c r="Y711" s="48">
        <v>1</v>
      </c>
      <c r="Z711" s="48">
        <v>1</v>
      </c>
      <c r="AA711" s="156">
        <v>36011519040.949715</v>
      </c>
      <c r="AF711" s="48">
        <v>0</v>
      </c>
      <c r="AG711" s="49" t="s">
        <v>41</v>
      </c>
      <c r="AH711" s="48">
        <v>1</v>
      </c>
      <c r="AI711" s="48" t="s">
        <v>33</v>
      </c>
      <c r="AJ711" s="48" t="s">
        <v>33</v>
      </c>
      <c r="AK711" s="48" t="s">
        <v>33</v>
      </c>
      <c r="AL711" s="48" t="s">
        <v>34</v>
      </c>
      <c r="AN711" s="48">
        <v>0</v>
      </c>
      <c r="AO711" s="48">
        <v>0</v>
      </c>
      <c r="AP711" s="48">
        <v>0</v>
      </c>
      <c r="AQ711" s="48">
        <v>0</v>
      </c>
      <c r="AR711" s="48">
        <v>0</v>
      </c>
      <c r="AS711" s="48">
        <v>0</v>
      </c>
      <c r="AT711" s="48">
        <v>0</v>
      </c>
      <c r="AU711" s="48">
        <v>0</v>
      </c>
      <c r="AV711" s="48">
        <v>0</v>
      </c>
      <c r="AW711" s="48">
        <v>0</v>
      </c>
      <c r="AX711" s="48">
        <v>0</v>
      </c>
      <c r="AY711" s="48">
        <v>0</v>
      </c>
      <c r="AZ711" s="48">
        <v>0</v>
      </c>
      <c r="BA711" s="48">
        <v>0</v>
      </c>
      <c r="BB711" s="48">
        <v>0</v>
      </c>
    </row>
    <row r="712" spans="1:54" x14ac:dyDescent="0.35">
      <c r="A712" s="49">
        <v>45930</v>
      </c>
      <c r="B712" s="48">
        <v>1</v>
      </c>
      <c r="C712" s="50" t="s">
        <v>41</v>
      </c>
      <c r="D712" s="48" t="s">
        <v>31</v>
      </c>
      <c r="E712" s="48" t="s">
        <v>138</v>
      </c>
      <c r="F712" s="48" t="s">
        <v>139</v>
      </c>
      <c r="G712" s="49" t="s">
        <v>65</v>
      </c>
      <c r="H712" s="48" t="s">
        <v>65</v>
      </c>
      <c r="I712" s="48">
        <v>1</v>
      </c>
      <c r="J712" s="48">
        <v>8</v>
      </c>
      <c r="K712" s="48">
        <v>1</v>
      </c>
      <c r="N712" s="48">
        <v>0</v>
      </c>
      <c r="R712" s="49"/>
      <c r="S712" s="181">
        <v>0</v>
      </c>
      <c r="T712" s="49">
        <v>46173</v>
      </c>
      <c r="U712" s="49">
        <v>46173</v>
      </c>
      <c r="V712" s="49">
        <v>46173</v>
      </c>
      <c r="W712" s="49">
        <v>46173</v>
      </c>
      <c r="X712" s="48">
        <v>1</v>
      </c>
      <c r="Y712" s="48">
        <v>1</v>
      </c>
      <c r="Z712" s="48">
        <v>1</v>
      </c>
      <c r="AA712" s="156">
        <v>36011519040.949715</v>
      </c>
      <c r="AF712" s="48">
        <v>0</v>
      </c>
      <c r="AG712" s="49" t="s">
        <v>41</v>
      </c>
      <c r="AH712" s="48">
        <v>1</v>
      </c>
      <c r="AI712" s="48" t="s">
        <v>33</v>
      </c>
      <c r="AJ712" s="48" t="s">
        <v>33</v>
      </c>
      <c r="AK712" s="48" t="s">
        <v>33</v>
      </c>
      <c r="AL712" s="48" t="s">
        <v>34</v>
      </c>
      <c r="AN712" s="48">
        <v>0</v>
      </c>
      <c r="AO712" s="48">
        <v>0</v>
      </c>
      <c r="AP712" s="48">
        <v>0</v>
      </c>
      <c r="AQ712" s="48">
        <v>0</v>
      </c>
      <c r="AR712" s="48">
        <v>0</v>
      </c>
      <c r="AS712" s="48">
        <v>0</v>
      </c>
      <c r="AT712" s="48">
        <v>0</v>
      </c>
      <c r="AU712" s="48">
        <v>0</v>
      </c>
      <c r="AV712" s="48">
        <v>0</v>
      </c>
      <c r="AW712" s="48">
        <v>0</v>
      </c>
      <c r="AX712" s="48">
        <v>0</v>
      </c>
      <c r="AY712" s="48">
        <v>0</v>
      </c>
      <c r="AZ712" s="48">
        <v>0</v>
      </c>
      <c r="BA712" s="48">
        <v>0</v>
      </c>
      <c r="BB712" s="48">
        <v>0</v>
      </c>
    </row>
    <row r="713" spans="1:54" x14ac:dyDescent="0.35">
      <c r="A713" s="49">
        <v>45930</v>
      </c>
      <c r="B713" s="48">
        <v>1</v>
      </c>
      <c r="C713" s="50" t="s">
        <v>41</v>
      </c>
      <c r="D713" s="48" t="s">
        <v>31</v>
      </c>
      <c r="E713" s="48" t="s">
        <v>138</v>
      </c>
      <c r="F713" s="48" t="s">
        <v>139</v>
      </c>
      <c r="G713" s="49" t="s">
        <v>65</v>
      </c>
      <c r="H713" s="48" t="s">
        <v>65</v>
      </c>
      <c r="I713" s="48">
        <v>1</v>
      </c>
      <c r="J713" s="48">
        <v>9</v>
      </c>
      <c r="K713" s="48">
        <v>1</v>
      </c>
      <c r="N713" s="48">
        <v>0</v>
      </c>
      <c r="R713" s="49"/>
      <c r="S713" s="181">
        <v>0</v>
      </c>
      <c r="T713" s="49">
        <v>46203</v>
      </c>
      <c r="U713" s="49">
        <v>46203</v>
      </c>
      <c r="V713" s="49">
        <v>46203</v>
      </c>
      <c r="W713" s="49">
        <v>46203</v>
      </c>
      <c r="X713" s="48">
        <v>1</v>
      </c>
      <c r="Y713" s="48">
        <v>1</v>
      </c>
      <c r="Z713" s="48">
        <v>1</v>
      </c>
      <c r="AA713" s="156">
        <v>36011519040.949715</v>
      </c>
      <c r="AF713" s="48">
        <v>0</v>
      </c>
      <c r="AG713" s="49" t="s">
        <v>41</v>
      </c>
      <c r="AH713" s="48">
        <v>1</v>
      </c>
      <c r="AI713" s="48" t="s">
        <v>33</v>
      </c>
      <c r="AJ713" s="48" t="s">
        <v>33</v>
      </c>
      <c r="AK713" s="48" t="s">
        <v>33</v>
      </c>
      <c r="AL713" s="48" t="s">
        <v>34</v>
      </c>
      <c r="AN713" s="48">
        <v>0</v>
      </c>
      <c r="AO713" s="48">
        <v>0</v>
      </c>
      <c r="AP713" s="48">
        <v>0</v>
      </c>
      <c r="AQ713" s="48">
        <v>0</v>
      </c>
      <c r="AR713" s="48">
        <v>0</v>
      </c>
      <c r="AS713" s="48">
        <v>0</v>
      </c>
      <c r="AT713" s="48">
        <v>0</v>
      </c>
      <c r="AU713" s="48">
        <v>0</v>
      </c>
      <c r="AV713" s="48">
        <v>0</v>
      </c>
      <c r="AW713" s="48">
        <v>0</v>
      </c>
      <c r="AX713" s="48">
        <v>0</v>
      </c>
      <c r="AY713" s="48">
        <v>0</v>
      </c>
      <c r="AZ713" s="48">
        <v>0</v>
      </c>
      <c r="BA713" s="48">
        <v>0</v>
      </c>
      <c r="BB713" s="48">
        <v>0</v>
      </c>
    </row>
    <row r="714" spans="1:54" x14ac:dyDescent="0.35">
      <c r="A714" s="49">
        <v>45930</v>
      </c>
      <c r="B714" s="48">
        <v>1</v>
      </c>
      <c r="C714" s="50" t="s">
        <v>41</v>
      </c>
      <c r="D714" s="48" t="s">
        <v>31</v>
      </c>
      <c r="E714" s="48" t="s">
        <v>138</v>
      </c>
      <c r="F714" s="48" t="s">
        <v>139</v>
      </c>
      <c r="G714" s="49" t="s">
        <v>65</v>
      </c>
      <c r="H714" s="48" t="s">
        <v>65</v>
      </c>
      <c r="I714" s="48">
        <v>1</v>
      </c>
      <c r="J714" s="48">
        <v>10</v>
      </c>
      <c r="K714" s="48">
        <v>1</v>
      </c>
      <c r="N714" s="48">
        <v>0</v>
      </c>
      <c r="R714" s="49"/>
      <c r="S714" s="181">
        <v>0</v>
      </c>
      <c r="T714" s="49">
        <v>46234</v>
      </c>
      <c r="U714" s="49">
        <v>46234</v>
      </c>
      <c r="V714" s="49">
        <v>46234</v>
      </c>
      <c r="W714" s="49">
        <v>46234</v>
      </c>
      <c r="X714" s="48">
        <v>1</v>
      </c>
      <c r="Y714" s="48">
        <v>1</v>
      </c>
      <c r="Z714" s="48">
        <v>1</v>
      </c>
      <c r="AA714" s="156">
        <v>36011519040.949715</v>
      </c>
      <c r="AF714" s="48">
        <v>0</v>
      </c>
      <c r="AG714" s="49" t="s">
        <v>41</v>
      </c>
      <c r="AH714" s="48">
        <v>1</v>
      </c>
      <c r="AI714" s="48" t="s">
        <v>33</v>
      </c>
      <c r="AJ714" s="48" t="s">
        <v>33</v>
      </c>
      <c r="AK714" s="48" t="s">
        <v>33</v>
      </c>
      <c r="AL714" s="48" t="s">
        <v>34</v>
      </c>
      <c r="AN714" s="48">
        <v>0</v>
      </c>
      <c r="AO714" s="48">
        <v>0</v>
      </c>
      <c r="AP714" s="48">
        <v>0</v>
      </c>
      <c r="AQ714" s="48">
        <v>0</v>
      </c>
      <c r="AR714" s="48">
        <v>0</v>
      </c>
      <c r="AS714" s="48">
        <v>0</v>
      </c>
      <c r="AT714" s="48">
        <v>0</v>
      </c>
      <c r="AU714" s="48">
        <v>0</v>
      </c>
      <c r="AV714" s="48">
        <v>0</v>
      </c>
      <c r="AW714" s="48">
        <v>0</v>
      </c>
      <c r="AX714" s="48">
        <v>0</v>
      </c>
      <c r="AY714" s="48">
        <v>0</v>
      </c>
      <c r="AZ714" s="48">
        <v>0</v>
      </c>
      <c r="BA714" s="48">
        <v>0</v>
      </c>
      <c r="BB714" s="48">
        <v>0</v>
      </c>
    </row>
    <row r="715" spans="1:54" x14ac:dyDescent="0.35">
      <c r="A715" s="49">
        <v>45930</v>
      </c>
      <c r="B715" s="48">
        <v>1</v>
      </c>
      <c r="C715" s="50" t="s">
        <v>41</v>
      </c>
      <c r="D715" s="48" t="s">
        <v>31</v>
      </c>
      <c r="E715" s="48" t="s">
        <v>138</v>
      </c>
      <c r="F715" s="48" t="s">
        <v>139</v>
      </c>
      <c r="G715" s="49" t="s">
        <v>65</v>
      </c>
      <c r="H715" s="48" t="s">
        <v>65</v>
      </c>
      <c r="I715" s="48">
        <v>1</v>
      </c>
      <c r="J715" s="48">
        <v>11</v>
      </c>
      <c r="K715" s="48">
        <v>1</v>
      </c>
      <c r="N715" s="48">
        <v>0</v>
      </c>
      <c r="R715" s="49"/>
      <c r="S715" s="181">
        <v>0</v>
      </c>
      <c r="T715" s="49">
        <v>46265</v>
      </c>
      <c r="U715" s="49">
        <v>46265</v>
      </c>
      <c r="V715" s="49">
        <v>46265</v>
      </c>
      <c r="W715" s="49">
        <v>46265</v>
      </c>
      <c r="X715" s="48">
        <v>1</v>
      </c>
      <c r="Y715" s="48">
        <v>1</v>
      </c>
      <c r="Z715" s="48">
        <v>1</v>
      </c>
      <c r="AA715" s="156">
        <v>36011519040.949715</v>
      </c>
      <c r="AF715" s="48">
        <v>0</v>
      </c>
      <c r="AG715" s="49" t="s">
        <v>41</v>
      </c>
      <c r="AH715" s="48">
        <v>1</v>
      </c>
      <c r="AI715" s="48" t="s">
        <v>33</v>
      </c>
      <c r="AJ715" s="48" t="s">
        <v>33</v>
      </c>
      <c r="AK715" s="48" t="s">
        <v>33</v>
      </c>
      <c r="AL715" s="48" t="s">
        <v>34</v>
      </c>
      <c r="AN715" s="48">
        <v>0</v>
      </c>
      <c r="AO715" s="48">
        <v>0</v>
      </c>
      <c r="AP715" s="48">
        <v>0</v>
      </c>
      <c r="AQ715" s="48">
        <v>0</v>
      </c>
      <c r="AR715" s="48">
        <v>0</v>
      </c>
      <c r="AS715" s="48">
        <v>0</v>
      </c>
      <c r="AT715" s="48">
        <v>0</v>
      </c>
      <c r="AU715" s="48">
        <v>0</v>
      </c>
      <c r="AV715" s="48">
        <v>0</v>
      </c>
      <c r="AW715" s="48">
        <v>0</v>
      </c>
      <c r="AX715" s="48">
        <v>0</v>
      </c>
      <c r="AY715" s="48">
        <v>0</v>
      </c>
      <c r="AZ715" s="48">
        <v>0</v>
      </c>
      <c r="BA715" s="48">
        <v>0</v>
      </c>
      <c r="BB715" s="48">
        <v>0</v>
      </c>
    </row>
    <row r="716" spans="1:54" x14ac:dyDescent="0.35">
      <c r="A716" s="49">
        <v>45930</v>
      </c>
      <c r="B716" s="48">
        <v>1</v>
      </c>
      <c r="C716" s="50" t="s">
        <v>41</v>
      </c>
      <c r="D716" s="48" t="s">
        <v>31</v>
      </c>
      <c r="E716" s="48" t="s">
        <v>138</v>
      </c>
      <c r="F716" s="48" t="s">
        <v>139</v>
      </c>
      <c r="G716" s="49" t="s">
        <v>65</v>
      </c>
      <c r="H716" s="48" t="s">
        <v>65</v>
      </c>
      <c r="I716" s="48">
        <v>1</v>
      </c>
      <c r="J716" s="48">
        <v>12</v>
      </c>
      <c r="K716" s="48">
        <v>1</v>
      </c>
      <c r="N716" s="48">
        <v>0</v>
      </c>
      <c r="R716" s="49"/>
      <c r="S716" s="181">
        <v>0</v>
      </c>
      <c r="T716" s="49">
        <v>46295</v>
      </c>
      <c r="U716" s="49">
        <v>46295</v>
      </c>
      <c r="V716" s="49">
        <v>46295</v>
      </c>
      <c r="W716" s="49">
        <v>46295</v>
      </c>
      <c r="X716" s="48">
        <v>1</v>
      </c>
      <c r="Y716" s="48">
        <v>1</v>
      </c>
      <c r="Z716" s="48">
        <v>1</v>
      </c>
      <c r="AA716" s="156">
        <v>36011519040.949715</v>
      </c>
      <c r="AF716" s="48">
        <v>0</v>
      </c>
      <c r="AG716" s="49" t="s">
        <v>41</v>
      </c>
      <c r="AH716" s="48">
        <v>1</v>
      </c>
      <c r="AI716" s="48" t="s">
        <v>33</v>
      </c>
      <c r="AJ716" s="48" t="s">
        <v>33</v>
      </c>
      <c r="AK716" s="48" t="s">
        <v>33</v>
      </c>
      <c r="AL716" s="48" t="s">
        <v>34</v>
      </c>
      <c r="AN716" s="48">
        <v>0</v>
      </c>
      <c r="AO716" s="48">
        <v>0</v>
      </c>
      <c r="AP716" s="48">
        <v>0</v>
      </c>
      <c r="AQ716" s="48">
        <v>0</v>
      </c>
      <c r="AR716" s="48">
        <v>0</v>
      </c>
      <c r="AS716" s="48">
        <v>0</v>
      </c>
      <c r="AT716" s="48">
        <v>0</v>
      </c>
      <c r="AU716" s="48">
        <v>0</v>
      </c>
      <c r="AV716" s="48">
        <v>0</v>
      </c>
      <c r="AW716" s="48">
        <v>0</v>
      </c>
      <c r="AX716" s="48">
        <v>0</v>
      </c>
      <c r="AY716" s="48">
        <v>0</v>
      </c>
      <c r="AZ716" s="48">
        <v>0</v>
      </c>
      <c r="BA716" s="48">
        <v>0</v>
      </c>
      <c r="BB716" s="48">
        <v>0</v>
      </c>
    </row>
    <row r="717" spans="1:54" x14ac:dyDescent="0.35">
      <c r="A717" s="49">
        <v>45930</v>
      </c>
      <c r="B717" s="48">
        <v>1</v>
      </c>
      <c r="C717" s="50" t="s">
        <v>41</v>
      </c>
      <c r="D717" s="48" t="s">
        <v>31</v>
      </c>
      <c r="E717" s="48" t="s">
        <v>138</v>
      </c>
      <c r="F717" s="48" t="s">
        <v>139</v>
      </c>
      <c r="G717" s="49" t="s">
        <v>65</v>
      </c>
      <c r="H717" s="48" t="s">
        <v>65</v>
      </c>
      <c r="I717" s="48">
        <v>1</v>
      </c>
      <c r="J717" s="48">
        <v>13</v>
      </c>
      <c r="K717" s="48">
        <v>1</v>
      </c>
      <c r="N717" s="48">
        <v>0</v>
      </c>
      <c r="R717" s="49"/>
      <c r="S717" s="181">
        <v>0</v>
      </c>
      <c r="T717" s="49">
        <v>46326</v>
      </c>
      <c r="U717" s="49">
        <v>46326</v>
      </c>
      <c r="V717" s="49">
        <v>46326</v>
      </c>
      <c r="W717" s="49">
        <v>46326</v>
      </c>
      <c r="X717" s="48">
        <v>1</v>
      </c>
      <c r="Y717" s="48">
        <v>1</v>
      </c>
      <c r="Z717" s="48">
        <v>1</v>
      </c>
      <c r="AA717" s="156">
        <v>36011519040.949715</v>
      </c>
      <c r="AF717" s="48">
        <v>0</v>
      </c>
      <c r="AG717" s="49" t="s">
        <v>41</v>
      </c>
      <c r="AH717" s="48">
        <v>1</v>
      </c>
      <c r="AI717" s="48" t="s">
        <v>33</v>
      </c>
      <c r="AJ717" s="48" t="s">
        <v>33</v>
      </c>
      <c r="AK717" s="48" t="s">
        <v>33</v>
      </c>
      <c r="AL717" s="48" t="s">
        <v>34</v>
      </c>
      <c r="AN717" s="48">
        <v>0</v>
      </c>
      <c r="AO717" s="48">
        <v>0</v>
      </c>
      <c r="AP717" s="48">
        <v>0</v>
      </c>
      <c r="AQ717" s="48">
        <v>0</v>
      </c>
      <c r="AR717" s="48">
        <v>0</v>
      </c>
      <c r="AS717" s="48">
        <v>0</v>
      </c>
      <c r="AT717" s="48">
        <v>0</v>
      </c>
      <c r="AU717" s="48">
        <v>0</v>
      </c>
      <c r="AV717" s="48">
        <v>0</v>
      </c>
      <c r="AW717" s="48">
        <v>0</v>
      </c>
      <c r="AX717" s="48">
        <v>0</v>
      </c>
      <c r="AY717" s="48">
        <v>0</v>
      </c>
      <c r="AZ717" s="48">
        <v>0</v>
      </c>
      <c r="BA717" s="48">
        <v>0</v>
      </c>
      <c r="BB717" s="48">
        <v>0</v>
      </c>
    </row>
    <row r="718" spans="1:54" x14ac:dyDescent="0.35">
      <c r="A718" s="49">
        <v>45930</v>
      </c>
      <c r="B718" s="48">
        <v>1</v>
      </c>
      <c r="C718" s="50" t="s">
        <v>41</v>
      </c>
      <c r="D718" s="48" t="s">
        <v>31</v>
      </c>
      <c r="E718" s="48" t="s">
        <v>138</v>
      </c>
      <c r="F718" s="48" t="s">
        <v>139</v>
      </c>
      <c r="G718" s="49" t="s">
        <v>65</v>
      </c>
      <c r="H718" s="48" t="s">
        <v>65</v>
      </c>
      <c r="I718" s="48">
        <v>1</v>
      </c>
      <c r="J718" s="48">
        <v>14</v>
      </c>
      <c r="K718" s="48">
        <v>1</v>
      </c>
      <c r="N718" s="48">
        <v>0</v>
      </c>
      <c r="R718" s="49"/>
      <c r="S718" s="181">
        <v>0</v>
      </c>
      <c r="T718" s="49">
        <v>46356</v>
      </c>
      <c r="U718" s="49">
        <v>46356</v>
      </c>
      <c r="V718" s="49">
        <v>46356</v>
      </c>
      <c r="W718" s="49">
        <v>46356</v>
      </c>
      <c r="X718" s="48">
        <v>1</v>
      </c>
      <c r="Y718" s="48">
        <v>1</v>
      </c>
      <c r="Z718" s="48">
        <v>1</v>
      </c>
      <c r="AA718" s="156">
        <v>36011519040.949715</v>
      </c>
      <c r="AF718" s="48">
        <v>0</v>
      </c>
      <c r="AG718" s="49" t="s">
        <v>41</v>
      </c>
      <c r="AH718" s="48">
        <v>1</v>
      </c>
      <c r="AI718" s="48" t="s">
        <v>33</v>
      </c>
      <c r="AJ718" s="48" t="s">
        <v>33</v>
      </c>
      <c r="AK718" s="48" t="s">
        <v>33</v>
      </c>
      <c r="AL718" s="48" t="s">
        <v>34</v>
      </c>
      <c r="AN718" s="48">
        <v>0</v>
      </c>
      <c r="AO718" s="48">
        <v>0</v>
      </c>
      <c r="AP718" s="48">
        <v>0</v>
      </c>
      <c r="AQ718" s="48">
        <v>0</v>
      </c>
      <c r="AR718" s="48">
        <v>0</v>
      </c>
      <c r="AS718" s="48">
        <v>0</v>
      </c>
      <c r="AT718" s="48">
        <v>0</v>
      </c>
      <c r="AU718" s="48">
        <v>0</v>
      </c>
      <c r="AV718" s="48">
        <v>0</v>
      </c>
      <c r="AW718" s="48">
        <v>0</v>
      </c>
      <c r="AX718" s="48">
        <v>0</v>
      </c>
      <c r="AY718" s="48">
        <v>0</v>
      </c>
      <c r="AZ718" s="48">
        <v>0</v>
      </c>
      <c r="BA718" s="48">
        <v>0</v>
      </c>
      <c r="BB718" s="48">
        <v>0</v>
      </c>
    </row>
    <row r="719" spans="1:54" x14ac:dyDescent="0.35">
      <c r="A719" s="49">
        <v>45930</v>
      </c>
      <c r="B719" s="48">
        <v>1</v>
      </c>
      <c r="C719" s="50" t="s">
        <v>41</v>
      </c>
      <c r="D719" s="48" t="s">
        <v>31</v>
      </c>
      <c r="E719" s="48" t="s">
        <v>138</v>
      </c>
      <c r="F719" s="48" t="s">
        <v>139</v>
      </c>
      <c r="G719" s="49" t="s">
        <v>65</v>
      </c>
      <c r="H719" s="48" t="s">
        <v>65</v>
      </c>
      <c r="I719" s="48">
        <v>1</v>
      </c>
      <c r="J719" s="48">
        <v>15</v>
      </c>
      <c r="K719" s="48">
        <v>1</v>
      </c>
      <c r="N719" s="48">
        <v>0</v>
      </c>
      <c r="R719" s="49"/>
      <c r="S719" s="181">
        <v>0</v>
      </c>
      <c r="T719" s="49">
        <v>46387</v>
      </c>
      <c r="U719" s="49">
        <v>46387</v>
      </c>
      <c r="V719" s="49">
        <v>46387</v>
      </c>
      <c r="W719" s="49">
        <v>46387</v>
      </c>
      <c r="X719" s="48">
        <v>1</v>
      </c>
      <c r="Y719" s="48">
        <v>1</v>
      </c>
      <c r="Z719" s="48">
        <v>1</v>
      </c>
      <c r="AA719" s="156">
        <v>36011519040.949715</v>
      </c>
      <c r="AF719" s="48">
        <v>0</v>
      </c>
      <c r="AG719" s="49" t="s">
        <v>41</v>
      </c>
      <c r="AH719" s="48">
        <v>1</v>
      </c>
      <c r="AI719" s="48" t="s">
        <v>33</v>
      </c>
      <c r="AJ719" s="48" t="s">
        <v>33</v>
      </c>
      <c r="AK719" s="48" t="s">
        <v>33</v>
      </c>
      <c r="AL719" s="48" t="s">
        <v>34</v>
      </c>
      <c r="AN719" s="48">
        <v>0</v>
      </c>
      <c r="AO719" s="48">
        <v>0</v>
      </c>
      <c r="AP719" s="48">
        <v>0</v>
      </c>
      <c r="AQ719" s="48">
        <v>0</v>
      </c>
      <c r="AR719" s="48">
        <v>0</v>
      </c>
      <c r="AS719" s="48">
        <v>0</v>
      </c>
      <c r="AT719" s="48">
        <v>0</v>
      </c>
      <c r="AU719" s="48">
        <v>0</v>
      </c>
      <c r="AV719" s="48">
        <v>0</v>
      </c>
      <c r="AW719" s="48">
        <v>0</v>
      </c>
      <c r="AX719" s="48">
        <v>0</v>
      </c>
      <c r="AY719" s="48">
        <v>0</v>
      </c>
      <c r="AZ719" s="48">
        <v>0</v>
      </c>
      <c r="BA719" s="48">
        <v>0</v>
      </c>
      <c r="BB719" s="48">
        <v>0</v>
      </c>
    </row>
    <row r="720" spans="1:54" x14ac:dyDescent="0.35">
      <c r="A720" s="49">
        <v>45930</v>
      </c>
      <c r="B720" s="48">
        <v>1</v>
      </c>
      <c r="C720" s="50" t="s">
        <v>41</v>
      </c>
      <c r="D720" s="48" t="s">
        <v>31</v>
      </c>
      <c r="E720" s="48" t="s">
        <v>138</v>
      </c>
      <c r="F720" s="48" t="s">
        <v>139</v>
      </c>
      <c r="G720" s="49" t="s">
        <v>65</v>
      </c>
      <c r="H720" s="48" t="s">
        <v>65</v>
      </c>
      <c r="I720" s="48">
        <v>1</v>
      </c>
      <c r="J720" s="48">
        <v>16</v>
      </c>
      <c r="K720" s="48">
        <v>1</v>
      </c>
      <c r="N720" s="48">
        <v>0</v>
      </c>
      <c r="R720" s="49"/>
      <c r="S720" s="181">
        <v>0</v>
      </c>
      <c r="T720" s="49">
        <v>46418</v>
      </c>
      <c r="U720" s="49">
        <v>46418</v>
      </c>
      <c r="V720" s="49">
        <v>46418</v>
      </c>
      <c r="W720" s="49">
        <v>46418</v>
      </c>
      <c r="X720" s="48">
        <v>1</v>
      </c>
      <c r="Y720" s="48">
        <v>1</v>
      </c>
      <c r="Z720" s="48">
        <v>1</v>
      </c>
      <c r="AA720" s="156">
        <v>36011519040.949715</v>
      </c>
      <c r="AF720" s="48">
        <v>0</v>
      </c>
      <c r="AG720" s="49" t="s">
        <v>41</v>
      </c>
      <c r="AH720" s="48">
        <v>1</v>
      </c>
      <c r="AI720" s="48" t="s">
        <v>33</v>
      </c>
      <c r="AJ720" s="48" t="s">
        <v>33</v>
      </c>
      <c r="AK720" s="48" t="s">
        <v>33</v>
      </c>
      <c r="AL720" s="48" t="s">
        <v>34</v>
      </c>
      <c r="AN720" s="48">
        <v>0</v>
      </c>
      <c r="AO720" s="48">
        <v>0</v>
      </c>
      <c r="AP720" s="48">
        <v>0</v>
      </c>
      <c r="AQ720" s="48">
        <v>0</v>
      </c>
      <c r="AR720" s="48">
        <v>0</v>
      </c>
      <c r="AS720" s="48">
        <v>0</v>
      </c>
      <c r="AT720" s="48">
        <v>0</v>
      </c>
      <c r="AU720" s="48">
        <v>0</v>
      </c>
      <c r="AV720" s="48">
        <v>0</v>
      </c>
      <c r="AW720" s="48">
        <v>0</v>
      </c>
      <c r="AX720" s="48">
        <v>0</v>
      </c>
      <c r="AY720" s="48">
        <v>0</v>
      </c>
      <c r="AZ720" s="48">
        <v>0</v>
      </c>
      <c r="BA720" s="48">
        <v>0</v>
      </c>
      <c r="BB720" s="48">
        <v>0</v>
      </c>
    </row>
    <row r="721" spans="1:54" x14ac:dyDescent="0.35">
      <c r="A721" s="49">
        <v>45930</v>
      </c>
      <c r="B721" s="48">
        <v>1</v>
      </c>
      <c r="C721" s="50" t="s">
        <v>41</v>
      </c>
      <c r="D721" s="48" t="s">
        <v>31</v>
      </c>
      <c r="E721" s="48" t="s">
        <v>138</v>
      </c>
      <c r="F721" s="48" t="s">
        <v>139</v>
      </c>
      <c r="G721" s="49" t="s">
        <v>65</v>
      </c>
      <c r="H721" s="48" t="s">
        <v>65</v>
      </c>
      <c r="I721" s="48">
        <v>1</v>
      </c>
      <c r="J721" s="48">
        <v>17</v>
      </c>
      <c r="K721" s="48">
        <v>1</v>
      </c>
      <c r="N721" s="48">
        <v>0</v>
      </c>
      <c r="R721" s="49"/>
      <c r="S721" s="181">
        <v>0</v>
      </c>
      <c r="T721" s="49">
        <v>46446</v>
      </c>
      <c r="U721" s="49">
        <v>46446</v>
      </c>
      <c r="V721" s="49">
        <v>46446</v>
      </c>
      <c r="W721" s="49">
        <v>46446</v>
      </c>
      <c r="X721" s="48">
        <v>1</v>
      </c>
      <c r="Y721" s="48">
        <v>1</v>
      </c>
      <c r="Z721" s="48">
        <v>1</v>
      </c>
      <c r="AA721" s="156">
        <v>36011519040.949715</v>
      </c>
      <c r="AF721" s="48">
        <v>0</v>
      </c>
      <c r="AG721" s="49" t="s">
        <v>41</v>
      </c>
      <c r="AH721" s="48">
        <v>1</v>
      </c>
      <c r="AI721" s="48" t="s">
        <v>33</v>
      </c>
      <c r="AJ721" s="48" t="s">
        <v>33</v>
      </c>
      <c r="AK721" s="48" t="s">
        <v>33</v>
      </c>
      <c r="AL721" s="48" t="s">
        <v>34</v>
      </c>
      <c r="AN721" s="48">
        <v>0</v>
      </c>
      <c r="AO721" s="48">
        <v>0</v>
      </c>
      <c r="AP721" s="48">
        <v>0</v>
      </c>
      <c r="AQ721" s="48">
        <v>0</v>
      </c>
      <c r="AR721" s="48">
        <v>0</v>
      </c>
      <c r="AS721" s="48">
        <v>0</v>
      </c>
      <c r="AT721" s="48">
        <v>0</v>
      </c>
      <c r="AU721" s="48">
        <v>0</v>
      </c>
      <c r="AV721" s="48">
        <v>0</v>
      </c>
      <c r="AW721" s="48">
        <v>0</v>
      </c>
      <c r="AX721" s="48">
        <v>0</v>
      </c>
      <c r="AY721" s="48">
        <v>0</v>
      </c>
      <c r="AZ721" s="48">
        <v>0</v>
      </c>
      <c r="BA721" s="48">
        <v>0</v>
      </c>
      <c r="BB721" s="48">
        <v>0</v>
      </c>
    </row>
    <row r="722" spans="1:54" x14ac:dyDescent="0.35">
      <c r="A722" s="49">
        <v>45930</v>
      </c>
      <c r="B722" s="48">
        <v>1</v>
      </c>
      <c r="C722" s="50" t="s">
        <v>41</v>
      </c>
      <c r="D722" s="48" t="s">
        <v>31</v>
      </c>
      <c r="E722" s="48" t="s">
        <v>138</v>
      </c>
      <c r="F722" s="48" t="s">
        <v>139</v>
      </c>
      <c r="G722" s="49" t="s">
        <v>65</v>
      </c>
      <c r="H722" s="48" t="s">
        <v>65</v>
      </c>
      <c r="I722" s="48">
        <v>1</v>
      </c>
      <c r="J722" s="48">
        <v>18</v>
      </c>
      <c r="K722" s="48">
        <v>1</v>
      </c>
      <c r="N722" s="48">
        <v>0</v>
      </c>
      <c r="R722" s="49"/>
      <c r="S722" s="181">
        <v>0</v>
      </c>
      <c r="T722" s="49">
        <v>46477</v>
      </c>
      <c r="U722" s="49">
        <v>46477</v>
      </c>
      <c r="V722" s="49">
        <v>46477</v>
      </c>
      <c r="W722" s="49">
        <v>46477</v>
      </c>
      <c r="X722" s="48">
        <v>1</v>
      </c>
      <c r="Y722" s="48">
        <v>1</v>
      </c>
      <c r="Z722" s="48">
        <v>1</v>
      </c>
      <c r="AA722" s="156">
        <v>36011519040.949715</v>
      </c>
      <c r="AF722" s="48">
        <v>0</v>
      </c>
      <c r="AG722" s="49" t="s">
        <v>41</v>
      </c>
      <c r="AH722" s="48">
        <v>1</v>
      </c>
      <c r="AI722" s="48" t="s">
        <v>33</v>
      </c>
      <c r="AJ722" s="48" t="s">
        <v>33</v>
      </c>
      <c r="AK722" s="48" t="s">
        <v>33</v>
      </c>
      <c r="AL722" s="48" t="s">
        <v>34</v>
      </c>
      <c r="AN722" s="48">
        <v>0</v>
      </c>
      <c r="AO722" s="48">
        <v>0</v>
      </c>
      <c r="AP722" s="48">
        <v>0</v>
      </c>
      <c r="AQ722" s="48">
        <v>0</v>
      </c>
      <c r="AR722" s="48">
        <v>0</v>
      </c>
      <c r="AS722" s="48">
        <v>0</v>
      </c>
      <c r="AT722" s="48">
        <v>0</v>
      </c>
      <c r="AU722" s="48">
        <v>0</v>
      </c>
      <c r="AV722" s="48">
        <v>0</v>
      </c>
      <c r="AW722" s="48">
        <v>0</v>
      </c>
      <c r="AX722" s="48">
        <v>0</v>
      </c>
      <c r="AY722" s="48">
        <v>0</v>
      </c>
      <c r="AZ722" s="48">
        <v>0</v>
      </c>
      <c r="BA722" s="48">
        <v>0</v>
      </c>
      <c r="BB722" s="48">
        <v>0</v>
      </c>
    </row>
    <row r="723" spans="1:54" x14ac:dyDescent="0.35">
      <c r="A723" s="49">
        <v>45930</v>
      </c>
      <c r="B723" s="48">
        <v>1</v>
      </c>
      <c r="C723" s="50" t="s">
        <v>41</v>
      </c>
      <c r="D723" s="48" t="s">
        <v>31</v>
      </c>
      <c r="E723" s="48" t="s">
        <v>138</v>
      </c>
      <c r="F723" s="48" t="s">
        <v>139</v>
      </c>
      <c r="G723" s="49" t="s">
        <v>65</v>
      </c>
      <c r="H723" s="48" t="s">
        <v>65</v>
      </c>
      <c r="I723" s="48">
        <v>1</v>
      </c>
      <c r="J723" s="48">
        <v>19</v>
      </c>
      <c r="K723" s="48">
        <v>1</v>
      </c>
      <c r="N723" s="48">
        <v>0</v>
      </c>
      <c r="R723" s="49"/>
      <c r="S723" s="181">
        <v>0</v>
      </c>
      <c r="T723" s="49">
        <v>46507</v>
      </c>
      <c r="U723" s="49">
        <v>46507</v>
      </c>
      <c r="V723" s="49">
        <v>46507</v>
      </c>
      <c r="W723" s="49">
        <v>46507</v>
      </c>
      <c r="X723" s="48">
        <v>1</v>
      </c>
      <c r="Y723" s="48">
        <v>1</v>
      </c>
      <c r="Z723" s="48">
        <v>1</v>
      </c>
      <c r="AA723" s="156">
        <v>36011519040.949715</v>
      </c>
      <c r="AF723" s="48">
        <v>0</v>
      </c>
      <c r="AG723" s="49" t="s">
        <v>41</v>
      </c>
      <c r="AH723" s="48">
        <v>1</v>
      </c>
      <c r="AI723" s="48" t="s">
        <v>33</v>
      </c>
      <c r="AJ723" s="48" t="s">
        <v>33</v>
      </c>
      <c r="AK723" s="48" t="s">
        <v>33</v>
      </c>
      <c r="AL723" s="48" t="s">
        <v>34</v>
      </c>
      <c r="AN723" s="48">
        <v>0</v>
      </c>
      <c r="AO723" s="48">
        <v>0</v>
      </c>
      <c r="AP723" s="48">
        <v>0</v>
      </c>
      <c r="AQ723" s="48">
        <v>0</v>
      </c>
      <c r="AR723" s="48">
        <v>0</v>
      </c>
      <c r="AS723" s="48">
        <v>0</v>
      </c>
      <c r="AT723" s="48">
        <v>0</v>
      </c>
      <c r="AU723" s="48">
        <v>0</v>
      </c>
      <c r="AV723" s="48">
        <v>0</v>
      </c>
      <c r="AW723" s="48">
        <v>0</v>
      </c>
      <c r="AX723" s="48">
        <v>0</v>
      </c>
      <c r="AY723" s="48">
        <v>0</v>
      </c>
      <c r="AZ723" s="48">
        <v>0</v>
      </c>
      <c r="BA723" s="48">
        <v>0</v>
      </c>
      <c r="BB723" s="48">
        <v>0</v>
      </c>
    </row>
    <row r="724" spans="1:54" x14ac:dyDescent="0.35">
      <c r="A724" s="49">
        <v>45930</v>
      </c>
      <c r="B724" s="48">
        <v>1</v>
      </c>
      <c r="C724" s="50" t="s">
        <v>41</v>
      </c>
      <c r="D724" s="48" t="s">
        <v>31</v>
      </c>
      <c r="E724" s="48" t="s">
        <v>138</v>
      </c>
      <c r="F724" s="48" t="s">
        <v>139</v>
      </c>
      <c r="G724" s="49" t="s">
        <v>65</v>
      </c>
      <c r="H724" s="48" t="s">
        <v>65</v>
      </c>
      <c r="I724" s="48">
        <v>1</v>
      </c>
      <c r="J724" s="48">
        <v>20</v>
      </c>
      <c r="K724" s="48">
        <v>1</v>
      </c>
      <c r="N724" s="48">
        <v>0</v>
      </c>
      <c r="R724" s="49"/>
      <c r="S724" s="181">
        <v>0</v>
      </c>
      <c r="T724" s="49">
        <v>46538</v>
      </c>
      <c r="U724" s="49">
        <v>46538</v>
      </c>
      <c r="V724" s="49">
        <v>46538</v>
      </c>
      <c r="W724" s="49">
        <v>46538</v>
      </c>
      <c r="X724" s="48">
        <v>1</v>
      </c>
      <c r="Y724" s="48">
        <v>1</v>
      </c>
      <c r="Z724" s="48">
        <v>1</v>
      </c>
      <c r="AA724" s="156">
        <v>36011519040.949715</v>
      </c>
      <c r="AF724" s="48">
        <v>0</v>
      </c>
      <c r="AG724" s="49" t="s">
        <v>41</v>
      </c>
      <c r="AH724" s="48">
        <v>1</v>
      </c>
      <c r="AI724" s="48" t="s">
        <v>33</v>
      </c>
      <c r="AJ724" s="48" t="s">
        <v>33</v>
      </c>
      <c r="AK724" s="48" t="s">
        <v>33</v>
      </c>
      <c r="AL724" s="48" t="s">
        <v>34</v>
      </c>
      <c r="AN724" s="48">
        <v>0</v>
      </c>
      <c r="AO724" s="48">
        <v>0</v>
      </c>
      <c r="AP724" s="48">
        <v>0</v>
      </c>
      <c r="AQ724" s="48">
        <v>0</v>
      </c>
      <c r="AR724" s="48">
        <v>0</v>
      </c>
      <c r="AS724" s="48">
        <v>0</v>
      </c>
      <c r="AT724" s="48">
        <v>0</v>
      </c>
      <c r="AU724" s="48">
        <v>0</v>
      </c>
      <c r="AV724" s="48">
        <v>0</v>
      </c>
      <c r="AW724" s="48">
        <v>0</v>
      </c>
      <c r="AX724" s="48">
        <v>0</v>
      </c>
      <c r="AY724" s="48">
        <v>0</v>
      </c>
      <c r="AZ724" s="48">
        <v>0</v>
      </c>
      <c r="BA724" s="48">
        <v>0</v>
      </c>
      <c r="BB724" s="48">
        <v>0</v>
      </c>
    </row>
    <row r="725" spans="1:54" x14ac:dyDescent="0.35">
      <c r="A725" s="49">
        <v>45930</v>
      </c>
      <c r="B725" s="48">
        <v>1</v>
      </c>
      <c r="C725" s="50" t="s">
        <v>41</v>
      </c>
      <c r="D725" s="48" t="s">
        <v>31</v>
      </c>
      <c r="E725" s="48" t="s">
        <v>138</v>
      </c>
      <c r="F725" s="48" t="s">
        <v>139</v>
      </c>
      <c r="G725" s="49" t="s">
        <v>65</v>
      </c>
      <c r="H725" s="48" t="s">
        <v>65</v>
      </c>
      <c r="I725" s="48">
        <v>1</v>
      </c>
      <c r="J725" s="48">
        <v>21</v>
      </c>
      <c r="K725" s="48">
        <v>1</v>
      </c>
      <c r="N725" s="48">
        <v>0</v>
      </c>
      <c r="R725" s="49"/>
      <c r="S725" s="181">
        <v>0</v>
      </c>
      <c r="T725" s="49">
        <v>46568</v>
      </c>
      <c r="U725" s="49">
        <v>46568</v>
      </c>
      <c r="V725" s="49">
        <v>46568</v>
      </c>
      <c r="W725" s="49">
        <v>46568</v>
      </c>
      <c r="X725" s="48">
        <v>1</v>
      </c>
      <c r="Y725" s="48">
        <v>1</v>
      </c>
      <c r="Z725" s="48">
        <v>1</v>
      </c>
      <c r="AA725" s="156">
        <v>36011519040.949715</v>
      </c>
      <c r="AF725" s="48">
        <v>0</v>
      </c>
      <c r="AG725" s="49" t="s">
        <v>41</v>
      </c>
      <c r="AH725" s="48">
        <v>1</v>
      </c>
      <c r="AI725" s="48" t="s">
        <v>33</v>
      </c>
      <c r="AJ725" s="48" t="s">
        <v>33</v>
      </c>
      <c r="AK725" s="48" t="s">
        <v>33</v>
      </c>
      <c r="AL725" s="48" t="s">
        <v>34</v>
      </c>
      <c r="AN725" s="48">
        <v>0</v>
      </c>
      <c r="AO725" s="48">
        <v>0</v>
      </c>
      <c r="AP725" s="48">
        <v>0</v>
      </c>
      <c r="AQ725" s="48">
        <v>0</v>
      </c>
      <c r="AR725" s="48">
        <v>0</v>
      </c>
      <c r="AS725" s="48">
        <v>0</v>
      </c>
      <c r="AT725" s="48">
        <v>0</v>
      </c>
      <c r="AU725" s="48">
        <v>0</v>
      </c>
      <c r="AV725" s="48">
        <v>0</v>
      </c>
      <c r="AW725" s="48">
        <v>0</v>
      </c>
      <c r="AX725" s="48">
        <v>0</v>
      </c>
      <c r="AY725" s="48">
        <v>0</v>
      </c>
      <c r="AZ725" s="48">
        <v>0</v>
      </c>
      <c r="BA725" s="48">
        <v>0</v>
      </c>
      <c r="BB725" s="48">
        <v>0</v>
      </c>
    </row>
    <row r="726" spans="1:54" x14ac:dyDescent="0.35">
      <c r="A726" s="49">
        <v>45930</v>
      </c>
      <c r="B726" s="48">
        <v>1</v>
      </c>
      <c r="C726" s="50" t="s">
        <v>41</v>
      </c>
      <c r="D726" s="48" t="s">
        <v>31</v>
      </c>
      <c r="E726" s="48" t="s">
        <v>138</v>
      </c>
      <c r="F726" s="48" t="s">
        <v>139</v>
      </c>
      <c r="G726" s="49" t="s">
        <v>65</v>
      </c>
      <c r="H726" s="48" t="s">
        <v>65</v>
      </c>
      <c r="I726" s="48">
        <v>1</v>
      </c>
      <c r="J726" s="48">
        <v>22</v>
      </c>
      <c r="K726" s="48">
        <v>1</v>
      </c>
      <c r="N726" s="48">
        <v>0</v>
      </c>
      <c r="R726" s="49"/>
      <c r="S726" s="181">
        <v>0</v>
      </c>
      <c r="T726" s="49">
        <v>46599</v>
      </c>
      <c r="U726" s="49">
        <v>46599</v>
      </c>
      <c r="V726" s="49">
        <v>46599</v>
      </c>
      <c r="W726" s="49">
        <v>46599</v>
      </c>
      <c r="X726" s="48">
        <v>1</v>
      </c>
      <c r="Y726" s="48">
        <v>1</v>
      </c>
      <c r="Z726" s="48">
        <v>1</v>
      </c>
      <c r="AA726" s="156">
        <v>36011519040.949715</v>
      </c>
      <c r="AF726" s="48">
        <v>0</v>
      </c>
      <c r="AG726" s="49" t="s">
        <v>41</v>
      </c>
      <c r="AH726" s="48">
        <v>1</v>
      </c>
      <c r="AI726" s="48" t="s">
        <v>33</v>
      </c>
      <c r="AJ726" s="48" t="s">
        <v>33</v>
      </c>
      <c r="AK726" s="48" t="s">
        <v>33</v>
      </c>
      <c r="AL726" s="48" t="s">
        <v>34</v>
      </c>
      <c r="AN726" s="48">
        <v>0</v>
      </c>
      <c r="AO726" s="48">
        <v>0</v>
      </c>
      <c r="AP726" s="48">
        <v>0</v>
      </c>
      <c r="AQ726" s="48">
        <v>0</v>
      </c>
      <c r="AR726" s="48">
        <v>0</v>
      </c>
      <c r="AS726" s="48">
        <v>0</v>
      </c>
      <c r="AT726" s="48">
        <v>0</v>
      </c>
      <c r="AU726" s="48">
        <v>0</v>
      </c>
      <c r="AV726" s="48">
        <v>0</v>
      </c>
      <c r="AW726" s="48">
        <v>0</v>
      </c>
      <c r="AX726" s="48">
        <v>0</v>
      </c>
      <c r="AY726" s="48">
        <v>0</v>
      </c>
      <c r="AZ726" s="48">
        <v>0</v>
      </c>
      <c r="BA726" s="48">
        <v>0</v>
      </c>
      <c r="BB726" s="48">
        <v>0</v>
      </c>
    </row>
    <row r="727" spans="1:54" x14ac:dyDescent="0.35">
      <c r="A727" s="49">
        <v>45930</v>
      </c>
      <c r="B727" s="48">
        <v>1</v>
      </c>
      <c r="C727" s="50" t="s">
        <v>41</v>
      </c>
      <c r="D727" s="48" t="s">
        <v>31</v>
      </c>
      <c r="E727" s="48" t="s">
        <v>138</v>
      </c>
      <c r="F727" s="48" t="s">
        <v>139</v>
      </c>
      <c r="G727" s="49" t="s">
        <v>65</v>
      </c>
      <c r="H727" s="48" t="s">
        <v>65</v>
      </c>
      <c r="I727" s="48">
        <v>1</v>
      </c>
      <c r="J727" s="48">
        <v>23</v>
      </c>
      <c r="K727" s="48">
        <v>1</v>
      </c>
      <c r="N727" s="48">
        <v>0</v>
      </c>
      <c r="R727" s="49"/>
      <c r="S727" s="181">
        <v>0</v>
      </c>
      <c r="T727" s="49">
        <v>46630</v>
      </c>
      <c r="U727" s="49">
        <v>46630</v>
      </c>
      <c r="V727" s="49">
        <v>46630</v>
      </c>
      <c r="W727" s="49">
        <v>46630</v>
      </c>
      <c r="X727" s="48">
        <v>1</v>
      </c>
      <c r="Y727" s="48">
        <v>1</v>
      </c>
      <c r="Z727" s="48">
        <v>1</v>
      </c>
      <c r="AA727" s="156">
        <v>36011519040.949715</v>
      </c>
      <c r="AF727" s="48">
        <v>0</v>
      </c>
      <c r="AG727" s="49" t="s">
        <v>41</v>
      </c>
      <c r="AH727" s="48">
        <v>1</v>
      </c>
      <c r="AI727" s="48" t="s">
        <v>33</v>
      </c>
      <c r="AJ727" s="48" t="s">
        <v>33</v>
      </c>
      <c r="AK727" s="48" t="s">
        <v>33</v>
      </c>
      <c r="AL727" s="48" t="s">
        <v>34</v>
      </c>
      <c r="AN727" s="48">
        <v>0</v>
      </c>
      <c r="AO727" s="48">
        <v>0</v>
      </c>
      <c r="AP727" s="48">
        <v>0</v>
      </c>
      <c r="AQ727" s="48">
        <v>0</v>
      </c>
      <c r="AR727" s="48">
        <v>0</v>
      </c>
      <c r="AS727" s="48">
        <v>0</v>
      </c>
      <c r="AT727" s="48">
        <v>0</v>
      </c>
      <c r="AU727" s="48">
        <v>0</v>
      </c>
      <c r="AV727" s="48">
        <v>0</v>
      </c>
      <c r="AW727" s="48">
        <v>0</v>
      </c>
      <c r="AX727" s="48">
        <v>0</v>
      </c>
      <c r="AY727" s="48">
        <v>0</v>
      </c>
      <c r="AZ727" s="48">
        <v>0</v>
      </c>
      <c r="BA727" s="48">
        <v>0</v>
      </c>
      <c r="BB727" s="48">
        <v>0</v>
      </c>
    </row>
    <row r="728" spans="1:54" x14ac:dyDescent="0.35">
      <c r="A728" s="49">
        <v>45930</v>
      </c>
      <c r="B728" s="48">
        <v>1</v>
      </c>
      <c r="C728" s="50" t="s">
        <v>41</v>
      </c>
      <c r="D728" s="48" t="s">
        <v>31</v>
      </c>
      <c r="E728" s="48" t="s">
        <v>138</v>
      </c>
      <c r="F728" s="48" t="s">
        <v>139</v>
      </c>
      <c r="G728" s="49" t="s">
        <v>65</v>
      </c>
      <c r="H728" s="48" t="s">
        <v>65</v>
      </c>
      <c r="I728" s="48">
        <v>1</v>
      </c>
      <c r="J728" s="48">
        <v>24</v>
      </c>
      <c r="K728" s="48">
        <v>1</v>
      </c>
      <c r="N728" s="48">
        <v>0</v>
      </c>
      <c r="R728" s="49"/>
      <c r="S728" s="181">
        <v>0</v>
      </c>
      <c r="T728" s="49">
        <v>46660</v>
      </c>
      <c r="U728" s="49">
        <v>46660</v>
      </c>
      <c r="V728" s="49">
        <v>46660</v>
      </c>
      <c r="W728" s="49">
        <v>46660</v>
      </c>
      <c r="X728" s="48">
        <v>1</v>
      </c>
      <c r="Y728" s="48">
        <v>1</v>
      </c>
      <c r="Z728" s="48">
        <v>1</v>
      </c>
      <c r="AA728" s="156">
        <v>36011519040.949715</v>
      </c>
      <c r="AF728" s="48">
        <v>0</v>
      </c>
      <c r="AG728" s="49" t="s">
        <v>41</v>
      </c>
      <c r="AH728" s="48">
        <v>1</v>
      </c>
      <c r="AI728" s="48" t="s">
        <v>33</v>
      </c>
      <c r="AJ728" s="48" t="s">
        <v>33</v>
      </c>
      <c r="AK728" s="48" t="s">
        <v>33</v>
      </c>
      <c r="AL728" s="48" t="s">
        <v>34</v>
      </c>
      <c r="AN728" s="48">
        <v>0</v>
      </c>
      <c r="AO728" s="48">
        <v>0</v>
      </c>
      <c r="AP728" s="48">
        <v>0</v>
      </c>
      <c r="AQ728" s="48">
        <v>0</v>
      </c>
      <c r="AR728" s="48">
        <v>0</v>
      </c>
      <c r="AS728" s="48">
        <v>0</v>
      </c>
      <c r="AT728" s="48">
        <v>0</v>
      </c>
      <c r="AU728" s="48">
        <v>0</v>
      </c>
      <c r="AV728" s="48">
        <v>0</v>
      </c>
      <c r="AW728" s="48">
        <v>0</v>
      </c>
      <c r="AX728" s="48">
        <v>0</v>
      </c>
      <c r="AY728" s="48">
        <v>0</v>
      </c>
      <c r="AZ728" s="48">
        <v>0</v>
      </c>
      <c r="BA728" s="48">
        <v>0</v>
      </c>
      <c r="BB728" s="48">
        <v>0</v>
      </c>
    </row>
    <row r="729" spans="1:54" x14ac:dyDescent="0.35">
      <c r="A729" s="49">
        <v>45930</v>
      </c>
      <c r="B729" s="48">
        <v>1</v>
      </c>
      <c r="C729" s="50" t="s">
        <v>41</v>
      </c>
      <c r="D729" s="48" t="s">
        <v>31</v>
      </c>
      <c r="E729" s="48" t="s">
        <v>138</v>
      </c>
      <c r="F729" s="48" t="s">
        <v>139</v>
      </c>
      <c r="G729" s="49" t="s">
        <v>65</v>
      </c>
      <c r="H729" s="48" t="s">
        <v>65</v>
      </c>
      <c r="I729" s="48">
        <v>1</v>
      </c>
      <c r="J729" s="48">
        <v>25</v>
      </c>
      <c r="K729" s="48">
        <v>1</v>
      </c>
      <c r="N729" s="48">
        <v>0</v>
      </c>
      <c r="R729" s="49"/>
      <c r="S729" s="181">
        <v>0</v>
      </c>
      <c r="T729" s="49">
        <v>46691</v>
      </c>
      <c r="U729" s="49">
        <v>46691</v>
      </c>
      <c r="V729" s="49">
        <v>46691</v>
      </c>
      <c r="W729" s="49">
        <v>46691</v>
      </c>
      <c r="X729" s="48">
        <v>1</v>
      </c>
      <c r="Y729" s="48">
        <v>1</v>
      </c>
      <c r="Z729" s="48">
        <v>1</v>
      </c>
      <c r="AA729" s="156">
        <v>36011519040.949715</v>
      </c>
      <c r="AF729" s="48">
        <v>0</v>
      </c>
      <c r="AG729" s="49" t="s">
        <v>41</v>
      </c>
      <c r="AH729" s="48">
        <v>1</v>
      </c>
      <c r="AI729" s="48" t="s">
        <v>33</v>
      </c>
      <c r="AJ729" s="48" t="s">
        <v>33</v>
      </c>
      <c r="AK729" s="48" t="s">
        <v>33</v>
      </c>
      <c r="AL729" s="48" t="s">
        <v>34</v>
      </c>
      <c r="AN729" s="48">
        <v>0</v>
      </c>
      <c r="AO729" s="48">
        <v>0</v>
      </c>
      <c r="AP729" s="48">
        <v>0</v>
      </c>
      <c r="AQ729" s="48">
        <v>0</v>
      </c>
      <c r="AR729" s="48">
        <v>0</v>
      </c>
      <c r="AS729" s="48">
        <v>0</v>
      </c>
      <c r="AT729" s="48">
        <v>0</v>
      </c>
      <c r="AU729" s="48">
        <v>0</v>
      </c>
      <c r="AV729" s="48">
        <v>0</v>
      </c>
      <c r="AW729" s="48">
        <v>0</v>
      </c>
      <c r="AX729" s="48">
        <v>0</v>
      </c>
      <c r="AY729" s="48">
        <v>0</v>
      </c>
      <c r="AZ729" s="48">
        <v>0</v>
      </c>
      <c r="BA729" s="48">
        <v>0</v>
      </c>
      <c r="BB729" s="48">
        <v>0</v>
      </c>
    </row>
    <row r="730" spans="1:54" x14ac:dyDescent="0.35">
      <c r="A730" s="49">
        <v>45930</v>
      </c>
      <c r="B730" s="48">
        <v>1</v>
      </c>
      <c r="C730" s="50" t="s">
        <v>41</v>
      </c>
      <c r="D730" s="48" t="s">
        <v>31</v>
      </c>
      <c r="E730" s="48" t="s">
        <v>138</v>
      </c>
      <c r="F730" s="48" t="s">
        <v>139</v>
      </c>
      <c r="G730" s="49" t="s">
        <v>65</v>
      </c>
      <c r="H730" s="48" t="s">
        <v>65</v>
      </c>
      <c r="I730" s="48">
        <v>1</v>
      </c>
      <c r="J730" s="48">
        <v>26</v>
      </c>
      <c r="K730" s="48">
        <v>1</v>
      </c>
      <c r="N730" s="48">
        <v>0</v>
      </c>
      <c r="R730" s="49"/>
      <c r="S730" s="181">
        <v>0</v>
      </c>
      <c r="T730" s="49">
        <v>46721</v>
      </c>
      <c r="U730" s="49">
        <v>46721</v>
      </c>
      <c r="V730" s="49">
        <v>46721</v>
      </c>
      <c r="W730" s="49">
        <v>46721</v>
      </c>
      <c r="X730" s="48">
        <v>1</v>
      </c>
      <c r="Y730" s="48">
        <v>1</v>
      </c>
      <c r="Z730" s="48">
        <v>1</v>
      </c>
      <c r="AA730" s="156">
        <v>36011519040.949715</v>
      </c>
      <c r="AF730" s="48">
        <v>0</v>
      </c>
      <c r="AG730" s="49" t="s">
        <v>41</v>
      </c>
      <c r="AH730" s="48">
        <v>1</v>
      </c>
      <c r="AI730" s="48" t="s">
        <v>33</v>
      </c>
      <c r="AJ730" s="48" t="s">
        <v>33</v>
      </c>
      <c r="AK730" s="48" t="s">
        <v>33</v>
      </c>
      <c r="AL730" s="48" t="s">
        <v>34</v>
      </c>
      <c r="AN730" s="48">
        <v>0</v>
      </c>
      <c r="AO730" s="48">
        <v>0</v>
      </c>
      <c r="AP730" s="48">
        <v>0</v>
      </c>
      <c r="AQ730" s="48">
        <v>0</v>
      </c>
      <c r="AR730" s="48">
        <v>0</v>
      </c>
      <c r="AS730" s="48">
        <v>0</v>
      </c>
      <c r="AT730" s="48">
        <v>0</v>
      </c>
      <c r="AU730" s="48">
        <v>0</v>
      </c>
      <c r="AV730" s="48">
        <v>0</v>
      </c>
      <c r="AW730" s="48">
        <v>0</v>
      </c>
      <c r="AX730" s="48">
        <v>0</v>
      </c>
      <c r="AY730" s="48">
        <v>0</v>
      </c>
      <c r="AZ730" s="48">
        <v>0</v>
      </c>
      <c r="BA730" s="48">
        <v>0</v>
      </c>
      <c r="BB730" s="48">
        <v>0</v>
      </c>
    </row>
    <row r="731" spans="1:54" x14ac:dyDescent="0.35">
      <c r="A731" s="49">
        <v>45930</v>
      </c>
      <c r="B731" s="48">
        <v>1</v>
      </c>
      <c r="C731" s="50" t="s">
        <v>41</v>
      </c>
      <c r="D731" s="48" t="s">
        <v>31</v>
      </c>
      <c r="E731" s="48" t="s">
        <v>138</v>
      </c>
      <c r="F731" s="48" t="s">
        <v>139</v>
      </c>
      <c r="G731" s="49" t="s">
        <v>65</v>
      </c>
      <c r="H731" s="48" t="s">
        <v>65</v>
      </c>
      <c r="I731" s="48">
        <v>1</v>
      </c>
      <c r="J731" s="48">
        <v>27</v>
      </c>
      <c r="K731" s="48">
        <v>1</v>
      </c>
      <c r="N731" s="48">
        <v>0</v>
      </c>
      <c r="R731" s="49"/>
      <c r="S731" s="181">
        <v>0</v>
      </c>
      <c r="T731" s="49">
        <v>46752</v>
      </c>
      <c r="U731" s="49">
        <v>46752</v>
      </c>
      <c r="V731" s="49">
        <v>46752</v>
      </c>
      <c r="W731" s="49">
        <v>46752</v>
      </c>
      <c r="X731" s="48">
        <v>1</v>
      </c>
      <c r="Y731" s="48">
        <v>1</v>
      </c>
      <c r="Z731" s="48">
        <v>1</v>
      </c>
      <c r="AA731" s="156">
        <v>36011519040.949715</v>
      </c>
      <c r="AF731" s="48">
        <v>0</v>
      </c>
      <c r="AG731" s="49" t="s">
        <v>41</v>
      </c>
      <c r="AH731" s="48">
        <v>1</v>
      </c>
      <c r="AI731" s="48" t="s">
        <v>33</v>
      </c>
      <c r="AJ731" s="48" t="s">
        <v>33</v>
      </c>
      <c r="AK731" s="48" t="s">
        <v>33</v>
      </c>
      <c r="AL731" s="48" t="s">
        <v>34</v>
      </c>
      <c r="AN731" s="48">
        <v>0</v>
      </c>
      <c r="AO731" s="48">
        <v>0</v>
      </c>
      <c r="AP731" s="48">
        <v>0</v>
      </c>
      <c r="AQ731" s="48">
        <v>0</v>
      </c>
      <c r="AR731" s="48">
        <v>0</v>
      </c>
      <c r="AS731" s="48">
        <v>0</v>
      </c>
      <c r="AT731" s="48">
        <v>0</v>
      </c>
      <c r="AU731" s="48">
        <v>0</v>
      </c>
      <c r="AV731" s="48">
        <v>0</v>
      </c>
      <c r="AW731" s="48">
        <v>0</v>
      </c>
      <c r="AX731" s="48">
        <v>0</v>
      </c>
      <c r="AY731" s="48">
        <v>0</v>
      </c>
      <c r="AZ731" s="48">
        <v>0</v>
      </c>
      <c r="BA731" s="48">
        <v>0</v>
      </c>
      <c r="BB731" s="48">
        <v>0</v>
      </c>
    </row>
    <row r="732" spans="1:54" x14ac:dyDescent="0.35">
      <c r="A732" s="49">
        <v>45930</v>
      </c>
      <c r="B732" s="48">
        <v>1</v>
      </c>
      <c r="C732" s="50" t="s">
        <v>41</v>
      </c>
      <c r="D732" s="48" t="s">
        <v>31</v>
      </c>
      <c r="E732" s="48" t="s">
        <v>138</v>
      </c>
      <c r="F732" s="48" t="s">
        <v>139</v>
      </c>
      <c r="G732" s="49" t="s">
        <v>65</v>
      </c>
      <c r="H732" s="48" t="s">
        <v>65</v>
      </c>
      <c r="I732" s="48">
        <v>1</v>
      </c>
      <c r="J732" s="48">
        <v>28</v>
      </c>
      <c r="K732" s="48">
        <v>1</v>
      </c>
      <c r="N732" s="48">
        <v>0</v>
      </c>
      <c r="R732" s="49"/>
      <c r="S732" s="181">
        <v>0</v>
      </c>
      <c r="T732" s="49">
        <v>46783</v>
      </c>
      <c r="U732" s="49">
        <v>46783</v>
      </c>
      <c r="V732" s="49">
        <v>46783</v>
      </c>
      <c r="W732" s="49">
        <v>46783</v>
      </c>
      <c r="X732" s="48">
        <v>1</v>
      </c>
      <c r="Y732" s="48">
        <v>1</v>
      </c>
      <c r="Z732" s="48">
        <v>1</v>
      </c>
      <c r="AA732" s="156">
        <v>36011519040.949715</v>
      </c>
      <c r="AF732" s="48">
        <v>0</v>
      </c>
      <c r="AG732" s="49" t="s">
        <v>41</v>
      </c>
      <c r="AH732" s="48">
        <v>1</v>
      </c>
      <c r="AI732" s="48" t="s">
        <v>33</v>
      </c>
      <c r="AJ732" s="48" t="s">
        <v>33</v>
      </c>
      <c r="AK732" s="48" t="s">
        <v>33</v>
      </c>
      <c r="AL732" s="48" t="s">
        <v>34</v>
      </c>
      <c r="AN732" s="48">
        <v>0</v>
      </c>
      <c r="AO732" s="48">
        <v>0</v>
      </c>
      <c r="AP732" s="48">
        <v>0</v>
      </c>
      <c r="AQ732" s="48">
        <v>0</v>
      </c>
      <c r="AR732" s="48">
        <v>0</v>
      </c>
      <c r="AS732" s="48">
        <v>0</v>
      </c>
      <c r="AT732" s="48">
        <v>0</v>
      </c>
      <c r="AU732" s="48">
        <v>0</v>
      </c>
      <c r="AV732" s="48">
        <v>0</v>
      </c>
      <c r="AW732" s="48">
        <v>0</v>
      </c>
      <c r="AX732" s="48">
        <v>0</v>
      </c>
      <c r="AY732" s="48">
        <v>0</v>
      </c>
      <c r="AZ732" s="48">
        <v>0</v>
      </c>
      <c r="BA732" s="48">
        <v>0</v>
      </c>
      <c r="BB732" s="48">
        <v>0</v>
      </c>
    </row>
    <row r="733" spans="1:54" x14ac:dyDescent="0.35">
      <c r="A733" s="49">
        <v>45930</v>
      </c>
      <c r="B733" s="48">
        <v>1</v>
      </c>
      <c r="C733" s="50" t="s">
        <v>41</v>
      </c>
      <c r="D733" s="48" t="s">
        <v>31</v>
      </c>
      <c r="E733" s="48" t="s">
        <v>138</v>
      </c>
      <c r="F733" s="48" t="s">
        <v>139</v>
      </c>
      <c r="G733" s="49" t="s">
        <v>65</v>
      </c>
      <c r="H733" s="48" t="s">
        <v>65</v>
      </c>
      <c r="I733" s="48">
        <v>1</v>
      </c>
      <c r="J733" s="48">
        <v>29</v>
      </c>
      <c r="K733" s="48">
        <v>1</v>
      </c>
      <c r="N733" s="48">
        <v>0</v>
      </c>
      <c r="R733" s="49"/>
      <c r="S733" s="181">
        <v>0</v>
      </c>
      <c r="T733" s="49">
        <v>46812</v>
      </c>
      <c r="U733" s="49">
        <v>46812</v>
      </c>
      <c r="V733" s="49">
        <v>46812</v>
      </c>
      <c r="W733" s="49">
        <v>46812</v>
      </c>
      <c r="X733" s="48">
        <v>1</v>
      </c>
      <c r="Y733" s="48">
        <v>1</v>
      </c>
      <c r="Z733" s="48">
        <v>1</v>
      </c>
      <c r="AA733" s="156">
        <v>36011519040.949715</v>
      </c>
      <c r="AF733" s="48">
        <v>0</v>
      </c>
      <c r="AG733" s="49" t="s">
        <v>41</v>
      </c>
      <c r="AH733" s="48">
        <v>1</v>
      </c>
      <c r="AI733" s="48" t="s">
        <v>33</v>
      </c>
      <c r="AJ733" s="48" t="s">
        <v>33</v>
      </c>
      <c r="AK733" s="48" t="s">
        <v>33</v>
      </c>
      <c r="AL733" s="48" t="s">
        <v>34</v>
      </c>
      <c r="AN733" s="48">
        <v>0</v>
      </c>
      <c r="AO733" s="48">
        <v>0</v>
      </c>
      <c r="AP733" s="48">
        <v>0</v>
      </c>
      <c r="AQ733" s="48">
        <v>0</v>
      </c>
      <c r="AR733" s="48">
        <v>0</v>
      </c>
      <c r="AS733" s="48">
        <v>0</v>
      </c>
      <c r="AT733" s="48">
        <v>0</v>
      </c>
      <c r="AU733" s="48">
        <v>0</v>
      </c>
      <c r="AV733" s="48">
        <v>0</v>
      </c>
      <c r="AW733" s="48">
        <v>0</v>
      </c>
      <c r="AX733" s="48">
        <v>0</v>
      </c>
      <c r="AY733" s="48">
        <v>0</v>
      </c>
      <c r="AZ733" s="48">
        <v>0</v>
      </c>
      <c r="BA733" s="48">
        <v>0</v>
      </c>
      <c r="BB733" s="48">
        <v>0</v>
      </c>
    </row>
    <row r="734" spans="1:54" x14ac:dyDescent="0.35">
      <c r="A734" s="49">
        <v>45930</v>
      </c>
      <c r="B734" s="48">
        <v>1</v>
      </c>
      <c r="C734" s="50" t="s">
        <v>41</v>
      </c>
      <c r="D734" s="48" t="s">
        <v>31</v>
      </c>
      <c r="E734" s="48" t="s">
        <v>138</v>
      </c>
      <c r="F734" s="48" t="s">
        <v>139</v>
      </c>
      <c r="G734" s="49" t="s">
        <v>65</v>
      </c>
      <c r="H734" s="48" t="s">
        <v>65</v>
      </c>
      <c r="I734" s="48">
        <v>1</v>
      </c>
      <c r="J734" s="48">
        <v>30</v>
      </c>
      <c r="K734" s="48">
        <v>1</v>
      </c>
      <c r="N734" s="48">
        <v>0</v>
      </c>
      <c r="R734" s="49"/>
      <c r="S734" s="181">
        <v>0</v>
      </c>
      <c r="T734" s="49">
        <v>46843</v>
      </c>
      <c r="U734" s="49">
        <v>46843</v>
      </c>
      <c r="V734" s="49">
        <v>46843</v>
      </c>
      <c r="W734" s="49">
        <v>46843</v>
      </c>
      <c r="X734" s="48">
        <v>1</v>
      </c>
      <c r="Y734" s="48">
        <v>1</v>
      </c>
      <c r="Z734" s="48">
        <v>1</v>
      </c>
      <c r="AA734" s="156">
        <v>36011519040.949715</v>
      </c>
      <c r="AF734" s="48">
        <v>0</v>
      </c>
      <c r="AG734" s="49" t="s">
        <v>41</v>
      </c>
      <c r="AH734" s="48">
        <v>1</v>
      </c>
      <c r="AI734" s="48" t="s">
        <v>33</v>
      </c>
      <c r="AJ734" s="48" t="s">
        <v>33</v>
      </c>
      <c r="AK734" s="48" t="s">
        <v>33</v>
      </c>
      <c r="AL734" s="48" t="s">
        <v>34</v>
      </c>
      <c r="AN734" s="48">
        <v>0</v>
      </c>
      <c r="AO734" s="48">
        <v>0</v>
      </c>
      <c r="AP734" s="48">
        <v>0</v>
      </c>
      <c r="AQ734" s="48">
        <v>0</v>
      </c>
      <c r="AR734" s="48">
        <v>0</v>
      </c>
      <c r="AS734" s="48">
        <v>0</v>
      </c>
      <c r="AT734" s="48">
        <v>0</v>
      </c>
      <c r="AU734" s="48">
        <v>0</v>
      </c>
      <c r="AV734" s="48">
        <v>0</v>
      </c>
      <c r="AW734" s="48">
        <v>0</v>
      </c>
      <c r="AX734" s="48">
        <v>0</v>
      </c>
      <c r="AY734" s="48">
        <v>0</v>
      </c>
      <c r="AZ734" s="48">
        <v>0</v>
      </c>
      <c r="BA734" s="48">
        <v>0</v>
      </c>
      <c r="BB734" s="48">
        <v>0</v>
      </c>
    </row>
    <row r="735" spans="1:54" x14ac:dyDescent="0.35">
      <c r="A735" s="49">
        <v>45930</v>
      </c>
      <c r="B735" s="48">
        <v>1</v>
      </c>
      <c r="C735" s="50" t="s">
        <v>41</v>
      </c>
      <c r="D735" s="48" t="s">
        <v>31</v>
      </c>
      <c r="E735" s="48" t="s">
        <v>138</v>
      </c>
      <c r="F735" s="48" t="s">
        <v>139</v>
      </c>
      <c r="G735" s="49" t="s">
        <v>65</v>
      </c>
      <c r="H735" s="48" t="s">
        <v>65</v>
      </c>
      <c r="I735" s="48">
        <v>1</v>
      </c>
      <c r="J735" s="48">
        <v>31</v>
      </c>
      <c r="K735" s="48">
        <v>1</v>
      </c>
      <c r="N735" s="48">
        <v>0</v>
      </c>
      <c r="R735" s="49"/>
      <c r="S735" s="181">
        <v>0</v>
      </c>
      <c r="T735" s="49">
        <v>46873</v>
      </c>
      <c r="U735" s="49">
        <v>46873</v>
      </c>
      <c r="V735" s="49">
        <v>46873</v>
      </c>
      <c r="W735" s="49">
        <v>46873</v>
      </c>
      <c r="X735" s="48">
        <v>1</v>
      </c>
      <c r="Y735" s="48">
        <v>1</v>
      </c>
      <c r="Z735" s="48">
        <v>1</v>
      </c>
      <c r="AA735" s="156">
        <v>36011519040.949715</v>
      </c>
      <c r="AF735" s="48">
        <v>0</v>
      </c>
      <c r="AG735" s="49" t="s">
        <v>41</v>
      </c>
      <c r="AH735" s="48">
        <v>1</v>
      </c>
      <c r="AI735" s="48" t="s">
        <v>33</v>
      </c>
      <c r="AJ735" s="48" t="s">
        <v>33</v>
      </c>
      <c r="AK735" s="48" t="s">
        <v>33</v>
      </c>
      <c r="AL735" s="48" t="s">
        <v>34</v>
      </c>
      <c r="AN735" s="48">
        <v>0</v>
      </c>
      <c r="AO735" s="48">
        <v>0</v>
      </c>
      <c r="AP735" s="48">
        <v>0</v>
      </c>
      <c r="AQ735" s="48">
        <v>0</v>
      </c>
      <c r="AR735" s="48">
        <v>0</v>
      </c>
      <c r="AS735" s="48">
        <v>0</v>
      </c>
      <c r="AT735" s="48">
        <v>0</v>
      </c>
      <c r="AU735" s="48">
        <v>0</v>
      </c>
      <c r="AV735" s="48">
        <v>0</v>
      </c>
      <c r="AW735" s="48">
        <v>0</v>
      </c>
      <c r="AX735" s="48">
        <v>0</v>
      </c>
      <c r="AY735" s="48">
        <v>0</v>
      </c>
      <c r="AZ735" s="48">
        <v>0</v>
      </c>
      <c r="BA735" s="48">
        <v>0</v>
      </c>
      <c r="BB735" s="48">
        <v>0</v>
      </c>
    </row>
    <row r="736" spans="1:54" x14ac:dyDescent="0.35">
      <c r="A736" s="49">
        <v>45930</v>
      </c>
      <c r="B736" s="48">
        <v>1</v>
      </c>
      <c r="C736" s="50" t="s">
        <v>41</v>
      </c>
      <c r="D736" s="48" t="s">
        <v>31</v>
      </c>
      <c r="E736" s="48" t="s">
        <v>138</v>
      </c>
      <c r="F736" s="48" t="s">
        <v>139</v>
      </c>
      <c r="G736" s="49" t="s">
        <v>65</v>
      </c>
      <c r="H736" s="48" t="s">
        <v>65</v>
      </c>
      <c r="I736" s="48">
        <v>1</v>
      </c>
      <c r="J736" s="48">
        <v>32</v>
      </c>
      <c r="K736" s="48">
        <v>1</v>
      </c>
      <c r="N736" s="48">
        <v>0</v>
      </c>
      <c r="R736" s="49"/>
      <c r="S736" s="181">
        <v>0</v>
      </c>
      <c r="T736" s="49">
        <v>46904</v>
      </c>
      <c r="U736" s="49">
        <v>46904</v>
      </c>
      <c r="V736" s="49">
        <v>46904</v>
      </c>
      <c r="W736" s="49">
        <v>46904</v>
      </c>
      <c r="X736" s="48">
        <v>1</v>
      </c>
      <c r="Y736" s="48">
        <v>1</v>
      </c>
      <c r="Z736" s="48">
        <v>1</v>
      </c>
      <c r="AA736" s="156">
        <v>36011519040.949715</v>
      </c>
      <c r="AF736" s="48">
        <v>0</v>
      </c>
      <c r="AG736" s="49" t="s">
        <v>41</v>
      </c>
      <c r="AH736" s="48">
        <v>1</v>
      </c>
      <c r="AI736" s="48" t="s">
        <v>33</v>
      </c>
      <c r="AJ736" s="48" t="s">
        <v>33</v>
      </c>
      <c r="AK736" s="48" t="s">
        <v>33</v>
      </c>
      <c r="AL736" s="48" t="s">
        <v>34</v>
      </c>
      <c r="AN736" s="48">
        <v>0</v>
      </c>
      <c r="AO736" s="48">
        <v>0</v>
      </c>
      <c r="AP736" s="48">
        <v>0</v>
      </c>
      <c r="AQ736" s="48">
        <v>0</v>
      </c>
      <c r="AR736" s="48">
        <v>0</v>
      </c>
      <c r="AS736" s="48">
        <v>0</v>
      </c>
      <c r="AT736" s="48">
        <v>0</v>
      </c>
      <c r="AU736" s="48">
        <v>0</v>
      </c>
      <c r="AV736" s="48">
        <v>0</v>
      </c>
      <c r="AW736" s="48">
        <v>0</v>
      </c>
      <c r="AX736" s="48">
        <v>0</v>
      </c>
      <c r="AY736" s="48">
        <v>0</v>
      </c>
      <c r="AZ736" s="48">
        <v>0</v>
      </c>
      <c r="BA736" s="48">
        <v>0</v>
      </c>
      <c r="BB736" s="48">
        <v>0</v>
      </c>
    </row>
    <row r="737" spans="1:54" x14ac:dyDescent="0.35">
      <c r="A737" s="49">
        <v>45930</v>
      </c>
      <c r="B737" s="48">
        <v>1</v>
      </c>
      <c r="C737" s="50" t="s">
        <v>41</v>
      </c>
      <c r="D737" s="48" t="s">
        <v>31</v>
      </c>
      <c r="E737" s="48" t="s">
        <v>138</v>
      </c>
      <c r="F737" s="48" t="s">
        <v>139</v>
      </c>
      <c r="G737" s="49" t="s">
        <v>65</v>
      </c>
      <c r="H737" s="48" t="s">
        <v>65</v>
      </c>
      <c r="I737" s="48">
        <v>1</v>
      </c>
      <c r="J737" s="48">
        <v>33</v>
      </c>
      <c r="K737" s="48">
        <v>1</v>
      </c>
      <c r="N737" s="48">
        <v>0</v>
      </c>
      <c r="R737" s="49"/>
      <c r="S737" s="181">
        <v>0</v>
      </c>
      <c r="T737" s="49">
        <v>46934</v>
      </c>
      <c r="U737" s="49">
        <v>46934</v>
      </c>
      <c r="V737" s="49">
        <v>46934</v>
      </c>
      <c r="W737" s="49">
        <v>46934</v>
      </c>
      <c r="X737" s="48">
        <v>1</v>
      </c>
      <c r="Y737" s="48">
        <v>1</v>
      </c>
      <c r="Z737" s="48">
        <v>1</v>
      </c>
      <c r="AA737" s="156">
        <v>3459166099.7732425</v>
      </c>
      <c r="AF737" s="48">
        <v>0</v>
      </c>
      <c r="AG737" s="49" t="s">
        <v>41</v>
      </c>
      <c r="AH737" s="48">
        <v>1</v>
      </c>
      <c r="AI737" s="48" t="s">
        <v>33</v>
      </c>
      <c r="AJ737" s="48" t="s">
        <v>33</v>
      </c>
      <c r="AK737" s="48" t="s">
        <v>33</v>
      </c>
      <c r="AL737" s="48" t="s">
        <v>34</v>
      </c>
      <c r="AN737" s="48">
        <v>0</v>
      </c>
      <c r="AO737" s="48">
        <v>0</v>
      </c>
      <c r="AP737" s="48">
        <v>0</v>
      </c>
      <c r="AQ737" s="48">
        <v>0</v>
      </c>
      <c r="AR737" s="48">
        <v>0</v>
      </c>
      <c r="AS737" s="48">
        <v>0</v>
      </c>
      <c r="AT737" s="48">
        <v>0</v>
      </c>
      <c r="AU737" s="48">
        <v>0</v>
      </c>
      <c r="AV737" s="48">
        <v>0</v>
      </c>
      <c r="AW737" s="48">
        <v>0</v>
      </c>
      <c r="AX737" s="48">
        <v>0</v>
      </c>
      <c r="AY737" s="48">
        <v>0</v>
      </c>
      <c r="AZ737" s="48">
        <v>0</v>
      </c>
      <c r="BA737" s="48">
        <v>0</v>
      </c>
      <c r="BB737" s="48">
        <v>0</v>
      </c>
    </row>
    <row r="738" spans="1:54" x14ac:dyDescent="0.35">
      <c r="A738" s="49">
        <v>45930</v>
      </c>
      <c r="B738" s="48">
        <v>1</v>
      </c>
      <c r="C738" s="50" t="s">
        <v>41</v>
      </c>
      <c r="D738" s="48" t="s">
        <v>31</v>
      </c>
      <c r="E738" s="48" t="s">
        <v>138</v>
      </c>
      <c r="F738" s="48" t="s">
        <v>139</v>
      </c>
      <c r="G738" s="49" t="s">
        <v>65</v>
      </c>
      <c r="H738" s="48" t="s">
        <v>65</v>
      </c>
      <c r="I738" s="48">
        <v>1</v>
      </c>
      <c r="J738" s="48">
        <v>34</v>
      </c>
      <c r="K738" s="48">
        <v>1</v>
      </c>
      <c r="N738" s="48">
        <v>0</v>
      </c>
      <c r="R738" s="49"/>
      <c r="S738" s="181">
        <v>0</v>
      </c>
      <c r="T738" s="49">
        <v>46965</v>
      </c>
      <c r="U738" s="49">
        <v>46965</v>
      </c>
      <c r="V738" s="49">
        <v>46965</v>
      </c>
      <c r="W738" s="49">
        <v>46965</v>
      </c>
      <c r="X738" s="48">
        <v>1</v>
      </c>
      <c r="Y738" s="48">
        <v>1</v>
      </c>
      <c r="Z738" s="48">
        <v>1</v>
      </c>
      <c r="AA738" s="156">
        <v>3459166099.7732425</v>
      </c>
      <c r="AF738" s="48">
        <v>0</v>
      </c>
      <c r="AG738" s="49" t="s">
        <v>41</v>
      </c>
      <c r="AH738" s="48">
        <v>1</v>
      </c>
      <c r="AI738" s="48" t="s">
        <v>33</v>
      </c>
      <c r="AJ738" s="48" t="s">
        <v>33</v>
      </c>
      <c r="AK738" s="48" t="s">
        <v>33</v>
      </c>
      <c r="AL738" s="48" t="s">
        <v>34</v>
      </c>
      <c r="AN738" s="48">
        <v>0</v>
      </c>
      <c r="AO738" s="48">
        <v>0</v>
      </c>
      <c r="AP738" s="48">
        <v>0</v>
      </c>
      <c r="AQ738" s="48">
        <v>0</v>
      </c>
      <c r="AR738" s="48">
        <v>0</v>
      </c>
      <c r="AS738" s="48">
        <v>0</v>
      </c>
      <c r="AT738" s="48">
        <v>0</v>
      </c>
      <c r="AU738" s="48">
        <v>0</v>
      </c>
      <c r="AV738" s="48">
        <v>0</v>
      </c>
      <c r="AW738" s="48">
        <v>0</v>
      </c>
      <c r="AX738" s="48">
        <v>0</v>
      </c>
      <c r="AY738" s="48">
        <v>0</v>
      </c>
      <c r="AZ738" s="48">
        <v>0</v>
      </c>
      <c r="BA738" s="48">
        <v>0</v>
      </c>
      <c r="BB738" s="48">
        <v>0</v>
      </c>
    </row>
    <row r="739" spans="1:54" x14ac:dyDescent="0.35">
      <c r="A739" s="49">
        <v>45930</v>
      </c>
      <c r="B739" s="48">
        <v>1</v>
      </c>
      <c r="C739" s="50" t="s">
        <v>41</v>
      </c>
      <c r="D739" s="48" t="s">
        <v>31</v>
      </c>
      <c r="E739" s="48" t="s">
        <v>138</v>
      </c>
      <c r="F739" s="48" t="s">
        <v>139</v>
      </c>
      <c r="G739" s="49" t="s">
        <v>65</v>
      </c>
      <c r="H739" s="48" t="s">
        <v>65</v>
      </c>
      <c r="I739" s="48">
        <v>1</v>
      </c>
      <c r="J739" s="48">
        <v>35</v>
      </c>
      <c r="K739" s="48">
        <v>1</v>
      </c>
      <c r="N739" s="48">
        <v>0</v>
      </c>
      <c r="R739" s="49"/>
      <c r="S739" s="181">
        <v>0</v>
      </c>
      <c r="T739" s="49">
        <v>45961</v>
      </c>
      <c r="U739" s="49">
        <v>45961</v>
      </c>
      <c r="V739" s="49">
        <v>45961</v>
      </c>
      <c r="W739" s="49">
        <v>45961</v>
      </c>
      <c r="X739" s="48">
        <v>1</v>
      </c>
      <c r="Y739" s="48">
        <v>1</v>
      </c>
      <c r="Z739" s="48">
        <v>1</v>
      </c>
      <c r="AA739" s="156">
        <v>3459166099.7732425</v>
      </c>
      <c r="AF739" s="48">
        <v>0</v>
      </c>
      <c r="AG739" s="49" t="s">
        <v>41</v>
      </c>
      <c r="AH739" s="48">
        <v>1</v>
      </c>
      <c r="AI739" s="48" t="s">
        <v>33</v>
      </c>
      <c r="AJ739" s="48" t="s">
        <v>33</v>
      </c>
      <c r="AK739" s="48" t="s">
        <v>33</v>
      </c>
      <c r="AL739" s="48" t="s">
        <v>34</v>
      </c>
      <c r="AN739" s="48">
        <v>0</v>
      </c>
      <c r="AO739" s="48">
        <v>0</v>
      </c>
      <c r="AP739" s="48">
        <v>0</v>
      </c>
      <c r="AQ739" s="48">
        <v>0</v>
      </c>
      <c r="AR739" s="48">
        <v>0</v>
      </c>
      <c r="AS739" s="48">
        <v>0</v>
      </c>
      <c r="AT739" s="48">
        <v>0</v>
      </c>
      <c r="AU739" s="48">
        <v>0</v>
      </c>
      <c r="AV739" s="48">
        <v>0</v>
      </c>
      <c r="AW739" s="48">
        <v>0</v>
      </c>
      <c r="AX739" s="48">
        <v>0</v>
      </c>
      <c r="AY739" s="48">
        <v>0</v>
      </c>
      <c r="AZ739" s="48">
        <v>0</v>
      </c>
      <c r="BA739" s="48">
        <v>0</v>
      </c>
      <c r="BB739" s="48">
        <v>0</v>
      </c>
    </row>
    <row r="740" spans="1:54" x14ac:dyDescent="0.35">
      <c r="A740" s="49">
        <v>45930</v>
      </c>
      <c r="B740" s="48">
        <v>1</v>
      </c>
      <c r="C740" s="50" t="s">
        <v>41</v>
      </c>
      <c r="D740" s="48" t="s">
        <v>31</v>
      </c>
      <c r="E740" s="48" t="s">
        <v>138</v>
      </c>
      <c r="F740" s="48" t="s">
        <v>139</v>
      </c>
      <c r="G740" s="49" t="s">
        <v>65</v>
      </c>
      <c r="H740" s="48" t="s">
        <v>65</v>
      </c>
      <c r="I740" s="48">
        <v>1</v>
      </c>
      <c r="J740" s="48">
        <v>36</v>
      </c>
      <c r="K740" s="48">
        <v>1</v>
      </c>
      <c r="N740" s="48">
        <v>0</v>
      </c>
      <c r="R740" s="49"/>
      <c r="S740" s="181">
        <v>0</v>
      </c>
      <c r="T740" s="49">
        <v>45991</v>
      </c>
      <c r="U740" s="49">
        <v>45991</v>
      </c>
      <c r="V740" s="49">
        <v>45991</v>
      </c>
      <c r="W740" s="49">
        <v>45991</v>
      </c>
      <c r="X740" s="48">
        <v>1</v>
      </c>
      <c r="Y740" s="48">
        <v>1</v>
      </c>
      <c r="Z740" s="48">
        <v>1</v>
      </c>
      <c r="AA740" s="156">
        <v>3459166099.7732425</v>
      </c>
      <c r="AF740" s="48">
        <v>0</v>
      </c>
      <c r="AG740" s="49" t="s">
        <v>41</v>
      </c>
      <c r="AH740" s="48">
        <v>1</v>
      </c>
      <c r="AI740" s="48" t="s">
        <v>33</v>
      </c>
      <c r="AJ740" s="48" t="s">
        <v>33</v>
      </c>
      <c r="AK740" s="48" t="s">
        <v>33</v>
      </c>
      <c r="AL740" s="48" t="s">
        <v>34</v>
      </c>
      <c r="AN740" s="48">
        <v>0</v>
      </c>
      <c r="AO740" s="48">
        <v>0</v>
      </c>
      <c r="AP740" s="48">
        <v>0</v>
      </c>
      <c r="AQ740" s="48">
        <v>0</v>
      </c>
      <c r="AR740" s="48">
        <v>0</v>
      </c>
      <c r="AS740" s="48">
        <v>0</v>
      </c>
      <c r="AT740" s="48">
        <v>0</v>
      </c>
      <c r="AU740" s="48">
        <v>0</v>
      </c>
      <c r="AV740" s="48">
        <v>0</v>
      </c>
      <c r="AW740" s="48">
        <v>0</v>
      </c>
      <c r="AX740" s="48">
        <v>0</v>
      </c>
      <c r="AY740" s="48">
        <v>0</v>
      </c>
      <c r="AZ740" s="48">
        <v>0</v>
      </c>
      <c r="BA740" s="48">
        <v>0</v>
      </c>
      <c r="BB740" s="48">
        <v>0</v>
      </c>
    </row>
    <row r="741" spans="1:54" x14ac:dyDescent="0.35">
      <c r="A741" s="49">
        <v>45930</v>
      </c>
      <c r="B741" s="48">
        <v>1</v>
      </c>
      <c r="C741" s="50" t="s">
        <v>41</v>
      </c>
      <c r="D741" s="48" t="s">
        <v>31</v>
      </c>
      <c r="E741" s="48" t="s">
        <v>138</v>
      </c>
      <c r="F741" s="48" t="s">
        <v>139</v>
      </c>
      <c r="G741" s="49" t="s">
        <v>65</v>
      </c>
      <c r="H741" s="48" t="s">
        <v>65</v>
      </c>
      <c r="I741" s="48">
        <v>1</v>
      </c>
      <c r="J741" s="48">
        <v>37</v>
      </c>
      <c r="K741" s="48">
        <v>1</v>
      </c>
      <c r="N741" s="48">
        <v>0</v>
      </c>
      <c r="R741" s="49"/>
      <c r="S741" s="181">
        <v>0</v>
      </c>
      <c r="T741" s="49">
        <v>46022</v>
      </c>
      <c r="U741" s="49">
        <v>46022</v>
      </c>
      <c r="V741" s="49">
        <v>46022</v>
      </c>
      <c r="W741" s="49">
        <v>46022</v>
      </c>
      <c r="X741" s="48">
        <v>1</v>
      </c>
      <c r="Y741" s="48">
        <v>1</v>
      </c>
      <c r="Z741" s="48">
        <v>1</v>
      </c>
      <c r="AA741" s="156">
        <v>3459166099.7732425</v>
      </c>
      <c r="AF741" s="48">
        <v>0</v>
      </c>
      <c r="AG741" s="49" t="s">
        <v>41</v>
      </c>
      <c r="AH741" s="48">
        <v>1</v>
      </c>
      <c r="AI741" s="48" t="s">
        <v>33</v>
      </c>
      <c r="AJ741" s="48" t="s">
        <v>33</v>
      </c>
      <c r="AK741" s="48" t="s">
        <v>33</v>
      </c>
      <c r="AL741" s="48" t="s">
        <v>34</v>
      </c>
      <c r="AN741" s="48">
        <v>0</v>
      </c>
      <c r="AO741" s="48">
        <v>0</v>
      </c>
      <c r="AP741" s="48">
        <v>0</v>
      </c>
      <c r="AQ741" s="48">
        <v>0</v>
      </c>
      <c r="AR741" s="48">
        <v>0</v>
      </c>
      <c r="AS741" s="48">
        <v>0</v>
      </c>
      <c r="AT741" s="48">
        <v>0</v>
      </c>
      <c r="AU741" s="48">
        <v>0</v>
      </c>
      <c r="AV741" s="48">
        <v>0</v>
      </c>
      <c r="AW741" s="48">
        <v>0</v>
      </c>
      <c r="AX741" s="48">
        <v>0</v>
      </c>
      <c r="AY741" s="48">
        <v>0</v>
      </c>
      <c r="AZ741" s="48">
        <v>0</v>
      </c>
      <c r="BA741" s="48">
        <v>0</v>
      </c>
      <c r="BB741" s="48">
        <v>0</v>
      </c>
    </row>
    <row r="742" spans="1:54" x14ac:dyDescent="0.35">
      <c r="A742" s="49">
        <v>45930</v>
      </c>
      <c r="B742" s="48">
        <v>1</v>
      </c>
      <c r="C742" s="50" t="s">
        <v>41</v>
      </c>
      <c r="D742" s="48" t="s">
        <v>31</v>
      </c>
      <c r="E742" s="48" t="s">
        <v>138</v>
      </c>
      <c r="F742" s="48" t="s">
        <v>139</v>
      </c>
      <c r="G742" s="49" t="s">
        <v>65</v>
      </c>
      <c r="H742" s="48" t="s">
        <v>65</v>
      </c>
      <c r="I742" s="48">
        <v>1</v>
      </c>
      <c r="J742" s="48">
        <v>38</v>
      </c>
      <c r="K742" s="48">
        <v>1</v>
      </c>
      <c r="N742" s="48">
        <v>0</v>
      </c>
      <c r="R742" s="49"/>
      <c r="S742" s="181">
        <v>0</v>
      </c>
      <c r="T742" s="49">
        <v>46053</v>
      </c>
      <c r="U742" s="49">
        <v>46053</v>
      </c>
      <c r="V742" s="49">
        <v>46053</v>
      </c>
      <c r="W742" s="49">
        <v>46053</v>
      </c>
      <c r="X742" s="48">
        <v>1</v>
      </c>
      <c r="Y742" s="48">
        <v>1</v>
      </c>
      <c r="Z742" s="48">
        <v>1</v>
      </c>
      <c r="AA742" s="156">
        <v>3459166099.7732425</v>
      </c>
      <c r="AF742" s="48">
        <v>0</v>
      </c>
      <c r="AG742" s="49" t="s">
        <v>41</v>
      </c>
      <c r="AH742" s="48">
        <v>1</v>
      </c>
      <c r="AI742" s="48" t="s">
        <v>33</v>
      </c>
      <c r="AJ742" s="48" t="s">
        <v>33</v>
      </c>
      <c r="AK742" s="48" t="s">
        <v>33</v>
      </c>
      <c r="AL742" s="48" t="s">
        <v>34</v>
      </c>
      <c r="AN742" s="48">
        <v>0</v>
      </c>
      <c r="AO742" s="48">
        <v>0</v>
      </c>
      <c r="AP742" s="48">
        <v>0</v>
      </c>
      <c r="AQ742" s="48">
        <v>0</v>
      </c>
      <c r="AR742" s="48">
        <v>0</v>
      </c>
      <c r="AS742" s="48">
        <v>0</v>
      </c>
      <c r="AT742" s="48">
        <v>0</v>
      </c>
      <c r="AU742" s="48">
        <v>0</v>
      </c>
      <c r="AV742" s="48">
        <v>0</v>
      </c>
      <c r="AW742" s="48">
        <v>0</v>
      </c>
      <c r="AX742" s="48">
        <v>0</v>
      </c>
      <c r="AY742" s="48">
        <v>0</v>
      </c>
      <c r="AZ742" s="48">
        <v>0</v>
      </c>
      <c r="BA742" s="48">
        <v>0</v>
      </c>
      <c r="BB742" s="48">
        <v>0</v>
      </c>
    </row>
    <row r="743" spans="1:54" x14ac:dyDescent="0.35">
      <c r="A743" s="49">
        <v>45930</v>
      </c>
      <c r="B743" s="48">
        <v>1</v>
      </c>
      <c r="C743" s="50" t="s">
        <v>41</v>
      </c>
      <c r="D743" s="48" t="s">
        <v>31</v>
      </c>
      <c r="E743" s="48" t="s">
        <v>138</v>
      </c>
      <c r="F743" s="48" t="s">
        <v>139</v>
      </c>
      <c r="G743" s="49" t="s">
        <v>65</v>
      </c>
      <c r="H743" s="48" t="s">
        <v>65</v>
      </c>
      <c r="I743" s="48">
        <v>1</v>
      </c>
      <c r="J743" s="48">
        <v>39</v>
      </c>
      <c r="K743" s="48">
        <v>1</v>
      </c>
      <c r="N743" s="48">
        <v>0</v>
      </c>
      <c r="R743" s="49"/>
      <c r="S743" s="181">
        <v>0</v>
      </c>
      <c r="T743" s="49">
        <v>46081</v>
      </c>
      <c r="U743" s="49">
        <v>46081</v>
      </c>
      <c r="V743" s="49">
        <v>46081</v>
      </c>
      <c r="W743" s="49">
        <v>46081</v>
      </c>
      <c r="X743" s="48">
        <v>1</v>
      </c>
      <c r="Y743" s="48">
        <v>1</v>
      </c>
      <c r="Z743" s="48">
        <v>1</v>
      </c>
      <c r="AA743" s="156">
        <v>3459166099.7732425</v>
      </c>
      <c r="AF743" s="48">
        <v>0</v>
      </c>
      <c r="AG743" s="49" t="s">
        <v>41</v>
      </c>
      <c r="AH743" s="48">
        <v>1</v>
      </c>
      <c r="AI743" s="48" t="s">
        <v>33</v>
      </c>
      <c r="AJ743" s="48" t="s">
        <v>33</v>
      </c>
      <c r="AK743" s="48" t="s">
        <v>33</v>
      </c>
      <c r="AL743" s="48" t="s">
        <v>34</v>
      </c>
      <c r="AN743" s="48">
        <v>0</v>
      </c>
      <c r="AO743" s="48">
        <v>0</v>
      </c>
      <c r="AP743" s="48">
        <v>0</v>
      </c>
      <c r="AQ743" s="48">
        <v>0</v>
      </c>
      <c r="AR743" s="48">
        <v>0</v>
      </c>
      <c r="AS743" s="48">
        <v>0</v>
      </c>
      <c r="AT743" s="48">
        <v>0</v>
      </c>
      <c r="AU743" s="48">
        <v>0</v>
      </c>
      <c r="AV743" s="48">
        <v>0</v>
      </c>
      <c r="AW743" s="48">
        <v>0</v>
      </c>
      <c r="AX743" s="48">
        <v>0</v>
      </c>
      <c r="AY743" s="48">
        <v>0</v>
      </c>
      <c r="AZ743" s="48">
        <v>0</v>
      </c>
      <c r="BA743" s="48">
        <v>0</v>
      </c>
      <c r="BB743" s="48">
        <v>0</v>
      </c>
    </row>
    <row r="744" spans="1:54" x14ac:dyDescent="0.35">
      <c r="A744" s="49">
        <v>45930</v>
      </c>
      <c r="B744" s="48">
        <v>1</v>
      </c>
      <c r="C744" s="50" t="s">
        <v>41</v>
      </c>
      <c r="D744" s="48" t="s">
        <v>31</v>
      </c>
      <c r="E744" s="48" t="s">
        <v>138</v>
      </c>
      <c r="F744" s="48" t="s">
        <v>139</v>
      </c>
      <c r="G744" s="49" t="s">
        <v>65</v>
      </c>
      <c r="H744" s="48" t="s">
        <v>65</v>
      </c>
      <c r="I744" s="48">
        <v>1</v>
      </c>
      <c r="J744" s="48">
        <v>40</v>
      </c>
      <c r="K744" s="48">
        <v>1</v>
      </c>
      <c r="N744" s="48">
        <v>0</v>
      </c>
      <c r="R744" s="49"/>
      <c r="S744" s="181">
        <v>0</v>
      </c>
      <c r="T744" s="49">
        <v>46112</v>
      </c>
      <c r="U744" s="49">
        <v>46112</v>
      </c>
      <c r="V744" s="49">
        <v>46112</v>
      </c>
      <c r="W744" s="49">
        <v>46112</v>
      </c>
      <c r="X744" s="48">
        <v>1</v>
      </c>
      <c r="Y744" s="48">
        <v>1</v>
      </c>
      <c r="Z744" s="48">
        <v>1</v>
      </c>
      <c r="AA744" s="156">
        <v>3459166099.7732425</v>
      </c>
      <c r="AF744" s="48">
        <v>0</v>
      </c>
      <c r="AG744" s="49" t="s">
        <v>41</v>
      </c>
      <c r="AH744" s="48">
        <v>1</v>
      </c>
      <c r="AI744" s="48" t="s">
        <v>33</v>
      </c>
      <c r="AJ744" s="48" t="s">
        <v>33</v>
      </c>
      <c r="AK744" s="48" t="s">
        <v>33</v>
      </c>
      <c r="AL744" s="48" t="s">
        <v>34</v>
      </c>
      <c r="AN744" s="48">
        <v>0</v>
      </c>
      <c r="AO744" s="48">
        <v>0</v>
      </c>
      <c r="AP744" s="48">
        <v>0</v>
      </c>
      <c r="AQ744" s="48">
        <v>0</v>
      </c>
      <c r="AR744" s="48">
        <v>0</v>
      </c>
      <c r="AS744" s="48">
        <v>0</v>
      </c>
      <c r="AT744" s="48">
        <v>0</v>
      </c>
      <c r="AU744" s="48">
        <v>0</v>
      </c>
      <c r="AV744" s="48">
        <v>0</v>
      </c>
      <c r="AW744" s="48">
        <v>0</v>
      </c>
      <c r="AX744" s="48">
        <v>0</v>
      </c>
      <c r="AY744" s="48">
        <v>0</v>
      </c>
      <c r="AZ744" s="48">
        <v>0</v>
      </c>
      <c r="BA744" s="48">
        <v>0</v>
      </c>
      <c r="BB744" s="48">
        <v>0</v>
      </c>
    </row>
    <row r="745" spans="1:54" x14ac:dyDescent="0.35">
      <c r="A745" s="49">
        <v>45930</v>
      </c>
      <c r="B745" s="48">
        <v>1</v>
      </c>
      <c r="C745" s="50" t="s">
        <v>41</v>
      </c>
      <c r="D745" s="48" t="s">
        <v>31</v>
      </c>
      <c r="E745" s="48" t="s">
        <v>138</v>
      </c>
      <c r="F745" s="48" t="s">
        <v>139</v>
      </c>
      <c r="G745" s="49" t="s">
        <v>65</v>
      </c>
      <c r="H745" s="48" t="s">
        <v>65</v>
      </c>
      <c r="I745" s="48">
        <v>1</v>
      </c>
      <c r="J745" s="48">
        <v>41</v>
      </c>
      <c r="K745" s="48">
        <v>1</v>
      </c>
      <c r="N745" s="48">
        <v>0</v>
      </c>
      <c r="R745" s="49"/>
      <c r="S745" s="181">
        <v>0</v>
      </c>
      <c r="T745" s="49">
        <v>46142</v>
      </c>
      <c r="U745" s="49">
        <v>46142</v>
      </c>
      <c r="V745" s="49">
        <v>46142</v>
      </c>
      <c r="W745" s="49">
        <v>46142</v>
      </c>
      <c r="X745" s="48">
        <v>1</v>
      </c>
      <c r="Y745" s="48">
        <v>1</v>
      </c>
      <c r="Z745" s="48">
        <v>1</v>
      </c>
      <c r="AA745" s="156">
        <v>3459166099.7732425</v>
      </c>
      <c r="AF745" s="48">
        <v>0</v>
      </c>
      <c r="AG745" s="49" t="s">
        <v>41</v>
      </c>
      <c r="AH745" s="48">
        <v>1</v>
      </c>
      <c r="AI745" s="48" t="s">
        <v>33</v>
      </c>
      <c r="AJ745" s="48" t="s">
        <v>33</v>
      </c>
      <c r="AK745" s="48" t="s">
        <v>33</v>
      </c>
      <c r="AL745" s="48" t="s">
        <v>34</v>
      </c>
      <c r="AN745" s="48">
        <v>0</v>
      </c>
      <c r="AO745" s="48">
        <v>0</v>
      </c>
      <c r="AP745" s="48">
        <v>0</v>
      </c>
      <c r="AQ745" s="48">
        <v>0</v>
      </c>
      <c r="AR745" s="48">
        <v>0</v>
      </c>
      <c r="AS745" s="48">
        <v>0</v>
      </c>
      <c r="AT745" s="48">
        <v>0</v>
      </c>
      <c r="AU745" s="48">
        <v>0</v>
      </c>
      <c r="AV745" s="48">
        <v>0</v>
      </c>
      <c r="AW745" s="48">
        <v>0</v>
      </c>
      <c r="AX745" s="48">
        <v>0</v>
      </c>
      <c r="AY745" s="48">
        <v>0</v>
      </c>
      <c r="AZ745" s="48">
        <v>0</v>
      </c>
      <c r="BA745" s="48">
        <v>0</v>
      </c>
      <c r="BB745" s="48">
        <v>0</v>
      </c>
    </row>
    <row r="746" spans="1:54" x14ac:dyDescent="0.35">
      <c r="A746" s="49">
        <v>45930</v>
      </c>
      <c r="B746" s="48">
        <v>1</v>
      </c>
      <c r="C746" s="50" t="s">
        <v>41</v>
      </c>
      <c r="D746" s="48" t="s">
        <v>31</v>
      </c>
      <c r="E746" s="48" t="s">
        <v>138</v>
      </c>
      <c r="F746" s="48" t="s">
        <v>139</v>
      </c>
      <c r="G746" s="49" t="s">
        <v>65</v>
      </c>
      <c r="H746" s="48" t="s">
        <v>65</v>
      </c>
      <c r="I746" s="48">
        <v>1</v>
      </c>
      <c r="J746" s="48">
        <v>42</v>
      </c>
      <c r="K746" s="48">
        <v>1</v>
      </c>
      <c r="N746" s="48">
        <v>0</v>
      </c>
      <c r="R746" s="49"/>
      <c r="S746" s="181">
        <v>0</v>
      </c>
      <c r="T746" s="49">
        <v>46173</v>
      </c>
      <c r="U746" s="49">
        <v>46173</v>
      </c>
      <c r="V746" s="49">
        <v>46173</v>
      </c>
      <c r="W746" s="49">
        <v>46173</v>
      </c>
      <c r="X746" s="48">
        <v>1</v>
      </c>
      <c r="Y746" s="48">
        <v>1</v>
      </c>
      <c r="Z746" s="48">
        <v>1</v>
      </c>
      <c r="AA746" s="156">
        <v>1255895791.6499934</v>
      </c>
      <c r="AF746" s="48">
        <v>0</v>
      </c>
      <c r="AG746" s="49" t="s">
        <v>41</v>
      </c>
      <c r="AH746" s="48">
        <v>1</v>
      </c>
      <c r="AI746" s="48" t="s">
        <v>33</v>
      </c>
      <c r="AJ746" s="48" t="s">
        <v>33</v>
      </c>
      <c r="AK746" s="48" t="s">
        <v>33</v>
      </c>
      <c r="AL746" s="48" t="s">
        <v>34</v>
      </c>
      <c r="AN746" s="48">
        <v>0</v>
      </c>
      <c r="AO746" s="48">
        <v>0</v>
      </c>
      <c r="AP746" s="48">
        <v>0</v>
      </c>
      <c r="AQ746" s="48">
        <v>0</v>
      </c>
      <c r="AR746" s="48">
        <v>0</v>
      </c>
      <c r="AS746" s="48">
        <v>0</v>
      </c>
      <c r="AT746" s="48">
        <v>0</v>
      </c>
      <c r="AU746" s="48">
        <v>0</v>
      </c>
      <c r="AV746" s="48">
        <v>0</v>
      </c>
      <c r="AW746" s="48">
        <v>0</v>
      </c>
      <c r="AX746" s="48">
        <v>0</v>
      </c>
      <c r="AY746" s="48">
        <v>0</v>
      </c>
      <c r="AZ746" s="48">
        <v>0</v>
      </c>
      <c r="BA746" s="48">
        <v>0</v>
      </c>
      <c r="BB746" s="48">
        <v>0</v>
      </c>
    </row>
    <row r="747" spans="1:54" x14ac:dyDescent="0.35">
      <c r="A747" s="49">
        <v>45930</v>
      </c>
      <c r="B747" s="48">
        <v>1</v>
      </c>
      <c r="C747" s="50" t="s">
        <v>41</v>
      </c>
      <c r="D747" s="48" t="s">
        <v>31</v>
      </c>
      <c r="E747" s="48" t="s">
        <v>138</v>
      </c>
      <c r="F747" s="48" t="s">
        <v>139</v>
      </c>
      <c r="G747" s="49" t="s">
        <v>65</v>
      </c>
      <c r="H747" s="48" t="s">
        <v>65</v>
      </c>
      <c r="I747" s="48">
        <v>1</v>
      </c>
      <c r="J747" s="48">
        <v>43</v>
      </c>
      <c r="K747" s="48">
        <v>1</v>
      </c>
      <c r="N747" s="48">
        <v>0</v>
      </c>
      <c r="R747" s="49"/>
      <c r="S747" s="181">
        <v>0</v>
      </c>
      <c r="T747" s="49">
        <v>46203</v>
      </c>
      <c r="U747" s="49">
        <v>46203</v>
      </c>
      <c r="V747" s="49">
        <v>46203</v>
      </c>
      <c r="W747" s="49">
        <v>46203</v>
      </c>
      <c r="X747" s="48">
        <v>1</v>
      </c>
      <c r="Y747" s="48">
        <v>1</v>
      </c>
      <c r="Z747" s="48">
        <v>1</v>
      </c>
      <c r="AA747" s="156">
        <v>0</v>
      </c>
      <c r="AF747" s="48">
        <v>0</v>
      </c>
      <c r="AG747" s="49" t="s">
        <v>41</v>
      </c>
      <c r="AH747" s="48">
        <v>1</v>
      </c>
      <c r="AI747" s="48" t="s">
        <v>33</v>
      </c>
      <c r="AJ747" s="48" t="s">
        <v>33</v>
      </c>
      <c r="AK747" s="48" t="s">
        <v>33</v>
      </c>
      <c r="AL747" s="48" t="s">
        <v>34</v>
      </c>
      <c r="AN747" s="48">
        <v>0</v>
      </c>
      <c r="AO747" s="48">
        <v>0</v>
      </c>
      <c r="AP747" s="48">
        <v>0</v>
      </c>
      <c r="AQ747" s="48">
        <v>0</v>
      </c>
      <c r="AR747" s="48">
        <v>0</v>
      </c>
      <c r="AS747" s="48">
        <v>0</v>
      </c>
      <c r="AT747" s="48">
        <v>0</v>
      </c>
      <c r="AU747" s="48">
        <v>0</v>
      </c>
      <c r="AV747" s="48">
        <v>0</v>
      </c>
      <c r="AW747" s="48">
        <v>0</v>
      </c>
      <c r="AX747" s="48">
        <v>0</v>
      </c>
      <c r="AY747" s="48">
        <v>0</v>
      </c>
      <c r="AZ747" s="48">
        <v>0</v>
      </c>
      <c r="BA747" s="48">
        <v>0</v>
      </c>
      <c r="BB747" s="48">
        <v>0</v>
      </c>
    </row>
    <row r="748" spans="1:54" x14ac:dyDescent="0.35">
      <c r="A748" s="49">
        <v>45930</v>
      </c>
      <c r="B748" s="48">
        <v>1</v>
      </c>
      <c r="C748" s="50" t="s">
        <v>41</v>
      </c>
      <c r="D748" s="48" t="s">
        <v>31</v>
      </c>
      <c r="E748" s="48" t="s">
        <v>138</v>
      </c>
      <c r="F748" s="48" t="s">
        <v>139</v>
      </c>
      <c r="G748" s="49" t="s">
        <v>65</v>
      </c>
      <c r="H748" s="48" t="s">
        <v>65</v>
      </c>
      <c r="I748" s="48">
        <v>1</v>
      </c>
      <c r="J748" s="48">
        <v>44</v>
      </c>
      <c r="K748" s="48">
        <v>1</v>
      </c>
      <c r="N748" s="48">
        <v>0</v>
      </c>
      <c r="R748" s="49"/>
      <c r="S748" s="181">
        <v>0</v>
      </c>
      <c r="T748" s="49">
        <v>46234</v>
      </c>
      <c r="U748" s="49">
        <v>46234</v>
      </c>
      <c r="V748" s="49">
        <v>46234</v>
      </c>
      <c r="W748" s="49">
        <v>46234</v>
      </c>
      <c r="X748" s="48">
        <v>1</v>
      </c>
      <c r="Y748" s="48">
        <v>1</v>
      </c>
      <c r="Z748" s="48">
        <v>1</v>
      </c>
      <c r="AA748" s="156">
        <v>0</v>
      </c>
      <c r="AF748" s="48">
        <v>0</v>
      </c>
      <c r="AG748" s="49" t="s">
        <v>41</v>
      </c>
      <c r="AH748" s="48">
        <v>1</v>
      </c>
      <c r="AI748" s="48" t="s">
        <v>33</v>
      </c>
      <c r="AJ748" s="48" t="s">
        <v>33</v>
      </c>
      <c r="AK748" s="48" t="s">
        <v>33</v>
      </c>
      <c r="AL748" s="48" t="s">
        <v>34</v>
      </c>
      <c r="AN748" s="48">
        <v>0</v>
      </c>
      <c r="AO748" s="48">
        <v>0</v>
      </c>
      <c r="AP748" s="48">
        <v>0</v>
      </c>
      <c r="AQ748" s="48">
        <v>0</v>
      </c>
      <c r="AR748" s="48">
        <v>0</v>
      </c>
      <c r="AS748" s="48">
        <v>0</v>
      </c>
      <c r="AT748" s="48">
        <v>0</v>
      </c>
      <c r="AU748" s="48">
        <v>0</v>
      </c>
      <c r="AV748" s="48">
        <v>0</v>
      </c>
      <c r="AW748" s="48">
        <v>0</v>
      </c>
      <c r="AX748" s="48">
        <v>0</v>
      </c>
      <c r="AY748" s="48">
        <v>0</v>
      </c>
      <c r="AZ748" s="48">
        <v>0</v>
      </c>
      <c r="BA748" s="48">
        <v>0</v>
      </c>
      <c r="BB748" s="48">
        <v>0</v>
      </c>
    </row>
    <row r="749" spans="1:54" x14ac:dyDescent="0.35">
      <c r="A749" s="49">
        <v>45930</v>
      </c>
      <c r="B749" s="48">
        <v>1</v>
      </c>
      <c r="C749" s="50" t="s">
        <v>41</v>
      </c>
      <c r="D749" s="48" t="s">
        <v>31</v>
      </c>
      <c r="E749" s="48" t="s">
        <v>138</v>
      </c>
      <c r="F749" s="48" t="s">
        <v>139</v>
      </c>
      <c r="G749" s="49" t="s">
        <v>65</v>
      </c>
      <c r="H749" s="48" t="s">
        <v>65</v>
      </c>
      <c r="I749" s="48">
        <v>1</v>
      </c>
      <c r="J749" s="48">
        <v>45</v>
      </c>
      <c r="K749" s="48">
        <v>1</v>
      </c>
      <c r="N749" s="48">
        <v>0</v>
      </c>
      <c r="R749" s="49"/>
      <c r="S749" s="181">
        <v>0</v>
      </c>
      <c r="T749" s="49">
        <v>46265</v>
      </c>
      <c r="U749" s="49">
        <v>46265</v>
      </c>
      <c r="V749" s="49">
        <v>46265</v>
      </c>
      <c r="W749" s="49">
        <v>46265</v>
      </c>
      <c r="X749" s="48">
        <v>1</v>
      </c>
      <c r="Y749" s="48">
        <v>1</v>
      </c>
      <c r="Z749" s="48">
        <v>1</v>
      </c>
      <c r="AA749" s="156">
        <v>0</v>
      </c>
      <c r="AF749" s="48">
        <v>0</v>
      </c>
      <c r="AG749" s="49" t="s">
        <v>41</v>
      </c>
      <c r="AH749" s="48">
        <v>1</v>
      </c>
      <c r="AI749" s="48" t="s">
        <v>33</v>
      </c>
      <c r="AJ749" s="48" t="s">
        <v>33</v>
      </c>
      <c r="AK749" s="48" t="s">
        <v>33</v>
      </c>
      <c r="AL749" s="48" t="s">
        <v>34</v>
      </c>
      <c r="AN749" s="48">
        <v>0</v>
      </c>
      <c r="AO749" s="48">
        <v>0</v>
      </c>
      <c r="AP749" s="48">
        <v>0</v>
      </c>
      <c r="AQ749" s="48">
        <v>0</v>
      </c>
      <c r="AR749" s="48">
        <v>0</v>
      </c>
      <c r="AS749" s="48">
        <v>0</v>
      </c>
      <c r="AT749" s="48">
        <v>0</v>
      </c>
      <c r="AU749" s="48">
        <v>0</v>
      </c>
      <c r="AV749" s="48">
        <v>0</v>
      </c>
      <c r="AW749" s="48">
        <v>0</v>
      </c>
      <c r="AX749" s="48">
        <v>0</v>
      </c>
      <c r="AY749" s="48">
        <v>0</v>
      </c>
      <c r="AZ749" s="48">
        <v>0</v>
      </c>
      <c r="BA749" s="48">
        <v>0</v>
      </c>
      <c r="BB749" s="48">
        <v>0</v>
      </c>
    </row>
    <row r="750" spans="1:54" x14ac:dyDescent="0.35">
      <c r="A750" s="49">
        <v>45930</v>
      </c>
      <c r="B750" s="48">
        <v>1</v>
      </c>
      <c r="C750" s="50" t="s">
        <v>41</v>
      </c>
      <c r="D750" s="48" t="s">
        <v>31</v>
      </c>
      <c r="E750" s="48" t="s">
        <v>138</v>
      </c>
      <c r="F750" s="48" t="s">
        <v>139</v>
      </c>
      <c r="G750" s="49" t="s">
        <v>65</v>
      </c>
      <c r="H750" s="48" t="s">
        <v>65</v>
      </c>
      <c r="I750" s="48">
        <v>1</v>
      </c>
      <c r="J750" s="48">
        <v>46</v>
      </c>
      <c r="K750" s="48">
        <v>1</v>
      </c>
      <c r="N750" s="48">
        <v>0</v>
      </c>
      <c r="R750" s="49"/>
      <c r="S750" s="181">
        <v>0</v>
      </c>
      <c r="T750" s="49">
        <v>46295</v>
      </c>
      <c r="U750" s="49">
        <v>46295</v>
      </c>
      <c r="V750" s="49">
        <v>46295</v>
      </c>
      <c r="W750" s="49">
        <v>46295</v>
      </c>
      <c r="X750" s="48">
        <v>1</v>
      </c>
      <c r="Y750" s="48">
        <v>1</v>
      </c>
      <c r="Z750" s="48">
        <v>1</v>
      </c>
      <c r="AA750" s="156">
        <v>0</v>
      </c>
      <c r="AF750" s="48">
        <v>0</v>
      </c>
      <c r="AG750" s="49" t="s">
        <v>41</v>
      </c>
      <c r="AH750" s="48">
        <v>1</v>
      </c>
      <c r="AI750" s="48" t="s">
        <v>33</v>
      </c>
      <c r="AJ750" s="48" t="s">
        <v>33</v>
      </c>
      <c r="AK750" s="48" t="s">
        <v>33</v>
      </c>
      <c r="AL750" s="48" t="s">
        <v>34</v>
      </c>
      <c r="AN750" s="48">
        <v>0</v>
      </c>
      <c r="AO750" s="48">
        <v>0</v>
      </c>
      <c r="AP750" s="48">
        <v>0</v>
      </c>
      <c r="AQ750" s="48">
        <v>0</v>
      </c>
      <c r="AR750" s="48">
        <v>0</v>
      </c>
      <c r="AS750" s="48">
        <v>0</v>
      </c>
      <c r="AT750" s="48">
        <v>0</v>
      </c>
      <c r="AU750" s="48">
        <v>0</v>
      </c>
      <c r="AV750" s="48">
        <v>0</v>
      </c>
      <c r="AW750" s="48">
        <v>0</v>
      </c>
      <c r="AX750" s="48">
        <v>0</v>
      </c>
      <c r="AY750" s="48">
        <v>0</v>
      </c>
      <c r="AZ750" s="48">
        <v>0</v>
      </c>
      <c r="BA750" s="48">
        <v>0</v>
      </c>
      <c r="BB750" s="48">
        <v>0</v>
      </c>
    </row>
    <row r="751" spans="1:54" x14ac:dyDescent="0.35">
      <c r="A751" s="49">
        <v>45930</v>
      </c>
      <c r="B751" s="48">
        <v>1</v>
      </c>
      <c r="C751" s="50" t="s">
        <v>41</v>
      </c>
      <c r="D751" s="48" t="s">
        <v>31</v>
      </c>
      <c r="E751" s="48" t="s">
        <v>138</v>
      </c>
      <c r="F751" s="48" t="s">
        <v>139</v>
      </c>
      <c r="G751" s="49" t="s">
        <v>65</v>
      </c>
      <c r="H751" s="48" t="s">
        <v>65</v>
      </c>
      <c r="I751" s="48">
        <v>1</v>
      </c>
      <c r="J751" s="48">
        <v>47</v>
      </c>
      <c r="K751" s="48">
        <v>1</v>
      </c>
      <c r="N751" s="48">
        <v>0</v>
      </c>
      <c r="R751" s="49"/>
      <c r="S751" s="181">
        <v>0</v>
      </c>
      <c r="T751" s="49">
        <v>46326</v>
      </c>
      <c r="U751" s="49">
        <v>46326</v>
      </c>
      <c r="V751" s="49">
        <v>46326</v>
      </c>
      <c r="W751" s="49">
        <v>46326</v>
      </c>
      <c r="X751" s="48">
        <v>1</v>
      </c>
      <c r="Y751" s="48">
        <v>1</v>
      </c>
      <c r="Z751" s="48">
        <v>1</v>
      </c>
      <c r="AA751" s="156">
        <v>0</v>
      </c>
      <c r="AF751" s="48">
        <v>0</v>
      </c>
      <c r="AG751" s="49" t="s">
        <v>41</v>
      </c>
      <c r="AH751" s="48">
        <v>1</v>
      </c>
      <c r="AI751" s="48" t="s">
        <v>33</v>
      </c>
      <c r="AJ751" s="48" t="s">
        <v>33</v>
      </c>
      <c r="AK751" s="48" t="s">
        <v>33</v>
      </c>
      <c r="AL751" s="48" t="s">
        <v>34</v>
      </c>
      <c r="AN751" s="48">
        <v>0</v>
      </c>
      <c r="AO751" s="48">
        <v>0</v>
      </c>
      <c r="AP751" s="48">
        <v>0</v>
      </c>
      <c r="AQ751" s="48">
        <v>0</v>
      </c>
      <c r="AR751" s="48">
        <v>0</v>
      </c>
      <c r="AS751" s="48">
        <v>0</v>
      </c>
      <c r="AT751" s="48">
        <v>0</v>
      </c>
      <c r="AU751" s="48">
        <v>0</v>
      </c>
      <c r="AV751" s="48">
        <v>0</v>
      </c>
      <c r="AW751" s="48">
        <v>0</v>
      </c>
      <c r="AX751" s="48">
        <v>0</v>
      </c>
      <c r="AY751" s="48">
        <v>0</v>
      </c>
      <c r="AZ751" s="48">
        <v>0</v>
      </c>
      <c r="BA751" s="48">
        <v>0</v>
      </c>
      <c r="BB751" s="48">
        <v>0</v>
      </c>
    </row>
    <row r="752" spans="1:54" x14ac:dyDescent="0.35">
      <c r="A752" s="49">
        <v>45930</v>
      </c>
      <c r="B752" s="48">
        <v>1</v>
      </c>
      <c r="C752" s="50" t="s">
        <v>41</v>
      </c>
      <c r="D752" s="48" t="s">
        <v>31</v>
      </c>
      <c r="E752" s="48" t="s">
        <v>138</v>
      </c>
      <c r="F752" s="48" t="s">
        <v>139</v>
      </c>
      <c r="G752" s="49" t="s">
        <v>65</v>
      </c>
      <c r="H752" s="48" t="s">
        <v>65</v>
      </c>
      <c r="I752" s="48">
        <v>1</v>
      </c>
      <c r="J752" s="48">
        <v>48</v>
      </c>
      <c r="K752" s="48">
        <v>1</v>
      </c>
      <c r="N752" s="48">
        <v>0</v>
      </c>
      <c r="R752" s="49"/>
      <c r="S752" s="181">
        <v>0</v>
      </c>
      <c r="T752" s="49">
        <v>46356</v>
      </c>
      <c r="U752" s="49">
        <v>46356</v>
      </c>
      <c r="V752" s="49">
        <v>46356</v>
      </c>
      <c r="W752" s="49">
        <v>46356</v>
      </c>
      <c r="X752" s="48">
        <v>1</v>
      </c>
      <c r="Y752" s="48">
        <v>1</v>
      </c>
      <c r="Z752" s="48">
        <v>1</v>
      </c>
      <c r="AA752" s="156">
        <v>0</v>
      </c>
      <c r="AF752" s="48">
        <v>0</v>
      </c>
      <c r="AG752" s="49" t="s">
        <v>41</v>
      </c>
      <c r="AH752" s="48">
        <v>1</v>
      </c>
      <c r="AI752" s="48" t="s">
        <v>33</v>
      </c>
      <c r="AJ752" s="48" t="s">
        <v>33</v>
      </c>
      <c r="AK752" s="48" t="s">
        <v>33</v>
      </c>
      <c r="AL752" s="48" t="s">
        <v>34</v>
      </c>
      <c r="AN752" s="48">
        <v>0</v>
      </c>
      <c r="AO752" s="48">
        <v>0</v>
      </c>
      <c r="AP752" s="48">
        <v>0</v>
      </c>
      <c r="AQ752" s="48">
        <v>0</v>
      </c>
      <c r="AR752" s="48">
        <v>0</v>
      </c>
      <c r="AS752" s="48">
        <v>0</v>
      </c>
      <c r="AT752" s="48">
        <v>0</v>
      </c>
      <c r="AU752" s="48">
        <v>0</v>
      </c>
      <c r="AV752" s="48">
        <v>0</v>
      </c>
      <c r="AW752" s="48">
        <v>0</v>
      </c>
      <c r="AX752" s="48">
        <v>0</v>
      </c>
      <c r="AY752" s="48">
        <v>0</v>
      </c>
      <c r="AZ752" s="48">
        <v>0</v>
      </c>
      <c r="BA752" s="48">
        <v>0</v>
      </c>
      <c r="BB752" s="48">
        <v>0</v>
      </c>
    </row>
    <row r="753" spans="1:54" x14ac:dyDescent="0.35">
      <c r="A753" s="49">
        <v>45930</v>
      </c>
      <c r="B753" s="48">
        <v>1</v>
      </c>
      <c r="C753" s="50" t="s">
        <v>41</v>
      </c>
      <c r="D753" s="48" t="s">
        <v>31</v>
      </c>
      <c r="E753" s="48" t="s">
        <v>138</v>
      </c>
      <c r="F753" s="48" t="s">
        <v>139</v>
      </c>
      <c r="G753" s="49" t="s">
        <v>65</v>
      </c>
      <c r="H753" s="48" t="s">
        <v>65</v>
      </c>
      <c r="I753" s="48">
        <v>1</v>
      </c>
      <c r="J753" s="48">
        <v>49</v>
      </c>
      <c r="K753" s="48">
        <v>1</v>
      </c>
      <c r="N753" s="48">
        <v>0</v>
      </c>
      <c r="R753" s="49"/>
      <c r="S753" s="181">
        <v>0</v>
      </c>
      <c r="T753" s="49">
        <v>46387</v>
      </c>
      <c r="U753" s="49">
        <v>46387</v>
      </c>
      <c r="V753" s="49">
        <v>46387</v>
      </c>
      <c r="W753" s="49">
        <v>46387</v>
      </c>
      <c r="X753" s="48">
        <v>1</v>
      </c>
      <c r="Y753" s="48">
        <v>1</v>
      </c>
      <c r="Z753" s="48">
        <v>1</v>
      </c>
      <c r="AA753" s="156">
        <v>0</v>
      </c>
      <c r="AF753" s="48">
        <v>0</v>
      </c>
      <c r="AG753" s="49" t="s">
        <v>41</v>
      </c>
      <c r="AH753" s="48">
        <v>1</v>
      </c>
      <c r="AI753" s="48" t="s">
        <v>33</v>
      </c>
      <c r="AJ753" s="48" t="s">
        <v>33</v>
      </c>
      <c r="AK753" s="48" t="s">
        <v>33</v>
      </c>
      <c r="AL753" s="48" t="s">
        <v>34</v>
      </c>
      <c r="AN753" s="48">
        <v>0</v>
      </c>
      <c r="AO753" s="48">
        <v>0</v>
      </c>
      <c r="AP753" s="48">
        <v>0</v>
      </c>
      <c r="AQ753" s="48">
        <v>0</v>
      </c>
      <c r="AR753" s="48">
        <v>0</v>
      </c>
      <c r="AS753" s="48">
        <v>0</v>
      </c>
      <c r="AT753" s="48">
        <v>0</v>
      </c>
      <c r="AU753" s="48">
        <v>0</v>
      </c>
      <c r="AV753" s="48">
        <v>0</v>
      </c>
      <c r="AW753" s="48">
        <v>0</v>
      </c>
      <c r="AX753" s="48">
        <v>0</v>
      </c>
      <c r="AY753" s="48">
        <v>0</v>
      </c>
      <c r="AZ753" s="48">
        <v>0</v>
      </c>
      <c r="BA753" s="48">
        <v>0</v>
      </c>
      <c r="BB753" s="48">
        <v>0</v>
      </c>
    </row>
    <row r="754" spans="1:54" x14ac:dyDescent="0.35">
      <c r="A754" s="49">
        <v>45930</v>
      </c>
      <c r="B754" s="48">
        <v>1</v>
      </c>
      <c r="C754" s="50" t="s">
        <v>41</v>
      </c>
      <c r="D754" s="48" t="s">
        <v>31</v>
      </c>
      <c r="E754" s="48" t="s">
        <v>138</v>
      </c>
      <c r="F754" s="48" t="s">
        <v>139</v>
      </c>
      <c r="G754" s="49" t="s">
        <v>65</v>
      </c>
      <c r="H754" s="48" t="s">
        <v>65</v>
      </c>
      <c r="I754" s="48">
        <v>1</v>
      </c>
      <c r="J754" s="48">
        <v>50</v>
      </c>
      <c r="K754" s="48">
        <v>1</v>
      </c>
      <c r="N754" s="48">
        <v>0</v>
      </c>
      <c r="R754" s="49"/>
      <c r="S754" s="181">
        <v>0</v>
      </c>
      <c r="T754" s="49">
        <v>46418</v>
      </c>
      <c r="U754" s="49">
        <v>46418</v>
      </c>
      <c r="V754" s="49">
        <v>46418</v>
      </c>
      <c r="W754" s="49">
        <v>46418</v>
      </c>
      <c r="X754" s="48">
        <v>1</v>
      </c>
      <c r="Y754" s="48">
        <v>1</v>
      </c>
      <c r="Z754" s="48">
        <v>1</v>
      </c>
      <c r="AA754" s="156">
        <v>0</v>
      </c>
      <c r="AF754" s="48">
        <v>0</v>
      </c>
      <c r="AG754" s="49" t="s">
        <v>41</v>
      </c>
      <c r="AH754" s="48">
        <v>1</v>
      </c>
      <c r="AI754" s="48" t="s">
        <v>33</v>
      </c>
      <c r="AJ754" s="48" t="s">
        <v>33</v>
      </c>
      <c r="AK754" s="48" t="s">
        <v>33</v>
      </c>
      <c r="AL754" s="48" t="s">
        <v>34</v>
      </c>
      <c r="AN754" s="48">
        <v>0</v>
      </c>
      <c r="AO754" s="48">
        <v>0</v>
      </c>
      <c r="AP754" s="48">
        <v>0</v>
      </c>
      <c r="AQ754" s="48">
        <v>0</v>
      </c>
      <c r="AR754" s="48">
        <v>0</v>
      </c>
      <c r="AS754" s="48">
        <v>0</v>
      </c>
      <c r="AT754" s="48">
        <v>0</v>
      </c>
      <c r="AU754" s="48">
        <v>0</v>
      </c>
      <c r="AV754" s="48">
        <v>0</v>
      </c>
      <c r="AW754" s="48">
        <v>0</v>
      </c>
      <c r="AX754" s="48">
        <v>0</v>
      </c>
      <c r="AY754" s="48">
        <v>0</v>
      </c>
      <c r="AZ754" s="48">
        <v>0</v>
      </c>
      <c r="BA754" s="48">
        <v>0</v>
      </c>
      <c r="BB754" s="48">
        <v>0</v>
      </c>
    </row>
    <row r="755" spans="1:54" x14ac:dyDescent="0.35">
      <c r="A755" s="49">
        <v>45930</v>
      </c>
      <c r="B755" s="48">
        <v>1</v>
      </c>
      <c r="C755" s="50" t="s">
        <v>41</v>
      </c>
      <c r="D755" s="48" t="s">
        <v>31</v>
      </c>
      <c r="E755" s="48" t="s">
        <v>138</v>
      </c>
      <c r="F755" s="48" t="s">
        <v>139</v>
      </c>
      <c r="G755" s="49" t="s">
        <v>65</v>
      </c>
      <c r="H755" s="48" t="s">
        <v>65</v>
      </c>
      <c r="I755" s="48">
        <v>1</v>
      </c>
      <c r="J755" s="48">
        <v>51</v>
      </c>
      <c r="K755" s="48">
        <v>1</v>
      </c>
      <c r="N755" s="48">
        <v>0</v>
      </c>
      <c r="R755" s="49"/>
      <c r="S755" s="181">
        <v>0</v>
      </c>
      <c r="T755" s="49">
        <v>46446</v>
      </c>
      <c r="U755" s="49">
        <v>46446</v>
      </c>
      <c r="V755" s="49">
        <v>46446</v>
      </c>
      <c r="W755" s="49">
        <v>46446</v>
      </c>
      <c r="X755" s="48">
        <v>1</v>
      </c>
      <c r="Y755" s="48">
        <v>1</v>
      </c>
      <c r="Z755" s="48">
        <v>1</v>
      </c>
      <c r="AA755" s="156">
        <v>0</v>
      </c>
      <c r="AF755" s="48">
        <v>0</v>
      </c>
      <c r="AG755" s="49" t="s">
        <v>41</v>
      </c>
      <c r="AH755" s="48">
        <v>1</v>
      </c>
      <c r="AI755" s="48" t="s">
        <v>33</v>
      </c>
      <c r="AJ755" s="48" t="s">
        <v>33</v>
      </c>
      <c r="AK755" s="48" t="s">
        <v>33</v>
      </c>
      <c r="AL755" s="48" t="s">
        <v>34</v>
      </c>
      <c r="AN755" s="48">
        <v>0</v>
      </c>
      <c r="AO755" s="48">
        <v>0</v>
      </c>
      <c r="AP755" s="48">
        <v>0</v>
      </c>
      <c r="AQ755" s="48">
        <v>0</v>
      </c>
      <c r="AR755" s="48">
        <v>0</v>
      </c>
      <c r="AS755" s="48">
        <v>0</v>
      </c>
      <c r="AT755" s="48">
        <v>0</v>
      </c>
      <c r="AU755" s="48">
        <v>0</v>
      </c>
      <c r="AV755" s="48">
        <v>0</v>
      </c>
      <c r="AW755" s="48">
        <v>0</v>
      </c>
      <c r="AX755" s="48">
        <v>0</v>
      </c>
      <c r="AY755" s="48">
        <v>0</v>
      </c>
      <c r="AZ755" s="48">
        <v>0</v>
      </c>
      <c r="BA755" s="48">
        <v>0</v>
      </c>
      <c r="BB755" s="48">
        <v>0</v>
      </c>
    </row>
    <row r="756" spans="1:54" x14ac:dyDescent="0.35">
      <c r="A756" s="49">
        <v>45930</v>
      </c>
      <c r="B756" s="48">
        <v>1</v>
      </c>
      <c r="C756" s="50" t="s">
        <v>41</v>
      </c>
      <c r="D756" s="48" t="s">
        <v>31</v>
      </c>
      <c r="E756" s="48" t="s">
        <v>138</v>
      </c>
      <c r="F756" s="48" t="s">
        <v>139</v>
      </c>
      <c r="G756" s="49" t="s">
        <v>65</v>
      </c>
      <c r="H756" s="48" t="s">
        <v>65</v>
      </c>
      <c r="I756" s="48">
        <v>1</v>
      </c>
      <c r="J756" s="48">
        <v>52</v>
      </c>
      <c r="K756" s="48">
        <v>1</v>
      </c>
      <c r="N756" s="48">
        <v>0</v>
      </c>
      <c r="R756" s="49"/>
      <c r="S756" s="181">
        <v>0</v>
      </c>
      <c r="T756" s="49">
        <v>46477</v>
      </c>
      <c r="U756" s="49">
        <v>46477</v>
      </c>
      <c r="V756" s="49">
        <v>46477</v>
      </c>
      <c r="W756" s="49">
        <v>46477</v>
      </c>
      <c r="X756" s="48">
        <v>1</v>
      </c>
      <c r="Y756" s="48">
        <v>1</v>
      </c>
      <c r="Z756" s="48">
        <v>1</v>
      </c>
      <c r="AA756" s="156">
        <v>0</v>
      </c>
      <c r="AF756" s="48">
        <v>0</v>
      </c>
      <c r="AG756" s="49" t="s">
        <v>41</v>
      </c>
      <c r="AH756" s="48">
        <v>1</v>
      </c>
      <c r="AI756" s="48" t="s">
        <v>33</v>
      </c>
      <c r="AJ756" s="48" t="s">
        <v>33</v>
      </c>
      <c r="AK756" s="48" t="s">
        <v>33</v>
      </c>
      <c r="AL756" s="48" t="s">
        <v>34</v>
      </c>
      <c r="AN756" s="48">
        <v>0</v>
      </c>
      <c r="AO756" s="48">
        <v>0</v>
      </c>
      <c r="AP756" s="48">
        <v>0</v>
      </c>
      <c r="AQ756" s="48">
        <v>0</v>
      </c>
      <c r="AR756" s="48">
        <v>0</v>
      </c>
      <c r="AS756" s="48">
        <v>0</v>
      </c>
      <c r="AT756" s="48">
        <v>0</v>
      </c>
      <c r="AU756" s="48">
        <v>0</v>
      </c>
      <c r="AV756" s="48">
        <v>0</v>
      </c>
      <c r="AW756" s="48">
        <v>0</v>
      </c>
      <c r="AX756" s="48">
        <v>0</v>
      </c>
      <c r="AY756" s="48">
        <v>0</v>
      </c>
      <c r="AZ756" s="48">
        <v>0</v>
      </c>
      <c r="BA756" s="48">
        <v>0</v>
      </c>
      <c r="BB756" s="48">
        <v>0</v>
      </c>
    </row>
    <row r="757" spans="1:54" x14ac:dyDescent="0.35">
      <c r="A757" s="49">
        <v>45930</v>
      </c>
      <c r="B757" s="48">
        <v>1</v>
      </c>
      <c r="C757" s="50" t="s">
        <v>41</v>
      </c>
      <c r="D757" s="48" t="s">
        <v>31</v>
      </c>
      <c r="E757" s="48" t="s">
        <v>138</v>
      </c>
      <c r="F757" s="48" t="s">
        <v>139</v>
      </c>
      <c r="G757" s="49" t="s">
        <v>65</v>
      </c>
      <c r="H757" s="48" t="s">
        <v>65</v>
      </c>
      <c r="I757" s="48">
        <v>1</v>
      </c>
      <c r="J757" s="48">
        <v>53</v>
      </c>
      <c r="K757" s="48">
        <v>1</v>
      </c>
      <c r="N757" s="48">
        <v>0</v>
      </c>
      <c r="R757" s="49"/>
      <c r="S757" s="181">
        <v>0</v>
      </c>
      <c r="T757" s="49">
        <v>46507</v>
      </c>
      <c r="U757" s="49">
        <v>46507</v>
      </c>
      <c r="V757" s="49">
        <v>46507</v>
      </c>
      <c r="W757" s="49">
        <v>46507</v>
      </c>
      <c r="X757" s="48">
        <v>1</v>
      </c>
      <c r="Y757" s="48">
        <v>1</v>
      </c>
      <c r="Z757" s="48">
        <v>1</v>
      </c>
      <c r="AA757" s="156">
        <v>0</v>
      </c>
      <c r="AF757" s="48">
        <v>0</v>
      </c>
      <c r="AG757" s="49" t="s">
        <v>41</v>
      </c>
      <c r="AH757" s="48">
        <v>1</v>
      </c>
      <c r="AI757" s="48" t="s">
        <v>33</v>
      </c>
      <c r="AJ757" s="48" t="s">
        <v>33</v>
      </c>
      <c r="AK757" s="48" t="s">
        <v>33</v>
      </c>
      <c r="AL757" s="48" t="s">
        <v>34</v>
      </c>
      <c r="AN757" s="48">
        <v>0</v>
      </c>
      <c r="AO757" s="48">
        <v>0</v>
      </c>
      <c r="AP757" s="48">
        <v>0</v>
      </c>
      <c r="AQ757" s="48">
        <v>0</v>
      </c>
      <c r="AR757" s="48">
        <v>0</v>
      </c>
      <c r="AS757" s="48">
        <v>0</v>
      </c>
      <c r="AT757" s="48">
        <v>0</v>
      </c>
      <c r="AU757" s="48">
        <v>0</v>
      </c>
      <c r="AV757" s="48">
        <v>0</v>
      </c>
      <c r="AW757" s="48">
        <v>0</v>
      </c>
      <c r="AX757" s="48">
        <v>0</v>
      </c>
      <c r="AY757" s="48">
        <v>0</v>
      </c>
      <c r="AZ757" s="48">
        <v>0</v>
      </c>
      <c r="BA757" s="48">
        <v>0</v>
      </c>
      <c r="BB757" s="48">
        <v>0</v>
      </c>
    </row>
    <row r="758" spans="1:54" x14ac:dyDescent="0.35">
      <c r="A758" s="49">
        <v>45930</v>
      </c>
      <c r="B758" s="48">
        <v>1</v>
      </c>
      <c r="C758" s="50" t="s">
        <v>41</v>
      </c>
      <c r="D758" s="48" t="s">
        <v>31</v>
      </c>
      <c r="E758" s="48" t="s">
        <v>138</v>
      </c>
      <c r="F758" s="48" t="s">
        <v>139</v>
      </c>
      <c r="G758" s="49" t="s">
        <v>65</v>
      </c>
      <c r="H758" s="48" t="s">
        <v>65</v>
      </c>
      <c r="I758" s="48">
        <v>1</v>
      </c>
      <c r="J758" s="48">
        <v>54</v>
      </c>
      <c r="K758" s="48">
        <v>1</v>
      </c>
      <c r="N758" s="48">
        <v>0</v>
      </c>
      <c r="R758" s="49"/>
      <c r="S758" s="181">
        <v>0</v>
      </c>
      <c r="T758" s="49">
        <v>46538</v>
      </c>
      <c r="U758" s="49">
        <v>46538</v>
      </c>
      <c r="V758" s="49">
        <v>46538</v>
      </c>
      <c r="W758" s="49">
        <v>46538</v>
      </c>
      <c r="X758" s="48">
        <v>1</v>
      </c>
      <c r="Y758" s="48">
        <v>1</v>
      </c>
      <c r="Z758" s="48">
        <v>1</v>
      </c>
      <c r="AA758" s="156">
        <v>0</v>
      </c>
      <c r="AF758" s="48">
        <v>0</v>
      </c>
      <c r="AG758" s="49" t="s">
        <v>41</v>
      </c>
      <c r="AH758" s="48">
        <v>1</v>
      </c>
      <c r="AI758" s="48" t="s">
        <v>33</v>
      </c>
      <c r="AJ758" s="48" t="s">
        <v>33</v>
      </c>
      <c r="AK758" s="48" t="s">
        <v>33</v>
      </c>
      <c r="AL758" s="48" t="s">
        <v>34</v>
      </c>
      <c r="AN758" s="48">
        <v>0</v>
      </c>
      <c r="AO758" s="48">
        <v>0</v>
      </c>
      <c r="AP758" s="48">
        <v>0</v>
      </c>
      <c r="AQ758" s="48">
        <v>0</v>
      </c>
      <c r="AR758" s="48">
        <v>0</v>
      </c>
      <c r="AS758" s="48">
        <v>0</v>
      </c>
      <c r="AT758" s="48">
        <v>0</v>
      </c>
      <c r="AU758" s="48">
        <v>0</v>
      </c>
      <c r="AV758" s="48">
        <v>0</v>
      </c>
      <c r="AW758" s="48">
        <v>0</v>
      </c>
      <c r="AX758" s="48">
        <v>0</v>
      </c>
      <c r="AY758" s="48">
        <v>0</v>
      </c>
      <c r="AZ758" s="48">
        <v>0</v>
      </c>
      <c r="BA758" s="48">
        <v>0</v>
      </c>
      <c r="BB758" s="48">
        <v>0</v>
      </c>
    </row>
    <row r="759" spans="1:54" x14ac:dyDescent="0.35">
      <c r="A759" s="49">
        <v>45930</v>
      </c>
      <c r="B759" s="48">
        <v>1</v>
      </c>
      <c r="C759" s="50" t="s">
        <v>41</v>
      </c>
      <c r="D759" s="48" t="s">
        <v>31</v>
      </c>
      <c r="E759" s="48" t="s">
        <v>138</v>
      </c>
      <c r="F759" s="48" t="s">
        <v>139</v>
      </c>
      <c r="G759" s="49" t="s">
        <v>65</v>
      </c>
      <c r="H759" s="48" t="s">
        <v>65</v>
      </c>
      <c r="I759" s="48">
        <v>1</v>
      </c>
      <c r="J759" s="48">
        <v>55</v>
      </c>
      <c r="K759" s="48">
        <v>1</v>
      </c>
      <c r="N759" s="48">
        <v>0</v>
      </c>
      <c r="R759" s="49"/>
      <c r="S759" s="181">
        <v>0</v>
      </c>
      <c r="T759" s="49">
        <v>46568</v>
      </c>
      <c r="U759" s="49">
        <v>46568</v>
      </c>
      <c r="V759" s="49">
        <v>46568</v>
      </c>
      <c r="W759" s="49">
        <v>46568</v>
      </c>
      <c r="X759" s="48">
        <v>1</v>
      </c>
      <c r="Y759" s="48">
        <v>1</v>
      </c>
      <c r="Z759" s="48">
        <v>1</v>
      </c>
      <c r="AA759" s="156">
        <v>0</v>
      </c>
      <c r="AF759" s="48">
        <v>0</v>
      </c>
      <c r="AG759" s="49" t="s">
        <v>41</v>
      </c>
      <c r="AH759" s="48">
        <v>1</v>
      </c>
      <c r="AI759" s="48" t="s">
        <v>33</v>
      </c>
      <c r="AJ759" s="48" t="s">
        <v>33</v>
      </c>
      <c r="AK759" s="48" t="s">
        <v>33</v>
      </c>
      <c r="AL759" s="48" t="s">
        <v>34</v>
      </c>
      <c r="AN759" s="48">
        <v>0</v>
      </c>
      <c r="AO759" s="48">
        <v>0</v>
      </c>
      <c r="AP759" s="48">
        <v>0</v>
      </c>
      <c r="AQ759" s="48">
        <v>0</v>
      </c>
      <c r="AR759" s="48">
        <v>0</v>
      </c>
      <c r="AS759" s="48">
        <v>0</v>
      </c>
      <c r="AT759" s="48">
        <v>0</v>
      </c>
      <c r="AU759" s="48">
        <v>0</v>
      </c>
      <c r="AV759" s="48">
        <v>0</v>
      </c>
      <c r="AW759" s="48">
        <v>0</v>
      </c>
      <c r="AX759" s="48">
        <v>0</v>
      </c>
      <c r="AY759" s="48">
        <v>0</v>
      </c>
      <c r="AZ759" s="48">
        <v>0</v>
      </c>
      <c r="BA759" s="48">
        <v>0</v>
      </c>
      <c r="BB759" s="48">
        <v>0</v>
      </c>
    </row>
    <row r="760" spans="1:54" x14ac:dyDescent="0.35">
      <c r="A760" s="49">
        <v>45930</v>
      </c>
      <c r="B760" s="48">
        <v>1</v>
      </c>
      <c r="C760" s="50" t="s">
        <v>41</v>
      </c>
      <c r="D760" s="48" t="s">
        <v>31</v>
      </c>
      <c r="E760" s="48" t="s">
        <v>138</v>
      </c>
      <c r="F760" s="48" t="s">
        <v>139</v>
      </c>
      <c r="G760" s="49" t="s">
        <v>65</v>
      </c>
      <c r="H760" s="48" t="s">
        <v>65</v>
      </c>
      <c r="I760" s="48">
        <v>1</v>
      </c>
      <c r="J760" s="48">
        <v>56</v>
      </c>
      <c r="K760" s="48">
        <v>1</v>
      </c>
      <c r="N760" s="48">
        <v>0</v>
      </c>
      <c r="R760" s="49"/>
      <c r="S760" s="181">
        <v>0</v>
      </c>
      <c r="T760" s="49">
        <v>46599</v>
      </c>
      <c r="U760" s="49">
        <v>46599</v>
      </c>
      <c r="V760" s="49">
        <v>46599</v>
      </c>
      <c r="W760" s="49">
        <v>46599</v>
      </c>
      <c r="X760" s="48">
        <v>1</v>
      </c>
      <c r="Y760" s="48">
        <v>1</v>
      </c>
      <c r="Z760" s="48">
        <v>1</v>
      </c>
      <c r="AA760" s="156">
        <v>0</v>
      </c>
      <c r="AF760" s="48">
        <v>0</v>
      </c>
      <c r="AG760" s="49" t="s">
        <v>41</v>
      </c>
      <c r="AH760" s="48">
        <v>1</v>
      </c>
      <c r="AI760" s="48" t="s">
        <v>33</v>
      </c>
      <c r="AJ760" s="48" t="s">
        <v>33</v>
      </c>
      <c r="AK760" s="48" t="s">
        <v>33</v>
      </c>
      <c r="AL760" s="48" t="s">
        <v>34</v>
      </c>
      <c r="AN760" s="48">
        <v>0</v>
      </c>
      <c r="AO760" s="48">
        <v>0</v>
      </c>
      <c r="AP760" s="48">
        <v>0</v>
      </c>
      <c r="AQ760" s="48">
        <v>0</v>
      </c>
      <c r="AR760" s="48">
        <v>0</v>
      </c>
      <c r="AS760" s="48">
        <v>0</v>
      </c>
      <c r="AT760" s="48">
        <v>0</v>
      </c>
      <c r="AU760" s="48">
        <v>0</v>
      </c>
      <c r="AV760" s="48">
        <v>0</v>
      </c>
      <c r="AW760" s="48">
        <v>0</v>
      </c>
      <c r="AX760" s="48">
        <v>0</v>
      </c>
      <c r="AY760" s="48">
        <v>0</v>
      </c>
      <c r="AZ760" s="48">
        <v>0</v>
      </c>
      <c r="BA760" s="48">
        <v>0</v>
      </c>
      <c r="BB760" s="48">
        <v>0</v>
      </c>
    </row>
    <row r="761" spans="1:54" x14ac:dyDescent="0.35">
      <c r="A761" s="49">
        <v>45930</v>
      </c>
      <c r="B761" s="48">
        <v>1</v>
      </c>
      <c r="C761" s="50" t="s">
        <v>41</v>
      </c>
      <c r="D761" s="48" t="s">
        <v>31</v>
      </c>
      <c r="E761" s="48" t="s">
        <v>138</v>
      </c>
      <c r="F761" s="48" t="s">
        <v>139</v>
      </c>
      <c r="G761" s="49" t="s">
        <v>65</v>
      </c>
      <c r="H761" s="48" t="s">
        <v>65</v>
      </c>
      <c r="I761" s="48">
        <v>1</v>
      </c>
      <c r="J761" s="48">
        <v>57</v>
      </c>
      <c r="K761" s="48">
        <v>1</v>
      </c>
      <c r="N761" s="48">
        <v>0</v>
      </c>
      <c r="R761" s="49"/>
      <c r="S761" s="181">
        <v>0</v>
      </c>
      <c r="T761" s="49">
        <v>46630</v>
      </c>
      <c r="U761" s="49">
        <v>46630</v>
      </c>
      <c r="V761" s="49">
        <v>46630</v>
      </c>
      <c r="W761" s="49">
        <v>46630</v>
      </c>
      <c r="X761" s="48">
        <v>1</v>
      </c>
      <c r="Y761" s="48">
        <v>1</v>
      </c>
      <c r="Z761" s="48">
        <v>1</v>
      </c>
      <c r="AA761" s="156">
        <v>0</v>
      </c>
      <c r="AF761" s="48">
        <v>0</v>
      </c>
      <c r="AG761" s="49" t="s">
        <v>41</v>
      </c>
      <c r="AH761" s="48">
        <v>1</v>
      </c>
      <c r="AI761" s="48" t="s">
        <v>33</v>
      </c>
      <c r="AJ761" s="48" t="s">
        <v>33</v>
      </c>
      <c r="AK761" s="48" t="s">
        <v>33</v>
      </c>
      <c r="AL761" s="48" t="s">
        <v>34</v>
      </c>
      <c r="AN761" s="48">
        <v>0</v>
      </c>
      <c r="AO761" s="48">
        <v>0</v>
      </c>
      <c r="AP761" s="48">
        <v>0</v>
      </c>
      <c r="AQ761" s="48">
        <v>0</v>
      </c>
      <c r="AR761" s="48">
        <v>0</v>
      </c>
      <c r="AS761" s="48">
        <v>0</v>
      </c>
      <c r="AT761" s="48">
        <v>0</v>
      </c>
      <c r="AU761" s="48">
        <v>0</v>
      </c>
      <c r="AV761" s="48">
        <v>0</v>
      </c>
      <c r="AW761" s="48">
        <v>0</v>
      </c>
      <c r="AX761" s="48">
        <v>0</v>
      </c>
      <c r="AY761" s="48">
        <v>0</v>
      </c>
      <c r="AZ761" s="48">
        <v>0</v>
      </c>
      <c r="BA761" s="48">
        <v>0</v>
      </c>
      <c r="BB761" s="48">
        <v>0</v>
      </c>
    </row>
    <row r="762" spans="1:54" x14ac:dyDescent="0.35">
      <c r="A762" s="49">
        <v>45930</v>
      </c>
      <c r="B762" s="48">
        <v>1</v>
      </c>
      <c r="C762" s="50" t="s">
        <v>41</v>
      </c>
      <c r="D762" s="48" t="s">
        <v>31</v>
      </c>
      <c r="E762" s="48" t="s">
        <v>138</v>
      </c>
      <c r="F762" s="48" t="s">
        <v>139</v>
      </c>
      <c r="G762" s="49" t="s">
        <v>65</v>
      </c>
      <c r="H762" s="48" t="s">
        <v>65</v>
      </c>
      <c r="I762" s="48">
        <v>1</v>
      </c>
      <c r="J762" s="48">
        <v>58</v>
      </c>
      <c r="K762" s="48">
        <v>1</v>
      </c>
      <c r="N762" s="48">
        <v>0</v>
      </c>
      <c r="R762" s="49"/>
      <c r="S762" s="181">
        <v>0</v>
      </c>
      <c r="T762" s="49">
        <v>46660</v>
      </c>
      <c r="U762" s="49">
        <v>46660</v>
      </c>
      <c r="V762" s="49">
        <v>46660</v>
      </c>
      <c r="W762" s="49">
        <v>46660</v>
      </c>
      <c r="X762" s="48">
        <v>1</v>
      </c>
      <c r="Y762" s="48">
        <v>1</v>
      </c>
      <c r="Z762" s="48">
        <v>1</v>
      </c>
      <c r="AA762" s="156">
        <v>0</v>
      </c>
      <c r="AF762" s="48">
        <v>0</v>
      </c>
      <c r="AG762" s="49" t="s">
        <v>41</v>
      </c>
      <c r="AH762" s="48">
        <v>1</v>
      </c>
      <c r="AI762" s="48" t="s">
        <v>33</v>
      </c>
      <c r="AJ762" s="48" t="s">
        <v>33</v>
      </c>
      <c r="AK762" s="48" t="s">
        <v>33</v>
      </c>
      <c r="AL762" s="48" t="s">
        <v>34</v>
      </c>
      <c r="AN762" s="48">
        <v>0</v>
      </c>
      <c r="AO762" s="48">
        <v>0</v>
      </c>
      <c r="AP762" s="48">
        <v>0</v>
      </c>
      <c r="AQ762" s="48">
        <v>0</v>
      </c>
      <c r="AR762" s="48">
        <v>0</v>
      </c>
      <c r="AS762" s="48">
        <v>0</v>
      </c>
      <c r="AT762" s="48">
        <v>0</v>
      </c>
      <c r="AU762" s="48">
        <v>0</v>
      </c>
      <c r="AV762" s="48">
        <v>0</v>
      </c>
      <c r="AW762" s="48">
        <v>0</v>
      </c>
      <c r="AX762" s="48">
        <v>0</v>
      </c>
      <c r="AY762" s="48">
        <v>0</v>
      </c>
      <c r="AZ762" s="48">
        <v>0</v>
      </c>
      <c r="BA762" s="48">
        <v>0</v>
      </c>
      <c r="BB762" s="48">
        <v>0</v>
      </c>
    </row>
    <row r="763" spans="1:54" x14ac:dyDescent="0.35">
      <c r="A763" s="49">
        <v>45930</v>
      </c>
      <c r="B763" s="48">
        <v>1</v>
      </c>
      <c r="C763" s="50" t="s">
        <v>41</v>
      </c>
      <c r="D763" s="48" t="s">
        <v>31</v>
      </c>
      <c r="E763" s="48" t="s">
        <v>138</v>
      </c>
      <c r="F763" s="48" t="s">
        <v>139</v>
      </c>
      <c r="G763" s="49" t="s">
        <v>65</v>
      </c>
      <c r="H763" s="48" t="s">
        <v>65</v>
      </c>
      <c r="I763" s="48">
        <v>1</v>
      </c>
      <c r="J763" s="48">
        <v>59</v>
      </c>
      <c r="K763" s="48">
        <v>1</v>
      </c>
      <c r="N763" s="48">
        <v>0</v>
      </c>
      <c r="R763" s="49"/>
      <c r="S763" s="181">
        <v>0</v>
      </c>
      <c r="T763" s="49">
        <v>46691</v>
      </c>
      <c r="U763" s="49">
        <v>46691</v>
      </c>
      <c r="V763" s="49">
        <v>46691</v>
      </c>
      <c r="W763" s="49">
        <v>46691</v>
      </c>
      <c r="X763" s="48">
        <v>1</v>
      </c>
      <c r="Y763" s="48">
        <v>1</v>
      </c>
      <c r="Z763" s="48">
        <v>1</v>
      </c>
      <c r="AA763" s="156">
        <v>0</v>
      </c>
      <c r="AF763" s="48">
        <v>0</v>
      </c>
      <c r="AG763" s="49" t="s">
        <v>41</v>
      </c>
      <c r="AH763" s="48">
        <v>1</v>
      </c>
      <c r="AI763" s="48" t="s">
        <v>33</v>
      </c>
      <c r="AJ763" s="48" t="s">
        <v>33</v>
      </c>
      <c r="AK763" s="48" t="s">
        <v>33</v>
      </c>
      <c r="AL763" s="48" t="s">
        <v>34</v>
      </c>
      <c r="AN763" s="48">
        <v>0</v>
      </c>
      <c r="AO763" s="48">
        <v>0</v>
      </c>
      <c r="AP763" s="48">
        <v>0</v>
      </c>
      <c r="AQ763" s="48">
        <v>0</v>
      </c>
      <c r="AR763" s="48">
        <v>0</v>
      </c>
      <c r="AS763" s="48">
        <v>0</v>
      </c>
      <c r="AT763" s="48">
        <v>0</v>
      </c>
      <c r="AU763" s="48">
        <v>0</v>
      </c>
      <c r="AV763" s="48">
        <v>0</v>
      </c>
      <c r="AW763" s="48">
        <v>0</v>
      </c>
      <c r="AX763" s="48">
        <v>0</v>
      </c>
      <c r="AY763" s="48">
        <v>0</v>
      </c>
      <c r="AZ763" s="48">
        <v>0</v>
      </c>
      <c r="BA763" s="48">
        <v>0</v>
      </c>
      <c r="BB763" s="48">
        <v>0</v>
      </c>
    </row>
    <row r="764" spans="1:54" x14ac:dyDescent="0.35">
      <c r="A764" s="49">
        <v>45930</v>
      </c>
      <c r="B764" s="48">
        <v>1</v>
      </c>
      <c r="C764" s="50" t="s">
        <v>41</v>
      </c>
      <c r="D764" s="48" t="s">
        <v>31</v>
      </c>
      <c r="E764" s="48" t="s">
        <v>138</v>
      </c>
      <c r="F764" s="48" t="s">
        <v>139</v>
      </c>
      <c r="G764" s="49" t="s">
        <v>65</v>
      </c>
      <c r="H764" s="48" t="s">
        <v>65</v>
      </c>
      <c r="I764" s="48">
        <v>1</v>
      </c>
      <c r="J764" s="48">
        <v>60</v>
      </c>
      <c r="K764" s="48">
        <v>1</v>
      </c>
      <c r="N764" s="48">
        <v>0</v>
      </c>
      <c r="R764" s="49"/>
      <c r="S764" s="181">
        <v>0</v>
      </c>
      <c r="T764" s="49">
        <v>46721</v>
      </c>
      <c r="U764" s="49">
        <v>46721</v>
      </c>
      <c r="V764" s="49">
        <v>46721</v>
      </c>
      <c r="W764" s="49">
        <v>46721</v>
      </c>
      <c r="X764" s="48">
        <v>1</v>
      </c>
      <c r="Y764" s="48">
        <v>1</v>
      </c>
      <c r="Z764" s="48">
        <v>1</v>
      </c>
      <c r="AA764" s="156">
        <v>0</v>
      </c>
      <c r="AF764" s="48">
        <v>0</v>
      </c>
      <c r="AG764" s="49" t="s">
        <v>41</v>
      </c>
      <c r="AH764" s="48">
        <v>1</v>
      </c>
      <c r="AI764" s="48" t="s">
        <v>33</v>
      </c>
      <c r="AJ764" s="48" t="s">
        <v>33</v>
      </c>
      <c r="AK764" s="48" t="s">
        <v>33</v>
      </c>
      <c r="AL764" s="48" t="s">
        <v>34</v>
      </c>
      <c r="AN764" s="48">
        <v>0</v>
      </c>
      <c r="AO764" s="48">
        <v>0</v>
      </c>
      <c r="AP764" s="48">
        <v>0</v>
      </c>
      <c r="AQ764" s="48">
        <v>0</v>
      </c>
      <c r="AR764" s="48">
        <v>0</v>
      </c>
      <c r="AS764" s="48">
        <v>0</v>
      </c>
      <c r="AT764" s="48">
        <v>0</v>
      </c>
      <c r="AU764" s="48">
        <v>0</v>
      </c>
      <c r="AV764" s="48">
        <v>0</v>
      </c>
      <c r="AW764" s="48">
        <v>0</v>
      </c>
      <c r="AX764" s="48">
        <v>0</v>
      </c>
      <c r="AY764" s="48">
        <v>0</v>
      </c>
      <c r="AZ764" s="48">
        <v>0</v>
      </c>
      <c r="BA764" s="48">
        <v>0</v>
      </c>
      <c r="BB764" s="48">
        <v>0</v>
      </c>
    </row>
    <row r="765" spans="1:54" x14ac:dyDescent="0.35">
      <c r="A765" s="49">
        <v>45930</v>
      </c>
      <c r="B765" s="48">
        <v>1</v>
      </c>
      <c r="C765" s="50" t="s">
        <v>41</v>
      </c>
      <c r="D765" s="48" t="s">
        <v>31</v>
      </c>
      <c r="E765" s="48" t="s">
        <v>138</v>
      </c>
      <c r="F765" s="48" t="s">
        <v>139</v>
      </c>
      <c r="G765" s="49" t="s">
        <v>65</v>
      </c>
      <c r="H765" s="48" t="s">
        <v>65</v>
      </c>
      <c r="I765" s="48">
        <v>1</v>
      </c>
      <c r="K765" s="48">
        <v>1</v>
      </c>
      <c r="N765" s="48">
        <v>0</v>
      </c>
      <c r="R765" s="49"/>
      <c r="S765" s="49"/>
      <c r="T765" s="49">
        <v>45931</v>
      </c>
      <c r="U765" s="49">
        <v>45931</v>
      </c>
      <c r="V765" s="49">
        <v>45931</v>
      </c>
      <c r="W765" s="49">
        <v>45931</v>
      </c>
      <c r="X765" s="48">
        <v>1</v>
      </c>
      <c r="Y765" s="48">
        <v>1</v>
      </c>
      <c r="Z765" s="48">
        <v>1</v>
      </c>
      <c r="AA765" s="156">
        <v>44791986461</v>
      </c>
      <c r="AF765" s="48">
        <v>0</v>
      </c>
      <c r="AG765" s="49" t="s">
        <v>41</v>
      </c>
      <c r="AH765" s="48">
        <v>1</v>
      </c>
      <c r="AI765" s="48" t="s">
        <v>33</v>
      </c>
      <c r="AJ765" s="48" t="s">
        <v>33</v>
      </c>
      <c r="AK765" s="48" t="s">
        <v>33</v>
      </c>
      <c r="AL765" s="48" t="s">
        <v>34</v>
      </c>
      <c r="AN765" s="48">
        <v>0</v>
      </c>
      <c r="AO765" s="48">
        <v>0</v>
      </c>
      <c r="AP765" s="48">
        <v>0</v>
      </c>
      <c r="AQ765" s="48">
        <v>0</v>
      </c>
      <c r="AR765" s="48">
        <v>0</v>
      </c>
      <c r="AS765" s="48">
        <v>0</v>
      </c>
      <c r="AT765" s="48">
        <v>0</v>
      </c>
      <c r="AU765" s="48">
        <v>0</v>
      </c>
      <c r="AV765" s="48">
        <v>0</v>
      </c>
      <c r="AW765" s="48">
        <v>0</v>
      </c>
      <c r="AX765" s="48">
        <v>0</v>
      </c>
      <c r="AY765" s="48">
        <v>0</v>
      </c>
      <c r="AZ765" s="48">
        <v>0</v>
      </c>
      <c r="BA765" s="48">
        <v>0</v>
      </c>
      <c r="BB765" s="48">
        <v>0</v>
      </c>
    </row>
    <row r="766" spans="1:54" x14ac:dyDescent="0.35">
      <c r="A766" s="49">
        <v>45930</v>
      </c>
      <c r="B766" s="48">
        <v>1</v>
      </c>
      <c r="C766" s="50" t="s">
        <v>41</v>
      </c>
      <c r="D766" s="48" t="s">
        <v>31</v>
      </c>
      <c r="E766" s="48" t="s">
        <v>138</v>
      </c>
      <c r="F766" s="48" t="s">
        <v>139</v>
      </c>
      <c r="G766" s="49" t="s">
        <v>65</v>
      </c>
      <c r="H766" s="48" t="s">
        <v>65</v>
      </c>
      <c r="I766" s="48">
        <v>1</v>
      </c>
      <c r="J766" s="48">
        <v>1</v>
      </c>
      <c r="K766" s="48">
        <v>1</v>
      </c>
      <c r="N766" s="48">
        <v>0</v>
      </c>
      <c r="R766" s="49"/>
      <c r="S766" s="181">
        <v>0</v>
      </c>
      <c r="T766" s="49">
        <v>45961</v>
      </c>
      <c r="U766" s="49">
        <v>45961</v>
      </c>
      <c r="V766" s="49">
        <v>45961</v>
      </c>
      <c r="W766" s="49">
        <v>45961</v>
      </c>
      <c r="X766" s="48">
        <v>1</v>
      </c>
      <c r="Y766" s="48">
        <v>1</v>
      </c>
      <c r="Z766" s="48">
        <v>1</v>
      </c>
      <c r="AA766" s="156">
        <v>3833994024.2763772</v>
      </c>
      <c r="AF766" s="48">
        <v>0</v>
      </c>
      <c r="AG766" s="49" t="s">
        <v>41</v>
      </c>
      <c r="AH766" s="48">
        <v>1</v>
      </c>
      <c r="AI766" s="48" t="s">
        <v>33</v>
      </c>
      <c r="AJ766" s="48" t="s">
        <v>33</v>
      </c>
      <c r="AK766" s="48" t="s">
        <v>33</v>
      </c>
      <c r="AL766" s="48" t="s">
        <v>34</v>
      </c>
      <c r="AN766" s="48">
        <v>0</v>
      </c>
      <c r="AO766" s="48">
        <v>0</v>
      </c>
      <c r="AP766" s="48">
        <v>0</v>
      </c>
      <c r="AQ766" s="48">
        <v>0</v>
      </c>
      <c r="AR766" s="48">
        <v>0</v>
      </c>
      <c r="AS766" s="48">
        <v>0</v>
      </c>
      <c r="AT766" s="48">
        <v>0</v>
      </c>
      <c r="AU766" s="48">
        <v>0</v>
      </c>
      <c r="AV766" s="48">
        <v>0</v>
      </c>
      <c r="AW766" s="48">
        <v>0</v>
      </c>
      <c r="AX766" s="48">
        <v>0</v>
      </c>
      <c r="AY766" s="48">
        <v>0</v>
      </c>
      <c r="AZ766" s="48">
        <v>0</v>
      </c>
      <c r="BA766" s="48">
        <v>0</v>
      </c>
      <c r="BB766" s="48">
        <v>0</v>
      </c>
    </row>
    <row r="767" spans="1:54" x14ac:dyDescent="0.35">
      <c r="A767" s="49">
        <v>45930</v>
      </c>
      <c r="B767" s="48">
        <v>1</v>
      </c>
      <c r="C767" s="50" t="s">
        <v>41</v>
      </c>
      <c r="D767" s="48" t="s">
        <v>31</v>
      </c>
      <c r="E767" s="48" t="s">
        <v>138</v>
      </c>
      <c r="F767" s="48" t="s">
        <v>139</v>
      </c>
      <c r="G767" s="49" t="s">
        <v>65</v>
      </c>
      <c r="H767" s="48" t="s">
        <v>65</v>
      </c>
      <c r="I767" s="48">
        <v>1</v>
      </c>
      <c r="J767" s="48">
        <v>2</v>
      </c>
      <c r="K767" s="48">
        <v>1</v>
      </c>
      <c r="N767" s="48">
        <v>0</v>
      </c>
      <c r="R767" s="49"/>
      <c r="S767" s="181">
        <v>0</v>
      </c>
      <c r="T767" s="49">
        <v>45991</v>
      </c>
      <c r="U767" s="49">
        <v>45991</v>
      </c>
      <c r="V767" s="49">
        <v>45991</v>
      </c>
      <c r="W767" s="49">
        <v>45991</v>
      </c>
      <c r="X767" s="48">
        <v>1</v>
      </c>
      <c r="Y767" s="48">
        <v>1</v>
      </c>
      <c r="Z767" s="48">
        <v>1</v>
      </c>
      <c r="AA767" s="156">
        <v>3833994024.2763772</v>
      </c>
      <c r="AF767" s="48">
        <v>0</v>
      </c>
      <c r="AG767" s="49" t="s">
        <v>41</v>
      </c>
      <c r="AH767" s="48">
        <v>1</v>
      </c>
      <c r="AI767" s="48" t="s">
        <v>33</v>
      </c>
      <c r="AJ767" s="48" t="s">
        <v>33</v>
      </c>
      <c r="AK767" s="48" t="s">
        <v>33</v>
      </c>
      <c r="AL767" s="48" t="s">
        <v>34</v>
      </c>
      <c r="AN767" s="48">
        <v>0</v>
      </c>
      <c r="AO767" s="48">
        <v>0</v>
      </c>
      <c r="AP767" s="48">
        <v>0</v>
      </c>
      <c r="AQ767" s="48">
        <v>0</v>
      </c>
      <c r="AR767" s="48">
        <v>0</v>
      </c>
      <c r="AS767" s="48">
        <v>0</v>
      </c>
      <c r="AT767" s="48">
        <v>0</v>
      </c>
      <c r="AU767" s="48">
        <v>0</v>
      </c>
      <c r="AV767" s="48">
        <v>0</v>
      </c>
      <c r="AW767" s="48">
        <v>0</v>
      </c>
      <c r="AX767" s="48">
        <v>0</v>
      </c>
      <c r="AY767" s="48">
        <v>0</v>
      </c>
      <c r="AZ767" s="48">
        <v>0</v>
      </c>
      <c r="BA767" s="48">
        <v>0</v>
      </c>
      <c r="BB767" s="48">
        <v>0</v>
      </c>
    </row>
    <row r="768" spans="1:54" x14ac:dyDescent="0.35">
      <c r="A768" s="49">
        <v>45930</v>
      </c>
      <c r="B768" s="48">
        <v>1</v>
      </c>
      <c r="C768" s="50" t="s">
        <v>41</v>
      </c>
      <c r="D768" s="48" t="s">
        <v>31</v>
      </c>
      <c r="E768" s="48" t="s">
        <v>138</v>
      </c>
      <c r="F768" s="48" t="s">
        <v>139</v>
      </c>
      <c r="G768" s="49" t="s">
        <v>65</v>
      </c>
      <c r="H768" s="48" t="s">
        <v>65</v>
      </c>
      <c r="I768" s="48">
        <v>1</v>
      </c>
      <c r="J768" s="48">
        <v>3</v>
      </c>
      <c r="K768" s="48">
        <v>1</v>
      </c>
      <c r="N768" s="48">
        <v>0</v>
      </c>
      <c r="R768" s="49"/>
      <c r="S768" s="181">
        <v>0</v>
      </c>
      <c r="T768" s="49">
        <v>46022</v>
      </c>
      <c r="U768" s="49">
        <v>46022</v>
      </c>
      <c r="V768" s="49">
        <v>46022</v>
      </c>
      <c r="W768" s="49">
        <v>46022</v>
      </c>
      <c r="X768" s="48">
        <v>1</v>
      </c>
      <c r="Y768" s="48">
        <v>1</v>
      </c>
      <c r="Z768" s="48">
        <v>1</v>
      </c>
      <c r="AA768" s="156">
        <v>3833994024.2763772</v>
      </c>
      <c r="AF768" s="48">
        <v>0</v>
      </c>
      <c r="AG768" s="49" t="s">
        <v>41</v>
      </c>
      <c r="AH768" s="48">
        <v>1</v>
      </c>
      <c r="AI768" s="48" t="s">
        <v>33</v>
      </c>
      <c r="AJ768" s="48" t="s">
        <v>33</v>
      </c>
      <c r="AK768" s="48" t="s">
        <v>33</v>
      </c>
      <c r="AL768" s="48" t="s">
        <v>34</v>
      </c>
      <c r="AN768" s="48">
        <v>0</v>
      </c>
      <c r="AO768" s="48">
        <v>0</v>
      </c>
      <c r="AP768" s="48">
        <v>0</v>
      </c>
      <c r="AQ768" s="48">
        <v>0</v>
      </c>
      <c r="AR768" s="48">
        <v>0</v>
      </c>
      <c r="AS768" s="48">
        <v>0</v>
      </c>
      <c r="AT768" s="48">
        <v>0</v>
      </c>
      <c r="AU768" s="48">
        <v>0</v>
      </c>
      <c r="AV768" s="48">
        <v>0</v>
      </c>
      <c r="AW768" s="48">
        <v>0</v>
      </c>
      <c r="AX768" s="48">
        <v>0</v>
      </c>
      <c r="AY768" s="48">
        <v>0</v>
      </c>
      <c r="AZ768" s="48">
        <v>0</v>
      </c>
      <c r="BA768" s="48">
        <v>0</v>
      </c>
      <c r="BB768" s="48">
        <v>0</v>
      </c>
    </row>
    <row r="769" spans="1:54" x14ac:dyDescent="0.35">
      <c r="A769" s="49">
        <v>45930</v>
      </c>
      <c r="B769" s="48">
        <v>1</v>
      </c>
      <c r="C769" s="50" t="s">
        <v>41</v>
      </c>
      <c r="D769" s="48" t="s">
        <v>31</v>
      </c>
      <c r="E769" s="48" t="s">
        <v>138</v>
      </c>
      <c r="F769" s="48" t="s">
        <v>139</v>
      </c>
      <c r="G769" s="49" t="s">
        <v>65</v>
      </c>
      <c r="H769" s="48" t="s">
        <v>65</v>
      </c>
      <c r="I769" s="48">
        <v>1</v>
      </c>
      <c r="J769" s="48">
        <v>4</v>
      </c>
      <c r="K769" s="48">
        <v>1</v>
      </c>
      <c r="N769" s="48">
        <v>0</v>
      </c>
      <c r="R769" s="49"/>
      <c r="S769" s="181">
        <v>0</v>
      </c>
      <c r="T769" s="49">
        <v>46053</v>
      </c>
      <c r="U769" s="49">
        <v>46053</v>
      </c>
      <c r="V769" s="49">
        <v>46053</v>
      </c>
      <c r="W769" s="49">
        <v>46053</v>
      </c>
      <c r="X769" s="48">
        <v>1</v>
      </c>
      <c r="Y769" s="48">
        <v>1</v>
      </c>
      <c r="Z769" s="48">
        <v>1</v>
      </c>
      <c r="AA769" s="156">
        <v>3833994024.2763772</v>
      </c>
      <c r="AF769" s="48">
        <v>0</v>
      </c>
      <c r="AG769" s="49" t="s">
        <v>41</v>
      </c>
      <c r="AH769" s="48">
        <v>1</v>
      </c>
      <c r="AI769" s="48" t="s">
        <v>33</v>
      </c>
      <c r="AJ769" s="48" t="s">
        <v>33</v>
      </c>
      <c r="AK769" s="48" t="s">
        <v>33</v>
      </c>
      <c r="AL769" s="48" t="s">
        <v>34</v>
      </c>
      <c r="AN769" s="48">
        <v>0</v>
      </c>
      <c r="AO769" s="48">
        <v>0</v>
      </c>
      <c r="AP769" s="48">
        <v>0</v>
      </c>
      <c r="AQ769" s="48">
        <v>0</v>
      </c>
      <c r="AR769" s="48">
        <v>0</v>
      </c>
      <c r="AS769" s="48">
        <v>0</v>
      </c>
      <c r="AT769" s="48">
        <v>0</v>
      </c>
      <c r="AU769" s="48">
        <v>0</v>
      </c>
      <c r="AV769" s="48">
        <v>0</v>
      </c>
      <c r="AW769" s="48">
        <v>0</v>
      </c>
      <c r="AX769" s="48">
        <v>0</v>
      </c>
      <c r="AY769" s="48">
        <v>0</v>
      </c>
      <c r="AZ769" s="48">
        <v>0</v>
      </c>
      <c r="BA769" s="48">
        <v>0</v>
      </c>
      <c r="BB769" s="48">
        <v>0</v>
      </c>
    </row>
    <row r="770" spans="1:54" x14ac:dyDescent="0.35">
      <c r="A770" s="49">
        <v>45930</v>
      </c>
      <c r="B770" s="48">
        <v>1</v>
      </c>
      <c r="C770" s="50" t="s">
        <v>41</v>
      </c>
      <c r="D770" s="48" t="s">
        <v>31</v>
      </c>
      <c r="E770" s="48" t="s">
        <v>138</v>
      </c>
      <c r="F770" s="48" t="s">
        <v>139</v>
      </c>
      <c r="G770" s="49" t="s">
        <v>65</v>
      </c>
      <c r="H770" s="48" t="s">
        <v>65</v>
      </c>
      <c r="I770" s="48">
        <v>1</v>
      </c>
      <c r="J770" s="48">
        <v>5</v>
      </c>
      <c r="K770" s="48">
        <v>1</v>
      </c>
      <c r="N770" s="48">
        <v>0</v>
      </c>
      <c r="R770" s="49"/>
      <c r="S770" s="181">
        <v>0</v>
      </c>
      <c r="T770" s="49">
        <v>46081</v>
      </c>
      <c r="U770" s="49">
        <v>46081</v>
      </c>
      <c r="V770" s="49">
        <v>46081</v>
      </c>
      <c r="W770" s="49">
        <v>46081</v>
      </c>
      <c r="X770" s="48">
        <v>1</v>
      </c>
      <c r="Y770" s="48">
        <v>1</v>
      </c>
      <c r="Z770" s="48">
        <v>1</v>
      </c>
      <c r="AA770" s="156">
        <v>3833994024.2763772</v>
      </c>
      <c r="AF770" s="48">
        <v>0</v>
      </c>
      <c r="AG770" s="49" t="s">
        <v>41</v>
      </c>
      <c r="AH770" s="48">
        <v>1</v>
      </c>
      <c r="AI770" s="48" t="s">
        <v>33</v>
      </c>
      <c r="AJ770" s="48" t="s">
        <v>33</v>
      </c>
      <c r="AK770" s="48" t="s">
        <v>33</v>
      </c>
      <c r="AL770" s="48" t="s">
        <v>34</v>
      </c>
      <c r="AN770" s="48">
        <v>0</v>
      </c>
      <c r="AO770" s="48">
        <v>0</v>
      </c>
      <c r="AP770" s="48">
        <v>0</v>
      </c>
      <c r="AQ770" s="48">
        <v>0</v>
      </c>
      <c r="AR770" s="48">
        <v>0</v>
      </c>
      <c r="AS770" s="48">
        <v>0</v>
      </c>
      <c r="AT770" s="48">
        <v>0</v>
      </c>
      <c r="AU770" s="48">
        <v>0</v>
      </c>
      <c r="AV770" s="48">
        <v>0</v>
      </c>
      <c r="AW770" s="48">
        <v>0</v>
      </c>
      <c r="AX770" s="48">
        <v>0</v>
      </c>
      <c r="AY770" s="48">
        <v>0</v>
      </c>
      <c r="AZ770" s="48">
        <v>0</v>
      </c>
      <c r="BA770" s="48">
        <v>0</v>
      </c>
      <c r="BB770" s="48">
        <v>0</v>
      </c>
    </row>
    <row r="771" spans="1:54" x14ac:dyDescent="0.35">
      <c r="A771" s="49">
        <v>45930</v>
      </c>
      <c r="B771" s="48">
        <v>1</v>
      </c>
      <c r="C771" s="50" t="s">
        <v>41</v>
      </c>
      <c r="D771" s="48" t="s">
        <v>31</v>
      </c>
      <c r="E771" s="48" t="s">
        <v>138</v>
      </c>
      <c r="F771" s="48" t="s">
        <v>139</v>
      </c>
      <c r="G771" s="49" t="s">
        <v>65</v>
      </c>
      <c r="H771" s="48" t="s">
        <v>65</v>
      </c>
      <c r="I771" s="48">
        <v>1</v>
      </c>
      <c r="J771" s="48">
        <v>6</v>
      </c>
      <c r="K771" s="48">
        <v>1</v>
      </c>
      <c r="N771" s="48">
        <v>0</v>
      </c>
      <c r="R771" s="49"/>
      <c r="S771" s="181">
        <v>0</v>
      </c>
      <c r="T771" s="49">
        <v>46112</v>
      </c>
      <c r="U771" s="49">
        <v>46112</v>
      </c>
      <c r="V771" s="49">
        <v>46112</v>
      </c>
      <c r="W771" s="49">
        <v>46112</v>
      </c>
      <c r="X771" s="48">
        <v>1</v>
      </c>
      <c r="Y771" s="48">
        <v>1</v>
      </c>
      <c r="Z771" s="48">
        <v>1</v>
      </c>
      <c r="AA771" s="156">
        <v>3833994024.2763772</v>
      </c>
      <c r="AF771" s="48">
        <v>0</v>
      </c>
      <c r="AG771" s="49" t="s">
        <v>41</v>
      </c>
      <c r="AH771" s="48">
        <v>1</v>
      </c>
      <c r="AI771" s="48" t="s">
        <v>33</v>
      </c>
      <c r="AJ771" s="48" t="s">
        <v>33</v>
      </c>
      <c r="AK771" s="48" t="s">
        <v>33</v>
      </c>
      <c r="AL771" s="48" t="s">
        <v>34</v>
      </c>
      <c r="AN771" s="48">
        <v>0</v>
      </c>
      <c r="AO771" s="48">
        <v>0</v>
      </c>
      <c r="AP771" s="48">
        <v>0</v>
      </c>
      <c r="AQ771" s="48">
        <v>0</v>
      </c>
      <c r="AR771" s="48">
        <v>0</v>
      </c>
      <c r="AS771" s="48">
        <v>0</v>
      </c>
      <c r="AT771" s="48">
        <v>0</v>
      </c>
      <c r="AU771" s="48">
        <v>0</v>
      </c>
      <c r="AV771" s="48">
        <v>0</v>
      </c>
      <c r="AW771" s="48">
        <v>0</v>
      </c>
      <c r="AX771" s="48">
        <v>0</v>
      </c>
      <c r="AY771" s="48">
        <v>0</v>
      </c>
      <c r="AZ771" s="48">
        <v>0</v>
      </c>
      <c r="BA771" s="48">
        <v>0</v>
      </c>
      <c r="BB771" s="48">
        <v>0</v>
      </c>
    </row>
    <row r="772" spans="1:54" x14ac:dyDescent="0.35">
      <c r="A772" s="49">
        <v>45930</v>
      </c>
      <c r="B772" s="48">
        <v>1</v>
      </c>
      <c r="C772" s="50" t="s">
        <v>41</v>
      </c>
      <c r="D772" s="48" t="s">
        <v>31</v>
      </c>
      <c r="E772" s="48" t="s">
        <v>138</v>
      </c>
      <c r="F772" s="48" t="s">
        <v>139</v>
      </c>
      <c r="G772" s="49" t="s">
        <v>65</v>
      </c>
      <c r="H772" s="48" t="s">
        <v>65</v>
      </c>
      <c r="I772" s="48">
        <v>1</v>
      </c>
      <c r="J772" s="48">
        <v>7</v>
      </c>
      <c r="K772" s="48">
        <v>1</v>
      </c>
      <c r="N772" s="48">
        <v>0</v>
      </c>
      <c r="R772" s="49"/>
      <c r="S772" s="181">
        <v>0</v>
      </c>
      <c r="T772" s="49">
        <v>46142</v>
      </c>
      <c r="U772" s="49">
        <v>46142</v>
      </c>
      <c r="V772" s="49">
        <v>46142</v>
      </c>
      <c r="W772" s="49">
        <v>46142</v>
      </c>
      <c r="X772" s="48">
        <v>1</v>
      </c>
      <c r="Y772" s="48">
        <v>1</v>
      </c>
      <c r="Z772" s="48">
        <v>1</v>
      </c>
      <c r="AA772" s="156">
        <v>3833994024.2763772</v>
      </c>
      <c r="AF772" s="48">
        <v>0</v>
      </c>
      <c r="AG772" s="49" t="s">
        <v>41</v>
      </c>
      <c r="AH772" s="48">
        <v>1</v>
      </c>
      <c r="AI772" s="48" t="s">
        <v>33</v>
      </c>
      <c r="AJ772" s="48" t="s">
        <v>33</v>
      </c>
      <c r="AK772" s="48" t="s">
        <v>33</v>
      </c>
      <c r="AL772" s="48" t="s">
        <v>34</v>
      </c>
      <c r="AN772" s="48">
        <v>0</v>
      </c>
      <c r="AO772" s="48">
        <v>0</v>
      </c>
      <c r="AP772" s="48">
        <v>0</v>
      </c>
      <c r="AQ772" s="48">
        <v>0</v>
      </c>
      <c r="AR772" s="48">
        <v>0</v>
      </c>
      <c r="AS772" s="48">
        <v>0</v>
      </c>
      <c r="AT772" s="48">
        <v>0</v>
      </c>
      <c r="AU772" s="48">
        <v>0</v>
      </c>
      <c r="AV772" s="48">
        <v>0</v>
      </c>
      <c r="AW772" s="48">
        <v>0</v>
      </c>
      <c r="AX772" s="48">
        <v>0</v>
      </c>
      <c r="AY772" s="48">
        <v>0</v>
      </c>
      <c r="AZ772" s="48">
        <v>0</v>
      </c>
      <c r="BA772" s="48">
        <v>0</v>
      </c>
      <c r="BB772" s="48">
        <v>0</v>
      </c>
    </row>
    <row r="773" spans="1:54" x14ac:dyDescent="0.35">
      <c r="A773" s="49">
        <v>45930</v>
      </c>
      <c r="B773" s="48">
        <v>1</v>
      </c>
      <c r="C773" s="50" t="s">
        <v>41</v>
      </c>
      <c r="D773" s="48" t="s">
        <v>31</v>
      </c>
      <c r="E773" s="48" t="s">
        <v>138</v>
      </c>
      <c r="F773" s="48" t="s">
        <v>139</v>
      </c>
      <c r="G773" s="49" t="s">
        <v>65</v>
      </c>
      <c r="H773" s="48" t="s">
        <v>65</v>
      </c>
      <c r="I773" s="48">
        <v>1</v>
      </c>
      <c r="J773" s="48">
        <v>8</v>
      </c>
      <c r="K773" s="48">
        <v>1</v>
      </c>
      <c r="N773" s="48">
        <v>0</v>
      </c>
      <c r="R773" s="49"/>
      <c r="S773" s="181">
        <v>0</v>
      </c>
      <c r="T773" s="49">
        <v>46173</v>
      </c>
      <c r="U773" s="49">
        <v>46173</v>
      </c>
      <c r="V773" s="49">
        <v>46173</v>
      </c>
      <c r="W773" s="49">
        <v>46173</v>
      </c>
      <c r="X773" s="48">
        <v>1</v>
      </c>
      <c r="Y773" s="48">
        <v>1</v>
      </c>
      <c r="Z773" s="48">
        <v>1</v>
      </c>
      <c r="AA773" s="156">
        <v>3833994024.2763772</v>
      </c>
      <c r="AF773" s="48">
        <v>0</v>
      </c>
      <c r="AG773" s="49" t="s">
        <v>41</v>
      </c>
      <c r="AH773" s="48">
        <v>1</v>
      </c>
      <c r="AI773" s="48" t="s">
        <v>33</v>
      </c>
      <c r="AJ773" s="48" t="s">
        <v>33</v>
      </c>
      <c r="AK773" s="48" t="s">
        <v>33</v>
      </c>
      <c r="AL773" s="48" t="s">
        <v>34</v>
      </c>
      <c r="AN773" s="48">
        <v>0</v>
      </c>
      <c r="AO773" s="48">
        <v>0</v>
      </c>
      <c r="AP773" s="48">
        <v>0</v>
      </c>
      <c r="AQ773" s="48">
        <v>0</v>
      </c>
      <c r="AR773" s="48">
        <v>0</v>
      </c>
      <c r="AS773" s="48">
        <v>0</v>
      </c>
      <c r="AT773" s="48">
        <v>0</v>
      </c>
      <c r="AU773" s="48">
        <v>0</v>
      </c>
      <c r="AV773" s="48">
        <v>0</v>
      </c>
      <c r="AW773" s="48">
        <v>0</v>
      </c>
      <c r="AX773" s="48">
        <v>0</v>
      </c>
      <c r="AY773" s="48">
        <v>0</v>
      </c>
      <c r="AZ773" s="48">
        <v>0</v>
      </c>
      <c r="BA773" s="48">
        <v>0</v>
      </c>
      <c r="BB773" s="48">
        <v>0</v>
      </c>
    </row>
    <row r="774" spans="1:54" x14ac:dyDescent="0.35">
      <c r="A774" s="49">
        <v>45930</v>
      </c>
      <c r="B774" s="48">
        <v>1</v>
      </c>
      <c r="C774" s="50" t="s">
        <v>41</v>
      </c>
      <c r="D774" s="48" t="s">
        <v>31</v>
      </c>
      <c r="E774" s="48" t="s">
        <v>138</v>
      </c>
      <c r="F774" s="48" t="s">
        <v>139</v>
      </c>
      <c r="G774" s="49" t="s">
        <v>65</v>
      </c>
      <c r="H774" s="48" t="s">
        <v>65</v>
      </c>
      <c r="I774" s="48">
        <v>1</v>
      </c>
      <c r="J774" s="48">
        <v>9</v>
      </c>
      <c r="K774" s="48">
        <v>1</v>
      </c>
      <c r="N774" s="48">
        <v>0</v>
      </c>
      <c r="R774" s="49"/>
      <c r="S774" s="181">
        <v>0</v>
      </c>
      <c r="T774" s="49">
        <v>46203</v>
      </c>
      <c r="U774" s="49">
        <v>46203</v>
      </c>
      <c r="V774" s="49">
        <v>46203</v>
      </c>
      <c r="W774" s="49">
        <v>46203</v>
      </c>
      <c r="X774" s="48">
        <v>1</v>
      </c>
      <c r="Y774" s="48">
        <v>1</v>
      </c>
      <c r="Z774" s="48">
        <v>1</v>
      </c>
      <c r="AA774" s="156">
        <v>3833994024.2763772</v>
      </c>
      <c r="AF774" s="48">
        <v>0</v>
      </c>
      <c r="AG774" s="49" t="s">
        <v>41</v>
      </c>
      <c r="AH774" s="48">
        <v>1</v>
      </c>
      <c r="AI774" s="48" t="s">
        <v>33</v>
      </c>
      <c r="AJ774" s="48" t="s">
        <v>33</v>
      </c>
      <c r="AK774" s="48" t="s">
        <v>33</v>
      </c>
      <c r="AL774" s="48" t="s">
        <v>34</v>
      </c>
      <c r="AN774" s="48">
        <v>0</v>
      </c>
      <c r="AO774" s="48">
        <v>0</v>
      </c>
      <c r="AP774" s="48">
        <v>0</v>
      </c>
      <c r="AQ774" s="48">
        <v>0</v>
      </c>
      <c r="AR774" s="48">
        <v>0</v>
      </c>
      <c r="AS774" s="48">
        <v>0</v>
      </c>
      <c r="AT774" s="48">
        <v>0</v>
      </c>
      <c r="AU774" s="48">
        <v>0</v>
      </c>
      <c r="AV774" s="48">
        <v>0</v>
      </c>
      <c r="AW774" s="48">
        <v>0</v>
      </c>
      <c r="AX774" s="48">
        <v>0</v>
      </c>
      <c r="AY774" s="48">
        <v>0</v>
      </c>
      <c r="AZ774" s="48">
        <v>0</v>
      </c>
      <c r="BA774" s="48">
        <v>0</v>
      </c>
      <c r="BB774" s="48">
        <v>0</v>
      </c>
    </row>
    <row r="775" spans="1:54" x14ac:dyDescent="0.35">
      <c r="A775" s="49">
        <v>45930</v>
      </c>
      <c r="B775" s="48">
        <v>1</v>
      </c>
      <c r="C775" s="50" t="s">
        <v>41</v>
      </c>
      <c r="D775" s="48" t="s">
        <v>31</v>
      </c>
      <c r="E775" s="48" t="s">
        <v>138</v>
      </c>
      <c r="F775" s="48" t="s">
        <v>139</v>
      </c>
      <c r="G775" s="49" t="s">
        <v>65</v>
      </c>
      <c r="H775" s="48" t="s">
        <v>65</v>
      </c>
      <c r="I775" s="48">
        <v>1</v>
      </c>
      <c r="J775" s="48">
        <v>10</v>
      </c>
      <c r="K775" s="48">
        <v>1</v>
      </c>
      <c r="N775" s="48">
        <v>0</v>
      </c>
      <c r="R775" s="49"/>
      <c r="S775" s="181">
        <v>0</v>
      </c>
      <c r="T775" s="49">
        <v>46234</v>
      </c>
      <c r="U775" s="49">
        <v>46234</v>
      </c>
      <c r="V775" s="49">
        <v>46234</v>
      </c>
      <c r="W775" s="49">
        <v>46234</v>
      </c>
      <c r="X775" s="48">
        <v>1</v>
      </c>
      <c r="Y775" s="48">
        <v>1</v>
      </c>
      <c r="Z775" s="48">
        <v>1</v>
      </c>
      <c r="AA775" s="156">
        <v>3833994024.2763772</v>
      </c>
      <c r="AF775" s="48">
        <v>0</v>
      </c>
      <c r="AG775" s="49" t="s">
        <v>41</v>
      </c>
      <c r="AH775" s="48">
        <v>1</v>
      </c>
      <c r="AI775" s="48" t="s">
        <v>33</v>
      </c>
      <c r="AJ775" s="48" t="s">
        <v>33</v>
      </c>
      <c r="AK775" s="48" t="s">
        <v>33</v>
      </c>
      <c r="AL775" s="48" t="s">
        <v>34</v>
      </c>
      <c r="AN775" s="48">
        <v>0</v>
      </c>
      <c r="AO775" s="48">
        <v>0</v>
      </c>
      <c r="AP775" s="48">
        <v>0</v>
      </c>
      <c r="AQ775" s="48">
        <v>0</v>
      </c>
      <c r="AR775" s="48">
        <v>0</v>
      </c>
      <c r="AS775" s="48">
        <v>0</v>
      </c>
      <c r="AT775" s="48">
        <v>0</v>
      </c>
      <c r="AU775" s="48">
        <v>0</v>
      </c>
      <c r="AV775" s="48">
        <v>0</v>
      </c>
      <c r="AW775" s="48">
        <v>0</v>
      </c>
      <c r="AX775" s="48">
        <v>0</v>
      </c>
      <c r="AY775" s="48">
        <v>0</v>
      </c>
      <c r="AZ775" s="48">
        <v>0</v>
      </c>
      <c r="BA775" s="48">
        <v>0</v>
      </c>
      <c r="BB775" s="48">
        <v>0</v>
      </c>
    </row>
    <row r="776" spans="1:54" x14ac:dyDescent="0.35">
      <c r="A776" s="49">
        <v>45930</v>
      </c>
      <c r="B776" s="48">
        <v>1</v>
      </c>
      <c r="C776" s="50" t="s">
        <v>41</v>
      </c>
      <c r="D776" s="48" t="s">
        <v>31</v>
      </c>
      <c r="E776" s="48" t="s">
        <v>138</v>
      </c>
      <c r="F776" s="48" t="s">
        <v>139</v>
      </c>
      <c r="G776" s="49" t="s">
        <v>65</v>
      </c>
      <c r="H776" s="48" t="s">
        <v>65</v>
      </c>
      <c r="I776" s="48">
        <v>1</v>
      </c>
      <c r="J776" s="48">
        <v>11</v>
      </c>
      <c r="K776" s="48">
        <v>1</v>
      </c>
      <c r="N776" s="48">
        <v>0</v>
      </c>
      <c r="R776" s="49"/>
      <c r="S776" s="181">
        <v>0</v>
      </c>
      <c r="T776" s="49">
        <v>46265</v>
      </c>
      <c r="U776" s="49">
        <v>46265</v>
      </c>
      <c r="V776" s="49">
        <v>46265</v>
      </c>
      <c r="W776" s="49">
        <v>46265</v>
      </c>
      <c r="X776" s="48">
        <v>1</v>
      </c>
      <c r="Y776" s="48">
        <v>1</v>
      </c>
      <c r="Z776" s="48">
        <v>1</v>
      </c>
      <c r="AA776" s="156">
        <v>3833994024.2763772</v>
      </c>
      <c r="AF776" s="48">
        <v>0</v>
      </c>
      <c r="AG776" s="49" t="s">
        <v>41</v>
      </c>
      <c r="AH776" s="48">
        <v>1</v>
      </c>
      <c r="AI776" s="48" t="s">
        <v>33</v>
      </c>
      <c r="AJ776" s="48" t="s">
        <v>33</v>
      </c>
      <c r="AK776" s="48" t="s">
        <v>33</v>
      </c>
      <c r="AL776" s="48" t="s">
        <v>34</v>
      </c>
      <c r="AN776" s="48">
        <v>0</v>
      </c>
      <c r="AO776" s="48">
        <v>0</v>
      </c>
      <c r="AP776" s="48">
        <v>0</v>
      </c>
      <c r="AQ776" s="48">
        <v>0</v>
      </c>
      <c r="AR776" s="48">
        <v>0</v>
      </c>
      <c r="AS776" s="48">
        <v>0</v>
      </c>
      <c r="AT776" s="48">
        <v>0</v>
      </c>
      <c r="AU776" s="48">
        <v>0</v>
      </c>
      <c r="AV776" s="48">
        <v>0</v>
      </c>
      <c r="AW776" s="48">
        <v>0</v>
      </c>
      <c r="AX776" s="48">
        <v>0</v>
      </c>
      <c r="AY776" s="48">
        <v>0</v>
      </c>
      <c r="AZ776" s="48">
        <v>0</v>
      </c>
      <c r="BA776" s="48">
        <v>0</v>
      </c>
      <c r="BB776" s="48">
        <v>0</v>
      </c>
    </row>
    <row r="777" spans="1:54" x14ac:dyDescent="0.35">
      <c r="A777" s="49">
        <v>45930</v>
      </c>
      <c r="B777" s="48">
        <v>1</v>
      </c>
      <c r="C777" s="50" t="s">
        <v>41</v>
      </c>
      <c r="D777" s="48" t="s">
        <v>31</v>
      </c>
      <c r="E777" s="48" t="s">
        <v>138</v>
      </c>
      <c r="F777" s="48" t="s">
        <v>139</v>
      </c>
      <c r="G777" s="49" t="s">
        <v>65</v>
      </c>
      <c r="H777" s="48" t="s">
        <v>65</v>
      </c>
      <c r="I777" s="48">
        <v>1</v>
      </c>
      <c r="J777" s="48">
        <v>12</v>
      </c>
      <c r="K777" s="48">
        <v>1</v>
      </c>
      <c r="N777" s="48">
        <v>0</v>
      </c>
      <c r="R777" s="49"/>
      <c r="S777" s="181">
        <v>0</v>
      </c>
      <c r="T777" s="49">
        <v>46295</v>
      </c>
      <c r="U777" s="49">
        <v>46295</v>
      </c>
      <c r="V777" s="49">
        <v>46295</v>
      </c>
      <c r="W777" s="49">
        <v>46295</v>
      </c>
      <c r="X777" s="48">
        <v>1</v>
      </c>
      <c r="Y777" s="48">
        <v>1</v>
      </c>
      <c r="Z777" s="48">
        <v>1</v>
      </c>
      <c r="AA777" s="156">
        <v>3833994024.2763772</v>
      </c>
      <c r="AF777" s="48">
        <v>0</v>
      </c>
      <c r="AG777" s="49" t="s">
        <v>41</v>
      </c>
      <c r="AH777" s="48">
        <v>1</v>
      </c>
      <c r="AI777" s="48" t="s">
        <v>33</v>
      </c>
      <c r="AJ777" s="48" t="s">
        <v>33</v>
      </c>
      <c r="AK777" s="48" t="s">
        <v>33</v>
      </c>
      <c r="AL777" s="48" t="s">
        <v>34</v>
      </c>
      <c r="AN777" s="48">
        <v>0</v>
      </c>
      <c r="AO777" s="48">
        <v>0</v>
      </c>
      <c r="AP777" s="48">
        <v>0</v>
      </c>
      <c r="AQ777" s="48">
        <v>0</v>
      </c>
      <c r="AR777" s="48">
        <v>0</v>
      </c>
      <c r="AS777" s="48">
        <v>0</v>
      </c>
      <c r="AT777" s="48">
        <v>0</v>
      </c>
      <c r="AU777" s="48">
        <v>0</v>
      </c>
      <c r="AV777" s="48">
        <v>0</v>
      </c>
      <c r="AW777" s="48">
        <v>0</v>
      </c>
      <c r="AX777" s="48">
        <v>0</v>
      </c>
      <c r="AY777" s="48">
        <v>0</v>
      </c>
      <c r="AZ777" s="48">
        <v>0</v>
      </c>
      <c r="BA777" s="48">
        <v>0</v>
      </c>
      <c r="BB777" s="48">
        <v>0</v>
      </c>
    </row>
    <row r="778" spans="1:54" x14ac:dyDescent="0.35">
      <c r="A778" s="49">
        <v>45930</v>
      </c>
      <c r="B778" s="48">
        <v>1</v>
      </c>
      <c r="C778" s="50" t="s">
        <v>41</v>
      </c>
      <c r="D778" s="48" t="s">
        <v>31</v>
      </c>
      <c r="E778" s="48" t="s">
        <v>138</v>
      </c>
      <c r="F778" s="48" t="s">
        <v>139</v>
      </c>
      <c r="G778" s="49" t="s">
        <v>65</v>
      </c>
      <c r="H778" s="48" t="s">
        <v>65</v>
      </c>
      <c r="I778" s="48">
        <v>1</v>
      </c>
      <c r="J778" s="48">
        <v>13</v>
      </c>
      <c r="K778" s="48">
        <v>1</v>
      </c>
      <c r="N778" s="48">
        <v>0</v>
      </c>
      <c r="R778" s="49"/>
      <c r="S778" s="181">
        <v>0</v>
      </c>
      <c r="T778" s="49">
        <v>46326</v>
      </c>
      <c r="U778" s="49">
        <v>46326</v>
      </c>
      <c r="V778" s="49">
        <v>46326</v>
      </c>
      <c r="W778" s="49">
        <v>46326</v>
      </c>
      <c r="X778" s="48">
        <v>1</v>
      </c>
      <c r="Y778" s="48">
        <v>1</v>
      </c>
      <c r="Z778" s="48">
        <v>1</v>
      </c>
      <c r="AA778" s="156">
        <v>3833994024.2763772</v>
      </c>
      <c r="AF778" s="48">
        <v>0</v>
      </c>
      <c r="AG778" s="49" t="s">
        <v>41</v>
      </c>
      <c r="AH778" s="48">
        <v>1</v>
      </c>
      <c r="AI778" s="48" t="s">
        <v>33</v>
      </c>
      <c r="AJ778" s="48" t="s">
        <v>33</v>
      </c>
      <c r="AK778" s="48" t="s">
        <v>33</v>
      </c>
      <c r="AL778" s="48" t="s">
        <v>34</v>
      </c>
      <c r="AN778" s="48">
        <v>0</v>
      </c>
      <c r="AO778" s="48">
        <v>0</v>
      </c>
      <c r="AP778" s="48">
        <v>0</v>
      </c>
      <c r="AQ778" s="48">
        <v>0</v>
      </c>
      <c r="AR778" s="48">
        <v>0</v>
      </c>
      <c r="AS778" s="48">
        <v>0</v>
      </c>
      <c r="AT778" s="48">
        <v>0</v>
      </c>
      <c r="AU778" s="48">
        <v>0</v>
      </c>
      <c r="AV778" s="48">
        <v>0</v>
      </c>
      <c r="AW778" s="48">
        <v>0</v>
      </c>
      <c r="AX778" s="48">
        <v>0</v>
      </c>
      <c r="AY778" s="48">
        <v>0</v>
      </c>
      <c r="AZ778" s="48">
        <v>0</v>
      </c>
      <c r="BA778" s="48">
        <v>0</v>
      </c>
      <c r="BB778" s="48">
        <v>0</v>
      </c>
    </row>
    <row r="779" spans="1:54" x14ac:dyDescent="0.35">
      <c r="A779" s="49">
        <v>45930</v>
      </c>
      <c r="B779" s="48">
        <v>1</v>
      </c>
      <c r="C779" s="50" t="s">
        <v>41</v>
      </c>
      <c r="D779" s="48" t="s">
        <v>31</v>
      </c>
      <c r="E779" s="48" t="s">
        <v>138</v>
      </c>
      <c r="F779" s="48" t="s">
        <v>139</v>
      </c>
      <c r="G779" s="49" t="s">
        <v>65</v>
      </c>
      <c r="H779" s="48" t="s">
        <v>65</v>
      </c>
      <c r="I779" s="48">
        <v>1</v>
      </c>
      <c r="J779" s="48">
        <v>14</v>
      </c>
      <c r="K779" s="48">
        <v>1</v>
      </c>
      <c r="N779" s="48">
        <v>0</v>
      </c>
      <c r="R779" s="49"/>
      <c r="S779" s="181">
        <v>0</v>
      </c>
      <c r="T779" s="49">
        <v>46356</v>
      </c>
      <c r="U779" s="49">
        <v>46356</v>
      </c>
      <c r="V779" s="49">
        <v>46356</v>
      </c>
      <c r="W779" s="49">
        <v>46356</v>
      </c>
      <c r="X779" s="48">
        <v>1</v>
      </c>
      <c r="Y779" s="48">
        <v>1</v>
      </c>
      <c r="Z779" s="48">
        <v>1</v>
      </c>
      <c r="AA779" s="156">
        <v>3833994024.2763772</v>
      </c>
      <c r="AF779" s="48">
        <v>0</v>
      </c>
      <c r="AG779" s="49" t="s">
        <v>41</v>
      </c>
      <c r="AH779" s="48">
        <v>1</v>
      </c>
      <c r="AI779" s="48" t="s">
        <v>33</v>
      </c>
      <c r="AJ779" s="48" t="s">
        <v>33</v>
      </c>
      <c r="AK779" s="48" t="s">
        <v>33</v>
      </c>
      <c r="AL779" s="48" t="s">
        <v>34</v>
      </c>
      <c r="AN779" s="48">
        <v>0</v>
      </c>
      <c r="AO779" s="48">
        <v>0</v>
      </c>
      <c r="AP779" s="48">
        <v>0</v>
      </c>
      <c r="AQ779" s="48">
        <v>0</v>
      </c>
      <c r="AR779" s="48">
        <v>0</v>
      </c>
      <c r="AS779" s="48">
        <v>0</v>
      </c>
      <c r="AT779" s="48">
        <v>0</v>
      </c>
      <c r="AU779" s="48">
        <v>0</v>
      </c>
      <c r="AV779" s="48">
        <v>0</v>
      </c>
      <c r="AW779" s="48">
        <v>0</v>
      </c>
      <c r="AX779" s="48">
        <v>0</v>
      </c>
      <c r="AY779" s="48">
        <v>0</v>
      </c>
      <c r="AZ779" s="48">
        <v>0</v>
      </c>
      <c r="BA779" s="48">
        <v>0</v>
      </c>
      <c r="BB779" s="48">
        <v>0</v>
      </c>
    </row>
    <row r="780" spans="1:54" x14ac:dyDescent="0.35">
      <c r="A780" s="49">
        <v>45930</v>
      </c>
      <c r="B780" s="48">
        <v>1</v>
      </c>
      <c r="C780" s="50" t="s">
        <v>41</v>
      </c>
      <c r="D780" s="48" t="s">
        <v>31</v>
      </c>
      <c r="E780" s="48" t="s">
        <v>138</v>
      </c>
      <c r="F780" s="48" t="s">
        <v>139</v>
      </c>
      <c r="G780" s="49" t="s">
        <v>65</v>
      </c>
      <c r="H780" s="48" t="s">
        <v>65</v>
      </c>
      <c r="I780" s="48">
        <v>1</v>
      </c>
      <c r="J780" s="48">
        <v>15</v>
      </c>
      <c r="K780" s="48">
        <v>1</v>
      </c>
      <c r="N780" s="48">
        <v>0</v>
      </c>
      <c r="R780" s="49"/>
      <c r="S780" s="181">
        <v>0</v>
      </c>
      <c r="T780" s="49">
        <v>46387</v>
      </c>
      <c r="U780" s="49">
        <v>46387</v>
      </c>
      <c r="V780" s="49">
        <v>46387</v>
      </c>
      <c r="W780" s="49">
        <v>46387</v>
      </c>
      <c r="X780" s="48">
        <v>1</v>
      </c>
      <c r="Y780" s="48">
        <v>1</v>
      </c>
      <c r="Z780" s="48">
        <v>1</v>
      </c>
      <c r="AA780" s="156">
        <v>3833994024.2763772</v>
      </c>
      <c r="AF780" s="48">
        <v>0</v>
      </c>
      <c r="AG780" s="49" t="s">
        <v>41</v>
      </c>
      <c r="AH780" s="48">
        <v>1</v>
      </c>
      <c r="AI780" s="48" t="s">
        <v>33</v>
      </c>
      <c r="AJ780" s="48" t="s">
        <v>33</v>
      </c>
      <c r="AK780" s="48" t="s">
        <v>33</v>
      </c>
      <c r="AL780" s="48" t="s">
        <v>34</v>
      </c>
      <c r="AN780" s="48">
        <v>0</v>
      </c>
      <c r="AO780" s="48">
        <v>0</v>
      </c>
      <c r="AP780" s="48">
        <v>0</v>
      </c>
      <c r="AQ780" s="48">
        <v>0</v>
      </c>
      <c r="AR780" s="48">
        <v>0</v>
      </c>
      <c r="AS780" s="48">
        <v>0</v>
      </c>
      <c r="AT780" s="48">
        <v>0</v>
      </c>
      <c r="AU780" s="48">
        <v>0</v>
      </c>
      <c r="AV780" s="48">
        <v>0</v>
      </c>
      <c r="AW780" s="48">
        <v>0</v>
      </c>
      <c r="AX780" s="48">
        <v>0</v>
      </c>
      <c r="AY780" s="48">
        <v>0</v>
      </c>
      <c r="AZ780" s="48">
        <v>0</v>
      </c>
      <c r="BA780" s="48">
        <v>0</v>
      </c>
      <c r="BB780" s="48">
        <v>0</v>
      </c>
    </row>
    <row r="781" spans="1:54" x14ac:dyDescent="0.35">
      <c r="A781" s="49">
        <v>45930</v>
      </c>
      <c r="B781" s="48">
        <v>1</v>
      </c>
      <c r="C781" s="50" t="s">
        <v>41</v>
      </c>
      <c r="D781" s="48" t="s">
        <v>31</v>
      </c>
      <c r="E781" s="48" t="s">
        <v>138</v>
      </c>
      <c r="F781" s="48" t="s">
        <v>139</v>
      </c>
      <c r="G781" s="49" t="s">
        <v>65</v>
      </c>
      <c r="H781" s="48" t="s">
        <v>65</v>
      </c>
      <c r="I781" s="48">
        <v>1</v>
      </c>
      <c r="J781" s="48">
        <v>16</v>
      </c>
      <c r="K781" s="48">
        <v>1</v>
      </c>
      <c r="N781" s="48">
        <v>0</v>
      </c>
      <c r="R781" s="49"/>
      <c r="S781" s="181">
        <v>0</v>
      </c>
      <c r="T781" s="49">
        <v>46418</v>
      </c>
      <c r="U781" s="49">
        <v>46418</v>
      </c>
      <c r="V781" s="49">
        <v>46418</v>
      </c>
      <c r="W781" s="49">
        <v>46418</v>
      </c>
      <c r="X781" s="48">
        <v>1</v>
      </c>
      <c r="Y781" s="48">
        <v>1</v>
      </c>
      <c r="Z781" s="48">
        <v>1</v>
      </c>
      <c r="AA781" s="156">
        <v>3833994024.2763772</v>
      </c>
      <c r="AF781" s="48">
        <v>0</v>
      </c>
      <c r="AG781" s="49" t="s">
        <v>41</v>
      </c>
      <c r="AH781" s="48">
        <v>1</v>
      </c>
      <c r="AI781" s="48" t="s">
        <v>33</v>
      </c>
      <c r="AJ781" s="48" t="s">
        <v>33</v>
      </c>
      <c r="AK781" s="48" t="s">
        <v>33</v>
      </c>
      <c r="AL781" s="48" t="s">
        <v>34</v>
      </c>
      <c r="AN781" s="48">
        <v>0</v>
      </c>
      <c r="AO781" s="48">
        <v>0</v>
      </c>
      <c r="AP781" s="48">
        <v>0</v>
      </c>
      <c r="AQ781" s="48">
        <v>0</v>
      </c>
      <c r="AR781" s="48">
        <v>0</v>
      </c>
      <c r="AS781" s="48">
        <v>0</v>
      </c>
      <c r="AT781" s="48">
        <v>0</v>
      </c>
      <c r="AU781" s="48">
        <v>0</v>
      </c>
      <c r="AV781" s="48">
        <v>0</v>
      </c>
      <c r="AW781" s="48">
        <v>0</v>
      </c>
      <c r="AX781" s="48">
        <v>0</v>
      </c>
      <c r="AY781" s="48">
        <v>0</v>
      </c>
      <c r="AZ781" s="48">
        <v>0</v>
      </c>
      <c r="BA781" s="48">
        <v>0</v>
      </c>
      <c r="BB781" s="48">
        <v>0</v>
      </c>
    </row>
    <row r="782" spans="1:54" x14ac:dyDescent="0.35">
      <c r="A782" s="49">
        <v>45930</v>
      </c>
      <c r="B782" s="48">
        <v>1</v>
      </c>
      <c r="C782" s="50" t="s">
        <v>41</v>
      </c>
      <c r="D782" s="48" t="s">
        <v>31</v>
      </c>
      <c r="E782" s="48" t="s">
        <v>138</v>
      </c>
      <c r="F782" s="48" t="s">
        <v>139</v>
      </c>
      <c r="G782" s="49" t="s">
        <v>65</v>
      </c>
      <c r="H782" s="48" t="s">
        <v>65</v>
      </c>
      <c r="I782" s="48">
        <v>1</v>
      </c>
      <c r="J782" s="48">
        <v>17</v>
      </c>
      <c r="K782" s="48">
        <v>1</v>
      </c>
      <c r="N782" s="48">
        <v>0</v>
      </c>
      <c r="R782" s="49"/>
      <c r="S782" s="181">
        <v>0</v>
      </c>
      <c r="T782" s="49">
        <v>46446</v>
      </c>
      <c r="U782" s="49">
        <v>46446</v>
      </c>
      <c r="V782" s="49">
        <v>46446</v>
      </c>
      <c r="W782" s="49">
        <v>46446</v>
      </c>
      <c r="X782" s="48">
        <v>1</v>
      </c>
      <c r="Y782" s="48">
        <v>1</v>
      </c>
      <c r="Z782" s="48">
        <v>1</v>
      </c>
      <c r="AA782" s="156">
        <v>3833994024.2763772</v>
      </c>
      <c r="AF782" s="48">
        <v>0</v>
      </c>
      <c r="AG782" s="49" t="s">
        <v>41</v>
      </c>
      <c r="AH782" s="48">
        <v>1</v>
      </c>
      <c r="AI782" s="48" t="s">
        <v>33</v>
      </c>
      <c r="AJ782" s="48" t="s">
        <v>33</v>
      </c>
      <c r="AK782" s="48" t="s">
        <v>33</v>
      </c>
      <c r="AL782" s="48" t="s">
        <v>34</v>
      </c>
      <c r="AN782" s="48">
        <v>0</v>
      </c>
      <c r="AO782" s="48">
        <v>0</v>
      </c>
      <c r="AP782" s="48">
        <v>0</v>
      </c>
      <c r="AQ782" s="48">
        <v>0</v>
      </c>
      <c r="AR782" s="48">
        <v>0</v>
      </c>
      <c r="AS782" s="48">
        <v>0</v>
      </c>
      <c r="AT782" s="48">
        <v>0</v>
      </c>
      <c r="AU782" s="48">
        <v>0</v>
      </c>
      <c r="AV782" s="48">
        <v>0</v>
      </c>
      <c r="AW782" s="48">
        <v>0</v>
      </c>
      <c r="AX782" s="48">
        <v>0</v>
      </c>
      <c r="AY782" s="48">
        <v>0</v>
      </c>
      <c r="AZ782" s="48">
        <v>0</v>
      </c>
      <c r="BA782" s="48">
        <v>0</v>
      </c>
      <c r="BB782" s="48">
        <v>0</v>
      </c>
    </row>
    <row r="783" spans="1:54" x14ac:dyDescent="0.35">
      <c r="A783" s="49">
        <v>45930</v>
      </c>
      <c r="B783" s="48">
        <v>1</v>
      </c>
      <c r="C783" s="50" t="s">
        <v>41</v>
      </c>
      <c r="D783" s="48" t="s">
        <v>31</v>
      </c>
      <c r="E783" s="48" t="s">
        <v>138</v>
      </c>
      <c r="F783" s="48" t="s">
        <v>139</v>
      </c>
      <c r="G783" s="49" t="s">
        <v>65</v>
      </c>
      <c r="H783" s="48" t="s">
        <v>65</v>
      </c>
      <c r="I783" s="48">
        <v>1</v>
      </c>
      <c r="J783" s="48">
        <v>18</v>
      </c>
      <c r="K783" s="48">
        <v>1</v>
      </c>
      <c r="N783" s="48">
        <v>0</v>
      </c>
      <c r="R783" s="49"/>
      <c r="S783" s="181">
        <v>0</v>
      </c>
      <c r="T783" s="49">
        <v>46477</v>
      </c>
      <c r="U783" s="49">
        <v>46477</v>
      </c>
      <c r="V783" s="49">
        <v>46477</v>
      </c>
      <c r="W783" s="49">
        <v>46477</v>
      </c>
      <c r="X783" s="48">
        <v>1</v>
      </c>
      <c r="Y783" s="48">
        <v>1</v>
      </c>
      <c r="Z783" s="48">
        <v>1</v>
      </c>
      <c r="AA783" s="156">
        <v>3833994024.2763772</v>
      </c>
      <c r="AF783" s="48">
        <v>0</v>
      </c>
      <c r="AG783" s="49" t="s">
        <v>41</v>
      </c>
      <c r="AH783" s="48">
        <v>1</v>
      </c>
      <c r="AI783" s="48" t="s">
        <v>33</v>
      </c>
      <c r="AJ783" s="48" t="s">
        <v>33</v>
      </c>
      <c r="AK783" s="48" t="s">
        <v>33</v>
      </c>
      <c r="AL783" s="48" t="s">
        <v>34</v>
      </c>
      <c r="AN783" s="48">
        <v>0</v>
      </c>
      <c r="AO783" s="48">
        <v>0</v>
      </c>
      <c r="AP783" s="48">
        <v>0</v>
      </c>
      <c r="AQ783" s="48">
        <v>0</v>
      </c>
      <c r="AR783" s="48">
        <v>0</v>
      </c>
      <c r="AS783" s="48">
        <v>0</v>
      </c>
      <c r="AT783" s="48">
        <v>0</v>
      </c>
      <c r="AU783" s="48">
        <v>0</v>
      </c>
      <c r="AV783" s="48">
        <v>0</v>
      </c>
      <c r="AW783" s="48">
        <v>0</v>
      </c>
      <c r="AX783" s="48">
        <v>0</v>
      </c>
      <c r="AY783" s="48">
        <v>0</v>
      </c>
      <c r="AZ783" s="48">
        <v>0</v>
      </c>
      <c r="BA783" s="48">
        <v>0</v>
      </c>
      <c r="BB783" s="48">
        <v>0</v>
      </c>
    </row>
    <row r="784" spans="1:54" x14ac:dyDescent="0.35">
      <c r="A784" s="49">
        <v>45930</v>
      </c>
      <c r="B784" s="48">
        <v>1</v>
      </c>
      <c r="C784" s="50" t="s">
        <v>41</v>
      </c>
      <c r="D784" s="48" t="s">
        <v>31</v>
      </c>
      <c r="E784" s="48" t="s">
        <v>138</v>
      </c>
      <c r="F784" s="48" t="s">
        <v>139</v>
      </c>
      <c r="G784" s="49" t="s">
        <v>65</v>
      </c>
      <c r="H784" s="48" t="s">
        <v>65</v>
      </c>
      <c r="I784" s="48">
        <v>1</v>
      </c>
      <c r="J784" s="48">
        <v>19</v>
      </c>
      <c r="K784" s="48">
        <v>1</v>
      </c>
      <c r="N784" s="48">
        <v>0</v>
      </c>
      <c r="R784" s="49"/>
      <c r="S784" s="181">
        <v>0</v>
      </c>
      <c r="T784" s="49">
        <v>46507</v>
      </c>
      <c r="U784" s="49">
        <v>46507</v>
      </c>
      <c r="V784" s="49">
        <v>46507</v>
      </c>
      <c r="W784" s="49">
        <v>46507</v>
      </c>
      <c r="X784" s="48">
        <v>1</v>
      </c>
      <c r="Y784" s="48">
        <v>1</v>
      </c>
      <c r="Z784" s="48">
        <v>1</v>
      </c>
      <c r="AA784" s="156">
        <v>3833994024.2763772</v>
      </c>
      <c r="AF784" s="48">
        <v>0</v>
      </c>
      <c r="AG784" s="49" t="s">
        <v>41</v>
      </c>
      <c r="AH784" s="48">
        <v>1</v>
      </c>
      <c r="AI784" s="48" t="s">
        <v>33</v>
      </c>
      <c r="AJ784" s="48" t="s">
        <v>33</v>
      </c>
      <c r="AK784" s="48" t="s">
        <v>33</v>
      </c>
      <c r="AL784" s="48" t="s">
        <v>34</v>
      </c>
      <c r="AN784" s="48">
        <v>0</v>
      </c>
      <c r="AO784" s="48">
        <v>0</v>
      </c>
      <c r="AP784" s="48">
        <v>0</v>
      </c>
      <c r="AQ784" s="48">
        <v>0</v>
      </c>
      <c r="AR784" s="48">
        <v>0</v>
      </c>
      <c r="AS784" s="48">
        <v>0</v>
      </c>
      <c r="AT784" s="48">
        <v>0</v>
      </c>
      <c r="AU784" s="48">
        <v>0</v>
      </c>
      <c r="AV784" s="48">
        <v>0</v>
      </c>
      <c r="AW784" s="48">
        <v>0</v>
      </c>
      <c r="AX784" s="48">
        <v>0</v>
      </c>
      <c r="AY784" s="48">
        <v>0</v>
      </c>
      <c r="AZ784" s="48">
        <v>0</v>
      </c>
      <c r="BA784" s="48">
        <v>0</v>
      </c>
      <c r="BB784" s="48">
        <v>0</v>
      </c>
    </row>
    <row r="785" spans="1:54" x14ac:dyDescent="0.35">
      <c r="A785" s="49">
        <v>45930</v>
      </c>
      <c r="B785" s="48">
        <v>1</v>
      </c>
      <c r="C785" s="50" t="s">
        <v>41</v>
      </c>
      <c r="D785" s="48" t="s">
        <v>31</v>
      </c>
      <c r="E785" s="48" t="s">
        <v>138</v>
      </c>
      <c r="F785" s="48" t="s">
        <v>139</v>
      </c>
      <c r="G785" s="49" t="s">
        <v>65</v>
      </c>
      <c r="H785" s="48" t="s">
        <v>65</v>
      </c>
      <c r="I785" s="48">
        <v>1</v>
      </c>
      <c r="J785" s="48">
        <v>20</v>
      </c>
      <c r="K785" s="48">
        <v>1</v>
      </c>
      <c r="N785" s="48">
        <v>0</v>
      </c>
      <c r="R785" s="49"/>
      <c r="S785" s="181">
        <v>0</v>
      </c>
      <c r="T785" s="49">
        <v>46538</v>
      </c>
      <c r="U785" s="49">
        <v>46538</v>
      </c>
      <c r="V785" s="49">
        <v>46538</v>
      </c>
      <c r="W785" s="49">
        <v>46538</v>
      </c>
      <c r="X785" s="48">
        <v>1</v>
      </c>
      <c r="Y785" s="48">
        <v>1</v>
      </c>
      <c r="Z785" s="48">
        <v>1</v>
      </c>
      <c r="AA785" s="156">
        <v>3833994024.2763772</v>
      </c>
      <c r="AF785" s="48">
        <v>0</v>
      </c>
      <c r="AG785" s="49" t="s">
        <v>41</v>
      </c>
      <c r="AH785" s="48">
        <v>1</v>
      </c>
      <c r="AI785" s="48" t="s">
        <v>33</v>
      </c>
      <c r="AJ785" s="48" t="s">
        <v>33</v>
      </c>
      <c r="AK785" s="48" t="s">
        <v>33</v>
      </c>
      <c r="AL785" s="48" t="s">
        <v>34</v>
      </c>
      <c r="AN785" s="48">
        <v>0</v>
      </c>
      <c r="AO785" s="48">
        <v>0</v>
      </c>
      <c r="AP785" s="48">
        <v>0</v>
      </c>
      <c r="AQ785" s="48">
        <v>0</v>
      </c>
      <c r="AR785" s="48">
        <v>0</v>
      </c>
      <c r="AS785" s="48">
        <v>0</v>
      </c>
      <c r="AT785" s="48">
        <v>0</v>
      </c>
      <c r="AU785" s="48">
        <v>0</v>
      </c>
      <c r="AV785" s="48">
        <v>0</v>
      </c>
      <c r="AW785" s="48">
        <v>0</v>
      </c>
      <c r="AX785" s="48">
        <v>0</v>
      </c>
      <c r="AY785" s="48">
        <v>0</v>
      </c>
      <c r="AZ785" s="48">
        <v>0</v>
      </c>
      <c r="BA785" s="48">
        <v>0</v>
      </c>
      <c r="BB785" s="48">
        <v>0</v>
      </c>
    </row>
    <row r="786" spans="1:54" x14ac:dyDescent="0.35">
      <c r="A786" s="49">
        <v>45930</v>
      </c>
      <c r="B786" s="48">
        <v>1</v>
      </c>
      <c r="C786" s="50" t="s">
        <v>41</v>
      </c>
      <c r="D786" s="48" t="s">
        <v>31</v>
      </c>
      <c r="E786" s="48" t="s">
        <v>138</v>
      </c>
      <c r="F786" s="48" t="s">
        <v>139</v>
      </c>
      <c r="G786" s="49" t="s">
        <v>65</v>
      </c>
      <c r="H786" s="48" t="s">
        <v>65</v>
      </c>
      <c r="I786" s="48">
        <v>1</v>
      </c>
      <c r="J786" s="48">
        <v>21</v>
      </c>
      <c r="K786" s="48">
        <v>1</v>
      </c>
      <c r="N786" s="48">
        <v>0</v>
      </c>
      <c r="R786" s="49"/>
      <c r="S786" s="181">
        <v>0</v>
      </c>
      <c r="T786" s="49">
        <v>46568</v>
      </c>
      <c r="U786" s="49">
        <v>46568</v>
      </c>
      <c r="V786" s="49">
        <v>46568</v>
      </c>
      <c r="W786" s="49">
        <v>46568</v>
      </c>
      <c r="X786" s="48">
        <v>1</v>
      </c>
      <c r="Y786" s="48">
        <v>1</v>
      </c>
      <c r="Z786" s="48">
        <v>1</v>
      </c>
      <c r="AA786" s="156">
        <v>3833994024.2763772</v>
      </c>
      <c r="AF786" s="48">
        <v>0</v>
      </c>
      <c r="AG786" s="49" t="s">
        <v>41</v>
      </c>
      <c r="AH786" s="48">
        <v>1</v>
      </c>
      <c r="AI786" s="48" t="s">
        <v>33</v>
      </c>
      <c r="AJ786" s="48" t="s">
        <v>33</v>
      </c>
      <c r="AK786" s="48" t="s">
        <v>33</v>
      </c>
      <c r="AL786" s="48" t="s">
        <v>34</v>
      </c>
      <c r="AN786" s="48">
        <v>0</v>
      </c>
      <c r="AO786" s="48">
        <v>0</v>
      </c>
      <c r="AP786" s="48">
        <v>0</v>
      </c>
      <c r="AQ786" s="48">
        <v>0</v>
      </c>
      <c r="AR786" s="48">
        <v>0</v>
      </c>
      <c r="AS786" s="48">
        <v>0</v>
      </c>
      <c r="AT786" s="48">
        <v>0</v>
      </c>
      <c r="AU786" s="48">
        <v>0</v>
      </c>
      <c r="AV786" s="48">
        <v>0</v>
      </c>
      <c r="AW786" s="48">
        <v>0</v>
      </c>
      <c r="AX786" s="48">
        <v>0</v>
      </c>
      <c r="AY786" s="48">
        <v>0</v>
      </c>
      <c r="AZ786" s="48">
        <v>0</v>
      </c>
      <c r="BA786" s="48">
        <v>0</v>
      </c>
      <c r="BB786" s="48">
        <v>0</v>
      </c>
    </row>
    <row r="787" spans="1:54" x14ac:dyDescent="0.35">
      <c r="A787" s="49">
        <v>45930</v>
      </c>
      <c r="B787" s="48">
        <v>1</v>
      </c>
      <c r="C787" s="50" t="s">
        <v>41</v>
      </c>
      <c r="D787" s="48" t="s">
        <v>31</v>
      </c>
      <c r="E787" s="48" t="s">
        <v>138</v>
      </c>
      <c r="F787" s="48" t="s">
        <v>139</v>
      </c>
      <c r="G787" s="49" t="s">
        <v>65</v>
      </c>
      <c r="H787" s="48" t="s">
        <v>65</v>
      </c>
      <c r="I787" s="48">
        <v>1</v>
      </c>
      <c r="J787" s="48">
        <v>22</v>
      </c>
      <c r="K787" s="48">
        <v>1</v>
      </c>
      <c r="N787" s="48">
        <v>0</v>
      </c>
      <c r="R787" s="49"/>
      <c r="S787" s="181">
        <v>0</v>
      </c>
      <c r="T787" s="49">
        <v>46599</v>
      </c>
      <c r="U787" s="49">
        <v>46599</v>
      </c>
      <c r="V787" s="49">
        <v>46599</v>
      </c>
      <c r="W787" s="49">
        <v>46599</v>
      </c>
      <c r="X787" s="48">
        <v>1</v>
      </c>
      <c r="Y787" s="48">
        <v>1</v>
      </c>
      <c r="Z787" s="48">
        <v>1</v>
      </c>
      <c r="AA787" s="156">
        <v>3833994024.2763772</v>
      </c>
      <c r="AF787" s="48">
        <v>0</v>
      </c>
      <c r="AG787" s="49" t="s">
        <v>41</v>
      </c>
      <c r="AH787" s="48">
        <v>1</v>
      </c>
      <c r="AI787" s="48" t="s">
        <v>33</v>
      </c>
      <c r="AJ787" s="48" t="s">
        <v>33</v>
      </c>
      <c r="AK787" s="48" t="s">
        <v>33</v>
      </c>
      <c r="AL787" s="48" t="s">
        <v>34</v>
      </c>
      <c r="AN787" s="48">
        <v>0</v>
      </c>
      <c r="AO787" s="48">
        <v>0</v>
      </c>
      <c r="AP787" s="48">
        <v>0</v>
      </c>
      <c r="AQ787" s="48">
        <v>0</v>
      </c>
      <c r="AR787" s="48">
        <v>0</v>
      </c>
      <c r="AS787" s="48">
        <v>0</v>
      </c>
      <c r="AT787" s="48">
        <v>0</v>
      </c>
      <c r="AU787" s="48">
        <v>0</v>
      </c>
      <c r="AV787" s="48">
        <v>0</v>
      </c>
      <c r="AW787" s="48">
        <v>0</v>
      </c>
      <c r="AX787" s="48">
        <v>0</v>
      </c>
      <c r="AY787" s="48">
        <v>0</v>
      </c>
      <c r="AZ787" s="48">
        <v>0</v>
      </c>
      <c r="BA787" s="48">
        <v>0</v>
      </c>
      <c r="BB787" s="48">
        <v>0</v>
      </c>
    </row>
    <row r="788" spans="1:54" x14ac:dyDescent="0.35">
      <c r="A788" s="49">
        <v>45930</v>
      </c>
      <c r="B788" s="48">
        <v>1</v>
      </c>
      <c r="C788" s="50" t="s">
        <v>41</v>
      </c>
      <c r="D788" s="48" t="s">
        <v>31</v>
      </c>
      <c r="E788" s="48" t="s">
        <v>138</v>
      </c>
      <c r="F788" s="48" t="s">
        <v>139</v>
      </c>
      <c r="G788" s="49" t="s">
        <v>65</v>
      </c>
      <c r="H788" s="48" t="s">
        <v>65</v>
      </c>
      <c r="I788" s="48">
        <v>1</v>
      </c>
      <c r="J788" s="48">
        <v>23</v>
      </c>
      <c r="K788" s="48">
        <v>1</v>
      </c>
      <c r="N788" s="48">
        <v>0</v>
      </c>
      <c r="R788" s="49"/>
      <c r="S788" s="181">
        <v>0</v>
      </c>
      <c r="T788" s="49">
        <v>46630</v>
      </c>
      <c r="U788" s="49">
        <v>46630</v>
      </c>
      <c r="V788" s="49">
        <v>46630</v>
      </c>
      <c r="W788" s="49">
        <v>46630</v>
      </c>
      <c r="X788" s="48">
        <v>1</v>
      </c>
      <c r="Y788" s="48">
        <v>1</v>
      </c>
      <c r="Z788" s="48">
        <v>1</v>
      </c>
      <c r="AA788" s="156">
        <v>3833994024.2763772</v>
      </c>
      <c r="AF788" s="48">
        <v>0</v>
      </c>
      <c r="AG788" s="49" t="s">
        <v>41</v>
      </c>
      <c r="AH788" s="48">
        <v>1</v>
      </c>
      <c r="AI788" s="48" t="s">
        <v>33</v>
      </c>
      <c r="AJ788" s="48" t="s">
        <v>33</v>
      </c>
      <c r="AK788" s="48" t="s">
        <v>33</v>
      </c>
      <c r="AL788" s="48" t="s">
        <v>34</v>
      </c>
      <c r="AN788" s="48">
        <v>0</v>
      </c>
      <c r="AO788" s="48">
        <v>0</v>
      </c>
      <c r="AP788" s="48">
        <v>0</v>
      </c>
      <c r="AQ788" s="48">
        <v>0</v>
      </c>
      <c r="AR788" s="48">
        <v>0</v>
      </c>
      <c r="AS788" s="48">
        <v>0</v>
      </c>
      <c r="AT788" s="48">
        <v>0</v>
      </c>
      <c r="AU788" s="48">
        <v>0</v>
      </c>
      <c r="AV788" s="48">
        <v>0</v>
      </c>
      <c r="AW788" s="48">
        <v>0</v>
      </c>
      <c r="AX788" s="48">
        <v>0</v>
      </c>
      <c r="AY788" s="48">
        <v>0</v>
      </c>
      <c r="AZ788" s="48">
        <v>0</v>
      </c>
      <c r="BA788" s="48">
        <v>0</v>
      </c>
      <c r="BB788" s="48">
        <v>0</v>
      </c>
    </row>
    <row r="789" spans="1:54" x14ac:dyDescent="0.35">
      <c r="A789" s="49">
        <v>45930</v>
      </c>
      <c r="B789" s="48">
        <v>1</v>
      </c>
      <c r="C789" s="50" t="s">
        <v>41</v>
      </c>
      <c r="D789" s="48" t="s">
        <v>31</v>
      </c>
      <c r="E789" s="48" t="s">
        <v>138</v>
      </c>
      <c r="F789" s="48" t="s">
        <v>139</v>
      </c>
      <c r="G789" s="49" t="s">
        <v>65</v>
      </c>
      <c r="H789" s="48" t="s">
        <v>65</v>
      </c>
      <c r="I789" s="48">
        <v>1</v>
      </c>
      <c r="J789" s="48">
        <v>24</v>
      </c>
      <c r="K789" s="48">
        <v>1</v>
      </c>
      <c r="N789" s="48">
        <v>0</v>
      </c>
      <c r="R789" s="49"/>
      <c r="S789" s="181">
        <v>0</v>
      </c>
      <c r="T789" s="49">
        <v>46660</v>
      </c>
      <c r="U789" s="49">
        <v>46660</v>
      </c>
      <c r="V789" s="49">
        <v>46660</v>
      </c>
      <c r="W789" s="49">
        <v>46660</v>
      </c>
      <c r="X789" s="48">
        <v>1</v>
      </c>
      <c r="Y789" s="48">
        <v>1</v>
      </c>
      <c r="Z789" s="48">
        <v>1</v>
      </c>
      <c r="AA789" s="156">
        <v>3833994024.2763772</v>
      </c>
      <c r="AF789" s="48">
        <v>0</v>
      </c>
      <c r="AG789" s="49" t="s">
        <v>41</v>
      </c>
      <c r="AH789" s="48">
        <v>1</v>
      </c>
      <c r="AI789" s="48" t="s">
        <v>33</v>
      </c>
      <c r="AJ789" s="48" t="s">
        <v>33</v>
      </c>
      <c r="AK789" s="48" t="s">
        <v>33</v>
      </c>
      <c r="AL789" s="48" t="s">
        <v>34</v>
      </c>
      <c r="AN789" s="48">
        <v>0</v>
      </c>
      <c r="AO789" s="48">
        <v>0</v>
      </c>
      <c r="AP789" s="48">
        <v>0</v>
      </c>
      <c r="AQ789" s="48">
        <v>0</v>
      </c>
      <c r="AR789" s="48">
        <v>0</v>
      </c>
      <c r="AS789" s="48">
        <v>0</v>
      </c>
      <c r="AT789" s="48">
        <v>0</v>
      </c>
      <c r="AU789" s="48">
        <v>0</v>
      </c>
      <c r="AV789" s="48">
        <v>0</v>
      </c>
      <c r="AW789" s="48">
        <v>0</v>
      </c>
      <c r="AX789" s="48">
        <v>0</v>
      </c>
      <c r="AY789" s="48">
        <v>0</v>
      </c>
      <c r="AZ789" s="48">
        <v>0</v>
      </c>
      <c r="BA789" s="48">
        <v>0</v>
      </c>
      <c r="BB789" s="48">
        <v>0</v>
      </c>
    </row>
    <row r="790" spans="1:54" x14ac:dyDescent="0.35">
      <c r="A790" s="49">
        <v>45930</v>
      </c>
      <c r="B790" s="48">
        <v>1</v>
      </c>
      <c r="C790" s="50" t="s">
        <v>41</v>
      </c>
      <c r="D790" s="48" t="s">
        <v>31</v>
      </c>
      <c r="E790" s="48" t="s">
        <v>138</v>
      </c>
      <c r="F790" s="48" t="s">
        <v>139</v>
      </c>
      <c r="G790" s="49" t="s">
        <v>65</v>
      </c>
      <c r="H790" s="48" t="s">
        <v>65</v>
      </c>
      <c r="I790" s="48">
        <v>1</v>
      </c>
      <c r="J790" s="48">
        <v>25</v>
      </c>
      <c r="K790" s="48">
        <v>1</v>
      </c>
      <c r="N790" s="48">
        <v>0</v>
      </c>
      <c r="R790" s="49"/>
      <c r="S790" s="181">
        <v>0</v>
      </c>
      <c r="T790" s="49">
        <v>46691</v>
      </c>
      <c r="U790" s="49">
        <v>46691</v>
      </c>
      <c r="V790" s="49">
        <v>46691</v>
      </c>
      <c r="W790" s="49">
        <v>46691</v>
      </c>
      <c r="X790" s="48">
        <v>1</v>
      </c>
      <c r="Y790" s="48">
        <v>1</v>
      </c>
      <c r="Z790" s="48">
        <v>1</v>
      </c>
      <c r="AA790" s="156">
        <v>3833994024.2763772</v>
      </c>
      <c r="AF790" s="48">
        <v>0</v>
      </c>
      <c r="AG790" s="49" t="s">
        <v>41</v>
      </c>
      <c r="AH790" s="48">
        <v>1</v>
      </c>
      <c r="AI790" s="48" t="s">
        <v>33</v>
      </c>
      <c r="AJ790" s="48" t="s">
        <v>33</v>
      </c>
      <c r="AK790" s="48" t="s">
        <v>33</v>
      </c>
      <c r="AL790" s="48" t="s">
        <v>34</v>
      </c>
      <c r="AN790" s="48">
        <v>0</v>
      </c>
      <c r="AO790" s="48">
        <v>0</v>
      </c>
      <c r="AP790" s="48">
        <v>0</v>
      </c>
      <c r="AQ790" s="48">
        <v>0</v>
      </c>
      <c r="AR790" s="48">
        <v>0</v>
      </c>
      <c r="AS790" s="48">
        <v>0</v>
      </c>
      <c r="AT790" s="48">
        <v>0</v>
      </c>
      <c r="AU790" s="48">
        <v>0</v>
      </c>
      <c r="AV790" s="48">
        <v>0</v>
      </c>
      <c r="AW790" s="48">
        <v>0</v>
      </c>
      <c r="AX790" s="48">
        <v>0</v>
      </c>
      <c r="AY790" s="48">
        <v>0</v>
      </c>
      <c r="AZ790" s="48">
        <v>0</v>
      </c>
      <c r="BA790" s="48">
        <v>0</v>
      </c>
      <c r="BB790" s="48">
        <v>0</v>
      </c>
    </row>
    <row r="791" spans="1:54" x14ac:dyDescent="0.35">
      <c r="A791" s="49">
        <v>45930</v>
      </c>
      <c r="B791" s="48">
        <v>1</v>
      </c>
      <c r="C791" s="50" t="s">
        <v>41</v>
      </c>
      <c r="D791" s="48" t="s">
        <v>31</v>
      </c>
      <c r="E791" s="48" t="s">
        <v>138</v>
      </c>
      <c r="F791" s="48" t="s">
        <v>139</v>
      </c>
      <c r="G791" s="49" t="s">
        <v>65</v>
      </c>
      <c r="H791" s="48" t="s">
        <v>65</v>
      </c>
      <c r="I791" s="48">
        <v>1</v>
      </c>
      <c r="J791" s="48">
        <v>26</v>
      </c>
      <c r="K791" s="48">
        <v>1</v>
      </c>
      <c r="N791" s="48">
        <v>0</v>
      </c>
      <c r="R791" s="49"/>
      <c r="S791" s="181">
        <v>0</v>
      </c>
      <c r="T791" s="49">
        <v>46721</v>
      </c>
      <c r="U791" s="49">
        <v>46721</v>
      </c>
      <c r="V791" s="49">
        <v>46721</v>
      </c>
      <c r="W791" s="49">
        <v>46721</v>
      </c>
      <c r="X791" s="48">
        <v>1</v>
      </c>
      <c r="Y791" s="48">
        <v>1</v>
      </c>
      <c r="Z791" s="48">
        <v>1</v>
      </c>
      <c r="AA791" s="156">
        <v>3833994024.2763772</v>
      </c>
      <c r="AF791" s="48">
        <v>0</v>
      </c>
      <c r="AG791" s="49" t="s">
        <v>41</v>
      </c>
      <c r="AH791" s="48">
        <v>1</v>
      </c>
      <c r="AI791" s="48" t="s">
        <v>33</v>
      </c>
      <c r="AJ791" s="48" t="s">
        <v>33</v>
      </c>
      <c r="AK791" s="48" t="s">
        <v>33</v>
      </c>
      <c r="AL791" s="48" t="s">
        <v>34</v>
      </c>
      <c r="AN791" s="48">
        <v>0</v>
      </c>
      <c r="AO791" s="48">
        <v>0</v>
      </c>
      <c r="AP791" s="48">
        <v>0</v>
      </c>
      <c r="AQ791" s="48">
        <v>0</v>
      </c>
      <c r="AR791" s="48">
        <v>0</v>
      </c>
      <c r="AS791" s="48">
        <v>0</v>
      </c>
      <c r="AT791" s="48">
        <v>0</v>
      </c>
      <c r="AU791" s="48">
        <v>0</v>
      </c>
      <c r="AV791" s="48">
        <v>0</v>
      </c>
      <c r="AW791" s="48">
        <v>0</v>
      </c>
      <c r="AX791" s="48">
        <v>0</v>
      </c>
      <c r="AY791" s="48">
        <v>0</v>
      </c>
      <c r="AZ791" s="48">
        <v>0</v>
      </c>
      <c r="BA791" s="48">
        <v>0</v>
      </c>
      <c r="BB791" s="48">
        <v>0</v>
      </c>
    </row>
    <row r="792" spans="1:54" x14ac:dyDescent="0.35">
      <c r="A792" s="49">
        <v>45930</v>
      </c>
      <c r="B792" s="48">
        <v>1</v>
      </c>
      <c r="C792" s="50" t="s">
        <v>41</v>
      </c>
      <c r="D792" s="48" t="s">
        <v>31</v>
      </c>
      <c r="E792" s="48" t="s">
        <v>138</v>
      </c>
      <c r="F792" s="48" t="s">
        <v>139</v>
      </c>
      <c r="G792" s="49" t="s">
        <v>65</v>
      </c>
      <c r="H792" s="48" t="s">
        <v>65</v>
      </c>
      <c r="I792" s="48">
        <v>1</v>
      </c>
      <c r="J792" s="48">
        <v>27</v>
      </c>
      <c r="K792" s="48">
        <v>1</v>
      </c>
      <c r="N792" s="48">
        <v>0</v>
      </c>
      <c r="R792" s="49"/>
      <c r="S792" s="181">
        <v>0</v>
      </c>
      <c r="T792" s="49">
        <v>46752</v>
      </c>
      <c r="U792" s="49">
        <v>46752</v>
      </c>
      <c r="V792" s="49">
        <v>46752</v>
      </c>
      <c r="W792" s="49">
        <v>46752</v>
      </c>
      <c r="X792" s="48">
        <v>1</v>
      </c>
      <c r="Y792" s="48">
        <v>1</v>
      </c>
      <c r="Z792" s="48">
        <v>1</v>
      </c>
      <c r="AA792" s="156">
        <v>3833994024.2763772</v>
      </c>
      <c r="AF792" s="48">
        <v>0</v>
      </c>
      <c r="AG792" s="49" t="s">
        <v>41</v>
      </c>
      <c r="AH792" s="48">
        <v>1</v>
      </c>
      <c r="AI792" s="48" t="s">
        <v>33</v>
      </c>
      <c r="AJ792" s="48" t="s">
        <v>33</v>
      </c>
      <c r="AK792" s="48" t="s">
        <v>33</v>
      </c>
      <c r="AL792" s="48" t="s">
        <v>34</v>
      </c>
      <c r="AN792" s="48">
        <v>0</v>
      </c>
      <c r="AO792" s="48">
        <v>0</v>
      </c>
      <c r="AP792" s="48">
        <v>0</v>
      </c>
      <c r="AQ792" s="48">
        <v>0</v>
      </c>
      <c r="AR792" s="48">
        <v>0</v>
      </c>
      <c r="AS792" s="48">
        <v>0</v>
      </c>
      <c r="AT792" s="48">
        <v>0</v>
      </c>
      <c r="AU792" s="48">
        <v>0</v>
      </c>
      <c r="AV792" s="48">
        <v>0</v>
      </c>
      <c r="AW792" s="48">
        <v>0</v>
      </c>
      <c r="AX792" s="48">
        <v>0</v>
      </c>
      <c r="AY792" s="48">
        <v>0</v>
      </c>
      <c r="AZ792" s="48">
        <v>0</v>
      </c>
      <c r="BA792" s="48">
        <v>0</v>
      </c>
      <c r="BB792" s="48">
        <v>0</v>
      </c>
    </row>
    <row r="793" spans="1:54" x14ac:dyDescent="0.35">
      <c r="A793" s="49">
        <v>45930</v>
      </c>
      <c r="B793" s="48">
        <v>1</v>
      </c>
      <c r="C793" s="50" t="s">
        <v>41</v>
      </c>
      <c r="D793" s="48" t="s">
        <v>31</v>
      </c>
      <c r="E793" s="48" t="s">
        <v>138</v>
      </c>
      <c r="F793" s="48" t="s">
        <v>139</v>
      </c>
      <c r="G793" s="49" t="s">
        <v>65</v>
      </c>
      <c r="H793" s="48" t="s">
        <v>65</v>
      </c>
      <c r="I793" s="48">
        <v>1</v>
      </c>
      <c r="J793" s="48">
        <v>28</v>
      </c>
      <c r="K793" s="48">
        <v>1</v>
      </c>
      <c r="N793" s="48">
        <v>0</v>
      </c>
      <c r="R793" s="49"/>
      <c r="S793" s="181">
        <v>0</v>
      </c>
      <c r="T793" s="49">
        <v>46783</v>
      </c>
      <c r="U793" s="49">
        <v>46783</v>
      </c>
      <c r="V793" s="49">
        <v>46783</v>
      </c>
      <c r="W793" s="49">
        <v>46783</v>
      </c>
      <c r="X793" s="48">
        <v>1</v>
      </c>
      <c r="Y793" s="48">
        <v>1</v>
      </c>
      <c r="Z793" s="48">
        <v>1</v>
      </c>
      <c r="AA793" s="156">
        <v>3833994024.2763772</v>
      </c>
      <c r="AF793" s="48">
        <v>0</v>
      </c>
      <c r="AG793" s="49" t="s">
        <v>41</v>
      </c>
      <c r="AH793" s="48">
        <v>1</v>
      </c>
      <c r="AI793" s="48" t="s">
        <v>33</v>
      </c>
      <c r="AJ793" s="48" t="s">
        <v>33</v>
      </c>
      <c r="AK793" s="48" t="s">
        <v>33</v>
      </c>
      <c r="AL793" s="48" t="s">
        <v>34</v>
      </c>
      <c r="AN793" s="48">
        <v>0</v>
      </c>
      <c r="AO793" s="48">
        <v>0</v>
      </c>
      <c r="AP793" s="48">
        <v>0</v>
      </c>
      <c r="AQ793" s="48">
        <v>0</v>
      </c>
      <c r="AR793" s="48">
        <v>0</v>
      </c>
      <c r="AS793" s="48">
        <v>0</v>
      </c>
      <c r="AT793" s="48">
        <v>0</v>
      </c>
      <c r="AU793" s="48">
        <v>0</v>
      </c>
      <c r="AV793" s="48">
        <v>0</v>
      </c>
      <c r="AW793" s="48">
        <v>0</v>
      </c>
      <c r="AX793" s="48">
        <v>0</v>
      </c>
      <c r="AY793" s="48">
        <v>0</v>
      </c>
      <c r="AZ793" s="48">
        <v>0</v>
      </c>
      <c r="BA793" s="48">
        <v>0</v>
      </c>
      <c r="BB793" s="48">
        <v>0</v>
      </c>
    </row>
    <row r="794" spans="1:54" x14ac:dyDescent="0.35">
      <c r="A794" s="49">
        <v>45930</v>
      </c>
      <c r="B794" s="48">
        <v>1</v>
      </c>
      <c r="C794" s="50" t="s">
        <v>41</v>
      </c>
      <c r="D794" s="48" t="s">
        <v>31</v>
      </c>
      <c r="E794" s="48" t="s">
        <v>138</v>
      </c>
      <c r="F794" s="48" t="s">
        <v>139</v>
      </c>
      <c r="G794" s="49" t="s">
        <v>65</v>
      </c>
      <c r="H794" s="48" t="s">
        <v>65</v>
      </c>
      <c r="I794" s="48">
        <v>1</v>
      </c>
      <c r="J794" s="48">
        <v>29</v>
      </c>
      <c r="K794" s="48">
        <v>1</v>
      </c>
      <c r="N794" s="48">
        <v>0</v>
      </c>
      <c r="R794" s="49"/>
      <c r="S794" s="181">
        <v>0</v>
      </c>
      <c r="T794" s="49">
        <v>46812</v>
      </c>
      <c r="U794" s="49">
        <v>46812</v>
      </c>
      <c r="V794" s="49">
        <v>46812</v>
      </c>
      <c r="W794" s="49">
        <v>46812</v>
      </c>
      <c r="X794" s="48">
        <v>1</v>
      </c>
      <c r="Y794" s="48">
        <v>1</v>
      </c>
      <c r="Z794" s="48">
        <v>1</v>
      </c>
      <c r="AA794" s="156">
        <v>3833994024.2763772</v>
      </c>
      <c r="AF794" s="48">
        <v>0</v>
      </c>
      <c r="AG794" s="49" t="s">
        <v>41</v>
      </c>
      <c r="AH794" s="48">
        <v>1</v>
      </c>
      <c r="AI794" s="48" t="s">
        <v>33</v>
      </c>
      <c r="AJ794" s="48" t="s">
        <v>33</v>
      </c>
      <c r="AK794" s="48" t="s">
        <v>33</v>
      </c>
      <c r="AL794" s="48" t="s">
        <v>34</v>
      </c>
      <c r="AN794" s="48">
        <v>0</v>
      </c>
      <c r="AO794" s="48">
        <v>0</v>
      </c>
      <c r="AP794" s="48">
        <v>0</v>
      </c>
      <c r="AQ794" s="48">
        <v>0</v>
      </c>
      <c r="AR794" s="48">
        <v>0</v>
      </c>
      <c r="AS794" s="48">
        <v>0</v>
      </c>
      <c r="AT794" s="48">
        <v>0</v>
      </c>
      <c r="AU794" s="48">
        <v>0</v>
      </c>
      <c r="AV794" s="48">
        <v>0</v>
      </c>
      <c r="AW794" s="48">
        <v>0</v>
      </c>
      <c r="AX794" s="48">
        <v>0</v>
      </c>
      <c r="AY794" s="48">
        <v>0</v>
      </c>
      <c r="AZ794" s="48">
        <v>0</v>
      </c>
      <c r="BA794" s="48">
        <v>0</v>
      </c>
      <c r="BB794" s="48">
        <v>0</v>
      </c>
    </row>
    <row r="795" spans="1:54" x14ac:dyDescent="0.35">
      <c r="A795" s="49">
        <v>45930</v>
      </c>
      <c r="B795" s="48">
        <v>1</v>
      </c>
      <c r="C795" s="50" t="s">
        <v>41</v>
      </c>
      <c r="D795" s="48" t="s">
        <v>31</v>
      </c>
      <c r="E795" s="48" t="s">
        <v>138</v>
      </c>
      <c r="F795" s="48" t="s">
        <v>139</v>
      </c>
      <c r="G795" s="49" t="s">
        <v>65</v>
      </c>
      <c r="H795" s="48" t="s">
        <v>65</v>
      </c>
      <c r="I795" s="48">
        <v>1</v>
      </c>
      <c r="J795" s="48">
        <v>30</v>
      </c>
      <c r="K795" s="48">
        <v>1</v>
      </c>
      <c r="N795" s="48">
        <v>0</v>
      </c>
      <c r="R795" s="49"/>
      <c r="S795" s="181">
        <v>0</v>
      </c>
      <c r="T795" s="49">
        <v>46843</v>
      </c>
      <c r="U795" s="49">
        <v>46843</v>
      </c>
      <c r="V795" s="49">
        <v>46843</v>
      </c>
      <c r="W795" s="49">
        <v>46843</v>
      </c>
      <c r="X795" s="48">
        <v>1</v>
      </c>
      <c r="Y795" s="48">
        <v>1</v>
      </c>
      <c r="Z795" s="48">
        <v>1</v>
      </c>
      <c r="AA795" s="156">
        <v>3833994024.2763772</v>
      </c>
      <c r="AF795" s="48">
        <v>0</v>
      </c>
      <c r="AG795" s="49" t="s">
        <v>41</v>
      </c>
      <c r="AH795" s="48">
        <v>1</v>
      </c>
      <c r="AI795" s="48" t="s">
        <v>33</v>
      </c>
      <c r="AJ795" s="48" t="s">
        <v>33</v>
      </c>
      <c r="AK795" s="48" t="s">
        <v>33</v>
      </c>
      <c r="AL795" s="48" t="s">
        <v>34</v>
      </c>
      <c r="AN795" s="48">
        <v>0</v>
      </c>
      <c r="AO795" s="48">
        <v>0</v>
      </c>
      <c r="AP795" s="48">
        <v>0</v>
      </c>
      <c r="AQ795" s="48">
        <v>0</v>
      </c>
      <c r="AR795" s="48">
        <v>0</v>
      </c>
      <c r="AS795" s="48">
        <v>0</v>
      </c>
      <c r="AT795" s="48">
        <v>0</v>
      </c>
      <c r="AU795" s="48">
        <v>0</v>
      </c>
      <c r="AV795" s="48">
        <v>0</v>
      </c>
      <c r="AW795" s="48">
        <v>0</v>
      </c>
      <c r="AX795" s="48">
        <v>0</v>
      </c>
      <c r="AY795" s="48">
        <v>0</v>
      </c>
      <c r="AZ795" s="48">
        <v>0</v>
      </c>
      <c r="BA795" s="48">
        <v>0</v>
      </c>
      <c r="BB795" s="48">
        <v>0</v>
      </c>
    </row>
    <row r="796" spans="1:54" x14ac:dyDescent="0.35">
      <c r="A796" s="49">
        <v>45930</v>
      </c>
      <c r="B796" s="48">
        <v>1</v>
      </c>
      <c r="C796" s="50" t="s">
        <v>41</v>
      </c>
      <c r="D796" s="48" t="s">
        <v>31</v>
      </c>
      <c r="E796" s="48" t="s">
        <v>138</v>
      </c>
      <c r="F796" s="48" t="s">
        <v>139</v>
      </c>
      <c r="G796" s="49" t="s">
        <v>65</v>
      </c>
      <c r="H796" s="48" t="s">
        <v>65</v>
      </c>
      <c r="I796" s="48">
        <v>1</v>
      </c>
      <c r="J796" s="48">
        <v>31</v>
      </c>
      <c r="K796" s="48">
        <v>1</v>
      </c>
      <c r="N796" s="48">
        <v>0</v>
      </c>
      <c r="R796" s="49"/>
      <c r="S796" s="181">
        <v>0</v>
      </c>
      <c r="T796" s="49">
        <v>46873</v>
      </c>
      <c r="U796" s="49">
        <v>46873</v>
      </c>
      <c r="V796" s="49">
        <v>46873</v>
      </c>
      <c r="W796" s="49">
        <v>46873</v>
      </c>
      <c r="X796" s="48">
        <v>1</v>
      </c>
      <c r="Y796" s="48">
        <v>1</v>
      </c>
      <c r="Z796" s="48">
        <v>1</v>
      </c>
      <c r="AA796" s="156">
        <v>3833994024.2763772</v>
      </c>
      <c r="AF796" s="48">
        <v>0</v>
      </c>
      <c r="AG796" s="49" t="s">
        <v>41</v>
      </c>
      <c r="AH796" s="48">
        <v>1</v>
      </c>
      <c r="AI796" s="48" t="s">
        <v>33</v>
      </c>
      <c r="AJ796" s="48" t="s">
        <v>33</v>
      </c>
      <c r="AK796" s="48" t="s">
        <v>33</v>
      </c>
      <c r="AL796" s="48" t="s">
        <v>34</v>
      </c>
      <c r="AN796" s="48">
        <v>0</v>
      </c>
      <c r="AO796" s="48">
        <v>0</v>
      </c>
      <c r="AP796" s="48">
        <v>0</v>
      </c>
      <c r="AQ796" s="48">
        <v>0</v>
      </c>
      <c r="AR796" s="48">
        <v>0</v>
      </c>
      <c r="AS796" s="48">
        <v>0</v>
      </c>
      <c r="AT796" s="48">
        <v>0</v>
      </c>
      <c r="AU796" s="48">
        <v>0</v>
      </c>
      <c r="AV796" s="48">
        <v>0</v>
      </c>
      <c r="AW796" s="48">
        <v>0</v>
      </c>
      <c r="AX796" s="48">
        <v>0</v>
      </c>
      <c r="AY796" s="48">
        <v>0</v>
      </c>
      <c r="AZ796" s="48">
        <v>0</v>
      </c>
      <c r="BA796" s="48">
        <v>0</v>
      </c>
      <c r="BB796" s="48">
        <v>0</v>
      </c>
    </row>
    <row r="797" spans="1:54" x14ac:dyDescent="0.35">
      <c r="A797" s="49">
        <v>45930</v>
      </c>
      <c r="B797" s="48">
        <v>1</v>
      </c>
      <c r="C797" s="50" t="s">
        <v>41</v>
      </c>
      <c r="D797" s="48" t="s">
        <v>31</v>
      </c>
      <c r="E797" s="48" t="s">
        <v>138</v>
      </c>
      <c r="F797" s="48" t="s">
        <v>139</v>
      </c>
      <c r="G797" s="49" t="s">
        <v>65</v>
      </c>
      <c r="H797" s="48" t="s">
        <v>65</v>
      </c>
      <c r="I797" s="48">
        <v>1</v>
      </c>
      <c r="J797" s="48">
        <v>32</v>
      </c>
      <c r="K797" s="48">
        <v>1</v>
      </c>
      <c r="N797" s="48">
        <v>0</v>
      </c>
      <c r="R797" s="49"/>
      <c r="S797" s="181">
        <v>0</v>
      </c>
      <c r="T797" s="49">
        <v>46904</v>
      </c>
      <c r="U797" s="49">
        <v>46904</v>
      </c>
      <c r="V797" s="49">
        <v>46904</v>
      </c>
      <c r="W797" s="49">
        <v>46904</v>
      </c>
      <c r="X797" s="48">
        <v>1</v>
      </c>
      <c r="Y797" s="48">
        <v>1</v>
      </c>
      <c r="Z797" s="48">
        <v>1</v>
      </c>
      <c r="AA797" s="156">
        <v>3833994024.2763772</v>
      </c>
      <c r="AF797" s="48">
        <v>0</v>
      </c>
      <c r="AG797" s="49" t="s">
        <v>41</v>
      </c>
      <c r="AH797" s="48">
        <v>1</v>
      </c>
      <c r="AI797" s="48" t="s">
        <v>33</v>
      </c>
      <c r="AJ797" s="48" t="s">
        <v>33</v>
      </c>
      <c r="AK797" s="48" t="s">
        <v>33</v>
      </c>
      <c r="AL797" s="48" t="s">
        <v>34</v>
      </c>
      <c r="AN797" s="48">
        <v>0</v>
      </c>
      <c r="AO797" s="48">
        <v>0</v>
      </c>
      <c r="AP797" s="48">
        <v>0</v>
      </c>
      <c r="AQ797" s="48">
        <v>0</v>
      </c>
      <c r="AR797" s="48">
        <v>0</v>
      </c>
      <c r="AS797" s="48">
        <v>0</v>
      </c>
      <c r="AT797" s="48">
        <v>0</v>
      </c>
      <c r="AU797" s="48">
        <v>0</v>
      </c>
      <c r="AV797" s="48">
        <v>0</v>
      </c>
      <c r="AW797" s="48">
        <v>0</v>
      </c>
      <c r="AX797" s="48">
        <v>0</v>
      </c>
      <c r="AY797" s="48">
        <v>0</v>
      </c>
      <c r="AZ797" s="48">
        <v>0</v>
      </c>
      <c r="BA797" s="48">
        <v>0</v>
      </c>
      <c r="BB797" s="48">
        <v>0</v>
      </c>
    </row>
    <row r="798" spans="1:54" x14ac:dyDescent="0.35">
      <c r="A798" s="49">
        <v>45930</v>
      </c>
      <c r="B798" s="48">
        <v>1</v>
      </c>
      <c r="C798" s="50" t="s">
        <v>41</v>
      </c>
      <c r="D798" s="48" t="s">
        <v>31</v>
      </c>
      <c r="E798" s="48" t="s">
        <v>138</v>
      </c>
      <c r="F798" s="48" t="s">
        <v>139</v>
      </c>
      <c r="G798" s="49" t="s">
        <v>65</v>
      </c>
      <c r="H798" s="48" t="s">
        <v>65</v>
      </c>
      <c r="I798" s="48">
        <v>1</v>
      </c>
      <c r="J798" s="48">
        <v>33</v>
      </c>
      <c r="K798" s="48">
        <v>1</v>
      </c>
      <c r="N798" s="48">
        <v>0</v>
      </c>
      <c r="R798" s="49"/>
      <c r="S798" s="181">
        <v>0</v>
      </c>
      <c r="T798" s="49">
        <v>46934</v>
      </c>
      <c r="U798" s="49">
        <v>46934</v>
      </c>
      <c r="V798" s="49">
        <v>46934</v>
      </c>
      <c r="W798" s="49">
        <v>46934</v>
      </c>
      <c r="X798" s="48">
        <v>1</v>
      </c>
      <c r="Y798" s="48">
        <v>1</v>
      </c>
      <c r="Z798" s="48">
        <v>1</v>
      </c>
      <c r="AA798" s="156">
        <v>260558730.15873015</v>
      </c>
      <c r="AF798" s="48">
        <v>0</v>
      </c>
      <c r="AG798" s="49" t="s">
        <v>41</v>
      </c>
      <c r="AH798" s="48">
        <v>1</v>
      </c>
      <c r="AI798" s="48" t="s">
        <v>33</v>
      </c>
      <c r="AJ798" s="48" t="s">
        <v>33</v>
      </c>
      <c r="AK798" s="48" t="s">
        <v>33</v>
      </c>
      <c r="AL798" s="48" t="s">
        <v>34</v>
      </c>
      <c r="AN798" s="48">
        <v>0</v>
      </c>
      <c r="AO798" s="48">
        <v>0</v>
      </c>
      <c r="AP798" s="48">
        <v>0</v>
      </c>
      <c r="AQ798" s="48">
        <v>0</v>
      </c>
      <c r="AR798" s="48">
        <v>0</v>
      </c>
      <c r="AS798" s="48">
        <v>0</v>
      </c>
      <c r="AT798" s="48">
        <v>0</v>
      </c>
      <c r="AU798" s="48">
        <v>0</v>
      </c>
      <c r="AV798" s="48">
        <v>0</v>
      </c>
      <c r="AW798" s="48">
        <v>0</v>
      </c>
      <c r="AX798" s="48">
        <v>0</v>
      </c>
      <c r="AY798" s="48">
        <v>0</v>
      </c>
      <c r="AZ798" s="48">
        <v>0</v>
      </c>
      <c r="BA798" s="48">
        <v>0</v>
      </c>
      <c r="BB798" s="48">
        <v>0</v>
      </c>
    </row>
    <row r="799" spans="1:54" x14ac:dyDescent="0.35">
      <c r="A799" s="49">
        <v>45930</v>
      </c>
      <c r="B799" s="48">
        <v>1</v>
      </c>
      <c r="C799" s="50" t="s">
        <v>41</v>
      </c>
      <c r="D799" s="48" t="s">
        <v>31</v>
      </c>
      <c r="E799" s="48" t="s">
        <v>138</v>
      </c>
      <c r="F799" s="48" t="s">
        <v>139</v>
      </c>
      <c r="G799" s="49" t="s">
        <v>65</v>
      </c>
      <c r="H799" s="48" t="s">
        <v>65</v>
      </c>
      <c r="I799" s="48">
        <v>1</v>
      </c>
      <c r="J799" s="48">
        <v>34</v>
      </c>
      <c r="K799" s="48">
        <v>1</v>
      </c>
      <c r="N799" s="48">
        <v>0</v>
      </c>
      <c r="R799" s="49"/>
      <c r="S799" s="181">
        <v>0</v>
      </c>
      <c r="T799" s="49">
        <v>46965</v>
      </c>
      <c r="U799" s="49">
        <v>46965</v>
      </c>
      <c r="V799" s="49">
        <v>46965</v>
      </c>
      <c r="W799" s="49">
        <v>46965</v>
      </c>
      <c r="X799" s="48">
        <v>1</v>
      </c>
      <c r="Y799" s="48">
        <v>1</v>
      </c>
      <c r="Z799" s="48">
        <v>1</v>
      </c>
      <c r="AA799" s="156">
        <v>260558730.15873015</v>
      </c>
      <c r="AF799" s="48">
        <v>0</v>
      </c>
      <c r="AG799" s="49" t="s">
        <v>41</v>
      </c>
      <c r="AH799" s="48">
        <v>1</v>
      </c>
      <c r="AI799" s="48" t="s">
        <v>33</v>
      </c>
      <c r="AJ799" s="48" t="s">
        <v>33</v>
      </c>
      <c r="AK799" s="48" t="s">
        <v>33</v>
      </c>
      <c r="AL799" s="48" t="s">
        <v>34</v>
      </c>
      <c r="AN799" s="48">
        <v>0</v>
      </c>
      <c r="AO799" s="48">
        <v>0</v>
      </c>
      <c r="AP799" s="48">
        <v>0</v>
      </c>
      <c r="AQ799" s="48">
        <v>0</v>
      </c>
      <c r="AR799" s="48">
        <v>0</v>
      </c>
      <c r="AS799" s="48">
        <v>0</v>
      </c>
      <c r="AT799" s="48">
        <v>0</v>
      </c>
      <c r="AU799" s="48">
        <v>0</v>
      </c>
      <c r="AV799" s="48">
        <v>0</v>
      </c>
      <c r="AW799" s="48">
        <v>0</v>
      </c>
      <c r="AX799" s="48">
        <v>0</v>
      </c>
      <c r="AY799" s="48">
        <v>0</v>
      </c>
      <c r="AZ799" s="48">
        <v>0</v>
      </c>
      <c r="BA799" s="48">
        <v>0</v>
      </c>
      <c r="BB799" s="48">
        <v>0</v>
      </c>
    </row>
    <row r="800" spans="1:54" x14ac:dyDescent="0.35">
      <c r="A800" s="49">
        <v>45930</v>
      </c>
      <c r="B800" s="48">
        <v>1</v>
      </c>
      <c r="C800" s="50" t="s">
        <v>41</v>
      </c>
      <c r="D800" s="48" t="s">
        <v>31</v>
      </c>
      <c r="E800" s="48" t="s">
        <v>138</v>
      </c>
      <c r="F800" s="48" t="s">
        <v>139</v>
      </c>
      <c r="G800" s="49" t="s">
        <v>65</v>
      </c>
      <c r="H800" s="48" t="s">
        <v>65</v>
      </c>
      <c r="I800" s="48">
        <v>1</v>
      </c>
      <c r="J800" s="48">
        <v>35</v>
      </c>
      <c r="K800" s="48">
        <v>1</v>
      </c>
      <c r="N800" s="48">
        <v>0</v>
      </c>
      <c r="R800" s="49"/>
      <c r="S800" s="181">
        <v>0</v>
      </c>
      <c r="T800" s="49">
        <v>45961</v>
      </c>
      <c r="U800" s="49">
        <v>45961</v>
      </c>
      <c r="V800" s="49">
        <v>45961</v>
      </c>
      <c r="W800" s="49">
        <v>45961</v>
      </c>
      <c r="X800" s="48">
        <v>1</v>
      </c>
      <c r="Y800" s="48">
        <v>1</v>
      </c>
      <c r="Z800" s="48">
        <v>1</v>
      </c>
      <c r="AA800" s="156">
        <v>260558730.15873015</v>
      </c>
      <c r="AF800" s="48">
        <v>0</v>
      </c>
      <c r="AG800" s="49" t="s">
        <v>41</v>
      </c>
      <c r="AH800" s="48">
        <v>1</v>
      </c>
      <c r="AI800" s="48" t="s">
        <v>33</v>
      </c>
      <c r="AJ800" s="48" t="s">
        <v>33</v>
      </c>
      <c r="AK800" s="48" t="s">
        <v>33</v>
      </c>
      <c r="AL800" s="48" t="s">
        <v>34</v>
      </c>
      <c r="AN800" s="48">
        <v>0</v>
      </c>
      <c r="AO800" s="48">
        <v>0</v>
      </c>
      <c r="AP800" s="48">
        <v>0</v>
      </c>
      <c r="AQ800" s="48">
        <v>0</v>
      </c>
      <c r="AR800" s="48">
        <v>0</v>
      </c>
      <c r="AS800" s="48">
        <v>0</v>
      </c>
      <c r="AT800" s="48">
        <v>0</v>
      </c>
      <c r="AU800" s="48">
        <v>0</v>
      </c>
      <c r="AV800" s="48">
        <v>0</v>
      </c>
      <c r="AW800" s="48">
        <v>0</v>
      </c>
      <c r="AX800" s="48">
        <v>0</v>
      </c>
      <c r="AY800" s="48">
        <v>0</v>
      </c>
      <c r="AZ800" s="48">
        <v>0</v>
      </c>
      <c r="BA800" s="48">
        <v>0</v>
      </c>
      <c r="BB800" s="48">
        <v>0</v>
      </c>
    </row>
    <row r="801" spans="1:54" x14ac:dyDescent="0.35">
      <c r="A801" s="49">
        <v>45930</v>
      </c>
      <c r="B801" s="48">
        <v>1</v>
      </c>
      <c r="C801" s="50" t="s">
        <v>41</v>
      </c>
      <c r="D801" s="48" t="s">
        <v>31</v>
      </c>
      <c r="E801" s="48" t="s">
        <v>138</v>
      </c>
      <c r="F801" s="48" t="s">
        <v>139</v>
      </c>
      <c r="G801" s="49" t="s">
        <v>65</v>
      </c>
      <c r="H801" s="48" t="s">
        <v>65</v>
      </c>
      <c r="I801" s="48">
        <v>1</v>
      </c>
      <c r="J801" s="48">
        <v>36</v>
      </c>
      <c r="K801" s="48">
        <v>1</v>
      </c>
      <c r="N801" s="48">
        <v>0</v>
      </c>
      <c r="R801" s="49"/>
      <c r="S801" s="181">
        <v>0</v>
      </c>
      <c r="T801" s="49">
        <v>45991</v>
      </c>
      <c r="U801" s="49">
        <v>45991</v>
      </c>
      <c r="V801" s="49">
        <v>45991</v>
      </c>
      <c r="W801" s="49">
        <v>45991</v>
      </c>
      <c r="X801" s="48">
        <v>1</v>
      </c>
      <c r="Y801" s="48">
        <v>1</v>
      </c>
      <c r="Z801" s="48">
        <v>1</v>
      </c>
      <c r="AA801" s="156">
        <v>260558730.15873015</v>
      </c>
      <c r="AF801" s="48">
        <v>0</v>
      </c>
      <c r="AG801" s="49" t="s">
        <v>41</v>
      </c>
      <c r="AH801" s="48">
        <v>1</v>
      </c>
      <c r="AI801" s="48" t="s">
        <v>33</v>
      </c>
      <c r="AJ801" s="48" t="s">
        <v>33</v>
      </c>
      <c r="AK801" s="48" t="s">
        <v>33</v>
      </c>
      <c r="AL801" s="48" t="s">
        <v>34</v>
      </c>
      <c r="AN801" s="48">
        <v>0</v>
      </c>
      <c r="AO801" s="48">
        <v>0</v>
      </c>
      <c r="AP801" s="48">
        <v>0</v>
      </c>
      <c r="AQ801" s="48">
        <v>0</v>
      </c>
      <c r="AR801" s="48">
        <v>0</v>
      </c>
      <c r="AS801" s="48">
        <v>0</v>
      </c>
      <c r="AT801" s="48">
        <v>0</v>
      </c>
      <c r="AU801" s="48">
        <v>0</v>
      </c>
      <c r="AV801" s="48">
        <v>0</v>
      </c>
      <c r="AW801" s="48">
        <v>0</v>
      </c>
      <c r="AX801" s="48">
        <v>0</v>
      </c>
      <c r="AY801" s="48">
        <v>0</v>
      </c>
      <c r="AZ801" s="48">
        <v>0</v>
      </c>
      <c r="BA801" s="48">
        <v>0</v>
      </c>
      <c r="BB801" s="48">
        <v>0</v>
      </c>
    </row>
    <row r="802" spans="1:54" x14ac:dyDescent="0.35">
      <c r="A802" s="49">
        <v>45930</v>
      </c>
      <c r="B802" s="48">
        <v>1</v>
      </c>
      <c r="C802" s="50" t="s">
        <v>41</v>
      </c>
      <c r="D802" s="48" t="s">
        <v>31</v>
      </c>
      <c r="E802" s="48" t="s">
        <v>138</v>
      </c>
      <c r="F802" s="48" t="s">
        <v>139</v>
      </c>
      <c r="G802" s="49" t="s">
        <v>65</v>
      </c>
      <c r="H802" s="48" t="s">
        <v>65</v>
      </c>
      <c r="I802" s="48">
        <v>1</v>
      </c>
      <c r="J802" s="48">
        <v>37</v>
      </c>
      <c r="K802" s="48">
        <v>1</v>
      </c>
      <c r="N802" s="48">
        <v>0</v>
      </c>
      <c r="R802" s="49"/>
      <c r="S802" s="181">
        <v>0</v>
      </c>
      <c r="T802" s="49">
        <v>46022</v>
      </c>
      <c r="U802" s="49">
        <v>46022</v>
      </c>
      <c r="V802" s="49">
        <v>46022</v>
      </c>
      <c r="W802" s="49">
        <v>46022</v>
      </c>
      <c r="X802" s="48">
        <v>1</v>
      </c>
      <c r="Y802" s="48">
        <v>1</v>
      </c>
      <c r="Z802" s="48">
        <v>1</v>
      </c>
      <c r="AA802" s="156">
        <v>260558730.15873015</v>
      </c>
      <c r="AF802" s="48">
        <v>0</v>
      </c>
      <c r="AG802" s="49" t="s">
        <v>41</v>
      </c>
      <c r="AH802" s="48">
        <v>1</v>
      </c>
      <c r="AI802" s="48" t="s">
        <v>33</v>
      </c>
      <c r="AJ802" s="48" t="s">
        <v>33</v>
      </c>
      <c r="AK802" s="48" t="s">
        <v>33</v>
      </c>
      <c r="AL802" s="48" t="s">
        <v>34</v>
      </c>
      <c r="AN802" s="48">
        <v>0</v>
      </c>
      <c r="AO802" s="48">
        <v>0</v>
      </c>
      <c r="AP802" s="48">
        <v>0</v>
      </c>
      <c r="AQ802" s="48">
        <v>0</v>
      </c>
      <c r="AR802" s="48">
        <v>0</v>
      </c>
      <c r="AS802" s="48">
        <v>0</v>
      </c>
      <c r="AT802" s="48">
        <v>0</v>
      </c>
      <c r="AU802" s="48">
        <v>0</v>
      </c>
      <c r="AV802" s="48">
        <v>0</v>
      </c>
      <c r="AW802" s="48">
        <v>0</v>
      </c>
      <c r="AX802" s="48">
        <v>0</v>
      </c>
      <c r="AY802" s="48">
        <v>0</v>
      </c>
      <c r="AZ802" s="48">
        <v>0</v>
      </c>
      <c r="BA802" s="48">
        <v>0</v>
      </c>
      <c r="BB802" s="48">
        <v>0</v>
      </c>
    </row>
    <row r="803" spans="1:54" x14ac:dyDescent="0.35">
      <c r="A803" s="49">
        <v>45930</v>
      </c>
      <c r="B803" s="48">
        <v>1</v>
      </c>
      <c r="C803" s="50" t="s">
        <v>41</v>
      </c>
      <c r="D803" s="48" t="s">
        <v>31</v>
      </c>
      <c r="E803" s="48" t="s">
        <v>138</v>
      </c>
      <c r="F803" s="48" t="s">
        <v>139</v>
      </c>
      <c r="G803" s="49" t="s">
        <v>65</v>
      </c>
      <c r="H803" s="48" t="s">
        <v>65</v>
      </c>
      <c r="I803" s="48">
        <v>1</v>
      </c>
      <c r="J803" s="48">
        <v>38</v>
      </c>
      <c r="K803" s="48">
        <v>1</v>
      </c>
      <c r="N803" s="48">
        <v>0</v>
      </c>
      <c r="R803" s="49"/>
      <c r="S803" s="181">
        <v>0</v>
      </c>
      <c r="T803" s="49">
        <v>46053</v>
      </c>
      <c r="U803" s="49">
        <v>46053</v>
      </c>
      <c r="V803" s="49">
        <v>46053</v>
      </c>
      <c r="W803" s="49">
        <v>46053</v>
      </c>
      <c r="X803" s="48">
        <v>1</v>
      </c>
      <c r="Y803" s="48">
        <v>1</v>
      </c>
      <c r="Z803" s="48">
        <v>1</v>
      </c>
      <c r="AA803" s="156">
        <v>260558730.15873015</v>
      </c>
      <c r="AF803" s="48">
        <v>0</v>
      </c>
      <c r="AG803" s="49" t="s">
        <v>41</v>
      </c>
      <c r="AH803" s="48">
        <v>1</v>
      </c>
      <c r="AI803" s="48" t="s">
        <v>33</v>
      </c>
      <c r="AJ803" s="48" t="s">
        <v>33</v>
      </c>
      <c r="AK803" s="48" t="s">
        <v>33</v>
      </c>
      <c r="AL803" s="48" t="s">
        <v>34</v>
      </c>
      <c r="AN803" s="48">
        <v>0</v>
      </c>
      <c r="AO803" s="48">
        <v>0</v>
      </c>
      <c r="AP803" s="48">
        <v>0</v>
      </c>
      <c r="AQ803" s="48">
        <v>0</v>
      </c>
      <c r="AR803" s="48">
        <v>0</v>
      </c>
      <c r="AS803" s="48">
        <v>0</v>
      </c>
      <c r="AT803" s="48">
        <v>0</v>
      </c>
      <c r="AU803" s="48">
        <v>0</v>
      </c>
      <c r="AV803" s="48">
        <v>0</v>
      </c>
      <c r="AW803" s="48">
        <v>0</v>
      </c>
      <c r="AX803" s="48">
        <v>0</v>
      </c>
      <c r="AY803" s="48">
        <v>0</v>
      </c>
      <c r="AZ803" s="48">
        <v>0</v>
      </c>
      <c r="BA803" s="48">
        <v>0</v>
      </c>
      <c r="BB803" s="48">
        <v>0</v>
      </c>
    </row>
    <row r="804" spans="1:54" x14ac:dyDescent="0.35">
      <c r="A804" s="49">
        <v>45930</v>
      </c>
      <c r="B804" s="48">
        <v>1</v>
      </c>
      <c r="C804" s="50" t="s">
        <v>41</v>
      </c>
      <c r="D804" s="48" t="s">
        <v>31</v>
      </c>
      <c r="E804" s="48" t="s">
        <v>138</v>
      </c>
      <c r="F804" s="48" t="s">
        <v>139</v>
      </c>
      <c r="G804" s="49" t="s">
        <v>65</v>
      </c>
      <c r="H804" s="48" t="s">
        <v>65</v>
      </c>
      <c r="I804" s="48">
        <v>1</v>
      </c>
      <c r="J804" s="48">
        <v>39</v>
      </c>
      <c r="K804" s="48">
        <v>1</v>
      </c>
      <c r="N804" s="48">
        <v>0</v>
      </c>
      <c r="R804" s="49"/>
      <c r="S804" s="181">
        <v>0</v>
      </c>
      <c r="T804" s="49">
        <v>46081</v>
      </c>
      <c r="U804" s="49">
        <v>46081</v>
      </c>
      <c r="V804" s="49">
        <v>46081</v>
      </c>
      <c r="W804" s="49">
        <v>46081</v>
      </c>
      <c r="X804" s="48">
        <v>1</v>
      </c>
      <c r="Y804" s="48">
        <v>1</v>
      </c>
      <c r="Z804" s="48">
        <v>1</v>
      </c>
      <c r="AA804" s="156">
        <v>260558730.15873015</v>
      </c>
      <c r="AF804" s="48">
        <v>0</v>
      </c>
      <c r="AG804" s="49" t="s">
        <v>41</v>
      </c>
      <c r="AH804" s="48">
        <v>1</v>
      </c>
      <c r="AI804" s="48" t="s">
        <v>33</v>
      </c>
      <c r="AJ804" s="48" t="s">
        <v>33</v>
      </c>
      <c r="AK804" s="48" t="s">
        <v>33</v>
      </c>
      <c r="AL804" s="48" t="s">
        <v>34</v>
      </c>
      <c r="AN804" s="48">
        <v>0</v>
      </c>
      <c r="AO804" s="48">
        <v>0</v>
      </c>
      <c r="AP804" s="48">
        <v>0</v>
      </c>
      <c r="AQ804" s="48">
        <v>0</v>
      </c>
      <c r="AR804" s="48">
        <v>0</v>
      </c>
      <c r="AS804" s="48">
        <v>0</v>
      </c>
      <c r="AT804" s="48">
        <v>0</v>
      </c>
      <c r="AU804" s="48">
        <v>0</v>
      </c>
      <c r="AV804" s="48">
        <v>0</v>
      </c>
      <c r="AW804" s="48">
        <v>0</v>
      </c>
      <c r="AX804" s="48">
        <v>0</v>
      </c>
      <c r="AY804" s="48">
        <v>0</v>
      </c>
      <c r="AZ804" s="48">
        <v>0</v>
      </c>
      <c r="BA804" s="48">
        <v>0</v>
      </c>
      <c r="BB804" s="48">
        <v>0</v>
      </c>
    </row>
    <row r="805" spans="1:54" x14ac:dyDescent="0.35">
      <c r="A805" s="49">
        <v>45930</v>
      </c>
      <c r="B805" s="48">
        <v>1</v>
      </c>
      <c r="C805" s="50" t="s">
        <v>41</v>
      </c>
      <c r="D805" s="48" t="s">
        <v>31</v>
      </c>
      <c r="E805" s="48" t="s">
        <v>138</v>
      </c>
      <c r="F805" s="48" t="s">
        <v>139</v>
      </c>
      <c r="G805" s="49" t="s">
        <v>65</v>
      </c>
      <c r="H805" s="48" t="s">
        <v>65</v>
      </c>
      <c r="I805" s="48">
        <v>1</v>
      </c>
      <c r="J805" s="48">
        <v>40</v>
      </c>
      <c r="K805" s="48">
        <v>1</v>
      </c>
      <c r="N805" s="48">
        <v>0</v>
      </c>
      <c r="R805" s="49"/>
      <c r="S805" s="181">
        <v>0</v>
      </c>
      <c r="T805" s="49">
        <v>46112</v>
      </c>
      <c r="U805" s="49">
        <v>46112</v>
      </c>
      <c r="V805" s="49">
        <v>46112</v>
      </c>
      <c r="W805" s="49">
        <v>46112</v>
      </c>
      <c r="X805" s="48">
        <v>1</v>
      </c>
      <c r="Y805" s="48">
        <v>1</v>
      </c>
      <c r="Z805" s="48">
        <v>1</v>
      </c>
      <c r="AA805" s="156">
        <v>260558730.15873015</v>
      </c>
      <c r="AF805" s="48">
        <v>0</v>
      </c>
      <c r="AG805" s="49" t="s">
        <v>41</v>
      </c>
      <c r="AH805" s="48">
        <v>1</v>
      </c>
      <c r="AI805" s="48" t="s">
        <v>33</v>
      </c>
      <c r="AJ805" s="48" t="s">
        <v>33</v>
      </c>
      <c r="AK805" s="48" t="s">
        <v>33</v>
      </c>
      <c r="AL805" s="48" t="s">
        <v>34</v>
      </c>
      <c r="AN805" s="48">
        <v>0</v>
      </c>
      <c r="AO805" s="48">
        <v>0</v>
      </c>
      <c r="AP805" s="48">
        <v>0</v>
      </c>
      <c r="AQ805" s="48">
        <v>0</v>
      </c>
      <c r="AR805" s="48">
        <v>0</v>
      </c>
      <c r="AS805" s="48">
        <v>0</v>
      </c>
      <c r="AT805" s="48">
        <v>0</v>
      </c>
      <c r="AU805" s="48">
        <v>0</v>
      </c>
      <c r="AV805" s="48">
        <v>0</v>
      </c>
      <c r="AW805" s="48">
        <v>0</v>
      </c>
      <c r="AX805" s="48">
        <v>0</v>
      </c>
      <c r="AY805" s="48">
        <v>0</v>
      </c>
      <c r="AZ805" s="48">
        <v>0</v>
      </c>
      <c r="BA805" s="48">
        <v>0</v>
      </c>
      <c r="BB805" s="48">
        <v>0</v>
      </c>
    </row>
    <row r="806" spans="1:54" x14ac:dyDescent="0.35">
      <c r="A806" s="49">
        <v>45930</v>
      </c>
      <c r="B806" s="48">
        <v>1</v>
      </c>
      <c r="C806" s="50" t="s">
        <v>41</v>
      </c>
      <c r="D806" s="48" t="s">
        <v>31</v>
      </c>
      <c r="E806" s="48" t="s">
        <v>138</v>
      </c>
      <c r="F806" s="48" t="s">
        <v>139</v>
      </c>
      <c r="G806" s="49" t="s">
        <v>65</v>
      </c>
      <c r="H806" s="48" t="s">
        <v>65</v>
      </c>
      <c r="I806" s="48">
        <v>1</v>
      </c>
      <c r="J806" s="48">
        <v>41</v>
      </c>
      <c r="K806" s="48">
        <v>1</v>
      </c>
      <c r="N806" s="48">
        <v>0</v>
      </c>
      <c r="R806" s="49"/>
      <c r="S806" s="181">
        <v>0</v>
      </c>
      <c r="T806" s="49">
        <v>46142</v>
      </c>
      <c r="U806" s="49">
        <v>46142</v>
      </c>
      <c r="V806" s="49">
        <v>46142</v>
      </c>
      <c r="W806" s="49">
        <v>46142</v>
      </c>
      <c r="X806" s="48">
        <v>1</v>
      </c>
      <c r="Y806" s="48">
        <v>1</v>
      </c>
      <c r="Z806" s="48">
        <v>1</v>
      </c>
      <c r="AA806" s="156">
        <v>260558730.15873015</v>
      </c>
      <c r="AF806" s="48">
        <v>0</v>
      </c>
      <c r="AG806" s="49" t="s">
        <v>41</v>
      </c>
      <c r="AH806" s="48">
        <v>1</v>
      </c>
      <c r="AI806" s="48" t="s">
        <v>33</v>
      </c>
      <c r="AJ806" s="48" t="s">
        <v>33</v>
      </c>
      <c r="AK806" s="48" t="s">
        <v>33</v>
      </c>
      <c r="AL806" s="48" t="s">
        <v>34</v>
      </c>
      <c r="AN806" s="48">
        <v>0</v>
      </c>
      <c r="AO806" s="48">
        <v>0</v>
      </c>
      <c r="AP806" s="48">
        <v>0</v>
      </c>
      <c r="AQ806" s="48">
        <v>0</v>
      </c>
      <c r="AR806" s="48">
        <v>0</v>
      </c>
      <c r="AS806" s="48">
        <v>0</v>
      </c>
      <c r="AT806" s="48">
        <v>0</v>
      </c>
      <c r="AU806" s="48">
        <v>0</v>
      </c>
      <c r="AV806" s="48">
        <v>0</v>
      </c>
      <c r="AW806" s="48">
        <v>0</v>
      </c>
      <c r="AX806" s="48">
        <v>0</v>
      </c>
      <c r="AY806" s="48">
        <v>0</v>
      </c>
      <c r="AZ806" s="48">
        <v>0</v>
      </c>
      <c r="BA806" s="48">
        <v>0</v>
      </c>
      <c r="BB806" s="48">
        <v>0</v>
      </c>
    </row>
    <row r="807" spans="1:54" x14ac:dyDescent="0.35">
      <c r="A807" s="49">
        <v>45930</v>
      </c>
      <c r="B807" s="48">
        <v>1</v>
      </c>
      <c r="C807" s="50" t="s">
        <v>41</v>
      </c>
      <c r="D807" s="48" t="s">
        <v>31</v>
      </c>
      <c r="E807" s="48" t="s">
        <v>138</v>
      </c>
      <c r="F807" s="48" t="s">
        <v>139</v>
      </c>
      <c r="G807" s="49" t="s">
        <v>65</v>
      </c>
      <c r="H807" s="48" t="s">
        <v>65</v>
      </c>
      <c r="I807" s="48">
        <v>1</v>
      </c>
      <c r="J807" s="48">
        <v>42</v>
      </c>
      <c r="K807" s="48">
        <v>1</v>
      </c>
      <c r="N807" s="48">
        <v>0</v>
      </c>
      <c r="R807" s="49"/>
      <c r="S807" s="181">
        <v>0</v>
      </c>
      <c r="T807" s="49">
        <v>46173</v>
      </c>
      <c r="U807" s="49">
        <v>46173</v>
      </c>
      <c r="V807" s="49">
        <v>46173</v>
      </c>
      <c r="W807" s="49">
        <v>46173</v>
      </c>
      <c r="X807" s="48">
        <v>1</v>
      </c>
      <c r="Y807" s="48">
        <v>1</v>
      </c>
      <c r="Z807" s="48">
        <v>1</v>
      </c>
      <c r="AA807" s="156">
        <v>89162651.727357611</v>
      </c>
      <c r="AF807" s="48">
        <v>0</v>
      </c>
      <c r="AG807" s="49" t="s">
        <v>41</v>
      </c>
      <c r="AH807" s="48">
        <v>1</v>
      </c>
      <c r="AI807" s="48" t="s">
        <v>33</v>
      </c>
      <c r="AJ807" s="48" t="s">
        <v>33</v>
      </c>
      <c r="AK807" s="48" t="s">
        <v>33</v>
      </c>
      <c r="AL807" s="48" t="s">
        <v>34</v>
      </c>
      <c r="AN807" s="48">
        <v>0</v>
      </c>
      <c r="AO807" s="48">
        <v>0</v>
      </c>
      <c r="AP807" s="48">
        <v>0</v>
      </c>
      <c r="AQ807" s="48">
        <v>0</v>
      </c>
      <c r="AR807" s="48">
        <v>0</v>
      </c>
      <c r="AS807" s="48">
        <v>0</v>
      </c>
      <c r="AT807" s="48">
        <v>0</v>
      </c>
      <c r="AU807" s="48">
        <v>0</v>
      </c>
      <c r="AV807" s="48">
        <v>0</v>
      </c>
      <c r="AW807" s="48">
        <v>0</v>
      </c>
      <c r="AX807" s="48">
        <v>0</v>
      </c>
      <c r="AY807" s="48">
        <v>0</v>
      </c>
      <c r="AZ807" s="48">
        <v>0</v>
      </c>
      <c r="BA807" s="48">
        <v>0</v>
      </c>
      <c r="BB807" s="48">
        <v>0</v>
      </c>
    </row>
    <row r="808" spans="1:54" x14ac:dyDescent="0.35">
      <c r="A808" s="49">
        <v>45930</v>
      </c>
      <c r="B808" s="48">
        <v>1</v>
      </c>
      <c r="C808" s="50" t="s">
        <v>41</v>
      </c>
      <c r="D808" s="48" t="s">
        <v>31</v>
      </c>
      <c r="E808" s="48" t="s">
        <v>138</v>
      </c>
      <c r="F808" s="48" t="s">
        <v>139</v>
      </c>
      <c r="G808" s="49" t="s">
        <v>65</v>
      </c>
      <c r="H808" s="48" t="s">
        <v>65</v>
      </c>
      <c r="I808" s="48">
        <v>1</v>
      </c>
      <c r="J808" s="48">
        <v>43</v>
      </c>
      <c r="K808" s="48">
        <v>1</v>
      </c>
      <c r="N808" s="48">
        <v>0</v>
      </c>
      <c r="R808" s="49"/>
      <c r="S808" s="181">
        <v>0</v>
      </c>
      <c r="T808" s="49">
        <v>46203</v>
      </c>
      <c r="U808" s="49">
        <v>46203</v>
      </c>
      <c r="V808" s="49">
        <v>46203</v>
      </c>
      <c r="W808" s="49">
        <v>46203</v>
      </c>
      <c r="X808" s="48">
        <v>1</v>
      </c>
      <c r="Y808" s="48">
        <v>1</v>
      </c>
      <c r="Z808" s="48">
        <v>1</v>
      </c>
      <c r="AA808" s="156">
        <v>0</v>
      </c>
      <c r="AF808" s="48">
        <v>0</v>
      </c>
      <c r="AG808" s="49" t="s">
        <v>41</v>
      </c>
      <c r="AH808" s="48">
        <v>1</v>
      </c>
      <c r="AI808" s="48" t="s">
        <v>33</v>
      </c>
      <c r="AJ808" s="48" t="s">
        <v>33</v>
      </c>
      <c r="AK808" s="48" t="s">
        <v>33</v>
      </c>
      <c r="AL808" s="48" t="s">
        <v>34</v>
      </c>
      <c r="AN808" s="48">
        <v>0</v>
      </c>
      <c r="AO808" s="48">
        <v>0</v>
      </c>
      <c r="AP808" s="48">
        <v>0</v>
      </c>
      <c r="AQ808" s="48">
        <v>0</v>
      </c>
      <c r="AR808" s="48">
        <v>0</v>
      </c>
      <c r="AS808" s="48">
        <v>0</v>
      </c>
      <c r="AT808" s="48">
        <v>0</v>
      </c>
      <c r="AU808" s="48">
        <v>0</v>
      </c>
      <c r="AV808" s="48">
        <v>0</v>
      </c>
      <c r="AW808" s="48">
        <v>0</v>
      </c>
      <c r="AX808" s="48">
        <v>0</v>
      </c>
      <c r="AY808" s="48">
        <v>0</v>
      </c>
      <c r="AZ808" s="48">
        <v>0</v>
      </c>
      <c r="BA808" s="48">
        <v>0</v>
      </c>
      <c r="BB808" s="48">
        <v>0</v>
      </c>
    </row>
    <row r="809" spans="1:54" x14ac:dyDescent="0.35">
      <c r="A809" s="49">
        <v>45930</v>
      </c>
      <c r="B809" s="48">
        <v>1</v>
      </c>
      <c r="C809" s="50" t="s">
        <v>41</v>
      </c>
      <c r="D809" s="48" t="s">
        <v>31</v>
      </c>
      <c r="E809" s="48" t="s">
        <v>138</v>
      </c>
      <c r="F809" s="48" t="s">
        <v>139</v>
      </c>
      <c r="G809" s="49" t="s">
        <v>65</v>
      </c>
      <c r="H809" s="48" t="s">
        <v>65</v>
      </c>
      <c r="I809" s="48">
        <v>1</v>
      </c>
      <c r="J809" s="48">
        <v>44</v>
      </c>
      <c r="K809" s="48">
        <v>1</v>
      </c>
      <c r="N809" s="48">
        <v>0</v>
      </c>
      <c r="R809" s="49"/>
      <c r="S809" s="181">
        <v>0</v>
      </c>
      <c r="T809" s="49">
        <v>46234</v>
      </c>
      <c r="U809" s="49">
        <v>46234</v>
      </c>
      <c r="V809" s="49">
        <v>46234</v>
      </c>
      <c r="W809" s="49">
        <v>46234</v>
      </c>
      <c r="X809" s="48">
        <v>1</v>
      </c>
      <c r="Y809" s="48">
        <v>1</v>
      </c>
      <c r="Z809" s="48">
        <v>1</v>
      </c>
      <c r="AA809" s="156">
        <v>0</v>
      </c>
      <c r="AF809" s="48">
        <v>0</v>
      </c>
      <c r="AG809" s="49" t="s">
        <v>41</v>
      </c>
      <c r="AH809" s="48">
        <v>1</v>
      </c>
      <c r="AI809" s="48" t="s">
        <v>33</v>
      </c>
      <c r="AJ809" s="48" t="s">
        <v>33</v>
      </c>
      <c r="AK809" s="48" t="s">
        <v>33</v>
      </c>
      <c r="AL809" s="48" t="s">
        <v>34</v>
      </c>
      <c r="AN809" s="48">
        <v>0</v>
      </c>
      <c r="AO809" s="48">
        <v>0</v>
      </c>
      <c r="AP809" s="48">
        <v>0</v>
      </c>
      <c r="AQ809" s="48">
        <v>0</v>
      </c>
      <c r="AR809" s="48">
        <v>0</v>
      </c>
      <c r="AS809" s="48">
        <v>0</v>
      </c>
      <c r="AT809" s="48">
        <v>0</v>
      </c>
      <c r="AU809" s="48">
        <v>0</v>
      </c>
      <c r="AV809" s="48">
        <v>0</v>
      </c>
      <c r="AW809" s="48">
        <v>0</v>
      </c>
      <c r="AX809" s="48">
        <v>0</v>
      </c>
      <c r="AY809" s="48">
        <v>0</v>
      </c>
      <c r="AZ809" s="48">
        <v>0</v>
      </c>
      <c r="BA809" s="48">
        <v>0</v>
      </c>
      <c r="BB809" s="48">
        <v>0</v>
      </c>
    </row>
    <row r="810" spans="1:54" x14ac:dyDescent="0.35">
      <c r="A810" s="49">
        <v>45930</v>
      </c>
      <c r="B810" s="48">
        <v>1</v>
      </c>
      <c r="C810" s="50" t="s">
        <v>41</v>
      </c>
      <c r="D810" s="48" t="s">
        <v>31</v>
      </c>
      <c r="E810" s="48" t="s">
        <v>138</v>
      </c>
      <c r="F810" s="48" t="s">
        <v>139</v>
      </c>
      <c r="G810" s="49" t="s">
        <v>65</v>
      </c>
      <c r="H810" s="48" t="s">
        <v>65</v>
      </c>
      <c r="I810" s="48">
        <v>1</v>
      </c>
      <c r="J810" s="48">
        <v>45</v>
      </c>
      <c r="K810" s="48">
        <v>1</v>
      </c>
      <c r="N810" s="48">
        <v>0</v>
      </c>
      <c r="R810" s="49"/>
      <c r="S810" s="181">
        <v>0</v>
      </c>
      <c r="T810" s="49">
        <v>46265</v>
      </c>
      <c r="U810" s="49">
        <v>46265</v>
      </c>
      <c r="V810" s="49">
        <v>46265</v>
      </c>
      <c r="W810" s="49">
        <v>46265</v>
      </c>
      <c r="X810" s="48">
        <v>1</v>
      </c>
      <c r="Y810" s="48">
        <v>1</v>
      </c>
      <c r="Z810" s="48">
        <v>1</v>
      </c>
      <c r="AA810" s="156">
        <v>0</v>
      </c>
      <c r="AF810" s="48">
        <v>0</v>
      </c>
      <c r="AG810" s="49" t="s">
        <v>41</v>
      </c>
      <c r="AH810" s="48">
        <v>1</v>
      </c>
      <c r="AI810" s="48" t="s">
        <v>33</v>
      </c>
      <c r="AJ810" s="48" t="s">
        <v>33</v>
      </c>
      <c r="AK810" s="48" t="s">
        <v>33</v>
      </c>
      <c r="AL810" s="48" t="s">
        <v>34</v>
      </c>
      <c r="AN810" s="48">
        <v>0</v>
      </c>
      <c r="AO810" s="48">
        <v>0</v>
      </c>
      <c r="AP810" s="48">
        <v>0</v>
      </c>
      <c r="AQ810" s="48">
        <v>0</v>
      </c>
      <c r="AR810" s="48">
        <v>0</v>
      </c>
      <c r="AS810" s="48">
        <v>0</v>
      </c>
      <c r="AT810" s="48">
        <v>0</v>
      </c>
      <c r="AU810" s="48">
        <v>0</v>
      </c>
      <c r="AV810" s="48">
        <v>0</v>
      </c>
      <c r="AW810" s="48">
        <v>0</v>
      </c>
      <c r="AX810" s="48">
        <v>0</v>
      </c>
      <c r="AY810" s="48">
        <v>0</v>
      </c>
      <c r="AZ810" s="48">
        <v>0</v>
      </c>
      <c r="BA810" s="48">
        <v>0</v>
      </c>
      <c r="BB810" s="48">
        <v>0</v>
      </c>
    </row>
    <row r="811" spans="1:54" x14ac:dyDescent="0.35">
      <c r="A811" s="49">
        <v>45930</v>
      </c>
      <c r="B811" s="48">
        <v>1</v>
      </c>
      <c r="C811" s="50" t="s">
        <v>41</v>
      </c>
      <c r="D811" s="48" t="s">
        <v>31</v>
      </c>
      <c r="E811" s="48" t="s">
        <v>138</v>
      </c>
      <c r="F811" s="48" t="s">
        <v>139</v>
      </c>
      <c r="G811" s="49" t="s">
        <v>65</v>
      </c>
      <c r="H811" s="48" t="s">
        <v>65</v>
      </c>
      <c r="I811" s="48">
        <v>1</v>
      </c>
      <c r="J811" s="48">
        <v>46</v>
      </c>
      <c r="K811" s="48">
        <v>1</v>
      </c>
      <c r="N811" s="48">
        <v>0</v>
      </c>
      <c r="R811" s="49"/>
      <c r="S811" s="181">
        <v>0</v>
      </c>
      <c r="T811" s="49">
        <v>46295</v>
      </c>
      <c r="U811" s="49">
        <v>46295</v>
      </c>
      <c r="V811" s="49">
        <v>46295</v>
      </c>
      <c r="W811" s="49">
        <v>46295</v>
      </c>
      <c r="X811" s="48">
        <v>1</v>
      </c>
      <c r="Y811" s="48">
        <v>1</v>
      </c>
      <c r="Z811" s="48">
        <v>1</v>
      </c>
      <c r="AA811" s="156">
        <v>0</v>
      </c>
      <c r="AF811" s="48">
        <v>0</v>
      </c>
      <c r="AG811" s="49" t="s">
        <v>41</v>
      </c>
      <c r="AH811" s="48">
        <v>1</v>
      </c>
      <c r="AI811" s="48" t="s">
        <v>33</v>
      </c>
      <c r="AJ811" s="48" t="s">
        <v>33</v>
      </c>
      <c r="AK811" s="48" t="s">
        <v>33</v>
      </c>
      <c r="AL811" s="48" t="s">
        <v>34</v>
      </c>
      <c r="AN811" s="48">
        <v>0</v>
      </c>
      <c r="AO811" s="48">
        <v>0</v>
      </c>
      <c r="AP811" s="48">
        <v>0</v>
      </c>
      <c r="AQ811" s="48">
        <v>0</v>
      </c>
      <c r="AR811" s="48">
        <v>0</v>
      </c>
      <c r="AS811" s="48">
        <v>0</v>
      </c>
      <c r="AT811" s="48">
        <v>0</v>
      </c>
      <c r="AU811" s="48">
        <v>0</v>
      </c>
      <c r="AV811" s="48">
        <v>0</v>
      </c>
      <c r="AW811" s="48">
        <v>0</v>
      </c>
      <c r="AX811" s="48">
        <v>0</v>
      </c>
      <c r="AY811" s="48">
        <v>0</v>
      </c>
      <c r="AZ811" s="48">
        <v>0</v>
      </c>
      <c r="BA811" s="48">
        <v>0</v>
      </c>
      <c r="BB811" s="48">
        <v>0</v>
      </c>
    </row>
    <row r="812" spans="1:54" x14ac:dyDescent="0.35">
      <c r="A812" s="49">
        <v>45930</v>
      </c>
      <c r="B812" s="48">
        <v>1</v>
      </c>
      <c r="C812" s="50" t="s">
        <v>41</v>
      </c>
      <c r="D812" s="48" t="s">
        <v>31</v>
      </c>
      <c r="E812" s="48" t="s">
        <v>138</v>
      </c>
      <c r="F812" s="48" t="s">
        <v>139</v>
      </c>
      <c r="G812" s="49" t="s">
        <v>65</v>
      </c>
      <c r="H812" s="48" t="s">
        <v>65</v>
      </c>
      <c r="I812" s="48">
        <v>1</v>
      </c>
      <c r="J812" s="48">
        <v>47</v>
      </c>
      <c r="K812" s="48">
        <v>1</v>
      </c>
      <c r="N812" s="48">
        <v>0</v>
      </c>
      <c r="R812" s="49"/>
      <c r="S812" s="181">
        <v>0</v>
      </c>
      <c r="T812" s="49">
        <v>46326</v>
      </c>
      <c r="U812" s="49">
        <v>46326</v>
      </c>
      <c r="V812" s="49">
        <v>46326</v>
      </c>
      <c r="W812" s="49">
        <v>46326</v>
      </c>
      <c r="X812" s="48">
        <v>1</v>
      </c>
      <c r="Y812" s="48">
        <v>1</v>
      </c>
      <c r="Z812" s="48">
        <v>1</v>
      </c>
      <c r="AA812" s="156">
        <v>0</v>
      </c>
      <c r="AF812" s="48">
        <v>0</v>
      </c>
      <c r="AG812" s="49" t="s">
        <v>41</v>
      </c>
      <c r="AH812" s="48">
        <v>1</v>
      </c>
      <c r="AI812" s="48" t="s">
        <v>33</v>
      </c>
      <c r="AJ812" s="48" t="s">
        <v>33</v>
      </c>
      <c r="AK812" s="48" t="s">
        <v>33</v>
      </c>
      <c r="AL812" s="48" t="s">
        <v>34</v>
      </c>
      <c r="AN812" s="48">
        <v>0</v>
      </c>
      <c r="AO812" s="48">
        <v>0</v>
      </c>
      <c r="AP812" s="48">
        <v>0</v>
      </c>
      <c r="AQ812" s="48">
        <v>0</v>
      </c>
      <c r="AR812" s="48">
        <v>0</v>
      </c>
      <c r="AS812" s="48">
        <v>0</v>
      </c>
      <c r="AT812" s="48">
        <v>0</v>
      </c>
      <c r="AU812" s="48">
        <v>0</v>
      </c>
      <c r="AV812" s="48">
        <v>0</v>
      </c>
      <c r="AW812" s="48">
        <v>0</v>
      </c>
      <c r="AX812" s="48">
        <v>0</v>
      </c>
      <c r="AY812" s="48">
        <v>0</v>
      </c>
      <c r="AZ812" s="48">
        <v>0</v>
      </c>
      <c r="BA812" s="48">
        <v>0</v>
      </c>
      <c r="BB812" s="48">
        <v>0</v>
      </c>
    </row>
    <row r="813" spans="1:54" x14ac:dyDescent="0.35">
      <c r="A813" s="49">
        <v>45930</v>
      </c>
      <c r="B813" s="48">
        <v>1</v>
      </c>
      <c r="C813" s="50" t="s">
        <v>41</v>
      </c>
      <c r="D813" s="48" t="s">
        <v>31</v>
      </c>
      <c r="E813" s="48" t="s">
        <v>138</v>
      </c>
      <c r="F813" s="48" t="s">
        <v>139</v>
      </c>
      <c r="G813" s="49" t="s">
        <v>65</v>
      </c>
      <c r="H813" s="48" t="s">
        <v>65</v>
      </c>
      <c r="I813" s="48">
        <v>1</v>
      </c>
      <c r="J813" s="48">
        <v>48</v>
      </c>
      <c r="K813" s="48">
        <v>1</v>
      </c>
      <c r="N813" s="48">
        <v>0</v>
      </c>
      <c r="R813" s="49"/>
      <c r="S813" s="181">
        <v>0</v>
      </c>
      <c r="T813" s="49">
        <v>46356</v>
      </c>
      <c r="U813" s="49">
        <v>46356</v>
      </c>
      <c r="V813" s="49">
        <v>46356</v>
      </c>
      <c r="W813" s="49">
        <v>46356</v>
      </c>
      <c r="X813" s="48">
        <v>1</v>
      </c>
      <c r="Y813" s="48">
        <v>1</v>
      </c>
      <c r="Z813" s="48">
        <v>1</v>
      </c>
      <c r="AA813" s="156">
        <v>0</v>
      </c>
      <c r="AF813" s="48">
        <v>0</v>
      </c>
      <c r="AG813" s="49" t="s">
        <v>41</v>
      </c>
      <c r="AH813" s="48">
        <v>1</v>
      </c>
      <c r="AI813" s="48" t="s">
        <v>33</v>
      </c>
      <c r="AJ813" s="48" t="s">
        <v>33</v>
      </c>
      <c r="AK813" s="48" t="s">
        <v>33</v>
      </c>
      <c r="AL813" s="48" t="s">
        <v>34</v>
      </c>
      <c r="AN813" s="48">
        <v>0</v>
      </c>
      <c r="AO813" s="48">
        <v>0</v>
      </c>
      <c r="AP813" s="48">
        <v>0</v>
      </c>
      <c r="AQ813" s="48">
        <v>0</v>
      </c>
      <c r="AR813" s="48">
        <v>0</v>
      </c>
      <c r="AS813" s="48">
        <v>0</v>
      </c>
      <c r="AT813" s="48">
        <v>0</v>
      </c>
      <c r="AU813" s="48">
        <v>0</v>
      </c>
      <c r="AV813" s="48">
        <v>0</v>
      </c>
      <c r="AW813" s="48">
        <v>0</v>
      </c>
      <c r="AX813" s="48">
        <v>0</v>
      </c>
      <c r="AY813" s="48">
        <v>0</v>
      </c>
      <c r="AZ813" s="48">
        <v>0</v>
      </c>
      <c r="BA813" s="48">
        <v>0</v>
      </c>
      <c r="BB813" s="48">
        <v>0</v>
      </c>
    </row>
    <row r="814" spans="1:54" x14ac:dyDescent="0.35">
      <c r="A814" s="49">
        <v>45930</v>
      </c>
      <c r="B814" s="48">
        <v>1</v>
      </c>
      <c r="C814" s="50" t="s">
        <v>41</v>
      </c>
      <c r="D814" s="48" t="s">
        <v>31</v>
      </c>
      <c r="E814" s="48" t="s">
        <v>138</v>
      </c>
      <c r="F814" s="48" t="s">
        <v>139</v>
      </c>
      <c r="G814" s="49" t="s">
        <v>65</v>
      </c>
      <c r="H814" s="48" t="s">
        <v>65</v>
      </c>
      <c r="I814" s="48">
        <v>1</v>
      </c>
      <c r="J814" s="48">
        <v>49</v>
      </c>
      <c r="K814" s="48">
        <v>1</v>
      </c>
      <c r="N814" s="48">
        <v>0</v>
      </c>
      <c r="R814" s="49"/>
      <c r="S814" s="181">
        <v>0</v>
      </c>
      <c r="T814" s="49">
        <v>46387</v>
      </c>
      <c r="U814" s="49">
        <v>46387</v>
      </c>
      <c r="V814" s="49">
        <v>46387</v>
      </c>
      <c r="W814" s="49">
        <v>46387</v>
      </c>
      <c r="X814" s="48">
        <v>1</v>
      </c>
      <c r="Y814" s="48">
        <v>1</v>
      </c>
      <c r="Z814" s="48">
        <v>1</v>
      </c>
      <c r="AA814" s="156">
        <v>0</v>
      </c>
      <c r="AF814" s="48">
        <v>0</v>
      </c>
      <c r="AG814" s="49" t="s">
        <v>41</v>
      </c>
      <c r="AH814" s="48">
        <v>1</v>
      </c>
      <c r="AI814" s="48" t="s">
        <v>33</v>
      </c>
      <c r="AJ814" s="48" t="s">
        <v>33</v>
      </c>
      <c r="AK814" s="48" t="s">
        <v>33</v>
      </c>
      <c r="AL814" s="48" t="s">
        <v>34</v>
      </c>
      <c r="AN814" s="48">
        <v>0</v>
      </c>
      <c r="AO814" s="48">
        <v>0</v>
      </c>
      <c r="AP814" s="48">
        <v>0</v>
      </c>
      <c r="AQ814" s="48">
        <v>0</v>
      </c>
      <c r="AR814" s="48">
        <v>0</v>
      </c>
      <c r="AS814" s="48">
        <v>0</v>
      </c>
      <c r="AT814" s="48">
        <v>0</v>
      </c>
      <c r="AU814" s="48">
        <v>0</v>
      </c>
      <c r="AV814" s="48">
        <v>0</v>
      </c>
      <c r="AW814" s="48">
        <v>0</v>
      </c>
      <c r="AX814" s="48">
        <v>0</v>
      </c>
      <c r="AY814" s="48">
        <v>0</v>
      </c>
      <c r="AZ814" s="48">
        <v>0</v>
      </c>
      <c r="BA814" s="48">
        <v>0</v>
      </c>
      <c r="BB814" s="48">
        <v>0</v>
      </c>
    </row>
    <row r="815" spans="1:54" x14ac:dyDescent="0.35">
      <c r="A815" s="49">
        <v>45930</v>
      </c>
      <c r="B815" s="48">
        <v>1</v>
      </c>
      <c r="C815" s="50" t="s">
        <v>32</v>
      </c>
      <c r="D815" s="48" t="s">
        <v>31</v>
      </c>
      <c r="E815" s="48" t="s">
        <v>138</v>
      </c>
      <c r="F815" s="48" t="s">
        <v>139</v>
      </c>
      <c r="G815" s="49" t="s">
        <v>63</v>
      </c>
      <c r="H815" s="48" t="s">
        <v>63</v>
      </c>
      <c r="I815" s="48">
        <v>1</v>
      </c>
      <c r="K815" s="48">
        <v>1</v>
      </c>
      <c r="N815" s="48">
        <v>0</v>
      </c>
      <c r="R815" s="49"/>
      <c r="S815" s="49"/>
      <c r="T815" s="49">
        <v>45931</v>
      </c>
      <c r="U815" s="49">
        <v>45931</v>
      </c>
      <c r="V815" s="49">
        <v>45931</v>
      </c>
      <c r="W815" s="49">
        <v>45931</v>
      </c>
      <c r="X815" s="48">
        <v>1</v>
      </c>
      <c r="Y815" s="48">
        <v>1</v>
      </c>
      <c r="Z815" s="48">
        <v>1</v>
      </c>
      <c r="AA815" s="156">
        <v>974142</v>
      </c>
      <c r="AF815" s="48">
        <v>0</v>
      </c>
      <c r="AG815" s="49" t="s">
        <v>32</v>
      </c>
      <c r="AH815" s="48">
        <v>1</v>
      </c>
      <c r="AI815" s="48" t="s">
        <v>33</v>
      </c>
      <c r="AJ815" s="48" t="s">
        <v>33</v>
      </c>
      <c r="AK815" s="48" t="s">
        <v>33</v>
      </c>
      <c r="AL815" s="48" t="s">
        <v>34</v>
      </c>
      <c r="AN815" s="48">
        <v>0</v>
      </c>
      <c r="AO815" s="48">
        <v>0</v>
      </c>
      <c r="AP815" s="48">
        <v>0</v>
      </c>
      <c r="AQ815" s="48">
        <v>0</v>
      </c>
      <c r="AR815" s="48">
        <v>0</v>
      </c>
      <c r="AS815" s="48">
        <v>0</v>
      </c>
      <c r="AT815" s="48">
        <v>0</v>
      </c>
      <c r="AU815" s="48">
        <v>0</v>
      </c>
      <c r="AV815" s="48">
        <v>0</v>
      </c>
      <c r="AW815" s="48">
        <v>0</v>
      </c>
      <c r="AX815" s="48">
        <v>0</v>
      </c>
      <c r="AY815" s="48">
        <v>0</v>
      </c>
      <c r="AZ815" s="48">
        <v>0</v>
      </c>
      <c r="BA815" s="48">
        <v>0</v>
      </c>
      <c r="BB815" s="48">
        <v>0</v>
      </c>
    </row>
    <row r="816" spans="1:54" x14ac:dyDescent="0.35">
      <c r="A816" s="49">
        <v>45930</v>
      </c>
      <c r="B816" s="48">
        <v>1</v>
      </c>
      <c r="C816" s="50" t="s">
        <v>32</v>
      </c>
      <c r="D816" s="48" t="s">
        <v>31</v>
      </c>
      <c r="E816" s="48" t="s">
        <v>138</v>
      </c>
      <c r="F816" s="48" t="s">
        <v>139</v>
      </c>
      <c r="G816" s="49" t="s">
        <v>63</v>
      </c>
      <c r="H816" s="48" t="s">
        <v>63</v>
      </c>
      <c r="I816" s="48">
        <v>1</v>
      </c>
      <c r="J816" s="48">
        <v>1</v>
      </c>
      <c r="K816" s="48">
        <v>1</v>
      </c>
      <c r="N816" s="48">
        <v>0</v>
      </c>
      <c r="R816" s="49"/>
      <c r="S816" s="181">
        <v>0</v>
      </c>
      <c r="T816" s="49">
        <v>45961</v>
      </c>
      <c r="U816" s="49">
        <v>45961</v>
      </c>
      <c r="V816" s="49">
        <v>45961</v>
      </c>
      <c r="W816" s="49">
        <v>45961</v>
      </c>
      <c r="X816" s="48">
        <v>1</v>
      </c>
      <c r="Y816" s="48">
        <v>1</v>
      </c>
      <c r="Z816" s="48">
        <v>1</v>
      </c>
      <c r="AA816" s="156">
        <v>26803.587027067224</v>
      </c>
      <c r="AF816" s="48">
        <v>0</v>
      </c>
      <c r="AG816" s="49" t="s">
        <v>32</v>
      </c>
      <c r="AH816" s="48">
        <v>1</v>
      </c>
      <c r="AI816" s="48" t="s">
        <v>33</v>
      </c>
      <c r="AJ816" s="48" t="s">
        <v>33</v>
      </c>
      <c r="AK816" s="48" t="s">
        <v>33</v>
      </c>
      <c r="AL816" s="48" t="s">
        <v>34</v>
      </c>
      <c r="AN816" s="48">
        <v>0</v>
      </c>
      <c r="AO816" s="48">
        <v>0</v>
      </c>
      <c r="AP816" s="48">
        <v>0</v>
      </c>
      <c r="AQ816" s="48">
        <v>0</v>
      </c>
      <c r="AR816" s="48">
        <v>0</v>
      </c>
      <c r="AS816" s="48">
        <v>0</v>
      </c>
      <c r="AT816" s="48">
        <v>0</v>
      </c>
      <c r="AU816" s="48">
        <v>0</v>
      </c>
      <c r="AV816" s="48">
        <v>0</v>
      </c>
      <c r="AW816" s="48">
        <v>0</v>
      </c>
      <c r="AX816" s="48">
        <v>0</v>
      </c>
      <c r="AY816" s="48">
        <v>0</v>
      </c>
      <c r="AZ816" s="48">
        <v>0</v>
      </c>
      <c r="BA816" s="48">
        <v>0</v>
      </c>
      <c r="BB816" s="48">
        <v>0</v>
      </c>
    </row>
    <row r="817" spans="1:54" x14ac:dyDescent="0.35">
      <c r="A817" s="49">
        <v>45930</v>
      </c>
      <c r="B817" s="48">
        <v>1</v>
      </c>
      <c r="C817" s="50" t="s">
        <v>32</v>
      </c>
      <c r="D817" s="48" t="s">
        <v>31</v>
      </c>
      <c r="E817" s="48" t="s">
        <v>138</v>
      </c>
      <c r="F817" s="48" t="s">
        <v>139</v>
      </c>
      <c r="G817" s="49" t="s">
        <v>63</v>
      </c>
      <c r="H817" s="48" t="s">
        <v>63</v>
      </c>
      <c r="I817" s="48">
        <v>1</v>
      </c>
      <c r="J817" s="48">
        <v>2</v>
      </c>
      <c r="K817" s="48">
        <v>1</v>
      </c>
      <c r="N817" s="48">
        <v>0</v>
      </c>
      <c r="R817" s="49"/>
      <c r="S817" s="181">
        <v>0</v>
      </c>
      <c r="T817" s="49">
        <v>45991</v>
      </c>
      <c r="U817" s="49">
        <v>45991</v>
      </c>
      <c r="V817" s="49">
        <v>45991</v>
      </c>
      <c r="W817" s="49">
        <v>45991</v>
      </c>
      <c r="X817" s="48">
        <v>1</v>
      </c>
      <c r="Y817" s="48">
        <v>1</v>
      </c>
      <c r="Z817" s="48">
        <v>1</v>
      </c>
      <c r="AA817" s="156">
        <v>26803.587027067224</v>
      </c>
      <c r="AF817" s="48">
        <v>0</v>
      </c>
      <c r="AG817" s="49" t="s">
        <v>32</v>
      </c>
      <c r="AH817" s="48">
        <v>1</v>
      </c>
      <c r="AI817" s="48" t="s">
        <v>33</v>
      </c>
      <c r="AJ817" s="48" t="s">
        <v>33</v>
      </c>
      <c r="AK817" s="48" t="s">
        <v>33</v>
      </c>
      <c r="AL817" s="48" t="s">
        <v>34</v>
      </c>
      <c r="AN817" s="48">
        <v>0</v>
      </c>
      <c r="AO817" s="48">
        <v>0</v>
      </c>
      <c r="AP817" s="48">
        <v>0</v>
      </c>
      <c r="AQ817" s="48">
        <v>0</v>
      </c>
      <c r="AR817" s="48">
        <v>0</v>
      </c>
      <c r="AS817" s="48">
        <v>0</v>
      </c>
      <c r="AT817" s="48">
        <v>0</v>
      </c>
      <c r="AU817" s="48">
        <v>0</v>
      </c>
      <c r="AV817" s="48">
        <v>0</v>
      </c>
      <c r="AW817" s="48">
        <v>0</v>
      </c>
      <c r="AX817" s="48">
        <v>0</v>
      </c>
      <c r="AY817" s="48">
        <v>0</v>
      </c>
      <c r="AZ817" s="48">
        <v>0</v>
      </c>
      <c r="BA817" s="48">
        <v>0</v>
      </c>
      <c r="BB817" s="48">
        <v>0</v>
      </c>
    </row>
    <row r="818" spans="1:54" x14ac:dyDescent="0.35">
      <c r="A818" s="49">
        <v>45930</v>
      </c>
      <c r="B818" s="48">
        <v>1</v>
      </c>
      <c r="C818" s="50" t="s">
        <v>32</v>
      </c>
      <c r="D818" s="48" t="s">
        <v>31</v>
      </c>
      <c r="E818" s="48" t="s">
        <v>138</v>
      </c>
      <c r="F818" s="48" t="s">
        <v>139</v>
      </c>
      <c r="G818" s="49" t="s">
        <v>63</v>
      </c>
      <c r="H818" s="48" t="s">
        <v>63</v>
      </c>
      <c r="I818" s="48">
        <v>1</v>
      </c>
      <c r="J818" s="48">
        <v>3</v>
      </c>
      <c r="K818" s="48">
        <v>1</v>
      </c>
      <c r="N818" s="48">
        <v>0</v>
      </c>
      <c r="R818" s="49"/>
      <c r="S818" s="181">
        <v>0</v>
      </c>
      <c r="T818" s="49">
        <v>46022</v>
      </c>
      <c r="U818" s="49">
        <v>46022</v>
      </c>
      <c r="V818" s="49">
        <v>46022</v>
      </c>
      <c r="W818" s="49">
        <v>46022</v>
      </c>
      <c r="X818" s="48">
        <v>1</v>
      </c>
      <c r="Y818" s="48">
        <v>1</v>
      </c>
      <c r="Z818" s="48">
        <v>1</v>
      </c>
      <c r="AA818" s="156">
        <v>26803.587027067224</v>
      </c>
      <c r="AF818" s="48">
        <v>0</v>
      </c>
      <c r="AG818" s="49" t="s">
        <v>32</v>
      </c>
      <c r="AH818" s="48">
        <v>1</v>
      </c>
      <c r="AI818" s="48" t="s">
        <v>33</v>
      </c>
      <c r="AJ818" s="48" t="s">
        <v>33</v>
      </c>
      <c r="AK818" s="48" t="s">
        <v>33</v>
      </c>
      <c r="AL818" s="48" t="s">
        <v>34</v>
      </c>
      <c r="AN818" s="48">
        <v>0</v>
      </c>
      <c r="AO818" s="48">
        <v>0</v>
      </c>
      <c r="AP818" s="48">
        <v>0</v>
      </c>
      <c r="AQ818" s="48">
        <v>0</v>
      </c>
      <c r="AR818" s="48">
        <v>0</v>
      </c>
      <c r="AS818" s="48">
        <v>0</v>
      </c>
      <c r="AT818" s="48">
        <v>0</v>
      </c>
      <c r="AU818" s="48">
        <v>0</v>
      </c>
      <c r="AV818" s="48">
        <v>0</v>
      </c>
      <c r="AW818" s="48">
        <v>0</v>
      </c>
      <c r="AX818" s="48">
        <v>0</v>
      </c>
      <c r="AY818" s="48">
        <v>0</v>
      </c>
      <c r="AZ818" s="48">
        <v>0</v>
      </c>
      <c r="BA818" s="48">
        <v>0</v>
      </c>
      <c r="BB818" s="48">
        <v>0</v>
      </c>
    </row>
    <row r="819" spans="1:54" x14ac:dyDescent="0.35">
      <c r="A819" s="49">
        <v>45930</v>
      </c>
      <c r="B819" s="48">
        <v>1</v>
      </c>
      <c r="C819" s="50" t="s">
        <v>32</v>
      </c>
      <c r="D819" s="48" t="s">
        <v>31</v>
      </c>
      <c r="E819" s="48" t="s">
        <v>138</v>
      </c>
      <c r="F819" s="48" t="s">
        <v>139</v>
      </c>
      <c r="G819" s="49" t="s">
        <v>63</v>
      </c>
      <c r="H819" s="48" t="s">
        <v>63</v>
      </c>
      <c r="I819" s="48">
        <v>1</v>
      </c>
      <c r="J819" s="48">
        <v>4</v>
      </c>
      <c r="K819" s="48">
        <v>1</v>
      </c>
      <c r="N819" s="48">
        <v>0</v>
      </c>
      <c r="R819" s="49"/>
      <c r="S819" s="181">
        <v>0</v>
      </c>
      <c r="T819" s="49">
        <v>46053</v>
      </c>
      <c r="U819" s="49">
        <v>46053</v>
      </c>
      <c r="V819" s="49">
        <v>46053</v>
      </c>
      <c r="W819" s="49">
        <v>46053</v>
      </c>
      <c r="X819" s="48">
        <v>1</v>
      </c>
      <c r="Y819" s="48">
        <v>1</v>
      </c>
      <c r="Z819" s="48">
        <v>1</v>
      </c>
      <c r="AA819" s="156">
        <v>26803.587027067224</v>
      </c>
      <c r="AF819" s="48">
        <v>0</v>
      </c>
      <c r="AG819" s="49" t="s">
        <v>32</v>
      </c>
      <c r="AH819" s="48">
        <v>1</v>
      </c>
      <c r="AI819" s="48" t="s">
        <v>33</v>
      </c>
      <c r="AJ819" s="48" t="s">
        <v>33</v>
      </c>
      <c r="AK819" s="48" t="s">
        <v>33</v>
      </c>
      <c r="AL819" s="48" t="s">
        <v>34</v>
      </c>
      <c r="AN819" s="48">
        <v>0</v>
      </c>
      <c r="AO819" s="48">
        <v>0</v>
      </c>
      <c r="AP819" s="48">
        <v>0</v>
      </c>
      <c r="AQ819" s="48">
        <v>0</v>
      </c>
      <c r="AR819" s="48">
        <v>0</v>
      </c>
      <c r="AS819" s="48">
        <v>0</v>
      </c>
      <c r="AT819" s="48">
        <v>0</v>
      </c>
      <c r="AU819" s="48">
        <v>0</v>
      </c>
      <c r="AV819" s="48">
        <v>0</v>
      </c>
      <c r="AW819" s="48">
        <v>0</v>
      </c>
      <c r="AX819" s="48">
        <v>0</v>
      </c>
      <c r="AY819" s="48">
        <v>0</v>
      </c>
      <c r="AZ819" s="48">
        <v>0</v>
      </c>
      <c r="BA819" s="48">
        <v>0</v>
      </c>
      <c r="BB819" s="48">
        <v>0</v>
      </c>
    </row>
    <row r="820" spans="1:54" x14ac:dyDescent="0.35">
      <c r="A820" s="49">
        <v>45930</v>
      </c>
      <c r="B820" s="48">
        <v>1</v>
      </c>
      <c r="C820" s="50" t="s">
        <v>32</v>
      </c>
      <c r="D820" s="48" t="s">
        <v>31</v>
      </c>
      <c r="E820" s="48" t="s">
        <v>138</v>
      </c>
      <c r="F820" s="48" t="s">
        <v>139</v>
      </c>
      <c r="G820" s="49" t="s">
        <v>63</v>
      </c>
      <c r="H820" s="48" t="s">
        <v>63</v>
      </c>
      <c r="I820" s="48">
        <v>1</v>
      </c>
      <c r="J820" s="48">
        <v>5</v>
      </c>
      <c r="K820" s="48">
        <v>1</v>
      </c>
      <c r="N820" s="48">
        <v>0</v>
      </c>
      <c r="R820" s="49"/>
      <c r="S820" s="181">
        <v>0</v>
      </c>
      <c r="T820" s="49">
        <v>46081</v>
      </c>
      <c r="U820" s="49">
        <v>46081</v>
      </c>
      <c r="V820" s="49">
        <v>46081</v>
      </c>
      <c r="W820" s="49">
        <v>46081</v>
      </c>
      <c r="X820" s="48">
        <v>1</v>
      </c>
      <c r="Y820" s="48">
        <v>1</v>
      </c>
      <c r="Z820" s="48">
        <v>1</v>
      </c>
      <c r="AA820" s="156">
        <v>26803.587027067224</v>
      </c>
      <c r="AF820" s="48">
        <v>0</v>
      </c>
      <c r="AG820" s="49" t="s">
        <v>32</v>
      </c>
      <c r="AH820" s="48">
        <v>1</v>
      </c>
      <c r="AI820" s="48" t="s">
        <v>33</v>
      </c>
      <c r="AJ820" s="48" t="s">
        <v>33</v>
      </c>
      <c r="AK820" s="48" t="s">
        <v>33</v>
      </c>
      <c r="AL820" s="48" t="s">
        <v>34</v>
      </c>
      <c r="AN820" s="48">
        <v>0</v>
      </c>
      <c r="AO820" s="48">
        <v>0</v>
      </c>
      <c r="AP820" s="48">
        <v>0</v>
      </c>
      <c r="AQ820" s="48">
        <v>0</v>
      </c>
      <c r="AR820" s="48">
        <v>0</v>
      </c>
      <c r="AS820" s="48">
        <v>0</v>
      </c>
      <c r="AT820" s="48">
        <v>0</v>
      </c>
      <c r="AU820" s="48">
        <v>0</v>
      </c>
      <c r="AV820" s="48">
        <v>0</v>
      </c>
      <c r="AW820" s="48">
        <v>0</v>
      </c>
      <c r="AX820" s="48">
        <v>0</v>
      </c>
      <c r="AY820" s="48">
        <v>0</v>
      </c>
      <c r="AZ820" s="48">
        <v>0</v>
      </c>
      <c r="BA820" s="48">
        <v>0</v>
      </c>
      <c r="BB820" s="48">
        <v>0</v>
      </c>
    </row>
    <row r="821" spans="1:54" x14ac:dyDescent="0.35">
      <c r="A821" s="49">
        <v>45930</v>
      </c>
      <c r="B821" s="48">
        <v>1</v>
      </c>
      <c r="C821" s="50" t="s">
        <v>32</v>
      </c>
      <c r="D821" s="48" t="s">
        <v>31</v>
      </c>
      <c r="E821" s="48" t="s">
        <v>138</v>
      </c>
      <c r="F821" s="48" t="s">
        <v>139</v>
      </c>
      <c r="G821" s="49" t="s">
        <v>63</v>
      </c>
      <c r="H821" s="48" t="s">
        <v>63</v>
      </c>
      <c r="I821" s="48">
        <v>1</v>
      </c>
      <c r="J821" s="48">
        <v>6</v>
      </c>
      <c r="K821" s="48">
        <v>1</v>
      </c>
      <c r="N821" s="48">
        <v>0</v>
      </c>
      <c r="R821" s="49"/>
      <c r="S821" s="181">
        <v>0</v>
      </c>
      <c r="T821" s="49">
        <v>46112</v>
      </c>
      <c r="U821" s="49">
        <v>46112</v>
      </c>
      <c r="V821" s="49">
        <v>46112</v>
      </c>
      <c r="W821" s="49">
        <v>46112</v>
      </c>
      <c r="X821" s="48">
        <v>1</v>
      </c>
      <c r="Y821" s="48">
        <v>1</v>
      </c>
      <c r="Z821" s="48">
        <v>1</v>
      </c>
      <c r="AA821" s="156">
        <v>26803.587027067224</v>
      </c>
      <c r="AF821" s="48">
        <v>0</v>
      </c>
      <c r="AG821" s="49" t="s">
        <v>32</v>
      </c>
      <c r="AH821" s="48">
        <v>1</v>
      </c>
      <c r="AI821" s="48" t="s">
        <v>33</v>
      </c>
      <c r="AJ821" s="48" t="s">
        <v>33</v>
      </c>
      <c r="AK821" s="48" t="s">
        <v>33</v>
      </c>
      <c r="AL821" s="48" t="s">
        <v>34</v>
      </c>
      <c r="AN821" s="48">
        <v>0</v>
      </c>
      <c r="AO821" s="48">
        <v>0</v>
      </c>
      <c r="AP821" s="48">
        <v>0</v>
      </c>
      <c r="AQ821" s="48">
        <v>0</v>
      </c>
      <c r="AR821" s="48">
        <v>0</v>
      </c>
      <c r="AS821" s="48">
        <v>0</v>
      </c>
      <c r="AT821" s="48">
        <v>0</v>
      </c>
      <c r="AU821" s="48">
        <v>0</v>
      </c>
      <c r="AV821" s="48">
        <v>0</v>
      </c>
      <c r="AW821" s="48">
        <v>0</v>
      </c>
      <c r="AX821" s="48">
        <v>0</v>
      </c>
      <c r="AY821" s="48">
        <v>0</v>
      </c>
      <c r="AZ821" s="48">
        <v>0</v>
      </c>
      <c r="BA821" s="48">
        <v>0</v>
      </c>
      <c r="BB821" s="48">
        <v>0</v>
      </c>
    </row>
    <row r="822" spans="1:54" x14ac:dyDescent="0.35">
      <c r="A822" s="49">
        <v>45930</v>
      </c>
      <c r="B822" s="48">
        <v>1</v>
      </c>
      <c r="C822" s="50" t="s">
        <v>32</v>
      </c>
      <c r="D822" s="48" t="s">
        <v>31</v>
      </c>
      <c r="E822" s="48" t="s">
        <v>138</v>
      </c>
      <c r="F822" s="48" t="s">
        <v>139</v>
      </c>
      <c r="G822" s="49" t="s">
        <v>63</v>
      </c>
      <c r="H822" s="48" t="s">
        <v>63</v>
      </c>
      <c r="I822" s="48">
        <v>1</v>
      </c>
      <c r="J822" s="48">
        <v>7</v>
      </c>
      <c r="K822" s="48">
        <v>1</v>
      </c>
      <c r="N822" s="48">
        <v>0</v>
      </c>
      <c r="R822" s="49"/>
      <c r="S822" s="181">
        <v>0</v>
      </c>
      <c r="T822" s="49">
        <v>46142</v>
      </c>
      <c r="U822" s="49">
        <v>46142</v>
      </c>
      <c r="V822" s="49">
        <v>46142</v>
      </c>
      <c r="W822" s="49">
        <v>46142</v>
      </c>
      <c r="X822" s="48">
        <v>1</v>
      </c>
      <c r="Y822" s="48">
        <v>1</v>
      </c>
      <c r="Z822" s="48">
        <v>1</v>
      </c>
      <c r="AA822" s="156">
        <v>26803.587027067224</v>
      </c>
      <c r="AF822" s="48">
        <v>0</v>
      </c>
      <c r="AG822" s="49" t="s">
        <v>32</v>
      </c>
      <c r="AH822" s="48">
        <v>1</v>
      </c>
      <c r="AI822" s="48" t="s">
        <v>33</v>
      </c>
      <c r="AJ822" s="48" t="s">
        <v>33</v>
      </c>
      <c r="AK822" s="48" t="s">
        <v>33</v>
      </c>
      <c r="AL822" s="48" t="s">
        <v>34</v>
      </c>
      <c r="AN822" s="48">
        <v>0</v>
      </c>
      <c r="AO822" s="48">
        <v>0</v>
      </c>
      <c r="AP822" s="48">
        <v>0</v>
      </c>
      <c r="AQ822" s="48">
        <v>0</v>
      </c>
      <c r="AR822" s="48">
        <v>0</v>
      </c>
      <c r="AS822" s="48">
        <v>0</v>
      </c>
      <c r="AT822" s="48">
        <v>0</v>
      </c>
      <c r="AU822" s="48">
        <v>0</v>
      </c>
      <c r="AV822" s="48">
        <v>0</v>
      </c>
      <c r="AW822" s="48">
        <v>0</v>
      </c>
      <c r="AX822" s="48">
        <v>0</v>
      </c>
      <c r="AY822" s="48">
        <v>0</v>
      </c>
      <c r="AZ822" s="48">
        <v>0</v>
      </c>
      <c r="BA822" s="48">
        <v>0</v>
      </c>
      <c r="BB822" s="48">
        <v>0</v>
      </c>
    </row>
    <row r="823" spans="1:54" x14ac:dyDescent="0.35">
      <c r="A823" s="49">
        <v>45930</v>
      </c>
      <c r="B823" s="48">
        <v>1</v>
      </c>
      <c r="C823" s="50" t="s">
        <v>32</v>
      </c>
      <c r="D823" s="48" t="s">
        <v>31</v>
      </c>
      <c r="E823" s="48" t="s">
        <v>138</v>
      </c>
      <c r="F823" s="48" t="s">
        <v>139</v>
      </c>
      <c r="G823" s="49" t="s">
        <v>63</v>
      </c>
      <c r="H823" s="48" t="s">
        <v>63</v>
      </c>
      <c r="I823" s="48">
        <v>1</v>
      </c>
      <c r="J823" s="48">
        <v>8</v>
      </c>
      <c r="K823" s="48">
        <v>1</v>
      </c>
      <c r="N823" s="48">
        <v>0</v>
      </c>
      <c r="R823" s="49"/>
      <c r="S823" s="181">
        <v>0</v>
      </c>
      <c r="T823" s="49">
        <v>46173</v>
      </c>
      <c r="U823" s="49">
        <v>46173</v>
      </c>
      <c r="V823" s="49">
        <v>46173</v>
      </c>
      <c r="W823" s="49">
        <v>46173</v>
      </c>
      <c r="X823" s="48">
        <v>1</v>
      </c>
      <c r="Y823" s="48">
        <v>1</v>
      </c>
      <c r="Z823" s="48">
        <v>1</v>
      </c>
      <c r="AA823" s="156">
        <v>26803.587027067224</v>
      </c>
      <c r="AF823" s="48">
        <v>0</v>
      </c>
      <c r="AG823" s="49" t="s">
        <v>32</v>
      </c>
      <c r="AH823" s="48">
        <v>1</v>
      </c>
      <c r="AI823" s="48" t="s">
        <v>33</v>
      </c>
      <c r="AJ823" s="48" t="s">
        <v>33</v>
      </c>
      <c r="AK823" s="48" t="s">
        <v>33</v>
      </c>
      <c r="AL823" s="48" t="s">
        <v>34</v>
      </c>
      <c r="AN823" s="48">
        <v>0</v>
      </c>
      <c r="AO823" s="48">
        <v>0</v>
      </c>
      <c r="AP823" s="48">
        <v>0</v>
      </c>
      <c r="AQ823" s="48">
        <v>0</v>
      </c>
      <c r="AR823" s="48">
        <v>0</v>
      </c>
      <c r="AS823" s="48">
        <v>0</v>
      </c>
      <c r="AT823" s="48">
        <v>0</v>
      </c>
      <c r="AU823" s="48">
        <v>0</v>
      </c>
      <c r="AV823" s="48">
        <v>0</v>
      </c>
      <c r="AW823" s="48">
        <v>0</v>
      </c>
      <c r="AX823" s="48">
        <v>0</v>
      </c>
      <c r="AY823" s="48">
        <v>0</v>
      </c>
      <c r="AZ823" s="48">
        <v>0</v>
      </c>
      <c r="BA823" s="48">
        <v>0</v>
      </c>
      <c r="BB823" s="48">
        <v>0</v>
      </c>
    </row>
    <row r="824" spans="1:54" x14ac:dyDescent="0.35">
      <c r="A824" s="49">
        <v>45930</v>
      </c>
      <c r="B824" s="48">
        <v>1</v>
      </c>
      <c r="C824" s="50" t="s">
        <v>32</v>
      </c>
      <c r="D824" s="48" t="s">
        <v>31</v>
      </c>
      <c r="E824" s="48" t="s">
        <v>138</v>
      </c>
      <c r="F824" s="48" t="s">
        <v>139</v>
      </c>
      <c r="G824" s="49" t="s">
        <v>63</v>
      </c>
      <c r="H824" s="48" t="s">
        <v>63</v>
      </c>
      <c r="I824" s="48">
        <v>1</v>
      </c>
      <c r="J824" s="48">
        <v>9</v>
      </c>
      <c r="K824" s="48">
        <v>1</v>
      </c>
      <c r="N824" s="48">
        <v>0</v>
      </c>
      <c r="R824" s="49"/>
      <c r="S824" s="181">
        <v>0</v>
      </c>
      <c r="T824" s="49">
        <v>46203</v>
      </c>
      <c r="U824" s="49">
        <v>46203</v>
      </c>
      <c r="V824" s="49">
        <v>46203</v>
      </c>
      <c r="W824" s="49">
        <v>46203</v>
      </c>
      <c r="X824" s="48">
        <v>1</v>
      </c>
      <c r="Y824" s="48">
        <v>1</v>
      </c>
      <c r="Z824" s="48">
        <v>1</v>
      </c>
      <c r="AA824" s="156">
        <v>26803.587027067224</v>
      </c>
      <c r="AF824" s="48">
        <v>0</v>
      </c>
      <c r="AG824" s="49" t="s">
        <v>32</v>
      </c>
      <c r="AH824" s="48">
        <v>1</v>
      </c>
      <c r="AI824" s="48" t="s">
        <v>33</v>
      </c>
      <c r="AJ824" s="48" t="s">
        <v>33</v>
      </c>
      <c r="AK824" s="48" t="s">
        <v>33</v>
      </c>
      <c r="AL824" s="48" t="s">
        <v>34</v>
      </c>
      <c r="AN824" s="48">
        <v>0</v>
      </c>
      <c r="AO824" s="48">
        <v>0</v>
      </c>
      <c r="AP824" s="48">
        <v>0</v>
      </c>
      <c r="AQ824" s="48">
        <v>0</v>
      </c>
      <c r="AR824" s="48">
        <v>0</v>
      </c>
      <c r="AS824" s="48">
        <v>0</v>
      </c>
      <c r="AT824" s="48">
        <v>0</v>
      </c>
      <c r="AU824" s="48">
        <v>0</v>
      </c>
      <c r="AV824" s="48">
        <v>0</v>
      </c>
      <c r="AW824" s="48">
        <v>0</v>
      </c>
      <c r="AX824" s="48">
        <v>0</v>
      </c>
      <c r="AY824" s="48">
        <v>0</v>
      </c>
      <c r="AZ824" s="48">
        <v>0</v>
      </c>
      <c r="BA824" s="48">
        <v>0</v>
      </c>
      <c r="BB824" s="48">
        <v>0</v>
      </c>
    </row>
    <row r="825" spans="1:54" x14ac:dyDescent="0.35">
      <c r="A825" s="49">
        <v>45930</v>
      </c>
      <c r="B825" s="48">
        <v>1</v>
      </c>
      <c r="C825" s="50" t="s">
        <v>32</v>
      </c>
      <c r="D825" s="48" t="s">
        <v>31</v>
      </c>
      <c r="E825" s="48" t="s">
        <v>138</v>
      </c>
      <c r="F825" s="48" t="s">
        <v>139</v>
      </c>
      <c r="G825" s="49" t="s">
        <v>63</v>
      </c>
      <c r="H825" s="48" t="s">
        <v>63</v>
      </c>
      <c r="I825" s="48">
        <v>1</v>
      </c>
      <c r="J825" s="48">
        <v>10</v>
      </c>
      <c r="K825" s="48">
        <v>1</v>
      </c>
      <c r="N825" s="48">
        <v>0</v>
      </c>
      <c r="R825" s="49"/>
      <c r="S825" s="181">
        <v>0</v>
      </c>
      <c r="T825" s="49">
        <v>46234</v>
      </c>
      <c r="U825" s="49">
        <v>46234</v>
      </c>
      <c r="V825" s="49">
        <v>46234</v>
      </c>
      <c r="W825" s="49">
        <v>46234</v>
      </c>
      <c r="X825" s="48">
        <v>1</v>
      </c>
      <c r="Y825" s="48">
        <v>1</v>
      </c>
      <c r="Z825" s="48">
        <v>1</v>
      </c>
      <c r="AA825" s="156">
        <v>26803.587027067224</v>
      </c>
      <c r="AF825" s="48">
        <v>0</v>
      </c>
      <c r="AG825" s="49" t="s">
        <v>32</v>
      </c>
      <c r="AH825" s="48">
        <v>1</v>
      </c>
      <c r="AI825" s="48" t="s">
        <v>33</v>
      </c>
      <c r="AJ825" s="48" t="s">
        <v>33</v>
      </c>
      <c r="AK825" s="48" t="s">
        <v>33</v>
      </c>
      <c r="AL825" s="48" t="s">
        <v>34</v>
      </c>
      <c r="AN825" s="48">
        <v>0</v>
      </c>
      <c r="AO825" s="48">
        <v>0</v>
      </c>
      <c r="AP825" s="48">
        <v>0</v>
      </c>
      <c r="AQ825" s="48">
        <v>0</v>
      </c>
      <c r="AR825" s="48">
        <v>0</v>
      </c>
      <c r="AS825" s="48">
        <v>0</v>
      </c>
      <c r="AT825" s="48">
        <v>0</v>
      </c>
      <c r="AU825" s="48">
        <v>0</v>
      </c>
      <c r="AV825" s="48">
        <v>0</v>
      </c>
      <c r="AW825" s="48">
        <v>0</v>
      </c>
      <c r="AX825" s="48">
        <v>0</v>
      </c>
      <c r="AY825" s="48">
        <v>0</v>
      </c>
      <c r="AZ825" s="48">
        <v>0</v>
      </c>
      <c r="BA825" s="48">
        <v>0</v>
      </c>
      <c r="BB825" s="48">
        <v>0</v>
      </c>
    </row>
    <row r="826" spans="1:54" x14ac:dyDescent="0.35">
      <c r="A826" s="49">
        <v>45930</v>
      </c>
      <c r="B826" s="48">
        <v>1</v>
      </c>
      <c r="C826" s="50" t="s">
        <v>32</v>
      </c>
      <c r="D826" s="48" t="s">
        <v>31</v>
      </c>
      <c r="E826" s="48" t="s">
        <v>138</v>
      </c>
      <c r="F826" s="48" t="s">
        <v>139</v>
      </c>
      <c r="G826" s="49" t="s">
        <v>63</v>
      </c>
      <c r="H826" s="48" t="s">
        <v>63</v>
      </c>
      <c r="I826" s="48">
        <v>1</v>
      </c>
      <c r="J826" s="48">
        <v>11</v>
      </c>
      <c r="K826" s="48">
        <v>1</v>
      </c>
      <c r="N826" s="48">
        <v>0</v>
      </c>
      <c r="R826" s="49"/>
      <c r="S826" s="181">
        <v>0</v>
      </c>
      <c r="T826" s="49">
        <v>46265</v>
      </c>
      <c r="U826" s="49">
        <v>46265</v>
      </c>
      <c r="V826" s="49">
        <v>46265</v>
      </c>
      <c r="W826" s="49">
        <v>46265</v>
      </c>
      <c r="X826" s="48">
        <v>1</v>
      </c>
      <c r="Y826" s="48">
        <v>1</v>
      </c>
      <c r="Z826" s="48">
        <v>1</v>
      </c>
      <c r="AA826" s="156">
        <v>26803.587027067224</v>
      </c>
      <c r="AF826" s="48">
        <v>0</v>
      </c>
      <c r="AG826" s="49" t="s">
        <v>32</v>
      </c>
      <c r="AH826" s="48">
        <v>1</v>
      </c>
      <c r="AI826" s="48" t="s">
        <v>33</v>
      </c>
      <c r="AJ826" s="48" t="s">
        <v>33</v>
      </c>
      <c r="AK826" s="48" t="s">
        <v>33</v>
      </c>
      <c r="AL826" s="48" t="s">
        <v>34</v>
      </c>
      <c r="AN826" s="48">
        <v>0</v>
      </c>
      <c r="AO826" s="48">
        <v>0</v>
      </c>
      <c r="AP826" s="48">
        <v>0</v>
      </c>
      <c r="AQ826" s="48">
        <v>0</v>
      </c>
      <c r="AR826" s="48">
        <v>0</v>
      </c>
      <c r="AS826" s="48">
        <v>0</v>
      </c>
      <c r="AT826" s="48">
        <v>0</v>
      </c>
      <c r="AU826" s="48">
        <v>0</v>
      </c>
      <c r="AV826" s="48">
        <v>0</v>
      </c>
      <c r="AW826" s="48">
        <v>0</v>
      </c>
      <c r="AX826" s="48">
        <v>0</v>
      </c>
      <c r="AY826" s="48">
        <v>0</v>
      </c>
      <c r="AZ826" s="48">
        <v>0</v>
      </c>
      <c r="BA826" s="48">
        <v>0</v>
      </c>
      <c r="BB826" s="48">
        <v>0</v>
      </c>
    </row>
    <row r="827" spans="1:54" x14ac:dyDescent="0.35">
      <c r="A827" s="49">
        <v>45930</v>
      </c>
      <c r="B827" s="48">
        <v>1</v>
      </c>
      <c r="C827" s="50" t="s">
        <v>32</v>
      </c>
      <c r="D827" s="48" t="s">
        <v>31</v>
      </c>
      <c r="E827" s="48" t="s">
        <v>138</v>
      </c>
      <c r="F827" s="48" t="s">
        <v>139</v>
      </c>
      <c r="G827" s="49" t="s">
        <v>63</v>
      </c>
      <c r="H827" s="48" t="s">
        <v>63</v>
      </c>
      <c r="I827" s="48">
        <v>1</v>
      </c>
      <c r="J827" s="48">
        <v>12</v>
      </c>
      <c r="K827" s="48">
        <v>1</v>
      </c>
      <c r="N827" s="48">
        <v>0</v>
      </c>
      <c r="R827" s="49"/>
      <c r="S827" s="181">
        <v>0</v>
      </c>
      <c r="T827" s="49">
        <v>46295</v>
      </c>
      <c r="U827" s="49">
        <v>46295</v>
      </c>
      <c r="V827" s="49">
        <v>46295</v>
      </c>
      <c r="W827" s="49">
        <v>46295</v>
      </c>
      <c r="X827" s="48">
        <v>1</v>
      </c>
      <c r="Y827" s="48">
        <v>1</v>
      </c>
      <c r="Z827" s="48">
        <v>1</v>
      </c>
      <c r="AA827" s="156">
        <v>26803.587027067224</v>
      </c>
      <c r="AF827" s="48">
        <v>0</v>
      </c>
      <c r="AG827" s="49" t="s">
        <v>32</v>
      </c>
      <c r="AH827" s="48">
        <v>1</v>
      </c>
      <c r="AI827" s="48" t="s">
        <v>33</v>
      </c>
      <c r="AJ827" s="48" t="s">
        <v>33</v>
      </c>
      <c r="AK827" s="48" t="s">
        <v>33</v>
      </c>
      <c r="AL827" s="48" t="s">
        <v>34</v>
      </c>
      <c r="AN827" s="48">
        <v>0</v>
      </c>
      <c r="AO827" s="48">
        <v>0</v>
      </c>
      <c r="AP827" s="48">
        <v>0</v>
      </c>
      <c r="AQ827" s="48">
        <v>0</v>
      </c>
      <c r="AR827" s="48">
        <v>0</v>
      </c>
      <c r="AS827" s="48">
        <v>0</v>
      </c>
      <c r="AT827" s="48">
        <v>0</v>
      </c>
      <c r="AU827" s="48">
        <v>0</v>
      </c>
      <c r="AV827" s="48">
        <v>0</v>
      </c>
      <c r="AW827" s="48">
        <v>0</v>
      </c>
      <c r="AX827" s="48">
        <v>0</v>
      </c>
      <c r="AY827" s="48">
        <v>0</v>
      </c>
      <c r="AZ827" s="48">
        <v>0</v>
      </c>
      <c r="BA827" s="48">
        <v>0</v>
      </c>
      <c r="BB827" s="48">
        <v>0</v>
      </c>
    </row>
    <row r="828" spans="1:54" x14ac:dyDescent="0.35">
      <c r="A828" s="49">
        <v>45930</v>
      </c>
      <c r="B828" s="48">
        <v>1</v>
      </c>
      <c r="C828" s="50" t="s">
        <v>32</v>
      </c>
      <c r="D828" s="48" t="s">
        <v>31</v>
      </c>
      <c r="E828" s="48" t="s">
        <v>138</v>
      </c>
      <c r="F828" s="48" t="s">
        <v>139</v>
      </c>
      <c r="G828" s="49" t="s">
        <v>63</v>
      </c>
      <c r="H828" s="48" t="s">
        <v>63</v>
      </c>
      <c r="I828" s="48">
        <v>1</v>
      </c>
      <c r="J828" s="48">
        <v>13</v>
      </c>
      <c r="K828" s="48">
        <v>1</v>
      </c>
      <c r="N828" s="48">
        <v>0</v>
      </c>
      <c r="R828" s="49"/>
      <c r="S828" s="181">
        <v>0</v>
      </c>
      <c r="T828" s="49">
        <v>46326</v>
      </c>
      <c r="U828" s="49">
        <v>46326</v>
      </c>
      <c r="V828" s="49">
        <v>46326</v>
      </c>
      <c r="W828" s="49">
        <v>46326</v>
      </c>
      <c r="X828" s="48">
        <v>1</v>
      </c>
      <c r="Y828" s="48">
        <v>1</v>
      </c>
      <c r="Z828" s="48">
        <v>1</v>
      </c>
      <c r="AA828" s="156">
        <v>26803.587027067224</v>
      </c>
      <c r="AF828" s="48">
        <v>0</v>
      </c>
      <c r="AG828" s="49" t="s">
        <v>32</v>
      </c>
      <c r="AH828" s="48">
        <v>1</v>
      </c>
      <c r="AI828" s="48" t="s">
        <v>33</v>
      </c>
      <c r="AJ828" s="48" t="s">
        <v>33</v>
      </c>
      <c r="AK828" s="48" t="s">
        <v>33</v>
      </c>
      <c r="AL828" s="48" t="s">
        <v>34</v>
      </c>
      <c r="AN828" s="48">
        <v>0</v>
      </c>
      <c r="AO828" s="48">
        <v>0</v>
      </c>
      <c r="AP828" s="48">
        <v>0</v>
      </c>
      <c r="AQ828" s="48">
        <v>0</v>
      </c>
      <c r="AR828" s="48">
        <v>0</v>
      </c>
      <c r="AS828" s="48">
        <v>0</v>
      </c>
      <c r="AT828" s="48">
        <v>0</v>
      </c>
      <c r="AU828" s="48">
        <v>0</v>
      </c>
      <c r="AV828" s="48">
        <v>0</v>
      </c>
      <c r="AW828" s="48">
        <v>0</v>
      </c>
      <c r="AX828" s="48">
        <v>0</v>
      </c>
      <c r="AY828" s="48">
        <v>0</v>
      </c>
      <c r="AZ828" s="48">
        <v>0</v>
      </c>
      <c r="BA828" s="48">
        <v>0</v>
      </c>
      <c r="BB828" s="48">
        <v>0</v>
      </c>
    </row>
    <row r="829" spans="1:54" x14ac:dyDescent="0.35">
      <c r="A829" s="49">
        <v>45930</v>
      </c>
      <c r="B829" s="48">
        <v>1</v>
      </c>
      <c r="C829" s="50" t="s">
        <v>32</v>
      </c>
      <c r="D829" s="48" t="s">
        <v>31</v>
      </c>
      <c r="E829" s="48" t="s">
        <v>138</v>
      </c>
      <c r="F829" s="48" t="s">
        <v>139</v>
      </c>
      <c r="G829" s="49" t="s">
        <v>63</v>
      </c>
      <c r="H829" s="48" t="s">
        <v>63</v>
      </c>
      <c r="I829" s="48">
        <v>1</v>
      </c>
      <c r="J829" s="48">
        <v>14</v>
      </c>
      <c r="K829" s="48">
        <v>1</v>
      </c>
      <c r="N829" s="48">
        <v>0</v>
      </c>
      <c r="R829" s="49"/>
      <c r="S829" s="181">
        <v>0</v>
      </c>
      <c r="T829" s="49">
        <v>46356</v>
      </c>
      <c r="U829" s="49">
        <v>46356</v>
      </c>
      <c r="V829" s="49">
        <v>46356</v>
      </c>
      <c r="W829" s="49">
        <v>46356</v>
      </c>
      <c r="X829" s="48">
        <v>1</v>
      </c>
      <c r="Y829" s="48">
        <v>1</v>
      </c>
      <c r="Z829" s="48">
        <v>1</v>
      </c>
      <c r="AA829" s="156">
        <v>26803.587027067224</v>
      </c>
      <c r="AF829" s="48">
        <v>0</v>
      </c>
      <c r="AG829" s="49" t="s">
        <v>32</v>
      </c>
      <c r="AH829" s="48">
        <v>1</v>
      </c>
      <c r="AI829" s="48" t="s">
        <v>33</v>
      </c>
      <c r="AJ829" s="48" t="s">
        <v>33</v>
      </c>
      <c r="AK829" s="48" t="s">
        <v>33</v>
      </c>
      <c r="AL829" s="48" t="s">
        <v>34</v>
      </c>
      <c r="AN829" s="48">
        <v>0</v>
      </c>
      <c r="AO829" s="48">
        <v>0</v>
      </c>
      <c r="AP829" s="48">
        <v>0</v>
      </c>
      <c r="AQ829" s="48">
        <v>0</v>
      </c>
      <c r="AR829" s="48">
        <v>0</v>
      </c>
      <c r="AS829" s="48">
        <v>0</v>
      </c>
      <c r="AT829" s="48">
        <v>0</v>
      </c>
      <c r="AU829" s="48">
        <v>0</v>
      </c>
      <c r="AV829" s="48">
        <v>0</v>
      </c>
      <c r="AW829" s="48">
        <v>0</v>
      </c>
      <c r="AX829" s="48">
        <v>0</v>
      </c>
      <c r="AY829" s="48">
        <v>0</v>
      </c>
      <c r="AZ829" s="48">
        <v>0</v>
      </c>
      <c r="BA829" s="48">
        <v>0</v>
      </c>
      <c r="BB829" s="48">
        <v>0</v>
      </c>
    </row>
    <row r="830" spans="1:54" x14ac:dyDescent="0.35">
      <c r="A830" s="49">
        <v>45930</v>
      </c>
      <c r="B830" s="48">
        <v>1</v>
      </c>
      <c r="C830" s="50" t="s">
        <v>32</v>
      </c>
      <c r="D830" s="48" t="s">
        <v>31</v>
      </c>
      <c r="E830" s="48" t="s">
        <v>138</v>
      </c>
      <c r="F830" s="48" t="s">
        <v>139</v>
      </c>
      <c r="G830" s="49" t="s">
        <v>63</v>
      </c>
      <c r="H830" s="48" t="s">
        <v>63</v>
      </c>
      <c r="I830" s="48">
        <v>1</v>
      </c>
      <c r="J830" s="48">
        <v>15</v>
      </c>
      <c r="K830" s="48">
        <v>1</v>
      </c>
      <c r="N830" s="48">
        <v>0</v>
      </c>
      <c r="R830" s="49"/>
      <c r="S830" s="181">
        <v>0</v>
      </c>
      <c r="T830" s="49">
        <v>46387</v>
      </c>
      <c r="U830" s="49">
        <v>46387</v>
      </c>
      <c r="V830" s="49">
        <v>46387</v>
      </c>
      <c r="W830" s="49">
        <v>46387</v>
      </c>
      <c r="X830" s="48">
        <v>1</v>
      </c>
      <c r="Y830" s="48">
        <v>1</v>
      </c>
      <c r="Z830" s="48">
        <v>1</v>
      </c>
      <c r="AA830" s="156">
        <v>26803.587027067224</v>
      </c>
      <c r="AF830" s="48">
        <v>0</v>
      </c>
      <c r="AG830" s="49" t="s">
        <v>32</v>
      </c>
      <c r="AH830" s="48">
        <v>1</v>
      </c>
      <c r="AI830" s="48" t="s">
        <v>33</v>
      </c>
      <c r="AJ830" s="48" t="s">
        <v>33</v>
      </c>
      <c r="AK830" s="48" t="s">
        <v>33</v>
      </c>
      <c r="AL830" s="48" t="s">
        <v>34</v>
      </c>
      <c r="AN830" s="48">
        <v>0</v>
      </c>
      <c r="AO830" s="48">
        <v>0</v>
      </c>
      <c r="AP830" s="48">
        <v>0</v>
      </c>
      <c r="AQ830" s="48">
        <v>0</v>
      </c>
      <c r="AR830" s="48">
        <v>0</v>
      </c>
      <c r="AS830" s="48">
        <v>0</v>
      </c>
      <c r="AT830" s="48">
        <v>0</v>
      </c>
      <c r="AU830" s="48">
        <v>0</v>
      </c>
      <c r="AV830" s="48">
        <v>0</v>
      </c>
      <c r="AW830" s="48">
        <v>0</v>
      </c>
      <c r="AX830" s="48">
        <v>0</v>
      </c>
      <c r="AY830" s="48">
        <v>0</v>
      </c>
      <c r="AZ830" s="48">
        <v>0</v>
      </c>
      <c r="BA830" s="48">
        <v>0</v>
      </c>
      <c r="BB830" s="48">
        <v>0</v>
      </c>
    </row>
    <row r="831" spans="1:54" x14ac:dyDescent="0.35">
      <c r="A831" s="49">
        <v>45930</v>
      </c>
      <c r="B831" s="48">
        <v>1</v>
      </c>
      <c r="C831" s="50" t="s">
        <v>32</v>
      </c>
      <c r="D831" s="48" t="s">
        <v>31</v>
      </c>
      <c r="E831" s="48" t="s">
        <v>138</v>
      </c>
      <c r="F831" s="48" t="s">
        <v>139</v>
      </c>
      <c r="G831" s="49" t="s">
        <v>63</v>
      </c>
      <c r="H831" s="48" t="s">
        <v>63</v>
      </c>
      <c r="I831" s="48">
        <v>1</v>
      </c>
      <c r="J831" s="48">
        <v>16</v>
      </c>
      <c r="K831" s="48">
        <v>1</v>
      </c>
      <c r="N831" s="48">
        <v>0</v>
      </c>
      <c r="R831" s="49"/>
      <c r="S831" s="181">
        <v>0</v>
      </c>
      <c r="T831" s="49">
        <v>46418</v>
      </c>
      <c r="U831" s="49">
        <v>46418</v>
      </c>
      <c r="V831" s="49">
        <v>46418</v>
      </c>
      <c r="W831" s="49">
        <v>46418</v>
      </c>
      <c r="X831" s="48">
        <v>1</v>
      </c>
      <c r="Y831" s="48">
        <v>1</v>
      </c>
      <c r="Z831" s="48">
        <v>1</v>
      </c>
      <c r="AA831" s="156">
        <v>26803.587027067224</v>
      </c>
      <c r="AF831" s="48">
        <v>0</v>
      </c>
      <c r="AG831" s="49" t="s">
        <v>32</v>
      </c>
      <c r="AH831" s="48">
        <v>1</v>
      </c>
      <c r="AI831" s="48" t="s">
        <v>33</v>
      </c>
      <c r="AJ831" s="48" t="s">
        <v>33</v>
      </c>
      <c r="AK831" s="48" t="s">
        <v>33</v>
      </c>
      <c r="AL831" s="48" t="s">
        <v>34</v>
      </c>
      <c r="AN831" s="48">
        <v>0</v>
      </c>
      <c r="AO831" s="48">
        <v>0</v>
      </c>
      <c r="AP831" s="48">
        <v>0</v>
      </c>
      <c r="AQ831" s="48">
        <v>0</v>
      </c>
      <c r="AR831" s="48">
        <v>0</v>
      </c>
      <c r="AS831" s="48">
        <v>0</v>
      </c>
      <c r="AT831" s="48">
        <v>0</v>
      </c>
      <c r="AU831" s="48">
        <v>0</v>
      </c>
      <c r="AV831" s="48">
        <v>0</v>
      </c>
      <c r="AW831" s="48">
        <v>0</v>
      </c>
      <c r="AX831" s="48">
        <v>0</v>
      </c>
      <c r="AY831" s="48">
        <v>0</v>
      </c>
      <c r="AZ831" s="48">
        <v>0</v>
      </c>
      <c r="BA831" s="48">
        <v>0</v>
      </c>
      <c r="BB831" s="48">
        <v>0</v>
      </c>
    </row>
    <row r="832" spans="1:54" x14ac:dyDescent="0.35">
      <c r="A832" s="49">
        <v>45930</v>
      </c>
      <c r="B832" s="48">
        <v>1</v>
      </c>
      <c r="C832" s="50" t="s">
        <v>32</v>
      </c>
      <c r="D832" s="48" t="s">
        <v>31</v>
      </c>
      <c r="E832" s="48" t="s">
        <v>138</v>
      </c>
      <c r="F832" s="48" t="s">
        <v>139</v>
      </c>
      <c r="G832" s="49" t="s">
        <v>63</v>
      </c>
      <c r="H832" s="48" t="s">
        <v>63</v>
      </c>
      <c r="I832" s="48">
        <v>1</v>
      </c>
      <c r="J832" s="48">
        <v>17</v>
      </c>
      <c r="K832" s="48">
        <v>1</v>
      </c>
      <c r="N832" s="48">
        <v>0</v>
      </c>
      <c r="R832" s="49"/>
      <c r="S832" s="181">
        <v>0</v>
      </c>
      <c r="T832" s="49">
        <v>46446</v>
      </c>
      <c r="U832" s="49">
        <v>46446</v>
      </c>
      <c r="V832" s="49">
        <v>46446</v>
      </c>
      <c r="W832" s="49">
        <v>46446</v>
      </c>
      <c r="X832" s="48">
        <v>1</v>
      </c>
      <c r="Y832" s="48">
        <v>1</v>
      </c>
      <c r="Z832" s="48">
        <v>1</v>
      </c>
      <c r="AA832" s="156">
        <v>26803.587027067224</v>
      </c>
      <c r="AF832" s="48">
        <v>0</v>
      </c>
      <c r="AG832" s="49" t="s">
        <v>32</v>
      </c>
      <c r="AH832" s="48">
        <v>1</v>
      </c>
      <c r="AI832" s="48" t="s">
        <v>33</v>
      </c>
      <c r="AJ832" s="48" t="s">
        <v>33</v>
      </c>
      <c r="AK832" s="48" t="s">
        <v>33</v>
      </c>
      <c r="AL832" s="48" t="s">
        <v>34</v>
      </c>
      <c r="AN832" s="48">
        <v>0</v>
      </c>
      <c r="AO832" s="48">
        <v>0</v>
      </c>
      <c r="AP832" s="48">
        <v>0</v>
      </c>
      <c r="AQ832" s="48">
        <v>0</v>
      </c>
      <c r="AR832" s="48">
        <v>0</v>
      </c>
      <c r="AS832" s="48">
        <v>0</v>
      </c>
      <c r="AT832" s="48">
        <v>0</v>
      </c>
      <c r="AU832" s="48">
        <v>0</v>
      </c>
      <c r="AV832" s="48">
        <v>0</v>
      </c>
      <c r="AW832" s="48">
        <v>0</v>
      </c>
      <c r="AX832" s="48">
        <v>0</v>
      </c>
      <c r="AY832" s="48">
        <v>0</v>
      </c>
      <c r="AZ832" s="48">
        <v>0</v>
      </c>
      <c r="BA832" s="48">
        <v>0</v>
      </c>
      <c r="BB832" s="48">
        <v>0</v>
      </c>
    </row>
    <row r="833" spans="1:54" x14ac:dyDescent="0.35">
      <c r="A833" s="49">
        <v>45930</v>
      </c>
      <c r="B833" s="48">
        <v>1</v>
      </c>
      <c r="C833" s="50" t="s">
        <v>32</v>
      </c>
      <c r="D833" s="48" t="s">
        <v>31</v>
      </c>
      <c r="E833" s="48" t="s">
        <v>138</v>
      </c>
      <c r="F833" s="48" t="s">
        <v>139</v>
      </c>
      <c r="G833" s="49" t="s">
        <v>63</v>
      </c>
      <c r="H833" s="48" t="s">
        <v>63</v>
      </c>
      <c r="I833" s="48">
        <v>1</v>
      </c>
      <c r="J833" s="48">
        <v>18</v>
      </c>
      <c r="K833" s="48">
        <v>1</v>
      </c>
      <c r="N833" s="48">
        <v>0</v>
      </c>
      <c r="R833" s="49"/>
      <c r="S833" s="181">
        <v>0</v>
      </c>
      <c r="T833" s="49">
        <v>46477</v>
      </c>
      <c r="U833" s="49">
        <v>46477</v>
      </c>
      <c r="V833" s="49">
        <v>46477</v>
      </c>
      <c r="W833" s="49">
        <v>46477</v>
      </c>
      <c r="X833" s="48">
        <v>1</v>
      </c>
      <c r="Y833" s="48">
        <v>1</v>
      </c>
      <c r="Z833" s="48">
        <v>1</v>
      </c>
      <c r="AA833" s="156">
        <v>26803.587027067224</v>
      </c>
      <c r="AF833" s="48">
        <v>0</v>
      </c>
      <c r="AG833" s="49" t="s">
        <v>32</v>
      </c>
      <c r="AH833" s="48">
        <v>1</v>
      </c>
      <c r="AI833" s="48" t="s">
        <v>33</v>
      </c>
      <c r="AJ833" s="48" t="s">
        <v>33</v>
      </c>
      <c r="AK833" s="48" t="s">
        <v>33</v>
      </c>
      <c r="AL833" s="48" t="s">
        <v>34</v>
      </c>
      <c r="AN833" s="48">
        <v>0</v>
      </c>
      <c r="AO833" s="48">
        <v>0</v>
      </c>
      <c r="AP833" s="48">
        <v>0</v>
      </c>
      <c r="AQ833" s="48">
        <v>0</v>
      </c>
      <c r="AR833" s="48">
        <v>0</v>
      </c>
      <c r="AS833" s="48">
        <v>0</v>
      </c>
      <c r="AT833" s="48">
        <v>0</v>
      </c>
      <c r="AU833" s="48">
        <v>0</v>
      </c>
      <c r="AV833" s="48">
        <v>0</v>
      </c>
      <c r="AW833" s="48">
        <v>0</v>
      </c>
      <c r="AX833" s="48">
        <v>0</v>
      </c>
      <c r="AY833" s="48">
        <v>0</v>
      </c>
      <c r="AZ833" s="48">
        <v>0</v>
      </c>
      <c r="BA833" s="48">
        <v>0</v>
      </c>
      <c r="BB833" s="48">
        <v>0</v>
      </c>
    </row>
    <row r="834" spans="1:54" x14ac:dyDescent="0.35">
      <c r="A834" s="49">
        <v>45930</v>
      </c>
      <c r="B834" s="48">
        <v>1</v>
      </c>
      <c r="C834" s="50" t="s">
        <v>32</v>
      </c>
      <c r="D834" s="48" t="s">
        <v>31</v>
      </c>
      <c r="E834" s="48" t="s">
        <v>138</v>
      </c>
      <c r="F834" s="48" t="s">
        <v>139</v>
      </c>
      <c r="G834" s="49" t="s">
        <v>63</v>
      </c>
      <c r="H834" s="48" t="s">
        <v>63</v>
      </c>
      <c r="I834" s="48">
        <v>1</v>
      </c>
      <c r="J834" s="48">
        <v>19</v>
      </c>
      <c r="K834" s="48">
        <v>1</v>
      </c>
      <c r="N834" s="48">
        <v>0</v>
      </c>
      <c r="R834" s="49"/>
      <c r="S834" s="181">
        <v>0</v>
      </c>
      <c r="T834" s="49">
        <v>46507</v>
      </c>
      <c r="U834" s="49">
        <v>46507</v>
      </c>
      <c r="V834" s="49">
        <v>46507</v>
      </c>
      <c r="W834" s="49">
        <v>46507</v>
      </c>
      <c r="X834" s="48">
        <v>1</v>
      </c>
      <c r="Y834" s="48">
        <v>1</v>
      </c>
      <c r="Z834" s="48">
        <v>1</v>
      </c>
      <c r="AA834" s="156">
        <v>26803.587027067224</v>
      </c>
      <c r="AF834" s="48">
        <v>0</v>
      </c>
      <c r="AG834" s="49" t="s">
        <v>32</v>
      </c>
      <c r="AH834" s="48">
        <v>1</v>
      </c>
      <c r="AI834" s="48" t="s">
        <v>33</v>
      </c>
      <c r="AJ834" s="48" t="s">
        <v>33</v>
      </c>
      <c r="AK834" s="48" t="s">
        <v>33</v>
      </c>
      <c r="AL834" s="48" t="s">
        <v>34</v>
      </c>
      <c r="AN834" s="48">
        <v>0</v>
      </c>
      <c r="AO834" s="48">
        <v>0</v>
      </c>
      <c r="AP834" s="48">
        <v>0</v>
      </c>
      <c r="AQ834" s="48">
        <v>0</v>
      </c>
      <c r="AR834" s="48">
        <v>0</v>
      </c>
      <c r="AS834" s="48">
        <v>0</v>
      </c>
      <c r="AT834" s="48">
        <v>0</v>
      </c>
      <c r="AU834" s="48">
        <v>0</v>
      </c>
      <c r="AV834" s="48">
        <v>0</v>
      </c>
      <c r="AW834" s="48">
        <v>0</v>
      </c>
      <c r="AX834" s="48">
        <v>0</v>
      </c>
      <c r="AY834" s="48">
        <v>0</v>
      </c>
      <c r="AZ834" s="48">
        <v>0</v>
      </c>
      <c r="BA834" s="48">
        <v>0</v>
      </c>
      <c r="BB834" s="48">
        <v>0</v>
      </c>
    </row>
    <row r="835" spans="1:54" x14ac:dyDescent="0.35">
      <c r="A835" s="49">
        <v>45930</v>
      </c>
      <c r="B835" s="48">
        <v>1</v>
      </c>
      <c r="C835" s="50" t="s">
        <v>32</v>
      </c>
      <c r="D835" s="48" t="s">
        <v>31</v>
      </c>
      <c r="E835" s="48" t="s">
        <v>138</v>
      </c>
      <c r="F835" s="48" t="s">
        <v>139</v>
      </c>
      <c r="G835" s="49" t="s">
        <v>63</v>
      </c>
      <c r="H835" s="48" t="s">
        <v>63</v>
      </c>
      <c r="I835" s="48">
        <v>1</v>
      </c>
      <c r="J835" s="48">
        <v>20</v>
      </c>
      <c r="K835" s="48">
        <v>1</v>
      </c>
      <c r="N835" s="48">
        <v>0</v>
      </c>
      <c r="R835" s="49"/>
      <c r="S835" s="181">
        <v>0</v>
      </c>
      <c r="T835" s="49">
        <v>46538</v>
      </c>
      <c r="U835" s="49">
        <v>46538</v>
      </c>
      <c r="V835" s="49">
        <v>46538</v>
      </c>
      <c r="W835" s="49">
        <v>46538</v>
      </c>
      <c r="X835" s="48">
        <v>1</v>
      </c>
      <c r="Y835" s="48">
        <v>1</v>
      </c>
      <c r="Z835" s="48">
        <v>1</v>
      </c>
      <c r="AA835" s="156">
        <v>26803.587027067224</v>
      </c>
      <c r="AF835" s="48">
        <v>0</v>
      </c>
      <c r="AG835" s="49" t="s">
        <v>32</v>
      </c>
      <c r="AH835" s="48">
        <v>1</v>
      </c>
      <c r="AI835" s="48" t="s">
        <v>33</v>
      </c>
      <c r="AJ835" s="48" t="s">
        <v>33</v>
      </c>
      <c r="AK835" s="48" t="s">
        <v>33</v>
      </c>
      <c r="AL835" s="48" t="s">
        <v>34</v>
      </c>
      <c r="AN835" s="48">
        <v>0</v>
      </c>
      <c r="AO835" s="48">
        <v>0</v>
      </c>
      <c r="AP835" s="48">
        <v>0</v>
      </c>
      <c r="AQ835" s="48">
        <v>0</v>
      </c>
      <c r="AR835" s="48">
        <v>0</v>
      </c>
      <c r="AS835" s="48">
        <v>0</v>
      </c>
      <c r="AT835" s="48">
        <v>0</v>
      </c>
      <c r="AU835" s="48">
        <v>0</v>
      </c>
      <c r="AV835" s="48">
        <v>0</v>
      </c>
      <c r="AW835" s="48">
        <v>0</v>
      </c>
      <c r="AX835" s="48">
        <v>0</v>
      </c>
      <c r="AY835" s="48">
        <v>0</v>
      </c>
      <c r="AZ835" s="48">
        <v>0</v>
      </c>
      <c r="BA835" s="48">
        <v>0</v>
      </c>
      <c r="BB835" s="48">
        <v>0</v>
      </c>
    </row>
    <row r="836" spans="1:54" x14ac:dyDescent="0.35">
      <c r="A836" s="49">
        <v>45930</v>
      </c>
      <c r="B836" s="48">
        <v>1</v>
      </c>
      <c r="C836" s="50" t="s">
        <v>32</v>
      </c>
      <c r="D836" s="48" t="s">
        <v>31</v>
      </c>
      <c r="E836" s="48" t="s">
        <v>138</v>
      </c>
      <c r="F836" s="48" t="s">
        <v>139</v>
      </c>
      <c r="G836" s="49" t="s">
        <v>63</v>
      </c>
      <c r="H836" s="48" t="s">
        <v>63</v>
      </c>
      <c r="I836" s="48">
        <v>1</v>
      </c>
      <c r="J836" s="48">
        <v>21</v>
      </c>
      <c r="K836" s="48">
        <v>1</v>
      </c>
      <c r="N836" s="48">
        <v>0</v>
      </c>
      <c r="R836" s="49"/>
      <c r="S836" s="181">
        <v>0</v>
      </c>
      <c r="T836" s="49">
        <v>46568</v>
      </c>
      <c r="U836" s="49">
        <v>46568</v>
      </c>
      <c r="V836" s="49">
        <v>46568</v>
      </c>
      <c r="W836" s="49">
        <v>46568</v>
      </c>
      <c r="X836" s="48">
        <v>1</v>
      </c>
      <c r="Y836" s="48">
        <v>1</v>
      </c>
      <c r="Z836" s="48">
        <v>1</v>
      </c>
      <c r="AA836" s="156">
        <v>26803.587027067224</v>
      </c>
      <c r="AF836" s="48">
        <v>0</v>
      </c>
      <c r="AG836" s="49" t="s">
        <v>32</v>
      </c>
      <c r="AH836" s="48">
        <v>1</v>
      </c>
      <c r="AI836" s="48" t="s">
        <v>33</v>
      </c>
      <c r="AJ836" s="48" t="s">
        <v>33</v>
      </c>
      <c r="AK836" s="48" t="s">
        <v>33</v>
      </c>
      <c r="AL836" s="48" t="s">
        <v>34</v>
      </c>
      <c r="AN836" s="48">
        <v>0</v>
      </c>
      <c r="AO836" s="48">
        <v>0</v>
      </c>
      <c r="AP836" s="48">
        <v>0</v>
      </c>
      <c r="AQ836" s="48">
        <v>0</v>
      </c>
      <c r="AR836" s="48">
        <v>0</v>
      </c>
      <c r="AS836" s="48">
        <v>0</v>
      </c>
      <c r="AT836" s="48">
        <v>0</v>
      </c>
      <c r="AU836" s="48">
        <v>0</v>
      </c>
      <c r="AV836" s="48">
        <v>0</v>
      </c>
      <c r="AW836" s="48">
        <v>0</v>
      </c>
      <c r="AX836" s="48">
        <v>0</v>
      </c>
      <c r="AY836" s="48">
        <v>0</v>
      </c>
      <c r="AZ836" s="48">
        <v>0</v>
      </c>
      <c r="BA836" s="48">
        <v>0</v>
      </c>
      <c r="BB836" s="48">
        <v>0</v>
      </c>
    </row>
    <row r="837" spans="1:54" x14ac:dyDescent="0.35">
      <c r="A837" s="49">
        <v>45930</v>
      </c>
      <c r="B837" s="48">
        <v>1</v>
      </c>
      <c r="C837" s="50" t="s">
        <v>32</v>
      </c>
      <c r="D837" s="48" t="s">
        <v>31</v>
      </c>
      <c r="E837" s="48" t="s">
        <v>138</v>
      </c>
      <c r="F837" s="48" t="s">
        <v>139</v>
      </c>
      <c r="G837" s="49" t="s">
        <v>63</v>
      </c>
      <c r="H837" s="48" t="s">
        <v>63</v>
      </c>
      <c r="I837" s="48">
        <v>1</v>
      </c>
      <c r="J837" s="48">
        <v>22</v>
      </c>
      <c r="K837" s="48">
        <v>1</v>
      </c>
      <c r="N837" s="48">
        <v>0</v>
      </c>
      <c r="R837" s="49"/>
      <c r="S837" s="181">
        <v>0</v>
      </c>
      <c r="T837" s="49">
        <v>46599</v>
      </c>
      <c r="U837" s="49">
        <v>46599</v>
      </c>
      <c r="V837" s="49">
        <v>46599</v>
      </c>
      <c r="W837" s="49">
        <v>46599</v>
      </c>
      <c r="X837" s="48">
        <v>1</v>
      </c>
      <c r="Y837" s="48">
        <v>1</v>
      </c>
      <c r="Z837" s="48">
        <v>1</v>
      </c>
      <c r="AA837" s="156">
        <v>26803.587027067224</v>
      </c>
      <c r="AF837" s="48">
        <v>0</v>
      </c>
      <c r="AG837" s="49" t="s">
        <v>32</v>
      </c>
      <c r="AH837" s="48">
        <v>1</v>
      </c>
      <c r="AI837" s="48" t="s">
        <v>33</v>
      </c>
      <c r="AJ837" s="48" t="s">
        <v>33</v>
      </c>
      <c r="AK837" s="48" t="s">
        <v>33</v>
      </c>
      <c r="AL837" s="48" t="s">
        <v>34</v>
      </c>
      <c r="AN837" s="48">
        <v>0</v>
      </c>
      <c r="AO837" s="48">
        <v>0</v>
      </c>
      <c r="AP837" s="48">
        <v>0</v>
      </c>
      <c r="AQ837" s="48">
        <v>0</v>
      </c>
      <c r="AR837" s="48">
        <v>0</v>
      </c>
      <c r="AS837" s="48">
        <v>0</v>
      </c>
      <c r="AT837" s="48">
        <v>0</v>
      </c>
      <c r="AU837" s="48">
        <v>0</v>
      </c>
      <c r="AV837" s="48">
        <v>0</v>
      </c>
      <c r="AW837" s="48">
        <v>0</v>
      </c>
      <c r="AX837" s="48">
        <v>0</v>
      </c>
      <c r="AY837" s="48">
        <v>0</v>
      </c>
      <c r="AZ837" s="48">
        <v>0</v>
      </c>
      <c r="BA837" s="48">
        <v>0</v>
      </c>
      <c r="BB837" s="48">
        <v>0</v>
      </c>
    </row>
    <row r="838" spans="1:54" x14ac:dyDescent="0.35">
      <c r="A838" s="49">
        <v>45930</v>
      </c>
      <c r="B838" s="48">
        <v>1</v>
      </c>
      <c r="C838" s="50" t="s">
        <v>32</v>
      </c>
      <c r="D838" s="48" t="s">
        <v>31</v>
      </c>
      <c r="E838" s="48" t="s">
        <v>138</v>
      </c>
      <c r="F838" s="48" t="s">
        <v>139</v>
      </c>
      <c r="G838" s="49" t="s">
        <v>63</v>
      </c>
      <c r="H838" s="48" t="s">
        <v>63</v>
      </c>
      <c r="I838" s="48">
        <v>1</v>
      </c>
      <c r="J838" s="48">
        <v>23</v>
      </c>
      <c r="K838" s="48">
        <v>1</v>
      </c>
      <c r="N838" s="48">
        <v>0</v>
      </c>
      <c r="R838" s="49"/>
      <c r="S838" s="181">
        <v>0</v>
      </c>
      <c r="T838" s="49">
        <v>46630</v>
      </c>
      <c r="U838" s="49">
        <v>46630</v>
      </c>
      <c r="V838" s="49">
        <v>46630</v>
      </c>
      <c r="W838" s="49">
        <v>46630</v>
      </c>
      <c r="X838" s="48">
        <v>1</v>
      </c>
      <c r="Y838" s="48">
        <v>1</v>
      </c>
      <c r="Z838" s="48">
        <v>1</v>
      </c>
      <c r="AA838" s="156">
        <v>26803.587027067224</v>
      </c>
      <c r="AF838" s="48">
        <v>0</v>
      </c>
      <c r="AG838" s="49" t="s">
        <v>32</v>
      </c>
      <c r="AH838" s="48">
        <v>1</v>
      </c>
      <c r="AI838" s="48" t="s">
        <v>33</v>
      </c>
      <c r="AJ838" s="48" t="s">
        <v>33</v>
      </c>
      <c r="AK838" s="48" t="s">
        <v>33</v>
      </c>
      <c r="AL838" s="48" t="s">
        <v>34</v>
      </c>
      <c r="AN838" s="48">
        <v>0</v>
      </c>
      <c r="AO838" s="48">
        <v>0</v>
      </c>
      <c r="AP838" s="48">
        <v>0</v>
      </c>
      <c r="AQ838" s="48">
        <v>0</v>
      </c>
      <c r="AR838" s="48">
        <v>0</v>
      </c>
      <c r="AS838" s="48">
        <v>0</v>
      </c>
      <c r="AT838" s="48">
        <v>0</v>
      </c>
      <c r="AU838" s="48">
        <v>0</v>
      </c>
      <c r="AV838" s="48">
        <v>0</v>
      </c>
      <c r="AW838" s="48">
        <v>0</v>
      </c>
      <c r="AX838" s="48">
        <v>0</v>
      </c>
      <c r="AY838" s="48">
        <v>0</v>
      </c>
      <c r="AZ838" s="48">
        <v>0</v>
      </c>
      <c r="BA838" s="48">
        <v>0</v>
      </c>
      <c r="BB838" s="48">
        <v>0</v>
      </c>
    </row>
    <row r="839" spans="1:54" x14ac:dyDescent="0.35">
      <c r="A839" s="49">
        <v>45930</v>
      </c>
      <c r="B839" s="48">
        <v>1</v>
      </c>
      <c r="C839" s="50" t="s">
        <v>32</v>
      </c>
      <c r="D839" s="48" t="s">
        <v>31</v>
      </c>
      <c r="E839" s="48" t="s">
        <v>138</v>
      </c>
      <c r="F839" s="48" t="s">
        <v>139</v>
      </c>
      <c r="G839" s="49" t="s">
        <v>63</v>
      </c>
      <c r="H839" s="48" t="s">
        <v>63</v>
      </c>
      <c r="I839" s="48">
        <v>1</v>
      </c>
      <c r="J839" s="48">
        <v>24</v>
      </c>
      <c r="K839" s="48">
        <v>1</v>
      </c>
      <c r="N839" s="48">
        <v>0</v>
      </c>
      <c r="R839" s="49"/>
      <c r="S839" s="181">
        <v>0</v>
      </c>
      <c r="T839" s="49">
        <v>46660</v>
      </c>
      <c r="U839" s="49">
        <v>46660</v>
      </c>
      <c r="V839" s="49">
        <v>46660</v>
      </c>
      <c r="W839" s="49">
        <v>46660</v>
      </c>
      <c r="X839" s="48">
        <v>1</v>
      </c>
      <c r="Y839" s="48">
        <v>1</v>
      </c>
      <c r="Z839" s="48">
        <v>1</v>
      </c>
      <c r="AA839" s="156">
        <v>26803.587027067224</v>
      </c>
      <c r="AF839" s="48">
        <v>0</v>
      </c>
      <c r="AG839" s="49" t="s">
        <v>32</v>
      </c>
      <c r="AH839" s="48">
        <v>1</v>
      </c>
      <c r="AI839" s="48" t="s">
        <v>33</v>
      </c>
      <c r="AJ839" s="48" t="s">
        <v>33</v>
      </c>
      <c r="AK839" s="48" t="s">
        <v>33</v>
      </c>
      <c r="AL839" s="48" t="s">
        <v>34</v>
      </c>
      <c r="AN839" s="48">
        <v>0</v>
      </c>
      <c r="AO839" s="48">
        <v>0</v>
      </c>
      <c r="AP839" s="48">
        <v>0</v>
      </c>
      <c r="AQ839" s="48">
        <v>0</v>
      </c>
      <c r="AR839" s="48">
        <v>0</v>
      </c>
      <c r="AS839" s="48">
        <v>0</v>
      </c>
      <c r="AT839" s="48">
        <v>0</v>
      </c>
      <c r="AU839" s="48">
        <v>0</v>
      </c>
      <c r="AV839" s="48">
        <v>0</v>
      </c>
      <c r="AW839" s="48">
        <v>0</v>
      </c>
      <c r="AX839" s="48">
        <v>0</v>
      </c>
      <c r="AY839" s="48">
        <v>0</v>
      </c>
      <c r="AZ839" s="48">
        <v>0</v>
      </c>
      <c r="BA839" s="48">
        <v>0</v>
      </c>
      <c r="BB839" s="48">
        <v>0</v>
      </c>
    </row>
    <row r="840" spans="1:54" x14ac:dyDescent="0.35">
      <c r="A840" s="49">
        <v>45930</v>
      </c>
      <c r="B840" s="48">
        <v>1</v>
      </c>
      <c r="C840" s="50" t="s">
        <v>32</v>
      </c>
      <c r="D840" s="48" t="s">
        <v>31</v>
      </c>
      <c r="E840" s="48" t="s">
        <v>138</v>
      </c>
      <c r="F840" s="48" t="s">
        <v>139</v>
      </c>
      <c r="G840" s="49" t="s">
        <v>63</v>
      </c>
      <c r="H840" s="48" t="s">
        <v>63</v>
      </c>
      <c r="I840" s="48">
        <v>1</v>
      </c>
      <c r="J840" s="48">
        <v>25</v>
      </c>
      <c r="K840" s="48">
        <v>1</v>
      </c>
      <c r="N840" s="48">
        <v>0</v>
      </c>
      <c r="R840" s="49"/>
      <c r="S840" s="181">
        <v>0</v>
      </c>
      <c r="T840" s="49">
        <v>46691</v>
      </c>
      <c r="U840" s="49">
        <v>46691</v>
      </c>
      <c r="V840" s="49">
        <v>46691</v>
      </c>
      <c r="W840" s="49">
        <v>46691</v>
      </c>
      <c r="X840" s="48">
        <v>1</v>
      </c>
      <c r="Y840" s="48">
        <v>1</v>
      </c>
      <c r="Z840" s="48">
        <v>1</v>
      </c>
      <c r="AA840" s="156">
        <v>26803.587027067224</v>
      </c>
      <c r="AF840" s="48">
        <v>0</v>
      </c>
      <c r="AG840" s="49" t="s">
        <v>32</v>
      </c>
      <c r="AH840" s="48">
        <v>1</v>
      </c>
      <c r="AI840" s="48" t="s">
        <v>33</v>
      </c>
      <c r="AJ840" s="48" t="s">
        <v>33</v>
      </c>
      <c r="AK840" s="48" t="s">
        <v>33</v>
      </c>
      <c r="AL840" s="48" t="s">
        <v>34</v>
      </c>
      <c r="AN840" s="48">
        <v>0</v>
      </c>
      <c r="AO840" s="48">
        <v>0</v>
      </c>
      <c r="AP840" s="48">
        <v>0</v>
      </c>
      <c r="AQ840" s="48">
        <v>0</v>
      </c>
      <c r="AR840" s="48">
        <v>0</v>
      </c>
      <c r="AS840" s="48">
        <v>0</v>
      </c>
      <c r="AT840" s="48">
        <v>0</v>
      </c>
      <c r="AU840" s="48">
        <v>0</v>
      </c>
      <c r="AV840" s="48">
        <v>0</v>
      </c>
      <c r="AW840" s="48">
        <v>0</v>
      </c>
      <c r="AX840" s="48">
        <v>0</v>
      </c>
      <c r="AY840" s="48">
        <v>0</v>
      </c>
      <c r="AZ840" s="48">
        <v>0</v>
      </c>
      <c r="BA840" s="48">
        <v>0</v>
      </c>
      <c r="BB840" s="48">
        <v>0</v>
      </c>
    </row>
    <row r="841" spans="1:54" x14ac:dyDescent="0.35">
      <c r="A841" s="49">
        <v>45930</v>
      </c>
      <c r="B841" s="48">
        <v>1</v>
      </c>
      <c r="C841" s="50" t="s">
        <v>32</v>
      </c>
      <c r="D841" s="48" t="s">
        <v>31</v>
      </c>
      <c r="E841" s="48" t="s">
        <v>138</v>
      </c>
      <c r="F841" s="48" t="s">
        <v>139</v>
      </c>
      <c r="G841" s="49" t="s">
        <v>63</v>
      </c>
      <c r="H841" s="48" t="s">
        <v>63</v>
      </c>
      <c r="I841" s="48">
        <v>1</v>
      </c>
      <c r="J841" s="48">
        <v>26</v>
      </c>
      <c r="K841" s="48">
        <v>1</v>
      </c>
      <c r="N841" s="48">
        <v>0</v>
      </c>
      <c r="R841" s="49"/>
      <c r="S841" s="181">
        <v>0</v>
      </c>
      <c r="T841" s="49">
        <v>46721</v>
      </c>
      <c r="U841" s="49">
        <v>46721</v>
      </c>
      <c r="V841" s="49">
        <v>46721</v>
      </c>
      <c r="W841" s="49">
        <v>46721</v>
      </c>
      <c r="X841" s="48">
        <v>1</v>
      </c>
      <c r="Y841" s="48">
        <v>1</v>
      </c>
      <c r="Z841" s="48">
        <v>1</v>
      </c>
      <c r="AA841" s="156">
        <v>26803.587027067224</v>
      </c>
      <c r="AF841" s="48">
        <v>0</v>
      </c>
      <c r="AG841" s="49" t="s">
        <v>32</v>
      </c>
      <c r="AH841" s="48">
        <v>1</v>
      </c>
      <c r="AI841" s="48" t="s">
        <v>33</v>
      </c>
      <c r="AJ841" s="48" t="s">
        <v>33</v>
      </c>
      <c r="AK841" s="48" t="s">
        <v>33</v>
      </c>
      <c r="AL841" s="48" t="s">
        <v>34</v>
      </c>
      <c r="AN841" s="48">
        <v>0</v>
      </c>
      <c r="AO841" s="48">
        <v>0</v>
      </c>
      <c r="AP841" s="48">
        <v>0</v>
      </c>
      <c r="AQ841" s="48">
        <v>0</v>
      </c>
      <c r="AR841" s="48">
        <v>0</v>
      </c>
      <c r="AS841" s="48">
        <v>0</v>
      </c>
      <c r="AT841" s="48">
        <v>0</v>
      </c>
      <c r="AU841" s="48">
        <v>0</v>
      </c>
      <c r="AV841" s="48">
        <v>0</v>
      </c>
      <c r="AW841" s="48">
        <v>0</v>
      </c>
      <c r="AX841" s="48">
        <v>0</v>
      </c>
      <c r="AY841" s="48">
        <v>0</v>
      </c>
      <c r="AZ841" s="48">
        <v>0</v>
      </c>
      <c r="BA841" s="48">
        <v>0</v>
      </c>
      <c r="BB841" s="48">
        <v>0</v>
      </c>
    </row>
    <row r="842" spans="1:54" x14ac:dyDescent="0.35">
      <c r="A842" s="49">
        <v>45930</v>
      </c>
      <c r="B842" s="48">
        <v>1</v>
      </c>
      <c r="C842" s="50" t="s">
        <v>32</v>
      </c>
      <c r="D842" s="48" t="s">
        <v>31</v>
      </c>
      <c r="E842" s="48" t="s">
        <v>138</v>
      </c>
      <c r="F842" s="48" t="s">
        <v>139</v>
      </c>
      <c r="G842" s="49" t="s">
        <v>63</v>
      </c>
      <c r="H842" s="48" t="s">
        <v>63</v>
      </c>
      <c r="I842" s="48">
        <v>1</v>
      </c>
      <c r="J842" s="48">
        <v>27</v>
      </c>
      <c r="K842" s="48">
        <v>1</v>
      </c>
      <c r="N842" s="48">
        <v>0</v>
      </c>
      <c r="R842" s="49"/>
      <c r="S842" s="181">
        <v>0</v>
      </c>
      <c r="T842" s="49">
        <v>46752</v>
      </c>
      <c r="U842" s="49">
        <v>46752</v>
      </c>
      <c r="V842" s="49">
        <v>46752</v>
      </c>
      <c r="W842" s="49">
        <v>46752</v>
      </c>
      <c r="X842" s="48">
        <v>1</v>
      </c>
      <c r="Y842" s="48">
        <v>1</v>
      </c>
      <c r="Z842" s="48">
        <v>1</v>
      </c>
      <c r="AA842" s="156">
        <v>26803.587027067224</v>
      </c>
      <c r="AF842" s="48">
        <v>0</v>
      </c>
      <c r="AG842" s="49" t="s">
        <v>32</v>
      </c>
      <c r="AH842" s="48">
        <v>1</v>
      </c>
      <c r="AI842" s="48" t="s">
        <v>33</v>
      </c>
      <c r="AJ842" s="48" t="s">
        <v>33</v>
      </c>
      <c r="AK842" s="48" t="s">
        <v>33</v>
      </c>
      <c r="AL842" s="48" t="s">
        <v>34</v>
      </c>
      <c r="AN842" s="48">
        <v>0</v>
      </c>
      <c r="AO842" s="48">
        <v>0</v>
      </c>
      <c r="AP842" s="48">
        <v>0</v>
      </c>
      <c r="AQ842" s="48">
        <v>0</v>
      </c>
      <c r="AR842" s="48">
        <v>0</v>
      </c>
      <c r="AS842" s="48">
        <v>0</v>
      </c>
      <c r="AT842" s="48">
        <v>0</v>
      </c>
      <c r="AU842" s="48">
        <v>0</v>
      </c>
      <c r="AV842" s="48">
        <v>0</v>
      </c>
      <c r="AW842" s="48">
        <v>0</v>
      </c>
      <c r="AX842" s="48">
        <v>0</v>
      </c>
      <c r="AY842" s="48">
        <v>0</v>
      </c>
      <c r="AZ842" s="48">
        <v>0</v>
      </c>
      <c r="BA842" s="48">
        <v>0</v>
      </c>
      <c r="BB842" s="48">
        <v>0</v>
      </c>
    </row>
    <row r="843" spans="1:54" x14ac:dyDescent="0.35">
      <c r="A843" s="49">
        <v>45930</v>
      </c>
      <c r="B843" s="48">
        <v>1</v>
      </c>
      <c r="C843" s="50" t="s">
        <v>32</v>
      </c>
      <c r="D843" s="48" t="s">
        <v>31</v>
      </c>
      <c r="E843" s="48" t="s">
        <v>138</v>
      </c>
      <c r="F843" s="48" t="s">
        <v>139</v>
      </c>
      <c r="G843" s="49" t="s">
        <v>63</v>
      </c>
      <c r="H843" s="48" t="s">
        <v>63</v>
      </c>
      <c r="I843" s="48">
        <v>1</v>
      </c>
      <c r="J843" s="48">
        <v>28</v>
      </c>
      <c r="K843" s="48">
        <v>1</v>
      </c>
      <c r="N843" s="48">
        <v>0</v>
      </c>
      <c r="R843" s="49"/>
      <c r="S843" s="181">
        <v>0</v>
      </c>
      <c r="T843" s="49">
        <v>46783</v>
      </c>
      <c r="U843" s="49">
        <v>46783</v>
      </c>
      <c r="V843" s="49">
        <v>46783</v>
      </c>
      <c r="W843" s="49">
        <v>46783</v>
      </c>
      <c r="X843" s="48">
        <v>1</v>
      </c>
      <c r="Y843" s="48">
        <v>1</v>
      </c>
      <c r="Z843" s="48">
        <v>1</v>
      </c>
      <c r="AA843" s="156">
        <v>26803.587027067224</v>
      </c>
      <c r="AF843" s="48">
        <v>0</v>
      </c>
      <c r="AG843" s="49" t="s">
        <v>32</v>
      </c>
      <c r="AH843" s="48">
        <v>1</v>
      </c>
      <c r="AI843" s="48" t="s">
        <v>33</v>
      </c>
      <c r="AJ843" s="48" t="s">
        <v>33</v>
      </c>
      <c r="AK843" s="48" t="s">
        <v>33</v>
      </c>
      <c r="AL843" s="48" t="s">
        <v>34</v>
      </c>
      <c r="AN843" s="48">
        <v>0</v>
      </c>
      <c r="AO843" s="48">
        <v>0</v>
      </c>
      <c r="AP843" s="48">
        <v>0</v>
      </c>
      <c r="AQ843" s="48">
        <v>0</v>
      </c>
      <c r="AR843" s="48">
        <v>0</v>
      </c>
      <c r="AS843" s="48">
        <v>0</v>
      </c>
      <c r="AT843" s="48">
        <v>0</v>
      </c>
      <c r="AU843" s="48">
        <v>0</v>
      </c>
      <c r="AV843" s="48">
        <v>0</v>
      </c>
      <c r="AW843" s="48">
        <v>0</v>
      </c>
      <c r="AX843" s="48">
        <v>0</v>
      </c>
      <c r="AY843" s="48">
        <v>0</v>
      </c>
      <c r="AZ843" s="48">
        <v>0</v>
      </c>
      <c r="BA843" s="48">
        <v>0</v>
      </c>
      <c r="BB843" s="48">
        <v>0</v>
      </c>
    </row>
    <row r="844" spans="1:54" x14ac:dyDescent="0.35">
      <c r="A844" s="49">
        <v>45930</v>
      </c>
      <c r="B844" s="48">
        <v>1</v>
      </c>
      <c r="C844" s="50" t="s">
        <v>32</v>
      </c>
      <c r="D844" s="48" t="s">
        <v>31</v>
      </c>
      <c r="E844" s="48" t="s">
        <v>138</v>
      </c>
      <c r="F844" s="48" t="s">
        <v>139</v>
      </c>
      <c r="G844" s="49" t="s">
        <v>63</v>
      </c>
      <c r="H844" s="48" t="s">
        <v>63</v>
      </c>
      <c r="I844" s="48">
        <v>1</v>
      </c>
      <c r="J844" s="48">
        <v>29</v>
      </c>
      <c r="K844" s="48">
        <v>1</v>
      </c>
      <c r="N844" s="48">
        <v>0</v>
      </c>
      <c r="R844" s="49"/>
      <c r="S844" s="181">
        <v>0</v>
      </c>
      <c r="T844" s="49">
        <v>46812</v>
      </c>
      <c r="U844" s="49">
        <v>46812</v>
      </c>
      <c r="V844" s="49">
        <v>46812</v>
      </c>
      <c r="W844" s="49">
        <v>46812</v>
      </c>
      <c r="X844" s="48">
        <v>1</v>
      </c>
      <c r="Y844" s="48">
        <v>1</v>
      </c>
      <c r="Z844" s="48">
        <v>1</v>
      </c>
      <c r="AA844" s="156">
        <v>26803.587027067224</v>
      </c>
      <c r="AF844" s="48">
        <v>0</v>
      </c>
      <c r="AG844" s="49" t="s">
        <v>32</v>
      </c>
      <c r="AH844" s="48">
        <v>1</v>
      </c>
      <c r="AI844" s="48" t="s">
        <v>33</v>
      </c>
      <c r="AJ844" s="48" t="s">
        <v>33</v>
      </c>
      <c r="AK844" s="48" t="s">
        <v>33</v>
      </c>
      <c r="AL844" s="48" t="s">
        <v>34</v>
      </c>
      <c r="AN844" s="48">
        <v>0</v>
      </c>
      <c r="AO844" s="48">
        <v>0</v>
      </c>
      <c r="AP844" s="48">
        <v>0</v>
      </c>
      <c r="AQ844" s="48">
        <v>0</v>
      </c>
      <c r="AR844" s="48">
        <v>0</v>
      </c>
      <c r="AS844" s="48">
        <v>0</v>
      </c>
      <c r="AT844" s="48">
        <v>0</v>
      </c>
      <c r="AU844" s="48">
        <v>0</v>
      </c>
      <c r="AV844" s="48">
        <v>0</v>
      </c>
      <c r="AW844" s="48">
        <v>0</v>
      </c>
      <c r="AX844" s="48">
        <v>0</v>
      </c>
      <c r="AY844" s="48">
        <v>0</v>
      </c>
      <c r="AZ844" s="48">
        <v>0</v>
      </c>
      <c r="BA844" s="48">
        <v>0</v>
      </c>
      <c r="BB844" s="48">
        <v>0</v>
      </c>
    </row>
    <row r="845" spans="1:54" x14ac:dyDescent="0.35">
      <c r="A845" s="49">
        <v>45930</v>
      </c>
      <c r="B845" s="48">
        <v>1</v>
      </c>
      <c r="C845" s="50" t="s">
        <v>32</v>
      </c>
      <c r="D845" s="48" t="s">
        <v>31</v>
      </c>
      <c r="E845" s="48" t="s">
        <v>138</v>
      </c>
      <c r="F845" s="48" t="s">
        <v>139</v>
      </c>
      <c r="G845" s="49" t="s">
        <v>63</v>
      </c>
      <c r="H845" s="48" t="s">
        <v>63</v>
      </c>
      <c r="I845" s="48">
        <v>1</v>
      </c>
      <c r="J845" s="48">
        <v>30</v>
      </c>
      <c r="K845" s="48">
        <v>1</v>
      </c>
      <c r="N845" s="48">
        <v>0</v>
      </c>
      <c r="R845" s="49"/>
      <c r="S845" s="181">
        <v>0</v>
      </c>
      <c r="T845" s="49">
        <v>46843</v>
      </c>
      <c r="U845" s="49">
        <v>46843</v>
      </c>
      <c r="V845" s="49">
        <v>46843</v>
      </c>
      <c r="W845" s="49">
        <v>46843</v>
      </c>
      <c r="X845" s="48">
        <v>1</v>
      </c>
      <c r="Y845" s="48">
        <v>1</v>
      </c>
      <c r="Z845" s="48">
        <v>1</v>
      </c>
      <c r="AA845" s="156">
        <v>26803.587027067224</v>
      </c>
      <c r="AF845" s="48">
        <v>0</v>
      </c>
      <c r="AG845" s="49" t="s">
        <v>32</v>
      </c>
      <c r="AH845" s="48">
        <v>1</v>
      </c>
      <c r="AI845" s="48" t="s">
        <v>33</v>
      </c>
      <c r="AJ845" s="48" t="s">
        <v>33</v>
      </c>
      <c r="AK845" s="48" t="s">
        <v>33</v>
      </c>
      <c r="AL845" s="48" t="s">
        <v>34</v>
      </c>
      <c r="AN845" s="48">
        <v>0</v>
      </c>
      <c r="AO845" s="48">
        <v>0</v>
      </c>
      <c r="AP845" s="48">
        <v>0</v>
      </c>
      <c r="AQ845" s="48">
        <v>0</v>
      </c>
      <c r="AR845" s="48">
        <v>0</v>
      </c>
      <c r="AS845" s="48">
        <v>0</v>
      </c>
      <c r="AT845" s="48">
        <v>0</v>
      </c>
      <c r="AU845" s="48">
        <v>0</v>
      </c>
      <c r="AV845" s="48">
        <v>0</v>
      </c>
      <c r="AW845" s="48">
        <v>0</v>
      </c>
      <c r="AX845" s="48">
        <v>0</v>
      </c>
      <c r="AY845" s="48">
        <v>0</v>
      </c>
      <c r="AZ845" s="48">
        <v>0</v>
      </c>
      <c r="BA845" s="48">
        <v>0</v>
      </c>
      <c r="BB845" s="48">
        <v>0</v>
      </c>
    </row>
    <row r="846" spans="1:54" x14ac:dyDescent="0.35">
      <c r="A846" s="49">
        <v>45930</v>
      </c>
      <c r="B846" s="48">
        <v>1</v>
      </c>
      <c r="C846" s="50" t="s">
        <v>32</v>
      </c>
      <c r="D846" s="48" t="s">
        <v>31</v>
      </c>
      <c r="E846" s="48" t="s">
        <v>138</v>
      </c>
      <c r="F846" s="48" t="s">
        <v>139</v>
      </c>
      <c r="G846" s="49" t="s">
        <v>63</v>
      </c>
      <c r="H846" s="48" t="s">
        <v>63</v>
      </c>
      <c r="I846" s="48">
        <v>1</v>
      </c>
      <c r="J846" s="48">
        <v>31</v>
      </c>
      <c r="K846" s="48">
        <v>1</v>
      </c>
      <c r="N846" s="48">
        <v>0</v>
      </c>
      <c r="R846" s="49"/>
      <c r="S846" s="181">
        <v>0</v>
      </c>
      <c r="T846" s="49">
        <v>46873</v>
      </c>
      <c r="U846" s="49">
        <v>46873</v>
      </c>
      <c r="V846" s="49">
        <v>46873</v>
      </c>
      <c r="W846" s="49">
        <v>46873</v>
      </c>
      <c r="X846" s="48">
        <v>1</v>
      </c>
      <c r="Y846" s="48">
        <v>1</v>
      </c>
      <c r="Z846" s="48">
        <v>1</v>
      </c>
      <c r="AA846" s="156">
        <v>26803.587027067224</v>
      </c>
      <c r="AF846" s="48">
        <v>0</v>
      </c>
      <c r="AG846" s="49" t="s">
        <v>32</v>
      </c>
      <c r="AH846" s="48">
        <v>1</v>
      </c>
      <c r="AI846" s="48" t="s">
        <v>33</v>
      </c>
      <c r="AJ846" s="48" t="s">
        <v>33</v>
      </c>
      <c r="AK846" s="48" t="s">
        <v>33</v>
      </c>
      <c r="AL846" s="48" t="s">
        <v>34</v>
      </c>
      <c r="AN846" s="48">
        <v>0</v>
      </c>
      <c r="AO846" s="48">
        <v>0</v>
      </c>
      <c r="AP846" s="48">
        <v>0</v>
      </c>
      <c r="AQ846" s="48">
        <v>0</v>
      </c>
      <c r="AR846" s="48">
        <v>0</v>
      </c>
      <c r="AS846" s="48">
        <v>0</v>
      </c>
      <c r="AT846" s="48">
        <v>0</v>
      </c>
      <c r="AU846" s="48">
        <v>0</v>
      </c>
      <c r="AV846" s="48">
        <v>0</v>
      </c>
      <c r="AW846" s="48">
        <v>0</v>
      </c>
      <c r="AX846" s="48">
        <v>0</v>
      </c>
      <c r="AY846" s="48">
        <v>0</v>
      </c>
      <c r="AZ846" s="48">
        <v>0</v>
      </c>
      <c r="BA846" s="48">
        <v>0</v>
      </c>
      <c r="BB846" s="48">
        <v>0</v>
      </c>
    </row>
    <row r="847" spans="1:54" x14ac:dyDescent="0.35">
      <c r="A847" s="49">
        <v>45930</v>
      </c>
      <c r="B847" s="48">
        <v>1</v>
      </c>
      <c r="C847" s="50" t="s">
        <v>32</v>
      </c>
      <c r="D847" s="48" t="s">
        <v>31</v>
      </c>
      <c r="E847" s="48" t="s">
        <v>138</v>
      </c>
      <c r="F847" s="48" t="s">
        <v>139</v>
      </c>
      <c r="G847" s="49" t="s">
        <v>63</v>
      </c>
      <c r="H847" s="48" t="s">
        <v>63</v>
      </c>
      <c r="I847" s="48">
        <v>1</v>
      </c>
      <c r="J847" s="48">
        <v>32</v>
      </c>
      <c r="K847" s="48">
        <v>1</v>
      </c>
      <c r="N847" s="48">
        <v>0</v>
      </c>
      <c r="R847" s="49"/>
      <c r="S847" s="181">
        <v>0</v>
      </c>
      <c r="T847" s="49">
        <v>46904</v>
      </c>
      <c r="U847" s="49">
        <v>46904</v>
      </c>
      <c r="V847" s="49">
        <v>46904</v>
      </c>
      <c r="W847" s="49">
        <v>46904</v>
      </c>
      <c r="X847" s="48">
        <v>1</v>
      </c>
      <c r="Y847" s="48">
        <v>1</v>
      </c>
      <c r="Z847" s="48">
        <v>1</v>
      </c>
      <c r="AA847" s="156">
        <v>26803.587027067224</v>
      </c>
      <c r="AF847" s="48">
        <v>0</v>
      </c>
      <c r="AG847" s="49" t="s">
        <v>32</v>
      </c>
      <c r="AH847" s="48">
        <v>1</v>
      </c>
      <c r="AI847" s="48" t="s">
        <v>33</v>
      </c>
      <c r="AJ847" s="48" t="s">
        <v>33</v>
      </c>
      <c r="AK847" s="48" t="s">
        <v>33</v>
      </c>
      <c r="AL847" s="48" t="s">
        <v>34</v>
      </c>
      <c r="AN847" s="48">
        <v>0</v>
      </c>
      <c r="AO847" s="48">
        <v>0</v>
      </c>
      <c r="AP847" s="48">
        <v>0</v>
      </c>
      <c r="AQ847" s="48">
        <v>0</v>
      </c>
      <c r="AR847" s="48">
        <v>0</v>
      </c>
      <c r="AS847" s="48">
        <v>0</v>
      </c>
      <c r="AT847" s="48">
        <v>0</v>
      </c>
      <c r="AU847" s="48">
        <v>0</v>
      </c>
      <c r="AV847" s="48">
        <v>0</v>
      </c>
      <c r="AW847" s="48">
        <v>0</v>
      </c>
      <c r="AX847" s="48">
        <v>0</v>
      </c>
      <c r="AY847" s="48">
        <v>0</v>
      </c>
      <c r="AZ847" s="48">
        <v>0</v>
      </c>
      <c r="BA847" s="48">
        <v>0</v>
      </c>
      <c r="BB847" s="48">
        <v>0</v>
      </c>
    </row>
    <row r="848" spans="1:54" x14ac:dyDescent="0.35">
      <c r="A848" s="49">
        <v>45930</v>
      </c>
      <c r="B848" s="48">
        <v>1</v>
      </c>
      <c r="C848" s="50" t="s">
        <v>32</v>
      </c>
      <c r="D848" s="48" t="s">
        <v>31</v>
      </c>
      <c r="E848" s="48" t="s">
        <v>138</v>
      </c>
      <c r="F848" s="48" t="s">
        <v>139</v>
      </c>
      <c r="G848" s="49" t="s">
        <v>63</v>
      </c>
      <c r="H848" s="48" t="s">
        <v>63</v>
      </c>
      <c r="I848" s="48">
        <v>1</v>
      </c>
      <c r="J848" s="48">
        <v>33</v>
      </c>
      <c r="K848" s="48">
        <v>1</v>
      </c>
      <c r="N848" s="48">
        <v>0</v>
      </c>
      <c r="R848" s="49"/>
      <c r="S848" s="181">
        <v>0</v>
      </c>
      <c r="T848" s="49">
        <v>46934</v>
      </c>
      <c r="U848" s="49">
        <v>46934</v>
      </c>
      <c r="V848" s="49">
        <v>46934</v>
      </c>
      <c r="W848" s="49">
        <v>46934</v>
      </c>
      <c r="X848" s="48">
        <v>1</v>
      </c>
      <c r="Y848" s="48">
        <v>1</v>
      </c>
      <c r="Z848" s="48">
        <v>1</v>
      </c>
      <c r="AA848" s="156">
        <v>26803.587027067224</v>
      </c>
      <c r="AF848" s="48">
        <v>0</v>
      </c>
      <c r="AG848" s="49" t="s">
        <v>32</v>
      </c>
      <c r="AH848" s="48">
        <v>1</v>
      </c>
      <c r="AI848" s="48" t="s">
        <v>33</v>
      </c>
      <c r="AJ848" s="48" t="s">
        <v>33</v>
      </c>
      <c r="AK848" s="48" t="s">
        <v>33</v>
      </c>
      <c r="AL848" s="48" t="s">
        <v>34</v>
      </c>
      <c r="AN848" s="48">
        <v>0</v>
      </c>
      <c r="AO848" s="48">
        <v>0</v>
      </c>
      <c r="AP848" s="48">
        <v>0</v>
      </c>
      <c r="AQ848" s="48">
        <v>0</v>
      </c>
      <c r="AR848" s="48">
        <v>0</v>
      </c>
      <c r="AS848" s="48">
        <v>0</v>
      </c>
      <c r="AT848" s="48">
        <v>0</v>
      </c>
      <c r="AU848" s="48">
        <v>0</v>
      </c>
      <c r="AV848" s="48">
        <v>0</v>
      </c>
      <c r="AW848" s="48">
        <v>0</v>
      </c>
      <c r="AX848" s="48">
        <v>0</v>
      </c>
      <c r="AY848" s="48">
        <v>0</v>
      </c>
      <c r="AZ848" s="48">
        <v>0</v>
      </c>
      <c r="BA848" s="48">
        <v>0</v>
      </c>
      <c r="BB848" s="48">
        <v>0</v>
      </c>
    </row>
    <row r="849" spans="1:54" x14ac:dyDescent="0.35">
      <c r="A849" s="49">
        <v>45930</v>
      </c>
      <c r="B849" s="48">
        <v>1</v>
      </c>
      <c r="C849" s="50" t="s">
        <v>32</v>
      </c>
      <c r="D849" s="48" t="s">
        <v>31</v>
      </c>
      <c r="E849" s="48" t="s">
        <v>138</v>
      </c>
      <c r="F849" s="48" t="s">
        <v>139</v>
      </c>
      <c r="G849" s="49" t="s">
        <v>63</v>
      </c>
      <c r="H849" s="48" t="s">
        <v>63</v>
      </c>
      <c r="I849" s="48">
        <v>1</v>
      </c>
      <c r="J849" s="48">
        <v>34</v>
      </c>
      <c r="K849" s="48">
        <v>1</v>
      </c>
      <c r="N849" s="48">
        <v>0</v>
      </c>
      <c r="R849" s="49"/>
      <c r="S849" s="181">
        <v>0</v>
      </c>
      <c r="T849" s="49">
        <v>46965</v>
      </c>
      <c r="U849" s="49">
        <v>46965</v>
      </c>
      <c r="V849" s="49">
        <v>46965</v>
      </c>
      <c r="W849" s="49">
        <v>46965</v>
      </c>
      <c r="X849" s="48">
        <v>1</v>
      </c>
      <c r="Y849" s="48">
        <v>1</v>
      </c>
      <c r="Z849" s="48">
        <v>1</v>
      </c>
      <c r="AA849" s="156">
        <v>26803.587027067224</v>
      </c>
      <c r="AF849" s="48">
        <v>0</v>
      </c>
      <c r="AG849" s="49" t="s">
        <v>32</v>
      </c>
      <c r="AH849" s="48">
        <v>1</v>
      </c>
      <c r="AI849" s="48" t="s">
        <v>33</v>
      </c>
      <c r="AJ849" s="48" t="s">
        <v>33</v>
      </c>
      <c r="AK849" s="48" t="s">
        <v>33</v>
      </c>
      <c r="AL849" s="48" t="s">
        <v>34</v>
      </c>
      <c r="AN849" s="48">
        <v>0</v>
      </c>
      <c r="AO849" s="48">
        <v>0</v>
      </c>
      <c r="AP849" s="48">
        <v>0</v>
      </c>
      <c r="AQ849" s="48">
        <v>0</v>
      </c>
      <c r="AR849" s="48">
        <v>0</v>
      </c>
      <c r="AS849" s="48">
        <v>0</v>
      </c>
      <c r="AT849" s="48">
        <v>0</v>
      </c>
      <c r="AU849" s="48">
        <v>0</v>
      </c>
      <c r="AV849" s="48">
        <v>0</v>
      </c>
      <c r="AW849" s="48">
        <v>0</v>
      </c>
      <c r="AX849" s="48">
        <v>0</v>
      </c>
      <c r="AY849" s="48">
        <v>0</v>
      </c>
      <c r="AZ849" s="48">
        <v>0</v>
      </c>
      <c r="BA849" s="48">
        <v>0</v>
      </c>
      <c r="BB849" s="48">
        <v>0</v>
      </c>
    </row>
    <row r="850" spans="1:54" x14ac:dyDescent="0.35">
      <c r="A850" s="49">
        <v>45930</v>
      </c>
      <c r="B850" s="48">
        <v>1</v>
      </c>
      <c r="C850" s="50" t="s">
        <v>32</v>
      </c>
      <c r="D850" s="48" t="s">
        <v>31</v>
      </c>
      <c r="E850" s="48" t="s">
        <v>138</v>
      </c>
      <c r="F850" s="48" t="s">
        <v>139</v>
      </c>
      <c r="G850" s="49" t="s">
        <v>63</v>
      </c>
      <c r="H850" s="48" t="s">
        <v>63</v>
      </c>
      <c r="I850" s="48">
        <v>1</v>
      </c>
      <c r="J850" s="48">
        <v>35</v>
      </c>
      <c r="K850" s="48">
        <v>1</v>
      </c>
      <c r="N850" s="48">
        <v>0</v>
      </c>
      <c r="R850" s="49"/>
      <c r="S850" s="181">
        <v>0</v>
      </c>
      <c r="T850" s="49">
        <v>46996</v>
      </c>
      <c r="U850" s="49">
        <v>46996</v>
      </c>
      <c r="V850" s="49">
        <v>46996</v>
      </c>
      <c r="W850" s="49">
        <v>46996</v>
      </c>
      <c r="X850" s="48">
        <v>1</v>
      </c>
      <c r="Y850" s="48">
        <v>1</v>
      </c>
      <c r="Z850" s="48">
        <v>1</v>
      </c>
      <c r="AA850" s="156">
        <v>26803.587027067224</v>
      </c>
      <c r="AF850" s="48">
        <v>0</v>
      </c>
      <c r="AG850" s="49" t="s">
        <v>32</v>
      </c>
      <c r="AH850" s="48">
        <v>1</v>
      </c>
      <c r="AI850" s="48" t="s">
        <v>33</v>
      </c>
      <c r="AJ850" s="48" t="s">
        <v>33</v>
      </c>
      <c r="AK850" s="48" t="s">
        <v>33</v>
      </c>
      <c r="AL850" s="48" t="s">
        <v>34</v>
      </c>
      <c r="AN850" s="48">
        <v>0</v>
      </c>
      <c r="AO850" s="48">
        <v>0</v>
      </c>
      <c r="AP850" s="48">
        <v>0</v>
      </c>
      <c r="AQ850" s="48">
        <v>0</v>
      </c>
      <c r="AR850" s="48">
        <v>0</v>
      </c>
      <c r="AS850" s="48">
        <v>0</v>
      </c>
      <c r="AT850" s="48">
        <v>0</v>
      </c>
      <c r="AU850" s="48">
        <v>0</v>
      </c>
      <c r="AV850" s="48">
        <v>0</v>
      </c>
      <c r="AW850" s="48">
        <v>0</v>
      </c>
      <c r="AX850" s="48">
        <v>0</v>
      </c>
      <c r="AY850" s="48">
        <v>0</v>
      </c>
      <c r="AZ850" s="48">
        <v>0</v>
      </c>
      <c r="BA850" s="48">
        <v>0</v>
      </c>
      <c r="BB850" s="48">
        <v>0</v>
      </c>
    </row>
    <row r="851" spans="1:54" x14ac:dyDescent="0.35">
      <c r="A851" s="49">
        <v>45930</v>
      </c>
      <c r="B851" s="48">
        <v>1</v>
      </c>
      <c r="C851" s="50" t="s">
        <v>32</v>
      </c>
      <c r="D851" s="48" t="s">
        <v>31</v>
      </c>
      <c r="E851" s="48" t="s">
        <v>138</v>
      </c>
      <c r="F851" s="48" t="s">
        <v>139</v>
      </c>
      <c r="G851" s="49" t="s">
        <v>63</v>
      </c>
      <c r="H851" s="48" t="s">
        <v>63</v>
      </c>
      <c r="I851" s="48">
        <v>1</v>
      </c>
      <c r="J851" s="48">
        <v>36</v>
      </c>
      <c r="K851" s="48">
        <v>1</v>
      </c>
      <c r="N851" s="48">
        <v>0</v>
      </c>
      <c r="R851" s="49"/>
      <c r="S851" s="181">
        <v>0</v>
      </c>
      <c r="T851" s="49">
        <v>47026</v>
      </c>
      <c r="U851" s="49">
        <v>47026</v>
      </c>
      <c r="V851" s="49">
        <v>47026</v>
      </c>
      <c r="W851" s="49">
        <v>47026</v>
      </c>
      <c r="X851" s="48">
        <v>1</v>
      </c>
      <c r="Y851" s="48">
        <v>1</v>
      </c>
      <c r="Z851" s="48">
        <v>1</v>
      </c>
      <c r="AA851" s="156">
        <v>26803.587027067224</v>
      </c>
      <c r="AF851" s="48">
        <v>0</v>
      </c>
      <c r="AG851" s="49" t="s">
        <v>32</v>
      </c>
      <c r="AH851" s="48">
        <v>1</v>
      </c>
      <c r="AI851" s="48" t="s">
        <v>33</v>
      </c>
      <c r="AJ851" s="48" t="s">
        <v>33</v>
      </c>
      <c r="AK851" s="48" t="s">
        <v>33</v>
      </c>
      <c r="AL851" s="48" t="s">
        <v>34</v>
      </c>
      <c r="AN851" s="48">
        <v>0</v>
      </c>
      <c r="AO851" s="48">
        <v>0</v>
      </c>
      <c r="AP851" s="48">
        <v>0</v>
      </c>
      <c r="AQ851" s="48">
        <v>0</v>
      </c>
      <c r="AR851" s="48">
        <v>0</v>
      </c>
      <c r="AS851" s="48">
        <v>0</v>
      </c>
      <c r="AT851" s="48">
        <v>0</v>
      </c>
      <c r="AU851" s="48">
        <v>0</v>
      </c>
      <c r="AV851" s="48">
        <v>0</v>
      </c>
      <c r="AW851" s="48">
        <v>0</v>
      </c>
      <c r="AX851" s="48">
        <v>0</v>
      </c>
      <c r="AY851" s="48">
        <v>0</v>
      </c>
      <c r="AZ851" s="48">
        <v>0</v>
      </c>
      <c r="BA851" s="48">
        <v>0</v>
      </c>
      <c r="BB851" s="48">
        <v>0</v>
      </c>
    </row>
    <row r="852" spans="1:54" x14ac:dyDescent="0.35">
      <c r="A852" s="49">
        <v>45930</v>
      </c>
      <c r="B852" s="48">
        <v>1</v>
      </c>
      <c r="C852" s="50" t="s">
        <v>32</v>
      </c>
      <c r="D852" s="48" t="s">
        <v>31</v>
      </c>
      <c r="E852" s="48" t="s">
        <v>138</v>
      </c>
      <c r="F852" s="48" t="s">
        <v>139</v>
      </c>
      <c r="G852" s="49" t="s">
        <v>63</v>
      </c>
      <c r="H852" s="48" t="s">
        <v>63</v>
      </c>
      <c r="I852" s="48">
        <v>1</v>
      </c>
      <c r="J852" s="48">
        <v>37</v>
      </c>
      <c r="K852" s="48">
        <v>1</v>
      </c>
      <c r="N852" s="48">
        <v>0</v>
      </c>
      <c r="R852" s="49"/>
      <c r="S852" s="181">
        <v>0</v>
      </c>
      <c r="T852" s="49">
        <v>47057</v>
      </c>
      <c r="U852" s="49">
        <v>47057</v>
      </c>
      <c r="V852" s="49">
        <v>47057</v>
      </c>
      <c r="W852" s="49">
        <v>47057</v>
      </c>
      <c r="X852" s="48">
        <v>1</v>
      </c>
      <c r="Y852" s="48">
        <v>1</v>
      </c>
      <c r="Z852" s="48">
        <v>1</v>
      </c>
      <c r="AA852" s="156">
        <v>26803.587027067224</v>
      </c>
      <c r="AF852" s="48">
        <v>0</v>
      </c>
      <c r="AG852" s="49" t="s">
        <v>32</v>
      </c>
      <c r="AH852" s="48">
        <v>1</v>
      </c>
      <c r="AI852" s="48" t="s">
        <v>33</v>
      </c>
      <c r="AJ852" s="48" t="s">
        <v>33</v>
      </c>
      <c r="AK852" s="48" t="s">
        <v>33</v>
      </c>
      <c r="AL852" s="48" t="s">
        <v>34</v>
      </c>
      <c r="AN852" s="48">
        <v>0</v>
      </c>
      <c r="AO852" s="48">
        <v>0</v>
      </c>
      <c r="AP852" s="48">
        <v>0</v>
      </c>
      <c r="AQ852" s="48">
        <v>0</v>
      </c>
      <c r="AR852" s="48">
        <v>0</v>
      </c>
      <c r="AS852" s="48">
        <v>0</v>
      </c>
      <c r="AT852" s="48">
        <v>0</v>
      </c>
      <c r="AU852" s="48">
        <v>0</v>
      </c>
      <c r="AV852" s="48">
        <v>0</v>
      </c>
      <c r="AW852" s="48">
        <v>0</v>
      </c>
      <c r="AX852" s="48">
        <v>0</v>
      </c>
      <c r="AY852" s="48">
        <v>0</v>
      </c>
      <c r="AZ852" s="48">
        <v>0</v>
      </c>
      <c r="BA852" s="48">
        <v>0</v>
      </c>
      <c r="BB852" s="48">
        <v>0</v>
      </c>
    </row>
    <row r="853" spans="1:54" x14ac:dyDescent="0.35">
      <c r="A853" s="49">
        <v>45930</v>
      </c>
      <c r="B853" s="48">
        <v>1</v>
      </c>
      <c r="C853" s="50" t="s">
        <v>32</v>
      </c>
      <c r="D853" s="48" t="s">
        <v>31</v>
      </c>
      <c r="E853" s="48" t="s">
        <v>138</v>
      </c>
      <c r="F853" s="48" t="s">
        <v>139</v>
      </c>
      <c r="G853" s="49" t="s">
        <v>63</v>
      </c>
      <c r="H853" s="48" t="s">
        <v>63</v>
      </c>
      <c r="I853" s="48">
        <v>1</v>
      </c>
      <c r="J853" s="48">
        <v>38</v>
      </c>
      <c r="K853" s="48">
        <v>1</v>
      </c>
      <c r="N853" s="48">
        <v>0</v>
      </c>
      <c r="R853" s="49"/>
      <c r="S853" s="181">
        <v>0</v>
      </c>
      <c r="T853" s="49">
        <v>47087</v>
      </c>
      <c r="U853" s="49">
        <v>47087</v>
      </c>
      <c r="V853" s="49">
        <v>47087</v>
      </c>
      <c r="W853" s="49">
        <v>47087</v>
      </c>
      <c r="X853" s="48">
        <v>1</v>
      </c>
      <c r="Y853" s="48">
        <v>1</v>
      </c>
      <c r="Z853" s="48">
        <v>1</v>
      </c>
      <c r="AA853" s="156">
        <v>26803.587027067224</v>
      </c>
      <c r="AF853" s="48">
        <v>0</v>
      </c>
      <c r="AG853" s="49" t="s">
        <v>32</v>
      </c>
      <c r="AH853" s="48">
        <v>1</v>
      </c>
      <c r="AI853" s="48" t="s">
        <v>33</v>
      </c>
      <c r="AJ853" s="48" t="s">
        <v>33</v>
      </c>
      <c r="AK853" s="48" t="s">
        <v>33</v>
      </c>
      <c r="AL853" s="48" t="s">
        <v>34</v>
      </c>
      <c r="AN853" s="48">
        <v>0</v>
      </c>
      <c r="AO853" s="48">
        <v>0</v>
      </c>
      <c r="AP853" s="48">
        <v>0</v>
      </c>
      <c r="AQ853" s="48">
        <v>0</v>
      </c>
      <c r="AR853" s="48">
        <v>0</v>
      </c>
      <c r="AS853" s="48">
        <v>0</v>
      </c>
      <c r="AT853" s="48">
        <v>0</v>
      </c>
      <c r="AU853" s="48">
        <v>0</v>
      </c>
      <c r="AV853" s="48">
        <v>0</v>
      </c>
      <c r="AW853" s="48">
        <v>0</v>
      </c>
      <c r="AX853" s="48">
        <v>0</v>
      </c>
      <c r="AY853" s="48">
        <v>0</v>
      </c>
      <c r="AZ853" s="48">
        <v>0</v>
      </c>
      <c r="BA853" s="48">
        <v>0</v>
      </c>
      <c r="BB853" s="48">
        <v>0</v>
      </c>
    </row>
    <row r="854" spans="1:54" x14ac:dyDescent="0.35">
      <c r="A854" s="49">
        <v>45930</v>
      </c>
      <c r="B854" s="48">
        <v>1</v>
      </c>
      <c r="C854" s="50" t="s">
        <v>32</v>
      </c>
      <c r="D854" s="48" t="s">
        <v>31</v>
      </c>
      <c r="E854" s="48" t="s">
        <v>138</v>
      </c>
      <c r="F854" s="48" t="s">
        <v>139</v>
      </c>
      <c r="G854" s="49" t="s">
        <v>63</v>
      </c>
      <c r="H854" s="48" t="s">
        <v>63</v>
      </c>
      <c r="I854" s="48">
        <v>1</v>
      </c>
      <c r="J854" s="48">
        <v>39</v>
      </c>
      <c r="K854" s="48">
        <v>1</v>
      </c>
      <c r="N854" s="48">
        <v>0</v>
      </c>
      <c r="R854" s="49"/>
      <c r="S854" s="181">
        <v>0</v>
      </c>
      <c r="T854" s="49">
        <v>47118</v>
      </c>
      <c r="U854" s="49">
        <v>47118</v>
      </c>
      <c r="V854" s="49">
        <v>47118</v>
      </c>
      <c r="W854" s="49">
        <v>47118</v>
      </c>
      <c r="X854" s="48">
        <v>1</v>
      </c>
      <c r="Y854" s="48">
        <v>1</v>
      </c>
      <c r="Z854" s="48">
        <v>1</v>
      </c>
      <c r="AA854" s="156">
        <v>26803.587027067224</v>
      </c>
      <c r="AF854" s="48">
        <v>0</v>
      </c>
      <c r="AG854" s="49" t="s">
        <v>32</v>
      </c>
      <c r="AH854" s="48">
        <v>1</v>
      </c>
      <c r="AI854" s="48" t="s">
        <v>33</v>
      </c>
      <c r="AJ854" s="48" t="s">
        <v>33</v>
      </c>
      <c r="AK854" s="48" t="s">
        <v>33</v>
      </c>
      <c r="AL854" s="48" t="s">
        <v>34</v>
      </c>
      <c r="AN854" s="48">
        <v>0</v>
      </c>
      <c r="AO854" s="48">
        <v>0</v>
      </c>
      <c r="AP854" s="48">
        <v>0</v>
      </c>
      <c r="AQ854" s="48">
        <v>0</v>
      </c>
      <c r="AR854" s="48">
        <v>0</v>
      </c>
      <c r="AS854" s="48">
        <v>0</v>
      </c>
      <c r="AT854" s="48">
        <v>0</v>
      </c>
      <c r="AU854" s="48">
        <v>0</v>
      </c>
      <c r="AV854" s="48">
        <v>0</v>
      </c>
      <c r="AW854" s="48">
        <v>0</v>
      </c>
      <c r="AX854" s="48">
        <v>0</v>
      </c>
      <c r="AY854" s="48">
        <v>0</v>
      </c>
      <c r="AZ854" s="48">
        <v>0</v>
      </c>
      <c r="BA854" s="48">
        <v>0</v>
      </c>
      <c r="BB854" s="48">
        <v>0</v>
      </c>
    </row>
    <row r="855" spans="1:54" x14ac:dyDescent="0.35">
      <c r="A855" s="49">
        <v>45930</v>
      </c>
      <c r="B855" s="48">
        <v>1</v>
      </c>
      <c r="C855" s="50" t="s">
        <v>32</v>
      </c>
      <c r="D855" s="48" t="s">
        <v>31</v>
      </c>
      <c r="E855" s="48" t="s">
        <v>138</v>
      </c>
      <c r="F855" s="48" t="s">
        <v>139</v>
      </c>
      <c r="G855" s="49" t="s">
        <v>63</v>
      </c>
      <c r="H855" s="48" t="s">
        <v>63</v>
      </c>
      <c r="I855" s="48">
        <v>1</v>
      </c>
      <c r="J855" s="48">
        <v>40</v>
      </c>
      <c r="K855" s="48">
        <v>1</v>
      </c>
      <c r="N855" s="48">
        <v>0</v>
      </c>
      <c r="R855" s="49"/>
      <c r="S855" s="181">
        <v>0</v>
      </c>
      <c r="T855" s="49">
        <v>47149</v>
      </c>
      <c r="U855" s="49">
        <v>47149</v>
      </c>
      <c r="V855" s="49">
        <v>47149</v>
      </c>
      <c r="W855" s="49">
        <v>47149</v>
      </c>
      <c r="X855" s="48">
        <v>1</v>
      </c>
      <c r="Y855" s="48">
        <v>1</v>
      </c>
      <c r="Z855" s="48">
        <v>1</v>
      </c>
      <c r="AA855" s="156">
        <v>26803.587027067224</v>
      </c>
      <c r="AF855" s="48">
        <v>0</v>
      </c>
      <c r="AG855" s="49" t="s">
        <v>32</v>
      </c>
      <c r="AH855" s="48">
        <v>1</v>
      </c>
      <c r="AI855" s="48" t="s">
        <v>33</v>
      </c>
      <c r="AJ855" s="48" t="s">
        <v>33</v>
      </c>
      <c r="AK855" s="48" t="s">
        <v>33</v>
      </c>
      <c r="AL855" s="48" t="s">
        <v>34</v>
      </c>
      <c r="AN855" s="48">
        <v>0</v>
      </c>
      <c r="AO855" s="48">
        <v>0</v>
      </c>
      <c r="AP855" s="48">
        <v>0</v>
      </c>
      <c r="AQ855" s="48">
        <v>0</v>
      </c>
      <c r="AR855" s="48">
        <v>0</v>
      </c>
      <c r="AS855" s="48">
        <v>0</v>
      </c>
      <c r="AT855" s="48">
        <v>0</v>
      </c>
      <c r="AU855" s="48">
        <v>0</v>
      </c>
      <c r="AV855" s="48">
        <v>0</v>
      </c>
      <c r="AW855" s="48">
        <v>0</v>
      </c>
      <c r="AX855" s="48">
        <v>0</v>
      </c>
      <c r="AY855" s="48">
        <v>0</v>
      </c>
      <c r="AZ855" s="48">
        <v>0</v>
      </c>
      <c r="BA855" s="48">
        <v>0</v>
      </c>
      <c r="BB855" s="48">
        <v>0</v>
      </c>
    </row>
    <row r="856" spans="1:54" x14ac:dyDescent="0.35">
      <c r="A856" s="49">
        <v>45930</v>
      </c>
      <c r="B856" s="48">
        <v>1</v>
      </c>
      <c r="C856" s="50" t="s">
        <v>32</v>
      </c>
      <c r="D856" s="48" t="s">
        <v>31</v>
      </c>
      <c r="E856" s="48" t="s">
        <v>138</v>
      </c>
      <c r="F856" s="48" t="s">
        <v>139</v>
      </c>
      <c r="G856" s="49" t="s">
        <v>63</v>
      </c>
      <c r="H856" s="48" t="s">
        <v>63</v>
      </c>
      <c r="I856" s="48">
        <v>1</v>
      </c>
      <c r="J856" s="48">
        <v>41</v>
      </c>
      <c r="K856" s="48">
        <v>1</v>
      </c>
      <c r="N856" s="48">
        <v>0</v>
      </c>
      <c r="R856" s="49"/>
      <c r="S856" s="181">
        <v>0</v>
      </c>
      <c r="T856" s="49">
        <v>47177</v>
      </c>
      <c r="U856" s="49">
        <v>47177</v>
      </c>
      <c r="V856" s="49">
        <v>47177</v>
      </c>
      <c r="W856" s="49">
        <v>47177</v>
      </c>
      <c r="X856" s="48">
        <v>1</v>
      </c>
      <c r="Y856" s="48">
        <v>1</v>
      </c>
      <c r="Z856" s="48">
        <v>1</v>
      </c>
      <c r="AA856" s="156">
        <v>26803.587027067224</v>
      </c>
      <c r="AF856" s="48">
        <v>0</v>
      </c>
      <c r="AG856" s="49" t="s">
        <v>32</v>
      </c>
      <c r="AH856" s="48">
        <v>1</v>
      </c>
      <c r="AI856" s="48" t="s">
        <v>33</v>
      </c>
      <c r="AJ856" s="48" t="s">
        <v>33</v>
      </c>
      <c r="AK856" s="48" t="s">
        <v>33</v>
      </c>
      <c r="AL856" s="48" t="s">
        <v>34</v>
      </c>
      <c r="AN856" s="48">
        <v>0</v>
      </c>
      <c r="AO856" s="48">
        <v>0</v>
      </c>
      <c r="AP856" s="48">
        <v>0</v>
      </c>
      <c r="AQ856" s="48">
        <v>0</v>
      </c>
      <c r="AR856" s="48">
        <v>0</v>
      </c>
      <c r="AS856" s="48">
        <v>0</v>
      </c>
      <c r="AT856" s="48">
        <v>0</v>
      </c>
      <c r="AU856" s="48">
        <v>0</v>
      </c>
      <c r="AV856" s="48">
        <v>0</v>
      </c>
      <c r="AW856" s="48">
        <v>0</v>
      </c>
      <c r="AX856" s="48">
        <v>0</v>
      </c>
      <c r="AY856" s="48">
        <v>0</v>
      </c>
      <c r="AZ856" s="48">
        <v>0</v>
      </c>
      <c r="BA856" s="48">
        <v>0</v>
      </c>
      <c r="BB856" s="48">
        <v>0</v>
      </c>
    </row>
    <row r="857" spans="1:54" x14ac:dyDescent="0.35">
      <c r="A857" s="49">
        <v>45930</v>
      </c>
      <c r="B857" s="48">
        <v>1</v>
      </c>
      <c r="C857" s="50" t="s">
        <v>32</v>
      </c>
      <c r="D857" s="48" t="s">
        <v>31</v>
      </c>
      <c r="E857" s="48" t="s">
        <v>138</v>
      </c>
      <c r="F857" s="48" t="s">
        <v>139</v>
      </c>
      <c r="G857" s="49" t="s">
        <v>63</v>
      </c>
      <c r="H857" s="48" t="s">
        <v>63</v>
      </c>
      <c r="I857" s="48">
        <v>1</v>
      </c>
      <c r="J857" s="48">
        <v>42</v>
      </c>
      <c r="K857" s="48">
        <v>1</v>
      </c>
      <c r="N857" s="48">
        <v>0</v>
      </c>
      <c r="R857" s="49"/>
      <c r="S857" s="181">
        <v>0</v>
      </c>
      <c r="T857" s="49">
        <v>47208</v>
      </c>
      <c r="U857" s="49">
        <v>47208</v>
      </c>
      <c r="V857" s="49">
        <v>47208</v>
      </c>
      <c r="W857" s="49">
        <v>47208</v>
      </c>
      <c r="X857" s="48">
        <v>1</v>
      </c>
      <c r="Y857" s="48">
        <v>1</v>
      </c>
      <c r="Z857" s="48">
        <v>1</v>
      </c>
      <c r="AA857" s="156">
        <v>26803.587027067224</v>
      </c>
      <c r="AF857" s="48">
        <v>0</v>
      </c>
      <c r="AG857" s="49" t="s">
        <v>32</v>
      </c>
      <c r="AH857" s="48">
        <v>1</v>
      </c>
      <c r="AI857" s="48" t="s">
        <v>33</v>
      </c>
      <c r="AJ857" s="48" t="s">
        <v>33</v>
      </c>
      <c r="AK857" s="48" t="s">
        <v>33</v>
      </c>
      <c r="AL857" s="48" t="s">
        <v>34</v>
      </c>
      <c r="AN857" s="48">
        <v>0</v>
      </c>
      <c r="AO857" s="48">
        <v>0</v>
      </c>
      <c r="AP857" s="48">
        <v>0</v>
      </c>
      <c r="AQ857" s="48">
        <v>0</v>
      </c>
      <c r="AR857" s="48">
        <v>0</v>
      </c>
      <c r="AS857" s="48">
        <v>0</v>
      </c>
      <c r="AT857" s="48">
        <v>0</v>
      </c>
      <c r="AU857" s="48">
        <v>0</v>
      </c>
      <c r="AV857" s="48">
        <v>0</v>
      </c>
      <c r="AW857" s="48">
        <v>0</v>
      </c>
      <c r="AX857" s="48">
        <v>0</v>
      </c>
      <c r="AY857" s="48">
        <v>0</v>
      </c>
      <c r="AZ857" s="48">
        <v>0</v>
      </c>
      <c r="BA857" s="48">
        <v>0</v>
      </c>
      <c r="BB857" s="48">
        <v>0</v>
      </c>
    </row>
    <row r="858" spans="1:54" x14ac:dyDescent="0.35">
      <c r="A858" s="49">
        <v>45930</v>
      </c>
      <c r="B858" s="48">
        <v>1</v>
      </c>
      <c r="C858" s="50" t="s">
        <v>32</v>
      </c>
      <c r="D858" s="48" t="s">
        <v>31</v>
      </c>
      <c r="E858" s="48" t="s">
        <v>138</v>
      </c>
      <c r="F858" s="48" t="s">
        <v>139</v>
      </c>
      <c r="G858" s="49" t="s">
        <v>63</v>
      </c>
      <c r="H858" s="48" t="s">
        <v>63</v>
      </c>
      <c r="I858" s="48">
        <v>1</v>
      </c>
      <c r="J858" s="48">
        <v>43</v>
      </c>
      <c r="K858" s="48">
        <v>1</v>
      </c>
      <c r="N858" s="48">
        <v>0</v>
      </c>
      <c r="R858" s="49"/>
      <c r="S858" s="181">
        <v>0</v>
      </c>
      <c r="T858" s="49">
        <v>47238</v>
      </c>
      <c r="U858" s="49">
        <v>47238</v>
      </c>
      <c r="V858" s="49">
        <v>47238</v>
      </c>
      <c r="W858" s="49">
        <v>47238</v>
      </c>
      <c r="X858" s="48">
        <v>1</v>
      </c>
      <c r="Y858" s="48">
        <v>1</v>
      </c>
      <c r="Z858" s="48">
        <v>1</v>
      </c>
      <c r="AA858" s="156">
        <v>26803.587027067224</v>
      </c>
      <c r="AF858" s="48">
        <v>0</v>
      </c>
      <c r="AG858" s="49" t="s">
        <v>32</v>
      </c>
      <c r="AH858" s="48">
        <v>1</v>
      </c>
      <c r="AI858" s="48" t="s">
        <v>33</v>
      </c>
      <c r="AJ858" s="48" t="s">
        <v>33</v>
      </c>
      <c r="AK858" s="48" t="s">
        <v>33</v>
      </c>
      <c r="AL858" s="48" t="s">
        <v>34</v>
      </c>
      <c r="AN858" s="48">
        <v>0</v>
      </c>
      <c r="AO858" s="48">
        <v>0</v>
      </c>
      <c r="AP858" s="48">
        <v>0</v>
      </c>
      <c r="AQ858" s="48">
        <v>0</v>
      </c>
      <c r="AR858" s="48">
        <v>0</v>
      </c>
      <c r="AS858" s="48">
        <v>0</v>
      </c>
      <c r="AT858" s="48">
        <v>0</v>
      </c>
      <c r="AU858" s="48">
        <v>0</v>
      </c>
      <c r="AV858" s="48">
        <v>0</v>
      </c>
      <c r="AW858" s="48">
        <v>0</v>
      </c>
      <c r="AX858" s="48">
        <v>0</v>
      </c>
      <c r="AY858" s="48">
        <v>0</v>
      </c>
      <c r="AZ858" s="48">
        <v>0</v>
      </c>
      <c r="BA858" s="48">
        <v>0</v>
      </c>
      <c r="BB858" s="48">
        <v>0</v>
      </c>
    </row>
    <row r="859" spans="1:54" x14ac:dyDescent="0.35">
      <c r="A859" s="49">
        <v>45930</v>
      </c>
      <c r="B859" s="48">
        <v>1</v>
      </c>
      <c r="C859" s="50" t="s">
        <v>32</v>
      </c>
      <c r="D859" s="48" t="s">
        <v>31</v>
      </c>
      <c r="E859" s="48" t="s">
        <v>138</v>
      </c>
      <c r="F859" s="48" t="s">
        <v>139</v>
      </c>
      <c r="G859" s="49" t="s">
        <v>63</v>
      </c>
      <c r="H859" s="48" t="s">
        <v>63</v>
      </c>
      <c r="I859" s="48">
        <v>1</v>
      </c>
      <c r="J859" s="48">
        <v>44</v>
      </c>
      <c r="K859" s="48">
        <v>1</v>
      </c>
      <c r="N859" s="48">
        <v>0</v>
      </c>
      <c r="R859" s="49"/>
      <c r="S859" s="181">
        <v>0</v>
      </c>
      <c r="T859" s="49">
        <v>47269</v>
      </c>
      <c r="U859" s="49">
        <v>47269</v>
      </c>
      <c r="V859" s="49">
        <v>47269</v>
      </c>
      <c r="W859" s="49">
        <v>47269</v>
      </c>
      <c r="X859" s="48">
        <v>1</v>
      </c>
      <c r="Y859" s="48">
        <v>1</v>
      </c>
      <c r="Z859" s="48">
        <v>1</v>
      </c>
      <c r="AA859" s="156">
        <v>26803.587027067224</v>
      </c>
      <c r="AF859" s="48">
        <v>0</v>
      </c>
      <c r="AG859" s="49" t="s">
        <v>32</v>
      </c>
      <c r="AH859" s="48">
        <v>1</v>
      </c>
      <c r="AI859" s="48" t="s">
        <v>33</v>
      </c>
      <c r="AJ859" s="48" t="s">
        <v>33</v>
      </c>
      <c r="AK859" s="48" t="s">
        <v>33</v>
      </c>
      <c r="AL859" s="48" t="s">
        <v>34</v>
      </c>
      <c r="AN859" s="48">
        <v>0</v>
      </c>
      <c r="AO859" s="48">
        <v>0</v>
      </c>
      <c r="AP859" s="48">
        <v>0</v>
      </c>
      <c r="AQ859" s="48">
        <v>0</v>
      </c>
      <c r="AR859" s="48">
        <v>0</v>
      </c>
      <c r="AS859" s="48">
        <v>0</v>
      </c>
      <c r="AT859" s="48">
        <v>0</v>
      </c>
      <c r="AU859" s="48">
        <v>0</v>
      </c>
      <c r="AV859" s="48">
        <v>0</v>
      </c>
      <c r="AW859" s="48">
        <v>0</v>
      </c>
      <c r="AX859" s="48">
        <v>0</v>
      </c>
      <c r="AY859" s="48">
        <v>0</v>
      </c>
      <c r="AZ859" s="48">
        <v>0</v>
      </c>
      <c r="BA859" s="48">
        <v>0</v>
      </c>
      <c r="BB859" s="48">
        <v>0</v>
      </c>
    </row>
    <row r="860" spans="1:54" x14ac:dyDescent="0.35">
      <c r="A860" s="49">
        <v>45930</v>
      </c>
      <c r="B860" s="48">
        <v>1</v>
      </c>
      <c r="C860" s="50" t="s">
        <v>32</v>
      </c>
      <c r="D860" s="48" t="s">
        <v>31</v>
      </c>
      <c r="E860" s="48" t="s">
        <v>138</v>
      </c>
      <c r="F860" s="48" t="s">
        <v>139</v>
      </c>
      <c r="G860" s="49" t="s">
        <v>63</v>
      </c>
      <c r="H860" s="48" t="s">
        <v>63</v>
      </c>
      <c r="I860" s="48">
        <v>1</v>
      </c>
      <c r="J860" s="48">
        <v>45</v>
      </c>
      <c r="K860" s="48">
        <v>1</v>
      </c>
      <c r="N860" s="48">
        <v>0</v>
      </c>
      <c r="R860" s="49"/>
      <c r="S860" s="181">
        <v>0</v>
      </c>
      <c r="T860" s="49">
        <v>47299</v>
      </c>
      <c r="U860" s="49">
        <v>47299</v>
      </c>
      <c r="V860" s="49">
        <v>47299</v>
      </c>
      <c r="W860" s="49">
        <v>47299</v>
      </c>
      <c r="X860" s="48">
        <v>1</v>
      </c>
      <c r="Y860" s="48">
        <v>1</v>
      </c>
      <c r="Z860" s="48">
        <v>1</v>
      </c>
      <c r="AA860" s="156">
        <v>26803.587027067224</v>
      </c>
      <c r="AF860" s="48">
        <v>0</v>
      </c>
      <c r="AG860" s="49" t="s">
        <v>32</v>
      </c>
      <c r="AH860" s="48">
        <v>1</v>
      </c>
      <c r="AI860" s="48" t="s">
        <v>33</v>
      </c>
      <c r="AJ860" s="48" t="s">
        <v>33</v>
      </c>
      <c r="AK860" s="48" t="s">
        <v>33</v>
      </c>
      <c r="AL860" s="48" t="s">
        <v>34</v>
      </c>
      <c r="AN860" s="48">
        <v>0</v>
      </c>
      <c r="AO860" s="48">
        <v>0</v>
      </c>
      <c r="AP860" s="48">
        <v>0</v>
      </c>
      <c r="AQ860" s="48">
        <v>0</v>
      </c>
      <c r="AR860" s="48">
        <v>0</v>
      </c>
      <c r="AS860" s="48">
        <v>0</v>
      </c>
      <c r="AT860" s="48">
        <v>0</v>
      </c>
      <c r="AU860" s="48">
        <v>0</v>
      </c>
      <c r="AV860" s="48">
        <v>0</v>
      </c>
      <c r="AW860" s="48">
        <v>0</v>
      </c>
      <c r="AX860" s="48">
        <v>0</v>
      </c>
      <c r="AY860" s="48">
        <v>0</v>
      </c>
      <c r="AZ860" s="48">
        <v>0</v>
      </c>
      <c r="BA860" s="48">
        <v>0</v>
      </c>
      <c r="BB860" s="48">
        <v>0</v>
      </c>
    </row>
    <row r="861" spans="1:54" x14ac:dyDescent="0.35">
      <c r="A861" s="49">
        <v>45930</v>
      </c>
      <c r="B861" s="48">
        <v>1</v>
      </c>
      <c r="C861" s="50" t="s">
        <v>32</v>
      </c>
      <c r="D861" s="48" t="s">
        <v>31</v>
      </c>
      <c r="E861" s="48" t="s">
        <v>138</v>
      </c>
      <c r="F861" s="48" t="s">
        <v>139</v>
      </c>
      <c r="G861" s="49" t="s">
        <v>63</v>
      </c>
      <c r="H861" s="48" t="s">
        <v>63</v>
      </c>
      <c r="I861" s="48">
        <v>1</v>
      </c>
      <c r="J861" s="48">
        <v>46</v>
      </c>
      <c r="K861" s="48">
        <v>1</v>
      </c>
      <c r="N861" s="48">
        <v>0</v>
      </c>
      <c r="R861" s="49"/>
      <c r="S861" s="181">
        <v>0</v>
      </c>
      <c r="T861" s="49">
        <v>47330</v>
      </c>
      <c r="U861" s="49">
        <v>47330</v>
      </c>
      <c r="V861" s="49">
        <v>47330</v>
      </c>
      <c r="W861" s="49">
        <v>47330</v>
      </c>
      <c r="X861" s="48">
        <v>1</v>
      </c>
      <c r="Y861" s="48">
        <v>1</v>
      </c>
      <c r="Z861" s="48">
        <v>1</v>
      </c>
      <c r="AA861" s="156">
        <v>26803.587027067224</v>
      </c>
      <c r="AF861" s="48">
        <v>0</v>
      </c>
      <c r="AG861" s="49" t="s">
        <v>32</v>
      </c>
      <c r="AH861" s="48">
        <v>1</v>
      </c>
      <c r="AI861" s="48" t="s">
        <v>33</v>
      </c>
      <c r="AJ861" s="48" t="s">
        <v>33</v>
      </c>
      <c r="AK861" s="48" t="s">
        <v>33</v>
      </c>
      <c r="AL861" s="48" t="s">
        <v>34</v>
      </c>
      <c r="AN861" s="48">
        <v>0</v>
      </c>
      <c r="AO861" s="48">
        <v>0</v>
      </c>
      <c r="AP861" s="48">
        <v>0</v>
      </c>
      <c r="AQ861" s="48">
        <v>0</v>
      </c>
      <c r="AR861" s="48">
        <v>0</v>
      </c>
      <c r="AS861" s="48">
        <v>0</v>
      </c>
      <c r="AT861" s="48">
        <v>0</v>
      </c>
      <c r="AU861" s="48">
        <v>0</v>
      </c>
      <c r="AV861" s="48">
        <v>0</v>
      </c>
      <c r="AW861" s="48">
        <v>0</v>
      </c>
      <c r="AX861" s="48">
        <v>0</v>
      </c>
      <c r="AY861" s="48">
        <v>0</v>
      </c>
      <c r="AZ861" s="48">
        <v>0</v>
      </c>
      <c r="BA861" s="48">
        <v>0</v>
      </c>
      <c r="BB861" s="48">
        <v>0</v>
      </c>
    </row>
    <row r="862" spans="1:54" x14ac:dyDescent="0.35">
      <c r="A862" s="49">
        <v>45930</v>
      </c>
      <c r="B862" s="48">
        <v>1</v>
      </c>
      <c r="C862" s="50" t="s">
        <v>32</v>
      </c>
      <c r="D862" s="48" t="s">
        <v>31</v>
      </c>
      <c r="E862" s="48" t="s">
        <v>138</v>
      </c>
      <c r="F862" s="48" t="s">
        <v>139</v>
      </c>
      <c r="G862" s="49" t="s">
        <v>63</v>
      </c>
      <c r="H862" s="48" t="s">
        <v>63</v>
      </c>
      <c r="I862" s="48">
        <v>1</v>
      </c>
      <c r="J862" s="48">
        <v>47</v>
      </c>
      <c r="K862" s="48">
        <v>1</v>
      </c>
      <c r="N862" s="48">
        <v>0</v>
      </c>
      <c r="R862" s="49"/>
      <c r="S862" s="181">
        <v>0</v>
      </c>
      <c r="T862" s="49">
        <v>47361</v>
      </c>
      <c r="U862" s="49">
        <v>47361</v>
      </c>
      <c r="V862" s="49">
        <v>47361</v>
      </c>
      <c r="W862" s="49">
        <v>47361</v>
      </c>
      <c r="X862" s="48">
        <v>1</v>
      </c>
      <c r="Y862" s="48">
        <v>1</v>
      </c>
      <c r="Z862" s="48">
        <v>1</v>
      </c>
      <c r="AA862" s="156">
        <v>26803.587027067224</v>
      </c>
      <c r="AF862" s="48">
        <v>0</v>
      </c>
      <c r="AG862" s="49" t="s">
        <v>32</v>
      </c>
      <c r="AH862" s="48">
        <v>1</v>
      </c>
      <c r="AI862" s="48" t="s">
        <v>33</v>
      </c>
      <c r="AJ862" s="48" t="s">
        <v>33</v>
      </c>
      <c r="AK862" s="48" t="s">
        <v>33</v>
      </c>
      <c r="AL862" s="48" t="s">
        <v>34</v>
      </c>
      <c r="AN862" s="48">
        <v>0</v>
      </c>
      <c r="AO862" s="48">
        <v>0</v>
      </c>
      <c r="AP862" s="48">
        <v>0</v>
      </c>
      <c r="AQ862" s="48">
        <v>0</v>
      </c>
      <c r="AR862" s="48">
        <v>0</v>
      </c>
      <c r="AS862" s="48">
        <v>0</v>
      </c>
      <c r="AT862" s="48">
        <v>0</v>
      </c>
      <c r="AU862" s="48">
        <v>0</v>
      </c>
      <c r="AV862" s="48">
        <v>0</v>
      </c>
      <c r="AW862" s="48">
        <v>0</v>
      </c>
      <c r="AX862" s="48">
        <v>0</v>
      </c>
      <c r="AY862" s="48">
        <v>0</v>
      </c>
      <c r="AZ862" s="48">
        <v>0</v>
      </c>
      <c r="BA862" s="48">
        <v>0</v>
      </c>
      <c r="BB862" s="48">
        <v>0</v>
      </c>
    </row>
    <row r="863" spans="1:54" x14ac:dyDescent="0.35">
      <c r="A863" s="49">
        <v>45930</v>
      </c>
      <c r="B863" s="48">
        <v>1</v>
      </c>
      <c r="C863" s="50" t="s">
        <v>32</v>
      </c>
      <c r="D863" s="48" t="s">
        <v>31</v>
      </c>
      <c r="E863" s="48" t="s">
        <v>138</v>
      </c>
      <c r="F863" s="48" t="s">
        <v>139</v>
      </c>
      <c r="G863" s="49" t="s">
        <v>63</v>
      </c>
      <c r="H863" s="48" t="s">
        <v>63</v>
      </c>
      <c r="I863" s="48">
        <v>1</v>
      </c>
      <c r="J863" s="48">
        <v>48</v>
      </c>
      <c r="K863" s="48">
        <v>1</v>
      </c>
      <c r="N863" s="48">
        <v>0</v>
      </c>
      <c r="R863" s="49"/>
      <c r="S863" s="181">
        <v>0</v>
      </c>
      <c r="T863" s="49">
        <v>47391</v>
      </c>
      <c r="U863" s="49">
        <v>47391</v>
      </c>
      <c r="V863" s="49">
        <v>47391</v>
      </c>
      <c r="W863" s="49">
        <v>47391</v>
      </c>
      <c r="X863" s="48">
        <v>1</v>
      </c>
      <c r="Y863" s="48">
        <v>1</v>
      </c>
      <c r="Z863" s="48">
        <v>1</v>
      </c>
      <c r="AA863" s="156">
        <v>26803.587027067224</v>
      </c>
      <c r="AF863" s="48">
        <v>0</v>
      </c>
      <c r="AG863" s="49" t="s">
        <v>32</v>
      </c>
      <c r="AH863" s="48">
        <v>1</v>
      </c>
      <c r="AI863" s="48" t="s">
        <v>33</v>
      </c>
      <c r="AJ863" s="48" t="s">
        <v>33</v>
      </c>
      <c r="AK863" s="48" t="s">
        <v>33</v>
      </c>
      <c r="AL863" s="48" t="s">
        <v>34</v>
      </c>
      <c r="AN863" s="48">
        <v>0</v>
      </c>
      <c r="AO863" s="48">
        <v>0</v>
      </c>
      <c r="AP863" s="48">
        <v>0</v>
      </c>
      <c r="AQ863" s="48">
        <v>0</v>
      </c>
      <c r="AR863" s="48">
        <v>0</v>
      </c>
      <c r="AS863" s="48">
        <v>0</v>
      </c>
      <c r="AT863" s="48">
        <v>0</v>
      </c>
      <c r="AU863" s="48">
        <v>0</v>
      </c>
      <c r="AV863" s="48">
        <v>0</v>
      </c>
      <c r="AW863" s="48">
        <v>0</v>
      </c>
      <c r="AX863" s="48">
        <v>0</v>
      </c>
      <c r="AY863" s="48">
        <v>0</v>
      </c>
      <c r="AZ863" s="48">
        <v>0</v>
      </c>
      <c r="BA863" s="48">
        <v>0</v>
      </c>
      <c r="BB863" s="48">
        <v>0</v>
      </c>
    </row>
    <row r="864" spans="1:54" x14ac:dyDescent="0.35">
      <c r="A864" s="49">
        <v>45930</v>
      </c>
      <c r="B864" s="48">
        <v>1</v>
      </c>
      <c r="C864" s="50" t="s">
        <v>32</v>
      </c>
      <c r="D864" s="48" t="s">
        <v>31</v>
      </c>
      <c r="E864" s="48" t="s">
        <v>138</v>
      </c>
      <c r="F864" s="48" t="s">
        <v>139</v>
      </c>
      <c r="G864" s="49" t="s">
        <v>63</v>
      </c>
      <c r="H864" s="48" t="s">
        <v>63</v>
      </c>
      <c r="I864" s="48">
        <v>1</v>
      </c>
      <c r="J864" s="48">
        <v>49</v>
      </c>
      <c r="K864" s="48">
        <v>1</v>
      </c>
      <c r="N864" s="48">
        <v>0</v>
      </c>
      <c r="R864" s="49"/>
      <c r="S864" s="181">
        <v>0</v>
      </c>
      <c r="T864" s="49">
        <v>47422</v>
      </c>
      <c r="U864" s="49">
        <v>47422</v>
      </c>
      <c r="V864" s="49">
        <v>47422</v>
      </c>
      <c r="W864" s="49">
        <v>47422</v>
      </c>
      <c r="X864" s="48">
        <v>1</v>
      </c>
      <c r="Y864" s="48">
        <v>1</v>
      </c>
      <c r="Z864" s="48">
        <v>1</v>
      </c>
      <c r="AA864" s="156">
        <v>26803.587027067224</v>
      </c>
      <c r="AF864" s="48">
        <v>0</v>
      </c>
      <c r="AG864" s="49" t="s">
        <v>32</v>
      </c>
      <c r="AH864" s="48">
        <v>1</v>
      </c>
      <c r="AI864" s="48" t="s">
        <v>33</v>
      </c>
      <c r="AJ864" s="48" t="s">
        <v>33</v>
      </c>
      <c r="AK864" s="48" t="s">
        <v>33</v>
      </c>
      <c r="AL864" s="48" t="s">
        <v>34</v>
      </c>
      <c r="AN864" s="48">
        <v>0</v>
      </c>
      <c r="AO864" s="48">
        <v>0</v>
      </c>
      <c r="AP864" s="48">
        <v>0</v>
      </c>
      <c r="AQ864" s="48">
        <v>0</v>
      </c>
      <c r="AR864" s="48">
        <v>0</v>
      </c>
      <c r="AS864" s="48">
        <v>0</v>
      </c>
      <c r="AT864" s="48">
        <v>0</v>
      </c>
      <c r="AU864" s="48">
        <v>0</v>
      </c>
      <c r="AV864" s="48">
        <v>0</v>
      </c>
      <c r="AW864" s="48">
        <v>0</v>
      </c>
      <c r="AX864" s="48">
        <v>0</v>
      </c>
      <c r="AY864" s="48">
        <v>0</v>
      </c>
      <c r="AZ864" s="48">
        <v>0</v>
      </c>
      <c r="BA864" s="48">
        <v>0</v>
      </c>
      <c r="BB864" s="48">
        <v>0</v>
      </c>
    </row>
    <row r="865" spans="1:54" x14ac:dyDescent="0.35">
      <c r="A865" s="49">
        <v>45930</v>
      </c>
      <c r="B865" s="48">
        <v>1</v>
      </c>
      <c r="C865" s="50" t="s">
        <v>32</v>
      </c>
      <c r="D865" s="48" t="s">
        <v>31</v>
      </c>
      <c r="E865" s="48" t="s">
        <v>138</v>
      </c>
      <c r="F865" s="48" t="s">
        <v>139</v>
      </c>
      <c r="G865" s="49" t="s">
        <v>63</v>
      </c>
      <c r="H865" s="48" t="s">
        <v>63</v>
      </c>
      <c r="I865" s="48">
        <v>1</v>
      </c>
      <c r="J865" s="48">
        <v>50</v>
      </c>
      <c r="K865" s="48">
        <v>1</v>
      </c>
      <c r="N865" s="48">
        <v>0</v>
      </c>
      <c r="R865" s="49"/>
      <c r="S865" s="181">
        <v>0</v>
      </c>
      <c r="T865" s="49">
        <v>47452</v>
      </c>
      <c r="U865" s="49">
        <v>47452</v>
      </c>
      <c r="V865" s="49">
        <v>47452</v>
      </c>
      <c r="W865" s="49">
        <v>47452</v>
      </c>
      <c r="X865" s="48">
        <v>1</v>
      </c>
      <c r="Y865" s="48">
        <v>1</v>
      </c>
      <c r="Z865" s="48">
        <v>1</v>
      </c>
      <c r="AA865" s="156">
        <v>26803.587027067224</v>
      </c>
      <c r="AF865" s="48">
        <v>0</v>
      </c>
      <c r="AG865" s="49" t="s">
        <v>32</v>
      </c>
      <c r="AH865" s="48">
        <v>1</v>
      </c>
      <c r="AI865" s="48" t="s">
        <v>33</v>
      </c>
      <c r="AJ865" s="48" t="s">
        <v>33</v>
      </c>
      <c r="AK865" s="48" t="s">
        <v>33</v>
      </c>
      <c r="AL865" s="48" t="s">
        <v>34</v>
      </c>
      <c r="AN865" s="48">
        <v>0</v>
      </c>
      <c r="AO865" s="48">
        <v>0</v>
      </c>
      <c r="AP865" s="48">
        <v>0</v>
      </c>
      <c r="AQ865" s="48">
        <v>0</v>
      </c>
      <c r="AR865" s="48">
        <v>0</v>
      </c>
      <c r="AS865" s="48">
        <v>0</v>
      </c>
      <c r="AT865" s="48">
        <v>0</v>
      </c>
      <c r="AU865" s="48">
        <v>0</v>
      </c>
      <c r="AV865" s="48">
        <v>0</v>
      </c>
      <c r="AW865" s="48">
        <v>0</v>
      </c>
      <c r="AX865" s="48">
        <v>0</v>
      </c>
      <c r="AY865" s="48">
        <v>0</v>
      </c>
      <c r="AZ865" s="48">
        <v>0</v>
      </c>
      <c r="BA865" s="48">
        <v>0</v>
      </c>
      <c r="BB865" s="48">
        <v>0</v>
      </c>
    </row>
    <row r="866" spans="1:54" x14ac:dyDescent="0.35">
      <c r="A866" s="49">
        <v>45930</v>
      </c>
      <c r="B866" s="48">
        <v>1</v>
      </c>
      <c r="C866" s="50" t="s">
        <v>32</v>
      </c>
      <c r="D866" s="48" t="s">
        <v>31</v>
      </c>
      <c r="E866" s="48" t="s">
        <v>138</v>
      </c>
      <c r="F866" s="48" t="s">
        <v>139</v>
      </c>
      <c r="G866" s="49" t="s">
        <v>63</v>
      </c>
      <c r="H866" s="48" t="s">
        <v>63</v>
      </c>
      <c r="I866" s="48">
        <v>1</v>
      </c>
      <c r="J866" s="48">
        <v>51</v>
      </c>
      <c r="K866" s="48">
        <v>1</v>
      </c>
      <c r="N866" s="48">
        <v>0</v>
      </c>
      <c r="R866" s="49"/>
      <c r="S866" s="181">
        <v>0</v>
      </c>
      <c r="T866" s="49">
        <v>47483</v>
      </c>
      <c r="U866" s="49">
        <v>47483</v>
      </c>
      <c r="V866" s="49">
        <v>47483</v>
      </c>
      <c r="W866" s="49">
        <v>47483</v>
      </c>
      <c r="X866" s="48">
        <v>1</v>
      </c>
      <c r="Y866" s="48">
        <v>1</v>
      </c>
      <c r="Z866" s="48">
        <v>1</v>
      </c>
      <c r="AA866" s="156">
        <v>26803.587027067224</v>
      </c>
      <c r="AF866" s="48">
        <v>0</v>
      </c>
      <c r="AG866" s="49" t="s">
        <v>32</v>
      </c>
      <c r="AH866" s="48">
        <v>1</v>
      </c>
      <c r="AI866" s="48" t="s">
        <v>33</v>
      </c>
      <c r="AJ866" s="48" t="s">
        <v>33</v>
      </c>
      <c r="AK866" s="48" t="s">
        <v>33</v>
      </c>
      <c r="AL866" s="48" t="s">
        <v>34</v>
      </c>
      <c r="AN866" s="48">
        <v>0</v>
      </c>
      <c r="AO866" s="48">
        <v>0</v>
      </c>
      <c r="AP866" s="48">
        <v>0</v>
      </c>
      <c r="AQ866" s="48">
        <v>0</v>
      </c>
      <c r="AR866" s="48">
        <v>0</v>
      </c>
      <c r="AS866" s="48">
        <v>0</v>
      </c>
      <c r="AT866" s="48">
        <v>0</v>
      </c>
      <c r="AU866" s="48">
        <v>0</v>
      </c>
      <c r="AV866" s="48">
        <v>0</v>
      </c>
      <c r="AW866" s="48">
        <v>0</v>
      </c>
      <c r="AX866" s="48">
        <v>0</v>
      </c>
      <c r="AY866" s="48">
        <v>0</v>
      </c>
      <c r="AZ866" s="48">
        <v>0</v>
      </c>
      <c r="BA866" s="48">
        <v>0</v>
      </c>
      <c r="BB866" s="48">
        <v>0</v>
      </c>
    </row>
    <row r="867" spans="1:54" x14ac:dyDescent="0.35">
      <c r="A867" s="49">
        <v>45930</v>
      </c>
      <c r="B867" s="48">
        <v>1</v>
      </c>
      <c r="C867" s="50" t="s">
        <v>32</v>
      </c>
      <c r="D867" s="48" t="s">
        <v>31</v>
      </c>
      <c r="E867" s="48" t="s">
        <v>138</v>
      </c>
      <c r="F867" s="48" t="s">
        <v>139</v>
      </c>
      <c r="G867" s="49" t="s">
        <v>63</v>
      </c>
      <c r="H867" s="48" t="s">
        <v>63</v>
      </c>
      <c r="I867" s="48">
        <v>1</v>
      </c>
      <c r="J867" s="48">
        <v>52</v>
      </c>
      <c r="K867" s="48">
        <v>1</v>
      </c>
      <c r="N867" s="48">
        <v>0</v>
      </c>
      <c r="R867" s="49"/>
      <c r="S867" s="181">
        <v>0</v>
      </c>
      <c r="T867" s="49">
        <v>47514</v>
      </c>
      <c r="U867" s="49">
        <v>47514</v>
      </c>
      <c r="V867" s="49">
        <v>47514</v>
      </c>
      <c r="W867" s="49">
        <v>47514</v>
      </c>
      <c r="X867" s="48">
        <v>1</v>
      </c>
      <c r="Y867" s="48">
        <v>1</v>
      </c>
      <c r="Z867" s="48">
        <v>1</v>
      </c>
      <c r="AA867" s="156">
        <v>26803.587027067224</v>
      </c>
      <c r="AF867" s="48">
        <v>0</v>
      </c>
      <c r="AG867" s="49" t="s">
        <v>32</v>
      </c>
      <c r="AH867" s="48">
        <v>1</v>
      </c>
      <c r="AI867" s="48" t="s">
        <v>33</v>
      </c>
      <c r="AJ867" s="48" t="s">
        <v>33</v>
      </c>
      <c r="AK867" s="48" t="s">
        <v>33</v>
      </c>
      <c r="AL867" s="48" t="s">
        <v>34</v>
      </c>
      <c r="AN867" s="48">
        <v>0</v>
      </c>
      <c r="AO867" s="48">
        <v>0</v>
      </c>
      <c r="AP867" s="48">
        <v>0</v>
      </c>
      <c r="AQ867" s="48">
        <v>0</v>
      </c>
      <c r="AR867" s="48">
        <v>0</v>
      </c>
      <c r="AS867" s="48">
        <v>0</v>
      </c>
      <c r="AT867" s="48">
        <v>0</v>
      </c>
      <c r="AU867" s="48">
        <v>0</v>
      </c>
      <c r="AV867" s="48">
        <v>0</v>
      </c>
      <c r="AW867" s="48">
        <v>0</v>
      </c>
      <c r="AX867" s="48">
        <v>0</v>
      </c>
      <c r="AY867" s="48">
        <v>0</v>
      </c>
      <c r="AZ867" s="48">
        <v>0</v>
      </c>
      <c r="BA867" s="48">
        <v>0</v>
      </c>
      <c r="BB867" s="48">
        <v>0</v>
      </c>
    </row>
    <row r="868" spans="1:54" x14ac:dyDescent="0.35">
      <c r="A868" s="49">
        <v>45930</v>
      </c>
      <c r="B868" s="48">
        <v>1</v>
      </c>
      <c r="C868" s="50" t="s">
        <v>32</v>
      </c>
      <c r="D868" s="48" t="s">
        <v>31</v>
      </c>
      <c r="E868" s="48" t="s">
        <v>138</v>
      </c>
      <c r="F868" s="48" t="s">
        <v>139</v>
      </c>
      <c r="G868" s="49" t="s">
        <v>63</v>
      </c>
      <c r="H868" s="48" t="s">
        <v>63</v>
      </c>
      <c r="I868" s="48">
        <v>1</v>
      </c>
      <c r="J868" s="48">
        <v>53</v>
      </c>
      <c r="K868" s="48">
        <v>1</v>
      </c>
      <c r="N868" s="48">
        <v>0</v>
      </c>
      <c r="R868" s="49"/>
      <c r="S868" s="181">
        <v>0</v>
      </c>
      <c r="T868" s="49">
        <v>47542</v>
      </c>
      <c r="U868" s="49">
        <v>47542</v>
      </c>
      <c r="V868" s="49">
        <v>47542</v>
      </c>
      <c r="W868" s="49">
        <v>47542</v>
      </c>
      <c r="X868" s="48">
        <v>1</v>
      </c>
      <c r="Y868" s="48">
        <v>1</v>
      </c>
      <c r="Z868" s="48">
        <v>1</v>
      </c>
      <c r="AA868" s="156">
        <v>26803.587027067224</v>
      </c>
      <c r="AF868" s="48">
        <v>0</v>
      </c>
      <c r="AG868" s="49" t="s">
        <v>32</v>
      </c>
      <c r="AH868" s="48">
        <v>1</v>
      </c>
      <c r="AI868" s="48" t="s">
        <v>33</v>
      </c>
      <c r="AJ868" s="48" t="s">
        <v>33</v>
      </c>
      <c r="AK868" s="48" t="s">
        <v>33</v>
      </c>
      <c r="AL868" s="48" t="s">
        <v>34</v>
      </c>
      <c r="AN868" s="48">
        <v>0</v>
      </c>
      <c r="AO868" s="48">
        <v>0</v>
      </c>
      <c r="AP868" s="48">
        <v>0</v>
      </c>
      <c r="AQ868" s="48">
        <v>0</v>
      </c>
      <c r="AR868" s="48">
        <v>0</v>
      </c>
      <c r="AS868" s="48">
        <v>0</v>
      </c>
      <c r="AT868" s="48">
        <v>0</v>
      </c>
      <c r="AU868" s="48">
        <v>0</v>
      </c>
      <c r="AV868" s="48">
        <v>0</v>
      </c>
      <c r="AW868" s="48">
        <v>0</v>
      </c>
      <c r="AX868" s="48">
        <v>0</v>
      </c>
      <c r="AY868" s="48">
        <v>0</v>
      </c>
      <c r="AZ868" s="48">
        <v>0</v>
      </c>
      <c r="BA868" s="48">
        <v>0</v>
      </c>
      <c r="BB868" s="48">
        <v>0</v>
      </c>
    </row>
    <row r="869" spans="1:54" x14ac:dyDescent="0.35">
      <c r="A869" s="49">
        <v>45930</v>
      </c>
      <c r="B869" s="48">
        <v>1</v>
      </c>
      <c r="C869" s="50" t="s">
        <v>32</v>
      </c>
      <c r="D869" s="48" t="s">
        <v>31</v>
      </c>
      <c r="E869" s="48" t="s">
        <v>138</v>
      </c>
      <c r="F869" s="48" t="s">
        <v>139</v>
      </c>
      <c r="G869" s="49" t="s">
        <v>63</v>
      </c>
      <c r="H869" s="48" t="s">
        <v>63</v>
      </c>
      <c r="I869" s="48">
        <v>1</v>
      </c>
      <c r="J869" s="48">
        <v>54</v>
      </c>
      <c r="K869" s="48">
        <v>1</v>
      </c>
      <c r="N869" s="48">
        <v>0</v>
      </c>
      <c r="R869" s="49"/>
      <c r="S869" s="181">
        <v>0</v>
      </c>
      <c r="T869" s="49">
        <v>47573</v>
      </c>
      <c r="U869" s="49">
        <v>47573</v>
      </c>
      <c r="V869" s="49">
        <v>47573</v>
      </c>
      <c r="W869" s="49">
        <v>47573</v>
      </c>
      <c r="X869" s="48">
        <v>1</v>
      </c>
      <c r="Y869" s="48">
        <v>1</v>
      </c>
      <c r="Z869" s="48">
        <v>1</v>
      </c>
      <c r="AA869" s="156">
        <v>26803.587027067224</v>
      </c>
      <c r="AF869" s="48">
        <v>0</v>
      </c>
      <c r="AG869" s="49" t="s">
        <v>32</v>
      </c>
      <c r="AH869" s="48">
        <v>1</v>
      </c>
      <c r="AI869" s="48" t="s">
        <v>33</v>
      </c>
      <c r="AJ869" s="48" t="s">
        <v>33</v>
      </c>
      <c r="AK869" s="48" t="s">
        <v>33</v>
      </c>
      <c r="AL869" s="48" t="s">
        <v>34</v>
      </c>
      <c r="AN869" s="48">
        <v>0</v>
      </c>
      <c r="AO869" s="48">
        <v>0</v>
      </c>
      <c r="AP869" s="48">
        <v>0</v>
      </c>
      <c r="AQ869" s="48">
        <v>0</v>
      </c>
      <c r="AR869" s="48">
        <v>0</v>
      </c>
      <c r="AS869" s="48">
        <v>0</v>
      </c>
      <c r="AT869" s="48">
        <v>0</v>
      </c>
      <c r="AU869" s="48">
        <v>0</v>
      </c>
      <c r="AV869" s="48">
        <v>0</v>
      </c>
      <c r="AW869" s="48">
        <v>0</v>
      </c>
      <c r="AX869" s="48">
        <v>0</v>
      </c>
      <c r="AY869" s="48">
        <v>0</v>
      </c>
      <c r="AZ869" s="48">
        <v>0</v>
      </c>
      <c r="BA869" s="48">
        <v>0</v>
      </c>
      <c r="BB869" s="48">
        <v>0</v>
      </c>
    </row>
    <row r="870" spans="1:54" x14ac:dyDescent="0.35">
      <c r="A870" s="49">
        <v>45930</v>
      </c>
      <c r="B870" s="48">
        <v>1</v>
      </c>
      <c r="C870" s="50" t="s">
        <v>32</v>
      </c>
      <c r="D870" s="48" t="s">
        <v>31</v>
      </c>
      <c r="E870" s="48" t="s">
        <v>138</v>
      </c>
      <c r="F870" s="48" t="s">
        <v>139</v>
      </c>
      <c r="G870" s="49" t="s">
        <v>63</v>
      </c>
      <c r="H870" s="48" t="s">
        <v>63</v>
      </c>
      <c r="I870" s="48">
        <v>1</v>
      </c>
      <c r="J870" s="48">
        <v>55</v>
      </c>
      <c r="K870" s="48">
        <v>1</v>
      </c>
      <c r="N870" s="48">
        <v>0</v>
      </c>
      <c r="R870" s="49"/>
      <c r="S870" s="181">
        <v>0</v>
      </c>
      <c r="T870" s="49">
        <v>47603</v>
      </c>
      <c r="U870" s="49">
        <v>47603</v>
      </c>
      <c r="V870" s="49">
        <v>47603</v>
      </c>
      <c r="W870" s="49">
        <v>47603</v>
      </c>
      <c r="X870" s="48">
        <v>1</v>
      </c>
      <c r="Y870" s="48">
        <v>1</v>
      </c>
      <c r="Z870" s="48">
        <v>1</v>
      </c>
      <c r="AA870" s="156">
        <v>26803.587027067224</v>
      </c>
      <c r="AF870" s="48">
        <v>0</v>
      </c>
      <c r="AG870" s="49" t="s">
        <v>32</v>
      </c>
      <c r="AH870" s="48">
        <v>1</v>
      </c>
      <c r="AI870" s="48" t="s">
        <v>33</v>
      </c>
      <c r="AJ870" s="48" t="s">
        <v>33</v>
      </c>
      <c r="AK870" s="48" t="s">
        <v>33</v>
      </c>
      <c r="AL870" s="48" t="s">
        <v>34</v>
      </c>
      <c r="AN870" s="48">
        <v>0</v>
      </c>
      <c r="AO870" s="48">
        <v>0</v>
      </c>
      <c r="AP870" s="48">
        <v>0</v>
      </c>
      <c r="AQ870" s="48">
        <v>0</v>
      </c>
      <c r="AR870" s="48">
        <v>0</v>
      </c>
      <c r="AS870" s="48">
        <v>0</v>
      </c>
      <c r="AT870" s="48">
        <v>0</v>
      </c>
      <c r="AU870" s="48">
        <v>0</v>
      </c>
      <c r="AV870" s="48">
        <v>0</v>
      </c>
      <c r="AW870" s="48">
        <v>0</v>
      </c>
      <c r="AX870" s="48">
        <v>0</v>
      </c>
      <c r="AY870" s="48">
        <v>0</v>
      </c>
      <c r="AZ870" s="48">
        <v>0</v>
      </c>
      <c r="BA870" s="48">
        <v>0</v>
      </c>
      <c r="BB870" s="48">
        <v>0</v>
      </c>
    </row>
    <row r="871" spans="1:54" x14ac:dyDescent="0.35">
      <c r="A871" s="49">
        <v>45930</v>
      </c>
      <c r="B871" s="48">
        <v>1</v>
      </c>
      <c r="C871" s="50" t="s">
        <v>32</v>
      </c>
      <c r="D871" s="48" t="s">
        <v>31</v>
      </c>
      <c r="E871" s="48" t="s">
        <v>138</v>
      </c>
      <c r="F871" s="48" t="s">
        <v>139</v>
      </c>
      <c r="G871" s="49" t="s">
        <v>63</v>
      </c>
      <c r="H871" s="48" t="s">
        <v>63</v>
      </c>
      <c r="I871" s="48">
        <v>1</v>
      </c>
      <c r="J871" s="48">
        <v>56</v>
      </c>
      <c r="K871" s="48">
        <v>1</v>
      </c>
      <c r="N871" s="48">
        <v>0</v>
      </c>
      <c r="R871" s="49"/>
      <c r="S871" s="181">
        <v>0</v>
      </c>
      <c r="T871" s="49">
        <v>47634</v>
      </c>
      <c r="U871" s="49">
        <v>47634</v>
      </c>
      <c r="V871" s="49">
        <v>47634</v>
      </c>
      <c r="W871" s="49">
        <v>47634</v>
      </c>
      <c r="X871" s="48">
        <v>1</v>
      </c>
      <c r="Y871" s="48">
        <v>1</v>
      </c>
      <c r="Z871" s="48">
        <v>1</v>
      </c>
      <c r="AA871" s="156">
        <v>26803.587027067224</v>
      </c>
      <c r="AF871" s="48">
        <v>0</v>
      </c>
      <c r="AG871" s="49" t="s">
        <v>32</v>
      </c>
      <c r="AH871" s="48">
        <v>1</v>
      </c>
      <c r="AI871" s="48" t="s">
        <v>33</v>
      </c>
      <c r="AJ871" s="48" t="s">
        <v>33</v>
      </c>
      <c r="AK871" s="48" t="s">
        <v>33</v>
      </c>
      <c r="AL871" s="48" t="s">
        <v>34</v>
      </c>
      <c r="AN871" s="48">
        <v>0</v>
      </c>
      <c r="AO871" s="48">
        <v>0</v>
      </c>
      <c r="AP871" s="48">
        <v>0</v>
      </c>
      <c r="AQ871" s="48">
        <v>0</v>
      </c>
      <c r="AR871" s="48">
        <v>0</v>
      </c>
      <c r="AS871" s="48">
        <v>0</v>
      </c>
      <c r="AT871" s="48">
        <v>0</v>
      </c>
      <c r="AU871" s="48">
        <v>0</v>
      </c>
      <c r="AV871" s="48">
        <v>0</v>
      </c>
      <c r="AW871" s="48">
        <v>0</v>
      </c>
      <c r="AX871" s="48">
        <v>0</v>
      </c>
      <c r="AY871" s="48">
        <v>0</v>
      </c>
      <c r="AZ871" s="48">
        <v>0</v>
      </c>
      <c r="BA871" s="48">
        <v>0</v>
      </c>
      <c r="BB871" s="48">
        <v>0</v>
      </c>
    </row>
    <row r="872" spans="1:54" x14ac:dyDescent="0.35">
      <c r="A872" s="49">
        <v>45930</v>
      </c>
      <c r="B872" s="48">
        <v>1</v>
      </c>
      <c r="C872" s="50" t="s">
        <v>32</v>
      </c>
      <c r="D872" s="48" t="s">
        <v>31</v>
      </c>
      <c r="E872" s="48" t="s">
        <v>138</v>
      </c>
      <c r="F872" s="48" t="s">
        <v>139</v>
      </c>
      <c r="G872" s="49" t="s">
        <v>63</v>
      </c>
      <c r="H872" s="48" t="s">
        <v>63</v>
      </c>
      <c r="I872" s="48">
        <v>1</v>
      </c>
      <c r="J872" s="48">
        <v>57</v>
      </c>
      <c r="K872" s="48">
        <v>1</v>
      </c>
      <c r="N872" s="48">
        <v>0</v>
      </c>
      <c r="R872" s="49"/>
      <c r="S872" s="181">
        <v>0</v>
      </c>
      <c r="T872" s="49">
        <v>47664</v>
      </c>
      <c r="U872" s="49">
        <v>47664</v>
      </c>
      <c r="V872" s="49">
        <v>47664</v>
      </c>
      <c r="W872" s="49">
        <v>47664</v>
      </c>
      <c r="X872" s="48">
        <v>1</v>
      </c>
      <c r="Y872" s="48">
        <v>1</v>
      </c>
      <c r="Z872" s="48">
        <v>1</v>
      </c>
      <c r="AA872" s="156">
        <v>26803.587027067224</v>
      </c>
      <c r="AF872" s="48">
        <v>0</v>
      </c>
      <c r="AG872" s="49" t="s">
        <v>32</v>
      </c>
      <c r="AH872" s="48">
        <v>1</v>
      </c>
      <c r="AI872" s="48" t="s">
        <v>33</v>
      </c>
      <c r="AJ872" s="48" t="s">
        <v>33</v>
      </c>
      <c r="AK872" s="48" t="s">
        <v>33</v>
      </c>
      <c r="AL872" s="48" t="s">
        <v>34</v>
      </c>
      <c r="AN872" s="48">
        <v>0</v>
      </c>
      <c r="AO872" s="48">
        <v>0</v>
      </c>
      <c r="AP872" s="48">
        <v>0</v>
      </c>
      <c r="AQ872" s="48">
        <v>0</v>
      </c>
      <c r="AR872" s="48">
        <v>0</v>
      </c>
      <c r="AS872" s="48">
        <v>0</v>
      </c>
      <c r="AT872" s="48">
        <v>0</v>
      </c>
      <c r="AU872" s="48">
        <v>0</v>
      </c>
      <c r="AV872" s="48">
        <v>0</v>
      </c>
      <c r="AW872" s="48">
        <v>0</v>
      </c>
      <c r="AX872" s="48">
        <v>0</v>
      </c>
      <c r="AY872" s="48">
        <v>0</v>
      </c>
      <c r="AZ872" s="48">
        <v>0</v>
      </c>
      <c r="BA872" s="48">
        <v>0</v>
      </c>
      <c r="BB872" s="48">
        <v>0</v>
      </c>
    </row>
    <row r="873" spans="1:54" x14ac:dyDescent="0.35">
      <c r="A873" s="49">
        <v>45930</v>
      </c>
      <c r="B873" s="48">
        <v>1</v>
      </c>
      <c r="C873" s="50" t="s">
        <v>32</v>
      </c>
      <c r="D873" s="48" t="s">
        <v>31</v>
      </c>
      <c r="E873" s="48" t="s">
        <v>138</v>
      </c>
      <c r="F873" s="48" t="s">
        <v>139</v>
      </c>
      <c r="G873" s="49" t="s">
        <v>63</v>
      </c>
      <c r="H873" s="48" t="s">
        <v>63</v>
      </c>
      <c r="I873" s="48">
        <v>1</v>
      </c>
      <c r="J873" s="48">
        <v>58</v>
      </c>
      <c r="K873" s="48">
        <v>1</v>
      </c>
      <c r="N873" s="48">
        <v>0</v>
      </c>
      <c r="R873" s="49"/>
      <c r="S873" s="181">
        <v>0</v>
      </c>
      <c r="T873" s="49">
        <v>47695</v>
      </c>
      <c r="U873" s="49">
        <v>47695</v>
      </c>
      <c r="V873" s="49">
        <v>47695</v>
      </c>
      <c r="W873" s="49">
        <v>47695</v>
      </c>
      <c r="X873" s="48">
        <v>1</v>
      </c>
      <c r="Y873" s="48">
        <v>1</v>
      </c>
      <c r="Z873" s="48">
        <v>1</v>
      </c>
      <c r="AA873" s="156">
        <v>26803.587027067224</v>
      </c>
      <c r="AF873" s="48">
        <v>0</v>
      </c>
      <c r="AG873" s="49" t="s">
        <v>32</v>
      </c>
      <c r="AH873" s="48">
        <v>1</v>
      </c>
      <c r="AI873" s="48" t="s">
        <v>33</v>
      </c>
      <c r="AJ873" s="48" t="s">
        <v>33</v>
      </c>
      <c r="AK873" s="48" t="s">
        <v>33</v>
      </c>
      <c r="AL873" s="48" t="s">
        <v>34</v>
      </c>
      <c r="AN873" s="48">
        <v>0</v>
      </c>
      <c r="AO873" s="48">
        <v>0</v>
      </c>
      <c r="AP873" s="48">
        <v>0</v>
      </c>
      <c r="AQ873" s="48">
        <v>0</v>
      </c>
      <c r="AR873" s="48">
        <v>0</v>
      </c>
      <c r="AS873" s="48">
        <v>0</v>
      </c>
      <c r="AT873" s="48">
        <v>0</v>
      </c>
      <c r="AU873" s="48">
        <v>0</v>
      </c>
      <c r="AV873" s="48">
        <v>0</v>
      </c>
      <c r="AW873" s="48">
        <v>0</v>
      </c>
      <c r="AX873" s="48">
        <v>0</v>
      </c>
      <c r="AY873" s="48">
        <v>0</v>
      </c>
      <c r="AZ873" s="48">
        <v>0</v>
      </c>
      <c r="BA873" s="48">
        <v>0</v>
      </c>
      <c r="BB873" s="48">
        <v>0</v>
      </c>
    </row>
    <row r="874" spans="1:54" x14ac:dyDescent="0.35">
      <c r="A874" s="49">
        <v>45930</v>
      </c>
      <c r="B874" s="48">
        <v>1</v>
      </c>
      <c r="C874" s="50" t="s">
        <v>32</v>
      </c>
      <c r="D874" s="48" t="s">
        <v>31</v>
      </c>
      <c r="E874" s="48" t="s">
        <v>138</v>
      </c>
      <c r="F874" s="48" t="s">
        <v>139</v>
      </c>
      <c r="G874" s="49" t="s">
        <v>63</v>
      </c>
      <c r="H874" s="48" t="s">
        <v>63</v>
      </c>
      <c r="I874" s="48">
        <v>1</v>
      </c>
      <c r="J874" s="48">
        <v>59</v>
      </c>
      <c r="K874" s="48">
        <v>1</v>
      </c>
      <c r="N874" s="48">
        <v>0</v>
      </c>
      <c r="R874" s="49"/>
      <c r="S874" s="181">
        <v>0</v>
      </c>
      <c r="T874" s="49">
        <v>47726</v>
      </c>
      <c r="U874" s="49">
        <v>47726</v>
      </c>
      <c r="V874" s="49">
        <v>47726</v>
      </c>
      <c r="W874" s="49">
        <v>47726</v>
      </c>
      <c r="X874" s="48">
        <v>1</v>
      </c>
      <c r="Y874" s="48">
        <v>1</v>
      </c>
      <c r="Z874" s="48">
        <v>1</v>
      </c>
      <c r="AA874" s="156">
        <v>26803.587027067224</v>
      </c>
      <c r="AF874" s="48">
        <v>0</v>
      </c>
      <c r="AG874" s="49" t="s">
        <v>32</v>
      </c>
      <c r="AH874" s="48">
        <v>1</v>
      </c>
      <c r="AI874" s="48" t="s">
        <v>33</v>
      </c>
      <c r="AJ874" s="48" t="s">
        <v>33</v>
      </c>
      <c r="AK874" s="48" t="s">
        <v>33</v>
      </c>
      <c r="AL874" s="48" t="s">
        <v>34</v>
      </c>
      <c r="AN874" s="48">
        <v>0</v>
      </c>
      <c r="AO874" s="48">
        <v>0</v>
      </c>
      <c r="AP874" s="48">
        <v>0</v>
      </c>
      <c r="AQ874" s="48">
        <v>0</v>
      </c>
      <c r="AR874" s="48">
        <v>0</v>
      </c>
      <c r="AS874" s="48">
        <v>0</v>
      </c>
      <c r="AT874" s="48">
        <v>0</v>
      </c>
      <c r="AU874" s="48">
        <v>0</v>
      </c>
      <c r="AV874" s="48">
        <v>0</v>
      </c>
      <c r="AW874" s="48">
        <v>0</v>
      </c>
      <c r="AX874" s="48">
        <v>0</v>
      </c>
      <c r="AY874" s="48">
        <v>0</v>
      </c>
      <c r="AZ874" s="48">
        <v>0</v>
      </c>
      <c r="BA874" s="48">
        <v>0</v>
      </c>
      <c r="BB874" s="48">
        <v>0</v>
      </c>
    </row>
    <row r="875" spans="1:54" x14ac:dyDescent="0.35">
      <c r="A875" s="49">
        <v>45930</v>
      </c>
      <c r="B875" s="48">
        <v>1</v>
      </c>
      <c r="C875" s="50" t="s">
        <v>32</v>
      </c>
      <c r="D875" s="48" t="s">
        <v>31</v>
      </c>
      <c r="E875" s="48" t="s">
        <v>138</v>
      </c>
      <c r="F875" s="48" t="s">
        <v>139</v>
      </c>
      <c r="G875" s="49" t="s">
        <v>63</v>
      </c>
      <c r="H875" s="48" t="s">
        <v>63</v>
      </c>
      <c r="I875" s="48">
        <v>1</v>
      </c>
      <c r="J875" s="48">
        <v>60</v>
      </c>
      <c r="K875" s="48">
        <v>1</v>
      </c>
      <c r="N875" s="48">
        <v>0</v>
      </c>
      <c r="R875" s="49"/>
      <c r="S875" s="181">
        <v>0</v>
      </c>
      <c r="T875" s="49">
        <v>47756</v>
      </c>
      <c r="U875" s="49">
        <v>47756</v>
      </c>
      <c r="V875" s="49">
        <v>47756</v>
      </c>
      <c r="W875" s="49">
        <v>47756</v>
      </c>
      <c r="X875" s="48">
        <v>1</v>
      </c>
      <c r="Y875" s="48">
        <v>1</v>
      </c>
      <c r="Z875" s="48">
        <v>1</v>
      </c>
      <c r="AA875" s="156">
        <v>1918655.8293292758</v>
      </c>
      <c r="AF875" s="48">
        <v>0</v>
      </c>
      <c r="AG875" s="49" t="s">
        <v>32</v>
      </c>
      <c r="AH875" s="48">
        <v>1</v>
      </c>
      <c r="AI875" s="48" t="s">
        <v>33</v>
      </c>
      <c r="AJ875" s="48" t="s">
        <v>33</v>
      </c>
      <c r="AK875" s="48" t="s">
        <v>33</v>
      </c>
      <c r="AL875" s="48" t="s">
        <v>34</v>
      </c>
      <c r="AN875" s="48">
        <v>0</v>
      </c>
      <c r="AO875" s="48">
        <v>0</v>
      </c>
      <c r="AP875" s="48">
        <v>0</v>
      </c>
      <c r="AQ875" s="48">
        <v>0</v>
      </c>
      <c r="AR875" s="48">
        <v>0</v>
      </c>
      <c r="AS875" s="48">
        <v>0</v>
      </c>
      <c r="AT875" s="48">
        <v>0</v>
      </c>
      <c r="AU875" s="48">
        <v>0</v>
      </c>
      <c r="AV875" s="48">
        <v>0</v>
      </c>
      <c r="AW875" s="48">
        <v>0</v>
      </c>
      <c r="AX875" s="48">
        <v>0</v>
      </c>
      <c r="AY875" s="48">
        <v>0</v>
      </c>
      <c r="AZ875" s="48">
        <v>0</v>
      </c>
      <c r="BA875" s="48">
        <v>0</v>
      </c>
      <c r="BB875" s="48">
        <v>0</v>
      </c>
    </row>
    <row r="876" spans="1:54" x14ac:dyDescent="0.35">
      <c r="A876" s="49">
        <v>45930</v>
      </c>
      <c r="B876" s="48">
        <v>1</v>
      </c>
      <c r="C876" s="50" t="s">
        <v>32</v>
      </c>
      <c r="D876" s="48" t="s">
        <v>31</v>
      </c>
      <c r="E876" s="48" t="s">
        <v>138</v>
      </c>
      <c r="F876" s="48" t="s">
        <v>139</v>
      </c>
      <c r="G876" s="49" t="s">
        <v>63</v>
      </c>
      <c r="H876" s="48" t="s">
        <v>63</v>
      </c>
      <c r="I876" s="48">
        <v>1</v>
      </c>
      <c r="J876" s="48">
        <v>61</v>
      </c>
      <c r="K876" s="48">
        <v>1</v>
      </c>
      <c r="N876" s="48">
        <v>0</v>
      </c>
      <c r="R876" s="49"/>
      <c r="S876" s="181">
        <v>0</v>
      </c>
      <c r="T876" s="49">
        <v>47787</v>
      </c>
      <c r="U876" s="49">
        <v>47787</v>
      </c>
      <c r="V876" s="49">
        <v>47787</v>
      </c>
      <c r="W876" s="49">
        <v>47787</v>
      </c>
      <c r="X876" s="48">
        <v>1</v>
      </c>
      <c r="Y876" s="48">
        <v>1</v>
      </c>
      <c r="Z876" s="48">
        <v>1</v>
      </c>
      <c r="AA876" s="156">
        <v>0</v>
      </c>
      <c r="AF876" s="48">
        <v>0</v>
      </c>
      <c r="AG876" s="49" t="s">
        <v>32</v>
      </c>
      <c r="AH876" s="48">
        <v>1</v>
      </c>
      <c r="AI876" s="48" t="s">
        <v>33</v>
      </c>
      <c r="AJ876" s="48" t="s">
        <v>33</v>
      </c>
      <c r="AK876" s="48" t="s">
        <v>33</v>
      </c>
      <c r="AL876" s="48" t="s">
        <v>34</v>
      </c>
      <c r="AN876" s="48">
        <v>0</v>
      </c>
      <c r="AO876" s="48">
        <v>0</v>
      </c>
      <c r="AP876" s="48">
        <v>0</v>
      </c>
      <c r="AQ876" s="48">
        <v>0</v>
      </c>
      <c r="AR876" s="48">
        <v>0</v>
      </c>
      <c r="AS876" s="48">
        <v>0</v>
      </c>
      <c r="AT876" s="48">
        <v>0</v>
      </c>
      <c r="AU876" s="48">
        <v>0</v>
      </c>
      <c r="AV876" s="48">
        <v>0</v>
      </c>
      <c r="AW876" s="48">
        <v>0</v>
      </c>
      <c r="AX876" s="48">
        <v>0</v>
      </c>
      <c r="AY876" s="48">
        <v>0</v>
      </c>
      <c r="AZ876" s="48">
        <v>0</v>
      </c>
      <c r="BA876" s="48">
        <v>0</v>
      </c>
      <c r="BB876" s="48">
        <v>0</v>
      </c>
    </row>
    <row r="877" spans="1:54" x14ac:dyDescent="0.35">
      <c r="A877" s="49">
        <v>45930</v>
      </c>
      <c r="B877" s="48">
        <v>1</v>
      </c>
      <c r="C877" s="50" t="s">
        <v>32</v>
      </c>
      <c r="D877" s="48" t="s">
        <v>31</v>
      </c>
      <c r="E877" s="48" t="s">
        <v>138</v>
      </c>
      <c r="F877" s="48" t="s">
        <v>139</v>
      </c>
      <c r="G877" s="49" t="s">
        <v>63</v>
      </c>
      <c r="H877" s="48" t="s">
        <v>63</v>
      </c>
      <c r="I877" s="48">
        <v>1</v>
      </c>
      <c r="J877" s="48">
        <v>62</v>
      </c>
      <c r="K877" s="48">
        <v>1</v>
      </c>
      <c r="N877" s="48">
        <v>0</v>
      </c>
      <c r="R877" s="49"/>
      <c r="S877" s="181">
        <v>0</v>
      </c>
      <c r="T877" s="49">
        <v>47817</v>
      </c>
      <c r="U877" s="49">
        <v>47817</v>
      </c>
      <c r="V877" s="49">
        <v>47817</v>
      </c>
      <c r="W877" s="49">
        <v>47817</v>
      </c>
      <c r="X877" s="48">
        <v>1</v>
      </c>
      <c r="Y877" s="48">
        <v>1</v>
      </c>
      <c r="Z877" s="48">
        <v>1</v>
      </c>
      <c r="AA877" s="156">
        <v>0</v>
      </c>
      <c r="AF877" s="48">
        <v>0</v>
      </c>
      <c r="AG877" s="49" t="s">
        <v>32</v>
      </c>
      <c r="AH877" s="48">
        <v>1</v>
      </c>
      <c r="AI877" s="48" t="s">
        <v>33</v>
      </c>
      <c r="AJ877" s="48" t="s">
        <v>33</v>
      </c>
      <c r="AK877" s="48" t="s">
        <v>33</v>
      </c>
      <c r="AL877" s="48" t="s">
        <v>34</v>
      </c>
      <c r="AN877" s="48">
        <v>0</v>
      </c>
      <c r="AO877" s="48">
        <v>0</v>
      </c>
      <c r="AP877" s="48">
        <v>0</v>
      </c>
      <c r="AQ877" s="48">
        <v>0</v>
      </c>
      <c r="AR877" s="48">
        <v>0</v>
      </c>
      <c r="AS877" s="48">
        <v>0</v>
      </c>
      <c r="AT877" s="48">
        <v>0</v>
      </c>
      <c r="AU877" s="48">
        <v>0</v>
      </c>
      <c r="AV877" s="48">
        <v>0</v>
      </c>
      <c r="AW877" s="48">
        <v>0</v>
      </c>
      <c r="AX877" s="48">
        <v>0</v>
      </c>
      <c r="AY877" s="48">
        <v>0</v>
      </c>
      <c r="AZ877" s="48">
        <v>0</v>
      </c>
      <c r="BA877" s="48">
        <v>0</v>
      </c>
      <c r="BB877" s="48">
        <v>0</v>
      </c>
    </row>
    <row r="878" spans="1:54" x14ac:dyDescent="0.35">
      <c r="A878" s="49">
        <v>45930</v>
      </c>
      <c r="B878" s="48">
        <v>1</v>
      </c>
      <c r="C878" s="50" t="s">
        <v>32</v>
      </c>
      <c r="D878" s="48" t="s">
        <v>31</v>
      </c>
      <c r="E878" s="48" t="s">
        <v>138</v>
      </c>
      <c r="F878" s="48" t="s">
        <v>139</v>
      </c>
      <c r="G878" s="49" t="s">
        <v>63</v>
      </c>
      <c r="H878" s="48" t="s">
        <v>63</v>
      </c>
      <c r="I878" s="48">
        <v>1</v>
      </c>
      <c r="J878" s="48">
        <v>63</v>
      </c>
      <c r="K878" s="48">
        <v>1</v>
      </c>
      <c r="N878" s="48">
        <v>0</v>
      </c>
      <c r="R878" s="49"/>
      <c r="S878" s="181">
        <v>0</v>
      </c>
      <c r="T878" s="49">
        <v>47848</v>
      </c>
      <c r="U878" s="49">
        <v>47848</v>
      </c>
      <c r="V878" s="49">
        <v>47848</v>
      </c>
      <c r="W878" s="49">
        <v>47848</v>
      </c>
      <c r="X878" s="48">
        <v>1</v>
      </c>
      <c r="Y878" s="48">
        <v>1</v>
      </c>
      <c r="Z878" s="48">
        <v>1</v>
      </c>
      <c r="AA878" s="156">
        <v>0</v>
      </c>
      <c r="AF878" s="48">
        <v>0</v>
      </c>
      <c r="AG878" s="49" t="s">
        <v>32</v>
      </c>
      <c r="AH878" s="48">
        <v>1</v>
      </c>
      <c r="AI878" s="48" t="s">
        <v>33</v>
      </c>
      <c r="AJ878" s="48" t="s">
        <v>33</v>
      </c>
      <c r="AK878" s="48" t="s">
        <v>33</v>
      </c>
      <c r="AL878" s="48" t="s">
        <v>34</v>
      </c>
      <c r="AN878" s="48">
        <v>0</v>
      </c>
      <c r="AO878" s="48">
        <v>0</v>
      </c>
      <c r="AP878" s="48">
        <v>0</v>
      </c>
      <c r="AQ878" s="48">
        <v>0</v>
      </c>
      <c r="AR878" s="48">
        <v>0</v>
      </c>
      <c r="AS878" s="48">
        <v>0</v>
      </c>
      <c r="AT878" s="48">
        <v>0</v>
      </c>
      <c r="AU878" s="48">
        <v>0</v>
      </c>
      <c r="AV878" s="48">
        <v>0</v>
      </c>
      <c r="AW878" s="48">
        <v>0</v>
      </c>
      <c r="AX878" s="48">
        <v>0</v>
      </c>
      <c r="AY878" s="48">
        <v>0</v>
      </c>
      <c r="AZ878" s="48">
        <v>0</v>
      </c>
      <c r="BA878" s="48">
        <v>0</v>
      </c>
      <c r="BB878" s="48">
        <v>0</v>
      </c>
    </row>
    <row r="879" spans="1:54" x14ac:dyDescent="0.35">
      <c r="A879" s="49">
        <v>45930</v>
      </c>
      <c r="B879" s="48">
        <v>1</v>
      </c>
      <c r="C879" s="50" t="s">
        <v>32</v>
      </c>
      <c r="D879" s="48" t="s">
        <v>31</v>
      </c>
      <c r="E879" s="48" t="s">
        <v>138</v>
      </c>
      <c r="F879" s="48" t="s">
        <v>139</v>
      </c>
      <c r="G879" s="49" t="s">
        <v>63</v>
      </c>
      <c r="H879" s="48" t="s">
        <v>63</v>
      </c>
      <c r="I879" s="48">
        <v>1</v>
      </c>
      <c r="J879" s="48">
        <v>64</v>
      </c>
      <c r="K879" s="48">
        <v>1</v>
      </c>
      <c r="N879" s="48">
        <v>0</v>
      </c>
      <c r="R879" s="49"/>
      <c r="S879" s="181">
        <v>0</v>
      </c>
      <c r="T879" s="49">
        <v>47879</v>
      </c>
      <c r="U879" s="49">
        <v>47879</v>
      </c>
      <c r="V879" s="49">
        <v>47879</v>
      </c>
      <c r="W879" s="49">
        <v>47879</v>
      </c>
      <c r="X879" s="48">
        <v>1</v>
      </c>
      <c r="Y879" s="48">
        <v>1</v>
      </c>
      <c r="Z879" s="48">
        <v>1</v>
      </c>
      <c r="AA879" s="156">
        <v>0</v>
      </c>
      <c r="AF879" s="48">
        <v>0</v>
      </c>
      <c r="AG879" s="49" t="s">
        <v>32</v>
      </c>
      <c r="AH879" s="48">
        <v>1</v>
      </c>
      <c r="AI879" s="48" t="s">
        <v>33</v>
      </c>
      <c r="AJ879" s="48" t="s">
        <v>33</v>
      </c>
      <c r="AK879" s="48" t="s">
        <v>33</v>
      </c>
      <c r="AL879" s="48" t="s">
        <v>34</v>
      </c>
      <c r="AN879" s="48">
        <v>0</v>
      </c>
      <c r="AO879" s="48">
        <v>0</v>
      </c>
      <c r="AP879" s="48">
        <v>0</v>
      </c>
      <c r="AQ879" s="48">
        <v>0</v>
      </c>
      <c r="AR879" s="48">
        <v>0</v>
      </c>
      <c r="AS879" s="48">
        <v>0</v>
      </c>
      <c r="AT879" s="48">
        <v>0</v>
      </c>
      <c r="AU879" s="48">
        <v>0</v>
      </c>
      <c r="AV879" s="48">
        <v>0</v>
      </c>
      <c r="AW879" s="48">
        <v>0</v>
      </c>
      <c r="AX879" s="48">
        <v>0</v>
      </c>
      <c r="AY879" s="48">
        <v>0</v>
      </c>
      <c r="AZ879" s="48">
        <v>0</v>
      </c>
      <c r="BA879" s="48">
        <v>0</v>
      </c>
      <c r="BB879" s="48">
        <v>0</v>
      </c>
    </row>
    <row r="880" spans="1:54" x14ac:dyDescent="0.35">
      <c r="A880" s="49">
        <v>45930</v>
      </c>
      <c r="B880" s="48">
        <v>1</v>
      </c>
      <c r="C880" s="50" t="s">
        <v>32</v>
      </c>
      <c r="D880" s="48" t="s">
        <v>31</v>
      </c>
      <c r="E880" s="48" t="s">
        <v>138</v>
      </c>
      <c r="F880" s="48" t="s">
        <v>139</v>
      </c>
      <c r="G880" s="49" t="s">
        <v>63</v>
      </c>
      <c r="H880" s="48" t="s">
        <v>63</v>
      </c>
      <c r="I880" s="48">
        <v>1</v>
      </c>
      <c r="J880" s="48">
        <v>65</v>
      </c>
      <c r="K880" s="48">
        <v>1</v>
      </c>
      <c r="N880" s="48">
        <v>0</v>
      </c>
      <c r="R880" s="49"/>
      <c r="S880" s="181">
        <v>0</v>
      </c>
      <c r="T880" s="49">
        <v>47907</v>
      </c>
      <c r="U880" s="49">
        <v>47907</v>
      </c>
      <c r="V880" s="49">
        <v>47907</v>
      </c>
      <c r="W880" s="49">
        <v>47907</v>
      </c>
      <c r="X880" s="48">
        <v>1</v>
      </c>
      <c r="Y880" s="48">
        <v>1</v>
      </c>
      <c r="Z880" s="48">
        <v>1</v>
      </c>
      <c r="AA880" s="156">
        <v>0</v>
      </c>
      <c r="AF880" s="48">
        <v>0</v>
      </c>
      <c r="AG880" s="49" t="s">
        <v>32</v>
      </c>
      <c r="AH880" s="48">
        <v>1</v>
      </c>
      <c r="AI880" s="48" t="s">
        <v>33</v>
      </c>
      <c r="AJ880" s="48" t="s">
        <v>33</v>
      </c>
      <c r="AK880" s="48" t="s">
        <v>33</v>
      </c>
      <c r="AL880" s="48" t="s">
        <v>34</v>
      </c>
      <c r="AN880" s="48">
        <v>0</v>
      </c>
      <c r="AO880" s="48">
        <v>0</v>
      </c>
      <c r="AP880" s="48">
        <v>0</v>
      </c>
      <c r="AQ880" s="48">
        <v>0</v>
      </c>
      <c r="AR880" s="48">
        <v>0</v>
      </c>
      <c r="AS880" s="48">
        <v>0</v>
      </c>
      <c r="AT880" s="48">
        <v>0</v>
      </c>
      <c r="AU880" s="48">
        <v>0</v>
      </c>
      <c r="AV880" s="48">
        <v>0</v>
      </c>
      <c r="AW880" s="48">
        <v>0</v>
      </c>
      <c r="AX880" s="48">
        <v>0</v>
      </c>
      <c r="AY880" s="48">
        <v>0</v>
      </c>
      <c r="AZ880" s="48">
        <v>0</v>
      </c>
      <c r="BA880" s="48">
        <v>0</v>
      </c>
      <c r="BB880" s="48">
        <v>0</v>
      </c>
    </row>
    <row r="881" spans="1:54" x14ac:dyDescent="0.35">
      <c r="A881" s="49">
        <v>45930</v>
      </c>
      <c r="B881" s="48">
        <v>1</v>
      </c>
      <c r="C881" s="50" t="s">
        <v>32</v>
      </c>
      <c r="D881" s="48" t="s">
        <v>31</v>
      </c>
      <c r="E881" s="48" t="s">
        <v>138</v>
      </c>
      <c r="F881" s="48" t="s">
        <v>139</v>
      </c>
      <c r="G881" s="49" t="s">
        <v>63</v>
      </c>
      <c r="H881" s="48" t="s">
        <v>63</v>
      </c>
      <c r="I881" s="48">
        <v>1</v>
      </c>
      <c r="J881" s="48">
        <v>66</v>
      </c>
      <c r="K881" s="48">
        <v>1</v>
      </c>
      <c r="N881" s="48">
        <v>0</v>
      </c>
      <c r="R881" s="49"/>
      <c r="S881" s="181">
        <v>0</v>
      </c>
      <c r="T881" s="49">
        <v>47938</v>
      </c>
      <c r="U881" s="49">
        <v>47938</v>
      </c>
      <c r="V881" s="49">
        <v>47938</v>
      </c>
      <c r="W881" s="49">
        <v>47938</v>
      </c>
      <c r="X881" s="48">
        <v>1</v>
      </c>
      <c r="Y881" s="48">
        <v>1</v>
      </c>
      <c r="Z881" s="48">
        <v>1</v>
      </c>
      <c r="AA881" s="156">
        <v>0</v>
      </c>
      <c r="AF881" s="48">
        <v>0</v>
      </c>
      <c r="AG881" s="49" t="s">
        <v>32</v>
      </c>
      <c r="AH881" s="48">
        <v>1</v>
      </c>
      <c r="AI881" s="48" t="s">
        <v>33</v>
      </c>
      <c r="AJ881" s="48" t="s">
        <v>33</v>
      </c>
      <c r="AK881" s="48" t="s">
        <v>33</v>
      </c>
      <c r="AL881" s="48" t="s">
        <v>34</v>
      </c>
      <c r="AN881" s="48">
        <v>0</v>
      </c>
      <c r="AO881" s="48">
        <v>0</v>
      </c>
      <c r="AP881" s="48">
        <v>0</v>
      </c>
      <c r="AQ881" s="48">
        <v>0</v>
      </c>
      <c r="AR881" s="48">
        <v>0</v>
      </c>
      <c r="AS881" s="48">
        <v>0</v>
      </c>
      <c r="AT881" s="48">
        <v>0</v>
      </c>
      <c r="AU881" s="48">
        <v>0</v>
      </c>
      <c r="AV881" s="48">
        <v>0</v>
      </c>
      <c r="AW881" s="48">
        <v>0</v>
      </c>
      <c r="AX881" s="48">
        <v>0</v>
      </c>
      <c r="AY881" s="48">
        <v>0</v>
      </c>
      <c r="AZ881" s="48">
        <v>0</v>
      </c>
      <c r="BA881" s="48">
        <v>0</v>
      </c>
      <c r="BB881" s="48">
        <v>0</v>
      </c>
    </row>
    <row r="882" spans="1:54" x14ac:dyDescent="0.35">
      <c r="A882" s="49">
        <v>45930</v>
      </c>
      <c r="B882" s="48">
        <v>1</v>
      </c>
      <c r="C882" s="50" t="s">
        <v>32</v>
      </c>
      <c r="D882" s="48" t="s">
        <v>31</v>
      </c>
      <c r="E882" s="48" t="s">
        <v>138</v>
      </c>
      <c r="F882" s="48" t="s">
        <v>139</v>
      </c>
      <c r="G882" s="49" t="s">
        <v>63</v>
      </c>
      <c r="H882" s="48" t="s">
        <v>63</v>
      </c>
      <c r="I882" s="48">
        <v>1</v>
      </c>
      <c r="J882" s="48">
        <v>67</v>
      </c>
      <c r="K882" s="48">
        <v>1</v>
      </c>
      <c r="N882" s="48">
        <v>0</v>
      </c>
      <c r="R882" s="49"/>
      <c r="S882" s="181">
        <v>0</v>
      </c>
      <c r="T882" s="49">
        <v>47968</v>
      </c>
      <c r="U882" s="49">
        <v>47968</v>
      </c>
      <c r="V882" s="49">
        <v>47968</v>
      </c>
      <c r="W882" s="49">
        <v>47968</v>
      </c>
      <c r="X882" s="48">
        <v>1</v>
      </c>
      <c r="Y882" s="48">
        <v>1</v>
      </c>
      <c r="Z882" s="48">
        <v>1</v>
      </c>
      <c r="AA882" s="156">
        <v>0</v>
      </c>
      <c r="AF882" s="48">
        <v>0</v>
      </c>
      <c r="AG882" s="49" t="s">
        <v>32</v>
      </c>
      <c r="AH882" s="48">
        <v>1</v>
      </c>
      <c r="AI882" s="48" t="s">
        <v>33</v>
      </c>
      <c r="AJ882" s="48" t="s">
        <v>33</v>
      </c>
      <c r="AK882" s="48" t="s">
        <v>33</v>
      </c>
      <c r="AL882" s="48" t="s">
        <v>34</v>
      </c>
      <c r="AN882" s="48">
        <v>0</v>
      </c>
      <c r="AO882" s="48">
        <v>0</v>
      </c>
      <c r="AP882" s="48">
        <v>0</v>
      </c>
      <c r="AQ882" s="48">
        <v>0</v>
      </c>
      <c r="AR882" s="48">
        <v>0</v>
      </c>
      <c r="AS882" s="48">
        <v>0</v>
      </c>
      <c r="AT882" s="48">
        <v>0</v>
      </c>
      <c r="AU882" s="48">
        <v>0</v>
      </c>
      <c r="AV882" s="48">
        <v>0</v>
      </c>
      <c r="AW882" s="48">
        <v>0</v>
      </c>
      <c r="AX882" s="48">
        <v>0</v>
      </c>
      <c r="AY882" s="48">
        <v>0</v>
      </c>
      <c r="AZ882" s="48">
        <v>0</v>
      </c>
      <c r="BA882" s="48">
        <v>0</v>
      </c>
      <c r="BB882" s="48">
        <v>0</v>
      </c>
    </row>
    <row r="883" spans="1:54" x14ac:dyDescent="0.35">
      <c r="A883" s="49">
        <v>45930</v>
      </c>
      <c r="B883" s="48">
        <v>1</v>
      </c>
      <c r="C883" s="50" t="s">
        <v>32</v>
      </c>
      <c r="D883" s="48" t="s">
        <v>31</v>
      </c>
      <c r="E883" s="48" t="s">
        <v>138</v>
      </c>
      <c r="F883" s="48" t="s">
        <v>139</v>
      </c>
      <c r="G883" s="49" t="s">
        <v>63</v>
      </c>
      <c r="H883" s="48" t="s">
        <v>63</v>
      </c>
      <c r="I883" s="48">
        <v>1</v>
      </c>
      <c r="J883" s="48">
        <v>68</v>
      </c>
      <c r="K883" s="48">
        <v>1</v>
      </c>
      <c r="N883" s="48">
        <v>0</v>
      </c>
      <c r="R883" s="49"/>
      <c r="S883" s="181">
        <v>0</v>
      </c>
      <c r="T883" s="49">
        <v>47999</v>
      </c>
      <c r="U883" s="49">
        <v>47999</v>
      </c>
      <c r="V883" s="49">
        <v>47999</v>
      </c>
      <c r="W883" s="49">
        <v>47999</v>
      </c>
      <c r="X883" s="48">
        <v>1</v>
      </c>
      <c r="Y883" s="48">
        <v>1</v>
      </c>
      <c r="Z883" s="48">
        <v>1</v>
      </c>
      <c r="AA883" s="156">
        <v>0</v>
      </c>
      <c r="AF883" s="48">
        <v>0</v>
      </c>
      <c r="AG883" s="49" t="s">
        <v>32</v>
      </c>
      <c r="AH883" s="48">
        <v>1</v>
      </c>
      <c r="AI883" s="48" t="s">
        <v>33</v>
      </c>
      <c r="AJ883" s="48" t="s">
        <v>33</v>
      </c>
      <c r="AK883" s="48" t="s">
        <v>33</v>
      </c>
      <c r="AL883" s="48" t="s">
        <v>34</v>
      </c>
      <c r="AN883" s="48">
        <v>0</v>
      </c>
      <c r="AO883" s="48">
        <v>0</v>
      </c>
      <c r="AP883" s="48">
        <v>0</v>
      </c>
      <c r="AQ883" s="48">
        <v>0</v>
      </c>
      <c r="AR883" s="48">
        <v>0</v>
      </c>
      <c r="AS883" s="48">
        <v>0</v>
      </c>
      <c r="AT883" s="48">
        <v>0</v>
      </c>
      <c r="AU883" s="48">
        <v>0</v>
      </c>
      <c r="AV883" s="48">
        <v>0</v>
      </c>
      <c r="AW883" s="48">
        <v>0</v>
      </c>
      <c r="AX883" s="48">
        <v>0</v>
      </c>
      <c r="AY883" s="48">
        <v>0</v>
      </c>
      <c r="AZ883" s="48">
        <v>0</v>
      </c>
      <c r="BA883" s="48">
        <v>0</v>
      </c>
      <c r="BB883" s="48">
        <v>0</v>
      </c>
    </row>
    <row r="884" spans="1:54" x14ac:dyDescent="0.35">
      <c r="A884" s="49">
        <v>45930</v>
      </c>
      <c r="B884" s="48">
        <v>1</v>
      </c>
      <c r="C884" s="50" t="s">
        <v>32</v>
      </c>
      <c r="D884" s="48" t="s">
        <v>31</v>
      </c>
      <c r="E884" s="48" t="s">
        <v>138</v>
      </c>
      <c r="F884" s="48" t="s">
        <v>139</v>
      </c>
      <c r="G884" s="49" t="s">
        <v>63</v>
      </c>
      <c r="H884" s="48" t="s">
        <v>63</v>
      </c>
      <c r="I884" s="48">
        <v>1</v>
      </c>
      <c r="J884" s="48">
        <v>69</v>
      </c>
      <c r="K884" s="48">
        <v>1</v>
      </c>
      <c r="N884" s="48">
        <v>0</v>
      </c>
      <c r="R884" s="49"/>
      <c r="S884" s="181">
        <v>0</v>
      </c>
      <c r="T884" s="49">
        <v>48029</v>
      </c>
      <c r="U884" s="49">
        <v>48029</v>
      </c>
      <c r="V884" s="49">
        <v>48029</v>
      </c>
      <c r="W884" s="49">
        <v>48029</v>
      </c>
      <c r="X884" s="48">
        <v>1</v>
      </c>
      <c r="Y884" s="48">
        <v>1</v>
      </c>
      <c r="Z884" s="48">
        <v>1</v>
      </c>
      <c r="AA884" s="156">
        <v>0</v>
      </c>
      <c r="AF884" s="48">
        <v>0</v>
      </c>
      <c r="AG884" s="49" t="s">
        <v>32</v>
      </c>
      <c r="AH884" s="48">
        <v>1</v>
      </c>
      <c r="AI884" s="48" t="s">
        <v>33</v>
      </c>
      <c r="AJ884" s="48" t="s">
        <v>33</v>
      </c>
      <c r="AK884" s="48" t="s">
        <v>33</v>
      </c>
      <c r="AL884" s="48" t="s">
        <v>34</v>
      </c>
      <c r="AN884" s="48">
        <v>0</v>
      </c>
      <c r="AO884" s="48">
        <v>0</v>
      </c>
      <c r="AP884" s="48">
        <v>0</v>
      </c>
      <c r="AQ884" s="48">
        <v>0</v>
      </c>
      <c r="AR884" s="48">
        <v>0</v>
      </c>
      <c r="AS884" s="48">
        <v>0</v>
      </c>
      <c r="AT884" s="48">
        <v>0</v>
      </c>
      <c r="AU884" s="48">
        <v>0</v>
      </c>
      <c r="AV884" s="48">
        <v>0</v>
      </c>
      <c r="AW884" s="48">
        <v>0</v>
      </c>
      <c r="AX884" s="48">
        <v>0</v>
      </c>
      <c r="AY884" s="48">
        <v>0</v>
      </c>
      <c r="AZ884" s="48">
        <v>0</v>
      </c>
      <c r="BA884" s="48">
        <v>0</v>
      </c>
      <c r="BB884" s="48">
        <v>0</v>
      </c>
    </row>
    <row r="885" spans="1:54" x14ac:dyDescent="0.35">
      <c r="A885" s="49">
        <v>45930</v>
      </c>
      <c r="B885" s="48">
        <v>1</v>
      </c>
      <c r="C885" s="50" t="s">
        <v>32</v>
      </c>
      <c r="D885" s="48" t="s">
        <v>31</v>
      </c>
      <c r="E885" s="48" t="s">
        <v>138</v>
      </c>
      <c r="F885" s="48" t="s">
        <v>139</v>
      </c>
      <c r="G885" s="49" t="s">
        <v>63</v>
      </c>
      <c r="H885" s="48" t="s">
        <v>63</v>
      </c>
      <c r="I885" s="48">
        <v>1</v>
      </c>
      <c r="J885" s="48">
        <v>70</v>
      </c>
      <c r="K885" s="48">
        <v>1</v>
      </c>
      <c r="N885" s="48">
        <v>0</v>
      </c>
      <c r="R885" s="49"/>
      <c r="S885" s="181">
        <v>0</v>
      </c>
      <c r="T885" s="49">
        <v>48060</v>
      </c>
      <c r="U885" s="49">
        <v>48060</v>
      </c>
      <c r="V885" s="49">
        <v>48060</v>
      </c>
      <c r="W885" s="49">
        <v>48060</v>
      </c>
      <c r="X885" s="48">
        <v>1</v>
      </c>
      <c r="Y885" s="48">
        <v>1</v>
      </c>
      <c r="Z885" s="48">
        <v>1</v>
      </c>
      <c r="AA885" s="156">
        <v>0</v>
      </c>
      <c r="AF885" s="48">
        <v>0</v>
      </c>
      <c r="AG885" s="49" t="s">
        <v>32</v>
      </c>
      <c r="AH885" s="48">
        <v>1</v>
      </c>
      <c r="AI885" s="48" t="s">
        <v>33</v>
      </c>
      <c r="AJ885" s="48" t="s">
        <v>33</v>
      </c>
      <c r="AK885" s="48" t="s">
        <v>33</v>
      </c>
      <c r="AL885" s="48" t="s">
        <v>34</v>
      </c>
      <c r="AN885" s="48">
        <v>0</v>
      </c>
      <c r="AO885" s="48">
        <v>0</v>
      </c>
      <c r="AP885" s="48">
        <v>0</v>
      </c>
      <c r="AQ885" s="48">
        <v>0</v>
      </c>
      <c r="AR885" s="48">
        <v>0</v>
      </c>
      <c r="AS885" s="48">
        <v>0</v>
      </c>
      <c r="AT885" s="48">
        <v>0</v>
      </c>
      <c r="AU885" s="48">
        <v>0</v>
      </c>
      <c r="AV885" s="48">
        <v>0</v>
      </c>
      <c r="AW885" s="48">
        <v>0</v>
      </c>
      <c r="AX885" s="48">
        <v>0</v>
      </c>
      <c r="AY885" s="48">
        <v>0</v>
      </c>
      <c r="AZ885" s="48">
        <v>0</v>
      </c>
      <c r="BA885" s="48">
        <v>0</v>
      </c>
      <c r="BB885" s="48">
        <v>0</v>
      </c>
    </row>
    <row r="886" spans="1:54" x14ac:dyDescent="0.35">
      <c r="A886" s="49">
        <v>45930</v>
      </c>
      <c r="B886" s="48">
        <v>1</v>
      </c>
      <c r="C886" s="50" t="s">
        <v>32</v>
      </c>
      <c r="D886" s="48" t="s">
        <v>31</v>
      </c>
      <c r="E886" s="48" t="s">
        <v>138</v>
      </c>
      <c r="F886" s="48" t="s">
        <v>139</v>
      </c>
      <c r="G886" s="49" t="s">
        <v>63</v>
      </c>
      <c r="H886" s="48" t="s">
        <v>63</v>
      </c>
      <c r="I886" s="48">
        <v>1</v>
      </c>
      <c r="J886" s="48">
        <v>71</v>
      </c>
      <c r="K886" s="48">
        <v>1</v>
      </c>
      <c r="N886" s="48">
        <v>0</v>
      </c>
      <c r="R886" s="49"/>
      <c r="S886" s="181">
        <v>0</v>
      </c>
      <c r="T886" s="49">
        <v>48091</v>
      </c>
      <c r="U886" s="49">
        <v>48091</v>
      </c>
      <c r="V886" s="49">
        <v>48091</v>
      </c>
      <c r="W886" s="49">
        <v>48091</v>
      </c>
      <c r="X886" s="48">
        <v>1</v>
      </c>
      <c r="Y886" s="48">
        <v>1</v>
      </c>
      <c r="Z886" s="48">
        <v>1</v>
      </c>
      <c r="AA886" s="156">
        <v>0</v>
      </c>
      <c r="AF886" s="48">
        <v>0</v>
      </c>
      <c r="AG886" s="49" t="s">
        <v>32</v>
      </c>
      <c r="AH886" s="48">
        <v>1</v>
      </c>
      <c r="AI886" s="48" t="s">
        <v>33</v>
      </c>
      <c r="AJ886" s="48" t="s">
        <v>33</v>
      </c>
      <c r="AK886" s="48" t="s">
        <v>33</v>
      </c>
      <c r="AL886" s="48" t="s">
        <v>34</v>
      </c>
      <c r="AN886" s="48">
        <v>0</v>
      </c>
      <c r="AO886" s="48">
        <v>0</v>
      </c>
      <c r="AP886" s="48">
        <v>0</v>
      </c>
      <c r="AQ886" s="48">
        <v>0</v>
      </c>
      <c r="AR886" s="48">
        <v>0</v>
      </c>
      <c r="AS886" s="48">
        <v>0</v>
      </c>
      <c r="AT886" s="48">
        <v>0</v>
      </c>
      <c r="AU886" s="48">
        <v>0</v>
      </c>
      <c r="AV886" s="48">
        <v>0</v>
      </c>
      <c r="AW886" s="48">
        <v>0</v>
      </c>
      <c r="AX886" s="48">
        <v>0</v>
      </c>
      <c r="AY886" s="48">
        <v>0</v>
      </c>
      <c r="AZ886" s="48">
        <v>0</v>
      </c>
      <c r="BA886" s="48">
        <v>0</v>
      </c>
      <c r="BB886" s="48">
        <v>0</v>
      </c>
    </row>
    <row r="887" spans="1:54" x14ac:dyDescent="0.35">
      <c r="A887" s="49">
        <v>45930</v>
      </c>
      <c r="B887" s="48">
        <v>1</v>
      </c>
      <c r="C887" s="50" t="s">
        <v>32</v>
      </c>
      <c r="D887" s="48" t="s">
        <v>31</v>
      </c>
      <c r="E887" s="48" t="s">
        <v>138</v>
      </c>
      <c r="F887" s="48" t="s">
        <v>139</v>
      </c>
      <c r="G887" s="49" t="s">
        <v>63</v>
      </c>
      <c r="H887" s="48" t="s">
        <v>63</v>
      </c>
      <c r="I887" s="48">
        <v>1</v>
      </c>
      <c r="J887" s="48">
        <v>72</v>
      </c>
      <c r="K887" s="48">
        <v>1</v>
      </c>
      <c r="N887" s="48">
        <v>0</v>
      </c>
      <c r="R887" s="49"/>
      <c r="S887" s="181">
        <v>0</v>
      </c>
      <c r="T887" s="49">
        <v>48121</v>
      </c>
      <c r="U887" s="49">
        <v>48121</v>
      </c>
      <c r="V887" s="49">
        <v>48121</v>
      </c>
      <c r="W887" s="49">
        <v>48121</v>
      </c>
      <c r="X887" s="48">
        <v>1</v>
      </c>
      <c r="Y887" s="48">
        <v>1</v>
      </c>
      <c r="Z887" s="48">
        <v>1</v>
      </c>
      <c r="AA887" s="156">
        <v>0</v>
      </c>
      <c r="AF887" s="48">
        <v>0</v>
      </c>
      <c r="AG887" s="49" t="s">
        <v>32</v>
      </c>
      <c r="AH887" s="48">
        <v>1</v>
      </c>
      <c r="AI887" s="48" t="s">
        <v>33</v>
      </c>
      <c r="AJ887" s="48" t="s">
        <v>33</v>
      </c>
      <c r="AK887" s="48" t="s">
        <v>33</v>
      </c>
      <c r="AL887" s="48" t="s">
        <v>34</v>
      </c>
      <c r="AN887" s="48">
        <v>0</v>
      </c>
      <c r="AO887" s="48">
        <v>0</v>
      </c>
      <c r="AP887" s="48">
        <v>0</v>
      </c>
      <c r="AQ887" s="48">
        <v>0</v>
      </c>
      <c r="AR887" s="48">
        <v>0</v>
      </c>
      <c r="AS887" s="48">
        <v>0</v>
      </c>
      <c r="AT887" s="48">
        <v>0</v>
      </c>
      <c r="AU887" s="48">
        <v>0</v>
      </c>
      <c r="AV887" s="48">
        <v>0</v>
      </c>
      <c r="AW887" s="48">
        <v>0</v>
      </c>
      <c r="AX887" s="48">
        <v>0</v>
      </c>
      <c r="AY887" s="48">
        <v>0</v>
      </c>
      <c r="AZ887" s="48">
        <v>0</v>
      </c>
      <c r="BA887" s="48">
        <v>0</v>
      </c>
      <c r="BB887" s="48">
        <v>0</v>
      </c>
    </row>
    <row r="888" spans="1:54" x14ac:dyDescent="0.35">
      <c r="A888" s="49">
        <v>45930</v>
      </c>
      <c r="B888" s="48">
        <v>1</v>
      </c>
      <c r="C888" s="50" t="s">
        <v>32</v>
      </c>
      <c r="D888" s="48" t="s">
        <v>31</v>
      </c>
      <c r="E888" s="48" t="s">
        <v>138</v>
      </c>
      <c r="F888" s="48" t="s">
        <v>139</v>
      </c>
      <c r="G888" s="49" t="s">
        <v>63</v>
      </c>
      <c r="H888" s="48" t="s">
        <v>63</v>
      </c>
      <c r="I888" s="48">
        <v>1</v>
      </c>
      <c r="J888" s="48">
        <v>73</v>
      </c>
      <c r="K888" s="48">
        <v>1</v>
      </c>
      <c r="N888" s="48">
        <v>0</v>
      </c>
      <c r="R888" s="49"/>
      <c r="S888" s="181">
        <v>0</v>
      </c>
      <c r="T888" s="49">
        <v>48152</v>
      </c>
      <c r="U888" s="49">
        <v>48152</v>
      </c>
      <c r="V888" s="49">
        <v>48152</v>
      </c>
      <c r="W888" s="49">
        <v>48152</v>
      </c>
      <c r="X888" s="48">
        <v>1</v>
      </c>
      <c r="Y888" s="48">
        <v>1</v>
      </c>
      <c r="Z888" s="48">
        <v>1</v>
      </c>
      <c r="AA888" s="156">
        <v>0</v>
      </c>
      <c r="AF888" s="48">
        <v>0</v>
      </c>
      <c r="AG888" s="49" t="s">
        <v>32</v>
      </c>
      <c r="AH888" s="48">
        <v>1</v>
      </c>
      <c r="AI888" s="48" t="s">
        <v>33</v>
      </c>
      <c r="AJ888" s="48" t="s">
        <v>33</v>
      </c>
      <c r="AK888" s="48" t="s">
        <v>33</v>
      </c>
      <c r="AL888" s="48" t="s">
        <v>34</v>
      </c>
      <c r="AN888" s="48">
        <v>0</v>
      </c>
      <c r="AO888" s="48">
        <v>0</v>
      </c>
      <c r="AP888" s="48">
        <v>0</v>
      </c>
      <c r="AQ888" s="48">
        <v>0</v>
      </c>
      <c r="AR888" s="48">
        <v>0</v>
      </c>
      <c r="AS888" s="48">
        <v>0</v>
      </c>
      <c r="AT888" s="48">
        <v>0</v>
      </c>
      <c r="AU888" s="48">
        <v>0</v>
      </c>
      <c r="AV888" s="48">
        <v>0</v>
      </c>
      <c r="AW888" s="48">
        <v>0</v>
      </c>
      <c r="AX888" s="48">
        <v>0</v>
      </c>
      <c r="AY888" s="48">
        <v>0</v>
      </c>
      <c r="AZ888" s="48">
        <v>0</v>
      </c>
      <c r="BA888" s="48">
        <v>0</v>
      </c>
      <c r="BB888" s="48">
        <v>0</v>
      </c>
    </row>
    <row r="889" spans="1:54" x14ac:dyDescent="0.35">
      <c r="A889" s="49">
        <v>45930</v>
      </c>
      <c r="B889" s="48">
        <v>1</v>
      </c>
      <c r="C889" s="50" t="s">
        <v>32</v>
      </c>
      <c r="D889" s="48" t="s">
        <v>31</v>
      </c>
      <c r="E889" s="48" t="s">
        <v>138</v>
      </c>
      <c r="F889" s="48" t="s">
        <v>139</v>
      </c>
      <c r="G889" s="49" t="s">
        <v>63</v>
      </c>
      <c r="H889" s="48" t="s">
        <v>63</v>
      </c>
      <c r="I889" s="48">
        <v>1</v>
      </c>
      <c r="J889" s="48">
        <v>74</v>
      </c>
      <c r="K889" s="48">
        <v>1</v>
      </c>
      <c r="N889" s="48">
        <v>0</v>
      </c>
      <c r="R889" s="49"/>
      <c r="S889" s="181">
        <v>0</v>
      </c>
      <c r="T889" s="49">
        <v>48182</v>
      </c>
      <c r="U889" s="49">
        <v>48182</v>
      </c>
      <c r="V889" s="49">
        <v>48182</v>
      </c>
      <c r="W889" s="49">
        <v>48182</v>
      </c>
      <c r="X889" s="48">
        <v>1</v>
      </c>
      <c r="Y889" s="48">
        <v>1</v>
      </c>
      <c r="Z889" s="48">
        <v>1</v>
      </c>
      <c r="AA889" s="156">
        <v>0</v>
      </c>
      <c r="AF889" s="48">
        <v>0</v>
      </c>
      <c r="AG889" s="49" t="s">
        <v>32</v>
      </c>
      <c r="AH889" s="48">
        <v>1</v>
      </c>
      <c r="AI889" s="48" t="s">
        <v>33</v>
      </c>
      <c r="AJ889" s="48" t="s">
        <v>33</v>
      </c>
      <c r="AK889" s="48" t="s">
        <v>33</v>
      </c>
      <c r="AL889" s="48" t="s">
        <v>34</v>
      </c>
      <c r="AN889" s="48">
        <v>0</v>
      </c>
      <c r="AO889" s="48">
        <v>0</v>
      </c>
      <c r="AP889" s="48">
        <v>0</v>
      </c>
      <c r="AQ889" s="48">
        <v>0</v>
      </c>
      <c r="AR889" s="48">
        <v>0</v>
      </c>
      <c r="AS889" s="48">
        <v>0</v>
      </c>
      <c r="AT889" s="48">
        <v>0</v>
      </c>
      <c r="AU889" s="48">
        <v>0</v>
      </c>
      <c r="AV889" s="48">
        <v>0</v>
      </c>
      <c r="AW889" s="48">
        <v>0</v>
      </c>
      <c r="AX889" s="48">
        <v>0</v>
      </c>
      <c r="AY889" s="48">
        <v>0</v>
      </c>
      <c r="AZ889" s="48">
        <v>0</v>
      </c>
      <c r="BA889" s="48">
        <v>0</v>
      </c>
      <c r="BB889" s="48">
        <v>0</v>
      </c>
    </row>
    <row r="890" spans="1:54" x14ac:dyDescent="0.35">
      <c r="A890" s="49">
        <v>45930</v>
      </c>
      <c r="B890" s="48">
        <v>1</v>
      </c>
      <c r="C890" s="50" t="s">
        <v>32</v>
      </c>
      <c r="D890" s="48" t="s">
        <v>31</v>
      </c>
      <c r="E890" s="48" t="s">
        <v>138</v>
      </c>
      <c r="F890" s="48" t="s">
        <v>139</v>
      </c>
      <c r="G890" s="49" t="s">
        <v>63</v>
      </c>
      <c r="H890" s="48" t="s">
        <v>63</v>
      </c>
      <c r="I890" s="48">
        <v>1</v>
      </c>
      <c r="J890" s="48">
        <v>75</v>
      </c>
      <c r="K890" s="48">
        <v>1</v>
      </c>
      <c r="N890" s="48">
        <v>0</v>
      </c>
      <c r="R890" s="49"/>
      <c r="S890" s="181">
        <v>0</v>
      </c>
      <c r="T890" s="49">
        <v>48213</v>
      </c>
      <c r="U890" s="49">
        <v>48213</v>
      </c>
      <c r="V890" s="49">
        <v>48213</v>
      </c>
      <c r="W890" s="49">
        <v>48213</v>
      </c>
      <c r="X890" s="48">
        <v>1</v>
      </c>
      <c r="Y890" s="48">
        <v>1</v>
      </c>
      <c r="Z890" s="48">
        <v>1</v>
      </c>
      <c r="AA890" s="156">
        <v>0</v>
      </c>
      <c r="AF890" s="48">
        <v>0</v>
      </c>
      <c r="AG890" s="49" t="s">
        <v>32</v>
      </c>
      <c r="AH890" s="48">
        <v>1</v>
      </c>
      <c r="AI890" s="48" t="s">
        <v>33</v>
      </c>
      <c r="AJ890" s="48" t="s">
        <v>33</v>
      </c>
      <c r="AK890" s="48" t="s">
        <v>33</v>
      </c>
      <c r="AL890" s="48" t="s">
        <v>34</v>
      </c>
      <c r="AN890" s="48">
        <v>0</v>
      </c>
      <c r="AO890" s="48">
        <v>0</v>
      </c>
      <c r="AP890" s="48">
        <v>0</v>
      </c>
      <c r="AQ890" s="48">
        <v>0</v>
      </c>
      <c r="AR890" s="48">
        <v>0</v>
      </c>
      <c r="AS890" s="48">
        <v>0</v>
      </c>
      <c r="AT890" s="48">
        <v>0</v>
      </c>
      <c r="AU890" s="48">
        <v>0</v>
      </c>
      <c r="AV890" s="48">
        <v>0</v>
      </c>
      <c r="AW890" s="48">
        <v>0</v>
      </c>
      <c r="AX890" s="48">
        <v>0</v>
      </c>
      <c r="AY890" s="48">
        <v>0</v>
      </c>
      <c r="AZ890" s="48">
        <v>0</v>
      </c>
      <c r="BA890" s="48">
        <v>0</v>
      </c>
      <c r="BB890" s="48">
        <v>0</v>
      </c>
    </row>
    <row r="891" spans="1:54" x14ac:dyDescent="0.35">
      <c r="A891" s="49">
        <v>45930</v>
      </c>
      <c r="B891" s="48">
        <v>1</v>
      </c>
      <c r="C891" s="50" t="s">
        <v>32</v>
      </c>
      <c r="D891" s="48" t="s">
        <v>31</v>
      </c>
      <c r="E891" s="48" t="s">
        <v>138</v>
      </c>
      <c r="F891" s="48" t="s">
        <v>139</v>
      </c>
      <c r="G891" s="49" t="s">
        <v>63</v>
      </c>
      <c r="H891" s="48" t="s">
        <v>63</v>
      </c>
      <c r="I891" s="48">
        <v>1</v>
      </c>
      <c r="J891" s="48">
        <v>76</v>
      </c>
      <c r="K891" s="48">
        <v>1</v>
      </c>
      <c r="N891" s="48">
        <v>0</v>
      </c>
      <c r="R891" s="49"/>
      <c r="S891" s="181">
        <v>0</v>
      </c>
      <c r="T891" s="49">
        <v>48244</v>
      </c>
      <c r="U891" s="49">
        <v>48244</v>
      </c>
      <c r="V891" s="49">
        <v>48244</v>
      </c>
      <c r="W891" s="49">
        <v>48244</v>
      </c>
      <c r="X891" s="48">
        <v>1</v>
      </c>
      <c r="Y891" s="48">
        <v>1</v>
      </c>
      <c r="Z891" s="48">
        <v>1</v>
      </c>
      <c r="AA891" s="156">
        <v>0</v>
      </c>
      <c r="AF891" s="48">
        <v>0</v>
      </c>
      <c r="AG891" s="49" t="s">
        <v>32</v>
      </c>
      <c r="AH891" s="48">
        <v>1</v>
      </c>
      <c r="AI891" s="48" t="s">
        <v>33</v>
      </c>
      <c r="AJ891" s="48" t="s">
        <v>33</v>
      </c>
      <c r="AK891" s="48" t="s">
        <v>33</v>
      </c>
      <c r="AL891" s="48" t="s">
        <v>34</v>
      </c>
      <c r="AN891" s="48">
        <v>0</v>
      </c>
      <c r="AO891" s="48">
        <v>0</v>
      </c>
      <c r="AP891" s="48">
        <v>0</v>
      </c>
      <c r="AQ891" s="48">
        <v>0</v>
      </c>
      <c r="AR891" s="48">
        <v>0</v>
      </c>
      <c r="AS891" s="48">
        <v>0</v>
      </c>
      <c r="AT891" s="48">
        <v>0</v>
      </c>
      <c r="AU891" s="48">
        <v>0</v>
      </c>
      <c r="AV891" s="48">
        <v>0</v>
      </c>
      <c r="AW891" s="48">
        <v>0</v>
      </c>
      <c r="AX891" s="48">
        <v>0</v>
      </c>
      <c r="AY891" s="48">
        <v>0</v>
      </c>
      <c r="AZ891" s="48">
        <v>0</v>
      </c>
      <c r="BA891" s="48">
        <v>0</v>
      </c>
      <c r="BB891" s="48">
        <v>0</v>
      </c>
    </row>
    <row r="892" spans="1:54" x14ac:dyDescent="0.35">
      <c r="A892" s="49">
        <v>45930</v>
      </c>
      <c r="B892" s="48">
        <v>1</v>
      </c>
      <c r="C892" s="50" t="s">
        <v>32</v>
      </c>
      <c r="D892" s="48" t="s">
        <v>31</v>
      </c>
      <c r="E892" s="48" t="s">
        <v>138</v>
      </c>
      <c r="F892" s="48" t="s">
        <v>139</v>
      </c>
      <c r="G892" s="49" t="s">
        <v>63</v>
      </c>
      <c r="H892" s="48" t="s">
        <v>63</v>
      </c>
      <c r="I892" s="48">
        <v>1</v>
      </c>
      <c r="J892" s="48">
        <v>77</v>
      </c>
      <c r="K892" s="48">
        <v>1</v>
      </c>
      <c r="N892" s="48">
        <v>0</v>
      </c>
      <c r="R892" s="49"/>
      <c r="S892" s="181">
        <v>0</v>
      </c>
      <c r="T892" s="49">
        <v>48273</v>
      </c>
      <c r="U892" s="49">
        <v>48273</v>
      </c>
      <c r="V892" s="49">
        <v>48273</v>
      </c>
      <c r="W892" s="49">
        <v>48273</v>
      </c>
      <c r="X892" s="48">
        <v>1</v>
      </c>
      <c r="Y892" s="48">
        <v>1</v>
      </c>
      <c r="Z892" s="48">
        <v>1</v>
      </c>
      <c r="AA892" s="156">
        <v>0</v>
      </c>
      <c r="AF892" s="48">
        <v>0</v>
      </c>
      <c r="AG892" s="49" t="s">
        <v>32</v>
      </c>
      <c r="AH892" s="48">
        <v>1</v>
      </c>
      <c r="AI892" s="48" t="s">
        <v>33</v>
      </c>
      <c r="AJ892" s="48" t="s">
        <v>33</v>
      </c>
      <c r="AK892" s="48" t="s">
        <v>33</v>
      </c>
      <c r="AL892" s="48" t="s">
        <v>34</v>
      </c>
      <c r="AN892" s="48">
        <v>0</v>
      </c>
      <c r="AO892" s="48">
        <v>0</v>
      </c>
      <c r="AP892" s="48">
        <v>0</v>
      </c>
      <c r="AQ892" s="48">
        <v>0</v>
      </c>
      <c r="AR892" s="48">
        <v>0</v>
      </c>
      <c r="AS892" s="48">
        <v>0</v>
      </c>
      <c r="AT892" s="48">
        <v>0</v>
      </c>
      <c r="AU892" s="48">
        <v>0</v>
      </c>
      <c r="AV892" s="48">
        <v>0</v>
      </c>
      <c r="AW892" s="48">
        <v>0</v>
      </c>
      <c r="AX892" s="48">
        <v>0</v>
      </c>
      <c r="AY892" s="48">
        <v>0</v>
      </c>
      <c r="AZ892" s="48">
        <v>0</v>
      </c>
      <c r="BA892" s="48">
        <v>0</v>
      </c>
      <c r="BB892" s="48">
        <v>0</v>
      </c>
    </row>
    <row r="893" spans="1:54" x14ac:dyDescent="0.35">
      <c r="A893" s="49">
        <v>45930</v>
      </c>
      <c r="B893" s="48">
        <v>1</v>
      </c>
      <c r="C893" s="50" t="s">
        <v>32</v>
      </c>
      <c r="D893" s="48" t="s">
        <v>31</v>
      </c>
      <c r="E893" s="48" t="s">
        <v>138</v>
      </c>
      <c r="F893" s="48" t="s">
        <v>139</v>
      </c>
      <c r="G893" s="49" t="s">
        <v>63</v>
      </c>
      <c r="H893" s="48" t="s">
        <v>63</v>
      </c>
      <c r="I893" s="48">
        <v>1</v>
      </c>
      <c r="J893" s="48">
        <v>78</v>
      </c>
      <c r="K893" s="48">
        <v>1</v>
      </c>
      <c r="N893" s="48">
        <v>0</v>
      </c>
      <c r="R893" s="49"/>
      <c r="S893" s="181">
        <v>0</v>
      </c>
      <c r="T893" s="49">
        <v>48304</v>
      </c>
      <c r="U893" s="49">
        <v>48304</v>
      </c>
      <c r="V893" s="49">
        <v>48304</v>
      </c>
      <c r="W893" s="49">
        <v>48304</v>
      </c>
      <c r="X893" s="48">
        <v>1</v>
      </c>
      <c r="Y893" s="48">
        <v>1</v>
      </c>
      <c r="Z893" s="48">
        <v>1</v>
      </c>
      <c r="AA893" s="156">
        <v>0</v>
      </c>
      <c r="AF893" s="48">
        <v>0</v>
      </c>
      <c r="AG893" s="49" t="s">
        <v>32</v>
      </c>
      <c r="AH893" s="48">
        <v>1</v>
      </c>
      <c r="AI893" s="48" t="s">
        <v>33</v>
      </c>
      <c r="AJ893" s="48" t="s">
        <v>33</v>
      </c>
      <c r="AK893" s="48" t="s">
        <v>33</v>
      </c>
      <c r="AL893" s="48" t="s">
        <v>34</v>
      </c>
      <c r="AN893" s="48">
        <v>0</v>
      </c>
      <c r="AO893" s="48">
        <v>0</v>
      </c>
      <c r="AP893" s="48">
        <v>0</v>
      </c>
      <c r="AQ893" s="48">
        <v>0</v>
      </c>
      <c r="AR893" s="48">
        <v>0</v>
      </c>
      <c r="AS893" s="48">
        <v>0</v>
      </c>
      <c r="AT893" s="48">
        <v>0</v>
      </c>
      <c r="AU893" s="48">
        <v>0</v>
      </c>
      <c r="AV893" s="48">
        <v>0</v>
      </c>
      <c r="AW893" s="48">
        <v>0</v>
      </c>
      <c r="AX893" s="48">
        <v>0</v>
      </c>
      <c r="AY893" s="48">
        <v>0</v>
      </c>
      <c r="AZ893" s="48">
        <v>0</v>
      </c>
      <c r="BA893" s="48">
        <v>0</v>
      </c>
      <c r="BB893" s="48">
        <v>0</v>
      </c>
    </row>
    <row r="894" spans="1:54" x14ac:dyDescent="0.35">
      <c r="A894" s="49">
        <v>45930</v>
      </c>
      <c r="B894" s="48">
        <v>1</v>
      </c>
      <c r="C894" s="50" t="s">
        <v>32</v>
      </c>
      <c r="D894" s="48" t="s">
        <v>31</v>
      </c>
      <c r="E894" s="48" t="s">
        <v>138</v>
      </c>
      <c r="F894" s="48" t="s">
        <v>139</v>
      </c>
      <c r="G894" s="49" t="s">
        <v>63</v>
      </c>
      <c r="H894" s="48" t="s">
        <v>63</v>
      </c>
      <c r="I894" s="48">
        <v>1</v>
      </c>
      <c r="J894" s="48">
        <v>79</v>
      </c>
      <c r="K894" s="48">
        <v>1</v>
      </c>
      <c r="N894" s="48">
        <v>0</v>
      </c>
      <c r="R894" s="49"/>
      <c r="S894" s="181">
        <v>0</v>
      </c>
      <c r="T894" s="49">
        <v>48334</v>
      </c>
      <c r="U894" s="49">
        <v>48334</v>
      </c>
      <c r="V894" s="49">
        <v>48334</v>
      </c>
      <c r="W894" s="49">
        <v>48334</v>
      </c>
      <c r="X894" s="48">
        <v>1</v>
      </c>
      <c r="Y894" s="48">
        <v>1</v>
      </c>
      <c r="Z894" s="48">
        <v>1</v>
      </c>
      <c r="AA894" s="156">
        <v>0</v>
      </c>
      <c r="AF894" s="48">
        <v>0</v>
      </c>
      <c r="AG894" s="49" t="s">
        <v>32</v>
      </c>
      <c r="AH894" s="48">
        <v>1</v>
      </c>
      <c r="AI894" s="48" t="s">
        <v>33</v>
      </c>
      <c r="AJ894" s="48" t="s">
        <v>33</v>
      </c>
      <c r="AK894" s="48" t="s">
        <v>33</v>
      </c>
      <c r="AL894" s="48" t="s">
        <v>34</v>
      </c>
      <c r="AN894" s="48">
        <v>0</v>
      </c>
      <c r="AO894" s="48">
        <v>0</v>
      </c>
      <c r="AP894" s="48">
        <v>0</v>
      </c>
      <c r="AQ894" s="48">
        <v>0</v>
      </c>
      <c r="AR894" s="48">
        <v>0</v>
      </c>
      <c r="AS894" s="48">
        <v>0</v>
      </c>
      <c r="AT894" s="48">
        <v>0</v>
      </c>
      <c r="AU894" s="48">
        <v>0</v>
      </c>
      <c r="AV894" s="48">
        <v>0</v>
      </c>
      <c r="AW894" s="48">
        <v>0</v>
      </c>
      <c r="AX894" s="48">
        <v>0</v>
      </c>
      <c r="AY894" s="48">
        <v>0</v>
      </c>
      <c r="AZ894" s="48">
        <v>0</v>
      </c>
      <c r="BA894" s="48">
        <v>0</v>
      </c>
      <c r="BB894" s="48">
        <v>0</v>
      </c>
    </row>
    <row r="895" spans="1:54" x14ac:dyDescent="0.35">
      <c r="A895" s="49">
        <v>45930</v>
      </c>
      <c r="B895" s="48">
        <v>1</v>
      </c>
      <c r="C895" s="50" t="s">
        <v>32</v>
      </c>
      <c r="D895" s="48" t="s">
        <v>31</v>
      </c>
      <c r="E895" s="48" t="s">
        <v>138</v>
      </c>
      <c r="F895" s="48" t="s">
        <v>139</v>
      </c>
      <c r="G895" s="49" t="s">
        <v>63</v>
      </c>
      <c r="H895" s="48" t="s">
        <v>63</v>
      </c>
      <c r="I895" s="48">
        <v>1</v>
      </c>
      <c r="J895" s="48">
        <v>80</v>
      </c>
      <c r="K895" s="48">
        <v>1</v>
      </c>
      <c r="N895" s="48">
        <v>0</v>
      </c>
      <c r="R895" s="49"/>
      <c r="S895" s="181">
        <v>0</v>
      </c>
      <c r="T895" s="49">
        <v>48365</v>
      </c>
      <c r="U895" s="49">
        <v>48365</v>
      </c>
      <c r="V895" s="49">
        <v>48365</v>
      </c>
      <c r="W895" s="49">
        <v>48365</v>
      </c>
      <c r="X895" s="48">
        <v>1</v>
      </c>
      <c r="Y895" s="48">
        <v>1</v>
      </c>
      <c r="Z895" s="48">
        <v>1</v>
      </c>
      <c r="AA895" s="156">
        <v>0</v>
      </c>
      <c r="AF895" s="48">
        <v>0</v>
      </c>
      <c r="AG895" s="49" t="s">
        <v>32</v>
      </c>
      <c r="AH895" s="48">
        <v>1</v>
      </c>
      <c r="AI895" s="48" t="s">
        <v>33</v>
      </c>
      <c r="AJ895" s="48" t="s">
        <v>33</v>
      </c>
      <c r="AK895" s="48" t="s">
        <v>33</v>
      </c>
      <c r="AL895" s="48" t="s">
        <v>34</v>
      </c>
      <c r="AN895" s="48">
        <v>0</v>
      </c>
      <c r="AO895" s="48">
        <v>0</v>
      </c>
      <c r="AP895" s="48">
        <v>0</v>
      </c>
      <c r="AQ895" s="48">
        <v>0</v>
      </c>
      <c r="AR895" s="48">
        <v>0</v>
      </c>
      <c r="AS895" s="48">
        <v>0</v>
      </c>
      <c r="AT895" s="48">
        <v>0</v>
      </c>
      <c r="AU895" s="48">
        <v>0</v>
      </c>
      <c r="AV895" s="48">
        <v>0</v>
      </c>
      <c r="AW895" s="48">
        <v>0</v>
      </c>
      <c r="AX895" s="48">
        <v>0</v>
      </c>
      <c r="AY895" s="48">
        <v>0</v>
      </c>
      <c r="AZ895" s="48">
        <v>0</v>
      </c>
      <c r="BA895" s="48">
        <v>0</v>
      </c>
      <c r="BB895" s="48">
        <v>0</v>
      </c>
    </row>
    <row r="896" spans="1:54" x14ac:dyDescent="0.35">
      <c r="A896" s="49">
        <v>45930</v>
      </c>
      <c r="B896" s="48">
        <v>1</v>
      </c>
      <c r="C896" s="50" t="s">
        <v>32</v>
      </c>
      <c r="D896" s="48" t="s">
        <v>31</v>
      </c>
      <c r="E896" s="48" t="s">
        <v>138</v>
      </c>
      <c r="F896" s="48" t="s">
        <v>139</v>
      </c>
      <c r="G896" s="49" t="s">
        <v>63</v>
      </c>
      <c r="H896" s="48" t="s">
        <v>63</v>
      </c>
      <c r="I896" s="48">
        <v>1</v>
      </c>
      <c r="J896" s="48">
        <v>81</v>
      </c>
      <c r="K896" s="48">
        <v>1</v>
      </c>
      <c r="N896" s="48">
        <v>0</v>
      </c>
      <c r="R896" s="49"/>
      <c r="S896" s="181">
        <v>0</v>
      </c>
      <c r="T896" s="49">
        <v>48395</v>
      </c>
      <c r="U896" s="49">
        <v>48395</v>
      </c>
      <c r="V896" s="49">
        <v>48395</v>
      </c>
      <c r="W896" s="49">
        <v>48395</v>
      </c>
      <c r="X896" s="48">
        <v>1</v>
      </c>
      <c r="Y896" s="48">
        <v>1</v>
      </c>
      <c r="Z896" s="48">
        <v>1</v>
      </c>
      <c r="AA896" s="156">
        <v>0</v>
      </c>
      <c r="AF896" s="48">
        <v>0</v>
      </c>
      <c r="AG896" s="49" t="s">
        <v>32</v>
      </c>
      <c r="AH896" s="48">
        <v>1</v>
      </c>
      <c r="AI896" s="48" t="s">
        <v>33</v>
      </c>
      <c r="AJ896" s="48" t="s">
        <v>33</v>
      </c>
      <c r="AK896" s="48" t="s">
        <v>33</v>
      </c>
      <c r="AL896" s="48" t="s">
        <v>34</v>
      </c>
      <c r="AN896" s="48">
        <v>0</v>
      </c>
      <c r="AO896" s="48">
        <v>0</v>
      </c>
      <c r="AP896" s="48">
        <v>0</v>
      </c>
      <c r="AQ896" s="48">
        <v>0</v>
      </c>
      <c r="AR896" s="48">
        <v>0</v>
      </c>
      <c r="AS896" s="48">
        <v>0</v>
      </c>
      <c r="AT896" s="48">
        <v>0</v>
      </c>
      <c r="AU896" s="48">
        <v>0</v>
      </c>
      <c r="AV896" s="48">
        <v>0</v>
      </c>
      <c r="AW896" s="48">
        <v>0</v>
      </c>
      <c r="AX896" s="48">
        <v>0</v>
      </c>
      <c r="AY896" s="48">
        <v>0</v>
      </c>
      <c r="AZ896" s="48">
        <v>0</v>
      </c>
      <c r="BA896" s="48">
        <v>0</v>
      </c>
      <c r="BB896" s="48">
        <v>0</v>
      </c>
    </row>
    <row r="897" spans="1:54" x14ac:dyDescent="0.35">
      <c r="A897" s="49">
        <v>45930</v>
      </c>
      <c r="B897" s="48">
        <v>1</v>
      </c>
      <c r="C897" s="50" t="s">
        <v>32</v>
      </c>
      <c r="D897" s="48" t="s">
        <v>31</v>
      </c>
      <c r="E897" s="48" t="s">
        <v>138</v>
      </c>
      <c r="F897" s="48" t="s">
        <v>139</v>
      </c>
      <c r="G897" s="49" t="s">
        <v>63</v>
      </c>
      <c r="H897" s="48" t="s">
        <v>63</v>
      </c>
      <c r="I897" s="48">
        <v>1</v>
      </c>
      <c r="J897" s="48">
        <v>82</v>
      </c>
      <c r="K897" s="48">
        <v>1</v>
      </c>
      <c r="N897" s="48">
        <v>0</v>
      </c>
      <c r="R897" s="49"/>
      <c r="S897" s="181">
        <v>0</v>
      </c>
      <c r="T897" s="49">
        <v>48426</v>
      </c>
      <c r="U897" s="49">
        <v>48426</v>
      </c>
      <c r="V897" s="49">
        <v>48426</v>
      </c>
      <c r="W897" s="49">
        <v>48426</v>
      </c>
      <c r="X897" s="48">
        <v>1</v>
      </c>
      <c r="Y897" s="48">
        <v>1</v>
      </c>
      <c r="Z897" s="48">
        <v>1</v>
      </c>
      <c r="AA897" s="156">
        <v>0</v>
      </c>
      <c r="AF897" s="48">
        <v>0</v>
      </c>
      <c r="AG897" s="49" t="s">
        <v>32</v>
      </c>
      <c r="AH897" s="48">
        <v>1</v>
      </c>
      <c r="AI897" s="48" t="s">
        <v>33</v>
      </c>
      <c r="AJ897" s="48" t="s">
        <v>33</v>
      </c>
      <c r="AK897" s="48" t="s">
        <v>33</v>
      </c>
      <c r="AL897" s="48" t="s">
        <v>34</v>
      </c>
      <c r="AN897" s="48">
        <v>0</v>
      </c>
      <c r="AO897" s="48">
        <v>0</v>
      </c>
      <c r="AP897" s="48">
        <v>0</v>
      </c>
      <c r="AQ897" s="48">
        <v>0</v>
      </c>
      <c r="AR897" s="48">
        <v>0</v>
      </c>
      <c r="AS897" s="48">
        <v>0</v>
      </c>
      <c r="AT897" s="48">
        <v>0</v>
      </c>
      <c r="AU897" s="48">
        <v>0</v>
      </c>
      <c r="AV897" s="48">
        <v>0</v>
      </c>
      <c r="AW897" s="48">
        <v>0</v>
      </c>
      <c r="AX897" s="48">
        <v>0</v>
      </c>
      <c r="AY897" s="48">
        <v>0</v>
      </c>
      <c r="AZ897" s="48">
        <v>0</v>
      </c>
      <c r="BA897" s="48">
        <v>0</v>
      </c>
      <c r="BB897" s="48">
        <v>0</v>
      </c>
    </row>
    <row r="898" spans="1:54" x14ac:dyDescent="0.35">
      <c r="A898" s="49">
        <v>45930</v>
      </c>
      <c r="B898" s="48">
        <v>1</v>
      </c>
      <c r="C898" s="50" t="s">
        <v>32</v>
      </c>
      <c r="D898" s="48" t="s">
        <v>31</v>
      </c>
      <c r="E898" s="48" t="s">
        <v>138</v>
      </c>
      <c r="F898" s="48" t="s">
        <v>139</v>
      </c>
      <c r="G898" s="49" t="s">
        <v>63</v>
      </c>
      <c r="H898" s="48" t="s">
        <v>63</v>
      </c>
      <c r="I898" s="48">
        <v>1</v>
      </c>
      <c r="J898" s="48">
        <v>83</v>
      </c>
      <c r="K898" s="48">
        <v>1</v>
      </c>
      <c r="N898" s="48">
        <v>0</v>
      </c>
      <c r="R898" s="49"/>
      <c r="S898" s="181">
        <v>0</v>
      </c>
      <c r="T898" s="49">
        <v>48457</v>
      </c>
      <c r="U898" s="49">
        <v>48457</v>
      </c>
      <c r="V898" s="49">
        <v>48457</v>
      </c>
      <c r="W898" s="49">
        <v>48457</v>
      </c>
      <c r="X898" s="48">
        <v>1</v>
      </c>
      <c r="Y898" s="48">
        <v>1</v>
      </c>
      <c r="Z898" s="48">
        <v>1</v>
      </c>
      <c r="AA898" s="156">
        <v>0</v>
      </c>
      <c r="AF898" s="48">
        <v>0</v>
      </c>
      <c r="AG898" s="49" t="s">
        <v>32</v>
      </c>
      <c r="AH898" s="48">
        <v>1</v>
      </c>
      <c r="AI898" s="48" t="s">
        <v>33</v>
      </c>
      <c r="AJ898" s="48" t="s">
        <v>33</v>
      </c>
      <c r="AK898" s="48" t="s">
        <v>33</v>
      </c>
      <c r="AL898" s="48" t="s">
        <v>34</v>
      </c>
      <c r="AN898" s="48">
        <v>0</v>
      </c>
      <c r="AO898" s="48">
        <v>0</v>
      </c>
      <c r="AP898" s="48">
        <v>0</v>
      </c>
      <c r="AQ898" s="48">
        <v>0</v>
      </c>
      <c r="AR898" s="48">
        <v>0</v>
      </c>
      <c r="AS898" s="48">
        <v>0</v>
      </c>
      <c r="AT898" s="48">
        <v>0</v>
      </c>
      <c r="AU898" s="48">
        <v>0</v>
      </c>
      <c r="AV898" s="48">
        <v>0</v>
      </c>
      <c r="AW898" s="48">
        <v>0</v>
      </c>
      <c r="AX898" s="48">
        <v>0</v>
      </c>
      <c r="AY898" s="48">
        <v>0</v>
      </c>
      <c r="AZ898" s="48">
        <v>0</v>
      </c>
      <c r="BA898" s="48">
        <v>0</v>
      </c>
      <c r="BB898" s="48">
        <v>0</v>
      </c>
    </row>
    <row r="899" spans="1:54" x14ac:dyDescent="0.35">
      <c r="A899" s="49">
        <v>45930</v>
      </c>
      <c r="B899" s="48">
        <v>1</v>
      </c>
      <c r="C899" s="50" t="s">
        <v>32</v>
      </c>
      <c r="D899" s="48" t="s">
        <v>31</v>
      </c>
      <c r="E899" s="48" t="s">
        <v>138</v>
      </c>
      <c r="F899" s="48" t="s">
        <v>139</v>
      </c>
      <c r="G899" s="49" t="s">
        <v>63</v>
      </c>
      <c r="H899" s="48" t="s">
        <v>63</v>
      </c>
      <c r="I899" s="48">
        <v>1</v>
      </c>
      <c r="J899" s="48">
        <v>84</v>
      </c>
      <c r="K899" s="48">
        <v>1</v>
      </c>
      <c r="N899" s="48">
        <v>0</v>
      </c>
      <c r="R899" s="49"/>
      <c r="S899" s="181">
        <v>0</v>
      </c>
      <c r="T899" s="49">
        <v>48487</v>
      </c>
      <c r="U899" s="49">
        <v>48487</v>
      </c>
      <c r="V899" s="49">
        <v>48487</v>
      </c>
      <c r="W899" s="49">
        <v>48487</v>
      </c>
      <c r="X899" s="48">
        <v>1</v>
      </c>
      <c r="Y899" s="48">
        <v>1</v>
      </c>
      <c r="Z899" s="48">
        <v>1</v>
      </c>
      <c r="AA899" s="156">
        <v>0</v>
      </c>
      <c r="AF899" s="48">
        <v>0</v>
      </c>
      <c r="AG899" s="49" t="s">
        <v>32</v>
      </c>
      <c r="AH899" s="48">
        <v>1</v>
      </c>
      <c r="AI899" s="48" t="s">
        <v>33</v>
      </c>
      <c r="AJ899" s="48" t="s">
        <v>33</v>
      </c>
      <c r="AK899" s="48" t="s">
        <v>33</v>
      </c>
      <c r="AL899" s="48" t="s">
        <v>34</v>
      </c>
      <c r="AN899" s="48">
        <v>0</v>
      </c>
      <c r="AO899" s="48">
        <v>0</v>
      </c>
      <c r="AP899" s="48">
        <v>0</v>
      </c>
      <c r="AQ899" s="48">
        <v>0</v>
      </c>
      <c r="AR899" s="48">
        <v>0</v>
      </c>
      <c r="AS899" s="48">
        <v>0</v>
      </c>
      <c r="AT899" s="48">
        <v>0</v>
      </c>
      <c r="AU899" s="48">
        <v>0</v>
      </c>
      <c r="AV899" s="48">
        <v>0</v>
      </c>
      <c r="AW899" s="48">
        <v>0</v>
      </c>
      <c r="AX899" s="48">
        <v>0</v>
      </c>
      <c r="AY899" s="48">
        <v>0</v>
      </c>
      <c r="AZ899" s="48">
        <v>0</v>
      </c>
      <c r="BA899" s="48">
        <v>0</v>
      </c>
      <c r="BB899" s="48">
        <v>0</v>
      </c>
    </row>
    <row r="900" spans="1:54" x14ac:dyDescent="0.35">
      <c r="A900" s="49">
        <v>45930</v>
      </c>
      <c r="B900" s="48">
        <v>1</v>
      </c>
      <c r="C900" s="50" t="s">
        <v>32</v>
      </c>
      <c r="D900" s="48" t="s">
        <v>31</v>
      </c>
      <c r="E900" s="48" t="s">
        <v>138</v>
      </c>
      <c r="F900" s="48" t="s">
        <v>139</v>
      </c>
      <c r="G900" s="49" t="s">
        <v>63</v>
      </c>
      <c r="H900" s="48" t="s">
        <v>63</v>
      </c>
      <c r="I900" s="48">
        <v>1</v>
      </c>
      <c r="J900" s="48">
        <v>85</v>
      </c>
      <c r="K900" s="48">
        <v>1</v>
      </c>
      <c r="N900" s="48">
        <v>0</v>
      </c>
      <c r="R900" s="49"/>
      <c r="S900" s="181">
        <v>0</v>
      </c>
      <c r="T900" s="49">
        <v>48518</v>
      </c>
      <c r="U900" s="49">
        <v>48518</v>
      </c>
      <c r="V900" s="49">
        <v>48518</v>
      </c>
      <c r="W900" s="49">
        <v>48518</v>
      </c>
      <c r="X900" s="48">
        <v>1</v>
      </c>
      <c r="Y900" s="48">
        <v>1</v>
      </c>
      <c r="Z900" s="48">
        <v>1</v>
      </c>
      <c r="AA900" s="156">
        <v>0</v>
      </c>
      <c r="AF900" s="48">
        <v>0</v>
      </c>
      <c r="AG900" s="49" t="s">
        <v>32</v>
      </c>
      <c r="AH900" s="48">
        <v>1</v>
      </c>
      <c r="AI900" s="48" t="s">
        <v>33</v>
      </c>
      <c r="AJ900" s="48" t="s">
        <v>33</v>
      </c>
      <c r="AK900" s="48" t="s">
        <v>33</v>
      </c>
      <c r="AL900" s="48" t="s">
        <v>34</v>
      </c>
      <c r="AN900" s="48">
        <v>0</v>
      </c>
      <c r="AO900" s="48">
        <v>0</v>
      </c>
      <c r="AP900" s="48">
        <v>0</v>
      </c>
      <c r="AQ900" s="48">
        <v>0</v>
      </c>
      <c r="AR900" s="48">
        <v>0</v>
      </c>
      <c r="AS900" s="48">
        <v>0</v>
      </c>
      <c r="AT900" s="48">
        <v>0</v>
      </c>
      <c r="AU900" s="48">
        <v>0</v>
      </c>
      <c r="AV900" s="48">
        <v>0</v>
      </c>
      <c r="AW900" s="48">
        <v>0</v>
      </c>
      <c r="AX900" s="48">
        <v>0</v>
      </c>
      <c r="AY900" s="48">
        <v>0</v>
      </c>
      <c r="AZ900" s="48">
        <v>0</v>
      </c>
      <c r="BA900" s="48">
        <v>0</v>
      </c>
      <c r="BB900" s="48">
        <v>0</v>
      </c>
    </row>
    <row r="901" spans="1:54" x14ac:dyDescent="0.35">
      <c r="A901" s="49">
        <v>45930</v>
      </c>
      <c r="B901" s="48">
        <v>1</v>
      </c>
      <c r="C901" s="50" t="s">
        <v>32</v>
      </c>
      <c r="D901" s="48" t="s">
        <v>31</v>
      </c>
      <c r="E901" s="48" t="s">
        <v>138</v>
      </c>
      <c r="F901" s="48" t="s">
        <v>139</v>
      </c>
      <c r="G901" s="49" t="s">
        <v>63</v>
      </c>
      <c r="H901" s="48" t="s">
        <v>63</v>
      </c>
      <c r="I901" s="48">
        <v>1</v>
      </c>
      <c r="J901" s="48">
        <v>86</v>
      </c>
      <c r="K901" s="48">
        <v>1</v>
      </c>
      <c r="N901" s="48">
        <v>0</v>
      </c>
      <c r="R901" s="49"/>
      <c r="S901" s="181">
        <v>0</v>
      </c>
      <c r="T901" s="49">
        <v>48548</v>
      </c>
      <c r="U901" s="49">
        <v>48548</v>
      </c>
      <c r="V901" s="49">
        <v>48548</v>
      </c>
      <c r="W901" s="49">
        <v>48548</v>
      </c>
      <c r="X901" s="48">
        <v>1</v>
      </c>
      <c r="Y901" s="48">
        <v>1</v>
      </c>
      <c r="Z901" s="48">
        <v>1</v>
      </c>
      <c r="AA901" s="156">
        <v>0</v>
      </c>
      <c r="AF901" s="48">
        <v>0</v>
      </c>
      <c r="AG901" s="49" t="s">
        <v>32</v>
      </c>
      <c r="AH901" s="48">
        <v>1</v>
      </c>
      <c r="AI901" s="48" t="s">
        <v>33</v>
      </c>
      <c r="AJ901" s="48" t="s">
        <v>33</v>
      </c>
      <c r="AK901" s="48" t="s">
        <v>33</v>
      </c>
      <c r="AL901" s="48" t="s">
        <v>34</v>
      </c>
      <c r="AN901" s="48">
        <v>0</v>
      </c>
      <c r="AO901" s="48">
        <v>0</v>
      </c>
      <c r="AP901" s="48">
        <v>0</v>
      </c>
      <c r="AQ901" s="48">
        <v>0</v>
      </c>
      <c r="AR901" s="48">
        <v>0</v>
      </c>
      <c r="AS901" s="48">
        <v>0</v>
      </c>
      <c r="AT901" s="48">
        <v>0</v>
      </c>
      <c r="AU901" s="48">
        <v>0</v>
      </c>
      <c r="AV901" s="48">
        <v>0</v>
      </c>
      <c r="AW901" s="48">
        <v>0</v>
      </c>
      <c r="AX901" s="48">
        <v>0</v>
      </c>
      <c r="AY901" s="48">
        <v>0</v>
      </c>
      <c r="AZ901" s="48">
        <v>0</v>
      </c>
      <c r="BA901" s="48">
        <v>0</v>
      </c>
      <c r="BB901" s="48">
        <v>0</v>
      </c>
    </row>
    <row r="902" spans="1:54" x14ac:dyDescent="0.35">
      <c r="A902" s="49">
        <v>45930</v>
      </c>
      <c r="B902" s="48">
        <v>1</v>
      </c>
      <c r="C902" s="50" t="s">
        <v>32</v>
      </c>
      <c r="D902" s="48" t="s">
        <v>31</v>
      </c>
      <c r="E902" s="48" t="s">
        <v>138</v>
      </c>
      <c r="F902" s="48" t="s">
        <v>139</v>
      </c>
      <c r="G902" s="49" t="s">
        <v>63</v>
      </c>
      <c r="H902" s="48" t="s">
        <v>63</v>
      </c>
      <c r="I902" s="48">
        <v>1</v>
      </c>
      <c r="J902" s="48">
        <v>87</v>
      </c>
      <c r="K902" s="48">
        <v>1</v>
      </c>
      <c r="N902" s="48">
        <v>0</v>
      </c>
      <c r="R902" s="49"/>
      <c r="S902" s="181">
        <v>0</v>
      </c>
      <c r="T902" s="49">
        <v>48579</v>
      </c>
      <c r="U902" s="49">
        <v>48579</v>
      </c>
      <c r="V902" s="49">
        <v>48579</v>
      </c>
      <c r="W902" s="49">
        <v>48579</v>
      </c>
      <c r="X902" s="48">
        <v>1</v>
      </c>
      <c r="Y902" s="48">
        <v>1</v>
      </c>
      <c r="Z902" s="48">
        <v>1</v>
      </c>
      <c r="AA902" s="156">
        <v>0</v>
      </c>
      <c r="AF902" s="48">
        <v>0</v>
      </c>
      <c r="AG902" s="49" t="s">
        <v>32</v>
      </c>
      <c r="AH902" s="48">
        <v>1</v>
      </c>
      <c r="AI902" s="48" t="s">
        <v>33</v>
      </c>
      <c r="AJ902" s="48" t="s">
        <v>33</v>
      </c>
      <c r="AK902" s="48" t="s">
        <v>33</v>
      </c>
      <c r="AL902" s="48" t="s">
        <v>34</v>
      </c>
      <c r="AN902" s="48">
        <v>0</v>
      </c>
      <c r="AO902" s="48">
        <v>0</v>
      </c>
      <c r="AP902" s="48">
        <v>0</v>
      </c>
      <c r="AQ902" s="48">
        <v>0</v>
      </c>
      <c r="AR902" s="48">
        <v>0</v>
      </c>
      <c r="AS902" s="48">
        <v>0</v>
      </c>
      <c r="AT902" s="48">
        <v>0</v>
      </c>
      <c r="AU902" s="48">
        <v>0</v>
      </c>
      <c r="AV902" s="48">
        <v>0</v>
      </c>
      <c r="AW902" s="48">
        <v>0</v>
      </c>
      <c r="AX902" s="48">
        <v>0</v>
      </c>
      <c r="AY902" s="48">
        <v>0</v>
      </c>
      <c r="AZ902" s="48">
        <v>0</v>
      </c>
      <c r="BA902" s="48">
        <v>0</v>
      </c>
      <c r="BB902" s="48">
        <v>0</v>
      </c>
    </row>
    <row r="903" spans="1:54" x14ac:dyDescent="0.35">
      <c r="A903" s="49">
        <v>45930</v>
      </c>
      <c r="B903" s="48">
        <v>1</v>
      </c>
      <c r="C903" s="50" t="s">
        <v>32</v>
      </c>
      <c r="D903" s="48" t="s">
        <v>31</v>
      </c>
      <c r="E903" s="48" t="s">
        <v>138</v>
      </c>
      <c r="F903" s="48" t="s">
        <v>139</v>
      </c>
      <c r="G903" s="49" t="s">
        <v>63</v>
      </c>
      <c r="H903" s="48" t="s">
        <v>63</v>
      </c>
      <c r="I903" s="48">
        <v>1</v>
      </c>
      <c r="J903" s="48">
        <v>88</v>
      </c>
      <c r="K903" s="48">
        <v>1</v>
      </c>
      <c r="N903" s="48">
        <v>0</v>
      </c>
      <c r="R903" s="49"/>
      <c r="S903" s="181">
        <v>0</v>
      </c>
      <c r="T903" s="49">
        <v>48610</v>
      </c>
      <c r="U903" s="49">
        <v>48610</v>
      </c>
      <c r="V903" s="49">
        <v>48610</v>
      </c>
      <c r="W903" s="49">
        <v>48610</v>
      </c>
      <c r="X903" s="48">
        <v>1</v>
      </c>
      <c r="Y903" s="48">
        <v>1</v>
      </c>
      <c r="Z903" s="48">
        <v>1</v>
      </c>
      <c r="AA903" s="156">
        <v>0</v>
      </c>
      <c r="AF903" s="48">
        <v>0</v>
      </c>
      <c r="AG903" s="49" t="s">
        <v>32</v>
      </c>
      <c r="AH903" s="48">
        <v>1</v>
      </c>
      <c r="AI903" s="48" t="s">
        <v>33</v>
      </c>
      <c r="AJ903" s="48" t="s">
        <v>33</v>
      </c>
      <c r="AK903" s="48" t="s">
        <v>33</v>
      </c>
      <c r="AL903" s="48" t="s">
        <v>34</v>
      </c>
      <c r="AN903" s="48">
        <v>0</v>
      </c>
      <c r="AO903" s="48">
        <v>0</v>
      </c>
      <c r="AP903" s="48">
        <v>0</v>
      </c>
      <c r="AQ903" s="48">
        <v>0</v>
      </c>
      <c r="AR903" s="48">
        <v>0</v>
      </c>
      <c r="AS903" s="48">
        <v>0</v>
      </c>
      <c r="AT903" s="48">
        <v>0</v>
      </c>
      <c r="AU903" s="48">
        <v>0</v>
      </c>
      <c r="AV903" s="48">
        <v>0</v>
      </c>
      <c r="AW903" s="48">
        <v>0</v>
      </c>
      <c r="AX903" s="48">
        <v>0</v>
      </c>
      <c r="AY903" s="48">
        <v>0</v>
      </c>
      <c r="AZ903" s="48">
        <v>0</v>
      </c>
      <c r="BA903" s="48">
        <v>0</v>
      </c>
      <c r="BB903" s="48">
        <v>0</v>
      </c>
    </row>
    <row r="904" spans="1:54" x14ac:dyDescent="0.35">
      <c r="A904" s="49">
        <v>45930</v>
      </c>
      <c r="B904" s="48">
        <v>1</v>
      </c>
      <c r="C904" s="50" t="s">
        <v>32</v>
      </c>
      <c r="D904" s="48" t="s">
        <v>31</v>
      </c>
      <c r="E904" s="48" t="s">
        <v>138</v>
      </c>
      <c r="F904" s="48" t="s">
        <v>139</v>
      </c>
      <c r="G904" s="49" t="s">
        <v>63</v>
      </c>
      <c r="H904" s="48" t="s">
        <v>63</v>
      </c>
      <c r="I904" s="48">
        <v>1</v>
      </c>
      <c r="J904" s="48">
        <v>89</v>
      </c>
      <c r="K904" s="48">
        <v>1</v>
      </c>
      <c r="N904" s="48">
        <v>0</v>
      </c>
      <c r="R904" s="49"/>
      <c r="S904" s="181">
        <v>0</v>
      </c>
      <c r="T904" s="49">
        <v>48638</v>
      </c>
      <c r="U904" s="49">
        <v>48638</v>
      </c>
      <c r="V904" s="49">
        <v>48638</v>
      </c>
      <c r="W904" s="49">
        <v>48638</v>
      </c>
      <c r="X904" s="48">
        <v>1</v>
      </c>
      <c r="Y904" s="48">
        <v>1</v>
      </c>
      <c r="Z904" s="48">
        <v>1</v>
      </c>
      <c r="AA904" s="156">
        <v>0</v>
      </c>
      <c r="AF904" s="48">
        <v>0</v>
      </c>
      <c r="AG904" s="49" t="s">
        <v>32</v>
      </c>
      <c r="AH904" s="48">
        <v>1</v>
      </c>
      <c r="AI904" s="48" t="s">
        <v>33</v>
      </c>
      <c r="AJ904" s="48" t="s">
        <v>33</v>
      </c>
      <c r="AK904" s="48" t="s">
        <v>33</v>
      </c>
      <c r="AL904" s="48" t="s">
        <v>34</v>
      </c>
      <c r="AN904" s="48">
        <v>0</v>
      </c>
      <c r="AO904" s="48">
        <v>0</v>
      </c>
      <c r="AP904" s="48">
        <v>0</v>
      </c>
      <c r="AQ904" s="48">
        <v>0</v>
      </c>
      <c r="AR904" s="48">
        <v>0</v>
      </c>
      <c r="AS904" s="48">
        <v>0</v>
      </c>
      <c r="AT904" s="48">
        <v>0</v>
      </c>
      <c r="AU904" s="48">
        <v>0</v>
      </c>
      <c r="AV904" s="48">
        <v>0</v>
      </c>
      <c r="AW904" s="48">
        <v>0</v>
      </c>
      <c r="AX904" s="48">
        <v>0</v>
      </c>
      <c r="AY904" s="48">
        <v>0</v>
      </c>
      <c r="AZ904" s="48">
        <v>0</v>
      </c>
      <c r="BA904" s="48">
        <v>0</v>
      </c>
      <c r="BB904" s="48">
        <v>0</v>
      </c>
    </row>
    <row r="905" spans="1:54" x14ac:dyDescent="0.35">
      <c r="A905" s="49">
        <v>45930</v>
      </c>
      <c r="B905" s="48">
        <v>1</v>
      </c>
      <c r="C905" s="50" t="s">
        <v>32</v>
      </c>
      <c r="D905" s="48" t="s">
        <v>31</v>
      </c>
      <c r="E905" s="48" t="s">
        <v>138</v>
      </c>
      <c r="F905" s="48" t="s">
        <v>139</v>
      </c>
      <c r="G905" s="49" t="s">
        <v>63</v>
      </c>
      <c r="H905" s="48" t="s">
        <v>63</v>
      </c>
      <c r="I905" s="48">
        <v>1</v>
      </c>
      <c r="J905" s="48">
        <v>90</v>
      </c>
      <c r="K905" s="48">
        <v>1</v>
      </c>
      <c r="N905" s="48">
        <v>0</v>
      </c>
      <c r="R905" s="49"/>
      <c r="S905" s="181">
        <v>0</v>
      </c>
      <c r="T905" s="49">
        <v>48669</v>
      </c>
      <c r="U905" s="49">
        <v>48669</v>
      </c>
      <c r="V905" s="49">
        <v>48669</v>
      </c>
      <c r="W905" s="49">
        <v>48669</v>
      </c>
      <c r="X905" s="48">
        <v>1</v>
      </c>
      <c r="Y905" s="48">
        <v>1</v>
      </c>
      <c r="Z905" s="48">
        <v>1</v>
      </c>
      <c r="AA905" s="156">
        <v>0</v>
      </c>
      <c r="AF905" s="48">
        <v>0</v>
      </c>
      <c r="AG905" s="49" t="s">
        <v>32</v>
      </c>
      <c r="AH905" s="48">
        <v>1</v>
      </c>
      <c r="AI905" s="48" t="s">
        <v>33</v>
      </c>
      <c r="AJ905" s="48" t="s">
        <v>33</v>
      </c>
      <c r="AK905" s="48" t="s">
        <v>33</v>
      </c>
      <c r="AL905" s="48" t="s">
        <v>34</v>
      </c>
      <c r="AN905" s="48">
        <v>0</v>
      </c>
      <c r="AO905" s="48">
        <v>0</v>
      </c>
      <c r="AP905" s="48">
        <v>0</v>
      </c>
      <c r="AQ905" s="48">
        <v>0</v>
      </c>
      <c r="AR905" s="48">
        <v>0</v>
      </c>
      <c r="AS905" s="48">
        <v>0</v>
      </c>
      <c r="AT905" s="48">
        <v>0</v>
      </c>
      <c r="AU905" s="48">
        <v>0</v>
      </c>
      <c r="AV905" s="48">
        <v>0</v>
      </c>
      <c r="AW905" s="48">
        <v>0</v>
      </c>
      <c r="AX905" s="48">
        <v>0</v>
      </c>
      <c r="AY905" s="48">
        <v>0</v>
      </c>
      <c r="AZ905" s="48">
        <v>0</v>
      </c>
      <c r="BA905" s="48">
        <v>0</v>
      </c>
      <c r="BB905" s="48">
        <v>0</v>
      </c>
    </row>
    <row r="906" spans="1:54" x14ac:dyDescent="0.35">
      <c r="A906" s="49">
        <v>45930</v>
      </c>
      <c r="B906" s="48">
        <v>1</v>
      </c>
      <c r="C906" s="50" t="s">
        <v>32</v>
      </c>
      <c r="D906" s="48" t="s">
        <v>31</v>
      </c>
      <c r="E906" s="48" t="s">
        <v>138</v>
      </c>
      <c r="F906" s="48" t="s">
        <v>139</v>
      </c>
      <c r="G906" s="49" t="s">
        <v>63</v>
      </c>
      <c r="H906" s="48" t="s">
        <v>63</v>
      </c>
      <c r="I906" s="48">
        <v>1</v>
      </c>
      <c r="J906" s="48">
        <v>91</v>
      </c>
      <c r="K906" s="48">
        <v>1</v>
      </c>
      <c r="N906" s="48">
        <v>0</v>
      </c>
      <c r="R906" s="49"/>
      <c r="S906" s="181">
        <v>0</v>
      </c>
      <c r="T906" s="49">
        <v>48699</v>
      </c>
      <c r="U906" s="49">
        <v>48699</v>
      </c>
      <c r="V906" s="49">
        <v>48699</v>
      </c>
      <c r="W906" s="49">
        <v>48699</v>
      </c>
      <c r="X906" s="48">
        <v>1</v>
      </c>
      <c r="Y906" s="48">
        <v>1</v>
      </c>
      <c r="Z906" s="48">
        <v>1</v>
      </c>
      <c r="AA906" s="156">
        <v>0</v>
      </c>
      <c r="AF906" s="48">
        <v>0</v>
      </c>
      <c r="AG906" s="49" t="s">
        <v>32</v>
      </c>
      <c r="AH906" s="48">
        <v>1</v>
      </c>
      <c r="AI906" s="48" t="s">
        <v>33</v>
      </c>
      <c r="AJ906" s="48" t="s">
        <v>33</v>
      </c>
      <c r="AK906" s="48" t="s">
        <v>33</v>
      </c>
      <c r="AL906" s="48" t="s">
        <v>34</v>
      </c>
      <c r="AN906" s="48">
        <v>0</v>
      </c>
      <c r="AO906" s="48">
        <v>0</v>
      </c>
      <c r="AP906" s="48">
        <v>0</v>
      </c>
      <c r="AQ906" s="48">
        <v>0</v>
      </c>
      <c r="AR906" s="48">
        <v>0</v>
      </c>
      <c r="AS906" s="48">
        <v>0</v>
      </c>
      <c r="AT906" s="48">
        <v>0</v>
      </c>
      <c r="AU906" s="48">
        <v>0</v>
      </c>
      <c r="AV906" s="48">
        <v>0</v>
      </c>
      <c r="AW906" s="48">
        <v>0</v>
      </c>
      <c r="AX906" s="48">
        <v>0</v>
      </c>
      <c r="AY906" s="48">
        <v>0</v>
      </c>
      <c r="AZ906" s="48">
        <v>0</v>
      </c>
      <c r="BA906" s="48">
        <v>0</v>
      </c>
      <c r="BB906" s="48">
        <v>0</v>
      </c>
    </row>
    <row r="907" spans="1:54" x14ac:dyDescent="0.35">
      <c r="A907" s="49">
        <v>45930</v>
      </c>
      <c r="B907" s="48">
        <v>1</v>
      </c>
      <c r="C907" s="50" t="s">
        <v>32</v>
      </c>
      <c r="D907" s="48" t="s">
        <v>31</v>
      </c>
      <c r="E907" s="48" t="s">
        <v>138</v>
      </c>
      <c r="F907" s="48" t="s">
        <v>139</v>
      </c>
      <c r="G907" s="49" t="s">
        <v>63</v>
      </c>
      <c r="H907" s="48" t="s">
        <v>63</v>
      </c>
      <c r="I907" s="48">
        <v>1</v>
      </c>
      <c r="J907" s="48">
        <v>92</v>
      </c>
      <c r="K907" s="48">
        <v>1</v>
      </c>
      <c r="N907" s="48">
        <v>0</v>
      </c>
      <c r="R907" s="49"/>
      <c r="S907" s="181">
        <v>0</v>
      </c>
      <c r="T907" s="49">
        <v>48730</v>
      </c>
      <c r="U907" s="49">
        <v>48730</v>
      </c>
      <c r="V907" s="49">
        <v>48730</v>
      </c>
      <c r="W907" s="49">
        <v>48730</v>
      </c>
      <c r="X907" s="48">
        <v>1</v>
      </c>
      <c r="Y907" s="48">
        <v>1</v>
      </c>
      <c r="Z907" s="48">
        <v>1</v>
      </c>
      <c r="AA907" s="156">
        <v>0</v>
      </c>
      <c r="AF907" s="48">
        <v>0</v>
      </c>
      <c r="AG907" s="49" t="s">
        <v>32</v>
      </c>
      <c r="AH907" s="48">
        <v>1</v>
      </c>
      <c r="AI907" s="48" t="s">
        <v>33</v>
      </c>
      <c r="AJ907" s="48" t="s">
        <v>33</v>
      </c>
      <c r="AK907" s="48" t="s">
        <v>33</v>
      </c>
      <c r="AL907" s="48" t="s">
        <v>34</v>
      </c>
      <c r="AN907" s="48">
        <v>0</v>
      </c>
      <c r="AO907" s="48">
        <v>0</v>
      </c>
      <c r="AP907" s="48">
        <v>0</v>
      </c>
      <c r="AQ907" s="48">
        <v>0</v>
      </c>
      <c r="AR907" s="48">
        <v>0</v>
      </c>
      <c r="AS907" s="48">
        <v>0</v>
      </c>
      <c r="AT907" s="48">
        <v>0</v>
      </c>
      <c r="AU907" s="48">
        <v>0</v>
      </c>
      <c r="AV907" s="48">
        <v>0</v>
      </c>
      <c r="AW907" s="48">
        <v>0</v>
      </c>
      <c r="AX907" s="48">
        <v>0</v>
      </c>
      <c r="AY907" s="48">
        <v>0</v>
      </c>
      <c r="AZ907" s="48">
        <v>0</v>
      </c>
      <c r="BA907" s="48">
        <v>0</v>
      </c>
      <c r="BB907" s="48">
        <v>0</v>
      </c>
    </row>
    <row r="908" spans="1:54" x14ac:dyDescent="0.35">
      <c r="A908" s="49">
        <v>45930</v>
      </c>
      <c r="B908" s="48">
        <v>1</v>
      </c>
      <c r="C908" s="50" t="s">
        <v>32</v>
      </c>
      <c r="D908" s="48" t="s">
        <v>31</v>
      </c>
      <c r="E908" s="48" t="s">
        <v>138</v>
      </c>
      <c r="F908" s="48" t="s">
        <v>139</v>
      </c>
      <c r="G908" s="49" t="s">
        <v>63</v>
      </c>
      <c r="H908" s="48" t="s">
        <v>63</v>
      </c>
      <c r="I908" s="48">
        <v>1</v>
      </c>
      <c r="J908" s="48">
        <v>93</v>
      </c>
      <c r="K908" s="48">
        <v>1</v>
      </c>
      <c r="N908" s="48">
        <v>0</v>
      </c>
      <c r="R908" s="49"/>
      <c r="S908" s="181">
        <v>0</v>
      </c>
      <c r="T908" s="49">
        <v>48760</v>
      </c>
      <c r="U908" s="49">
        <v>48760</v>
      </c>
      <c r="V908" s="49">
        <v>48760</v>
      </c>
      <c r="W908" s="49">
        <v>48760</v>
      </c>
      <c r="X908" s="48">
        <v>1</v>
      </c>
      <c r="Y908" s="48">
        <v>1</v>
      </c>
      <c r="Z908" s="48">
        <v>1</v>
      </c>
      <c r="AA908" s="156">
        <v>0</v>
      </c>
      <c r="AF908" s="48">
        <v>0</v>
      </c>
      <c r="AG908" s="49" t="s">
        <v>32</v>
      </c>
      <c r="AH908" s="48">
        <v>1</v>
      </c>
      <c r="AI908" s="48" t="s">
        <v>33</v>
      </c>
      <c r="AJ908" s="48" t="s">
        <v>33</v>
      </c>
      <c r="AK908" s="48" t="s">
        <v>33</v>
      </c>
      <c r="AL908" s="48" t="s">
        <v>34</v>
      </c>
      <c r="AN908" s="48">
        <v>0</v>
      </c>
      <c r="AO908" s="48">
        <v>0</v>
      </c>
      <c r="AP908" s="48">
        <v>0</v>
      </c>
      <c r="AQ908" s="48">
        <v>0</v>
      </c>
      <c r="AR908" s="48">
        <v>0</v>
      </c>
      <c r="AS908" s="48">
        <v>0</v>
      </c>
      <c r="AT908" s="48">
        <v>0</v>
      </c>
      <c r="AU908" s="48">
        <v>0</v>
      </c>
      <c r="AV908" s="48">
        <v>0</v>
      </c>
      <c r="AW908" s="48">
        <v>0</v>
      </c>
      <c r="AX908" s="48">
        <v>0</v>
      </c>
      <c r="AY908" s="48">
        <v>0</v>
      </c>
      <c r="AZ908" s="48">
        <v>0</v>
      </c>
      <c r="BA908" s="48">
        <v>0</v>
      </c>
      <c r="BB908" s="48">
        <v>0</v>
      </c>
    </row>
    <row r="909" spans="1:54" x14ac:dyDescent="0.35">
      <c r="A909" s="49">
        <v>45930</v>
      </c>
      <c r="B909" s="48">
        <v>1</v>
      </c>
      <c r="C909" s="50" t="s">
        <v>32</v>
      </c>
      <c r="D909" s="48" t="s">
        <v>31</v>
      </c>
      <c r="E909" s="48" t="s">
        <v>138</v>
      </c>
      <c r="F909" s="48" t="s">
        <v>139</v>
      </c>
      <c r="G909" s="49" t="s">
        <v>63</v>
      </c>
      <c r="H909" s="48" t="s">
        <v>63</v>
      </c>
      <c r="I909" s="48">
        <v>1</v>
      </c>
      <c r="J909" s="48">
        <v>94</v>
      </c>
      <c r="K909" s="48">
        <v>1</v>
      </c>
      <c r="N909" s="48">
        <v>0</v>
      </c>
      <c r="R909" s="49"/>
      <c r="S909" s="181">
        <v>0</v>
      </c>
      <c r="T909" s="49">
        <v>48791</v>
      </c>
      <c r="U909" s="49">
        <v>48791</v>
      </c>
      <c r="V909" s="49">
        <v>48791</v>
      </c>
      <c r="W909" s="49">
        <v>48791</v>
      </c>
      <c r="X909" s="48">
        <v>1</v>
      </c>
      <c r="Y909" s="48">
        <v>1</v>
      </c>
      <c r="Z909" s="48">
        <v>1</v>
      </c>
      <c r="AA909" s="156">
        <v>0</v>
      </c>
      <c r="AF909" s="48">
        <v>0</v>
      </c>
      <c r="AG909" s="49" t="s">
        <v>32</v>
      </c>
      <c r="AH909" s="48">
        <v>1</v>
      </c>
      <c r="AI909" s="48" t="s">
        <v>33</v>
      </c>
      <c r="AJ909" s="48" t="s">
        <v>33</v>
      </c>
      <c r="AK909" s="48" t="s">
        <v>33</v>
      </c>
      <c r="AL909" s="48" t="s">
        <v>34</v>
      </c>
      <c r="AN909" s="48">
        <v>0</v>
      </c>
      <c r="AO909" s="48">
        <v>0</v>
      </c>
      <c r="AP909" s="48">
        <v>0</v>
      </c>
      <c r="AQ909" s="48">
        <v>0</v>
      </c>
      <c r="AR909" s="48">
        <v>0</v>
      </c>
      <c r="AS909" s="48">
        <v>0</v>
      </c>
      <c r="AT909" s="48">
        <v>0</v>
      </c>
      <c r="AU909" s="48">
        <v>0</v>
      </c>
      <c r="AV909" s="48">
        <v>0</v>
      </c>
      <c r="AW909" s="48">
        <v>0</v>
      </c>
      <c r="AX909" s="48">
        <v>0</v>
      </c>
      <c r="AY909" s="48">
        <v>0</v>
      </c>
      <c r="AZ909" s="48">
        <v>0</v>
      </c>
      <c r="BA909" s="48">
        <v>0</v>
      </c>
      <c r="BB909" s="48">
        <v>0</v>
      </c>
    </row>
    <row r="910" spans="1:54" x14ac:dyDescent="0.35">
      <c r="A910" s="49">
        <v>45930</v>
      </c>
      <c r="B910" s="48">
        <v>1</v>
      </c>
      <c r="C910" s="50" t="s">
        <v>32</v>
      </c>
      <c r="D910" s="48" t="s">
        <v>31</v>
      </c>
      <c r="E910" s="48" t="s">
        <v>138</v>
      </c>
      <c r="F910" s="48" t="s">
        <v>139</v>
      </c>
      <c r="G910" s="49" t="s">
        <v>63</v>
      </c>
      <c r="H910" s="48" t="s">
        <v>63</v>
      </c>
      <c r="I910" s="48">
        <v>1</v>
      </c>
      <c r="J910" s="48">
        <v>95</v>
      </c>
      <c r="K910" s="48">
        <v>1</v>
      </c>
      <c r="N910" s="48">
        <v>0</v>
      </c>
      <c r="R910" s="49"/>
      <c r="S910" s="181">
        <v>0</v>
      </c>
      <c r="T910" s="49">
        <v>48822</v>
      </c>
      <c r="U910" s="49">
        <v>48822</v>
      </c>
      <c r="V910" s="49">
        <v>48822</v>
      </c>
      <c r="W910" s="49">
        <v>48822</v>
      </c>
      <c r="X910" s="48">
        <v>1</v>
      </c>
      <c r="Y910" s="48">
        <v>1</v>
      </c>
      <c r="Z910" s="48">
        <v>1</v>
      </c>
      <c r="AA910" s="156">
        <v>0</v>
      </c>
      <c r="AF910" s="48">
        <v>0</v>
      </c>
      <c r="AG910" s="49" t="s">
        <v>32</v>
      </c>
      <c r="AH910" s="48">
        <v>1</v>
      </c>
      <c r="AI910" s="48" t="s">
        <v>33</v>
      </c>
      <c r="AJ910" s="48" t="s">
        <v>33</v>
      </c>
      <c r="AK910" s="48" t="s">
        <v>33</v>
      </c>
      <c r="AL910" s="48" t="s">
        <v>34</v>
      </c>
      <c r="AN910" s="48">
        <v>0</v>
      </c>
      <c r="AO910" s="48">
        <v>0</v>
      </c>
      <c r="AP910" s="48">
        <v>0</v>
      </c>
      <c r="AQ910" s="48">
        <v>0</v>
      </c>
      <c r="AR910" s="48">
        <v>0</v>
      </c>
      <c r="AS910" s="48">
        <v>0</v>
      </c>
      <c r="AT910" s="48">
        <v>0</v>
      </c>
      <c r="AU910" s="48">
        <v>0</v>
      </c>
      <c r="AV910" s="48">
        <v>0</v>
      </c>
      <c r="AW910" s="48">
        <v>0</v>
      </c>
      <c r="AX910" s="48">
        <v>0</v>
      </c>
      <c r="AY910" s="48">
        <v>0</v>
      </c>
      <c r="AZ910" s="48">
        <v>0</v>
      </c>
      <c r="BA910" s="48">
        <v>0</v>
      </c>
      <c r="BB910" s="48">
        <v>0</v>
      </c>
    </row>
    <row r="911" spans="1:54" x14ac:dyDescent="0.35">
      <c r="A911" s="49">
        <v>45930</v>
      </c>
      <c r="B911" s="48">
        <v>1</v>
      </c>
      <c r="C911" s="50" t="s">
        <v>32</v>
      </c>
      <c r="D911" s="48" t="s">
        <v>31</v>
      </c>
      <c r="E911" s="48" t="s">
        <v>138</v>
      </c>
      <c r="F911" s="48" t="s">
        <v>139</v>
      </c>
      <c r="G911" s="49" t="s">
        <v>63</v>
      </c>
      <c r="H911" s="48" t="s">
        <v>63</v>
      </c>
      <c r="I911" s="48">
        <v>1</v>
      </c>
      <c r="J911" s="48">
        <v>96</v>
      </c>
      <c r="K911" s="48">
        <v>1</v>
      </c>
      <c r="N911" s="48">
        <v>0</v>
      </c>
      <c r="R911" s="49"/>
      <c r="S911" s="181">
        <v>0</v>
      </c>
      <c r="T911" s="49">
        <v>48852</v>
      </c>
      <c r="U911" s="49">
        <v>48852</v>
      </c>
      <c r="V911" s="49">
        <v>48852</v>
      </c>
      <c r="W911" s="49">
        <v>48852</v>
      </c>
      <c r="X911" s="48">
        <v>1</v>
      </c>
      <c r="Y911" s="48">
        <v>1</v>
      </c>
      <c r="Z911" s="48">
        <v>1</v>
      </c>
      <c r="AA911" s="156">
        <v>0</v>
      </c>
      <c r="AF911" s="48">
        <v>0</v>
      </c>
      <c r="AG911" s="49" t="s">
        <v>32</v>
      </c>
      <c r="AH911" s="48">
        <v>1</v>
      </c>
      <c r="AI911" s="48" t="s">
        <v>33</v>
      </c>
      <c r="AJ911" s="48" t="s">
        <v>33</v>
      </c>
      <c r="AK911" s="48" t="s">
        <v>33</v>
      </c>
      <c r="AL911" s="48" t="s">
        <v>34</v>
      </c>
      <c r="AN911" s="48">
        <v>0</v>
      </c>
      <c r="AO911" s="48">
        <v>0</v>
      </c>
      <c r="AP911" s="48">
        <v>0</v>
      </c>
      <c r="AQ911" s="48">
        <v>0</v>
      </c>
      <c r="AR911" s="48">
        <v>0</v>
      </c>
      <c r="AS911" s="48">
        <v>0</v>
      </c>
      <c r="AT911" s="48">
        <v>0</v>
      </c>
      <c r="AU911" s="48">
        <v>0</v>
      </c>
      <c r="AV911" s="48">
        <v>0</v>
      </c>
      <c r="AW911" s="48">
        <v>0</v>
      </c>
      <c r="AX911" s="48">
        <v>0</v>
      </c>
      <c r="AY911" s="48">
        <v>0</v>
      </c>
      <c r="AZ911" s="48">
        <v>0</v>
      </c>
      <c r="BA911" s="48">
        <v>0</v>
      </c>
      <c r="BB911" s="48">
        <v>0</v>
      </c>
    </row>
    <row r="912" spans="1:54" x14ac:dyDescent="0.35">
      <c r="A912" s="49">
        <v>45930</v>
      </c>
      <c r="B912" s="48">
        <v>1</v>
      </c>
      <c r="C912" s="50" t="s">
        <v>32</v>
      </c>
      <c r="D912" s="48" t="s">
        <v>31</v>
      </c>
      <c r="E912" s="48" t="s">
        <v>138</v>
      </c>
      <c r="F912" s="48" t="s">
        <v>139</v>
      </c>
      <c r="G912" s="49" t="s">
        <v>63</v>
      </c>
      <c r="H912" s="48" t="s">
        <v>63</v>
      </c>
      <c r="I912" s="48">
        <v>1</v>
      </c>
      <c r="J912" s="48">
        <v>97</v>
      </c>
      <c r="K912" s="48">
        <v>1</v>
      </c>
      <c r="N912" s="48">
        <v>0</v>
      </c>
      <c r="R912" s="49"/>
      <c r="S912" s="181">
        <v>0</v>
      </c>
      <c r="T912" s="49">
        <v>48883</v>
      </c>
      <c r="U912" s="49">
        <v>48883</v>
      </c>
      <c r="V912" s="49">
        <v>48883</v>
      </c>
      <c r="W912" s="49">
        <v>48883</v>
      </c>
      <c r="X912" s="48">
        <v>1</v>
      </c>
      <c r="Y912" s="48">
        <v>1</v>
      </c>
      <c r="Z912" s="48">
        <v>1</v>
      </c>
      <c r="AA912" s="156">
        <v>0</v>
      </c>
      <c r="AF912" s="48">
        <v>0</v>
      </c>
      <c r="AG912" s="49" t="s">
        <v>32</v>
      </c>
      <c r="AH912" s="48">
        <v>1</v>
      </c>
      <c r="AI912" s="48" t="s">
        <v>33</v>
      </c>
      <c r="AJ912" s="48" t="s">
        <v>33</v>
      </c>
      <c r="AK912" s="48" t="s">
        <v>33</v>
      </c>
      <c r="AL912" s="48" t="s">
        <v>34</v>
      </c>
      <c r="AN912" s="48">
        <v>0</v>
      </c>
      <c r="AO912" s="48">
        <v>0</v>
      </c>
      <c r="AP912" s="48">
        <v>0</v>
      </c>
      <c r="AQ912" s="48">
        <v>0</v>
      </c>
      <c r="AR912" s="48">
        <v>0</v>
      </c>
      <c r="AS912" s="48">
        <v>0</v>
      </c>
      <c r="AT912" s="48">
        <v>0</v>
      </c>
      <c r="AU912" s="48">
        <v>0</v>
      </c>
      <c r="AV912" s="48">
        <v>0</v>
      </c>
      <c r="AW912" s="48">
        <v>0</v>
      </c>
      <c r="AX912" s="48">
        <v>0</v>
      </c>
      <c r="AY912" s="48">
        <v>0</v>
      </c>
      <c r="AZ912" s="48">
        <v>0</v>
      </c>
      <c r="BA912" s="48">
        <v>0</v>
      </c>
      <c r="BB912" s="48">
        <v>0</v>
      </c>
    </row>
    <row r="913" spans="1:54" x14ac:dyDescent="0.35">
      <c r="A913" s="49">
        <v>45930</v>
      </c>
      <c r="B913" s="48">
        <v>1</v>
      </c>
      <c r="C913" s="50" t="s">
        <v>32</v>
      </c>
      <c r="D913" s="48" t="s">
        <v>31</v>
      </c>
      <c r="E913" s="48" t="s">
        <v>138</v>
      </c>
      <c r="F913" s="48" t="s">
        <v>139</v>
      </c>
      <c r="G913" s="49" t="s">
        <v>63</v>
      </c>
      <c r="H913" s="48" t="s">
        <v>63</v>
      </c>
      <c r="I913" s="48">
        <v>1</v>
      </c>
      <c r="J913" s="48">
        <v>98</v>
      </c>
      <c r="K913" s="48">
        <v>1</v>
      </c>
      <c r="N913" s="48">
        <v>0</v>
      </c>
      <c r="R913" s="49"/>
      <c r="S913" s="181">
        <v>0</v>
      </c>
      <c r="T913" s="49">
        <v>48913</v>
      </c>
      <c r="U913" s="49">
        <v>48913</v>
      </c>
      <c r="V913" s="49">
        <v>48913</v>
      </c>
      <c r="W913" s="49">
        <v>48913</v>
      </c>
      <c r="X913" s="48">
        <v>1</v>
      </c>
      <c r="Y913" s="48">
        <v>1</v>
      </c>
      <c r="Z913" s="48">
        <v>1</v>
      </c>
      <c r="AA913" s="156">
        <v>0</v>
      </c>
      <c r="AF913" s="48">
        <v>0</v>
      </c>
      <c r="AG913" s="49" t="s">
        <v>32</v>
      </c>
      <c r="AH913" s="48">
        <v>1</v>
      </c>
      <c r="AI913" s="48" t="s">
        <v>33</v>
      </c>
      <c r="AJ913" s="48" t="s">
        <v>33</v>
      </c>
      <c r="AK913" s="48" t="s">
        <v>33</v>
      </c>
      <c r="AL913" s="48" t="s">
        <v>34</v>
      </c>
      <c r="AN913" s="48">
        <v>0</v>
      </c>
      <c r="AO913" s="48">
        <v>0</v>
      </c>
      <c r="AP913" s="48">
        <v>0</v>
      </c>
      <c r="AQ913" s="48">
        <v>0</v>
      </c>
      <c r="AR913" s="48">
        <v>0</v>
      </c>
      <c r="AS913" s="48">
        <v>0</v>
      </c>
      <c r="AT913" s="48">
        <v>0</v>
      </c>
      <c r="AU913" s="48">
        <v>0</v>
      </c>
      <c r="AV913" s="48">
        <v>0</v>
      </c>
      <c r="AW913" s="48">
        <v>0</v>
      </c>
      <c r="AX913" s="48">
        <v>0</v>
      </c>
      <c r="AY913" s="48">
        <v>0</v>
      </c>
      <c r="AZ913" s="48">
        <v>0</v>
      </c>
      <c r="BA913" s="48">
        <v>0</v>
      </c>
      <c r="BB913" s="48">
        <v>0</v>
      </c>
    </row>
    <row r="914" spans="1:54" x14ac:dyDescent="0.35">
      <c r="A914" s="49">
        <v>45930</v>
      </c>
      <c r="B914" s="48">
        <v>1</v>
      </c>
      <c r="C914" s="50" t="s">
        <v>32</v>
      </c>
      <c r="D914" s="48" t="s">
        <v>31</v>
      </c>
      <c r="E914" s="48" t="s">
        <v>138</v>
      </c>
      <c r="F914" s="48" t="s">
        <v>139</v>
      </c>
      <c r="G914" s="49" t="s">
        <v>63</v>
      </c>
      <c r="H914" s="48" t="s">
        <v>63</v>
      </c>
      <c r="I914" s="48">
        <v>1</v>
      </c>
      <c r="J914" s="48">
        <v>99</v>
      </c>
      <c r="K914" s="48">
        <v>1</v>
      </c>
      <c r="N914" s="48">
        <v>0</v>
      </c>
      <c r="R914" s="49"/>
      <c r="S914" s="181">
        <v>0</v>
      </c>
      <c r="T914" s="49">
        <v>48944</v>
      </c>
      <c r="U914" s="49">
        <v>48944</v>
      </c>
      <c r="V914" s="49">
        <v>48944</v>
      </c>
      <c r="W914" s="49">
        <v>48944</v>
      </c>
      <c r="X914" s="48">
        <v>1</v>
      </c>
      <c r="Y914" s="48">
        <v>1</v>
      </c>
      <c r="Z914" s="48">
        <v>1</v>
      </c>
      <c r="AA914" s="156">
        <v>0</v>
      </c>
      <c r="AF914" s="48">
        <v>0</v>
      </c>
      <c r="AG914" s="49" t="s">
        <v>32</v>
      </c>
      <c r="AH914" s="48">
        <v>1</v>
      </c>
      <c r="AI914" s="48" t="s">
        <v>33</v>
      </c>
      <c r="AJ914" s="48" t="s">
        <v>33</v>
      </c>
      <c r="AK914" s="48" t="s">
        <v>33</v>
      </c>
      <c r="AL914" s="48" t="s">
        <v>34</v>
      </c>
      <c r="AN914" s="48">
        <v>0</v>
      </c>
      <c r="AO914" s="48">
        <v>0</v>
      </c>
      <c r="AP914" s="48">
        <v>0</v>
      </c>
      <c r="AQ914" s="48">
        <v>0</v>
      </c>
      <c r="AR914" s="48">
        <v>0</v>
      </c>
      <c r="AS914" s="48">
        <v>0</v>
      </c>
      <c r="AT914" s="48">
        <v>0</v>
      </c>
      <c r="AU914" s="48">
        <v>0</v>
      </c>
      <c r="AV914" s="48">
        <v>0</v>
      </c>
      <c r="AW914" s="48">
        <v>0</v>
      </c>
      <c r="AX914" s="48">
        <v>0</v>
      </c>
      <c r="AY914" s="48">
        <v>0</v>
      </c>
      <c r="AZ914" s="48">
        <v>0</v>
      </c>
      <c r="BA914" s="48">
        <v>0</v>
      </c>
      <c r="BB914" s="48">
        <v>0</v>
      </c>
    </row>
    <row r="915" spans="1:54" x14ac:dyDescent="0.35">
      <c r="A915" s="49">
        <v>45930</v>
      </c>
      <c r="B915" s="48">
        <v>1</v>
      </c>
      <c r="C915" s="50" t="s">
        <v>32</v>
      </c>
      <c r="D915" s="48" t="s">
        <v>31</v>
      </c>
      <c r="E915" s="48" t="s">
        <v>138</v>
      </c>
      <c r="F915" s="48" t="s">
        <v>139</v>
      </c>
      <c r="G915" s="49" t="s">
        <v>63</v>
      </c>
      <c r="H915" s="48" t="s">
        <v>63</v>
      </c>
      <c r="I915" s="48">
        <v>1</v>
      </c>
      <c r="J915" s="48">
        <v>100</v>
      </c>
      <c r="K915" s="48">
        <v>1</v>
      </c>
      <c r="N915" s="48">
        <v>0</v>
      </c>
      <c r="R915" s="49"/>
      <c r="S915" s="181">
        <v>0</v>
      </c>
      <c r="T915" s="49">
        <v>48975</v>
      </c>
      <c r="U915" s="49">
        <v>48975</v>
      </c>
      <c r="V915" s="49">
        <v>48975</v>
      </c>
      <c r="W915" s="49">
        <v>48975</v>
      </c>
      <c r="X915" s="48">
        <v>1</v>
      </c>
      <c r="Y915" s="48">
        <v>1</v>
      </c>
      <c r="Z915" s="48">
        <v>1</v>
      </c>
      <c r="AA915" s="156">
        <v>0</v>
      </c>
      <c r="AF915" s="48">
        <v>0</v>
      </c>
      <c r="AG915" s="49" t="s">
        <v>32</v>
      </c>
      <c r="AH915" s="48">
        <v>1</v>
      </c>
      <c r="AI915" s="48" t="s">
        <v>33</v>
      </c>
      <c r="AJ915" s="48" t="s">
        <v>33</v>
      </c>
      <c r="AK915" s="48" t="s">
        <v>33</v>
      </c>
      <c r="AL915" s="48" t="s">
        <v>34</v>
      </c>
      <c r="AN915" s="48">
        <v>0</v>
      </c>
      <c r="AO915" s="48">
        <v>0</v>
      </c>
      <c r="AP915" s="48">
        <v>0</v>
      </c>
      <c r="AQ915" s="48">
        <v>0</v>
      </c>
      <c r="AR915" s="48">
        <v>0</v>
      </c>
      <c r="AS915" s="48">
        <v>0</v>
      </c>
      <c r="AT915" s="48">
        <v>0</v>
      </c>
      <c r="AU915" s="48">
        <v>0</v>
      </c>
      <c r="AV915" s="48">
        <v>0</v>
      </c>
      <c r="AW915" s="48">
        <v>0</v>
      </c>
      <c r="AX915" s="48">
        <v>0</v>
      </c>
      <c r="AY915" s="48">
        <v>0</v>
      </c>
      <c r="AZ915" s="48">
        <v>0</v>
      </c>
      <c r="BA915" s="48">
        <v>0</v>
      </c>
      <c r="BB915" s="48">
        <v>0</v>
      </c>
    </row>
    <row r="916" spans="1:54" x14ac:dyDescent="0.35">
      <c r="A916" s="49">
        <v>45930</v>
      </c>
      <c r="B916" s="48">
        <v>1</v>
      </c>
      <c r="C916" s="50" t="s">
        <v>32</v>
      </c>
      <c r="D916" s="48" t="s">
        <v>31</v>
      </c>
      <c r="E916" s="48" t="s">
        <v>138</v>
      </c>
      <c r="F916" s="48" t="s">
        <v>139</v>
      </c>
      <c r="G916" s="49" t="s">
        <v>63</v>
      </c>
      <c r="H916" s="48" t="s">
        <v>63</v>
      </c>
      <c r="I916" s="48">
        <v>1</v>
      </c>
      <c r="J916" s="48">
        <v>101</v>
      </c>
      <c r="K916" s="48">
        <v>1</v>
      </c>
      <c r="N916" s="48">
        <v>0</v>
      </c>
      <c r="R916" s="49"/>
      <c r="S916" s="181">
        <v>0</v>
      </c>
      <c r="T916" s="49">
        <v>49003</v>
      </c>
      <c r="U916" s="49">
        <v>49003</v>
      </c>
      <c r="V916" s="49">
        <v>49003</v>
      </c>
      <c r="W916" s="49">
        <v>49003</v>
      </c>
      <c r="X916" s="48">
        <v>1</v>
      </c>
      <c r="Y916" s="48">
        <v>1</v>
      </c>
      <c r="Z916" s="48">
        <v>1</v>
      </c>
      <c r="AA916" s="156">
        <v>0</v>
      </c>
      <c r="AF916" s="48">
        <v>0</v>
      </c>
      <c r="AG916" s="49" t="s">
        <v>32</v>
      </c>
      <c r="AH916" s="48">
        <v>1</v>
      </c>
      <c r="AI916" s="48" t="s">
        <v>33</v>
      </c>
      <c r="AJ916" s="48" t="s">
        <v>33</v>
      </c>
      <c r="AK916" s="48" t="s">
        <v>33</v>
      </c>
      <c r="AL916" s="48" t="s">
        <v>34</v>
      </c>
      <c r="AN916" s="48">
        <v>0</v>
      </c>
      <c r="AO916" s="48">
        <v>0</v>
      </c>
      <c r="AP916" s="48">
        <v>0</v>
      </c>
      <c r="AQ916" s="48">
        <v>0</v>
      </c>
      <c r="AR916" s="48">
        <v>0</v>
      </c>
      <c r="AS916" s="48">
        <v>0</v>
      </c>
      <c r="AT916" s="48">
        <v>0</v>
      </c>
      <c r="AU916" s="48">
        <v>0</v>
      </c>
      <c r="AV916" s="48">
        <v>0</v>
      </c>
      <c r="AW916" s="48">
        <v>0</v>
      </c>
      <c r="AX916" s="48">
        <v>0</v>
      </c>
      <c r="AY916" s="48">
        <v>0</v>
      </c>
      <c r="AZ916" s="48">
        <v>0</v>
      </c>
      <c r="BA916" s="48">
        <v>0</v>
      </c>
      <c r="BB916" s="48">
        <v>0</v>
      </c>
    </row>
    <row r="917" spans="1:54" x14ac:dyDescent="0.35">
      <c r="A917" s="49">
        <v>45930</v>
      </c>
      <c r="B917" s="48">
        <v>1</v>
      </c>
      <c r="C917" s="50" t="s">
        <v>32</v>
      </c>
      <c r="D917" s="48" t="s">
        <v>31</v>
      </c>
      <c r="E917" s="48" t="s">
        <v>138</v>
      </c>
      <c r="F917" s="48" t="s">
        <v>139</v>
      </c>
      <c r="G917" s="49" t="s">
        <v>63</v>
      </c>
      <c r="H917" s="48" t="s">
        <v>63</v>
      </c>
      <c r="I917" s="48">
        <v>1</v>
      </c>
      <c r="J917" s="48">
        <v>102</v>
      </c>
      <c r="K917" s="48">
        <v>1</v>
      </c>
      <c r="N917" s="48">
        <v>0</v>
      </c>
      <c r="R917" s="49"/>
      <c r="S917" s="181">
        <v>0</v>
      </c>
      <c r="T917" s="49">
        <v>49034</v>
      </c>
      <c r="U917" s="49">
        <v>49034</v>
      </c>
      <c r="V917" s="49">
        <v>49034</v>
      </c>
      <c r="W917" s="49">
        <v>49034</v>
      </c>
      <c r="X917" s="48">
        <v>1</v>
      </c>
      <c r="Y917" s="48">
        <v>1</v>
      </c>
      <c r="Z917" s="48">
        <v>1</v>
      </c>
      <c r="AA917" s="156">
        <v>0</v>
      </c>
      <c r="AF917" s="48">
        <v>0</v>
      </c>
      <c r="AG917" s="49" t="s">
        <v>32</v>
      </c>
      <c r="AH917" s="48">
        <v>1</v>
      </c>
      <c r="AI917" s="48" t="s">
        <v>33</v>
      </c>
      <c r="AJ917" s="48" t="s">
        <v>33</v>
      </c>
      <c r="AK917" s="48" t="s">
        <v>33</v>
      </c>
      <c r="AL917" s="48" t="s">
        <v>34</v>
      </c>
      <c r="AN917" s="48">
        <v>0</v>
      </c>
      <c r="AO917" s="48">
        <v>0</v>
      </c>
      <c r="AP917" s="48">
        <v>0</v>
      </c>
      <c r="AQ917" s="48">
        <v>0</v>
      </c>
      <c r="AR917" s="48">
        <v>0</v>
      </c>
      <c r="AS917" s="48">
        <v>0</v>
      </c>
      <c r="AT917" s="48">
        <v>0</v>
      </c>
      <c r="AU917" s="48">
        <v>0</v>
      </c>
      <c r="AV917" s="48">
        <v>0</v>
      </c>
      <c r="AW917" s="48">
        <v>0</v>
      </c>
      <c r="AX917" s="48">
        <v>0</v>
      </c>
      <c r="AY917" s="48">
        <v>0</v>
      </c>
      <c r="AZ917" s="48">
        <v>0</v>
      </c>
      <c r="BA917" s="48">
        <v>0</v>
      </c>
      <c r="BB917" s="48">
        <v>0</v>
      </c>
    </row>
    <row r="918" spans="1:54" x14ac:dyDescent="0.35">
      <c r="A918" s="49">
        <v>45930</v>
      </c>
      <c r="B918" s="48">
        <v>1</v>
      </c>
      <c r="C918" s="50" t="s">
        <v>32</v>
      </c>
      <c r="D918" s="48" t="s">
        <v>31</v>
      </c>
      <c r="E918" s="48" t="s">
        <v>138</v>
      </c>
      <c r="F918" s="48" t="s">
        <v>139</v>
      </c>
      <c r="G918" s="49" t="s">
        <v>63</v>
      </c>
      <c r="H918" s="48" t="s">
        <v>63</v>
      </c>
      <c r="I918" s="48">
        <v>1</v>
      </c>
      <c r="J918" s="48">
        <v>103</v>
      </c>
      <c r="K918" s="48">
        <v>1</v>
      </c>
      <c r="N918" s="48">
        <v>0</v>
      </c>
      <c r="R918" s="49"/>
      <c r="S918" s="181">
        <v>0</v>
      </c>
      <c r="T918" s="49">
        <v>49064</v>
      </c>
      <c r="U918" s="49">
        <v>49064</v>
      </c>
      <c r="V918" s="49">
        <v>49064</v>
      </c>
      <c r="W918" s="49">
        <v>49064</v>
      </c>
      <c r="X918" s="48">
        <v>1</v>
      </c>
      <c r="Y918" s="48">
        <v>1</v>
      </c>
      <c r="Z918" s="48">
        <v>1</v>
      </c>
      <c r="AA918" s="156">
        <v>0</v>
      </c>
      <c r="AF918" s="48">
        <v>0</v>
      </c>
      <c r="AG918" s="49" t="s">
        <v>32</v>
      </c>
      <c r="AH918" s="48">
        <v>1</v>
      </c>
      <c r="AI918" s="48" t="s">
        <v>33</v>
      </c>
      <c r="AJ918" s="48" t="s">
        <v>33</v>
      </c>
      <c r="AK918" s="48" t="s">
        <v>33</v>
      </c>
      <c r="AL918" s="48" t="s">
        <v>34</v>
      </c>
      <c r="AN918" s="48">
        <v>0</v>
      </c>
      <c r="AO918" s="48">
        <v>0</v>
      </c>
      <c r="AP918" s="48">
        <v>0</v>
      </c>
      <c r="AQ918" s="48">
        <v>0</v>
      </c>
      <c r="AR918" s="48">
        <v>0</v>
      </c>
      <c r="AS918" s="48">
        <v>0</v>
      </c>
      <c r="AT918" s="48">
        <v>0</v>
      </c>
      <c r="AU918" s="48">
        <v>0</v>
      </c>
      <c r="AV918" s="48">
        <v>0</v>
      </c>
      <c r="AW918" s="48">
        <v>0</v>
      </c>
      <c r="AX918" s="48">
        <v>0</v>
      </c>
      <c r="AY918" s="48">
        <v>0</v>
      </c>
      <c r="AZ918" s="48">
        <v>0</v>
      </c>
      <c r="BA918" s="48">
        <v>0</v>
      </c>
      <c r="BB918" s="48">
        <v>0</v>
      </c>
    </row>
    <row r="919" spans="1:54" x14ac:dyDescent="0.35">
      <c r="A919" s="49">
        <v>45930</v>
      </c>
      <c r="B919" s="48">
        <v>1</v>
      </c>
      <c r="C919" s="50" t="s">
        <v>32</v>
      </c>
      <c r="D919" s="48" t="s">
        <v>31</v>
      </c>
      <c r="E919" s="48" t="s">
        <v>138</v>
      </c>
      <c r="F919" s="48" t="s">
        <v>139</v>
      </c>
      <c r="G919" s="49" t="s">
        <v>63</v>
      </c>
      <c r="H919" s="48" t="s">
        <v>63</v>
      </c>
      <c r="I919" s="48">
        <v>1</v>
      </c>
      <c r="J919" s="48">
        <v>104</v>
      </c>
      <c r="K919" s="48">
        <v>1</v>
      </c>
      <c r="N919" s="48">
        <v>0</v>
      </c>
      <c r="R919" s="49"/>
      <c r="S919" s="181">
        <v>0</v>
      </c>
      <c r="T919" s="49">
        <v>49095</v>
      </c>
      <c r="U919" s="49">
        <v>49095</v>
      </c>
      <c r="V919" s="49">
        <v>49095</v>
      </c>
      <c r="W919" s="49">
        <v>49095</v>
      </c>
      <c r="X919" s="48">
        <v>1</v>
      </c>
      <c r="Y919" s="48">
        <v>1</v>
      </c>
      <c r="Z919" s="48">
        <v>1</v>
      </c>
      <c r="AA919" s="156">
        <v>0</v>
      </c>
      <c r="AF919" s="48">
        <v>0</v>
      </c>
      <c r="AG919" s="49" t="s">
        <v>32</v>
      </c>
      <c r="AH919" s="48">
        <v>1</v>
      </c>
      <c r="AI919" s="48" t="s">
        <v>33</v>
      </c>
      <c r="AJ919" s="48" t="s">
        <v>33</v>
      </c>
      <c r="AK919" s="48" t="s">
        <v>33</v>
      </c>
      <c r="AL919" s="48" t="s">
        <v>34</v>
      </c>
      <c r="AN919" s="48">
        <v>0</v>
      </c>
      <c r="AO919" s="48">
        <v>0</v>
      </c>
      <c r="AP919" s="48">
        <v>0</v>
      </c>
      <c r="AQ919" s="48">
        <v>0</v>
      </c>
      <c r="AR919" s="48">
        <v>0</v>
      </c>
      <c r="AS919" s="48">
        <v>0</v>
      </c>
      <c r="AT919" s="48">
        <v>0</v>
      </c>
      <c r="AU919" s="48">
        <v>0</v>
      </c>
      <c r="AV919" s="48">
        <v>0</v>
      </c>
      <c r="AW919" s="48">
        <v>0</v>
      </c>
      <c r="AX919" s="48">
        <v>0</v>
      </c>
      <c r="AY919" s="48">
        <v>0</v>
      </c>
      <c r="AZ919" s="48">
        <v>0</v>
      </c>
      <c r="BA919" s="48">
        <v>0</v>
      </c>
      <c r="BB919" s="48">
        <v>0</v>
      </c>
    </row>
    <row r="920" spans="1:54" x14ac:dyDescent="0.35">
      <c r="A920" s="49">
        <v>45930</v>
      </c>
      <c r="B920" s="48">
        <v>1</v>
      </c>
      <c r="C920" s="50" t="s">
        <v>32</v>
      </c>
      <c r="D920" s="48" t="s">
        <v>31</v>
      </c>
      <c r="E920" s="48" t="s">
        <v>138</v>
      </c>
      <c r="F920" s="48" t="s">
        <v>139</v>
      </c>
      <c r="G920" s="49" t="s">
        <v>63</v>
      </c>
      <c r="H920" s="48" t="s">
        <v>63</v>
      </c>
      <c r="I920" s="48">
        <v>1</v>
      </c>
      <c r="J920" s="48">
        <v>105</v>
      </c>
      <c r="K920" s="48">
        <v>1</v>
      </c>
      <c r="N920" s="48">
        <v>0</v>
      </c>
      <c r="R920" s="49"/>
      <c r="S920" s="181">
        <v>0</v>
      </c>
      <c r="T920" s="49">
        <v>49125</v>
      </c>
      <c r="U920" s="49">
        <v>49125</v>
      </c>
      <c r="V920" s="49">
        <v>49125</v>
      </c>
      <c r="W920" s="49">
        <v>49125</v>
      </c>
      <c r="X920" s="48">
        <v>1</v>
      </c>
      <c r="Y920" s="48">
        <v>1</v>
      </c>
      <c r="Z920" s="48">
        <v>1</v>
      </c>
      <c r="AA920" s="156">
        <v>0</v>
      </c>
      <c r="AF920" s="48">
        <v>0</v>
      </c>
      <c r="AG920" s="49" t="s">
        <v>32</v>
      </c>
      <c r="AH920" s="48">
        <v>1</v>
      </c>
      <c r="AI920" s="48" t="s">
        <v>33</v>
      </c>
      <c r="AJ920" s="48" t="s">
        <v>33</v>
      </c>
      <c r="AK920" s="48" t="s">
        <v>33</v>
      </c>
      <c r="AL920" s="48" t="s">
        <v>34</v>
      </c>
      <c r="AN920" s="48">
        <v>0</v>
      </c>
      <c r="AO920" s="48">
        <v>0</v>
      </c>
      <c r="AP920" s="48">
        <v>0</v>
      </c>
      <c r="AQ920" s="48">
        <v>0</v>
      </c>
      <c r="AR920" s="48">
        <v>0</v>
      </c>
      <c r="AS920" s="48">
        <v>0</v>
      </c>
      <c r="AT920" s="48">
        <v>0</v>
      </c>
      <c r="AU920" s="48">
        <v>0</v>
      </c>
      <c r="AV920" s="48">
        <v>0</v>
      </c>
      <c r="AW920" s="48">
        <v>0</v>
      </c>
      <c r="AX920" s="48">
        <v>0</v>
      </c>
      <c r="AY920" s="48">
        <v>0</v>
      </c>
      <c r="AZ920" s="48">
        <v>0</v>
      </c>
      <c r="BA920" s="48">
        <v>0</v>
      </c>
      <c r="BB920" s="48">
        <v>0</v>
      </c>
    </row>
    <row r="921" spans="1:54" x14ac:dyDescent="0.35">
      <c r="A921" s="49">
        <v>45930</v>
      </c>
      <c r="B921" s="48">
        <v>1</v>
      </c>
      <c r="C921" s="50" t="s">
        <v>32</v>
      </c>
      <c r="D921" s="48" t="s">
        <v>31</v>
      </c>
      <c r="E921" s="48" t="s">
        <v>138</v>
      </c>
      <c r="F921" s="48" t="s">
        <v>139</v>
      </c>
      <c r="G921" s="49" t="s">
        <v>63</v>
      </c>
      <c r="H921" s="48" t="s">
        <v>63</v>
      </c>
      <c r="I921" s="48">
        <v>1</v>
      </c>
      <c r="J921" s="48">
        <v>106</v>
      </c>
      <c r="K921" s="48">
        <v>1</v>
      </c>
      <c r="N921" s="48">
        <v>0</v>
      </c>
      <c r="R921" s="49"/>
      <c r="S921" s="181">
        <v>0</v>
      </c>
      <c r="T921" s="49">
        <v>49156</v>
      </c>
      <c r="U921" s="49">
        <v>49156</v>
      </c>
      <c r="V921" s="49">
        <v>49156</v>
      </c>
      <c r="W921" s="49">
        <v>49156</v>
      </c>
      <c r="X921" s="48">
        <v>1</v>
      </c>
      <c r="Y921" s="48">
        <v>1</v>
      </c>
      <c r="Z921" s="48">
        <v>1</v>
      </c>
      <c r="AA921" s="156">
        <v>0</v>
      </c>
      <c r="AF921" s="48">
        <v>0</v>
      </c>
      <c r="AG921" s="49" t="s">
        <v>32</v>
      </c>
      <c r="AH921" s="48">
        <v>1</v>
      </c>
      <c r="AI921" s="48" t="s">
        <v>33</v>
      </c>
      <c r="AJ921" s="48" t="s">
        <v>33</v>
      </c>
      <c r="AK921" s="48" t="s">
        <v>33</v>
      </c>
      <c r="AL921" s="48" t="s">
        <v>34</v>
      </c>
      <c r="AN921" s="48">
        <v>0</v>
      </c>
      <c r="AO921" s="48">
        <v>0</v>
      </c>
      <c r="AP921" s="48">
        <v>0</v>
      </c>
      <c r="AQ921" s="48">
        <v>0</v>
      </c>
      <c r="AR921" s="48">
        <v>0</v>
      </c>
      <c r="AS921" s="48">
        <v>0</v>
      </c>
      <c r="AT921" s="48">
        <v>0</v>
      </c>
      <c r="AU921" s="48">
        <v>0</v>
      </c>
      <c r="AV921" s="48">
        <v>0</v>
      </c>
      <c r="AW921" s="48">
        <v>0</v>
      </c>
      <c r="AX921" s="48">
        <v>0</v>
      </c>
      <c r="AY921" s="48">
        <v>0</v>
      </c>
      <c r="AZ921" s="48">
        <v>0</v>
      </c>
      <c r="BA921" s="48">
        <v>0</v>
      </c>
      <c r="BB921" s="48">
        <v>0</v>
      </c>
    </row>
    <row r="922" spans="1:54" x14ac:dyDescent="0.35">
      <c r="A922" s="49">
        <v>45930</v>
      </c>
      <c r="B922" s="48">
        <v>1</v>
      </c>
      <c r="C922" s="50" t="s">
        <v>32</v>
      </c>
      <c r="D922" s="48" t="s">
        <v>31</v>
      </c>
      <c r="E922" s="48" t="s">
        <v>138</v>
      </c>
      <c r="F922" s="48" t="s">
        <v>139</v>
      </c>
      <c r="G922" s="49" t="s">
        <v>63</v>
      </c>
      <c r="H922" s="48" t="s">
        <v>63</v>
      </c>
      <c r="I922" s="48">
        <v>1</v>
      </c>
      <c r="J922" s="48">
        <v>107</v>
      </c>
      <c r="K922" s="48">
        <v>1</v>
      </c>
      <c r="N922" s="48">
        <v>0</v>
      </c>
      <c r="R922" s="49"/>
      <c r="S922" s="181">
        <v>0</v>
      </c>
      <c r="T922" s="49">
        <v>49187</v>
      </c>
      <c r="U922" s="49">
        <v>49187</v>
      </c>
      <c r="V922" s="49">
        <v>49187</v>
      </c>
      <c r="W922" s="49">
        <v>49187</v>
      </c>
      <c r="X922" s="48">
        <v>1</v>
      </c>
      <c r="Y922" s="48">
        <v>1</v>
      </c>
      <c r="Z922" s="48">
        <v>1</v>
      </c>
      <c r="AA922" s="156">
        <v>0</v>
      </c>
      <c r="AF922" s="48">
        <v>0</v>
      </c>
      <c r="AG922" s="49" t="s">
        <v>32</v>
      </c>
      <c r="AH922" s="48">
        <v>1</v>
      </c>
      <c r="AI922" s="48" t="s">
        <v>33</v>
      </c>
      <c r="AJ922" s="48" t="s">
        <v>33</v>
      </c>
      <c r="AK922" s="48" t="s">
        <v>33</v>
      </c>
      <c r="AL922" s="48" t="s">
        <v>34</v>
      </c>
      <c r="AN922" s="48">
        <v>0</v>
      </c>
      <c r="AO922" s="48">
        <v>0</v>
      </c>
      <c r="AP922" s="48">
        <v>0</v>
      </c>
      <c r="AQ922" s="48">
        <v>0</v>
      </c>
      <c r="AR922" s="48">
        <v>0</v>
      </c>
      <c r="AS922" s="48">
        <v>0</v>
      </c>
      <c r="AT922" s="48">
        <v>0</v>
      </c>
      <c r="AU922" s="48">
        <v>0</v>
      </c>
      <c r="AV922" s="48">
        <v>0</v>
      </c>
      <c r="AW922" s="48">
        <v>0</v>
      </c>
      <c r="AX922" s="48">
        <v>0</v>
      </c>
      <c r="AY922" s="48">
        <v>0</v>
      </c>
      <c r="AZ922" s="48">
        <v>0</v>
      </c>
      <c r="BA922" s="48">
        <v>0</v>
      </c>
      <c r="BB922" s="48">
        <v>0</v>
      </c>
    </row>
    <row r="923" spans="1:54" x14ac:dyDescent="0.35">
      <c r="A923" s="49">
        <v>45930</v>
      </c>
      <c r="B923" s="48">
        <v>1</v>
      </c>
      <c r="C923" s="50" t="s">
        <v>32</v>
      </c>
      <c r="D923" s="48" t="s">
        <v>31</v>
      </c>
      <c r="E923" s="48" t="s">
        <v>138</v>
      </c>
      <c r="F923" s="48" t="s">
        <v>139</v>
      </c>
      <c r="G923" s="49" t="s">
        <v>63</v>
      </c>
      <c r="H923" s="48" t="s">
        <v>63</v>
      </c>
      <c r="I923" s="48">
        <v>1</v>
      </c>
      <c r="J923" s="48">
        <v>108</v>
      </c>
      <c r="K923" s="48">
        <v>1</v>
      </c>
      <c r="N923" s="48">
        <v>0</v>
      </c>
      <c r="R923" s="49"/>
      <c r="S923" s="181">
        <v>0</v>
      </c>
      <c r="T923" s="49">
        <v>49217</v>
      </c>
      <c r="U923" s="49">
        <v>49217</v>
      </c>
      <c r="V923" s="49">
        <v>49217</v>
      </c>
      <c r="W923" s="49">
        <v>49217</v>
      </c>
      <c r="X923" s="48">
        <v>1</v>
      </c>
      <c r="Y923" s="48">
        <v>1</v>
      </c>
      <c r="Z923" s="48">
        <v>1</v>
      </c>
      <c r="AA923" s="156">
        <v>0</v>
      </c>
      <c r="AF923" s="48">
        <v>0</v>
      </c>
      <c r="AG923" s="49" t="s">
        <v>32</v>
      </c>
      <c r="AH923" s="48">
        <v>1</v>
      </c>
      <c r="AI923" s="48" t="s">
        <v>33</v>
      </c>
      <c r="AJ923" s="48" t="s">
        <v>33</v>
      </c>
      <c r="AK923" s="48" t="s">
        <v>33</v>
      </c>
      <c r="AL923" s="48" t="s">
        <v>34</v>
      </c>
      <c r="AN923" s="48">
        <v>0</v>
      </c>
      <c r="AO923" s="48">
        <v>0</v>
      </c>
      <c r="AP923" s="48">
        <v>0</v>
      </c>
      <c r="AQ923" s="48">
        <v>0</v>
      </c>
      <c r="AR923" s="48">
        <v>0</v>
      </c>
      <c r="AS923" s="48">
        <v>0</v>
      </c>
      <c r="AT923" s="48">
        <v>0</v>
      </c>
      <c r="AU923" s="48">
        <v>0</v>
      </c>
      <c r="AV923" s="48">
        <v>0</v>
      </c>
      <c r="AW923" s="48">
        <v>0</v>
      </c>
      <c r="AX923" s="48">
        <v>0</v>
      </c>
      <c r="AY923" s="48">
        <v>0</v>
      </c>
      <c r="AZ923" s="48">
        <v>0</v>
      </c>
      <c r="BA923" s="48">
        <v>0</v>
      </c>
      <c r="BB923" s="48">
        <v>0</v>
      </c>
    </row>
    <row r="924" spans="1:54" x14ac:dyDescent="0.35">
      <c r="A924" s="49">
        <v>45930</v>
      </c>
      <c r="B924" s="48">
        <v>1</v>
      </c>
      <c r="C924" s="50" t="s">
        <v>32</v>
      </c>
      <c r="D924" s="48" t="s">
        <v>31</v>
      </c>
      <c r="E924" s="48" t="s">
        <v>138</v>
      </c>
      <c r="F924" s="48" t="s">
        <v>139</v>
      </c>
      <c r="G924" s="49" t="s">
        <v>63</v>
      </c>
      <c r="H924" s="48" t="s">
        <v>63</v>
      </c>
      <c r="I924" s="48">
        <v>1</v>
      </c>
      <c r="J924" s="48">
        <v>109</v>
      </c>
      <c r="K924" s="48">
        <v>1</v>
      </c>
      <c r="N924" s="48">
        <v>0</v>
      </c>
      <c r="R924" s="49"/>
      <c r="S924" s="181">
        <v>0</v>
      </c>
      <c r="T924" s="49">
        <v>49248</v>
      </c>
      <c r="U924" s="49">
        <v>49248</v>
      </c>
      <c r="V924" s="49">
        <v>49248</v>
      </c>
      <c r="W924" s="49">
        <v>49248</v>
      </c>
      <c r="X924" s="48">
        <v>1</v>
      </c>
      <c r="Y924" s="48">
        <v>1</v>
      </c>
      <c r="Z924" s="48">
        <v>1</v>
      </c>
      <c r="AA924" s="156">
        <v>0</v>
      </c>
      <c r="AF924" s="48">
        <v>0</v>
      </c>
      <c r="AG924" s="49" t="s">
        <v>32</v>
      </c>
      <c r="AH924" s="48">
        <v>1</v>
      </c>
      <c r="AI924" s="48" t="s">
        <v>33</v>
      </c>
      <c r="AJ924" s="48" t="s">
        <v>33</v>
      </c>
      <c r="AK924" s="48" t="s">
        <v>33</v>
      </c>
      <c r="AL924" s="48" t="s">
        <v>34</v>
      </c>
      <c r="AN924" s="48">
        <v>0</v>
      </c>
      <c r="AO924" s="48">
        <v>0</v>
      </c>
      <c r="AP924" s="48">
        <v>0</v>
      </c>
      <c r="AQ924" s="48">
        <v>0</v>
      </c>
      <c r="AR924" s="48">
        <v>0</v>
      </c>
      <c r="AS924" s="48">
        <v>0</v>
      </c>
      <c r="AT924" s="48">
        <v>0</v>
      </c>
      <c r="AU924" s="48">
        <v>0</v>
      </c>
      <c r="AV924" s="48">
        <v>0</v>
      </c>
      <c r="AW924" s="48">
        <v>0</v>
      </c>
      <c r="AX924" s="48">
        <v>0</v>
      </c>
      <c r="AY924" s="48">
        <v>0</v>
      </c>
      <c r="AZ924" s="48">
        <v>0</v>
      </c>
      <c r="BA924" s="48">
        <v>0</v>
      </c>
      <c r="BB924" s="48">
        <v>0</v>
      </c>
    </row>
    <row r="925" spans="1:54" x14ac:dyDescent="0.35">
      <c r="A925" s="49">
        <v>45930</v>
      </c>
      <c r="B925" s="48">
        <v>1</v>
      </c>
      <c r="C925" s="50" t="s">
        <v>32</v>
      </c>
      <c r="D925" s="48" t="s">
        <v>31</v>
      </c>
      <c r="E925" s="48" t="s">
        <v>138</v>
      </c>
      <c r="F925" s="48" t="s">
        <v>139</v>
      </c>
      <c r="G925" s="49" t="s">
        <v>63</v>
      </c>
      <c r="H925" s="48" t="s">
        <v>63</v>
      </c>
      <c r="I925" s="48">
        <v>1</v>
      </c>
      <c r="J925" s="48">
        <v>110</v>
      </c>
      <c r="K925" s="48">
        <v>1</v>
      </c>
      <c r="N925" s="48">
        <v>0</v>
      </c>
      <c r="R925" s="49"/>
      <c r="S925" s="181">
        <v>0</v>
      </c>
      <c r="T925" s="49">
        <v>49278</v>
      </c>
      <c r="U925" s="49">
        <v>49278</v>
      </c>
      <c r="V925" s="49">
        <v>49278</v>
      </c>
      <c r="W925" s="49">
        <v>49278</v>
      </c>
      <c r="X925" s="48">
        <v>1</v>
      </c>
      <c r="Y925" s="48">
        <v>1</v>
      </c>
      <c r="Z925" s="48">
        <v>1</v>
      </c>
      <c r="AA925" s="156">
        <v>0</v>
      </c>
      <c r="AF925" s="48">
        <v>0</v>
      </c>
      <c r="AG925" s="49" t="s">
        <v>32</v>
      </c>
      <c r="AH925" s="48">
        <v>1</v>
      </c>
      <c r="AI925" s="48" t="s">
        <v>33</v>
      </c>
      <c r="AJ925" s="48" t="s">
        <v>33</v>
      </c>
      <c r="AK925" s="48" t="s">
        <v>33</v>
      </c>
      <c r="AL925" s="48" t="s">
        <v>34</v>
      </c>
      <c r="AN925" s="48">
        <v>0</v>
      </c>
      <c r="AO925" s="48">
        <v>0</v>
      </c>
      <c r="AP925" s="48">
        <v>0</v>
      </c>
      <c r="AQ925" s="48">
        <v>0</v>
      </c>
      <c r="AR925" s="48">
        <v>0</v>
      </c>
      <c r="AS925" s="48">
        <v>0</v>
      </c>
      <c r="AT925" s="48">
        <v>0</v>
      </c>
      <c r="AU925" s="48">
        <v>0</v>
      </c>
      <c r="AV925" s="48">
        <v>0</v>
      </c>
      <c r="AW925" s="48">
        <v>0</v>
      </c>
      <c r="AX925" s="48">
        <v>0</v>
      </c>
      <c r="AY925" s="48">
        <v>0</v>
      </c>
      <c r="AZ925" s="48">
        <v>0</v>
      </c>
      <c r="BA925" s="48">
        <v>0</v>
      </c>
      <c r="BB925" s="48">
        <v>0</v>
      </c>
    </row>
    <row r="926" spans="1:54" x14ac:dyDescent="0.35">
      <c r="A926" s="49">
        <v>45930</v>
      </c>
      <c r="B926" s="48">
        <v>1</v>
      </c>
      <c r="C926" s="50" t="s">
        <v>32</v>
      </c>
      <c r="D926" s="48" t="s">
        <v>31</v>
      </c>
      <c r="E926" s="48" t="s">
        <v>138</v>
      </c>
      <c r="F926" s="48" t="s">
        <v>139</v>
      </c>
      <c r="G926" s="49" t="s">
        <v>63</v>
      </c>
      <c r="H926" s="48" t="s">
        <v>63</v>
      </c>
      <c r="I926" s="48">
        <v>1</v>
      </c>
      <c r="J926" s="48">
        <v>111</v>
      </c>
      <c r="K926" s="48">
        <v>1</v>
      </c>
      <c r="N926" s="48">
        <v>0</v>
      </c>
      <c r="R926" s="49"/>
      <c r="S926" s="181">
        <v>0</v>
      </c>
      <c r="T926" s="49">
        <v>49309</v>
      </c>
      <c r="U926" s="49">
        <v>49309</v>
      </c>
      <c r="V926" s="49">
        <v>49309</v>
      </c>
      <c r="W926" s="49">
        <v>49309</v>
      </c>
      <c r="X926" s="48">
        <v>1</v>
      </c>
      <c r="Y926" s="48">
        <v>1</v>
      </c>
      <c r="Z926" s="48">
        <v>1</v>
      </c>
      <c r="AA926" s="156">
        <v>0</v>
      </c>
      <c r="AF926" s="48">
        <v>0</v>
      </c>
      <c r="AG926" s="49" t="s">
        <v>32</v>
      </c>
      <c r="AH926" s="48">
        <v>1</v>
      </c>
      <c r="AI926" s="48" t="s">
        <v>33</v>
      </c>
      <c r="AJ926" s="48" t="s">
        <v>33</v>
      </c>
      <c r="AK926" s="48" t="s">
        <v>33</v>
      </c>
      <c r="AL926" s="48" t="s">
        <v>34</v>
      </c>
      <c r="AN926" s="48">
        <v>0</v>
      </c>
      <c r="AO926" s="48">
        <v>0</v>
      </c>
      <c r="AP926" s="48">
        <v>0</v>
      </c>
      <c r="AQ926" s="48">
        <v>0</v>
      </c>
      <c r="AR926" s="48">
        <v>0</v>
      </c>
      <c r="AS926" s="48">
        <v>0</v>
      </c>
      <c r="AT926" s="48">
        <v>0</v>
      </c>
      <c r="AU926" s="48">
        <v>0</v>
      </c>
      <c r="AV926" s="48">
        <v>0</v>
      </c>
      <c r="AW926" s="48">
        <v>0</v>
      </c>
      <c r="AX926" s="48">
        <v>0</v>
      </c>
      <c r="AY926" s="48">
        <v>0</v>
      </c>
      <c r="AZ926" s="48">
        <v>0</v>
      </c>
      <c r="BA926" s="48">
        <v>0</v>
      </c>
      <c r="BB926" s="48">
        <v>0</v>
      </c>
    </row>
    <row r="927" spans="1:54" x14ac:dyDescent="0.35">
      <c r="A927" s="49">
        <v>45930</v>
      </c>
      <c r="B927" s="48">
        <v>1</v>
      </c>
      <c r="C927" s="50" t="s">
        <v>32</v>
      </c>
      <c r="D927" s="48" t="s">
        <v>31</v>
      </c>
      <c r="E927" s="48" t="s">
        <v>138</v>
      </c>
      <c r="F927" s="48" t="s">
        <v>139</v>
      </c>
      <c r="G927" s="49" t="s">
        <v>63</v>
      </c>
      <c r="H927" s="48" t="s">
        <v>63</v>
      </c>
      <c r="I927" s="48">
        <v>1</v>
      </c>
      <c r="J927" s="48">
        <v>112</v>
      </c>
      <c r="K927" s="48">
        <v>1</v>
      </c>
      <c r="N927" s="48">
        <v>0</v>
      </c>
      <c r="R927" s="49"/>
      <c r="S927" s="181">
        <v>0</v>
      </c>
      <c r="T927" s="49">
        <v>49340</v>
      </c>
      <c r="U927" s="49">
        <v>49340</v>
      </c>
      <c r="V927" s="49">
        <v>49340</v>
      </c>
      <c r="W927" s="49">
        <v>49340</v>
      </c>
      <c r="X927" s="48">
        <v>1</v>
      </c>
      <c r="Y927" s="48">
        <v>1</v>
      </c>
      <c r="Z927" s="48">
        <v>1</v>
      </c>
      <c r="AA927" s="156">
        <v>0</v>
      </c>
      <c r="AF927" s="48">
        <v>0</v>
      </c>
      <c r="AG927" s="49" t="s">
        <v>32</v>
      </c>
      <c r="AH927" s="48">
        <v>1</v>
      </c>
      <c r="AI927" s="48" t="s">
        <v>33</v>
      </c>
      <c r="AJ927" s="48" t="s">
        <v>33</v>
      </c>
      <c r="AK927" s="48" t="s">
        <v>33</v>
      </c>
      <c r="AL927" s="48" t="s">
        <v>34</v>
      </c>
      <c r="AN927" s="48">
        <v>0</v>
      </c>
      <c r="AO927" s="48">
        <v>0</v>
      </c>
      <c r="AP927" s="48">
        <v>0</v>
      </c>
      <c r="AQ927" s="48">
        <v>0</v>
      </c>
      <c r="AR927" s="48">
        <v>0</v>
      </c>
      <c r="AS927" s="48">
        <v>0</v>
      </c>
      <c r="AT927" s="48">
        <v>0</v>
      </c>
      <c r="AU927" s="48">
        <v>0</v>
      </c>
      <c r="AV927" s="48">
        <v>0</v>
      </c>
      <c r="AW927" s="48">
        <v>0</v>
      </c>
      <c r="AX927" s="48">
        <v>0</v>
      </c>
      <c r="AY927" s="48">
        <v>0</v>
      </c>
      <c r="AZ927" s="48">
        <v>0</v>
      </c>
      <c r="BA927" s="48">
        <v>0</v>
      </c>
      <c r="BB927" s="48">
        <v>0</v>
      </c>
    </row>
    <row r="928" spans="1:54" x14ac:dyDescent="0.35">
      <c r="A928" s="49">
        <v>45930</v>
      </c>
      <c r="B928" s="48">
        <v>1</v>
      </c>
      <c r="C928" s="50" t="s">
        <v>32</v>
      </c>
      <c r="D928" s="48" t="s">
        <v>31</v>
      </c>
      <c r="E928" s="48" t="s">
        <v>138</v>
      </c>
      <c r="F928" s="48" t="s">
        <v>139</v>
      </c>
      <c r="G928" s="49" t="s">
        <v>63</v>
      </c>
      <c r="H928" s="48" t="s">
        <v>63</v>
      </c>
      <c r="I928" s="48">
        <v>1</v>
      </c>
      <c r="J928" s="48">
        <v>113</v>
      </c>
      <c r="K928" s="48">
        <v>1</v>
      </c>
      <c r="N928" s="48">
        <v>0</v>
      </c>
      <c r="R928" s="49"/>
      <c r="S928" s="181">
        <v>0</v>
      </c>
      <c r="T928" s="49">
        <v>49368</v>
      </c>
      <c r="U928" s="49">
        <v>49368</v>
      </c>
      <c r="V928" s="49">
        <v>49368</v>
      </c>
      <c r="W928" s="49">
        <v>49368</v>
      </c>
      <c r="X928" s="48">
        <v>1</v>
      </c>
      <c r="Y928" s="48">
        <v>1</v>
      </c>
      <c r="Z928" s="48">
        <v>1</v>
      </c>
      <c r="AA928" s="156">
        <v>0</v>
      </c>
      <c r="AF928" s="48">
        <v>0</v>
      </c>
      <c r="AG928" s="49" t="s">
        <v>32</v>
      </c>
      <c r="AH928" s="48">
        <v>1</v>
      </c>
      <c r="AI928" s="48" t="s">
        <v>33</v>
      </c>
      <c r="AJ928" s="48" t="s">
        <v>33</v>
      </c>
      <c r="AK928" s="48" t="s">
        <v>33</v>
      </c>
      <c r="AL928" s="48" t="s">
        <v>34</v>
      </c>
      <c r="AN928" s="48">
        <v>0</v>
      </c>
      <c r="AO928" s="48">
        <v>0</v>
      </c>
      <c r="AP928" s="48">
        <v>0</v>
      </c>
      <c r="AQ928" s="48">
        <v>0</v>
      </c>
      <c r="AR928" s="48">
        <v>0</v>
      </c>
      <c r="AS928" s="48">
        <v>0</v>
      </c>
      <c r="AT928" s="48">
        <v>0</v>
      </c>
      <c r="AU928" s="48">
        <v>0</v>
      </c>
      <c r="AV928" s="48">
        <v>0</v>
      </c>
      <c r="AW928" s="48">
        <v>0</v>
      </c>
      <c r="AX928" s="48">
        <v>0</v>
      </c>
      <c r="AY928" s="48">
        <v>0</v>
      </c>
      <c r="AZ928" s="48">
        <v>0</v>
      </c>
      <c r="BA928" s="48">
        <v>0</v>
      </c>
      <c r="BB928" s="48">
        <v>0</v>
      </c>
    </row>
    <row r="929" spans="1:54" x14ac:dyDescent="0.35">
      <c r="A929" s="49">
        <v>45930</v>
      </c>
      <c r="B929" s="48">
        <v>1</v>
      </c>
      <c r="C929" s="50" t="s">
        <v>32</v>
      </c>
      <c r="D929" s="48" t="s">
        <v>31</v>
      </c>
      <c r="E929" s="48" t="s">
        <v>138</v>
      </c>
      <c r="F929" s="48" t="s">
        <v>139</v>
      </c>
      <c r="G929" s="49" t="s">
        <v>63</v>
      </c>
      <c r="H929" s="48" t="s">
        <v>63</v>
      </c>
      <c r="I929" s="48">
        <v>1</v>
      </c>
      <c r="J929" s="48">
        <v>114</v>
      </c>
      <c r="K929" s="48">
        <v>1</v>
      </c>
      <c r="N929" s="48">
        <v>0</v>
      </c>
      <c r="R929" s="49"/>
      <c r="S929" s="181">
        <v>0</v>
      </c>
      <c r="T929" s="49">
        <v>49399</v>
      </c>
      <c r="U929" s="49">
        <v>49399</v>
      </c>
      <c r="V929" s="49">
        <v>49399</v>
      </c>
      <c r="W929" s="49">
        <v>49399</v>
      </c>
      <c r="X929" s="48">
        <v>1</v>
      </c>
      <c r="Y929" s="48">
        <v>1</v>
      </c>
      <c r="Z929" s="48">
        <v>1</v>
      </c>
      <c r="AA929" s="156">
        <v>0</v>
      </c>
      <c r="AF929" s="48">
        <v>0</v>
      </c>
      <c r="AG929" s="49" t="s">
        <v>32</v>
      </c>
      <c r="AH929" s="48">
        <v>1</v>
      </c>
      <c r="AI929" s="48" t="s">
        <v>33</v>
      </c>
      <c r="AJ929" s="48" t="s">
        <v>33</v>
      </c>
      <c r="AK929" s="48" t="s">
        <v>33</v>
      </c>
      <c r="AL929" s="48" t="s">
        <v>34</v>
      </c>
      <c r="AN929" s="48">
        <v>0</v>
      </c>
      <c r="AO929" s="48">
        <v>0</v>
      </c>
      <c r="AP929" s="48">
        <v>0</v>
      </c>
      <c r="AQ929" s="48">
        <v>0</v>
      </c>
      <c r="AR929" s="48">
        <v>0</v>
      </c>
      <c r="AS929" s="48">
        <v>0</v>
      </c>
      <c r="AT929" s="48">
        <v>0</v>
      </c>
      <c r="AU929" s="48">
        <v>0</v>
      </c>
      <c r="AV929" s="48">
        <v>0</v>
      </c>
      <c r="AW929" s="48">
        <v>0</v>
      </c>
      <c r="AX929" s="48">
        <v>0</v>
      </c>
      <c r="AY929" s="48">
        <v>0</v>
      </c>
      <c r="AZ929" s="48">
        <v>0</v>
      </c>
      <c r="BA929" s="48">
        <v>0</v>
      </c>
      <c r="BB929" s="48">
        <v>0</v>
      </c>
    </row>
    <row r="930" spans="1:54" x14ac:dyDescent="0.35">
      <c r="A930" s="49">
        <v>45930</v>
      </c>
      <c r="B930" s="48">
        <v>1</v>
      </c>
      <c r="C930" s="50" t="s">
        <v>32</v>
      </c>
      <c r="D930" s="48" t="s">
        <v>31</v>
      </c>
      <c r="E930" s="48" t="s">
        <v>138</v>
      </c>
      <c r="F930" s="48" t="s">
        <v>139</v>
      </c>
      <c r="G930" s="49" t="s">
        <v>63</v>
      </c>
      <c r="H930" s="48" t="s">
        <v>63</v>
      </c>
      <c r="I930" s="48">
        <v>1</v>
      </c>
      <c r="J930" s="48">
        <v>115</v>
      </c>
      <c r="K930" s="48">
        <v>1</v>
      </c>
      <c r="N930" s="48">
        <v>0</v>
      </c>
      <c r="R930" s="49"/>
      <c r="S930" s="181">
        <v>0</v>
      </c>
      <c r="T930" s="49">
        <v>49429</v>
      </c>
      <c r="U930" s="49">
        <v>49429</v>
      </c>
      <c r="V930" s="49">
        <v>49429</v>
      </c>
      <c r="W930" s="49">
        <v>49429</v>
      </c>
      <c r="X930" s="48">
        <v>1</v>
      </c>
      <c r="Y930" s="48">
        <v>1</v>
      </c>
      <c r="Z930" s="48">
        <v>1</v>
      </c>
      <c r="AA930" s="156">
        <v>0</v>
      </c>
      <c r="AF930" s="48">
        <v>0</v>
      </c>
      <c r="AG930" s="49" t="s">
        <v>32</v>
      </c>
      <c r="AH930" s="48">
        <v>1</v>
      </c>
      <c r="AI930" s="48" t="s">
        <v>33</v>
      </c>
      <c r="AJ930" s="48" t="s">
        <v>33</v>
      </c>
      <c r="AK930" s="48" t="s">
        <v>33</v>
      </c>
      <c r="AL930" s="48" t="s">
        <v>34</v>
      </c>
      <c r="AN930" s="48">
        <v>0</v>
      </c>
      <c r="AO930" s="48">
        <v>0</v>
      </c>
      <c r="AP930" s="48">
        <v>0</v>
      </c>
      <c r="AQ930" s="48">
        <v>0</v>
      </c>
      <c r="AR930" s="48">
        <v>0</v>
      </c>
      <c r="AS930" s="48">
        <v>0</v>
      </c>
      <c r="AT930" s="48">
        <v>0</v>
      </c>
      <c r="AU930" s="48">
        <v>0</v>
      </c>
      <c r="AV930" s="48">
        <v>0</v>
      </c>
      <c r="AW930" s="48">
        <v>0</v>
      </c>
      <c r="AX930" s="48">
        <v>0</v>
      </c>
      <c r="AY930" s="48">
        <v>0</v>
      </c>
      <c r="AZ930" s="48">
        <v>0</v>
      </c>
      <c r="BA930" s="48">
        <v>0</v>
      </c>
      <c r="BB930" s="48">
        <v>0</v>
      </c>
    </row>
    <row r="931" spans="1:54" x14ac:dyDescent="0.35">
      <c r="A931" s="49">
        <v>45930</v>
      </c>
      <c r="B931" s="48">
        <v>1</v>
      </c>
      <c r="C931" s="50" t="s">
        <v>32</v>
      </c>
      <c r="D931" s="48" t="s">
        <v>31</v>
      </c>
      <c r="E931" s="48" t="s">
        <v>138</v>
      </c>
      <c r="F931" s="48" t="s">
        <v>139</v>
      </c>
      <c r="G931" s="49" t="s">
        <v>63</v>
      </c>
      <c r="H931" s="48" t="s">
        <v>63</v>
      </c>
      <c r="I931" s="48">
        <v>1</v>
      </c>
      <c r="J931" s="48">
        <v>116</v>
      </c>
      <c r="K931" s="48">
        <v>1</v>
      </c>
      <c r="N931" s="48">
        <v>0</v>
      </c>
      <c r="R931" s="49"/>
      <c r="S931" s="181">
        <v>0</v>
      </c>
      <c r="T931" s="49">
        <v>49460</v>
      </c>
      <c r="U931" s="49">
        <v>49460</v>
      </c>
      <c r="V931" s="49">
        <v>49460</v>
      </c>
      <c r="W931" s="49">
        <v>49460</v>
      </c>
      <c r="X931" s="48">
        <v>1</v>
      </c>
      <c r="Y931" s="48">
        <v>1</v>
      </c>
      <c r="Z931" s="48">
        <v>1</v>
      </c>
      <c r="AA931" s="156">
        <v>0</v>
      </c>
      <c r="AF931" s="48">
        <v>0</v>
      </c>
      <c r="AG931" s="49" t="s">
        <v>32</v>
      </c>
      <c r="AH931" s="48">
        <v>1</v>
      </c>
      <c r="AI931" s="48" t="s">
        <v>33</v>
      </c>
      <c r="AJ931" s="48" t="s">
        <v>33</v>
      </c>
      <c r="AK931" s="48" t="s">
        <v>33</v>
      </c>
      <c r="AL931" s="48" t="s">
        <v>34</v>
      </c>
      <c r="AN931" s="48">
        <v>0</v>
      </c>
      <c r="AO931" s="48">
        <v>0</v>
      </c>
      <c r="AP931" s="48">
        <v>0</v>
      </c>
      <c r="AQ931" s="48">
        <v>0</v>
      </c>
      <c r="AR931" s="48">
        <v>0</v>
      </c>
      <c r="AS931" s="48">
        <v>0</v>
      </c>
      <c r="AT931" s="48">
        <v>0</v>
      </c>
      <c r="AU931" s="48">
        <v>0</v>
      </c>
      <c r="AV931" s="48">
        <v>0</v>
      </c>
      <c r="AW931" s="48">
        <v>0</v>
      </c>
      <c r="AX931" s="48">
        <v>0</v>
      </c>
      <c r="AY931" s="48">
        <v>0</v>
      </c>
      <c r="AZ931" s="48">
        <v>0</v>
      </c>
      <c r="BA931" s="48">
        <v>0</v>
      </c>
      <c r="BB931" s="48">
        <v>0</v>
      </c>
    </row>
    <row r="932" spans="1:54" x14ac:dyDescent="0.35">
      <c r="A932" s="49">
        <v>45930</v>
      </c>
      <c r="B932" s="48">
        <v>1</v>
      </c>
      <c r="C932" s="50" t="s">
        <v>32</v>
      </c>
      <c r="D932" s="48" t="s">
        <v>31</v>
      </c>
      <c r="E932" s="48" t="s">
        <v>138</v>
      </c>
      <c r="F932" s="48" t="s">
        <v>139</v>
      </c>
      <c r="G932" s="49" t="s">
        <v>63</v>
      </c>
      <c r="H932" s="48" t="s">
        <v>63</v>
      </c>
      <c r="I932" s="48">
        <v>1</v>
      </c>
      <c r="J932" s="48">
        <v>117</v>
      </c>
      <c r="K932" s="48">
        <v>1</v>
      </c>
      <c r="N932" s="48">
        <v>0</v>
      </c>
      <c r="R932" s="49"/>
      <c r="S932" s="181">
        <v>0</v>
      </c>
      <c r="T932" s="49">
        <v>49490</v>
      </c>
      <c r="U932" s="49">
        <v>49490</v>
      </c>
      <c r="V932" s="49">
        <v>49490</v>
      </c>
      <c r="W932" s="49">
        <v>49490</v>
      </c>
      <c r="X932" s="48">
        <v>1</v>
      </c>
      <c r="Y932" s="48">
        <v>1</v>
      </c>
      <c r="Z932" s="48">
        <v>1</v>
      </c>
      <c r="AA932" s="156">
        <v>0</v>
      </c>
      <c r="AF932" s="48">
        <v>0</v>
      </c>
      <c r="AG932" s="49" t="s">
        <v>32</v>
      </c>
      <c r="AH932" s="48">
        <v>1</v>
      </c>
      <c r="AI932" s="48" t="s">
        <v>33</v>
      </c>
      <c r="AJ932" s="48" t="s">
        <v>33</v>
      </c>
      <c r="AK932" s="48" t="s">
        <v>33</v>
      </c>
      <c r="AL932" s="48" t="s">
        <v>34</v>
      </c>
      <c r="AN932" s="48">
        <v>0</v>
      </c>
      <c r="AO932" s="48">
        <v>0</v>
      </c>
      <c r="AP932" s="48">
        <v>0</v>
      </c>
      <c r="AQ932" s="48">
        <v>0</v>
      </c>
      <c r="AR932" s="48">
        <v>0</v>
      </c>
      <c r="AS932" s="48">
        <v>0</v>
      </c>
      <c r="AT932" s="48">
        <v>0</v>
      </c>
      <c r="AU932" s="48">
        <v>0</v>
      </c>
      <c r="AV932" s="48">
        <v>0</v>
      </c>
      <c r="AW932" s="48">
        <v>0</v>
      </c>
      <c r="AX932" s="48">
        <v>0</v>
      </c>
      <c r="AY932" s="48">
        <v>0</v>
      </c>
      <c r="AZ932" s="48">
        <v>0</v>
      </c>
      <c r="BA932" s="48">
        <v>0</v>
      </c>
      <c r="BB932" s="48">
        <v>0</v>
      </c>
    </row>
    <row r="933" spans="1:54" x14ac:dyDescent="0.35">
      <c r="A933" s="49">
        <v>45930</v>
      </c>
      <c r="B933" s="48">
        <v>1</v>
      </c>
      <c r="C933" s="50" t="s">
        <v>32</v>
      </c>
      <c r="D933" s="48" t="s">
        <v>31</v>
      </c>
      <c r="E933" s="48" t="s">
        <v>138</v>
      </c>
      <c r="F933" s="48" t="s">
        <v>139</v>
      </c>
      <c r="G933" s="49" t="s">
        <v>63</v>
      </c>
      <c r="H933" s="48" t="s">
        <v>63</v>
      </c>
      <c r="I933" s="48">
        <v>1</v>
      </c>
      <c r="J933" s="48">
        <v>118</v>
      </c>
      <c r="K933" s="48">
        <v>1</v>
      </c>
      <c r="N933" s="48">
        <v>0</v>
      </c>
      <c r="R933" s="49"/>
      <c r="S933" s="181">
        <v>0</v>
      </c>
      <c r="T933" s="49">
        <v>49521</v>
      </c>
      <c r="U933" s="49">
        <v>49521</v>
      </c>
      <c r="V933" s="49">
        <v>49521</v>
      </c>
      <c r="W933" s="49">
        <v>49521</v>
      </c>
      <c r="X933" s="48">
        <v>1</v>
      </c>
      <c r="Y933" s="48">
        <v>1</v>
      </c>
      <c r="Z933" s="48">
        <v>1</v>
      </c>
      <c r="AA933" s="156">
        <v>0</v>
      </c>
      <c r="AF933" s="48">
        <v>0</v>
      </c>
      <c r="AG933" s="49" t="s">
        <v>32</v>
      </c>
      <c r="AH933" s="48">
        <v>1</v>
      </c>
      <c r="AI933" s="48" t="s">
        <v>33</v>
      </c>
      <c r="AJ933" s="48" t="s">
        <v>33</v>
      </c>
      <c r="AK933" s="48" t="s">
        <v>33</v>
      </c>
      <c r="AL933" s="48" t="s">
        <v>34</v>
      </c>
      <c r="AN933" s="48">
        <v>0</v>
      </c>
      <c r="AO933" s="48">
        <v>0</v>
      </c>
      <c r="AP933" s="48">
        <v>0</v>
      </c>
      <c r="AQ933" s="48">
        <v>0</v>
      </c>
      <c r="AR933" s="48">
        <v>0</v>
      </c>
      <c r="AS933" s="48">
        <v>0</v>
      </c>
      <c r="AT933" s="48">
        <v>0</v>
      </c>
      <c r="AU933" s="48">
        <v>0</v>
      </c>
      <c r="AV933" s="48">
        <v>0</v>
      </c>
      <c r="AW933" s="48">
        <v>0</v>
      </c>
      <c r="AX933" s="48">
        <v>0</v>
      </c>
      <c r="AY933" s="48">
        <v>0</v>
      </c>
      <c r="AZ933" s="48">
        <v>0</v>
      </c>
      <c r="BA933" s="48">
        <v>0</v>
      </c>
      <c r="BB933" s="48">
        <v>0</v>
      </c>
    </row>
    <row r="934" spans="1:54" x14ac:dyDescent="0.35">
      <c r="A934" s="49">
        <v>45930</v>
      </c>
      <c r="B934" s="48">
        <v>1</v>
      </c>
      <c r="C934" s="50" t="s">
        <v>32</v>
      </c>
      <c r="D934" s="48" t="s">
        <v>31</v>
      </c>
      <c r="E934" s="48" t="s">
        <v>138</v>
      </c>
      <c r="F934" s="48" t="s">
        <v>139</v>
      </c>
      <c r="G934" s="49" t="s">
        <v>63</v>
      </c>
      <c r="H934" s="48" t="s">
        <v>63</v>
      </c>
      <c r="I934" s="48">
        <v>1</v>
      </c>
      <c r="J934" s="48">
        <v>119</v>
      </c>
      <c r="K934" s="48">
        <v>1</v>
      </c>
      <c r="N934" s="48">
        <v>0</v>
      </c>
      <c r="R934" s="49"/>
      <c r="S934" s="181">
        <v>0</v>
      </c>
      <c r="T934" s="49">
        <v>49552</v>
      </c>
      <c r="U934" s="49">
        <v>49552</v>
      </c>
      <c r="V934" s="49">
        <v>49552</v>
      </c>
      <c r="W934" s="49">
        <v>49552</v>
      </c>
      <c r="X934" s="48">
        <v>1</v>
      </c>
      <c r="Y934" s="48">
        <v>1</v>
      </c>
      <c r="Z934" s="48">
        <v>1</v>
      </c>
      <c r="AA934" s="156">
        <v>0</v>
      </c>
      <c r="AF934" s="48">
        <v>0</v>
      </c>
      <c r="AG934" s="49" t="s">
        <v>32</v>
      </c>
      <c r="AH934" s="48">
        <v>1</v>
      </c>
      <c r="AI934" s="48" t="s">
        <v>33</v>
      </c>
      <c r="AJ934" s="48" t="s">
        <v>33</v>
      </c>
      <c r="AK934" s="48" t="s">
        <v>33</v>
      </c>
      <c r="AL934" s="48" t="s">
        <v>34</v>
      </c>
      <c r="AN934" s="48">
        <v>0</v>
      </c>
      <c r="AO934" s="48">
        <v>0</v>
      </c>
      <c r="AP934" s="48">
        <v>0</v>
      </c>
      <c r="AQ934" s="48">
        <v>0</v>
      </c>
      <c r="AR934" s="48">
        <v>0</v>
      </c>
      <c r="AS934" s="48">
        <v>0</v>
      </c>
      <c r="AT934" s="48">
        <v>0</v>
      </c>
      <c r="AU934" s="48">
        <v>0</v>
      </c>
      <c r="AV934" s="48">
        <v>0</v>
      </c>
      <c r="AW934" s="48">
        <v>0</v>
      </c>
      <c r="AX934" s="48">
        <v>0</v>
      </c>
      <c r="AY934" s="48">
        <v>0</v>
      </c>
      <c r="AZ934" s="48">
        <v>0</v>
      </c>
      <c r="BA934" s="48">
        <v>0</v>
      </c>
      <c r="BB934" s="48">
        <v>0</v>
      </c>
    </row>
    <row r="935" spans="1:54" x14ac:dyDescent="0.35">
      <c r="A935" s="49">
        <v>45930</v>
      </c>
      <c r="B935" s="48">
        <v>1</v>
      </c>
      <c r="C935" s="50" t="s">
        <v>32</v>
      </c>
      <c r="D935" s="48" t="s">
        <v>31</v>
      </c>
      <c r="E935" s="48" t="s">
        <v>138</v>
      </c>
      <c r="F935" s="48" t="s">
        <v>139</v>
      </c>
      <c r="G935" s="49" t="s">
        <v>63</v>
      </c>
      <c r="H935" s="48" t="s">
        <v>63</v>
      </c>
      <c r="I935" s="48">
        <v>1</v>
      </c>
      <c r="J935" s="48">
        <v>120</v>
      </c>
      <c r="K935" s="48">
        <v>1</v>
      </c>
      <c r="N935" s="48">
        <v>0</v>
      </c>
      <c r="R935" s="49"/>
      <c r="S935" s="181">
        <v>0</v>
      </c>
      <c r="T935" s="49">
        <v>49582</v>
      </c>
      <c r="U935" s="49">
        <v>49582</v>
      </c>
      <c r="V935" s="49">
        <v>49582</v>
      </c>
      <c r="W935" s="49">
        <v>49582</v>
      </c>
      <c r="X935" s="48">
        <v>1</v>
      </c>
      <c r="Y935" s="48">
        <v>1</v>
      </c>
      <c r="Z935" s="48">
        <v>1</v>
      </c>
      <c r="AA935" s="156">
        <v>0</v>
      </c>
      <c r="AF935" s="48">
        <v>0</v>
      </c>
      <c r="AG935" s="49" t="s">
        <v>32</v>
      </c>
      <c r="AH935" s="48">
        <v>1</v>
      </c>
      <c r="AI935" s="48" t="s">
        <v>33</v>
      </c>
      <c r="AJ935" s="48" t="s">
        <v>33</v>
      </c>
      <c r="AK935" s="48" t="s">
        <v>33</v>
      </c>
      <c r="AL935" s="48" t="s">
        <v>34</v>
      </c>
      <c r="AN935" s="48">
        <v>0</v>
      </c>
      <c r="AO935" s="48">
        <v>0</v>
      </c>
      <c r="AP935" s="48">
        <v>0</v>
      </c>
      <c r="AQ935" s="48">
        <v>0</v>
      </c>
      <c r="AR935" s="48">
        <v>0</v>
      </c>
      <c r="AS935" s="48">
        <v>0</v>
      </c>
      <c r="AT935" s="48">
        <v>0</v>
      </c>
      <c r="AU935" s="48">
        <v>0</v>
      </c>
      <c r="AV935" s="48">
        <v>0</v>
      </c>
      <c r="AW935" s="48">
        <v>0</v>
      </c>
      <c r="AX935" s="48">
        <v>0</v>
      </c>
      <c r="AY935" s="48">
        <v>0</v>
      </c>
      <c r="AZ935" s="48">
        <v>0</v>
      </c>
      <c r="BA935" s="48">
        <v>0</v>
      </c>
      <c r="BB935" s="48">
        <v>0</v>
      </c>
    </row>
    <row r="936" spans="1:54" x14ac:dyDescent="0.35">
      <c r="A936" s="49">
        <v>45930</v>
      </c>
      <c r="B936" s="48">
        <v>1</v>
      </c>
      <c r="C936" s="50" t="s">
        <v>32</v>
      </c>
      <c r="D936" s="48" t="s">
        <v>31</v>
      </c>
      <c r="E936" s="48" t="s">
        <v>138</v>
      </c>
      <c r="F936" s="48" t="s">
        <v>139</v>
      </c>
      <c r="G936" s="49" t="s">
        <v>63</v>
      </c>
      <c r="H936" s="48" t="s">
        <v>63</v>
      </c>
      <c r="I936" s="48">
        <v>1</v>
      </c>
      <c r="J936" s="48">
        <v>121</v>
      </c>
      <c r="K936" s="48">
        <v>1</v>
      </c>
      <c r="N936" s="48">
        <v>0</v>
      </c>
      <c r="R936" s="49"/>
      <c r="S936" s="181">
        <v>0</v>
      </c>
      <c r="T936" s="49">
        <v>49613</v>
      </c>
      <c r="U936" s="49">
        <v>49613</v>
      </c>
      <c r="V936" s="49">
        <v>49613</v>
      </c>
      <c r="W936" s="49">
        <v>49613</v>
      </c>
      <c r="X936" s="48">
        <v>1</v>
      </c>
      <c r="Y936" s="48">
        <v>1</v>
      </c>
      <c r="Z936" s="48">
        <v>1</v>
      </c>
      <c r="AA936" s="156">
        <v>0</v>
      </c>
      <c r="AF936" s="48">
        <v>0</v>
      </c>
      <c r="AG936" s="49" t="s">
        <v>32</v>
      </c>
      <c r="AH936" s="48">
        <v>1</v>
      </c>
      <c r="AI936" s="48" t="s">
        <v>33</v>
      </c>
      <c r="AJ936" s="48" t="s">
        <v>33</v>
      </c>
      <c r="AK936" s="48" t="s">
        <v>33</v>
      </c>
      <c r="AL936" s="48" t="s">
        <v>34</v>
      </c>
      <c r="AN936" s="48">
        <v>0</v>
      </c>
      <c r="AO936" s="48">
        <v>0</v>
      </c>
      <c r="AP936" s="48">
        <v>0</v>
      </c>
      <c r="AQ936" s="48">
        <v>0</v>
      </c>
      <c r="AR936" s="48">
        <v>0</v>
      </c>
      <c r="AS936" s="48">
        <v>0</v>
      </c>
      <c r="AT936" s="48">
        <v>0</v>
      </c>
      <c r="AU936" s="48">
        <v>0</v>
      </c>
      <c r="AV936" s="48">
        <v>0</v>
      </c>
      <c r="AW936" s="48">
        <v>0</v>
      </c>
      <c r="AX936" s="48">
        <v>0</v>
      </c>
      <c r="AY936" s="48">
        <v>0</v>
      </c>
      <c r="AZ936" s="48">
        <v>0</v>
      </c>
      <c r="BA936" s="48">
        <v>0</v>
      </c>
      <c r="BB936" s="48">
        <v>0</v>
      </c>
    </row>
    <row r="937" spans="1:54" x14ac:dyDescent="0.35">
      <c r="A937" s="49">
        <v>45930</v>
      </c>
      <c r="B937" s="48">
        <v>1</v>
      </c>
      <c r="C937" s="50" t="s">
        <v>32</v>
      </c>
      <c r="D937" s="48" t="s">
        <v>31</v>
      </c>
      <c r="E937" s="48" t="s">
        <v>138</v>
      </c>
      <c r="F937" s="48" t="s">
        <v>139</v>
      </c>
      <c r="G937" s="49" t="s">
        <v>63</v>
      </c>
      <c r="H937" s="48" t="s">
        <v>63</v>
      </c>
      <c r="I937" s="48">
        <v>1</v>
      </c>
      <c r="J937" s="48">
        <v>122</v>
      </c>
      <c r="K937" s="48">
        <v>1</v>
      </c>
      <c r="N937" s="48">
        <v>0</v>
      </c>
      <c r="R937" s="49"/>
      <c r="S937" s="181">
        <v>0</v>
      </c>
      <c r="T937" s="49">
        <v>49643</v>
      </c>
      <c r="U937" s="49">
        <v>49643</v>
      </c>
      <c r="V937" s="49">
        <v>49643</v>
      </c>
      <c r="W937" s="49">
        <v>49643</v>
      </c>
      <c r="X937" s="48">
        <v>1</v>
      </c>
      <c r="Y937" s="48">
        <v>1</v>
      </c>
      <c r="Z937" s="48">
        <v>1</v>
      </c>
      <c r="AA937" s="156">
        <v>0</v>
      </c>
      <c r="AF937" s="48">
        <v>0</v>
      </c>
      <c r="AG937" s="49" t="s">
        <v>32</v>
      </c>
      <c r="AH937" s="48">
        <v>1</v>
      </c>
      <c r="AI937" s="48" t="s">
        <v>33</v>
      </c>
      <c r="AJ937" s="48" t="s">
        <v>33</v>
      </c>
      <c r="AK937" s="48" t="s">
        <v>33</v>
      </c>
      <c r="AL937" s="48" t="s">
        <v>34</v>
      </c>
      <c r="AN937" s="48">
        <v>0</v>
      </c>
      <c r="AO937" s="48">
        <v>0</v>
      </c>
      <c r="AP937" s="48">
        <v>0</v>
      </c>
      <c r="AQ937" s="48">
        <v>0</v>
      </c>
      <c r="AR937" s="48">
        <v>0</v>
      </c>
      <c r="AS937" s="48">
        <v>0</v>
      </c>
      <c r="AT937" s="48">
        <v>0</v>
      </c>
      <c r="AU937" s="48">
        <v>0</v>
      </c>
      <c r="AV937" s="48">
        <v>0</v>
      </c>
      <c r="AW937" s="48">
        <v>0</v>
      </c>
      <c r="AX937" s="48">
        <v>0</v>
      </c>
      <c r="AY937" s="48">
        <v>0</v>
      </c>
      <c r="AZ937" s="48">
        <v>0</v>
      </c>
      <c r="BA937" s="48">
        <v>0</v>
      </c>
      <c r="BB937" s="48">
        <v>0</v>
      </c>
    </row>
    <row r="938" spans="1:54" x14ac:dyDescent="0.35">
      <c r="A938" s="49">
        <v>45930</v>
      </c>
      <c r="B938" s="48">
        <v>1</v>
      </c>
      <c r="C938" s="50" t="s">
        <v>32</v>
      </c>
      <c r="D938" s="48" t="s">
        <v>31</v>
      </c>
      <c r="E938" s="48" t="s">
        <v>138</v>
      </c>
      <c r="F938" s="48" t="s">
        <v>139</v>
      </c>
      <c r="G938" s="49" t="s">
        <v>63</v>
      </c>
      <c r="H938" s="48" t="s">
        <v>63</v>
      </c>
      <c r="I938" s="48">
        <v>1</v>
      </c>
      <c r="J938" s="48">
        <v>123</v>
      </c>
      <c r="K938" s="48">
        <v>1</v>
      </c>
      <c r="N938" s="48">
        <v>0</v>
      </c>
      <c r="R938" s="49"/>
      <c r="S938" s="181">
        <v>0</v>
      </c>
      <c r="T938" s="49">
        <v>49674</v>
      </c>
      <c r="U938" s="49">
        <v>49674</v>
      </c>
      <c r="V938" s="49">
        <v>49674</v>
      </c>
      <c r="W938" s="49">
        <v>49674</v>
      </c>
      <c r="X938" s="48">
        <v>1</v>
      </c>
      <c r="Y938" s="48">
        <v>1</v>
      </c>
      <c r="Z938" s="48">
        <v>1</v>
      </c>
      <c r="AA938" s="156">
        <v>0</v>
      </c>
      <c r="AF938" s="48">
        <v>0</v>
      </c>
      <c r="AG938" s="49" t="s">
        <v>32</v>
      </c>
      <c r="AH938" s="48">
        <v>1</v>
      </c>
      <c r="AI938" s="48" t="s">
        <v>33</v>
      </c>
      <c r="AJ938" s="48" t="s">
        <v>33</v>
      </c>
      <c r="AK938" s="48" t="s">
        <v>33</v>
      </c>
      <c r="AL938" s="48" t="s">
        <v>34</v>
      </c>
      <c r="AN938" s="48">
        <v>0</v>
      </c>
      <c r="AO938" s="48">
        <v>0</v>
      </c>
      <c r="AP938" s="48">
        <v>0</v>
      </c>
      <c r="AQ938" s="48">
        <v>0</v>
      </c>
      <c r="AR938" s="48">
        <v>0</v>
      </c>
      <c r="AS938" s="48">
        <v>0</v>
      </c>
      <c r="AT938" s="48">
        <v>0</v>
      </c>
      <c r="AU938" s="48">
        <v>0</v>
      </c>
      <c r="AV938" s="48">
        <v>0</v>
      </c>
      <c r="AW938" s="48">
        <v>0</v>
      </c>
      <c r="AX938" s="48">
        <v>0</v>
      </c>
      <c r="AY938" s="48">
        <v>0</v>
      </c>
      <c r="AZ938" s="48">
        <v>0</v>
      </c>
      <c r="BA938" s="48">
        <v>0</v>
      </c>
      <c r="BB938" s="48">
        <v>0</v>
      </c>
    </row>
    <row r="939" spans="1:54" x14ac:dyDescent="0.35">
      <c r="A939" s="49">
        <v>45930</v>
      </c>
      <c r="B939" s="48">
        <v>1</v>
      </c>
      <c r="C939" s="50" t="s">
        <v>32</v>
      </c>
      <c r="D939" s="48" t="s">
        <v>31</v>
      </c>
      <c r="E939" s="48" t="s">
        <v>138</v>
      </c>
      <c r="F939" s="48" t="s">
        <v>139</v>
      </c>
      <c r="G939" s="49" t="s">
        <v>63</v>
      </c>
      <c r="H939" s="48" t="s">
        <v>63</v>
      </c>
      <c r="I939" s="48">
        <v>1</v>
      </c>
      <c r="J939" s="48">
        <v>124</v>
      </c>
      <c r="K939" s="48">
        <v>1</v>
      </c>
      <c r="N939" s="48">
        <v>0</v>
      </c>
      <c r="R939" s="49"/>
      <c r="S939" s="181">
        <v>0</v>
      </c>
      <c r="T939" s="49">
        <v>49705</v>
      </c>
      <c r="U939" s="49">
        <v>49705</v>
      </c>
      <c r="V939" s="49">
        <v>49705</v>
      </c>
      <c r="W939" s="49">
        <v>49705</v>
      </c>
      <c r="X939" s="48">
        <v>1</v>
      </c>
      <c r="Y939" s="48">
        <v>1</v>
      </c>
      <c r="Z939" s="48">
        <v>1</v>
      </c>
      <c r="AA939" s="156">
        <v>0</v>
      </c>
      <c r="AF939" s="48">
        <v>0</v>
      </c>
      <c r="AG939" s="49" t="s">
        <v>32</v>
      </c>
      <c r="AH939" s="48">
        <v>1</v>
      </c>
      <c r="AI939" s="48" t="s">
        <v>33</v>
      </c>
      <c r="AJ939" s="48" t="s">
        <v>33</v>
      </c>
      <c r="AK939" s="48" t="s">
        <v>33</v>
      </c>
      <c r="AL939" s="48" t="s">
        <v>34</v>
      </c>
      <c r="AN939" s="48">
        <v>0</v>
      </c>
      <c r="AO939" s="48">
        <v>0</v>
      </c>
      <c r="AP939" s="48">
        <v>0</v>
      </c>
      <c r="AQ939" s="48">
        <v>0</v>
      </c>
      <c r="AR939" s="48">
        <v>0</v>
      </c>
      <c r="AS939" s="48">
        <v>0</v>
      </c>
      <c r="AT939" s="48">
        <v>0</v>
      </c>
      <c r="AU939" s="48">
        <v>0</v>
      </c>
      <c r="AV939" s="48">
        <v>0</v>
      </c>
      <c r="AW939" s="48">
        <v>0</v>
      </c>
      <c r="AX939" s="48">
        <v>0</v>
      </c>
      <c r="AY939" s="48">
        <v>0</v>
      </c>
      <c r="AZ939" s="48">
        <v>0</v>
      </c>
      <c r="BA939" s="48">
        <v>0</v>
      </c>
      <c r="BB939" s="48">
        <v>0</v>
      </c>
    </row>
    <row r="940" spans="1:54" x14ac:dyDescent="0.35">
      <c r="A940" s="49">
        <v>45930</v>
      </c>
      <c r="B940" s="48">
        <v>1</v>
      </c>
      <c r="C940" s="50" t="s">
        <v>32</v>
      </c>
      <c r="D940" s="48" t="s">
        <v>31</v>
      </c>
      <c r="E940" s="48" t="s">
        <v>138</v>
      </c>
      <c r="F940" s="48" t="s">
        <v>139</v>
      </c>
      <c r="G940" s="49" t="s">
        <v>63</v>
      </c>
      <c r="H940" s="48" t="s">
        <v>63</v>
      </c>
      <c r="I940" s="48">
        <v>1</v>
      </c>
      <c r="J940" s="48">
        <v>125</v>
      </c>
      <c r="K940" s="48">
        <v>1</v>
      </c>
      <c r="N940" s="48">
        <v>0</v>
      </c>
      <c r="R940" s="49"/>
      <c r="S940" s="181">
        <v>0</v>
      </c>
      <c r="T940" s="49">
        <v>49734</v>
      </c>
      <c r="U940" s="49">
        <v>49734</v>
      </c>
      <c r="V940" s="49">
        <v>49734</v>
      </c>
      <c r="W940" s="49">
        <v>49734</v>
      </c>
      <c r="X940" s="48">
        <v>1</v>
      </c>
      <c r="Y940" s="48">
        <v>1</v>
      </c>
      <c r="Z940" s="48">
        <v>1</v>
      </c>
      <c r="AA940" s="156">
        <v>0</v>
      </c>
      <c r="AF940" s="48">
        <v>0</v>
      </c>
      <c r="AG940" s="49" t="s">
        <v>32</v>
      </c>
      <c r="AH940" s="48">
        <v>1</v>
      </c>
      <c r="AI940" s="48" t="s">
        <v>33</v>
      </c>
      <c r="AJ940" s="48" t="s">
        <v>33</v>
      </c>
      <c r="AK940" s="48" t="s">
        <v>33</v>
      </c>
      <c r="AL940" s="48" t="s">
        <v>34</v>
      </c>
      <c r="AN940" s="48">
        <v>0</v>
      </c>
      <c r="AO940" s="48">
        <v>0</v>
      </c>
      <c r="AP940" s="48">
        <v>0</v>
      </c>
      <c r="AQ940" s="48">
        <v>0</v>
      </c>
      <c r="AR940" s="48">
        <v>0</v>
      </c>
      <c r="AS940" s="48">
        <v>0</v>
      </c>
      <c r="AT940" s="48">
        <v>0</v>
      </c>
      <c r="AU940" s="48">
        <v>0</v>
      </c>
      <c r="AV940" s="48">
        <v>0</v>
      </c>
      <c r="AW940" s="48">
        <v>0</v>
      </c>
      <c r="AX940" s="48">
        <v>0</v>
      </c>
      <c r="AY940" s="48">
        <v>0</v>
      </c>
      <c r="AZ940" s="48">
        <v>0</v>
      </c>
      <c r="BA940" s="48">
        <v>0</v>
      </c>
      <c r="BB940" s="48">
        <v>0</v>
      </c>
    </row>
    <row r="941" spans="1:54" x14ac:dyDescent="0.35">
      <c r="A941" s="49">
        <v>45930</v>
      </c>
      <c r="B941" s="48">
        <v>1</v>
      </c>
      <c r="C941" s="50" t="s">
        <v>32</v>
      </c>
      <c r="D941" s="48" t="s">
        <v>31</v>
      </c>
      <c r="E941" s="48" t="s">
        <v>138</v>
      </c>
      <c r="F941" s="48" t="s">
        <v>139</v>
      </c>
      <c r="G941" s="49" t="s">
        <v>63</v>
      </c>
      <c r="H941" s="48" t="s">
        <v>63</v>
      </c>
      <c r="I941" s="48">
        <v>1</v>
      </c>
      <c r="J941" s="48">
        <v>126</v>
      </c>
      <c r="K941" s="48">
        <v>1</v>
      </c>
      <c r="N941" s="48">
        <v>0</v>
      </c>
      <c r="R941" s="49"/>
      <c r="S941" s="181">
        <v>0</v>
      </c>
      <c r="T941" s="49">
        <v>49765</v>
      </c>
      <c r="U941" s="49">
        <v>49765</v>
      </c>
      <c r="V941" s="49">
        <v>49765</v>
      </c>
      <c r="W941" s="49">
        <v>49765</v>
      </c>
      <c r="X941" s="48">
        <v>1</v>
      </c>
      <c r="Y941" s="48">
        <v>1</v>
      </c>
      <c r="Z941" s="48">
        <v>1</v>
      </c>
      <c r="AA941" s="156">
        <v>0</v>
      </c>
      <c r="AF941" s="48">
        <v>0</v>
      </c>
      <c r="AG941" s="49" t="s">
        <v>32</v>
      </c>
      <c r="AH941" s="48">
        <v>1</v>
      </c>
      <c r="AI941" s="48" t="s">
        <v>33</v>
      </c>
      <c r="AJ941" s="48" t="s">
        <v>33</v>
      </c>
      <c r="AK941" s="48" t="s">
        <v>33</v>
      </c>
      <c r="AL941" s="48" t="s">
        <v>34</v>
      </c>
      <c r="AN941" s="48">
        <v>0</v>
      </c>
      <c r="AO941" s="48">
        <v>0</v>
      </c>
      <c r="AP941" s="48">
        <v>0</v>
      </c>
      <c r="AQ941" s="48">
        <v>0</v>
      </c>
      <c r="AR941" s="48">
        <v>0</v>
      </c>
      <c r="AS941" s="48">
        <v>0</v>
      </c>
      <c r="AT941" s="48">
        <v>0</v>
      </c>
      <c r="AU941" s="48">
        <v>0</v>
      </c>
      <c r="AV941" s="48">
        <v>0</v>
      </c>
      <c r="AW941" s="48">
        <v>0</v>
      </c>
      <c r="AX941" s="48">
        <v>0</v>
      </c>
      <c r="AY941" s="48">
        <v>0</v>
      </c>
      <c r="AZ941" s="48">
        <v>0</v>
      </c>
      <c r="BA941" s="48">
        <v>0</v>
      </c>
      <c r="BB941" s="48">
        <v>0</v>
      </c>
    </row>
    <row r="942" spans="1:54" x14ac:dyDescent="0.35">
      <c r="A942" s="49">
        <v>45930</v>
      </c>
      <c r="B942" s="48">
        <v>1</v>
      </c>
      <c r="C942" s="50" t="s">
        <v>32</v>
      </c>
      <c r="D942" s="48" t="s">
        <v>31</v>
      </c>
      <c r="E942" s="48" t="s">
        <v>138</v>
      </c>
      <c r="F942" s="48" t="s">
        <v>139</v>
      </c>
      <c r="G942" s="49" t="s">
        <v>63</v>
      </c>
      <c r="H942" s="48" t="s">
        <v>63</v>
      </c>
      <c r="I942" s="48">
        <v>1</v>
      </c>
      <c r="J942" s="48">
        <v>127</v>
      </c>
      <c r="K942" s="48">
        <v>1</v>
      </c>
      <c r="N942" s="48">
        <v>0</v>
      </c>
      <c r="R942" s="49"/>
      <c r="S942" s="181">
        <v>0</v>
      </c>
      <c r="T942" s="49">
        <v>49795</v>
      </c>
      <c r="U942" s="49">
        <v>49795</v>
      </c>
      <c r="V942" s="49">
        <v>49795</v>
      </c>
      <c r="W942" s="49">
        <v>49795</v>
      </c>
      <c r="X942" s="48">
        <v>1</v>
      </c>
      <c r="Y942" s="48">
        <v>1</v>
      </c>
      <c r="Z942" s="48">
        <v>1</v>
      </c>
      <c r="AA942" s="156">
        <v>0</v>
      </c>
      <c r="AF942" s="48">
        <v>0</v>
      </c>
      <c r="AG942" s="49" t="s">
        <v>32</v>
      </c>
      <c r="AH942" s="48">
        <v>1</v>
      </c>
      <c r="AI942" s="48" t="s">
        <v>33</v>
      </c>
      <c r="AJ942" s="48" t="s">
        <v>33</v>
      </c>
      <c r="AK942" s="48" t="s">
        <v>33</v>
      </c>
      <c r="AL942" s="48" t="s">
        <v>34</v>
      </c>
      <c r="AN942" s="48">
        <v>0</v>
      </c>
      <c r="AO942" s="48">
        <v>0</v>
      </c>
      <c r="AP942" s="48">
        <v>0</v>
      </c>
      <c r="AQ942" s="48">
        <v>0</v>
      </c>
      <c r="AR942" s="48">
        <v>0</v>
      </c>
      <c r="AS942" s="48">
        <v>0</v>
      </c>
      <c r="AT942" s="48">
        <v>0</v>
      </c>
      <c r="AU942" s="48">
        <v>0</v>
      </c>
      <c r="AV942" s="48">
        <v>0</v>
      </c>
      <c r="AW942" s="48">
        <v>0</v>
      </c>
      <c r="AX942" s="48">
        <v>0</v>
      </c>
      <c r="AY942" s="48">
        <v>0</v>
      </c>
      <c r="AZ942" s="48">
        <v>0</v>
      </c>
      <c r="BA942" s="48">
        <v>0</v>
      </c>
      <c r="BB942" s="48">
        <v>0</v>
      </c>
    </row>
    <row r="943" spans="1:54" x14ac:dyDescent="0.35">
      <c r="A943" s="49">
        <v>45930</v>
      </c>
      <c r="B943" s="48">
        <v>1</v>
      </c>
      <c r="C943" s="50" t="s">
        <v>32</v>
      </c>
      <c r="D943" s="48" t="s">
        <v>31</v>
      </c>
      <c r="E943" s="48" t="s">
        <v>138</v>
      </c>
      <c r="F943" s="48" t="s">
        <v>139</v>
      </c>
      <c r="G943" s="49" t="s">
        <v>63</v>
      </c>
      <c r="H943" s="48" t="s">
        <v>63</v>
      </c>
      <c r="I943" s="48">
        <v>1</v>
      </c>
      <c r="J943" s="48">
        <v>128</v>
      </c>
      <c r="K943" s="48">
        <v>1</v>
      </c>
      <c r="N943" s="48">
        <v>0</v>
      </c>
      <c r="R943" s="49"/>
      <c r="S943" s="181">
        <v>0</v>
      </c>
      <c r="T943" s="49">
        <v>49826</v>
      </c>
      <c r="U943" s="49">
        <v>49826</v>
      </c>
      <c r="V943" s="49">
        <v>49826</v>
      </c>
      <c r="W943" s="49">
        <v>49826</v>
      </c>
      <c r="X943" s="48">
        <v>1</v>
      </c>
      <c r="Y943" s="48">
        <v>1</v>
      </c>
      <c r="Z943" s="48">
        <v>1</v>
      </c>
      <c r="AA943" s="156">
        <v>0</v>
      </c>
      <c r="AF943" s="48">
        <v>0</v>
      </c>
      <c r="AG943" s="49" t="s">
        <v>32</v>
      </c>
      <c r="AH943" s="48">
        <v>1</v>
      </c>
      <c r="AI943" s="48" t="s">
        <v>33</v>
      </c>
      <c r="AJ943" s="48" t="s">
        <v>33</v>
      </c>
      <c r="AK943" s="48" t="s">
        <v>33</v>
      </c>
      <c r="AL943" s="48" t="s">
        <v>34</v>
      </c>
      <c r="AN943" s="48">
        <v>0</v>
      </c>
      <c r="AO943" s="48">
        <v>0</v>
      </c>
      <c r="AP943" s="48">
        <v>0</v>
      </c>
      <c r="AQ943" s="48">
        <v>0</v>
      </c>
      <c r="AR943" s="48">
        <v>0</v>
      </c>
      <c r="AS943" s="48">
        <v>0</v>
      </c>
      <c r="AT943" s="48">
        <v>0</v>
      </c>
      <c r="AU943" s="48">
        <v>0</v>
      </c>
      <c r="AV943" s="48">
        <v>0</v>
      </c>
      <c r="AW943" s="48">
        <v>0</v>
      </c>
      <c r="AX943" s="48">
        <v>0</v>
      </c>
      <c r="AY943" s="48">
        <v>0</v>
      </c>
      <c r="AZ943" s="48">
        <v>0</v>
      </c>
      <c r="BA943" s="48">
        <v>0</v>
      </c>
      <c r="BB943" s="48">
        <v>0</v>
      </c>
    </row>
    <row r="944" spans="1:54" x14ac:dyDescent="0.35">
      <c r="A944" s="49">
        <v>45930</v>
      </c>
      <c r="B944" s="48">
        <v>1</v>
      </c>
      <c r="C944" s="50" t="s">
        <v>32</v>
      </c>
      <c r="D944" s="48" t="s">
        <v>31</v>
      </c>
      <c r="E944" s="48" t="s">
        <v>138</v>
      </c>
      <c r="F944" s="48" t="s">
        <v>139</v>
      </c>
      <c r="G944" s="49" t="s">
        <v>63</v>
      </c>
      <c r="H944" s="48" t="s">
        <v>63</v>
      </c>
      <c r="I944" s="48">
        <v>1</v>
      </c>
      <c r="J944" s="48">
        <v>129</v>
      </c>
      <c r="K944" s="48">
        <v>1</v>
      </c>
      <c r="N944" s="48">
        <v>0</v>
      </c>
      <c r="R944" s="49"/>
      <c r="S944" s="181">
        <v>0</v>
      </c>
      <c r="T944" s="49">
        <v>49856</v>
      </c>
      <c r="U944" s="49">
        <v>49856</v>
      </c>
      <c r="V944" s="49">
        <v>49856</v>
      </c>
      <c r="W944" s="49">
        <v>49856</v>
      </c>
      <c r="X944" s="48">
        <v>1</v>
      </c>
      <c r="Y944" s="48">
        <v>1</v>
      </c>
      <c r="Z944" s="48">
        <v>1</v>
      </c>
      <c r="AA944" s="156">
        <v>0</v>
      </c>
      <c r="AF944" s="48">
        <v>0</v>
      </c>
      <c r="AG944" s="49" t="s">
        <v>32</v>
      </c>
      <c r="AH944" s="48">
        <v>1</v>
      </c>
      <c r="AI944" s="48" t="s">
        <v>33</v>
      </c>
      <c r="AJ944" s="48" t="s">
        <v>33</v>
      </c>
      <c r="AK944" s="48" t="s">
        <v>33</v>
      </c>
      <c r="AL944" s="48" t="s">
        <v>34</v>
      </c>
      <c r="AN944" s="48">
        <v>0</v>
      </c>
      <c r="AO944" s="48">
        <v>0</v>
      </c>
      <c r="AP944" s="48">
        <v>0</v>
      </c>
      <c r="AQ944" s="48">
        <v>0</v>
      </c>
      <c r="AR944" s="48">
        <v>0</v>
      </c>
      <c r="AS944" s="48">
        <v>0</v>
      </c>
      <c r="AT944" s="48">
        <v>0</v>
      </c>
      <c r="AU944" s="48">
        <v>0</v>
      </c>
      <c r="AV944" s="48">
        <v>0</v>
      </c>
      <c r="AW944" s="48">
        <v>0</v>
      </c>
      <c r="AX944" s="48">
        <v>0</v>
      </c>
      <c r="AY944" s="48">
        <v>0</v>
      </c>
      <c r="AZ944" s="48">
        <v>0</v>
      </c>
      <c r="BA944" s="48">
        <v>0</v>
      </c>
      <c r="BB944" s="48">
        <v>0</v>
      </c>
    </row>
    <row r="945" spans="1:54" x14ac:dyDescent="0.35">
      <c r="A945" s="49">
        <v>45930</v>
      </c>
      <c r="B945" s="48">
        <v>1</v>
      </c>
      <c r="C945" s="50" t="s">
        <v>32</v>
      </c>
      <c r="D945" s="48" t="s">
        <v>31</v>
      </c>
      <c r="E945" s="48" t="s">
        <v>138</v>
      </c>
      <c r="F945" s="48" t="s">
        <v>139</v>
      </c>
      <c r="G945" s="49" t="s">
        <v>63</v>
      </c>
      <c r="H945" s="48" t="s">
        <v>63</v>
      </c>
      <c r="I945" s="48">
        <v>1</v>
      </c>
      <c r="J945" s="48">
        <v>130</v>
      </c>
      <c r="K945" s="48">
        <v>1</v>
      </c>
      <c r="N945" s="48">
        <v>0</v>
      </c>
      <c r="R945" s="49"/>
      <c r="S945" s="181">
        <v>0</v>
      </c>
      <c r="T945" s="49">
        <v>49887</v>
      </c>
      <c r="U945" s="49">
        <v>49887</v>
      </c>
      <c r="V945" s="49">
        <v>49887</v>
      </c>
      <c r="W945" s="49">
        <v>49887</v>
      </c>
      <c r="X945" s="48">
        <v>1</v>
      </c>
      <c r="Y945" s="48">
        <v>1</v>
      </c>
      <c r="Z945" s="48">
        <v>1</v>
      </c>
      <c r="AA945" s="156">
        <v>0</v>
      </c>
      <c r="AF945" s="48">
        <v>0</v>
      </c>
      <c r="AG945" s="49" t="s">
        <v>32</v>
      </c>
      <c r="AH945" s="48">
        <v>1</v>
      </c>
      <c r="AI945" s="48" t="s">
        <v>33</v>
      </c>
      <c r="AJ945" s="48" t="s">
        <v>33</v>
      </c>
      <c r="AK945" s="48" t="s">
        <v>33</v>
      </c>
      <c r="AL945" s="48" t="s">
        <v>34</v>
      </c>
      <c r="AN945" s="48">
        <v>0</v>
      </c>
      <c r="AO945" s="48">
        <v>0</v>
      </c>
      <c r="AP945" s="48">
        <v>0</v>
      </c>
      <c r="AQ945" s="48">
        <v>0</v>
      </c>
      <c r="AR945" s="48">
        <v>0</v>
      </c>
      <c r="AS945" s="48">
        <v>0</v>
      </c>
      <c r="AT945" s="48">
        <v>0</v>
      </c>
      <c r="AU945" s="48">
        <v>0</v>
      </c>
      <c r="AV945" s="48">
        <v>0</v>
      </c>
      <c r="AW945" s="48">
        <v>0</v>
      </c>
      <c r="AX945" s="48">
        <v>0</v>
      </c>
      <c r="AY945" s="48">
        <v>0</v>
      </c>
      <c r="AZ945" s="48">
        <v>0</v>
      </c>
      <c r="BA945" s="48">
        <v>0</v>
      </c>
      <c r="BB945" s="48">
        <v>0</v>
      </c>
    </row>
    <row r="946" spans="1:54" x14ac:dyDescent="0.35">
      <c r="A946" s="49">
        <v>45930</v>
      </c>
      <c r="B946" s="48">
        <v>1</v>
      </c>
      <c r="C946" s="50" t="s">
        <v>32</v>
      </c>
      <c r="D946" s="48" t="s">
        <v>31</v>
      </c>
      <c r="E946" s="48" t="s">
        <v>138</v>
      </c>
      <c r="F946" s="48" t="s">
        <v>139</v>
      </c>
      <c r="G946" s="49" t="s">
        <v>63</v>
      </c>
      <c r="H946" s="48" t="s">
        <v>63</v>
      </c>
      <c r="I946" s="48">
        <v>1</v>
      </c>
      <c r="J946" s="48">
        <v>131</v>
      </c>
      <c r="K946" s="48">
        <v>1</v>
      </c>
      <c r="N946" s="48">
        <v>0</v>
      </c>
      <c r="R946" s="49"/>
      <c r="S946" s="181">
        <v>0</v>
      </c>
      <c r="T946" s="49">
        <v>49918</v>
      </c>
      <c r="U946" s="49">
        <v>49918</v>
      </c>
      <c r="V946" s="49">
        <v>49918</v>
      </c>
      <c r="W946" s="49">
        <v>49918</v>
      </c>
      <c r="X946" s="48">
        <v>1</v>
      </c>
      <c r="Y946" s="48">
        <v>1</v>
      </c>
      <c r="Z946" s="48">
        <v>1</v>
      </c>
      <c r="AA946" s="156">
        <v>0</v>
      </c>
      <c r="AF946" s="48">
        <v>0</v>
      </c>
      <c r="AG946" s="49" t="s">
        <v>32</v>
      </c>
      <c r="AH946" s="48">
        <v>1</v>
      </c>
      <c r="AI946" s="48" t="s">
        <v>33</v>
      </c>
      <c r="AJ946" s="48" t="s">
        <v>33</v>
      </c>
      <c r="AK946" s="48" t="s">
        <v>33</v>
      </c>
      <c r="AL946" s="48" t="s">
        <v>34</v>
      </c>
      <c r="AN946" s="48">
        <v>0</v>
      </c>
      <c r="AO946" s="48">
        <v>0</v>
      </c>
      <c r="AP946" s="48">
        <v>0</v>
      </c>
      <c r="AQ946" s="48">
        <v>0</v>
      </c>
      <c r="AR946" s="48">
        <v>0</v>
      </c>
      <c r="AS946" s="48">
        <v>0</v>
      </c>
      <c r="AT946" s="48">
        <v>0</v>
      </c>
      <c r="AU946" s="48">
        <v>0</v>
      </c>
      <c r="AV946" s="48">
        <v>0</v>
      </c>
      <c r="AW946" s="48">
        <v>0</v>
      </c>
      <c r="AX946" s="48">
        <v>0</v>
      </c>
      <c r="AY946" s="48">
        <v>0</v>
      </c>
      <c r="AZ946" s="48">
        <v>0</v>
      </c>
      <c r="BA946" s="48">
        <v>0</v>
      </c>
      <c r="BB946" s="48">
        <v>0</v>
      </c>
    </row>
    <row r="947" spans="1:54" x14ac:dyDescent="0.35">
      <c r="A947" s="49">
        <v>45930</v>
      </c>
      <c r="B947" s="48">
        <v>1</v>
      </c>
      <c r="C947" s="50" t="s">
        <v>32</v>
      </c>
      <c r="D947" s="48" t="s">
        <v>31</v>
      </c>
      <c r="E947" s="48" t="s">
        <v>138</v>
      </c>
      <c r="F947" s="48" t="s">
        <v>139</v>
      </c>
      <c r="G947" s="49" t="s">
        <v>63</v>
      </c>
      <c r="H947" s="48" t="s">
        <v>63</v>
      </c>
      <c r="I947" s="48">
        <v>1</v>
      </c>
      <c r="J947" s="48">
        <v>132</v>
      </c>
      <c r="K947" s="48">
        <v>1</v>
      </c>
      <c r="N947" s="48">
        <v>0</v>
      </c>
      <c r="R947" s="49"/>
      <c r="S947" s="181">
        <v>0</v>
      </c>
      <c r="T947" s="49">
        <v>49948</v>
      </c>
      <c r="U947" s="49">
        <v>49948</v>
      </c>
      <c r="V947" s="49">
        <v>49948</v>
      </c>
      <c r="W947" s="49">
        <v>49948</v>
      </c>
      <c r="X947" s="48">
        <v>1</v>
      </c>
      <c r="Y947" s="48">
        <v>1</v>
      </c>
      <c r="Z947" s="48">
        <v>1</v>
      </c>
      <c r="AA947" s="156">
        <v>0</v>
      </c>
      <c r="AF947" s="48">
        <v>0</v>
      </c>
      <c r="AG947" s="49" t="s">
        <v>32</v>
      </c>
      <c r="AH947" s="48">
        <v>1</v>
      </c>
      <c r="AI947" s="48" t="s">
        <v>33</v>
      </c>
      <c r="AJ947" s="48" t="s">
        <v>33</v>
      </c>
      <c r="AK947" s="48" t="s">
        <v>33</v>
      </c>
      <c r="AL947" s="48" t="s">
        <v>34</v>
      </c>
      <c r="AN947" s="48">
        <v>0</v>
      </c>
      <c r="AO947" s="48">
        <v>0</v>
      </c>
      <c r="AP947" s="48">
        <v>0</v>
      </c>
      <c r="AQ947" s="48">
        <v>0</v>
      </c>
      <c r="AR947" s="48">
        <v>0</v>
      </c>
      <c r="AS947" s="48">
        <v>0</v>
      </c>
      <c r="AT947" s="48">
        <v>0</v>
      </c>
      <c r="AU947" s="48">
        <v>0</v>
      </c>
      <c r="AV947" s="48">
        <v>0</v>
      </c>
      <c r="AW947" s="48">
        <v>0</v>
      </c>
      <c r="AX947" s="48">
        <v>0</v>
      </c>
      <c r="AY947" s="48">
        <v>0</v>
      </c>
      <c r="AZ947" s="48">
        <v>0</v>
      </c>
      <c r="BA947" s="48">
        <v>0</v>
      </c>
      <c r="BB947" s="48">
        <v>0</v>
      </c>
    </row>
    <row r="948" spans="1:54" x14ac:dyDescent="0.35">
      <c r="A948" s="49">
        <v>45930</v>
      </c>
      <c r="B948" s="48">
        <v>1</v>
      </c>
      <c r="C948" s="50" t="s">
        <v>32</v>
      </c>
      <c r="D948" s="48" t="s">
        <v>31</v>
      </c>
      <c r="E948" s="48" t="s">
        <v>138</v>
      </c>
      <c r="F948" s="48" t="s">
        <v>139</v>
      </c>
      <c r="G948" s="49" t="s">
        <v>63</v>
      </c>
      <c r="H948" s="48" t="s">
        <v>63</v>
      </c>
      <c r="I948" s="48">
        <v>1</v>
      </c>
      <c r="J948" s="48">
        <v>133</v>
      </c>
      <c r="K948" s="48">
        <v>1</v>
      </c>
      <c r="N948" s="48">
        <v>0</v>
      </c>
      <c r="R948" s="49"/>
      <c r="S948" s="181">
        <v>0</v>
      </c>
      <c r="T948" s="49">
        <v>49979</v>
      </c>
      <c r="U948" s="49">
        <v>49979</v>
      </c>
      <c r="V948" s="49">
        <v>49979</v>
      </c>
      <c r="W948" s="49">
        <v>49979</v>
      </c>
      <c r="X948" s="48">
        <v>1</v>
      </c>
      <c r="Y948" s="48">
        <v>1</v>
      </c>
      <c r="Z948" s="48">
        <v>1</v>
      </c>
      <c r="AA948" s="156">
        <v>0</v>
      </c>
      <c r="AF948" s="48">
        <v>0</v>
      </c>
      <c r="AG948" s="49" t="s">
        <v>32</v>
      </c>
      <c r="AH948" s="48">
        <v>1</v>
      </c>
      <c r="AI948" s="48" t="s">
        <v>33</v>
      </c>
      <c r="AJ948" s="48" t="s">
        <v>33</v>
      </c>
      <c r="AK948" s="48" t="s">
        <v>33</v>
      </c>
      <c r="AL948" s="48" t="s">
        <v>34</v>
      </c>
      <c r="AN948" s="48">
        <v>0</v>
      </c>
      <c r="AO948" s="48">
        <v>0</v>
      </c>
      <c r="AP948" s="48">
        <v>0</v>
      </c>
      <c r="AQ948" s="48">
        <v>0</v>
      </c>
      <c r="AR948" s="48">
        <v>0</v>
      </c>
      <c r="AS948" s="48">
        <v>0</v>
      </c>
      <c r="AT948" s="48">
        <v>0</v>
      </c>
      <c r="AU948" s="48">
        <v>0</v>
      </c>
      <c r="AV948" s="48">
        <v>0</v>
      </c>
      <c r="AW948" s="48">
        <v>0</v>
      </c>
      <c r="AX948" s="48">
        <v>0</v>
      </c>
      <c r="AY948" s="48">
        <v>0</v>
      </c>
      <c r="AZ948" s="48">
        <v>0</v>
      </c>
      <c r="BA948" s="48">
        <v>0</v>
      </c>
      <c r="BB948" s="48">
        <v>0</v>
      </c>
    </row>
    <row r="949" spans="1:54" x14ac:dyDescent="0.35">
      <c r="A949" s="49">
        <v>45930</v>
      </c>
      <c r="B949" s="48">
        <v>1</v>
      </c>
      <c r="C949" s="50" t="s">
        <v>32</v>
      </c>
      <c r="D949" s="48" t="s">
        <v>31</v>
      </c>
      <c r="E949" s="48" t="s">
        <v>138</v>
      </c>
      <c r="F949" s="48" t="s">
        <v>139</v>
      </c>
      <c r="G949" s="49" t="s">
        <v>63</v>
      </c>
      <c r="H949" s="48" t="s">
        <v>63</v>
      </c>
      <c r="I949" s="48">
        <v>1</v>
      </c>
      <c r="J949" s="48">
        <v>134</v>
      </c>
      <c r="K949" s="48">
        <v>1</v>
      </c>
      <c r="N949" s="48">
        <v>0</v>
      </c>
      <c r="R949" s="49"/>
      <c r="S949" s="181">
        <v>0</v>
      </c>
      <c r="T949" s="49">
        <v>50009</v>
      </c>
      <c r="U949" s="49">
        <v>50009</v>
      </c>
      <c r="V949" s="49">
        <v>50009</v>
      </c>
      <c r="W949" s="49">
        <v>50009</v>
      </c>
      <c r="X949" s="48">
        <v>1</v>
      </c>
      <c r="Y949" s="48">
        <v>1</v>
      </c>
      <c r="Z949" s="48">
        <v>1</v>
      </c>
      <c r="AA949" s="156">
        <v>0</v>
      </c>
      <c r="AF949" s="48">
        <v>0</v>
      </c>
      <c r="AG949" s="49" t="s">
        <v>32</v>
      </c>
      <c r="AH949" s="48">
        <v>1</v>
      </c>
      <c r="AI949" s="48" t="s">
        <v>33</v>
      </c>
      <c r="AJ949" s="48" t="s">
        <v>33</v>
      </c>
      <c r="AK949" s="48" t="s">
        <v>33</v>
      </c>
      <c r="AL949" s="48" t="s">
        <v>34</v>
      </c>
      <c r="AN949" s="48">
        <v>0</v>
      </c>
      <c r="AO949" s="48">
        <v>0</v>
      </c>
      <c r="AP949" s="48">
        <v>0</v>
      </c>
      <c r="AQ949" s="48">
        <v>0</v>
      </c>
      <c r="AR949" s="48">
        <v>0</v>
      </c>
      <c r="AS949" s="48">
        <v>0</v>
      </c>
      <c r="AT949" s="48">
        <v>0</v>
      </c>
      <c r="AU949" s="48">
        <v>0</v>
      </c>
      <c r="AV949" s="48">
        <v>0</v>
      </c>
      <c r="AW949" s="48">
        <v>0</v>
      </c>
      <c r="AX949" s="48">
        <v>0</v>
      </c>
      <c r="AY949" s="48">
        <v>0</v>
      </c>
      <c r="AZ949" s="48">
        <v>0</v>
      </c>
      <c r="BA949" s="48">
        <v>0</v>
      </c>
      <c r="BB949" s="48">
        <v>0</v>
      </c>
    </row>
    <row r="950" spans="1:54" x14ac:dyDescent="0.35">
      <c r="A950" s="49">
        <v>45930</v>
      </c>
      <c r="B950" s="48">
        <v>1</v>
      </c>
      <c r="C950" s="50" t="s">
        <v>32</v>
      </c>
      <c r="D950" s="48" t="s">
        <v>31</v>
      </c>
      <c r="E950" s="48" t="s">
        <v>138</v>
      </c>
      <c r="F950" s="48" t="s">
        <v>139</v>
      </c>
      <c r="G950" s="49" t="s">
        <v>63</v>
      </c>
      <c r="H950" s="48" t="s">
        <v>63</v>
      </c>
      <c r="I950" s="48">
        <v>1</v>
      </c>
      <c r="J950" s="48">
        <v>135</v>
      </c>
      <c r="K950" s="48">
        <v>1</v>
      </c>
      <c r="N950" s="48">
        <v>0</v>
      </c>
      <c r="R950" s="49"/>
      <c r="S950" s="181">
        <v>0</v>
      </c>
      <c r="T950" s="49">
        <v>50040</v>
      </c>
      <c r="U950" s="49">
        <v>50040</v>
      </c>
      <c r="V950" s="49">
        <v>50040</v>
      </c>
      <c r="W950" s="49">
        <v>50040</v>
      </c>
      <c r="X950" s="48">
        <v>1</v>
      </c>
      <c r="Y950" s="48">
        <v>1</v>
      </c>
      <c r="Z950" s="48">
        <v>1</v>
      </c>
      <c r="AA950" s="156">
        <v>0</v>
      </c>
      <c r="AF950" s="48">
        <v>0</v>
      </c>
      <c r="AG950" s="49" t="s">
        <v>32</v>
      </c>
      <c r="AH950" s="48">
        <v>1</v>
      </c>
      <c r="AI950" s="48" t="s">
        <v>33</v>
      </c>
      <c r="AJ950" s="48" t="s">
        <v>33</v>
      </c>
      <c r="AK950" s="48" t="s">
        <v>33</v>
      </c>
      <c r="AL950" s="48" t="s">
        <v>34</v>
      </c>
      <c r="AN950" s="48">
        <v>0</v>
      </c>
      <c r="AO950" s="48">
        <v>0</v>
      </c>
      <c r="AP950" s="48">
        <v>0</v>
      </c>
      <c r="AQ950" s="48">
        <v>0</v>
      </c>
      <c r="AR950" s="48">
        <v>0</v>
      </c>
      <c r="AS950" s="48">
        <v>0</v>
      </c>
      <c r="AT950" s="48">
        <v>0</v>
      </c>
      <c r="AU950" s="48">
        <v>0</v>
      </c>
      <c r="AV950" s="48">
        <v>0</v>
      </c>
      <c r="AW950" s="48">
        <v>0</v>
      </c>
      <c r="AX950" s="48">
        <v>0</v>
      </c>
      <c r="AY950" s="48">
        <v>0</v>
      </c>
      <c r="AZ950" s="48">
        <v>0</v>
      </c>
      <c r="BA950" s="48">
        <v>0</v>
      </c>
      <c r="BB950" s="48">
        <v>0</v>
      </c>
    </row>
    <row r="951" spans="1:54" x14ac:dyDescent="0.35">
      <c r="A951" s="49">
        <v>45930</v>
      </c>
      <c r="B951" s="48">
        <v>1</v>
      </c>
      <c r="C951" s="50" t="s">
        <v>32</v>
      </c>
      <c r="D951" s="48" t="s">
        <v>31</v>
      </c>
      <c r="E951" s="48" t="s">
        <v>138</v>
      </c>
      <c r="F951" s="48" t="s">
        <v>139</v>
      </c>
      <c r="G951" s="49" t="s">
        <v>63</v>
      </c>
      <c r="H951" s="48" t="s">
        <v>63</v>
      </c>
      <c r="I951" s="48">
        <v>1</v>
      </c>
      <c r="J951" s="48">
        <v>136</v>
      </c>
      <c r="K951" s="48">
        <v>1</v>
      </c>
      <c r="N951" s="48">
        <v>0</v>
      </c>
      <c r="R951" s="49"/>
      <c r="S951" s="181">
        <v>0</v>
      </c>
      <c r="T951" s="49">
        <v>50071</v>
      </c>
      <c r="U951" s="49">
        <v>50071</v>
      </c>
      <c r="V951" s="49">
        <v>50071</v>
      </c>
      <c r="W951" s="49">
        <v>50071</v>
      </c>
      <c r="X951" s="48">
        <v>1</v>
      </c>
      <c r="Y951" s="48">
        <v>1</v>
      </c>
      <c r="Z951" s="48">
        <v>1</v>
      </c>
      <c r="AA951" s="156">
        <v>0</v>
      </c>
      <c r="AF951" s="48">
        <v>0</v>
      </c>
      <c r="AG951" s="49" t="s">
        <v>32</v>
      </c>
      <c r="AH951" s="48">
        <v>1</v>
      </c>
      <c r="AI951" s="48" t="s">
        <v>33</v>
      </c>
      <c r="AJ951" s="48" t="s">
        <v>33</v>
      </c>
      <c r="AK951" s="48" t="s">
        <v>33</v>
      </c>
      <c r="AL951" s="48" t="s">
        <v>34</v>
      </c>
      <c r="AN951" s="48">
        <v>0</v>
      </c>
      <c r="AO951" s="48">
        <v>0</v>
      </c>
      <c r="AP951" s="48">
        <v>0</v>
      </c>
      <c r="AQ951" s="48">
        <v>0</v>
      </c>
      <c r="AR951" s="48">
        <v>0</v>
      </c>
      <c r="AS951" s="48">
        <v>0</v>
      </c>
      <c r="AT951" s="48">
        <v>0</v>
      </c>
      <c r="AU951" s="48">
        <v>0</v>
      </c>
      <c r="AV951" s="48">
        <v>0</v>
      </c>
      <c r="AW951" s="48">
        <v>0</v>
      </c>
      <c r="AX951" s="48">
        <v>0</v>
      </c>
      <c r="AY951" s="48">
        <v>0</v>
      </c>
      <c r="AZ951" s="48">
        <v>0</v>
      </c>
      <c r="BA951" s="48">
        <v>0</v>
      </c>
      <c r="BB951" s="48">
        <v>0</v>
      </c>
    </row>
    <row r="952" spans="1:54" x14ac:dyDescent="0.35">
      <c r="A952" s="49">
        <v>45930</v>
      </c>
      <c r="B952" s="48">
        <v>1</v>
      </c>
      <c r="C952" s="50" t="s">
        <v>32</v>
      </c>
      <c r="D952" s="48" t="s">
        <v>31</v>
      </c>
      <c r="E952" s="48" t="s">
        <v>138</v>
      </c>
      <c r="F952" s="48" t="s">
        <v>139</v>
      </c>
      <c r="G952" s="49" t="s">
        <v>63</v>
      </c>
      <c r="H952" s="48" t="s">
        <v>63</v>
      </c>
      <c r="I952" s="48">
        <v>1</v>
      </c>
      <c r="J952" s="48">
        <v>137</v>
      </c>
      <c r="K952" s="48">
        <v>1</v>
      </c>
      <c r="N952" s="48">
        <v>0</v>
      </c>
      <c r="R952" s="49"/>
      <c r="S952" s="181">
        <v>0</v>
      </c>
      <c r="T952" s="49">
        <v>50099</v>
      </c>
      <c r="U952" s="49">
        <v>50099</v>
      </c>
      <c r="V952" s="49">
        <v>50099</v>
      </c>
      <c r="W952" s="49">
        <v>50099</v>
      </c>
      <c r="X952" s="48">
        <v>1</v>
      </c>
      <c r="Y952" s="48">
        <v>1</v>
      </c>
      <c r="Z952" s="48">
        <v>1</v>
      </c>
      <c r="AA952" s="156">
        <v>0</v>
      </c>
      <c r="AF952" s="48">
        <v>0</v>
      </c>
      <c r="AG952" s="49" t="s">
        <v>32</v>
      </c>
      <c r="AH952" s="48">
        <v>1</v>
      </c>
      <c r="AI952" s="48" t="s">
        <v>33</v>
      </c>
      <c r="AJ952" s="48" t="s">
        <v>33</v>
      </c>
      <c r="AK952" s="48" t="s">
        <v>33</v>
      </c>
      <c r="AL952" s="48" t="s">
        <v>34</v>
      </c>
      <c r="AN952" s="48">
        <v>0</v>
      </c>
      <c r="AO952" s="48">
        <v>0</v>
      </c>
      <c r="AP952" s="48">
        <v>0</v>
      </c>
      <c r="AQ952" s="48">
        <v>0</v>
      </c>
      <c r="AR952" s="48">
        <v>0</v>
      </c>
      <c r="AS952" s="48">
        <v>0</v>
      </c>
      <c r="AT952" s="48">
        <v>0</v>
      </c>
      <c r="AU952" s="48">
        <v>0</v>
      </c>
      <c r="AV952" s="48">
        <v>0</v>
      </c>
      <c r="AW952" s="48">
        <v>0</v>
      </c>
      <c r="AX952" s="48">
        <v>0</v>
      </c>
      <c r="AY952" s="48">
        <v>0</v>
      </c>
      <c r="AZ952" s="48">
        <v>0</v>
      </c>
      <c r="BA952" s="48">
        <v>0</v>
      </c>
      <c r="BB952" s="48">
        <v>0</v>
      </c>
    </row>
    <row r="953" spans="1:54" x14ac:dyDescent="0.35">
      <c r="A953" s="49">
        <v>45930</v>
      </c>
      <c r="B953" s="48">
        <v>1</v>
      </c>
      <c r="C953" s="50" t="s">
        <v>32</v>
      </c>
      <c r="D953" s="48" t="s">
        <v>31</v>
      </c>
      <c r="E953" s="48" t="s">
        <v>138</v>
      </c>
      <c r="F953" s="48" t="s">
        <v>139</v>
      </c>
      <c r="G953" s="49" t="s">
        <v>63</v>
      </c>
      <c r="H953" s="48" t="s">
        <v>63</v>
      </c>
      <c r="I953" s="48">
        <v>1</v>
      </c>
      <c r="J953" s="48">
        <v>138</v>
      </c>
      <c r="K953" s="48">
        <v>1</v>
      </c>
      <c r="N953" s="48">
        <v>0</v>
      </c>
      <c r="R953" s="49"/>
      <c r="S953" s="181">
        <v>0</v>
      </c>
      <c r="T953" s="49">
        <v>50130</v>
      </c>
      <c r="U953" s="49">
        <v>50130</v>
      </c>
      <c r="V953" s="49">
        <v>50130</v>
      </c>
      <c r="W953" s="49">
        <v>50130</v>
      </c>
      <c r="X953" s="48">
        <v>1</v>
      </c>
      <c r="Y953" s="48">
        <v>1</v>
      </c>
      <c r="Z953" s="48">
        <v>1</v>
      </c>
      <c r="AA953" s="156">
        <v>0</v>
      </c>
      <c r="AF953" s="48">
        <v>0</v>
      </c>
      <c r="AG953" s="49" t="s">
        <v>32</v>
      </c>
      <c r="AH953" s="48">
        <v>1</v>
      </c>
      <c r="AI953" s="48" t="s">
        <v>33</v>
      </c>
      <c r="AJ953" s="48" t="s">
        <v>33</v>
      </c>
      <c r="AK953" s="48" t="s">
        <v>33</v>
      </c>
      <c r="AL953" s="48" t="s">
        <v>34</v>
      </c>
      <c r="AN953" s="48">
        <v>0</v>
      </c>
      <c r="AO953" s="48">
        <v>0</v>
      </c>
      <c r="AP953" s="48">
        <v>0</v>
      </c>
      <c r="AQ953" s="48">
        <v>0</v>
      </c>
      <c r="AR953" s="48">
        <v>0</v>
      </c>
      <c r="AS953" s="48">
        <v>0</v>
      </c>
      <c r="AT953" s="48">
        <v>0</v>
      </c>
      <c r="AU953" s="48">
        <v>0</v>
      </c>
      <c r="AV953" s="48">
        <v>0</v>
      </c>
      <c r="AW953" s="48">
        <v>0</v>
      </c>
      <c r="AX953" s="48">
        <v>0</v>
      </c>
      <c r="AY953" s="48">
        <v>0</v>
      </c>
      <c r="AZ953" s="48">
        <v>0</v>
      </c>
      <c r="BA953" s="48">
        <v>0</v>
      </c>
      <c r="BB953" s="48">
        <v>0</v>
      </c>
    </row>
    <row r="954" spans="1:54" x14ac:dyDescent="0.35">
      <c r="A954" s="49">
        <v>45930</v>
      </c>
      <c r="B954" s="48">
        <v>1</v>
      </c>
      <c r="C954" s="50" t="s">
        <v>32</v>
      </c>
      <c r="D954" s="48" t="s">
        <v>31</v>
      </c>
      <c r="E954" s="48" t="s">
        <v>138</v>
      </c>
      <c r="F954" s="48" t="s">
        <v>139</v>
      </c>
      <c r="G954" s="49" t="s">
        <v>63</v>
      </c>
      <c r="H954" s="48" t="s">
        <v>63</v>
      </c>
      <c r="I954" s="48">
        <v>1</v>
      </c>
      <c r="J954" s="48">
        <v>139</v>
      </c>
      <c r="K954" s="48">
        <v>1</v>
      </c>
      <c r="N954" s="48">
        <v>0</v>
      </c>
      <c r="R954" s="49"/>
      <c r="S954" s="181">
        <v>0</v>
      </c>
      <c r="T954" s="49">
        <v>50160</v>
      </c>
      <c r="U954" s="49">
        <v>50160</v>
      </c>
      <c r="V954" s="49">
        <v>50160</v>
      </c>
      <c r="W954" s="49">
        <v>50160</v>
      </c>
      <c r="X954" s="48">
        <v>1</v>
      </c>
      <c r="Y954" s="48">
        <v>1</v>
      </c>
      <c r="Z954" s="48">
        <v>1</v>
      </c>
      <c r="AA954" s="156">
        <v>0</v>
      </c>
      <c r="AF954" s="48">
        <v>0</v>
      </c>
      <c r="AG954" s="49" t="s">
        <v>32</v>
      </c>
      <c r="AH954" s="48">
        <v>1</v>
      </c>
      <c r="AI954" s="48" t="s">
        <v>33</v>
      </c>
      <c r="AJ954" s="48" t="s">
        <v>33</v>
      </c>
      <c r="AK954" s="48" t="s">
        <v>33</v>
      </c>
      <c r="AL954" s="48" t="s">
        <v>34</v>
      </c>
      <c r="AN954" s="48">
        <v>0</v>
      </c>
      <c r="AO954" s="48">
        <v>0</v>
      </c>
      <c r="AP954" s="48">
        <v>0</v>
      </c>
      <c r="AQ954" s="48">
        <v>0</v>
      </c>
      <c r="AR954" s="48">
        <v>0</v>
      </c>
      <c r="AS954" s="48">
        <v>0</v>
      </c>
      <c r="AT954" s="48">
        <v>0</v>
      </c>
      <c r="AU954" s="48">
        <v>0</v>
      </c>
      <c r="AV954" s="48">
        <v>0</v>
      </c>
      <c r="AW954" s="48">
        <v>0</v>
      </c>
      <c r="AX954" s="48">
        <v>0</v>
      </c>
      <c r="AY954" s="48">
        <v>0</v>
      </c>
      <c r="AZ954" s="48">
        <v>0</v>
      </c>
      <c r="BA954" s="48">
        <v>0</v>
      </c>
      <c r="BB954" s="48">
        <v>0</v>
      </c>
    </row>
    <row r="955" spans="1:54" x14ac:dyDescent="0.35">
      <c r="A955" s="49">
        <v>45930</v>
      </c>
      <c r="B955" s="48">
        <v>1</v>
      </c>
      <c r="C955" s="50" t="s">
        <v>32</v>
      </c>
      <c r="D955" s="48" t="s">
        <v>31</v>
      </c>
      <c r="E955" s="48" t="s">
        <v>138</v>
      </c>
      <c r="F955" s="48" t="s">
        <v>139</v>
      </c>
      <c r="G955" s="49" t="s">
        <v>63</v>
      </c>
      <c r="H955" s="48" t="s">
        <v>63</v>
      </c>
      <c r="I955" s="48">
        <v>1</v>
      </c>
      <c r="J955" s="48">
        <v>140</v>
      </c>
      <c r="K955" s="48">
        <v>1</v>
      </c>
      <c r="N955" s="48">
        <v>0</v>
      </c>
      <c r="R955" s="49"/>
      <c r="S955" s="181">
        <v>0</v>
      </c>
      <c r="T955" s="49">
        <v>50191</v>
      </c>
      <c r="U955" s="49">
        <v>50191</v>
      </c>
      <c r="V955" s="49">
        <v>50191</v>
      </c>
      <c r="W955" s="49">
        <v>50191</v>
      </c>
      <c r="X955" s="48">
        <v>1</v>
      </c>
      <c r="Y955" s="48">
        <v>1</v>
      </c>
      <c r="Z955" s="48">
        <v>1</v>
      </c>
      <c r="AA955" s="156">
        <v>0</v>
      </c>
      <c r="AF955" s="48">
        <v>0</v>
      </c>
      <c r="AG955" s="49" t="s">
        <v>32</v>
      </c>
      <c r="AH955" s="48">
        <v>1</v>
      </c>
      <c r="AI955" s="48" t="s">
        <v>33</v>
      </c>
      <c r="AJ955" s="48" t="s">
        <v>33</v>
      </c>
      <c r="AK955" s="48" t="s">
        <v>33</v>
      </c>
      <c r="AL955" s="48" t="s">
        <v>34</v>
      </c>
      <c r="AN955" s="48">
        <v>0</v>
      </c>
      <c r="AO955" s="48">
        <v>0</v>
      </c>
      <c r="AP955" s="48">
        <v>0</v>
      </c>
      <c r="AQ955" s="48">
        <v>0</v>
      </c>
      <c r="AR955" s="48">
        <v>0</v>
      </c>
      <c r="AS955" s="48">
        <v>0</v>
      </c>
      <c r="AT955" s="48">
        <v>0</v>
      </c>
      <c r="AU955" s="48">
        <v>0</v>
      </c>
      <c r="AV955" s="48">
        <v>0</v>
      </c>
      <c r="AW955" s="48">
        <v>0</v>
      </c>
      <c r="AX955" s="48">
        <v>0</v>
      </c>
      <c r="AY955" s="48">
        <v>0</v>
      </c>
      <c r="AZ955" s="48">
        <v>0</v>
      </c>
      <c r="BA955" s="48">
        <v>0</v>
      </c>
      <c r="BB955" s="48">
        <v>0</v>
      </c>
    </row>
    <row r="956" spans="1:54" x14ac:dyDescent="0.35">
      <c r="A956" s="49">
        <v>45930</v>
      </c>
      <c r="B956" s="48">
        <v>1</v>
      </c>
      <c r="C956" s="50" t="s">
        <v>32</v>
      </c>
      <c r="D956" s="48" t="s">
        <v>31</v>
      </c>
      <c r="E956" s="48" t="s">
        <v>138</v>
      </c>
      <c r="F956" s="48" t="s">
        <v>139</v>
      </c>
      <c r="G956" s="49" t="s">
        <v>63</v>
      </c>
      <c r="H956" s="48" t="s">
        <v>63</v>
      </c>
      <c r="I956" s="48">
        <v>1</v>
      </c>
      <c r="J956" s="48">
        <v>141</v>
      </c>
      <c r="K956" s="48">
        <v>1</v>
      </c>
      <c r="N956" s="48">
        <v>0</v>
      </c>
      <c r="R956" s="49"/>
      <c r="S956" s="181">
        <v>0</v>
      </c>
      <c r="T956" s="49">
        <v>50221</v>
      </c>
      <c r="U956" s="49">
        <v>50221</v>
      </c>
      <c r="V956" s="49">
        <v>50221</v>
      </c>
      <c r="W956" s="49">
        <v>50221</v>
      </c>
      <c r="X956" s="48">
        <v>1</v>
      </c>
      <c r="Y956" s="48">
        <v>1</v>
      </c>
      <c r="Z956" s="48">
        <v>1</v>
      </c>
      <c r="AA956" s="156">
        <v>0</v>
      </c>
      <c r="AF956" s="48">
        <v>0</v>
      </c>
      <c r="AG956" s="49" t="s">
        <v>32</v>
      </c>
      <c r="AH956" s="48">
        <v>1</v>
      </c>
      <c r="AI956" s="48" t="s">
        <v>33</v>
      </c>
      <c r="AJ956" s="48" t="s">
        <v>33</v>
      </c>
      <c r="AK956" s="48" t="s">
        <v>33</v>
      </c>
      <c r="AL956" s="48" t="s">
        <v>34</v>
      </c>
      <c r="AN956" s="48">
        <v>0</v>
      </c>
      <c r="AO956" s="48">
        <v>0</v>
      </c>
      <c r="AP956" s="48">
        <v>0</v>
      </c>
      <c r="AQ956" s="48">
        <v>0</v>
      </c>
      <c r="AR956" s="48">
        <v>0</v>
      </c>
      <c r="AS956" s="48">
        <v>0</v>
      </c>
      <c r="AT956" s="48">
        <v>0</v>
      </c>
      <c r="AU956" s="48">
        <v>0</v>
      </c>
      <c r="AV956" s="48">
        <v>0</v>
      </c>
      <c r="AW956" s="48">
        <v>0</v>
      </c>
      <c r="AX956" s="48">
        <v>0</v>
      </c>
      <c r="AY956" s="48">
        <v>0</v>
      </c>
      <c r="AZ956" s="48">
        <v>0</v>
      </c>
      <c r="BA956" s="48">
        <v>0</v>
      </c>
      <c r="BB956" s="48">
        <v>0</v>
      </c>
    </row>
    <row r="957" spans="1:54" x14ac:dyDescent="0.35">
      <c r="A957" s="49">
        <v>45930</v>
      </c>
      <c r="B957" s="48">
        <v>1</v>
      </c>
      <c r="C957" s="50" t="s">
        <v>32</v>
      </c>
      <c r="D957" s="48" t="s">
        <v>31</v>
      </c>
      <c r="E957" s="48" t="s">
        <v>138</v>
      </c>
      <c r="F957" s="48" t="s">
        <v>139</v>
      </c>
      <c r="G957" s="49" t="s">
        <v>63</v>
      </c>
      <c r="H957" s="48" t="s">
        <v>63</v>
      </c>
      <c r="I957" s="48">
        <v>1</v>
      </c>
      <c r="J957" s="48">
        <v>142</v>
      </c>
      <c r="K957" s="48">
        <v>1</v>
      </c>
      <c r="N957" s="48">
        <v>0</v>
      </c>
      <c r="R957" s="49"/>
      <c r="S957" s="181">
        <v>0</v>
      </c>
      <c r="T957" s="49">
        <v>50252</v>
      </c>
      <c r="U957" s="49">
        <v>50252</v>
      </c>
      <c r="V957" s="49">
        <v>50252</v>
      </c>
      <c r="W957" s="49">
        <v>50252</v>
      </c>
      <c r="X957" s="48">
        <v>1</v>
      </c>
      <c r="Y957" s="48">
        <v>1</v>
      </c>
      <c r="Z957" s="48">
        <v>1</v>
      </c>
      <c r="AA957" s="156">
        <v>0</v>
      </c>
      <c r="AF957" s="48">
        <v>0</v>
      </c>
      <c r="AG957" s="49" t="s">
        <v>32</v>
      </c>
      <c r="AH957" s="48">
        <v>1</v>
      </c>
      <c r="AI957" s="48" t="s">
        <v>33</v>
      </c>
      <c r="AJ957" s="48" t="s">
        <v>33</v>
      </c>
      <c r="AK957" s="48" t="s">
        <v>33</v>
      </c>
      <c r="AL957" s="48" t="s">
        <v>34</v>
      </c>
      <c r="AN957" s="48">
        <v>0</v>
      </c>
      <c r="AO957" s="48">
        <v>0</v>
      </c>
      <c r="AP957" s="48">
        <v>0</v>
      </c>
      <c r="AQ957" s="48">
        <v>0</v>
      </c>
      <c r="AR957" s="48">
        <v>0</v>
      </c>
      <c r="AS957" s="48">
        <v>0</v>
      </c>
      <c r="AT957" s="48">
        <v>0</v>
      </c>
      <c r="AU957" s="48">
        <v>0</v>
      </c>
      <c r="AV957" s="48">
        <v>0</v>
      </c>
      <c r="AW957" s="48">
        <v>0</v>
      </c>
      <c r="AX957" s="48">
        <v>0</v>
      </c>
      <c r="AY957" s="48">
        <v>0</v>
      </c>
      <c r="AZ957" s="48">
        <v>0</v>
      </c>
      <c r="BA957" s="48">
        <v>0</v>
      </c>
      <c r="BB957" s="48">
        <v>0</v>
      </c>
    </row>
    <row r="958" spans="1:54" x14ac:dyDescent="0.35">
      <c r="A958" s="49">
        <v>45930</v>
      </c>
      <c r="B958" s="48">
        <v>1</v>
      </c>
      <c r="C958" s="50" t="s">
        <v>32</v>
      </c>
      <c r="D958" s="48" t="s">
        <v>31</v>
      </c>
      <c r="E958" s="48" t="s">
        <v>138</v>
      </c>
      <c r="F958" s="48" t="s">
        <v>139</v>
      </c>
      <c r="G958" s="49" t="s">
        <v>63</v>
      </c>
      <c r="H958" s="48" t="s">
        <v>63</v>
      </c>
      <c r="I958" s="48">
        <v>1</v>
      </c>
      <c r="J958" s="48">
        <v>143</v>
      </c>
      <c r="K958" s="48">
        <v>1</v>
      </c>
      <c r="N958" s="48">
        <v>0</v>
      </c>
      <c r="R958" s="49"/>
      <c r="S958" s="181">
        <v>0</v>
      </c>
      <c r="T958" s="49">
        <v>50283</v>
      </c>
      <c r="U958" s="49">
        <v>50283</v>
      </c>
      <c r="V958" s="49">
        <v>50283</v>
      </c>
      <c r="W958" s="49">
        <v>50283</v>
      </c>
      <c r="X958" s="48">
        <v>1</v>
      </c>
      <c r="Y958" s="48">
        <v>1</v>
      </c>
      <c r="Z958" s="48">
        <v>1</v>
      </c>
      <c r="AA958" s="156">
        <v>0</v>
      </c>
      <c r="AF958" s="48">
        <v>0</v>
      </c>
      <c r="AG958" s="49" t="s">
        <v>32</v>
      </c>
      <c r="AH958" s="48">
        <v>1</v>
      </c>
      <c r="AI958" s="48" t="s">
        <v>33</v>
      </c>
      <c r="AJ958" s="48" t="s">
        <v>33</v>
      </c>
      <c r="AK958" s="48" t="s">
        <v>33</v>
      </c>
      <c r="AL958" s="48" t="s">
        <v>34</v>
      </c>
      <c r="AN958" s="48">
        <v>0</v>
      </c>
      <c r="AO958" s="48">
        <v>0</v>
      </c>
      <c r="AP958" s="48">
        <v>0</v>
      </c>
      <c r="AQ958" s="48">
        <v>0</v>
      </c>
      <c r="AR958" s="48">
        <v>0</v>
      </c>
      <c r="AS958" s="48">
        <v>0</v>
      </c>
      <c r="AT958" s="48">
        <v>0</v>
      </c>
      <c r="AU958" s="48">
        <v>0</v>
      </c>
      <c r="AV958" s="48">
        <v>0</v>
      </c>
      <c r="AW958" s="48">
        <v>0</v>
      </c>
      <c r="AX958" s="48">
        <v>0</v>
      </c>
      <c r="AY958" s="48">
        <v>0</v>
      </c>
      <c r="AZ958" s="48">
        <v>0</v>
      </c>
      <c r="BA958" s="48">
        <v>0</v>
      </c>
      <c r="BB958" s="48">
        <v>0</v>
      </c>
    </row>
    <row r="959" spans="1:54" x14ac:dyDescent="0.35">
      <c r="A959" s="49">
        <v>45930</v>
      </c>
      <c r="B959" s="48">
        <v>1</v>
      </c>
      <c r="C959" s="50" t="s">
        <v>32</v>
      </c>
      <c r="D959" s="48" t="s">
        <v>31</v>
      </c>
      <c r="E959" s="48" t="s">
        <v>138</v>
      </c>
      <c r="F959" s="48" t="s">
        <v>139</v>
      </c>
      <c r="G959" s="49" t="s">
        <v>63</v>
      </c>
      <c r="H959" s="48" t="s">
        <v>63</v>
      </c>
      <c r="I959" s="48">
        <v>1</v>
      </c>
      <c r="J959" s="48">
        <v>144</v>
      </c>
      <c r="K959" s="48">
        <v>1</v>
      </c>
      <c r="N959" s="48">
        <v>0</v>
      </c>
      <c r="R959" s="49"/>
      <c r="S959" s="181">
        <v>0</v>
      </c>
      <c r="T959" s="49">
        <v>50313</v>
      </c>
      <c r="U959" s="49">
        <v>50313</v>
      </c>
      <c r="V959" s="49">
        <v>50313</v>
      </c>
      <c r="W959" s="49">
        <v>50313</v>
      </c>
      <c r="X959" s="48">
        <v>1</v>
      </c>
      <c r="Y959" s="48">
        <v>1</v>
      </c>
      <c r="Z959" s="48">
        <v>1</v>
      </c>
      <c r="AA959" s="156">
        <v>0</v>
      </c>
      <c r="AF959" s="48">
        <v>0</v>
      </c>
      <c r="AG959" s="49" t="s">
        <v>32</v>
      </c>
      <c r="AH959" s="48">
        <v>1</v>
      </c>
      <c r="AI959" s="48" t="s">
        <v>33</v>
      </c>
      <c r="AJ959" s="48" t="s">
        <v>33</v>
      </c>
      <c r="AK959" s="48" t="s">
        <v>33</v>
      </c>
      <c r="AL959" s="48" t="s">
        <v>34</v>
      </c>
      <c r="AN959" s="48">
        <v>0</v>
      </c>
      <c r="AO959" s="48">
        <v>0</v>
      </c>
      <c r="AP959" s="48">
        <v>0</v>
      </c>
      <c r="AQ959" s="48">
        <v>0</v>
      </c>
      <c r="AR959" s="48">
        <v>0</v>
      </c>
      <c r="AS959" s="48">
        <v>0</v>
      </c>
      <c r="AT959" s="48">
        <v>0</v>
      </c>
      <c r="AU959" s="48">
        <v>0</v>
      </c>
      <c r="AV959" s="48">
        <v>0</v>
      </c>
      <c r="AW959" s="48">
        <v>0</v>
      </c>
      <c r="AX959" s="48">
        <v>0</v>
      </c>
      <c r="AY959" s="48">
        <v>0</v>
      </c>
      <c r="AZ959" s="48">
        <v>0</v>
      </c>
      <c r="BA959" s="48">
        <v>0</v>
      </c>
      <c r="BB959" s="48">
        <v>0</v>
      </c>
    </row>
    <row r="960" spans="1:54" x14ac:dyDescent="0.35">
      <c r="A960" s="49">
        <v>45930</v>
      </c>
      <c r="B960" s="48">
        <v>1</v>
      </c>
      <c r="C960" s="50" t="s">
        <v>32</v>
      </c>
      <c r="D960" s="48" t="s">
        <v>31</v>
      </c>
      <c r="E960" s="48" t="s">
        <v>138</v>
      </c>
      <c r="F960" s="48" t="s">
        <v>139</v>
      </c>
      <c r="G960" s="49" t="s">
        <v>63</v>
      </c>
      <c r="H960" s="48" t="s">
        <v>63</v>
      </c>
      <c r="I960" s="48">
        <v>1</v>
      </c>
      <c r="J960" s="48">
        <v>145</v>
      </c>
      <c r="K960" s="48">
        <v>1</v>
      </c>
      <c r="N960" s="48">
        <v>0</v>
      </c>
      <c r="R960" s="49"/>
      <c r="S960" s="181">
        <v>0</v>
      </c>
      <c r="T960" s="49">
        <v>50344</v>
      </c>
      <c r="U960" s="49">
        <v>50344</v>
      </c>
      <c r="V960" s="49">
        <v>50344</v>
      </c>
      <c r="W960" s="49">
        <v>50344</v>
      </c>
      <c r="X960" s="48">
        <v>1</v>
      </c>
      <c r="Y960" s="48">
        <v>1</v>
      </c>
      <c r="Z960" s="48">
        <v>1</v>
      </c>
      <c r="AA960" s="156">
        <v>0</v>
      </c>
      <c r="AF960" s="48">
        <v>0</v>
      </c>
      <c r="AG960" s="49" t="s">
        <v>32</v>
      </c>
      <c r="AH960" s="48">
        <v>1</v>
      </c>
      <c r="AI960" s="48" t="s">
        <v>33</v>
      </c>
      <c r="AJ960" s="48" t="s">
        <v>33</v>
      </c>
      <c r="AK960" s="48" t="s">
        <v>33</v>
      </c>
      <c r="AL960" s="48" t="s">
        <v>34</v>
      </c>
      <c r="AN960" s="48">
        <v>0</v>
      </c>
      <c r="AO960" s="48">
        <v>0</v>
      </c>
      <c r="AP960" s="48">
        <v>0</v>
      </c>
      <c r="AQ960" s="48">
        <v>0</v>
      </c>
      <c r="AR960" s="48">
        <v>0</v>
      </c>
      <c r="AS960" s="48">
        <v>0</v>
      </c>
      <c r="AT960" s="48">
        <v>0</v>
      </c>
      <c r="AU960" s="48">
        <v>0</v>
      </c>
      <c r="AV960" s="48">
        <v>0</v>
      </c>
      <c r="AW960" s="48">
        <v>0</v>
      </c>
      <c r="AX960" s="48">
        <v>0</v>
      </c>
      <c r="AY960" s="48">
        <v>0</v>
      </c>
      <c r="AZ960" s="48">
        <v>0</v>
      </c>
      <c r="BA960" s="48">
        <v>0</v>
      </c>
      <c r="BB960" s="48">
        <v>0</v>
      </c>
    </row>
    <row r="961" spans="1:54" x14ac:dyDescent="0.35">
      <c r="A961" s="49">
        <v>45930</v>
      </c>
      <c r="B961" s="48">
        <v>1</v>
      </c>
      <c r="C961" s="50" t="s">
        <v>32</v>
      </c>
      <c r="D961" s="48" t="s">
        <v>31</v>
      </c>
      <c r="E961" s="48" t="s">
        <v>138</v>
      </c>
      <c r="F961" s="48" t="s">
        <v>139</v>
      </c>
      <c r="G961" s="49" t="s">
        <v>63</v>
      </c>
      <c r="H961" s="48" t="s">
        <v>63</v>
      </c>
      <c r="I961" s="48">
        <v>1</v>
      </c>
      <c r="J961" s="48">
        <v>146</v>
      </c>
      <c r="K961" s="48">
        <v>1</v>
      </c>
      <c r="N961" s="48">
        <v>0</v>
      </c>
      <c r="R961" s="49"/>
      <c r="S961" s="181">
        <v>0</v>
      </c>
      <c r="T961" s="49">
        <v>50374</v>
      </c>
      <c r="U961" s="49">
        <v>50374</v>
      </c>
      <c r="V961" s="49">
        <v>50374</v>
      </c>
      <c r="W961" s="49">
        <v>50374</v>
      </c>
      <c r="X961" s="48">
        <v>1</v>
      </c>
      <c r="Y961" s="48">
        <v>1</v>
      </c>
      <c r="Z961" s="48">
        <v>1</v>
      </c>
      <c r="AA961" s="156">
        <v>0</v>
      </c>
      <c r="AF961" s="48">
        <v>0</v>
      </c>
      <c r="AG961" s="49" t="s">
        <v>32</v>
      </c>
      <c r="AH961" s="48">
        <v>1</v>
      </c>
      <c r="AI961" s="48" t="s">
        <v>33</v>
      </c>
      <c r="AJ961" s="48" t="s">
        <v>33</v>
      </c>
      <c r="AK961" s="48" t="s">
        <v>33</v>
      </c>
      <c r="AL961" s="48" t="s">
        <v>34</v>
      </c>
      <c r="AN961" s="48">
        <v>0</v>
      </c>
      <c r="AO961" s="48">
        <v>0</v>
      </c>
      <c r="AP961" s="48">
        <v>0</v>
      </c>
      <c r="AQ961" s="48">
        <v>0</v>
      </c>
      <c r="AR961" s="48">
        <v>0</v>
      </c>
      <c r="AS961" s="48">
        <v>0</v>
      </c>
      <c r="AT961" s="48">
        <v>0</v>
      </c>
      <c r="AU961" s="48">
        <v>0</v>
      </c>
      <c r="AV961" s="48">
        <v>0</v>
      </c>
      <c r="AW961" s="48">
        <v>0</v>
      </c>
      <c r="AX961" s="48">
        <v>0</v>
      </c>
      <c r="AY961" s="48">
        <v>0</v>
      </c>
      <c r="AZ961" s="48">
        <v>0</v>
      </c>
      <c r="BA961" s="48">
        <v>0</v>
      </c>
      <c r="BB961" s="48">
        <v>0</v>
      </c>
    </row>
    <row r="962" spans="1:54" x14ac:dyDescent="0.35">
      <c r="A962" s="49">
        <v>45930</v>
      </c>
      <c r="B962" s="48">
        <v>1</v>
      </c>
      <c r="C962" s="50" t="s">
        <v>32</v>
      </c>
      <c r="D962" s="48" t="s">
        <v>31</v>
      </c>
      <c r="E962" s="48" t="s">
        <v>138</v>
      </c>
      <c r="F962" s="48" t="s">
        <v>139</v>
      </c>
      <c r="G962" s="49" t="s">
        <v>63</v>
      </c>
      <c r="H962" s="48" t="s">
        <v>63</v>
      </c>
      <c r="I962" s="48">
        <v>1</v>
      </c>
      <c r="J962" s="48">
        <v>147</v>
      </c>
      <c r="K962" s="48">
        <v>1</v>
      </c>
      <c r="N962" s="48">
        <v>0</v>
      </c>
      <c r="R962" s="49"/>
      <c r="S962" s="181">
        <v>0</v>
      </c>
      <c r="T962" s="49">
        <v>50405</v>
      </c>
      <c r="U962" s="49">
        <v>50405</v>
      </c>
      <c r="V962" s="49">
        <v>50405</v>
      </c>
      <c r="W962" s="49">
        <v>50405</v>
      </c>
      <c r="X962" s="48">
        <v>1</v>
      </c>
      <c r="Y962" s="48">
        <v>1</v>
      </c>
      <c r="Z962" s="48">
        <v>1</v>
      </c>
      <c r="AA962" s="156">
        <v>0</v>
      </c>
      <c r="AF962" s="48">
        <v>0</v>
      </c>
      <c r="AG962" s="49" t="s">
        <v>32</v>
      </c>
      <c r="AH962" s="48">
        <v>1</v>
      </c>
      <c r="AI962" s="48" t="s">
        <v>33</v>
      </c>
      <c r="AJ962" s="48" t="s">
        <v>33</v>
      </c>
      <c r="AK962" s="48" t="s">
        <v>33</v>
      </c>
      <c r="AL962" s="48" t="s">
        <v>34</v>
      </c>
      <c r="AN962" s="48">
        <v>0</v>
      </c>
      <c r="AO962" s="48">
        <v>0</v>
      </c>
      <c r="AP962" s="48">
        <v>0</v>
      </c>
      <c r="AQ962" s="48">
        <v>0</v>
      </c>
      <c r="AR962" s="48">
        <v>0</v>
      </c>
      <c r="AS962" s="48">
        <v>0</v>
      </c>
      <c r="AT962" s="48">
        <v>0</v>
      </c>
      <c r="AU962" s="48">
        <v>0</v>
      </c>
      <c r="AV962" s="48">
        <v>0</v>
      </c>
      <c r="AW962" s="48">
        <v>0</v>
      </c>
      <c r="AX962" s="48">
        <v>0</v>
      </c>
      <c r="AY962" s="48">
        <v>0</v>
      </c>
      <c r="AZ962" s="48">
        <v>0</v>
      </c>
      <c r="BA962" s="48">
        <v>0</v>
      </c>
      <c r="BB962" s="48">
        <v>0</v>
      </c>
    </row>
    <row r="963" spans="1:54" x14ac:dyDescent="0.35">
      <c r="A963" s="49">
        <v>45930</v>
      </c>
      <c r="B963" s="48">
        <v>1</v>
      </c>
      <c r="C963" s="50" t="s">
        <v>32</v>
      </c>
      <c r="D963" s="48" t="s">
        <v>31</v>
      </c>
      <c r="E963" s="48" t="s">
        <v>138</v>
      </c>
      <c r="F963" s="48" t="s">
        <v>139</v>
      </c>
      <c r="G963" s="49" t="s">
        <v>63</v>
      </c>
      <c r="H963" s="48" t="s">
        <v>63</v>
      </c>
      <c r="I963" s="48">
        <v>1</v>
      </c>
      <c r="J963" s="48">
        <v>148</v>
      </c>
      <c r="K963" s="48">
        <v>1</v>
      </c>
      <c r="N963" s="48">
        <v>0</v>
      </c>
      <c r="R963" s="49"/>
      <c r="S963" s="181">
        <v>0</v>
      </c>
      <c r="T963" s="49">
        <v>50436</v>
      </c>
      <c r="U963" s="49">
        <v>50436</v>
      </c>
      <c r="V963" s="49">
        <v>50436</v>
      </c>
      <c r="W963" s="49">
        <v>50436</v>
      </c>
      <c r="X963" s="48">
        <v>1</v>
      </c>
      <c r="Y963" s="48">
        <v>1</v>
      </c>
      <c r="Z963" s="48">
        <v>1</v>
      </c>
      <c r="AA963" s="156">
        <v>0</v>
      </c>
      <c r="AF963" s="48">
        <v>0</v>
      </c>
      <c r="AG963" s="49" t="s">
        <v>32</v>
      </c>
      <c r="AH963" s="48">
        <v>1</v>
      </c>
      <c r="AI963" s="48" t="s">
        <v>33</v>
      </c>
      <c r="AJ963" s="48" t="s">
        <v>33</v>
      </c>
      <c r="AK963" s="48" t="s">
        <v>33</v>
      </c>
      <c r="AL963" s="48" t="s">
        <v>34</v>
      </c>
      <c r="AN963" s="48">
        <v>0</v>
      </c>
      <c r="AO963" s="48">
        <v>0</v>
      </c>
      <c r="AP963" s="48">
        <v>0</v>
      </c>
      <c r="AQ963" s="48">
        <v>0</v>
      </c>
      <c r="AR963" s="48">
        <v>0</v>
      </c>
      <c r="AS963" s="48">
        <v>0</v>
      </c>
      <c r="AT963" s="48">
        <v>0</v>
      </c>
      <c r="AU963" s="48">
        <v>0</v>
      </c>
      <c r="AV963" s="48">
        <v>0</v>
      </c>
      <c r="AW963" s="48">
        <v>0</v>
      </c>
      <c r="AX963" s="48">
        <v>0</v>
      </c>
      <c r="AY963" s="48">
        <v>0</v>
      </c>
      <c r="AZ963" s="48">
        <v>0</v>
      </c>
      <c r="BA963" s="48">
        <v>0</v>
      </c>
      <c r="BB963" s="48">
        <v>0</v>
      </c>
    </row>
    <row r="964" spans="1:54" x14ac:dyDescent="0.35">
      <c r="A964" s="49">
        <v>45930</v>
      </c>
      <c r="B964" s="48">
        <v>1</v>
      </c>
      <c r="C964" s="50" t="s">
        <v>32</v>
      </c>
      <c r="D964" s="48" t="s">
        <v>31</v>
      </c>
      <c r="E964" s="48" t="s">
        <v>138</v>
      </c>
      <c r="F964" s="48" t="s">
        <v>139</v>
      </c>
      <c r="G964" s="49" t="s">
        <v>63</v>
      </c>
      <c r="H964" s="48" t="s">
        <v>63</v>
      </c>
      <c r="I964" s="48">
        <v>1</v>
      </c>
      <c r="J964" s="48">
        <v>149</v>
      </c>
      <c r="K964" s="48">
        <v>1</v>
      </c>
      <c r="N964" s="48">
        <v>0</v>
      </c>
      <c r="R964" s="49"/>
      <c r="S964" s="181">
        <v>0</v>
      </c>
      <c r="T964" s="49">
        <v>50464</v>
      </c>
      <c r="U964" s="49">
        <v>50464</v>
      </c>
      <c r="V964" s="49">
        <v>50464</v>
      </c>
      <c r="W964" s="49">
        <v>50464</v>
      </c>
      <c r="X964" s="48">
        <v>1</v>
      </c>
      <c r="Y964" s="48">
        <v>1</v>
      </c>
      <c r="Z964" s="48">
        <v>1</v>
      </c>
      <c r="AA964" s="156">
        <v>0</v>
      </c>
      <c r="AF964" s="48">
        <v>0</v>
      </c>
      <c r="AG964" s="49" t="s">
        <v>32</v>
      </c>
      <c r="AH964" s="48">
        <v>1</v>
      </c>
      <c r="AI964" s="48" t="s">
        <v>33</v>
      </c>
      <c r="AJ964" s="48" t="s">
        <v>33</v>
      </c>
      <c r="AK964" s="48" t="s">
        <v>33</v>
      </c>
      <c r="AL964" s="48" t="s">
        <v>34</v>
      </c>
      <c r="AN964" s="48">
        <v>0</v>
      </c>
      <c r="AO964" s="48">
        <v>0</v>
      </c>
      <c r="AP964" s="48">
        <v>0</v>
      </c>
      <c r="AQ964" s="48">
        <v>0</v>
      </c>
      <c r="AR964" s="48">
        <v>0</v>
      </c>
      <c r="AS964" s="48">
        <v>0</v>
      </c>
      <c r="AT964" s="48">
        <v>0</v>
      </c>
      <c r="AU964" s="48">
        <v>0</v>
      </c>
      <c r="AV964" s="48">
        <v>0</v>
      </c>
      <c r="AW964" s="48">
        <v>0</v>
      </c>
      <c r="AX964" s="48">
        <v>0</v>
      </c>
      <c r="AY964" s="48">
        <v>0</v>
      </c>
      <c r="AZ964" s="48">
        <v>0</v>
      </c>
      <c r="BA964" s="48">
        <v>0</v>
      </c>
      <c r="BB964" s="48">
        <v>0</v>
      </c>
    </row>
    <row r="965" spans="1:54" x14ac:dyDescent="0.35">
      <c r="A965" s="49">
        <v>45930</v>
      </c>
      <c r="B965" s="48">
        <v>1</v>
      </c>
      <c r="C965" s="50" t="s">
        <v>32</v>
      </c>
      <c r="D965" s="48" t="s">
        <v>31</v>
      </c>
      <c r="E965" s="48" t="s">
        <v>138</v>
      </c>
      <c r="F965" s="48" t="s">
        <v>139</v>
      </c>
      <c r="G965" s="49" t="s">
        <v>63</v>
      </c>
      <c r="H965" s="48" t="s">
        <v>63</v>
      </c>
      <c r="I965" s="48">
        <v>1</v>
      </c>
      <c r="J965" s="48">
        <v>150</v>
      </c>
      <c r="K965" s="48">
        <v>1</v>
      </c>
      <c r="N965" s="48">
        <v>0</v>
      </c>
      <c r="R965" s="49"/>
      <c r="S965" s="181">
        <v>0</v>
      </c>
      <c r="T965" s="49">
        <v>50495</v>
      </c>
      <c r="U965" s="49">
        <v>50495</v>
      </c>
      <c r="V965" s="49">
        <v>50495</v>
      </c>
      <c r="W965" s="49">
        <v>50495</v>
      </c>
      <c r="X965" s="48">
        <v>1</v>
      </c>
      <c r="Y965" s="48">
        <v>1</v>
      </c>
      <c r="Z965" s="48">
        <v>1</v>
      </c>
      <c r="AA965" s="156">
        <v>0</v>
      </c>
      <c r="AF965" s="48">
        <v>0</v>
      </c>
      <c r="AG965" s="49" t="s">
        <v>32</v>
      </c>
      <c r="AH965" s="48">
        <v>1</v>
      </c>
      <c r="AI965" s="48" t="s">
        <v>33</v>
      </c>
      <c r="AJ965" s="48" t="s">
        <v>33</v>
      </c>
      <c r="AK965" s="48" t="s">
        <v>33</v>
      </c>
      <c r="AL965" s="48" t="s">
        <v>34</v>
      </c>
      <c r="AN965" s="48">
        <v>0</v>
      </c>
      <c r="AO965" s="48">
        <v>0</v>
      </c>
      <c r="AP965" s="48">
        <v>0</v>
      </c>
      <c r="AQ965" s="48">
        <v>0</v>
      </c>
      <c r="AR965" s="48">
        <v>0</v>
      </c>
      <c r="AS965" s="48">
        <v>0</v>
      </c>
      <c r="AT965" s="48">
        <v>0</v>
      </c>
      <c r="AU965" s="48">
        <v>0</v>
      </c>
      <c r="AV965" s="48">
        <v>0</v>
      </c>
      <c r="AW965" s="48">
        <v>0</v>
      </c>
      <c r="AX965" s="48">
        <v>0</v>
      </c>
      <c r="AY965" s="48">
        <v>0</v>
      </c>
      <c r="AZ965" s="48">
        <v>0</v>
      </c>
      <c r="BA965" s="48">
        <v>0</v>
      </c>
      <c r="BB965" s="48">
        <v>0</v>
      </c>
    </row>
    <row r="966" spans="1:54" x14ac:dyDescent="0.35">
      <c r="A966" s="49">
        <v>45930</v>
      </c>
      <c r="B966" s="48">
        <v>1</v>
      </c>
      <c r="C966" s="50" t="s">
        <v>32</v>
      </c>
      <c r="D966" s="48" t="s">
        <v>31</v>
      </c>
      <c r="E966" s="48" t="s">
        <v>138</v>
      </c>
      <c r="F966" s="48" t="s">
        <v>139</v>
      </c>
      <c r="G966" s="49" t="s">
        <v>63</v>
      </c>
      <c r="H966" s="48" t="s">
        <v>63</v>
      </c>
      <c r="I966" s="48">
        <v>1</v>
      </c>
      <c r="J966" s="48">
        <v>151</v>
      </c>
      <c r="K966" s="48">
        <v>1</v>
      </c>
      <c r="N966" s="48">
        <v>0</v>
      </c>
      <c r="R966" s="49"/>
      <c r="S966" s="181">
        <v>0</v>
      </c>
      <c r="T966" s="49">
        <v>50525</v>
      </c>
      <c r="U966" s="49">
        <v>50525</v>
      </c>
      <c r="V966" s="49">
        <v>50525</v>
      </c>
      <c r="W966" s="49">
        <v>50525</v>
      </c>
      <c r="X966" s="48">
        <v>1</v>
      </c>
      <c r="Y966" s="48">
        <v>1</v>
      </c>
      <c r="Z966" s="48">
        <v>1</v>
      </c>
      <c r="AA966" s="156">
        <v>0</v>
      </c>
      <c r="AF966" s="48">
        <v>0</v>
      </c>
      <c r="AG966" s="49" t="s">
        <v>32</v>
      </c>
      <c r="AH966" s="48">
        <v>1</v>
      </c>
      <c r="AI966" s="48" t="s">
        <v>33</v>
      </c>
      <c r="AJ966" s="48" t="s">
        <v>33</v>
      </c>
      <c r="AK966" s="48" t="s">
        <v>33</v>
      </c>
      <c r="AL966" s="48" t="s">
        <v>34</v>
      </c>
      <c r="AN966" s="48">
        <v>0</v>
      </c>
      <c r="AO966" s="48">
        <v>0</v>
      </c>
      <c r="AP966" s="48">
        <v>0</v>
      </c>
      <c r="AQ966" s="48">
        <v>0</v>
      </c>
      <c r="AR966" s="48">
        <v>0</v>
      </c>
      <c r="AS966" s="48">
        <v>0</v>
      </c>
      <c r="AT966" s="48">
        <v>0</v>
      </c>
      <c r="AU966" s="48">
        <v>0</v>
      </c>
      <c r="AV966" s="48">
        <v>0</v>
      </c>
      <c r="AW966" s="48">
        <v>0</v>
      </c>
      <c r="AX966" s="48">
        <v>0</v>
      </c>
      <c r="AY966" s="48">
        <v>0</v>
      </c>
      <c r="AZ966" s="48">
        <v>0</v>
      </c>
      <c r="BA966" s="48">
        <v>0</v>
      </c>
      <c r="BB966" s="48">
        <v>0</v>
      </c>
    </row>
    <row r="967" spans="1:54" x14ac:dyDescent="0.35">
      <c r="A967" s="49">
        <v>45930</v>
      </c>
      <c r="B967" s="48">
        <v>1</v>
      </c>
      <c r="C967" s="50" t="s">
        <v>32</v>
      </c>
      <c r="D967" s="48" t="s">
        <v>31</v>
      </c>
      <c r="E967" s="48" t="s">
        <v>138</v>
      </c>
      <c r="F967" s="48" t="s">
        <v>139</v>
      </c>
      <c r="G967" s="49" t="s">
        <v>63</v>
      </c>
      <c r="H967" s="48" t="s">
        <v>63</v>
      </c>
      <c r="I967" s="48">
        <v>1</v>
      </c>
      <c r="J967" s="48">
        <v>152</v>
      </c>
      <c r="K967" s="48">
        <v>1</v>
      </c>
      <c r="N967" s="48">
        <v>0</v>
      </c>
      <c r="R967" s="49"/>
      <c r="S967" s="181">
        <v>0</v>
      </c>
      <c r="T967" s="49">
        <v>50556</v>
      </c>
      <c r="U967" s="49">
        <v>50556</v>
      </c>
      <c r="V967" s="49">
        <v>50556</v>
      </c>
      <c r="W967" s="49">
        <v>50556</v>
      </c>
      <c r="X967" s="48">
        <v>1</v>
      </c>
      <c r="Y967" s="48">
        <v>1</v>
      </c>
      <c r="Z967" s="48">
        <v>1</v>
      </c>
      <c r="AA967" s="156">
        <v>0</v>
      </c>
      <c r="AF967" s="48">
        <v>0</v>
      </c>
      <c r="AG967" s="49" t="s">
        <v>32</v>
      </c>
      <c r="AH967" s="48">
        <v>1</v>
      </c>
      <c r="AI967" s="48" t="s">
        <v>33</v>
      </c>
      <c r="AJ967" s="48" t="s">
        <v>33</v>
      </c>
      <c r="AK967" s="48" t="s">
        <v>33</v>
      </c>
      <c r="AL967" s="48" t="s">
        <v>34</v>
      </c>
      <c r="AN967" s="48">
        <v>0</v>
      </c>
      <c r="AO967" s="48">
        <v>0</v>
      </c>
      <c r="AP967" s="48">
        <v>0</v>
      </c>
      <c r="AQ967" s="48">
        <v>0</v>
      </c>
      <c r="AR967" s="48">
        <v>0</v>
      </c>
      <c r="AS967" s="48">
        <v>0</v>
      </c>
      <c r="AT967" s="48">
        <v>0</v>
      </c>
      <c r="AU967" s="48">
        <v>0</v>
      </c>
      <c r="AV967" s="48">
        <v>0</v>
      </c>
      <c r="AW967" s="48">
        <v>0</v>
      </c>
      <c r="AX967" s="48">
        <v>0</v>
      </c>
      <c r="AY967" s="48">
        <v>0</v>
      </c>
      <c r="AZ967" s="48">
        <v>0</v>
      </c>
      <c r="BA967" s="48">
        <v>0</v>
      </c>
      <c r="BB967" s="48">
        <v>0</v>
      </c>
    </row>
    <row r="968" spans="1:54" x14ac:dyDescent="0.35">
      <c r="A968" s="49">
        <v>45930</v>
      </c>
      <c r="B968" s="48">
        <v>1</v>
      </c>
      <c r="C968" s="50" t="s">
        <v>32</v>
      </c>
      <c r="D968" s="48" t="s">
        <v>31</v>
      </c>
      <c r="E968" s="48" t="s">
        <v>138</v>
      </c>
      <c r="F968" s="48" t="s">
        <v>139</v>
      </c>
      <c r="G968" s="49" t="s">
        <v>63</v>
      </c>
      <c r="H968" s="48" t="s">
        <v>63</v>
      </c>
      <c r="I968" s="48">
        <v>1</v>
      </c>
      <c r="J968" s="48">
        <v>153</v>
      </c>
      <c r="K968" s="48">
        <v>1</v>
      </c>
      <c r="N968" s="48">
        <v>0</v>
      </c>
      <c r="R968" s="49"/>
      <c r="S968" s="181">
        <v>0</v>
      </c>
      <c r="T968" s="49">
        <v>50586</v>
      </c>
      <c r="U968" s="49">
        <v>50586</v>
      </c>
      <c r="V968" s="49">
        <v>50586</v>
      </c>
      <c r="W968" s="49">
        <v>50586</v>
      </c>
      <c r="X968" s="48">
        <v>1</v>
      </c>
      <c r="Y968" s="48">
        <v>1</v>
      </c>
      <c r="Z968" s="48">
        <v>1</v>
      </c>
      <c r="AA968" s="156">
        <v>0</v>
      </c>
      <c r="AF968" s="48">
        <v>0</v>
      </c>
      <c r="AG968" s="49" t="s">
        <v>32</v>
      </c>
      <c r="AH968" s="48">
        <v>1</v>
      </c>
      <c r="AI968" s="48" t="s">
        <v>33</v>
      </c>
      <c r="AJ968" s="48" t="s">
        <v>33</v>
      </c>
      <c r="AK968" s="48" t="s">
        <v>33</v>
      </c>
      <c r="AL968" s="48" t="s">
        <v>34</v>
      </c>
      <c r="AN968" s="48">
        <v>0</v>
      </c>
      <c r="AO968" s="48">
        <v>0</v>
      </c>
      <c r="AP968" s="48">
        <v>0</v>
      </c>
      <c r="AQ968" s="48">
        <v>0</v>
      </c>
      <c r="AR968" s="48">
        <v>0</v>
      </c>
      <c r="AS968" s="48">
        <v>0</v>
      </c>
      <c r="AT968" s="48">
        <v>0</v>
      </c>
      <c r="AU968" s="48">
        <v>0</v>
      </c>
      <c r="AV968" s="48">
        <v>0</v>
      </c>
      <c r="AW968" s="48">
        <v>0</v>
      </c>
      <c r="AX968" s="48">
        <v>0</v>
      </c>
      <c r="AY968" s="48">
        <v>0</v>
      </c>
      <c r="AZ968" s="48">
        <v>0</v>
      </c>
      <c r="BA968" s="48">
        <v>0</v>
      </c>
      <c r="BB968" s="48">
        <v>0</v>
      </c>
    </row>
    <row r="969" spans="1:54" x14ac:dyDescent="0.35">
      <c r="A969" s="49">
        <v>45930</v>
      </c>
      <c r="B969" s="48">
        <v>1</v>
      </c>
      <c r="C969" s="50" t="s">
        <v>32</v>
      </c>
      <c r="D969" s="48" t="s">
        <v>31</v>
      </c>
      <c r="E969" s="48" t="s">
        <v>138</v>
      </c>
      <c r="F969" s="48" t="s">
        <v>139</v>
      </c>
      <c r="G969" s="49" t="s">
        <v>63</v>
      </c>
      <c r="H969" s="48" t="s">
        <v>63</v>
      </c>
      <c r="I969" s="48">
        <v>1</v>
      </c>
      <c r="J969" s="48">
        <v>154</v>
      </c>
      <c r="K969" s="48">
        <v>1</v>
      </c>
      <c r="N969" s="48">
        <v>0</v>
      </c>
      <c r="R969" s="49"/>
      <c r="S969" s="181">
        <v>0</v>
      </c>
      <c r="T969" s="49">
        <v>50617</v>
      </c>
      <c r="U969" s="49">
        <v>50617</v>
      </c>
      <c r="V969" s="49">
        <v>50617</v>
      </c>
      <c r="W969" s="49">
        <v>50617</v>
      </c>
      <c r="X969" s="48">
        <v>1</v>
      </c>
      <c r="Y969" s="48">
        <v>1</v>
      </c>
      <c r="Z969" s="48">
        <v>1</v>
      </c>
      <c r="AA969" s="156">
        <v>0</v>
      </c>
      <c r="AF969" s="48">
        <v>0</v>
      </c>
      <c r="AG969" s="49" t="s">
        <v>32</v>
      </c>
      <c r="AH969" s="48">
        <v>1</v>
      </c>
      <c r="AI969" s="48" t="s">
        <v>33</v>
      </c>
      <c r="AJ969" s="48" t="s">
        <v>33</v>
      </c>
      <c r="AK969" s="48" t="s">
        <v>33</v>
      </c>
      <c r="AL969" s="48" t="s">
        <v>34</v>
      </c>
      <c r="AN969" s="48">
        <v>0</v>
      </c>
      <c r="AO969" s="48">
        <v>0</v>
      </c>
      <c r="AP969" s="48">
        <v>0</v>
      </c>
      <c r="AQ969" s="48">
        <v>0</v>
      </c>
      <c r="AR969" s="48">
        <v>0</v>
      </c>
      <c r="AS969" s="48">
        <v>0</v>
      </c>
      <c r="AT969" s="48">
        <v>0</v>
      </c>
      <c r="AU969" s="48">
        <v>0</v>
      </c>
      <c r="AV969" s="48">
        <v>0</v>
      </c>
      <c r="AW969" s="48">
        <v>0</v>
      </c>
      <c r="AX969" s="48">
        <v>0</v>
      </c>
      <c r="AY969" s="48">
        <v>0</v>
      </c>
      <c r="AZ969" s="48">
        <v>0</v>
      </c>
      <c r="BA969" s="48">
        <v>0</v>
      </c>
      <c r="BB969" s="48">
        <v>0</v>
      </c>
    </row>
    <row r="970" spans="1:54" x14ac:dyDescent="0.35">
      <c r="A970" s="49">
        <v>45930</v>
      </c>
      <c r="B970" s="48">
        <v>1</v>
      </c>
      <c r="C970" s="50" t="s">
        <v>32</v>
      </c>
      <c r="D970" s="48" t="s">
        <v>31</v>
      </c>
      <c r="E970" s="48" t="s">
        <v>138</v>
      </c>
      <c r="F970" s="48" t="s">
        <v>139</v>
      </c>
      <c r="G970" s="49" t="s">
        <v>63</v>
      </c>
      <c r="H970" s="48" t="s">
        <v>63</v>
      </c>
      <c r="I970" s="48">
        <v>1</v>
      </c>
      <c r="J970" s="48">
        <v>155</v>
      </c>
      <c r="K970" s="48">
        <v>1</v>
      </c>
      <c r="N970" s="48">
        <v>0</v>
      </c>
      <c r="R970" s="49"/>
      <c r="S970" s="181">
        <v>0</v>
      </c>
      <c r="T970" s="49">
        <v>50648</v>
      </c>
      <c r="U970" s="49">
        <v>50648</v>
      </c>
      <c r="V970" s="49">
        <v>50648</v>
      </c>
      <c r="W970" s="49">
        <v>50648</v>
      </c>
      <c r="X970" s="48">
        <v>1</v>
      </c>
      <c r="Y970" s="48">
        <v>1</v>
      </c>
      <c r="Z970" s="48">
        <v>1</v>
      </c>
      <c r="AA970" s="156">
        <v>0</v>
      </c>
      <c r="AF970" s="48">
        <v>0</v>
      </c>
      <c r="AG970" s="49" t="s">
        <v>32</v>
      </c>
      <c r="AH970" s="48">
        <v>1</v>
      </c>
      <c r="AI970" s="48" t="s">
        <v>33</v>
      </c>
      <c r="AJ970" s="48" t="s">
        <v>33</v>
      </c>
      <c r="AK970" s="48" t="s">
        <v>33</v>
      </c>
      <c r="AL970" s="48" t="s">
        <v>34</v>
      </c>
      <c r="AN970" s="48">
        <v>0</v>
      </c>
      <c r="AO970" s="48">
        <v>0</v>
      </c>
      <c r="AP970" s="48">
        <v>0</v>
      </c>
      <c r="AQ970" s="48">
        <v>0</v>
      </c>
      <c r="AR970" s="48">
        <v>0</v>
      </c>
      <c r="AS970" s="48">
        <v>0</v>
      </c>
      <c r="AT970" s="48">
        <v>0</v>
      </c>
      <c r="AU970" s="48">
        <v>0</v>
      </c>
      <c r="AV970" s="48">
        <v>0</v>
      </c>
      <c r="AW970" s="48">
        <v>0</v>
      </c>
      <c r="AX970" s="48">
        <v>0</v>
      </c>
      <c r="AY970" s="48">
        <v>0</v>
      </c>
      <c r="AZ970" s="48">
        <v>0</v>
      </c>
      <c r="BA970" s="48">
        <v>0</v>
      </c>
      <c r="BB970" s="48">
        <v>0</v>
      </c>
    </row>
    <row r="971" spans="1:54" x14ac:dyDescent="0.35">
      <c r="A971" s="49">
        <v>45930</v>
      </c>
      <c r="B971" s="48">
        <v>1</v>
      </c>
      <c r="C971" s="50" t="s">
        <v>32</v>
      </c>
      <c r="D971" s="48" t="s">
        <v>31</v>
      </c>
      <c r="E971" s="48" t="s">
        <v>138</v>
      </c>
      <c r="F971" s="48" t="s">
        <v>139</v>
      </c>
      <c r="G971" s="49" t="s">
        <v>63</v>
      </c>
      <c r="H971" s="48" t="s">
        <v>63</v>
      </c>
      <c r="I971" s="48">
        <v>1</v>
      </c>
      <c r="J971" s="48">
        <v>156</v>
      </c>
      <c r="K971" s="48">
        <v>1</v>
      </c>
      <c r="N971" s="48">
        <v>0</v>
      </c>
      <c r="R971" s="49"/>
      <c r="S971" s="181">
        <v>0</v>
      </c>
      <c r="T971" s="49">
        <v>50678</v>
      </c>
      <c r="U971" s="49">
        <v>50678</v>
      </c>
      <c r="V971" s="49">
        <v>50678</v>
      </c>
      <c r="W971" s="49">
        <v>50678</v>
      </c>
      <c r="X971" s="48">
        <v>1</v>
      </c>
      <c r="Y971" s="48">
        <v>1</v>
      </c>
      <c r="Z971" s="48">
        <v>1</v>
      </c>
      <c r="AA971" s="156">
        <v>0</v>
      </c>
      <c r="AF971" s="48">
        <v>0</v>
      </c>
      <c r="AG971" s="49" t="s">
        <v>32</v>
      </c>
      <c r="AH971" s="48">
        <v>1</v>
      </c>
      <c r="AI971" s="48" t="s">
        <v>33</v>
      </c>
      <c r="AJ971" s="48" t="s">
        <v>33</v>
      </c>
      <c r="AK971" s="48" t="s">
        <v>33</v>
      </c>
      <c r="AL971" s="48" t="s">
        <v>34</v>
      </c>
      <c r="AN971" s="48">
        <v>0</v>
      </c>
      <c r="AO971" s="48">
        <v>0</v>
      </c>
      <c r="AP971" s="48">
        <v>0</v>
      </c>
      <c r="AQ971" s="48">
        <v>0</v>
      </c>
      <c r="AR971" s="48">
        <v>0</v>
      </c>
      <c r="AS971" s="48">
        <v>0</v>
      </c>
      <c r="AT971" s="48">
        <v>0</v>
      </c>
      <c r="AU971" s="48">
        <v>0</v>
      </c>
      <c r="AV971" s="48">
        <v>0</v>
      </c>
      <c r="AW971" s="48">
        <v>0</v>
      </c>
      <c r="AX971" s="48">
        <v>0</v>
      </c>
      <c r="AY971" s="48">
        <v>0</v>
      </c>
      <c r="AZ971" s="48">
        <v>0</v>
      </c>
      <c r="BA971" s="48">
        <v>0</v>
      </c>
      <c r="BB971" s="48">
        <v>0</v>
      </c>
    </row>
    <row r="972" spans="1:54" x14ac:dyDescent="0.35">
      <c r="A972" s="49">
        <v>45930</v>
      </c>
      <c r="B972" s="48">
        <v>1</v>
      </c>
      <c r="C972" s="50" t="s">
        <v>32</v>
      </c>
      <c r="D972" s="48" t="s">
        <v>31</v>
      </c>
      <c r="E972" s="48" t="s">
        <v>138</v>
      </c>
      <c r="F972" s="48" t="s">
        <v>139</v>
      </c>
      <c r="G972" s="49" t="s">
        <v>63</v>
      </c>
      <c r="H972" s="48" t="s">
        <v>63</v>
      </c>
      <c r="I972" s="48">
        <v>1</v>
      </c>
      <c r="J972" s="48">
        <v>157</v>
      </c>
      <c r="K972" s="48">
        <v>1</v>
      </c>
      <c r="N972" s="48">
        <v>0</v>
      </c>
      <c r="R972" s="49"/>
      <c r="S972" s="181">
        <v>0</v>
      </c>
      <c r="T972" s="49">
        <v>50709</v>
      </c>
      <c r="U972" s="49">
        <v>50709</v>
      </c>
      <c r="V972" s="49">
        <v>50709</v>
      </c>
      <c r="W972" s="49">
        <v>50709</v>
      </c>
      <c r="X972" s="48">
        <v>1</v>
      </c>
      <c r="Y972" s="48">
        <v>1</v>
      </c>
      <c r="Z972" s="48">
        <v>1</v>
      </c>
      <c r="AA972" s="156">
        <v>0</v>
      </c>
      <c r="AF972" s="48">
        <v>0</v>
      </c>
      <c r="AG972" s="49" t="s">
        <v>32</v>
      </c>
      <c r="AH972" s="48">
        <v>1</v>
      </c>
      <c r="AI972" s="48" t="s">
        <v>33</v>
      </c>
      <c r="AJ972" s="48" t="s">
        <v>33</v>
      </c>
      <c r="AK972" s="48" t="s">
        <v>33</v>
      </c>
      <c r="AL972" s="48" t="s">
        <v>34</v>
      </c>
      <c r="AN972" s="48">
        <v>0</v>
      </c>
      <c r="AO972" s="48">
        <v>0</v>
      </c>
      <c r="AP972" s="48">
        <v>0</v>
      </c>
      <c r="AQ972" s="48">
        <v>0</v>
      </c>
      <c r="AR972" s="48">
        <v>0</v>
      </c>
      <c r="AS972" s="48">
        <v>0</v>
      </c>
      <c r="AT972" s="48">
        <v>0</v>
      </c>
      <c r="AU972" s="48">
        <v>0</v>
      </c>
      <c r="AV972" s="48">
        <v>0</v>
      </c>
      <c r="AW972" s="48">
        <v>0</v>
      </c>
      <c r="AX972" s="48">
        <v>0</v>
      </c>
      <c r="AY972" s="48">
        <v>0</v>
      </c>
      <c r="AZ972" s="48">
        <v>0</v>
      </c>
      <c r="BA972" s="48">
        <v>0</v>
      </c>
      <c r="BB972" s="48">
        <v>0</v>
      </c>
    </row>
    <row r="973" spans="1:54" x14ac:dyDescent="0.35">
      <c r="A973" s="49">
        <v>45930</v>
      </c>
      <c r="B973" s="48">
        <v>1</v>
      </c>
      <c r="C973" s="50" t="s">
        <v>32</v>
      </c>
      <c r="D973" s="48" t="s">
        <v>31</v>
      </c>
      <c r="E973" s="48" t="s">
        <v>138</v>
      </c>
      <c r="F973" s="48" t="s">
        <v>139</v>
      </c>
      <c r="G973" s="49" t="s">
        <v>63</v>
      </c>
      <c r="H973" s="48" t="s">
        <v>63</v>
      </c>
      <c r="I973" s="48">
        <v>1</v>
      </c>
      <c r="J973" s="48">
        <v>158</v>
      </c>
      <c r="K973" s="48">
        <v>1</v>
      </c>
      <c r="N973" s="48">
        <v>0</v>
      </c>
      <c r="R973" s="49"/>
      <c r="S973" s="181">
        <v>0</v>
      </c>
      <c r="T973" s="49">
        <v>50739</v>
      </c>
      <c r="U973" s="49">
        <v>50739</v>
      </c>
      <c r="V973" s="49">
        <v>50739</v>
      </c>
      <c r="W973" s="49">
        <v>50739</v>
      </c>
      <c r="X973" s="48">
        <v>1</v>
      </c>
      <c r="Y973" s="48">
        <v>1</v>
      </c>
      <c r="Z973" s="48">
        <v>1</v>
      </c>
      <c r="AA973" s="156">
        <v>0</v>
      </c>
      <c r="AF973" s="48">
        <v>0</v>
      </c>
      <c r="AG973" s="49" t="s">
        <v>32</v>
      </c>
      <c r="AH973" s="48">
        <v>1</v>
      </c>
      <c r="AI973" s="48" t="s">
        <v>33</v>
      </c>
      <c r="AJ973" s="48" t="s">
        <v>33</v>
      </c>
      <c r="AK973" s="48" t="s">
        <v>33</v>
      </c>
      <c r="AL973" s="48" t="s">
        <v>34</v>
      </c>
      <c r="AN973" s="48">
        <v>0</v>
      </c>
      <c r="AO973" s="48">
        <v>0</v>
      </c>
      <c r="AP973" s="48">
        <v>0</v>
      </c>
      <c r="AQ973" s="48">
        <v>0</v>
      </c>
      <c r="AR973" s="48">
        <v>0</v>
      </c>
      <c r="AS973" s="48">
        <v>0</v>
      </c>
      <c r="AT973" s="48">
        <v>0</v>
      </c>
      <c r="AU973" s="48">
        <v>0</v>
      </c>
      <c r="AV973" s="48">
        <v>0</v>
      </c>
      <c r="AW973" s="48">
        <v>0</v>
      </c>
      <c r="AX973" s="48">
        <v>0</v>
      </c>
      <c r="AY973" s="48">
        <v>0</v>
      </c>
      <c r="AZ973" s="48">
        <v>0</v>
      </c>
      <c r="BA973" s="48">
        <v>0</v>
      </c>
      <c r="BB973" s="48">
        <v>0</v>
      </c>
    </row>
    <row r="974" spans="1:54" x14ac:dyDescent="0.35">
      <c r="A974" s="49">
        <v>45930</v>
      </c>
      <c r="B974" s="48">
        <v>1</v>
      </c>
      <c r="C974" s="50" t="s">
        <v>32</v>
      </c>
      <c r="D974" s="48" t="s">
        <v>31</v>
      </c>
      <c r="E974" s="48" t="s">
        <v>138</v>
      </c>
      <c r="F974" s="48" t="s">
        <v>139</v>
      </c>
      <c r="G974" s="49" t="s">
        <v>63</v>
      </c>
      <c r="H974" s="48" t="s">
        <v>63</v>
      </c>
      <c r="I974" s="48">
        <v>1</v>
      </c>
      <c r="J974" s="48">
        <v>159</v>
      </c>
      <c r="K974" s="48">
        <v>1</v>
      </c>
      <c r="N974" s="48">
        <v>0</v>
      </c>
      <c r="R974" s="49"/>
      <c r="S974" s="181">
        <v>0</v>
      </c>
      <c r="T974" s="49">
        <v>50770</v>
      </c>
      <c r="U974" s="49">
        <v>50770</v>
      </c>
      <c r="V974" s="49">
        <v>50770</v>
      </c>
      <c r="W974" s="49">
        <v>50770</v>
      </c>
      <c r="X974" s="48">
        <v>1</v>
      </c>
      <c r="Y974" s="48">
        <v>1</v>
      </c>
      <c r="Z974" s="48">
        <v>1</v>
      </c>
      <c r="AA974" s="156">
        <v>0</v>
      </c>
      <c r="AF974" s="48">
        <v>0</v>
      </c>
      <c r="AG974" s="49" t="s">
        <v>32</v>
      </c>
      <c r="AH974" s="48">
        <v>1</v>
      </c>
      <c r="AI974" s="48" t="s">
        <v>33</v>
      </c>
      <c r="AJ974" s="48" t="s">
        <v>33</v>
      </c>
      <c r="AK974" s="48" t="s">
        <v>33</v>
      </c>
      <c r="AL974" s="48" t="s">
        <v>34</v>
      </c>
      <c r="AN974" s="48">
        <v>0</v>
      </c>
      <c r="AO974" s="48">
        <v>0</v>
      </c>
      <c r="AP974" s="48">
        <v>0</v>
      </c>
      <c r="AQ974" s="48">
        <v>0</v>
      </c>
      <c r="AR974" s="48">
        <v>0</v>
      </c>
      <c r="AS974" s="48">
        <v>0</v>
      </c>
      <c r="AT974" s="48">
        <v>0</v>
      </c>
      <c r="AU974" s="48">
        <v>0</v>
      </c>
      <c r="AV974" s="48">
        <v>0</v>
      </c>
      <c r="AW974" s="48">
        <v>0</v>
      </c>
      <c r="AX974" s="48">
        <v>0</v>
      </c>
      <c r="AY974" s="48">
        <v>0</v>
      </c>
      <c r="AZ974" s="48">
        <v>0</v>
      </c>
      <c r="BA974" s="48">
        <v>0</v>
      </c>
      <c r="BB974" s="48">
        <v>0</v>
      </c>
    </row>
    <row r="975" spans="1:54" x14ac:dyDescent="0.35">
      <c r="A975" s="49">
        <v>45930</v>
      </c>
      <c r="B975" s="48">
        <v>1</v>
      </c>
      <c r="C975" s="50" t="s">
        <v>32</v>
      </c>
      <c r="D975" s="48" t="s">
        <v>31</v>
      </c>
      <c r="E975" s="48" t="s">
        <v>138</v>
      </c>
      <c r="F975" s="48" t="s">
        <v>139</v>
      </c>
      <c r="G975" s="49" t="s">
        <v>63</v>
      </c>
      <c r="H975" s="48" t="s">
        <v>63</v>
      </c>
      <c r="I975" s="48">
        <v>1</v>
      </c>
      <c r="J975" s="48">
        <v>160</v>
      </c>
      <c r="K975" s="48">
        <v>1</v>
      </c>
      <c r="N975" s="48">
        <v>0</v>
      </c>
      <c r="R975" s="49"/>
      <c r="S975" s="181">
        <v>0</v>
      </c>
      <c r="T975" s="49">
        <v>50801</v>
      </c>
      <c r="U975" s="49">
        <v>50801</v>
      </c>
      <c r="V975" s="49">
        <v>50801</v>
      </c>
      <c r="W975" s="49">
        <v>50801</v>
      </c>
      <c r="X975" s="48">
        <v>1</v>
      </c>
      <c r="Y975" s="48">
        <v>1</v>
      </c>
      <c r="Z975" s="48">
        <v>1</v>
      </c>
      <c r="AA975" s="156">
        <v>0</v>
      </c>
      <c r="AF975" s="48">
        <v>0</v>
      </c>
      <c r="AG975" s="49" t="s">
        <v>32</v>
      </c>
      <c r="AH975" s="48">
        <v>1</v>
      </c>
      <c r="AI975" s="48" t="s">
        <v>33</v>
      </c>
      <c r="AJ975" s="48" t="s">
        <v>33</v>
      </c>
      <c r="AK975" s="48" t="s">
        <v>33</v>
      </c>
      <c r="AL975" s="48" t="s">
        <v>34</v>
      </c>
      <c r="AN975" s="48">
        <v>0</v>
      </c>
      <c r="AO975" s="48">
        <v>0</v>
      </c>
      <c r="AP975" s="48">
        <v>0</v>
      </c>
      <c r="AQ975" s="48">
        <v>0</v>
      </c>
      <c r="AR975" s="48">
        <v>0</v>
      </c>
      <c r="AS975" s="48">
        <v>0</v>
      </c>
      <c r="AT975" s="48">
        <v>0</v>
      </c>
      <c r="AU975" s="48">
        <v>0</v>
      </c>
      <c r="AV975" s="48">
        <v>0</v>
      </c>
      <c r="AW975" s="48">
        <v>0</v>
      </c>
      <c r="AX975" s="48">
        <v>0</v>
      </c>
      <c r="AY975" s="48">
        <v>0</v>
      </c>
      <c r="AZ975" s="48">
        <v>0</v>
      </c>
      <c r="BA975" s="48">
        <v>0</v>
      </c>
      <c r="BB975" s="48">
        <v>0</v>
      </c>
    </row>
    <row r="976" spans="1:54" x14ac:dyDescent="0.35">
      <c r="A976" s="49">
        <v>45930</v>
      </c>
      <c r="B976" s="48">
        <v>1</v>
      </c>
      <c r="C976" s="50" t="s">
        <v>32</v>
      </c>
      <c r="D976" s="48" t="s">
        <v>31</v>
      </c>
      <c r="E976" s="48" t="s">
        <v>138</v>
      </c>
      <c r="F976" s="48" t="s">
        <v>139</v>
      </c>
      <c r="G976" s="49" t="s">
        <v>63</v>
      </c>
      <c r="H976" s="48" t="s">
        <v>63</v>
      </c>
      <c r="I976" s="48">
        <v>1</v>
      </c>
      <c r="J976" s="48">
        <v>161</v>
      </c>
      <c r="K976" s="48">
        <v>1</v>
      </c>
      <c r="N976" s="48">
        <v>0</v>
      </c>
      <c r="R976" s="49"/>
      <c r="S976" s="181">
        <v>0</v>
      </c>
      <c r="T976" s="49">
        <v>50829</v>
      </c>
      <c r="U976" s="49">
        <v>50829</v>
      </c>
      <c r="V976" s="49">
        <v>50829</v>
      </c>
      <c r="W976" s="49">
        <v>50829</v>
      </c>
      <c r="X976" s="48">
        <v>1</v>
      </c>
      <c r="Y976" s="48">
        <v>1</v>
      </c>
      <c r="Z976" s="48">
        <v>1</v>
      </c>
      <c r="AA976" s="156">
        <v>0</v>
      </c>
      <c r="AF976" s="48">
        <v>0</v>
      </c>
      <c r="AG976" s="49" t="s">
        <v>32</v>
      </c>
      <c r="AH976" s="48">
        <v>1</v>
      </c>
      <c r="AI976" s="48" t="s">
        <v>33</v>
      </c>
      <c r="AJ976" s="48" t="s">
        <v>33</v>
      </c>
      <c r="AK976" s="48" t="s">
        <v>33</v>
      </c>
      <c r="AL976" s="48" t="s">
        <v>34</v>
      </c>
      <c r="AN976" s="48">
        <v>0</v>
      </c>
      <c r="AO976" s="48">
        <v>0</v>
      </c>
      <c r="AP976" s="48">
        <v>0</v>
      </c>
      <c r="AQ976" s="48">
        <v>0</v>
      </c>
      <c r="AR976" s="48">
        <v>0</v>
      </c>
      <c r="AS976" s="48">
        <v>0</v>
      </c>
      <c r="AT976" s="48">
        <v>0</v>
      </c>
      <c r="AU976" s="48">
        <v>0</v>
      </c>
      <c r="AV976" s="48">
        <v>0</v>
      </c>
      <c r="AW976" s="48">
        <v>0</v>
      </c>
      <c r="AX976" s="48">
        <v>0</v>
      </c>
      <c r="AY976" s="48">
        <v>0</v>
      </c>
      <c r="AZ976" s="48">
        <v>0</v>
      </c>
      <c r="BA976" s="48">
        <v>0</v>
      </c>
      <c r="BB976" s="48">
        <v>0</v>
      </c>
    </row>
    <row r="977" spans="1:54" x14ac:dyDescent="0.35">
      <c r="A977" s="49">
        <v>45930</v>
      </c>
      <c r="B977" s="48">
        <v>1</v>
      </c>
      <c r="C977" s="50" t="s">
        <v>32</v>
      </c>
      <c r="D977" s="48" t="s">
        <v>31</v>
      </c>
      <c r="E977" s="48" t="s">
        <v>138</v>
      </c>
      <c r="F977" s="48" t="s">
        <v>139</v>
      </c>
      <c r="G977" s="49" t="s">
        <v>63</v>
      </c>
      <c r="H977" s="48" t="s">
        <v>63</v>
      </c>
      <c r="I977" s="48">
        <v>1</v>
      </c>
      <c r="J977" s="48">
        <v>162</v>
      </c>
      <c r="K977" s="48">
        <v>1</v>
      </c>
      <c r="N977" s="48">
        <v>0</v>
      </c>
      <c r="R977" s="49"/>
      <c r="S977" s="181">
        <v>0</v>
      </c>
      <c r="T977" s="49">
        <v>50860</v>
      </c>
      <c r="U977" s="49">
        <v>50860</v>
      </c>
      <c r="V977" s="49">
        <v>50860</v>
      </c>
      <c r="W977" s="49">
        <v>50860</v>
      </c>
      <c r="X977" s="48">
        <v>1</v>
      </c>
      <c r="Y977" s="48">
        <v>1</v>
      </c>
      <c r="Z977" s="48">
        <v>1</v>
      </c>
      <c r="AA977" s="156">
        <v>0</v>
      </c>
      <c r="AF977" s="48">
        <v>0</v>
      </c>
      <c r="AG977" s="49" t="s">
        <v>32</v>
      </c>
      <c r="AH977" s="48">
        <v>1</v>
      </c>
      <c r="AI977" s="48" t="s">
        <v>33</v>
      </c>
      <c r="AJ977" s="48" t="s">
        <v>33</v>
      </c>
      <c r="AK977" s="48" t="s">
        <v>33</v>
      </c>
      <c r="AL977" s="48" t="s">
        <v>34</v>
      </c>
      <c r="AN977" s="48">
        <v>0</v>
      </c>
      <c r="AO977" s="48">
        <v>0</v>
      </c>
      <c r="AP977" s="48">
        <v>0</v>
      </c>
      <c r="AQ977" s="48">
        <v>0</v>
      </c>
      <c r="AR977" s="48">
        <v>0</v>
      </c>
      <c r="AS977" s="48">
        <v>0</v>
      </c>
      <c r="AT977" s="48">
        <v>0</v>
      </c>
      <c r="AU977" s="48">
        <v>0</v>
      </c>
      <c r="AV977" s="48">
        <v>0</v>
      </c>
      <c r="AW977" s="48">
        <v>0</v>
      </c>
      <c r="AX977" s="48">
        <v>0</v>
      </c>
      <c r="AY977" s="48">
        <v>0</v>
      </c>
      <c r="AZ977" s="48">
        <v>0</v>
      </c>
      <c r="BA977" s="48">
        <v>0</v>
      </c>
      <c r="BB977" s="48">
        <v>0</v>
      </c>
    </row>
    <row r="978" spans="1:54" x14ac:dyDescent="0.35">
      <c r="A978" s="49">
        <v>45930</v>
      </c>
      <c r="B978" s="48">
        <v>1</v>
      </c>
      <c r="C978" s="50" t="s">
        <v>32</v>
      </c>
      <c r="D978" s="48" t="s">
        <v>31</v>
      </c>
      <c r="E978" s="48" t="s">
        <v>138</v>
      </c>
      <c r="F978" s="48" t="s">
        <v>139</v>
      </c>
      <c r="G978" s="49" t="s">
        <v>63</v>
      </c>
      <c r="H978" s="48" t="s">
        <v>63</v>
      </c>
      <c r="I978" s="48">
        <v>1</v>
      </c>
      <c r="J978" s="48">
        <v>163</v>
      </c>
      <c r="K978" s="48">
        <v>1</v>
      </c>
      <c r="N978" s="48">
        <v>0</v>
      </c>
      <c r="R978" s="49"/>
      <c r="S978" s="181">
        <v>0</v>
      </c>
      <c r="T978" s="49">
        <v>50890</v>
      </c>
      <c r="U978" s="49">
        <v>50890</v>
      </c>
      <c r="V978" s="49">
        <v>50890</v>
      </c>
      <c r="W978" s="49">
        <v>50890</v>
      </c>
      <c r="X978" s="48">
        <v>1</v>
      </c>
      <c r="Y978" s="48">
        <v>1</v>
      </c>
      <c r="Z978" s="48">
        <v>1</v>
      </c>
      <c r="AA978" s="156">
        <v>0</v>
      </c>
      <c r="AF978" s="48">
        <v>0</v>
      </c>
      <c r="AG978" s="49" t="s">
        <v>32</v>
      </c>
      <c r="AH978" s="48">
        <v>1</v>
      </c>
      <c r="AI978" s="48" t="s">
        <v>33</v>
      </c>
      <c r="AJ978" s="48" t="s">
        <v>33</v>
      </c>
      <c r="AK978" s="48" t="s">
        <v>33</v>
      </c>
      <c r="AL978" s="48" t="s">
        <v>34</v>
      </c>
      <c r="AN978" s="48">
        <v>0</v>
      </c>
      <c r="AO978" s="48">
        <v>0</v>
      </c>
      <c r="AP978" s="48">
        <v>0</v>
      </c>
      <c r="AQ978" s="48">
        <v>0</v>
      </c>
      <c r="AR978" s="48">
        <v>0</v>
      </c>
      <c r="AS978" s="48">
        <v>0</v>
      </c>
      <c r="AT978" s="48">
        <v>0</v>
      </c>
      <c r="AU978" s="48">
        <v>0</v>
      </c>
      <c r="AV978" s="48">
        <v>0</v>
      </c>
      <c r="AW978" s="48">
        <v>0</v>
      </c>
      <c r="AX978" s="48">
        <v>0</v>
      </c>
      <c r="AY978" s="48">
        <v>0</v>
      </c>
      <c r="AZ978" s="48">
        <v>0</v>
      </c>
      <c r="BA978" s="48">
        <v>0</v>
      </c>
      <c r="BB978" s="48">
        <v>0</v>
      </c>
    </row>
    <row r="979" spans="1:54" x14ac:dyDescent="0.35">
      <c r="A979" s="49">
        <v>45930</v>
      </c>
      <c r="B979" s="48">
        <v>1</v>
      </c>
      <c r="C979" s="50" t="s">
        <v>32</v>
      </c>
      <c r="D979" s="48" t="s">
        <v>31</v>
      </c>
      <c r="E979" s="48" t="s">
        <v>138</v>
      </c>
      <c r="F979" s="48" t="s">
        <v>139</v>
      </c>
      <c r="G979" s="49" t="s">
        <v>63</v>
      </c>
      <c r="H979" s="48" t="s">
        <v>63</v>
      </c>
      <c r="I979" s="48">
        <v>1</v>
      </c>
      <c r="J979" s="48">
        <v>164</v>
      </c>
      <c r="K979" s="48">
        <v>1</v>
      </c>
      <c r="N979" s="48">
        <v>0</v>
      </c>
      <c r="R979" s="49"/>
      <c r="S979" s="181">
        <v>0</v>
      </c>
      <c r="T979" s="49">
        <v>50921</v>
      </c>
      <c r="U979" s="49">
        <v>50921</v>
      </c>
      <c r="V979" s="49">
        <v>50921</v>
      </c>
      <c r="W979" s="49">
        <v>50921</v>
      </c>
      <c r="X979" s="48">
        <v>1</v>
      </c>
      <c r="Y979" s="48">
        <v>1</v>
      </c>
      <c r="Z979" s="48">
        <v>1</v>
      </c>
      <c r="AA979" s="156">
        <v>0</v>
      </c>
      <c r="AF979" s="48">
        <v>0</v>
      </c>
      <c r="AG979" s="49" t="s">
        <v>32</v>
      </c>
      <c r="AH979" s="48">
        <v>1</v>
      </c>
      <c r="AI979" s="48" t="s">
        <v>33</v>
      </c>
      <c r="AJ979" s="48" t="s">
        <v>33</v>
      </c>
      <c r="AK979" s="48" t="s">
        <v>33</v>
      </c>
      <c r="AL979" s="48" t="s">
        <v>34</v>
      </c>
      <c r="AN979" s="48">
        <v>0</v>
      </c>
      <c r="AO979" s="48">
        <v>0</v>
      </c>
      <c r="AP979" s="48">
        <v>0</v>
      </c>
      <c r="AQ979" s="48">
        <v>0</v>
      </c>
      <c r="AR979" s="48">
        <v>0</v>
      </c>
      <c r="AS979" s="48">
        <v>0</v>
      </c>
      <c r="AT979" s="48">
        <v>0</v>
      </c>
      <c r="AU979" s="48">
        <v>0</v>
      </c>
      <c r="AV979" s="48">
        <v>0</v>
      </c>
      <c r="AW979" s="48">
        <v>0</v>
      </c>
      <c r="AX979" s="48">
        <v>0</v>
      </c>
      <c r="AY979" s="48">
        <v>0</v>
      </c>
      <c r="AZ979" s="48">
        <v>0</v>
      </c>
      <c r="BA979" s="48">
        <v>0</v>
      </c>
      <c r="BB979" s="48">
        <v>0</v>
      </c>
    </row>
    <row r="980" spans="1:54" x14ac:dyDescent="0.35">
      <c r="A980" s="49">
        <v>45930</v>
      </c>
      <c r="B980" s="48">
        <v>1</v>
      </c>
      <c r="C980" s="50" t="s">
        <v>32</v>
      </c>
      <c r="D980" s="48" t="s">
        <v>31</v>
      </c>
      <c r="E980" s="48" t="s">
        <v>138</v>
      </c>
      <c r="F980" s="48" t="s">
        <v>139</v>
      </c>
      <c r="G980" s="49" t="s">
        <v>63</v>
      </c>
      <c r="H980" s="48" t="s">
        <v>63</v>
      </c>
      <c r="I980" s="48">
        <v>1</v>
      </c>
      <c r="J980" s="48">
        <v>165</v>
      </c>
      <c r="K980" s="48">
        <v>1</v>
      </c>
      <c r="N980" s="48">
        <v>0</v>
      </c>
      <c r="R980" s="49"/>
      <c r="S980" s="181">
        <v>0</v>
      </c>
      <c r="T980" s="49">
        <v>50951</v>
      </c>
      <c r="U980" s="49">
        <v>50951</v>
      </c>
      <c r="V980" s="49">
        <v>50951</v>
      </c>
      <c r="W980" s="49">
        <v>50951</v>
      </c>
      <c r="X980" s="48">
        <v>1</v>
      </c>
      <c r="Y980" s="48">
        <v>1</v>
      </c>
      <c r="Z980" s="48">
        <v>1</v>
      </c>
      <c r="AA980" s="156">
        <v>0</v>
      </c>
      <c r="AF980" s="48">
        <v>0</v>
      </c>
      <c r="AG980" s="49" t="s">
        <v>32</v>
      </c>
      <c r="AH980" s="48">
        <v>1</v>
      </c>
      <c r="AI980" s="48" t="s">
        <v>33</v>
      </c>
      <c r="AJ980" s="48" t="s">
        <v>33</v>
      </c>
      <c r="AK980" s="48" t="s">
        <v>33</v>
      </c>
      <c r="AL980" s="48" t="s">
        <v>34</v>
      </c>
      <c r="AN980" s="48">
        <v>0</v>
      </c>
      <c r="AO980" s="48">
        <v>0</v>
      </c>
      <c r="AP980" s="48">
        <v>0</v>
      </c>
      <c r="AQ980" s="48">
        <v>0</v>
      </c>
      <c r="AR980" s="48">
        <v>0</v>
      </c>
      <c r="AS980" s="48">
        <v>0</v>
      </c>
      <c r="AT980" s="48">
        <v>0</v>
      </c>
      <c r="AU980" s="48">
        <v>0</v>
      </c>
      <c r="AV980" s="48">
        <v>0</v>
      </c>
      <c r="AW980" s="48">
        <v>0</v>
      </c>
      <c r="AX980" s="48">
        <v>0</v>
      </c>
      <c r="AY980" s="48">
        <v>0</v>
      </c>
      <c r="AZ980" s="48">
        <v>0</v>
      </c>
      <c r="BA980" s="48">
        <v>0</v>
      </c>
      <c r="BB980" s="48">
        <v>0</v>
      </c>
    </row>
    <row r="981" spans="1:54" x14ac:dyDescent="0.35">
      <c r="A981" s="49">
        <v>45930</v>
      </c>
      <c r="B981" s="48">
        <v>1</v>
      </c>
      <c r="C981" s="50" t="s">
        <v>32</v>
      </c>
      <c r="D981" s="48" t="s">
        <v>31</v>
      </c>
      <c r="E981" s="48" t="s">
        <v>138</v>
      </c>
      <c r="F981" s="48" t="s">
        <v>139</v>
      </c>
      <c r="G981" s="49" t="s">
        <v>63</v>
      </c>
      <c r="H981" s="48" t="s">
        <v>63</v>
      </c>
      <c r="I981" s="48">
        <v>1</v>
      </c>
      <c r="J981" s="48">
        <v>166</v>
      </c>
      <c r="K981" s="48">
        <v>1</v>
      </c>
      <c r="N981" s="48">
        <v>0</v>
      </c>
      <c r="R981" s="49"/>
      <c r="S981" s="181">
        <v>0</v>
      </c>
      <c r="T981" s="49">
        <v>50982</v>
      </c>
      <c r="U981" s="49">
        <v>50982</v>
      </c>
      <c r="V981" s="49">
        <v>50982</v>
      </c>
      <c r="W981" s="49">
        <v>50982</v>
      </c>
      <c r="X981" s="48">
        <v>1</v>
      </c>
      <c r="Y981" s="48">
        <v>1</v>
      </c>
      <c r="Z981" s="48">
        <v>1</v>
      </c>
      <c r="AA981" s="156">
        <v>0</v>
      </c>
      <c r="AF981" s="48">
        <v>0</v>
      </c>
      <c r="AG981" s="49" t="s">
        <v>32</v>
      </c>
      <c r="AH981" s="48">
        <v>1</v>
      </c>
      <c r="AI981" s="48" t="s">
        <v>33</v>
      </c>
      <c r="AJ981" s="48" t="s">
        <v>33</v>
      </c>
      <c r="AK981" s="48" t="s">
        <v>33</v>
      </c>
      <c r="AL981" s="48" t="s">
        <v>34</v>
      </c>
      <c r="AN981" s="48">
        <v>0</v>
      </c>
      <c r="AO981" s="48">
        <v>0</v>
      </c>
      <c r="AP981" s="48">
        <v>0</v>
      </c>
      <c r="AQ981" s="48">
        <v>0</v>
      </c>
      <c r="AR981" s="48">
        <v>0</v>
      </c>
      <c r="AS981" s="48">
        <v>0</v>
      </c>
      <c r="AT981" s="48">
        <v>0</v>
      </c>
      <c r="AU981" s="48">
        <v>0</v>
      </c>
      <c r="AV981" s="48">
        <v>0</v>
      </c>
      <c r="AW981" s="48">
        <v>0</v>
      </c>
      <c r="AX981" s="48">
        <v>0</v>
      </c>
      <c r="AY981" s="48">
        <v>0</v>
      </c>
      <c r="AZ981" s="48">
        <v>0</v>
      </c>
      <c r="BA981" s="48">
        <v>0</v>
      </c>
      <c r="BB981" s="48">
        <v>0</v>
      </c>
    </row>
    <row r="982" spans="1:54" x14ac:dyDescent="0.35">
      <c r="A982" s="49">
        <v>45930</v>
      </c>
      <c r="B982" s="48">
        <v>1</v>
      </c>
      <c r="C982" s="50" t="s">
        <v>32</v>
      </c>
      <c r="D982" s="48" t="s">
        <v>31</v>
      </c>
      <c r="E982" s="48" t="s">
        <v>138</v>
      </c>
      <c r="F982" s="48" t="s">
        <v>139</v>
      </c>
      <c r="G982" s="49" t="s">
        <v>63</v>
      </c>
      <c r="H982" s="48" t="s">
        <v>63</v>
      </c>
      <c r="I982" s="48">
        <v>1</v>
      </c>
      <c r="J982" s="48">
        <v>167</v>
      </c>
      <c r="K982" s="48">
        <v>1</v>
      </c>
      <c r="N982" s="48">
        <v>0</v>
      </c>
      <c r="R982" s="49"/>
      <c r="S982" s="181">
        <v>0</v>
      </c>
      <c r="T982" s="49">
        <v>51013</v>
      </c>
      <c r="U982" s="49">
        <v>51013</v>
      </c>
      <c r="V982" s="49">
        <v>51013</v>
      </c>
      <c r="W982" s="49">
        <v>51013</v>
      </c>
      <c r="X982" s="48">
        <v>1</v>
      </c>
      <c r="Y982" s="48">
        <v>1</v>
      </c>
      <c r="Z982" s="48">
        <v>1</v>
      </c>
      <c r="AA982" s="156">
        <v>0</v>
      </c>
      <c r="AF982" s="48">
        <v>0</v>
      </c>
      <c r="AG982" s="49" t="s">
        <v>32</v>
      </c>
      <c r="AH982" s="48">
        <v>1</v>
      </c>
      <c r="AI982" s="48" t="s">
        <v>33</v>
      </c>
      <c r="AJ982" s="48" t="s">
        <v>33</v>
      </c>
      <c r="AK982" s="48" t="s">
        <v>33</v>
      </c>
      <c r="AL982" s="48" t="s">
        <v>34</v>
      </c>
      <c r="AN982" s="48">
        <v>0</v>
      </c>
      <c r="AO982" s="48">
        <v>0</v>
      </c>
      <c r="AP982" s="48">
        <v>0</v>
      </c>
      <c r="AQ982" s="48">
        <v>0</v>
      </c>
      <c r="AR982" s="48">
        <v>0</v>
      </c>
      <c r="AS982" s="48">
        <v>0</v>
      </c>
      <c r="AT982" s="48">
        <v>0</v>
      </c>
      <c r="AU982" s="48">
        <v>0</v>
      </c>
      <c r="AV982" s="48">
        <v>0</v>
      </c>
      <c r="AW982" s="48">
        <v>0</v>
      </c>
      <c r="AX982" s="48">
        <v>0</v>
      </c>
      <c r="AY982" s="48">
        <v>0</v>
      </c>
      <c r="AZ982" s="48">
        <v>0</v>
      </c>
      <c r="BA982" s="48">
        <v>0</v>
      </c>
      <c r="BB982" s="48">
        <v>0</v>
      </c>
    </row>
    <row r="983" spans="1:54" x14ac:dyDescent="0.35">
      <c r="A983" s="49">
        <v>45930</v>
      </c>
      <c r="B983" s="48">
        <v>1</v>
      </c>
      <c r="C983" s="50" t="s">
        <v>32</v>
      </c>
      <c r="D983" s="48" t="s">
        <v>31</v>
      </c>
      <c r="E983" s="48" t="s">
        <v>138</v>
      </c>
      <c r="F983" s="48" t="s">
        <v>139</v>
      </c>
      <c r="G983" s="49" t="s">
        <v>63</v>
      </c>
      <c r="H983" s="48" t="s">
        <v>63</v>
      </c>
      <c r="I983" s="48">
        <v>1</v>
      </c>
      <c r="J983" s="48">
        <v>168</v>
      </c>
      <c r="K983" s="48">
        <v>1</v>
      </c>
      <c r="N983" s="48">
        <v>0</v>
      </c>
      <c r="R983" s="49"/>
      <c r="S983" s="181">
        <v>0</v>
      </c>
      <c r="T983" s="49">
        <v>51043</v>
      </c>
      <c r="U983" s="49">
        <v>51043</v>
      </c>
      <c r="V983" s="49">
        <v>51043</v>
      </c>
      <c r="W983" s="49">
        <v>51043</v>
      </c>
      <c r="X983" s="48">
        <v>1</v>
      </c>
      <c r="Y983" s="48">
        <v>1</v>
      </c>
      <c r="Z983" s="48">
        <v>1</v>
      </c>
      <c r="AA983" s="156">
        <v>0</v>
      </c>
      <c r="AF983" s="48">
        <v>0</v>
      </c>
      <c r="AG983" s="49" t="s">
        <v>32</v>
      </c>
      <c r="AH983" s="48">
        <v>1</v>
      </c>
      <c r="AI983" s="48" t="s">
        <v>33</v>
      </c>
      <c r="AJ983" s="48" t="s">
        <v>33</v>
      </c>
      <c r="AK983" s="48" t="s">
        <v>33</v>
      </c>
      <c r="AL983" s="48" t="s">
        <v>34</v>
      </c>
      <c r="AN983" s="48">
        <v>0</v>
      </c>
      <c r="AO983" s="48">
        <v>0</v>
      </c>
      <c r="AP983" s="48">
        <v>0</v>
      </c>
      <c r="AQ983" s="48">
        <v>0</v>
      </c>
      <c r="AR983" s="48">
        <v>0</v>
      </c>
      <c r="AS983" s="48">
        <v>0</v>
      </c>
      <c r="AT983" s="48">
        <v>0</v>
      </c>
      <c r="AU983" s="48">
        <v>0</v>
      </c>
      <c r="AV983" s="48">
        <v>0</v>
      </c>
      <c r="AW983" s="48">
        <v>0</v>
      </c>
      <c r="AX983" s="48">
        <v>0</v>
      </c>
      <c r="AY983" s="48">
        <v>0</v>
      </c>
      <c r="AZ983" s="48">
        <v>0</v>
      </c>
      <c r="BA983" s="48">
        <v>0</v>
      </c>
      <c r="BB983" s="48">
        <v>0</v>
      </c>
    </row>
    <row r="984" spans="1:54" x14ac:dyDescent="0.35">
      <c r="A984" s="49">
        <v>45930</v>
      </c>
      <c r="B984" s="48">
        <v>1</v>
      </c>
      <c r="C984" s="50" t="s">
        <v>32</v>
      </c>
      <c r="D984" s="48" t="s">
        <v>31</v>
      </c>
      <c r="E984" s="48" t="s">
        <v>138</v>
      </c>
      <c r="F984" s="48" t="s">
        <v>139</v>
      </c>
      <c r="G984" s="49" t="s">
        <v>63</v>
      </c>
      <c r="H984" s="48" t="s">
        <v>63</v>
      </c>
      <c r="I984" s="48">
        <v>1</v>
      </c>
      <c r="J984" s="48">
        <v>169</v>
      </c>
      <c r="K984" s="48">
        <v>1</v>
      </c>
      <c r="N984" s="48">
        <v>0</v>
      </c>
      <c r="R984" s="49"/>
      <c r="S984" s="181">
        <v>0</v>
      </c>
      <c r="T984" s="49">
        <v>51074</v>
      </c>
      <c r="U984" s="49">
        <v>51074</v>
      </c>
      <c r="V984" s="49">
        <v>51074</v>
      </c>
      <c r="W984" s="49">
        <v>51074</v>
      </c>
      <c r="X984" s="48">
        <v>1</v>
      </c>
      <c r="Y984" s="48">
        <v>1</v>
      </c>
      <c r="Z984" s="48">
        <v>1</v>
      </c>
      <c r="AA984" s="156">
        <v>0</v>
      </c>
      <c r="AF984" s="48">
        <v>0</v>
      </c>
      <c r="AG984" s="49" t="s">
        <v>32</v>
      </c>
      <c r="AH984" s="48">
        <v>1</v>
      </c>
      <c r="AI984" s="48" t="s">
        <v>33</v>
      </c>
      <c r="AJ984" s="48" t="s">
        <v>33</v>
      </c>
      <c r="AK984" s="48" t="s">
        <v>33</v>
      </c>
      <c r="AL984" s="48" t="s">
        <v>34</v>
      </c>
      <c r="AN984" s="48">
        <v>0</v>
      </c>
      <c r="AO984" s="48">
        <v>0</v>
      </c>
      <c r="AP984" s="48">
        <v>0</v>
      </c>
      <c r="AQ984" s="48">
        <v>0</v>
      </c>
      <c r="AR984" s="48">
        <v>0</v>
      </c>
      <c r="AS984" s="48">
        <v>0</v>
      </c>
      <c r="AT984" s="48">
        <v>0</v>
      </c>
      <c r="AU984" s="48">
        <v>0</v>
      </c>
      <c r="AV984" s="48">
        <v>0</v>
      </c>
      <c r="AW984" s="48">
        <v>0</v>
      </c>
      <c r="AX984" s="48">
        <v>0</v>
      </c>
      <c r="AY984" s="48">
        <v>0</v>
      </c>
      <c r="AZ984" s="48">
        <v>0</v>
      </c>
      <c r="BA984" s="48">
        <v>0</v>
      </c>
      <c r="BB984" s="48">
        <v>0</v>
      </c>
    </row>
    <row r="985" spans="1:54" x14ac:dyDescent="0.35">
      <c r="A985" s="49">
        <v>45930</v>
      </c>
      <c r="B985" s="48">
        <v>1</v>
      </c>
      <c r="C985" s="50" t="s">
        <v>32</v>
      </c>
      <c r="D985" s="48" t="s">
        <v>31</v>
      </c>
      <c r="E985" s="48" t="s">
        <v>138</v>
      </c>
      <c r="F985" s="48" t="s">
        <v>139</v>
      </c>
      <c r="G985" s="49" t="s">
        <v>63</v>
      </c>
      <c r="H985" s="48" t="s">
        <v>63</v>
      </c>
      <c r="I985" s="48">
        <v>1</v>
      </c>
      <c r="J985" s="48">
        <v>170</v>
      </c>
      <c r="K985" s="48">
        <v>1</v>
      </c>
      <c r="N985" s="48">
        <v>0</v>
      </c>
      <c r="R985" s="49"/>
      <c r="S985" s="181">
        <v>0</v>
      </c>
      <c r="T985" s="49">
        <v>51104</v>
      </c>
      <c r="U985" s="49">
        <v>51104</v>
      </c>
      <c r="V985" s="49">
        <v>51104</v>
      </c>
      <c r="W985" s="49">
        <v>51104</v>
      </c>
      <c r="X985" s="48">
        <v>1</v>
      </c>
      <c r="Y985" s="48">
        <v>1</v>
      </c>
      <c r="Z985" s="48">
        <v>1</v>
      </c>
      <c r="AA985" s="156">
        <v>0</v>
      </c>
      <c r="AF985" s="48">
        <v>0</v>
      </c>
      <c r="AG985" s="49" t="s">
        <v>32</v>
      </c>
      <c r="AH985" s="48">
        <v>1</v>
      </c>
      <c r="AI985" s="48" t="s">
        <v>33</v>
      </c>
      <c r="AJ985" s="48" t="s">
        <v>33</v>
      </c>
      <c r="AK985" s="48" t="s">
        <v>33</v>
      </c>
      <c r="AL985" s="48" t="s">
        <v>34</v>
      </c>
      <c r="AN985" s="48">
        <v>0</v>
      </c>
      <c r="AO985" s="48">
        <v>0</v>
      </c>
      <c r="AP985" s="48">
        <v>0</v>
      </c>
      <c r="AQ985" s="48">
        <v>0</v>
      </c>
      <c r="AR985" s="48">
        <v>0</v>
      </c>
      <c r="AS985" s="48">
        <v>0</v>
      </c>
      <c r="AT985" s="48">
        <v>0</v>
      </c>
      <c r="AU985" s="48">
        <v>0</v>
      </c>
      <c r="AV985" s="48">
        <v>0</v>
      </c>
      <c r="AW985" s="48">
        <v>0</v>
      </c>
      <c r="AX985" s="48">
        <v>0</v>
      </c>
      <c r="AY985" s="48">
        <v>0</v>
      </c>
      <c r="AZ985" s="48">
        <v>0</v>
      </c>
      <c r="BA985" s="48">
        <v>0</v>
      </c>
      <c r="BB985" s="48">
        <v>0</v>
      </c>
    </row>
    <row r="986" spans="1:54" x14ac:dyDescent="0.35">
      <c r="A986" s="49">
        <v>45930</v>
      </c>
      <c r="B986" s="48">
        <v>1</v>
      </c>
      <c r="C986" s="50" t="s">
        <v>32</v>
      </c>
      <c r="D986" s="48" t="s">
        <v>31</v>
      </c>
      <c r="E986" s="48" t="s">
        <v>138</v>
      </c>
      <c r="F986" s="48" t="s">
        <v>139</v>
      </c>
      <c r="G986" s="49" t="s">
        <v>63</v>
      </c>
      <c r="H986" s="48" t="s">
        <v>63</v>
      </c>
      <c r="I986" s="48">
        <v>1</v>
      </c>
      <c r="J986" s="48">
        <v>171</v>
      </c>
      <c r="K986" s="48">
        <v>1</v>
      </c>
      <c r="N986" s="48">
        <v>0</v>
      </c>
      <c r="R986" s="49"/>
      <c r="S986" s="181">
        <v>0</v>
      </c>
      <c r="T986" s="49">
        <v>51135</v>
      </c>
      <c r="U986" s="49">
        <v>51135</v>
      </c>
      <c r="V986" s="49">
        <v>51135</v>
      </c>
      <c r="W986" s="49">
        <v>51135</v>
      </c>
      <c r="X986" s="48">
        <v>1</v>
      </c>
      <c r="Y986" s="48">
        <v>1</v>
      </c>
      <c r="Z986" s="48">
        <v>1</v>
      </c>
      <c r="AA986" s="156">
        <v>0</v>
      </c>
      <c r="AF986" s="48">
        <v>0</v>
      </c>
      <c r="AG986" s="49" t="s">
        <v>32</v>
      </c>
      <c r="AH986" s="48">
        <v>1</v>
      </c>
      <c r="AI986" s="48" t="s">
        <v>33</v>
      </c>
      <c r="AJ986" s="48" t="s">
        <v>33</v>
      </c>
      <c r="AK986" s="48" t="s">
        <v>33</v>
      </c>
      <c r="AL986" s="48" t="s">
        <v>34</v>
      </c>
      <c r="AN986" s="48">
        <v>0</v>
      </c>
      <c r="AO986" s="48">
        <v>0</v>
      </c>
      <c r="AP986" s="48">
        <v>0</v>
      </c>
      <c r="AQ986" s="48">
        <v>0</v>
      </c>
      <c r="AR986" s="48">
        <v>0</v>
      </c>
      <c r="AS986" s="48">
        <v>0</v>
      </c>
      <c r="AT986" s="48">
        <v>0</v>
      </c>
      <c r="AU986" s="48">
        <v>0</v>
      </c>
      <c r="AV986" s="48">
        <v>0</v>
      </c>
      <c r="AW986" s="48">
        <v>0</v>
      </c>
      <c r="AX986" s="48">
        <v>0</v>
      </c>
      <c r="AY986" s="48">
        <v>0</v>
      </c>
      <c r="AZ986" s="48">
        <v>0</v>
      </c>
      <c r="BA986" s="48">
        <v>0</v>
      </c>
      <c r="BB986" s="48">
        <v>0</v>
      </c>
    </row>
    <row r="987" spans="1:54" x14ac:dyDescent="0.35">
      <c r="A987" s="49">
        <v>45930</v>
      </c>
      <c r="B987" s="48">
        <v>1</v>
      </c>
      <c r="C987" s="50" t="s">
        <v>32</v>
      </c>
      <c r="D987" s="48" t="s">
        <v>31</v>
      </c>
      <c r="E987" s="48" t="s">
        <v>138</v>
      </c>
      <c r="F987" s="48" t="s">
        <v>139</v>
      </c>
      <c r="G987" s="49" t="s">
        <v>63</v>
      </c>
      <c r="H987" s="48" t="s">
        <v>63</v>
      </c>
      <c r="I987" s="48">
        <v>1</v>
      </c>
      <c r="J987" s="48">
        <v>172</v>
      </c>
      <c r="K987" s="48">
        <v>1</v>
      </c>
      <c r="N987" s="48">
        <v>0</v>
      </c>
      <c r="R987" s="49"/>
      <c r="S987" s="181">
        <v>0</v>
      </c>
      <c r="T987" s="49">
        <v>51166</v>
      </c>
      <c r="U987" s="49">
        <v>51166</v>
      </c>
      <c r="V987" s="49">
        <v>51166</v>
      </c>
      <c r="W987" s="49">
        <v>51166</v>
      </c>
      <c r="X987" s="48">
        <v>1</v>
      </c>
      <c r="Y987" s="48">
        <v>1</v>
      </c>
      <c r="Z987" s="48">
        <v>1</v>
      </c>
      <c r="AA987" s="156">
        <v>0</v>
      </c>
      <c r="AF987" s="48">
        <v>0</v>
      </c>
      <c r="AG987" s="49" t="s">
        <v>32</v>
      </c>
      <c r="AH987" s="48">
        <v>1</v>
      </c>
      <c r="AI987" s="48" t="s">
        <v>33</v>
      </c>
      <c r="AJ987" s="48" t="s">
        <v>33</v>
      </c>
      <c r="AK987" s="48" t="s">
        <v>33</v>
      </c>
      <c r="AL987" s="48" t="s">
        <v>34</v>
      </c>
      <c r="AN987" s="48">
        <v>0</v>
      </c>
      <c r="AO987" s="48">
        <v>0</v>
      </c>
      <c r="AP987" s="48">
        <v>0</v>
      </c>
      <c r="AQ987" s="48">
        <v>0</v>
      </c>
      <c r="AR987" s="48">
        <v>0</v>
      </c>
      <c r="AS987" s="48">
        <v>0</v>
      </c>
      <c r="AT987" s="48">
        <v>0</v>
      </c>
      <c r="AU987" s="48">
        <v>0</v>
      </c>
      <c r="AV987" s="48">
        <v>0</v>
      </c>
      <c r="AW987" s="48">
        <v>0</v>
      </c>
      <c r="AX987" s="48">
        <v>0</v>
      </c>
      <c r="AY987" s="48">
        <v>0</v>
      </c>
      <c r="AZ987" s="48">
        <v>0</v>
      </c>
      <c r="BA987" s="48">
        <v>0</v>
      </c>
      <c r="BB987" s="48">
        <v>0</v>
      </c>
    </row>
    <row r="988" spans="1:54" x14ac:dyDescent="0.35">
      <c r="A988" s="49">
        <v>45930</v>
      </c>
      <c r="B988" s="48">
        <v>1</v>
      </c>
      <c r="C988" s="50" t="s">
        <v>32</v>
      </c>
      <c r="D988" s="48" t="s">
        <v>31</v>
      </c>
      <c r="E988" s="48" t="s">
        <v>138</v>
      </c>
      <c r="F988" s="48" t="s">
        <v>139</v>
      </c>
      <c r="G988" s="49" t="s">
        <v>63</v>
      </c>
      <c r="H988" s="48" t="s">
        <v>63</v>
      </c>
      <c r="I988" s="48">
        <v>1</v>
      </c>
      <c r="J988" s="48">
        <v>173</v>
      </c>
      <c r="K988" s="48">
        <v>1</v>
      </c>
      <c r="N988" s="48">
        <v>0</v>
      </c>
      <c r="R988" s="49"/>
      <c r="S988" s="181">
        <v>0</v>
      </c>
      <c r="T988" s="49">
        <v>51195</v>
      </c>
      <c r="U988" s="49">
        <v>51195</v>
      </c>
      <c r="V988" s="49">
        <v>51195</v>
      </c>
      <c r="W988" s="49">
        <v>51195</v>
      </c>
      <c r="X988" s="48">
        <v>1</v>
      </c>
      <c r="Y988" s="48">
        <v>1</v>
      </c>
      <c r="Z988" s="48">
        <v>1</v>
      </c>
      <c r="AA988" s="156">
        <v>0</v>
      </c>
      <c r="AF988" s="48">
        <v>0</v>
      </c>
      <c r="AG988" s="49" t="s">
        <v>32</v>
      </c>
      <c r="AH988" s="48">
        <v>1</v>
      </c>
      <c r="AI988" s="48" t="s">
        <v>33</v>
      </c>
      <c r="AJ988" s="48" t="s">
        <v>33</v>
      </c>
      <c r="AK988" s="48" t="s">
        <v>33</v>
      </c>
      <c r="AL988" s="48" t="s">
        <v>34</v>
      </c>
      <c r="AN988" s="48">
        <v>0</v>
      </c>
      <c r="AO988" s="48">
        <v>0</v>
      </c>
      <c r="AP988" s="48">
        <v>0</v>
      </c>
      <c r="AQ988" s="48">
        <v>0</v>
      </c>
      <c r="AR988" s="48">
        <v>0</v>
      </c>
      <c r="AS988" s="48">
        <v>0</v>
      </c>
      <c r="AT988" s="48">
        <v>0</v>
      </c>
      <c r="AU988" s="48">
        <v>0</v>
      </c>
      <c r="AV988" s="48">
        <v>0</v>
      </c>
      <c r="AW988" s="48">
        <v>0</v>
      </c>
      <c r="AX988" s="48">
        <v>0</v>
      </c>
      <c r="AY988" s="48">
        <v>0</v>
      </c>
      <c r="AZ988" s="48">
        <v>0</v>
      </c>
      <c r="BA988" s="48">
        <v>0</v>
      </c>
      <c r="BB988" s="48">
        <v>0</v>
      </c>
    </row>
    <row r="989" spans="1:54" x14ac:dyDescent="0.35">
      <c r="A989" s="49">
        <v>45930</v>
      </c>
      <c r="B989" s="48">
        <v>1</v>
      </c>
      <c r="C989" s="50" t="s">
        <v>32</v>
      </c>
      <c r="D989" s="48" t="s">
        <v>31</v>
      </c>
      <c r="E989" s="48" t="s">
        <v>138</v>
      </c>
      <c r="F989" s="48" t="s">
        <v>139</v>
      </c>
      <c r="G989" s="49" t="s">
        <v>63</v>
      </c>
      <c r="H989" s="48" t="s">
        <v>63</v>
      </c>
      <c r="I989" s="48">
        <v>1</v>
      </c>
      <c r="J989" s="48">
        <v>174</v>
      </c>
      <c r="K989" s="48">
        <v>1</v>
      </c>
      <c r="N989" s="48">
        <v>0</v>
      </c>
      <c r="R989" s="49"/>
      <c r="S989" s="181">
        <v>0</v>
      </c>
      <c r="T989" s="49">
        <v>51226</v>
      </c>
      <c r="U989" s="49">
        <v>51226</v>
      </c>
      <c r="V989" s="49">
        <v>51226</v>
      </c>
      <c r="W989" s="49">
        <v>51226</v>
      </c>
      <c r="X989" s="48">
        <v>1</v>
      </c>
      <c r="Y989" s="48">
        <v>1</v>
      </c>
      <c r="Z989" s="48">
        <v>1</v>
      </c>
      <c r="AA989" s="156">
        <v>0</v>
      </c>
      <c r="AF989" s="48">
        <v>0</v>
      </c>
      <c r="AG989" s="49" t="s">
        <v>32</v>
      </c>
      <c r="AH989" s="48">
        <v>1</v>
      </c>
      <c r="AI989" s="48" t="s">
        <v>33</v>
      </c>
      <c r="AJ989" s="48" t="s">
        <v>33</v>
      </c>
      <c r="AK989" s="48" t="s">
        <v>33</v>
      </c>
      <c r="AL989" s="48" t="s">
        <v>34</v>
      </c>
      <c r="AN989" s="48">
        <v>0</v>
      </c>
      <c r="AO989" s="48">
        <v>0</v>
      </c>
      <c r="AP989" s="48">
        <v>0</v>
      </c>
      <c r="AQ989" s="48">
        <v>0</v>
      </c>
      <c r="AR989" s="48">
        <v>0</v>
      </c>
      <c r="AS989" s="48">
        <v>0</v>
      </c>
      <c r="AT989" s="48">
        <v>0</v>
      </c>
      <c r="AU989" s="48">
        <v>0</v>
      </c>
      <c r="AV989" s="48">
        <v>0</v>
      </c>
      <c r="AW989" s="48">
        <v>0</v>
      </c>
      <c r="AX989" s="48">
        <v>0</v>
      </c>
      <c r="AY989" s="48">
        <v>0</v>
      </c>
      <c r="AZ989" s="48">
        <v>0</v>
      </c>
      <c r="BA989" s="48">
        <v>0</v>
      </c>
      <c r="BB989" s="48">
        <v>0</v>
      </c>
    </row>
    <row r="990" spans="1:54" x14ac:dyDescent="0.35">
      <c r="A990" s="49">
        <v>45930</v>
      </c>
      <c r="B990" s="48">
        <v>1</v>
      </c>
      <c r="C990" s="50" t="s">
        <v>32</v>
      </c>
      <c r="D990" s="48" t="s">
        <v>31</v>
      </c>
      <c r="E990" s="48" t="s">
        <v>138</v>
      </c>
      <c r="F990" s="48" t="s">
        <v>139</v>
      </c>
      <c r="G990" s="49" t="s">
        <v>63</v>
      </c>
      <c r="H990" s="48" t="s">
        <v>63</v>
      </c>
      <c r="I990" s="48">
        <v>1</v>
      </c>
      <c r="J990" s="48">
        <v>175</v>
      </c>
      <c r="K990" s="48">
        <v>1</v>
      </c>
      <c r="N990" s="48">
        <v>0</v>
      </c>
      <c r="R990" s="49"/>
      <c r="S990" s="181">
        <v>0</v>
      </c>
      <c r="T990" s="49">
        <v>51256</v>
      </c>
      <c r="U990" s="49">
        <v>51256</v>
      </c>
      <c r="V990" s="49">
        <v>51256</v>
      </c>
      <c r="W990" s="49">
        <v>51256</v>
      </c>
      <c r="X990" s="48">
        <v>1</v>
      </c>
      <c r="Y990" s="48">
        <v>1</v>
      </c>
      <c r="Z990" s="48">
        <v>1</v>
      </c>
      <c r="AA990" s="156">
        <v>0</v>
      </c>
      <c r="AF990" s="48">
        <v>0</v>
      </c>
      <c r="AG990" s="49" t="s">
        <v>32</v>
      </c>
      <c r="AH990" s="48">
        <v>1</v>
      </c>
      <c r="AI990" s="48" t="s">
        <v>33</v>
      </c>
      <c r="AJ990" s="48" t="s">
        <v>33</v>
      </c>
      <c r="AK990" s="48" t="s">
        <v>33</v>
      </c>
      <c r="AL990" s="48" t="s">
        <v>34</v>
      </c>
      <c r="AN990" s="48">
        <v>0</v>
      </c>
      <c r="AO990" s="48">
        <v>0</v>
      </c>
      <c r="AP990" s="48">
        <v>0</v>
      </c>
      <c r="AQ990" s="48">
        <v>0</v>
      </c>
      <c r="AR990" s="48">
        <v>0</v>
      </c>
      <c r="AS990" s="48">
        <v>0</v>
      </c>
      <c r="AT990" s="48">
        <v>0</v>
      </c>
      <c r="AU990" s="48">
        <v>0</v>
      </c>
      <c r="AV990" s="48">
        <v>0</v>
      </c>
      <c r="AW990" s="48">
        <v>0</v>
      </c>
      <c r="AX990" s="48">
        <v>0</v>
      </c>
      <c r="AY990" s="48">
        <v>0</v>
      </c>
      <c r="AZ990" s="48">
        <v>0</v>
      </c>
      <c r="BA990" s="48">
        <v>0</v>
      </c>
      <c r="BB990" s="48">
        <v>0</v>
      </c>
    </row>
    <row r="991" spans="1:54" x14ac:dyDescent="0.35">
      <c r="A991" s="49">
        <v>45930</v>
      </c>
      <c r="B991" s="48">
        <v>1</v>
      </c>
      <c r="C991" s="50" t="s">
        <v>32</v>
      </c>
      <c r="D991" s="48" t="s">
        <v>31</v>
      </c>
      <c r="E991" s="48" t="s">
        <v>138</v>
      </c>
      <c r="F991" s="48" t="s">
        <v>139</v>
      </c>
      <c r="G991" s="49" t="s">
        <v>63</v>
      </c>
      <c r="H991" s="48" t="s">
        <v>63</v>
      </c>
      <c r="I991" s="48">
        <v>1</v>
      </c>
      <c r="J991" s="48">
        <v>176</v>
      </c>
      <c r="K991" s="48">
        <v>1</v>
      </c>
      <c r="N991" s="48">
        <v>0</v>
      </c>
      <c r="R991" s="49"/>
      <c r="S991" s="181">
        <v>0</v>
      </c>
      <c r="T991" s="49">
        <v>51287</v>
      </c>
      <c r="U991" s="49">
        <v>51287</v>
      </c>
      <c r="V991" s="49">
        <v>51287</v>
      </c>
      <c r="W991" s="49">
        <v>51287</v>
      </c>
      <c r="X991" s="48">
        <v>1</v>
      </c>
      <c r="Y991" s="48">
        <v>1</v>
      </c>
      <c r="Z991" s="48">
        <v>1</v>
      </c>
      <c r="AA991" s="156">
        <v>0</v>
      </c>
      <c r="AF991" s="48">
        <v>0</v>
      </c>
      <c r="AG991" s="49" t="s">
        <v>32</v>
      </c>
      <c r="AH991" s="48">
        <v>1</v>
      </c>
      <c r="AI991" s="48" t="s">
        <v>33</v>
      </c>
      <c r="AJ991" s="48" t="s">
        <v>33</v>
      </c>
      <c r="AK991" s="48" t="s">
        <v>33</v>
      </c>
      <c r="AL991" s="48" t="s">
        <v>34</v>
      </c>
      <c r="AN991" s="48">
        <v>0</v>
      </c>
      <c r="AO991" s="48">
        <v>0</v>
      </c>
      <c r="AP991" s="48">
        <v>0</v>
      </c>
      <c r="AQ991" s="48">
        <v>0</v>
      </c>
      <c r="AR991" s="48">
        <v>0</v>
      </c>
      <c r="AS991" s="48">
        <v>0</v>
      </c>
      <c r="AT991" s="48">
        <v>0</v>
      </c>
      <c r="AU991" s="48">
        <v>0</v>
      </c>
      <c r="AV991" s="48">
        <v>0</v>
      </c>
      <c r="AW991" s="48">
        <v>0</v>
      </c>
      <c r="AX991" s="48">
        <v>0</v>
      </c>
      <c r="AY991" s="48">
        <v>0</v>
      </c>
      <c r="AZ991" s="48">
        <v>0</v>
      </c>
      <c r="BA991" s="48">
        <v>0</v>
      </c>
      <c r="BB991" s="48">
        <v>0</v>
      </c>
    </row>
    <row r="992" spans="1:54" x14ac:dyDescent="0.35">
      <c r="A992" s="49">
        <v>45930</v>
      </c>
      <c r="B992" s="48">
        <v>1</v>
      </c>
      <c r="C992" s="50" t="s">
        <v>32</v>
      </c>
      <c r="D992" s="48" t="s">
        <v>31</v>
      </c>
      <c r="E992" s="48" t="s">
        <v>138</v>
      </c>
      <c r="F992" s="48" t="s">
        <v>139</v>
      </c>
      <c r="G992" s="49" t="s">
        <v>63</v>
      </c>
      <c r="H992" s="48" t="s">
        <v>63</v>
      </c>
      <c r="I992" s="48">
        <v>1</v>
      </c>
      <c r="J992" s="48">
        <v>177</v>
      </c>
      <c r="K992" s="48">
        <v>1</v>
      </c>
      <c r="N992" s="48">
        <v>0</v>
      </c>
      <c r="R992" s="49"/>
      <c r="S992" s="181">
        <v>0</v>
      </c>
      <c r="T992" s="49">
        <v>51317</v>
      </c>
      <c r="U992" s="49">
        <v>51317</v>
      </c>
      <c r="V992" s="49">
        <v>51317</v>
      </c>
      <c r="W992" s="49">
        <v>51317</v>
      </c>
      <c r="X992" s="48">
        <v>1</v>
      </c>
      <c r="Y992" s="48">
        <v>1</v>
      </c>
      <c r="Z992" s="48">
        <v>1</v>
      </c>
      <c r="AA992" s="156">
        <v>0</v>
      </c>
      <c r="AF992" s="48">
        <v>0</v>
      </c>
      <c r="AG992" s="49" t="s">
        <v>32</v>
      </c>
      <c r="AH992" s="48">
        <v>1</v>
      </c>
      <c r="AI992" s="48" t="s">
        <v>33</v>
      </c>
      <c r="AJ992" s="48" t="s">
        <v>33</v>
      </c>
      <c r="AK992" s="48" t="s">
        <v>33</v>
      </c>
      <c r="AL992" s="48" t="s">
        <v>34</v>
      </c>
      <c r="AN992" s="48">
        <v>0</v>
      </c>
      <c r="AO992" s="48">
        <v>0</v>
      </c>
      <c r="AP992" s="48">
        <v>0</v>
      </c>
      <c r="AQ992" s="48">
        <v>0</v>
      </c>
      <c r="AR992" s="48">
        <v>0</v>
      </c>
      <c r="AS992" s="48">
        <v>0</v>
      </c>
      <c r="AT992" s="48">
        <v>0</v>
      </c>
      <c r="AU992" s="48">
        <v>0</v>
      </c>
      <c r="AV992" s="48">
        <v>0</v>
      </c>
      <c r="AW992" s="48">
        <v>0</v>
      </c>
      <c r="AX992" s="48">
        <v>0</v>
      </c>
      <c r="AY992" s="48">
        <v>0</v>
      </c>
      <c r="AZ992" s="48">
        <v>0</v>
      </c>
      <c r="BA992" s="48">
        <v>0</v>
      </c>
      <c r="BB992" s="48">
        <v>0</v>
      </c>
    </row>
    <row r="993" spans="1:54" x14ac:dyDescent="0.35">
      <c r="A993" s="49">
        <v>45930</v>
      </c>
      <c r="B993" s="48">
        <v>1</v>
      </c>
      <c r="C993" s="50" t="s">
        <v>32</v>
      </c>
      <c r="D993" s="48" t="s">
        <v>31</v>
      </c>
      <c r="E993" s="48" t="s">
        <v>138</v>
      </c>
      <c r="F993" s="48" t="s">
        <v>139</v>
      </c>
      <c r="G993" s="49" t="s">
        <v>63</v>
      </c>
      <c r="H993" s="48" t="s">
        <v>63</v>
      </c>
      <c r="I993" s="48">
        <v>1</v>
      </c>
      <c r="J993" s="48">
        <v>178</v>
      </c>
      <c r="K993" s="48">
        <v>1</v>
      </c>
      <c r="N993" s="48">
        <v>0</v>
      </c>
      <c r="R993" s="49"/>
      <c r="S993" s="181">
        <v>0</v>
      </c>
      <c r="T993" s="49">
        <v>51348</v>
      </c>
      <c r="U993" s="49">
        <v>51348</v>
      </c>
      <c r="V993" s="49">
        <v>51348</v>
      </c>
      <c r="W993" s="49">
        <v>51348</v>
      </c>
      <c r="X993" s="48">
        <v>1</v>
      </c>
      <c r="Y993" s="48">
        <v>1</v>
      </c>
      <c r="Z993" s="48">
        <v>1</v>
      </c>
      <c r="AA993" s="156">
        <v>0</v>
      </c>
      <c r="AF993" s="48">
        <v>0</v>
      </c>
      <c r="AG993" s="49" t="s">
        <v>32</v>
      </c>
      <c r="AH993" s="48">
        <v>1</v>
      </c>
      <c r="AI993" s="48" t="s">
        <v>33</v>
      </c>
      <c r="AJ993" s="48" t="s">
        <v>33</v>
      </c>
      <c r="AK993" s="48" t="s">
        <v>33</v>
      </c>
      <c r="AL993" s="48" t="s">
        <v>34</v>
      </c>
      <c r="AN993" s="48">
        <v>0</v>
      </c>
      <c r="AO993" s="48">
        <v>0</v>
      </c>
      <c r="AP993" s="48">
        <v>0</v>
      </c>
      <c r="AQ993" s="48">
        <v>0</v>
      </c>
      <c r="AR993" s="48">
        <v>0</v>
      </c>
      <c r="AS993" s="48">
        <v>0</v>
      </c>
      <c r="AT993" s="48">
        <v>0</v>
      </c>
      <c r="AU993" s="48">
        <v>0</v>
      </c>
      <c r="AV993" s="48">
        <v>0</v>
      </c>
      <c r="AW993" s="48">
        <v>0</v>
      </c>
      <c r="AX993" s="48">
        <v>0</v>
      </c>
      <c r="AY993" s="48">
        <v>0</v>
      </c>
      <c r="AZ993" s="48">
        <v>0</v>
      </c>
      <c r="BA993" s="48">
        <v>0</v>
      </c>
      <c r="BB993" s="48">
        <v>0</v>
      </c>
    </row>
    <row r="994" spans="1:54" x14ac:dyDescent="0.35">
      <c r="A994" s="49">
        <v>45930</v>
      </c>
      <c r="B994" s="48">
        <v>1</v>
      </c>
      <c r="C994" s="50" t="s">
        <v>32</v>
      </c>
      <c r="D994" s="48" t="s">
        <v>31</v>
      </c>
      <c r="E994" s="48" t="s">
        <v>138</v>
      </c>
      <c r="F994" s="48" t="s">
        <v>139</v>
      </c>
      <c r="G994" s="49" t="s">
        <v>63</v>
      </c>
      <c r="H994" s="48" t="s">
        <v>63</v>
      </c>
      <c r="I994" s="48">
        <v>1</v>
      </c>
      <c r="J994" s="48">
        <v>179</v>
      </c>
      <c r="K994" s="48">
        <v>1</v>
      </c>
      <c r="N994" s="48">
        <v>0</v>
      </c>
      <c r="R994" s="49"/>
      <c r="S994" s="181">
        <v>0</v>
      </c>
      <c r="T994" s="49">
        <v>51379</v>
      </c>
      <c r="U994" s="49">
        <v>51379</v>
      </c>
      <c r="V994" s="49">
        <v>51379</v>
      </c>
      <c r="W994" s="49">
        <v>51379</v>
      </c>
      <c r="X994" s="48">
        <v>1</v>
      </c>
      <c r="Y994" s="48">
        <v>1</v>
      </c>
      <c r="Z994" s="48">
        <v>1</v>
      </c>
      <c r="AA994" s="156">
        <v>0</v>
      </c>
      <c r="AF994" s="48">
        <v>0</v>
      </c>
      <c r="AG994" s="49" t="s">
        <v>32</v>
      </c>
      <c r="AH994" s="48">
        <v>1</v>
      </c>
      <c r="AI994" s="48" t="s">
        <v>33</v>
      </c>
      <c r="AJ994" s="48" t="s">
        <v>33</v>
      </c>
      <c r="AK994" s="48" t="s">
        <v>33</v>
      </c>
      <c r="AL994" s="48" t="s">
        <v>34</v>
      </c>
      <c r="AN994" s="48">
        <v>0</v>
      </c>
      <c r="AO994" s="48">
        <v>0</v>
      </c>
      <c r="AP994" s="48">
        <v>0</v>
      </c>
      <c r="AQ994" s="48">
        <v>0</v>
      </c>
      <c r="AR994" s="48">
        <v>0</v>
      </c>
      <c r="AS994" s="48">
        <v>0</v>
      </c>
      <c r="AT994" s="48">
        <v>0</v>
      </c>
      <c r="AU994" s="48">
        <v>0</v>
      </c>
      <c r="AV994" s="48">
        <v>0</v>
      </c>
      <c r="AW994" s="48">
        <v>0</v>
      </c>
      <c r="AX994" s="48">
        <v>0</v>
      </c>
      <c r="AY994" s="48">
        <v>0</v>
      </c>
      <c r="AZ994" s="48">
        <v>0</v>
      </c>
      <c r="BA994" s="48">
        <v>0</v>
      </c>
      <c r="BB994" s="48">
        <v>0</v>
      </c>
    </row>
    <row r="995" spans="1:54" x14ac:dyDescent="0.35">
      <c r="A995" s="49">
        <v>45930</v>
      </c>
      <c r="B995" s="48">
        <v>1</v>
      </c>
      <c r="C995" s="50" t="s">
        <v>32</v>
      </c>
      <c r="D995" s="48" t="s">
        <v>31</v>
      </c>
      <c r="E995" s="48" t="s">
        <v>138</v>
      </c>
      <c r="F995" s="48" t="s">
        <v>139</v>
      </c>
      <c r="G995" s="49" t="s">
        <v>63</v>
      </c>
      <c r="H995" s="48" t="s">
        <v>63</v>
      </c>
      <c r="I995" s="48">
        <v>1</v>
      </c>
      <c r="J995" s="48">
        <v>180</v>
      </c>
      <c r="K995" s="48">
        <v>1</v>
      </c>
      <c r="N995" s="48">
        <v>0</v>
      </c>
      <c r="R995" s="49"/>
      <c r="S995" s="181">
        <v>0</v>
      </c>
      <c r="T995" s="49">
        <v>51409</v>
      </c>
      <c r="U995" s="49">
        <v>51409</v>
      </c>
      <c r="V995" s="49">
        <v>51409</v>
      </c>
      <c r="W995" s="49">
        <v>51409</v>
      </c>
      <c r="X995" s="48">
        <v>1</v>
      </c>
      <c r="Y995" s="48">
        <v>1</v>
      </c>
      <c r="Z995" s="48">
        <v>1</v>
      </c>
      <c r="AA995" s="156">
        <v>0</v>
      </c>
      <c r="AF995" s="48">
        <v>0</v>
      </c>
      <c r="AG995" s="49" t="s">
        <v>32</v>
      </c>
      <c r="AH995" s="48">
        <v>1</v>
      </c>
      <c r="AI995" s="48" t="s">
        <v>33</v>
      </c>
      <c r="AJ995" s="48" t="s">
        <v>33</v>
      </c>
      <c r="AK995" s="48" t="s">
        <v>33</v>
      </c>
      <c r="AL995" s="48" t="s">
        <v>34</v>
      </c>
      <c r="AN995" s="48">
        <v>0</v>
      </c>
      <c r="AO995" s="48">
        <v>0</v>
      </c>
      <c r="AP995" s="48">
        <v>0</v>
      </c>
      <c r="AQ995" s="48">
        <v>0</v>
      </c>
      <c r="AR995" s="48">
        <v>0</v>
      </c>
      <c r="AS995" s="48">
        <v>0</v>
      </c>
      <c r="AT995" s="48">
        <v>0</v>
      </c>
      <c r="AU995" s="48">
        <v>0</v>
      </c>
      <c r="AV995" s="48">
        <v>0</v>
      </c>
      <c r="AW995" s="48">
        <v>0</v>
      </c>
      <c r="AX995" s="48">
        <v>0</v>
      </c>
      <c r="AY995" s="48">
        <v>0</v>
      </c>
      <c r="AZ995" s="48">
        <v>0</v>
      </c>
      <c r="BA995" s="48">
        <v>0</v>
      </c>
      <c r="BB995" s="48">
        <v>0</v>
      </c>
    </row>
    <row r="996" spans="1:54" x14ac:dyDescent="0.35">
      <c r="A996" s="49">
        <v>45930</v>
      </c>
      <c r="B996" s="48">
        <v>1</v>
      </c>
      <c r="C996" s="50" t="s">
        <v>32</v>
      </c>
      <c r="D996" s="48" t="s">
        <v>31</v>
      </c>
      <c r="E996" s="48" t="s">
        <v>138</v>
      </c>
      <c r="F996" s="48" t="s">
        <v>139</v>
      </c>
      <c r="G996" s="49" t="s">
        <v>63</v>
      </c>
      <c r="H996" s="48" t="s">
        <v>63</v>
      </c>
      <c r="I996" s="48">
        <v>1</v>
      </c>
      <c r="J996" s="48">
        <v>181</v>
      </c>
      <c r="K996" s="48">
        <v>1</v>
      </c>
      <c r="N996" s="48">
        <v>0</v>
      </c>
      <c r="R996" s="49"/>
      <c r="S996" s="181">
        <v>0</v>
      </c>
      <c r="T996" s="49">
        <v>51440</v>
      </c>
      <c r="U996" s="49">
        <v>51440</v>
      </c>
      <c r="V996" s="49">
        <v>51440</v>
      </c>
      <c r="W996" s="49">
        <v>51440</v>
      </c>
      <c r="X996" s="48">
        <v>1</v>
      </c>
      <c r="Y996" s="48">
        <v>1</v>
      </c>
      <c r="Z996" s="48">
        <v>1</v>
      </c>
      <c r="AA996" s="156">
        <v>0</v>
      </c>
      <c r="AF996" s="48">
        <v>0</v>
      </c>
      <c r="AG996" s="49" t="s">
        <v>32</v>
      </c>
      <c r="AH996" s="48">
        <v>1</v>
      </c>
      <c r="AI996" s="48" t="s">
        <v>33</v>
      </c>
      <c r="AJ996" s="48" t="s">
        <v>33</v>
      </c>
      <c r="AK996" s="48" t="s">
        <v>33</v>
      </c>
      <c r="AL996" s="48" t="s">
        <v>34</v>
      </c>
      <c r="AN996" s="48">
        <v>0</v>
      </c>
      <c r="AO996" s="48">
        <v>0</v>
      </c>
      <c r="AP996" s="48">
        <v>0</v>
      </c>
      <c r="AQ996" s="48">
        <v>0</v>
      </c>
      <c r="AR996" s="48">
        <v>0</v>
      </c>
      <c r="AS996" s="48">
        <v>0</v>
      </c>
      <c r="AT996" s="48">
        <v>0</v>
      </c>
      <c r="AU996" s="48">
        <v>0</v>
      </c>
      <c r="AV996" s="48">
        <v>0</v>
      </c>
      <c r="AW996" s="48">
        <v>0</v>
      </c>
      <c r="AX996" s="48">
        <v>0</v>
      </c>
      <c r="AY996" s="48">
        <v>0</v>
      </c>
      <c r="AZ996" s="48">
        <v>0</v>
      </c>
      <c r="BA996" s="48">
        <v>0</v>
      </c>
      <c r="BB996" s="48">
        <v>0</v>
      </c>
    </row>
    <row r="997" spans="1:54" x14ac:dyDescent="0.35">
      <c r="A997" s="49">
        <v>45930</v>
      </c>
      <c r="B997" s="48">
        <v>1</v>
      </c>
      <c r="C997" s="50" t="s">
        <v>32</v>
      </c>
      <c r="D997" s="48" t="s">
        <v>31</v>
      </c>
      <c r="E997" s="48" t="s">
        <v>138</v>
      </c>
      <c r="F997" s="48" t="s">
        <v>139</v>
      </c>
      <c r="G997" s="49" t="s">
        <v>63</v>
      </c>
      <c r="H997" s="48" t="s">
        <v>63</v>
      </c>
      <c r="I997" s="48">
        <v>1</v>
      </c>
      <c r="J997" s="48">
        <v>182</v>
      </c>
      <c r="K997" s="48">
        <v>1</v>
      </c>
      <c r="N997" s="48">
        <v>0</v>
      </c>
      <c r="R997" s="49"/>
      <c r="S997" s="181">
        <v>0</v>
      </c>
      <c r="T997" s="49">
        <v>51470</v>
      </c>
      <c r="U997" s="49">
        <v>51470</v>
      </c>
      <c r="V997" s="49">
        <v>51470</v>
      </c>
      <c r="W997" s="49">
        <v>51470</v>
      </c>
      <c r="X997" s="48">
        <v>1</v>
      </c>
      <c r="Y997" s="48">
        <v>1</v>
      </c>
      <c r="Z997" s="48">
        <v>1</v>
      </c>
      <c r="AA997" s="156">
        <v>0</v>
      </c>
      <c r="AF997" s="48">
        <v>0</v>
      </c>
      <c r="AG997" s="49" t="s">
        <v>32</v>
      </c>
      <c r="AH997" s="48">
        <v>1</v>
      </c>
      <c r="AI997" s="48" t="s">
        <v>33</v>
      </c>
      <c r="AJ997" s="48" t="s">
        <v>33</v>
      </c>
      <c r="AK997" s="48" t="s">
        <v>33</v>
      </c>
      <c r="AL997" s="48" t="s">
        <v>34</v>
      </c>
      <c r="AN997" s="48">
        <v>0</v>
      </c>
      <c r="AO997" s="48">
        <v>0</v>
      </c>
      <c r="AP997" s="48">
        <v>0</v>
      </c>
      <c r="AQ997" s="48">
        <v>0</v>
      </c>
      <c r="AR997" s="48">
        <v>0</v>
      </c>
      <c r="AS997" s="48">
        <v>0</v>
      </c>
      <c r="AT997" s="48">
        <v>0</v>
      </c>
      <c r="AU997" s="48">
        <v>0</v>
      </c>
      <c r="AV997" s="48">
        <v>0</v>
      </c>
      <c r="AW997" s="48">
        <v>0</v>
      </c>
      <c r="AX997" s="48">
        <v>0</v>
      </c>
      <c r="AY997" s="48">
        <v>0</v>
      </c>
      <c r="AZ997" s="48">
        <v>0</v>
      </c>
      <c r="BA997" s="48">
        <v>0</v>
      </c>
      <c r="BB997" s="48">
        <v>0</v>
      </c>
    </row>
    <row r="998" spans="1:54" x14ac:dyDescent="0.35">
      <c r="A998" s="49">
        <v>45930</v>
      </c>
      <c r="B998" s="48">
        <v>1</v>
      </c>
      <c r="C998" s="50" t="s">
        <v>32</v>
      </c>
      <c r="D998" s="48" t="s">
        <v>31</v>
      </c>
      <c r="E998" s="48" t="s">
        <v>138</v>
      </c>
      <c r="F998" s="48" t="s">
        <v>139</v>
      </c>
      <c r="G998" s="49" t="s">
        <v>63</v>
      </c>
      <c r="H998" s="48" t="s">
        <v>63</v>
      </c>
      <c r="I998" s="48">
        <v>1</v>
      </c>
      <c r="J998" s="48">
        <v>183</v>
      </c>
      <c r="K998" s="48">
        <v>1</v>
      </c>
      <c r="N998" s="48">
        <v>0</v>
      </c>
      <c r="R998" s="49"/>
      <c r="S998" s="181">
        <v>0</v>
      </c>
      <c r="T998" s="49">
        <v>51501</v>
      </c>
      <c r="U998" s="49">
        <v>51501</v>
      </c>
      <c r="V998" s="49">
        <v>51501</v>
      </c>
      <c r="W998" s="49">
        <v>51501</v>
      </c>
      <c r="X998" s="48">
        <v>1</v>
      </c>
      <c r="Y998" s="48">
        <v>1</v>
      </c>
      <c r="Z998" s="48">
        <v>1</v>
      </c>
      <c r="AA998" s="156">
        <v>2193.1339020672222</v>
      </c>
      <c r="AF998" s="48">
        <v>0</v>
      </c>
      <c r="AG998" s="49" t="s">
        <v>32</v>
      </c>
      <c r="AH998" s="48">
        <v>1</v>
      </c>
      <c r="AI998" s="48" t="s">
        <v>33</v>
      </c>
      <c r="AJ998" s="48" t="s">
        <v>33</v>
      </c>
      <c r="AK998" s="48" t="s">
        <v>33</v>
      </c>
      <c r="AL998" s="48" t="s">
        <v>34</v>
      </c>
      <c r="AN998" s="48">
        <v>0</v>
      </c>
      <c r="AO998" s="48">
        <v>0</v>
      </c>
      <c r="AP998" s="48">
        <v>0</v>
      </c>
      <c r="AQ998" s="48">
        <v>0</v>
      </c>
      <c r="AR998" s="48">
        <v>0</v>
      </c>
      <c r="AS998" s="48">
        <v>0</v>
      </c>
      <c r="AT998" s="48">
        <v>0</v>
      </c>
      <c r="AU998" s="48">
        <v>0</v>
      </c>
      <c r="AV998" s="48">
        <v>0</v>
      </c>
      <c r="AW998" s="48">
        <v>0</v>
      </c>
      <c r="AX998" s="48">
        <v>0</v>
      </c>
      <c r="AY998" s="48">
        <v>0</v>
      </c>
      <c r="AZ998" s="48">
        <v>0</v>
      </c>
      <c r="BA998" s="48">
        <v>0</v>
      </c>
      <c r="BB998" s="48">
        <v>0</v>
      </c>
    </row>
    <row r="999" spans="1:54" x14ac:dyDescent="0.35">
      <c r="A999" s="49">
        <v>45930</v>
      </c>
      <c r="B999" s="48">
        <v>1</v>
      </c>
      <c r="C999" s="50" t="s">
        <v>32</v>
      </c>
      <c r="D999" s="48" t="s">
        <v>31</v>
      </c>
      <c r="E999" s="48" t="s">
        <v>138</v>
      </c>
      <c r="F999" s="48" t="s">
        <v>139</v>
      </c>
      <c r="G999" s="49" t="s">
        <v>63</v>
      </c>
      <c r="H999" s="48" t="s">
        <v>63</v>
      </c>
      <c r="I999" s="48">
        <v>1</v>
      </c>
      <c r="J999" s="48">
        <v>184</v>
      </c>
      <c r="K999" s="48">
        <v>1</v>
      </c>
      <c r="N999" s="48">
        <v>0</v>
      </c>
      <c r="R999" s="49"/>
      <c r="S999" s="181">
        <v>0</v>
      </c>
      <c r="T999" s="49">
        <v>51532</v>
      </c>
      <c r="U999" s="49">
        <v>51532</v>
      </c>
      <c r="V999" s="49">
        <v>51532</v>
      </c>
      <c r="W999" s="49">
        <v>51532</v>
      </c>
      <c r="X999" s="48">
        <v>1</v>
      </c>
      <c r="Y999" s="48">
        <v>1</v>
      </c>
      <c r="Z999" s="48">
        <v>1</v>
      </c>
      <c r="AA999" s="156">
        <v>2193.1339020672222</v>
      </c>
      <c r="AF999" s="48">
        <v>0</v>
      </c>
      <c r="AG999" s="49" t="s">
        <v>32</v>
      </c>
      <c r="AH999" s="48">
        <v>1</v>
      </c>
      <c r="AI999" s="48" t="s">
        <v>33</v>
      </c>
      <c r="AJ999" s="48" t="s">
        <v>33</v>
      </c>
      <c r="AK999" s="48" t="s">
        <v>33</v>
      </c>
      <c r="AL999" s="48" t="s">
        <v>34</v>
      </c>
      <c r="AN999" s="48">
        <v>0</v>
      </c>
      <c r="AO999" s="48">
        <v>0</v>
      </c>
      <c r="AP999" s="48">
        <v>0</v>
      </c>
      <c r="AQ999" s="48">
        <v>0</v>
      </c>
      <c r="AR999" s="48">
        <v>0</v>
      </c>
      <c r="AS999" s="48">
        <v>0</v>
      </c>
      <c r="AT999" s="48">
        <v>0</v>
      </c>
      <c r="AU999" s="48">
        <v>0</v>
      </c>
      <c r="AV999" s="48">
        <v>0</v>
      </c>
      <c r="AW999" s="48">
        <v>0</v>
      </c>
      <c r="AX999" s="48">
        <v>0</v>
      </c>
      <c r="AY999" s="48">
        <v>0</v>
      </c>
      <c r="AZ999" s="48">
        <v>0</v>
      </c>
      <c r="BA999" s="48">
        <v>0</v>
      </c>
      <c r="BB999" s="48">
        <v>0</v>
      </c>
    </row>
    <row r="1000" spans="1:54" x14ac:dyDescent="0.35">
      <c r="A1000" s="49">
        <v>45930</v>
      </c>
      <c r="B1000" s="48">
        <v>1</v>
      </c>
      <c r="C1000" s="50" t="s">
        <v>32</v>
      </c>
      <c r="D1000" s="48" t="s">
        <v>31</v>
      </c>
      <c r="E1000" s="48" t="s">
        <v>138</v>
      </c>
      <c r="F1000" s="48" t="s">
        <v>139</v>
      </c>
      <c r="G1000" s="49" t="s">
        <v>63</v>
      </c>
      <c r="H1000" s="48" t="s">
        <v>63</v>
      </c>
      <c r="I1000" s="48">
        <v>1</v>
      </c>
      <c r="J1000" s="48">
        <v>185</v>
      </c>
      <c r="K1000" s="48">
        <v>1</v>
      </c>
      <c r="N1000" s="48">
        <v>0</v>
      </c>
      <c r="R1000" s="49"/>
      <c r="S1000" s="181">
        <v>0</v>
      </c>
      <c r="T1000" s="49">
        <v>51560</v>
      </c>
      <c r="U1000" s="49">
        <v>51560</v>
      </c>
      <c r="V1000" s="49">
        <v>51560</v>
      </c>
      <c r="W1000" s="49">
        <v>51560</v>
      </c>
      <c r="X1000" s="48">
        <v>1</v>
      </c>
      <c r="Y1000" s="48">
        <v>1</v>
      </c>
      <c r="Z1000" s="48">
        <v>1</v>
      </c>
      <c r="AA1000" s="156">
        <v>2193.1339020672222</v>
      </c>
      <c r="AF1000" s="48">
        <v>0</v>
      </c>
      <c r="AG1000" s="49" t="s">
        <v>32</v>
      </c>
      <c r="AH1000" s="48">
        <v>1</v>
      </c>
      <c r="AI1000" s="48" t="s">
        <v>33</v>
      </c>
      <c r="AJ1000" s="48" t="s">
        <v>33</v>
      </c>
      <c r="AK1000" s="48" t="s">
        <v>33</v>
      </c>
      <c r="AL1000" s="48" t="s">
        <v>34</v>
      </c>
      <c r="AN1000" s="48">
        <v>0</v>
      </c>
      <c r="AO1000" s="48">
        <v>0</v>
      </c>
      <c r="AP1000" s="48">
        <v>0</v>
      </c>
      <c r="AQ1000" s="48">
        <v>0</v>
      </c>
      <c r="AR1000" s="48">
        <v>0</v>
      </c>
      <c r="AS1000" s="48">
        <v>0</v>
      </c>
      <c r="AT1000" s="48">
        <v>0</v>
      </c>
      <c r="AU1000" s="48">
        <v>0</v>
      </c>
      <c r="AV1000" s="48">
        <v>0</v>
      </c>
      <c r="AW1000" s="48">
        <v>0</v>
      </c>
      <c r="AX1000" s="48">
        <v>0</v>
      </c>
      <c r="AY1000" s="48">
        <v>0</v>
      </c>
      <c r="AZ1000" s="48">
        <v>0</v>
      </c>
      <c r="BA1000" s="48">
        <v>0</v>
      </c>
      <c r="BB1000" s="48">
        <v>0</v>
      </c>
    </row>
    <row r="1001" spans="1:54" x14ac:dyDescent="0.35">
      <c r="A1001" s="49">
        <v>45930</v>
      </c>
      <c r="B1001" s="48">
        <v>1</v>
      </c>
      <c r="C1001" s="50" t="s">
        <v>32</v>
      </c>
      <c r="D1001" s="48" t="s">
        <v>31</v>
      </c>
      <c r="E1001" s="48" t="s">
        <v>138</v>
      </c>
      <c r="F1001" s="48" t="s">
        <v>139</v>
      </c>
      <c r="G1001" s="49" t="s">
        <v>63</v>
      </c>
      <c r="H1001" s="48" t="s">
        <v>63</v>
      </c>
      <c r="I1001" s="48">
        <v>1</v>
      </c>
      <c r="J1001" s="48">
        <v>186</v>
      </c>
      <c r="K1001" s="48">
        <v>1</v>
      </c>
      <c r="N1001" s="48">
        <v>0</v>
      </c>
      <c r="R1001" s="49"/>
      <c r="S1001" s="181">
        <v>0</v>
      </c>
      <c r="T1001" s="49">
        <v>51591</v>
      </c>
      <c r="U1001" s="49">
        <v>51591</v>
      </c>
      <c r="V1001" s="49">
        <v>51591</v>
      </c>
      <c r="W1001" s="49">
        <v>51591</v>
      </c>
      <c r="X1001" s="48">
        <v>1</v>
      </c>
      <c r="Y1001" s="48">
        <v>1</v>
      </c>
      <c r="Z1001" s="48">
        <v>1</v>
      </c>
      <c r="AA1001" s="156">
        <v>2193.1339020672222</v>
      </c>
      <c r="AF1001" s="48">
        <v>0</v>
      </c>
      <c r="AG1001" s="49" t="s">
        <v>32</v>
      </c>
      <c r="AH1001" s="48">
        <v>1</v>
      </c>
      <c r="AI1001" s="48" t="s">
        <v>33</v>
      </c>
      <c r="AJ1001" s="48" t="s">
        <v>33</v>
      </c>
      <c r="AK1001" s="48" t="s">
        <v>33</v>
      </c>
      <c r="AL1001" s="48" t="s">
        <v>34</v>
      </c>
      <c r="AN1001" s="48">
        <v>0</v>
      </c>
      <c r="AO1001" s="48">
        <v>0</v>
      </c>
      <c r="AP1001" s="48">
        <v>0</v>
      </c>
      <c r="AQ1001" s="48">
        <v>0</v>
      </c>
      <c r="AR1001" s="48">
        <v>0</v>
      </c>
      <c r="AS1001" s="48">
        <v>0</v>
      </c>
      <c r="AT1001" s="48">
        <v>0</v>
      </c>
      <c r="AU1001" s="48">
        <v>0</v>
      </c>
      <c r="AV1001" s="48">
        <v>0</v>
      </c>
      <c r="AW1001" s="48">
        <v>0</v>
      </c>
      <c r="AX1001" s="48">
        <v>0</v>
      </c>
      <c r="AY1001" s="48">
        <v>0</v>
      </c>
      <c r="AZ1001" s="48">
        <v>0</v>
      </c>
      <c r="BA1001" s="48">
        <v>0</v>
      </c>
      <c r="BB1001" s="48">
        <v>0</v>
      </c>
    </row>
    <row r="1002" spans="1:54" x14ac:dyDescent="0.35">
      <c r="A1002" s="49">
        <v>45930</v>
      </c>
      <c r="B1002" s="48">
        <v>1</v>
      </c>
      <c r="C1002" s="50" t="s">
        <v>32</v>
      </c>
      <c r="D1002" s="48" t="s">
        <v>31</v>
      </c>
      <c r="E1002" s="48" t="s">
        <v>138</v>
      </c>
      <c r="F1002" s="48" t="s">
        <v>139</v>
      </c>
      <c r="G1002" s="49" t="s">
        <v>63</v>
      </c>
      <c r="H1002" s="48" t="s">
        <v>63</v>
      </c>
      <c r="I1002" s="48">
        <v>1</v>
      </c>
      <c r="J1002" s="48">
        <v>187</v>
      </c>
      <c r="K1002" s="48">
        <v>1</v>
      </c>
      <c r="N1002" s="48">
        <v>0</v>
      </c>
      <c r="R1002" s="49"/>
      <c r="S1002" s="181">
        <v>0</v>
      </c>
      <c r="T1002" s="49">
        <v>51621</v>
      </c>
      <c r="U1002" s="49">
        <v>51621</v>
      </c>
      <c r="V1002" s="49">
        <v>51621</v>
      </c>
      <c r="W1002" s="49">
        <v>51621</v>
      </c>
      <c r="X1002" s="48">
        <v>1</v>
      </c>
      <c r="Y1002" s="48">
        <v>1</v>
      </c>
      <c r="Z1002" s="48">
        <v>1</v>
      </c>
      <c r="AA1002" s="156">
        <v>2193.1339020672222</v>
      </c>
      <c r="AF1002" s="48">
        <v>0</v>
      </c>
      <c r="AG1002" s="49" t="s">
        <v>32</v>
      </c>
      <c r="AH1002" s="48">
        <v>1</v>
      </c>
      <c r="AI1002" s="48" t="s">
        <v>33</v>
      </c>
      <c r="AJ1002" s="48" t="s">
        <v>33</v>
      </c>
      <c r="AK1002" s="48" t="s">
        <v>33</v>
      </c>
      <c r="AL1002" s="48" t="s">
        <v>34</v>
      </c>
      <c r="AN1002" s="48">
        <v>0</v>
      </c>
      <c r="AO1002" s="48">
        <v>0</v>
      </c>
      <c r="AP1002" s="48">
        <v>0</v>
      </c>
      <c r="AQ1002" s="48">
        <v>0</v>
      </c>
      <c r="AR1002" s="48">
        <v>0</v>
      </c>
      <c r="AS1002" s="48">
        <v>0</v>
      </c>
      <c r="AT1002" s="48">
        <v>0</v>
      </c>
      <c r="AU1002" s="48">
        <v>0</v>
      </c>
      <c r="AV1002" s="48">
        <v>0</v>
      </c>
      <c r="AW1002" s="48">
        <v>0</v>
      </c>
      <c r="AX1002" s="48">
        <v>0</v>
      </c>
      <c r="AY1002" s="48">
        <v>0</v>
      </c>
      <c r="AZ1002" s="48">
        <v>0</v>
      </c>
      <c r="BA1002" s="48">
        <v>0</v>
      </c>
      <c r="BB1002" s="48">
        <v>0</v>
      </c>
    </row>
    <row r="1003" spans="1:54" x14ac:dyDescent="0.35">
      <c r="A1003" s="49">
        <v>45930</v>
      </c>
      <c r="B1003" s="48">
        <v>1</v>
      </c>
      <c r="C1003" s="50" t="s">
        <v>32</v>
      </c>
      <c r="D1003" s="48" t="s">
        <v>31</v>
      </c>
      <c r="E1003" s="48" t="s">
        <v>138</v>
      </c>
      <c r="F1003" s="48" t="s">
        <v>139</v>
      </c>
      <c r="G1003" s="49" t="s">
        <v>63</v>
      </c>
      <c r="H1003" s="48" t="s">
        <v>63</v>
      </c>
      <c r="I1003" s="48">
        <v>1</v>
      </c>
      <c r="J1003" s="48">
        <v>188</v>
      </c>
      <c r="K1003" s="48">
        <v>1</v>
      </c>
      <c r="N1003" s="48">
        <v>0</v>
      </c>
      <c r="R1003" s="49"/>
      <c r="S1003" s="181">
        <v>0</v>
      </c>
      <c r="T1003" s="49">
        <v>51652</v>
      </c>
      <c r="U1003" s="49">
        <v>51652</v>
      </c>
      <c r="V1003" s="49">
        <v>51652</v>
      </c>
      <c r="W1003" s="49">
        <v>51652</v>
      </c>
      <c r="X1003" s="48">
        <v>1</v>
      </c>
      <c r="Y1003" s="48">
        <v>1</v>
      </c>
      <c r="Z1003" s="48">
        <v>1</v>
      </c>
      <c r="AA1003" s="156">
        <v>2193.1339020672222</v>
      </c>
      <c r="AF1003" s="48">
        <v>0</v>
      </c>
      <c r="AG1003" s="49" t="s">
        <v>32</v>
      </c>
      <c r="AH1003" s="48">
        <v>1</v>
      </c>
      <c r="AI1003" s="48" t="s">
        <v>33</v>
      </c>
      <c r="AJ1003" s="48" t="s">
        <v>33</v>
      </c>
      <c r="AK1003" s="48" t="s">
        <v>33</v>
      </c>
      <c r="AL1003" s="48" t="s">
        <v>34</v>
      </c>
      <c r="AN1003" s="48">
        <v>0</v>
      </c>
      <c r="AO1003" s="48">
        <v>0</v>
      </c>
      <c r="AP1003" s="48">
        <v>0</v>
      </c>
      <c r="AQ1003" s="48">
        <v>0</v>
      </c>
      <c r="AR1003" s="48">
        <v>0</v>
      </c>
      <c r="AS1003" s="48">
        <v>0</v>
      </c>
      <c r="AT1003" s="48">
        <v>0</v>
      </c>
      <c r="AU1003" s="48">
        <v>0</v>
      </c>
      <c r="AV1003" s="48">
        <v>0</v>
      </c>
      <c r="AW1003" s="48">
        <v>0</v>
      </c>
      <c r="AX1003" s="48">
        <v>0</v>
      </c>
      <c r="AY1003" s="48">
        <v>0</v>
      </c>
      <c r="AZ1003" s="48">
        <v>0</v>
      </c>
      <c r="BA1003" s="48">
        <v>0</v>
      </c>
      <c r="BB1003" s="48">
        <v>0</v>
      </c>
    </row>
    <row r="1004" spans="1:54" x14ac:dyDescent="0.35">
      <c r="A1004" s="49">
        <v>45930</v>
      </c>
      <c r="B1004" s="48">
        <v>1</v>
      </c>
      <c r="C1004" s="50" t="s">
        <v>32</v>
      </c>
      <c r="D1004" s="48" t="s">
        <v>31</v>
      </c>
      <c r="E1004" s="48" t="s">
        <v>138</v>
      </c>
      <c r="F1004" s="48" t="s">
        <v>139</v>
      </c>
      <c r="G1004" s="49" t="s">
        <v>63</v>
      </c>
      <c r="H1004" s="48" t="s">
        <v>63</v>
      </c>
      <c r="I1004" s="48">
        <v>1</v>
      </c>
      <c r="J1004" s="48">
        <v>189</v>
      </c>
      <c r="K1004" s="48">
        <v>1</v>
      </c>
      <c r="N1004" s="48">
        <v>0</v>
      </c>
      <c r="R1004" s="49"/>
      <c r="S1004" s="181">
        <v>0</v>
      </c>
      <c r="T1004" s="49">
        <v>51682</v>
      </c>
      <c r="U1004" s="49">
        <v>51682</v>
      </c>
      <c r="V1004" s="49">
        <v>51682</v>
      </c>
      <c r="W1004" s="49">
        <v>51682</v>
      </c>
      <c r="X1004" s="48">
        <v>1</v>
      </c>
      <c r="Y1004" s="48">
        <v>1</v>
      </c>
      <c r="Z1004" s="48">
        <v>1</v>
      </c>
      <c r="AA1004" s="156">
        <v>2193.1339020672222</v>
      </c>
      <c r="AF1004" s="48">
        <v>0</v>
      </c>
      <c r="AG1004" s="49" t="s">
        <v>32</v>
      </c>
      <c r="AH1004" s="48">
        <v>1</v>
      </c>
      <c r="AI1004" s="48" t="s">
        <v>33</v>
      </c>
      <c r="AJ1004" s="48" t="s">
        <v>33</v>
      </c>
      <c r="AK1004" s="48" t="s">
        <v>33</v>
      </c>
      <c r="AL1004" s="48" t="s">
        <v>34</v>
      </c>
      <c r="AN1004" s="48">
        <v>0</v>
      </c>
      <c r="AO1004" s="48">
        <v>0</v>
      </c>
      <c r="AP1004" s="48">
        <v>0</v>
      </c>
      <c r="AQ1004" s="48">
        <v>0</v>
      </c>
      <c r="AR1004" s="48">
        <v>0</v>
      </c>
      <c r="AS1004" s="48">
        <v>0</v>
      </c>
      <c r="AT1004" s="48">
        <v>0</v>
      </c>
      <c r="AU1004" s="48">
        <v>0</v>
      </c>
      <c r="AV1004" s="48">
        <v>0</v>
      </c>
      <c r="AW1004" s="48">
        <v>0</v>
      </c>
      <c r="AX1004" s="48">
        <v>0</v>
      </c>
      <c r="AY1004" s="48">
        <v>0</v>
      </c>
      <c r="AZ1004" s="48">
        <v>0</v>
      </c>
      <c r="BA1004" s="48">
        <v>0</v>
      </c>
      <c r="BB1004" s="48">
        <v>0</v>
      </c>
    </row>
    <row r="1005" spans="1:54" x14ac:dyDescent="0.35">
      <c r="A1005" s="49">
        <v>45930</v>
      </c>
      <c r="B1005" s="48">
        <v>1</v>
      </c>
      <c r="C1005" s="50" t="s">
        <v>32</v>
      </c>
      <c r="D1005" s="48" t="s">
        <v>31</v>
      </c>
      <c r="E1005" s="48" t="s">
        <v>138</v>
      </c>
      <c r="F1005" s="48" t="s">
        <v>139</v>
      </c>
      <c r="G1005" s="49" t="s">
        <v>63</v>
      </c>
      <c r="H1005" s="48" t="s">
        <v>63</v>
      </c>
      <c r="I1005" s="48">
        <v>1</v>
      </c>
      <c r="J1005" s="48">
        <v>190</v>
      </c>
      <c r="K1005" s="48">
        <v>1</v>
      </c>
      <c r="N1005" s="48">
        <v>0</v>
      </c>
      <c r="R1005" s="49"/>
      <c r="S1005" s="181">
        <v>0</v>
      </c>
      <c r="T1005" s="49">
        <v>51713</v>
      </c>
      <c r="U1005" s="49">
        <v>51713</v>
      </c>
      <c r="V1005" s="49">
        <v>51713</v>
      </c>
      <c r="W1005" s="49">
        <v>51713</v>
      </c>
      <c r="X1005" s="48">
        <v>1</v>
      </c>
      <c r="Y1005" s="48">
        <v>1</v>
      </c>
      <c r="Z1005" s="48">
        <v>1</v>
      </c>
      <c r="AA1005" s="156">
        <v>2193.1339020672222</v>
      </c>
      <c r="AF1005" s="48">
        <v>0</v>
      </c>
      <c r="AG1005" s="49" t="s">
        <v>32</v>
      </c>
      <c r="AH1005" s="48">
        <v>1</v>
      </c>
      <c r="AI1005" s="48" t="s">
        <v>33</v>
      </c>
      <c r="AJ1005" s="48" t="s">
        <v>33</v>
      </c>
      <c r="AK1005" s="48" t="s">
        <v>33</v>
      </c>
      <c r="AL1005" s="48" t="s">
        <v>34</v>
      </c>
      <c r="AN1005" s="48">
        <v>0</v>
      </c>
      <c r="AO1005" s="48">
        <v>0</v>
      </c>
      <c r="AP1005" s="48">
        <v>0</v>
      </c>
      <c r="AQ1005" s="48">
        <v>0</v>
      </c>
      <c r="AR1005" s="48">
        <v>0</v>
      </c>
      <c r="AS1005" s="48">
        <v>0</v>
      </c>
      <c r="AT1005" s="48">
        <v>0</v>
      </c>
      <c r="AU1005" s="48">
        <v>0</v>
      </c>
      <c r="AV1005" s="48">
        <v>0</v>
      </c>
      <c r="AW1005" s="48">
        <v>0</v>
      </c>
      <c r="AX1005" s="48">
        <v>0</v>
      </c>
      <c r="AY1005" s="48">
        <v>0</v>
      </c>
      <c r="AZ1005" s="48">
        <v>0</v>
      </c>
      <c r="BA1005" s="48">
        <v>0</v>
      </c>
      <c r="BB1005" s="48">
        <v>0</v>
      </c>
    </row>
    <row r="1006" spans="1:54" x14ac:dyDescent="0.35">
      <c r="A1006" s="49">
        <v>45930</v>
      </c>
      <c r="B1006" s="48">
        <v>1</v>
      </c>
      <c r="C1006" s="50" t="s">
        <v>32</v>
      </c>
      <c r="D1006" s="48" t="s">
        <v>31</v>
      </c>
      <c r="E1006" s="48" t="s">
        <v>138</v>
      </c>
      <c r="F1006" s="48" t="s">
        <v>139</v>
      </c>
      <c r="G1006" s="49" t="s">
        <v>63</v>
      </c>
      <c r="H1006" s="48" t="s">
        <v>63</v>
      </c>
      <c r="I1006" s="48">
        <v>1</v>
      </c>
      <c r="J1006" s="48">
        <v>191</v>
      </c>
      <c r="K1006" s="48">
        <v>1</v>
      </c>
      <c r="N1006" s="48">
        <v>0</v>
      </c>
      <c r="R1006" s="49"/>
      <c r="S1006" s="181">
        <v>0</v>
      </c>
      <c r="T1006" s="49">
        <v>51744</v>
      </c>
      <c r="U1006" s="49">
        <v>51744</v>
      </c>
      <c r="V1006" s="49">
        <v>51744</v>
      </c>
      <c r="W1006" s="49">
        <v>51744</v>
      </c>
      <c r="X1006" s="48">
        <v>1</v>
      </c>
      <c r="Y1006" s="48">
        <v>1</v>
      </c>
      <c r="Z1006" s="48">
        <v>1</v>
      </c>
      <c r="AA1006" s="156">
        <v>2193.1339020672222</v>
      </c>
      <c r="AF1006" s="48">
        <v>0</v>
      </c>
      <c r="AG1006" s="49" t="s">
        <v>32</v>
      </c>
      <c r="AH1006" s="48">
        <v>1</v>
      </c>
      <c r="AI1006" s="48" t="s">
        <v>33</v>
      </c>
      <c r="AJ1006" s="48" t="s">
        <v>33</v>
      </c>
      <c r="AK1006" s="48" t="s">
        <v>33</v>
      </c>
      <c r="AL1006" s="48" t="s">
        <v>34</v>
      </c>
      <c r="AN1006" s="48">
        <v>0</v>
      </c>
      <c r="AO1006" s="48">
        <v>0</v>
      </c>
      <c r="AP1006" s="48">
        <v>0</v>
      </c>
      <c r="AQ1006" s="48">
        <v>0</v>
      </c>
      <c r="AR1006" s="48">
        <v>0</v>
      </c>
      <c r="AS1006" s="48">
        <v>0</v>
      </c>
      <c r="AT1006" s="48">
        <v>0</v>
      </c>
      <c r="AU1006" s="48">
        <v>0</v>
      </c>
      <c r="AV1006" s="48">
        <v>0</v>
      </c>
      <c r="AW1006" s="48">
        <v>0</v>
      </c>
      <c r="AX1006" s="48">
        <v>0</v>
      </c>
      <c r="AY1006" s="48">
        <v>0</v>
      </c>
      <c r="AZ1006" s="48">
        <v>0</v>
      </c>
      <c r="BA1006" s="48">
        <v>0</v>
      </c>
      <c r="BB1006" s="48">
        <v>0</v>
      </c>
    </row>
    <row r="1007" spans="1:54" x14ac:dyDescent="0.35">
      <c r="A1007" s="49">
        <v>45930</v>
      </c>
      <c r="B1007" s="48">
        <v>1</v>
      </c>
      <c r="C1007" s="50" t="s">
        <v>32</v>
      </c>
      <c r="D1007" s="48" t="s">
        <v>31</v>
      </c>
      <c r="E1007" s="48" t="s">
        <v>138</v>
      </c>
      <c r="F1007" s="48" t="s">
        <v>139</v>
      </c>
      <c r="G1007" s="49" t="s">
        <v>63</v>
      </c>
      <c r="H1007" s="48" t="s">
        <v>63</v>
      </c>
      <c r="I1007" s="48">
        <v>1</v>
      </c>
      <c r="J1007" s="48">
        <v>192</v>
      </c>
      <c r="K1007" s="48">
        <v>1</v>
      </c>
      <c r="N1007" s="48">
        <v>0</v>
      </c>
      <c r="R1007" s="49"/>
      <c r="S1007" s="181">
        <v>0</v>
      </c>
      <c r="T1007" s="49">
        <v>51774</v>
      </c>
      <c r="U1007" s="49">
        <v>51774</v>
      </c>
      <c r="V1007" s="49">
        <v>51774</v>
      </c>
      <c r="W1007" s="49">
        <v>51774</v>
      </c>
      <c r="X1007" s="48">
        <v>1</v>
      </c>
      <c r="Y1007" s="48">
        <v>1</v>
      </c>
      <c r="Z1007" s="48">
        <v>1</v>
      </c>
      <c r="AA1007" s="156">
        <v>2193.1339020672222</v>
      </c>
      <c r="AF1007" s="48">
        <v>0</v>
      </c>
      <c r="AG1007" s="49" t="s">
        <v>32</v>
      </c>
      <c r="AH1007" s="48">
        <v>1</v>
      </c>
      <c r="AI1007" s="48" t="s">
        <v>33</v>
      </c>
      <c r="AJ1007" s="48" t="s">
        <v>33</v>
      </c>
      <c r="AK1007" s="48" t="s">
        <v>33</v>
      </c>
      <c r="AL1007" s="48" t="s">
        <v>34</v>
      </c>
      <c r="AN1007" s="48">
        <v>0</v>
      </c>
      <c r="AO1007" s="48">
        <v>0</v>
      </c>
      <c r="AP1007" s="48">
        <v>0</v>
      </c>
      <c r="AQ1007" s="48">
        <v>0</v>
      </c>
      <c r="AR1007" s="48">
        <v>0</v>
      </c>
      <c r="AS1007" s="48">
        <v>0</v>
      </c>
      <c r="AT1007" s="48">
        <v>0</v>
      </c>
      <c r="AU1007" s="48">
        <v>0</v>
      </c>
      <c r="AV1007" s="48">
        <v>0</v>
      </c>
      <c r="AW1007" s="48">
        <v>0</v>
      </c>
      <c r="AX1007" s="48">
        <v>0</v>
      </c>
      <c r="AY1007" s="48">
        <v>0</v>
      </c>
      <c r="AZ1007" s="48">
        <v>0</v>
      </c>
      <c r="BA1007" s="48">
        <v>0</v>
      </c>
      <c r="BB1007" s="48">
        <v>0</v>
      </c>
    </row>
    <row r="1008" spans="1:54" x14ac:dyDescent="0.35">
      <c r="A1008" s="49">
        <v>45930</v>
      </c>
      <c r="B1008" s="48">
        <v>1</v>
      </c>
      <c r="C1008" s="50" t="s">
        <v>32</v>
      </c>
      <c r="D1008" s="48" t="s">
        <v>31</v>
      </c>
      <c r="E1008" s="48" t="s">
        <v>138</v>
      </c>
      <c r="F1008" s="48" t="s">
        <v>139</v>
      </c>
      <c r="G1008" s="49" t="s">
        <v>63</v>
      </c>
      <c r="H1008" s="48" t="s">
        <v>63</v>
      </c>
      <c r="I1008" s="48">
        <v>1</v>
      </c>
      <c r="J1008" s="48">
        <v>193</v>
      </c>
      <c r="K1008" s="48">
        <v>1</v>
      </c>
      <c r="N1008" s="48">
        <v>0</v>
      </c>
      <c r="R1008" s="49"/>
      <c r="S1008" s="181">
        <v>0</v>
      </c>
      <c r="T1008" s="49">
        <v>51805</v>
      </c>
      <c r="U1008" s="49">
        <v>51805</v>
      </c>
      <c r="V1008" s="49">
        <v>51805</v>
      </c>
      <c r="W1008" s="49">
        <v>51805</v>
      </c>
      <c r="X1008" s="48">
        <v>1</v>
      </c>
      <c r="Y1008" s="48">
        <v>1</v>
      </c>
      <c r="Z1008" s="48">
        <v>1</v>
      </c>
      <c r="AA1008" s="156">
        <v>2193.1339020672222</v>
      </c>
      <c r="AF1008" s="48">
        <v>0</v>
      </c>
      <c r="AG1008" s="49" t="s">
        <v>32</v>
      </c>
      <c r="AH1008" s="48">
        <v>1</v>
      </c>
      <c r="AI1008" s="48" t="s">
        <v>33</v>
      </c>
      <c r="AJ1008" s="48" t="s">
        <v>33</v>
      </c>
      <c r="AK1008" s="48" t="s">
        <v>33</v>
      </c>
      <c r="AL1008" s="48" t="s">
        <v>34</v>
      </c>
      <c r="AN1008" s="48">
        <v>0</v>
      </c>
      <c r="AO1008" s="48">
        <v>0</v>
      </c>
      <c r="AP1008" s="48">
        <v>0</v>
      </c>
      <c r="AQ1008" s="48">
        <v>0</v>
      </c>
      <c r="AR1008" s="48">
        <v>0</v>
      </c>
      <c r="AS1008" s="48">
        <v>0</v>
      </c>
      <c r="AT1008" s="48">
        <v>0</v>
      </c>
      <c r="AU1008" s="48">
        <v>0</v>
      </c>
      <c r="AV1008" s="48">
        <v>0</v>
      </c>
      <c r="AW1008" s="48">
        <v>0</v>
      </c>
      <c r="AX1008" s="48">
        <v>0</v>
      </c>
      <c r="AY1008" s="48">
        <v>0</v>
      </c>
      <c r="AZ1008" s="48">
        <v>0</v>
      </c>
      <c r="BA1008" s="48">
        <v>0</v>
      </c>
      <c r="BB1008" s="48">
        <v>0</v>
      </c>
    </row>
    <row r="1009" spans="1:54" x14ac:dyDescent="0.35">
      <c r="A1009" s="49">
        <v>45930</v>
      </c>
      <c r="B1009" s="48">
        <v>1</v>
      </c>
      <c r="C1009" s="50" t="s">
        <v>32</v>
      </c>
      <c r="D1009" s="48" t="s">
        <v>31</v>
      </c>
      <c r="E1009" s="48" t="s">
        <v>138</v>
      </c>
      <c r="F1009" s="48" t="s">
        <v>139</v>
      </c>
      <c r="G1009" s="49" t="s">
        <v>63</v>
      </c>
      <c r="H1009" s="48" t="s">
        <v>63</v>
      </c>
      <c r="I1009" s="48">
        <v>1</v>
      </c>
      <c r="J1009" s="48">
        <v>194</v>
      </c>
      <c r="K1009" s="48">
        <v>1</v>
      </c>
      <c r="N1009" s="48">
        <v>0</v>
      </c>
      <c r="R1009" s="49"/>
      <c r="S1009" s="181">
        <v>0</v>
      </c>
      <c r="T1009" s="49">
        <v>51835</v>
      </c>
      <c r="U1009" s="49">
        <v>51835</v>
      </c>
      <c r="V1009" s="49">
        <v>51835</v>
      </c>
      <c r="W1009" s="49">
        <v>51835</v>
      </c>
      <c r="X1009" s="48">
        <v>1</v>
      </c>
      <c r="Y1009" s="48">
        <v>1</v>
      </c>
      <c r="Z1009" s="48">
        <v>1</v>
      </c>
      <c r="AA1009" s="156">
        <v>2193.1339020672222</v>
      </c>
      <c r="AF1009" s="48">
        <v>0</v>
      </c>
      <c r="AG1009" s="49" t="s">
        <v>32</v>
      </c>
      <c r="AH1009" s="48">
        <v>1</v>
      </c>
      <c r="AI1009" s="48" t="s">
        <v>33</v>
      </c>
      <c r="AJ1009" s="48" t="s">
        <v>33</v>
      </c>
      <c r="AK1009" s="48" t="s">
        <v>33</v>
      </c>
      <c r="AL1009" s="48" t="s">
        <v>34</v>
      </c>
      <c r="AN1009" s="48">
        <v>0</v>
      </c>
      <c r="AO1009" s="48">
        <v>0</v>
      </c>
      <c r="AP1009" s="48">
        <v>0</v>
      </c>
      <c r="AQ1009" s="48">
        <v>0</v>
      </c>
      <c r="AR1009" s="48">
        <v>0</v>
      </c>
      <c r="AS1009" s="48">
        <v>0</v>
      </c>
      <c r="AT1009" s="48">
        <v>0</v>
      </c>
      <c r="AU1009" s="48">
        <v>0</v>
      </c>
      <c r="AV1009" s="48">
        <v>0</v>
      </c>
      <c r="AW1009" s="48">
        <v>0</v>
      </c>
      <c r="AX1009" s="48">
        <v>0</v>
      </c>
      <c r="AY1009" s="48">
        <v>0</v>
      </c>
      <c r="AZ1009" s="48">
        <v>0</v>
      </c>
      <c r="BA1009" s="48">
        <v>0</v>
      </c>
      <c r="BB1009" s="48">
        <v>0</v>
      </c>
    </row>
    <row r="1010" spans="1:54" x14ac:dyDescent="0.35">
      <c r="A1010" s="49">
        <v>45930</v>
      </c>
      <c r="B1010" s="48">
        <v>1</v>
      </c>
      <c r="C1010" s="50" t="s">
        <v>32</v>
      </c>
      <c r="D1010" s="48" t="s">
        <v>31</v>
      </c>
      <c r="E1010" s="48" t="s">
        <v>138</v>
      </c>
      <c r="F1010" s="48" t="s">
        <v>139</v>
      </c>
      <c r="G1010" s="49" t="s">
        <v>63</v>
      </c>
      <c r="H1010" s="48" t="s">
        <v>63</v>
      </c>
      <c r="I1010" s="48">
        <v>1</v>
      </c>
      <c r="J1010" s="48">
        <v>195</v>
      </c>
      <c r="K1010" s="48">
        <v>1</v>
      </c>
      <c r="N1010" s="48">
        <v>0</v>
      </c>
      <c r="R1010" s="49"/>
      <c r="S1010" s="181">
        <v>0</v>
      </c>
      <c r="T1010" s="49">
        <v>51866</v>
      </c>
      <c r="U1010" s="49">
        <v>51866</v>
      </c>
      <c r="V1010" s="49">
        <v>51866</v>
      </c>
      <c r="W1010" s="49">
        <v>51866</v>
      </c>
      <c r="X1010" s="48">
        <v>1</v>
      </c>
      <c r="Y1010" s="48">
        <v>1</v>
      </c>
      <c r="Z1010" s="48">
        <v>1</v>
      </c>
      <c r="AA1010" s="156">
        <v>2193.1339020672222</v>
      </c>
      <c r="AF1010" s="48">
        <v>0</v>
      </c>
      <c r="AG1010" s="49" t="s">
        <v>32</v>
      </c>
      <c r="AH1010" s="48">
        <v>1</v>
      </c>
      <c r="AI1010" s="48" t="s">
        <v>33</v>
      </c>
      <c r="AJ1010" s="48" t="s">
        <v>33</v>
      </c>
      <c r="AK1010" s="48" t="s">
        <v>33</v>
      </c>
      <c r="AL1010" s="48" t="s">
        <v>34</v>
      </c>
      <c r="AN1010" s="48">
        <v>0</v>
      </c>
      <c r="AO1010" s="48">
        <v>0</v>
      </c>
      <c r="AP1010" s="48">
        <v>0</v>
      </c>
      <c r="AQ1010" s="48">
        <v>0</v>
      </c>
      <c r="AR1010" s="48">
        <v>0</v>
      </c>
      <c r="AS1010" s="48">
        <v>0</v>
      </c>
      <c r="AT1010" s="48">
        <v>0</v>
      </c>
      <c r="AU1010" s="48">
        <v>0</v>
      </c>
      <c r="AV1010" s="48">
        <v>0</v>
      </c>
      <c r="AW1010" s="48">
        <v>0</v>
      </c>
      <c r="AX1010" s="48">
        <v>0</v>
      </c>
      <c r="AY1010" s="48">
        <v>0</v>
      </c>
      <c r="AZ1010" s="48">
        <v>0</v>
      </c>
      <c r="BA1010" s="48">
        <v>0</v>
      </c>
      <c r="BB1010" s="48">
        <v>0</v>
      </c>
    </row>
    <row r="1011" spans="1:54" x14ac:dyDescent="0.35">
      <c r="A1011" s="49">
        <v>45930</v>
      </c>
      <c r="B1011" s="48">
        <v>1</v>
      </c>
      <c r="C1011" s="50" t="s">
        <v>32</v>
      </c>
      <c r="D1011" s="48" t="s">
        <v>31</v>
      </c>
      <c r="E1011" s="48" t="s">
        <v>138</v>
      </c>
      <c r="F1011" s="48" t="s">
        <v>139</v>
      </c>
      <c r="G1011" s="49" t="s">
        <v>63</v>
      </c>
      <c r="H1011" s="48" t="s">
        <v>63</v>
      </c>
      <c r="I1011" s="48">
        <v>1</v>
      </c>
      <c r="J1011" s="48">
        <v>196</v>
      </c>
      <c r="K1011" s="48">
        <v>1</v>
      </c>
      <c r="N1011" s="48">
        <v>0</v>
      </c>
      <c r="R1011" s="49"/>
      <c r="S1011" s="181">
        <v>0</v>
      </c>
      <c r="T1011" s="49">
        <v>51897</v>
      </c>
      <c r="U1011" s="49">
        <v>51897</v>
      </c>
      <c r="V1011" s="49">
        <v>51897</v>
      </c>
      <c r="W1011" s="49">
        <v>51897</v>
      </c>
      <c r="X1011" s="48">
        <v>1</v>
      </c>
      <c r="Y1011" s="48">
        <v>1</v>
      </c>
      <c r="Z1011" s="48">
        <v>1</v>
      </c>
      <c r="AA1011" s="156">
        <v>2193.1339020672222</v>
      </c>
      <c r="AF1011" s="48">
        <v>0</v>
      </c>
      <c r="AG1011" s="49" t="s">
        <v>32</v>
      </c>
      <c r="AH1011" s="48">
        <v>1</v>
      </c>
      <c r="AI1011" s="48" t="s">
        <v>33</v>
      </c>
      <c r="AJ1011" s="48" t="s">
        <v>33</v>
      </c>
      <c r="AK1011" s="48" t="s">
        <v>33</v>
      </c>
      <c r="AL1011" s="48" t="s">
        <v>34</v>
      </c>
      <c r="AN1011" s="48">
        <v>0</v>
      </c>
      <c r="AO1011" s="48">
        <v>0</v>
      </c>
      <c r="AP1011" s="48">
        <v>0</v>
      </c>
      <c r="AQ1011" s="48">
        <v>0</v>
      </c>
      <c r="AR1011" s="48">
        <v>0</v>
      </c>
      <c r="AS1011" s="48">
        <v>0</v>
      </c>
      <c r="AT1011" s="48">
        <v>0</v>
      </c>
      <c r="AU1011" s="48">
        <v>0</v>
      </c>
      <c r="AV1011" s="48">
        <v>0</v>
      </c>
      <c r="AW1011" s="48">
        <v>0</v>
      </c>
      <c r="AX1011" s="48">
        <v>0</v>
      </c>
      <c r="AY1011" s="48">
        <v>0</v>
      </c>
      <c r="AZ1011" s="48">
        <v>0</v>
      </c>
      <c r="BA1011" s="48">
        <v>0</v>
      </c>
      <c r="BB1011" s="48">
        <v>0</v>
      </c>
    </row>
    <row r="1012" spans="1:54" x14ac:dyDescent="0.35">
      <c r="A1012" s="49">
        <v>45930</v>
      </c>
      <c r="B1012" s="48">
        <v>1</v>
      </c>
      <c r="C1012" s="50" t="s">
        <v>32</v>
      </c>
      <c r="D1012" s="48" t="s">
        <v>31</v>
      </c>
      <c r="E1012" s="48" t="s">
        <v>138</v>
      </c>
      <c r="F1012" s="48" t="s">
        <v>139</v>
      </c>
      <c r="G1012" s="49" t="s">
        <v>63</v>
      </c>
      <c r="H1012" s="48" t="s">
        <v>63</v>
      </c>
      <c r="I1012" s="48">
        <v>1</v>
      </c>
      <c r="J1012" s="48">
        <v>197</v>
      </c>
      <c r="K1012" s="48">
        <v>1</v>
      </c>
      <c r="N1012" s="48">
        <v>0</v>
      </c>
      <c r="R1012" s="49"/>
      <c r="S1012" s="181">
        <v>0</v>
      </c>
      <c r="T1012" s="49">
        <v>51925</v>
      </c>
      <c r="U1012" s="49">
        <v>51925</v>
      </c>
      <c r="V1012" s="49">
        <v>51925</v>
      </c>
      <c r="W1012" s="49">
        <v>51925</v>
      </c>
      <c r="X1012" s="48">
        <v>1</v>
      </c>
      <c r="Y1012" s="48">
        <v>1</v>
      </c>
      <c r="Z1012" s="48">
        <v>1</v>
      </c>
      <c r="AA1012" s="156">
        <v>2193.1339020672222</v>
      </c>
      <c r="AF1012" s="48">
        <v>0</v>
      </c>
      <c r="AG1012" s="49" t="s">
        <v>32</v>
      </c>
      <c r="AH1012" s="48">
        <v>1</v>
      </c>
      <c r="AI1012" s="48" t="s">
        <v>33</v>
      </c>
      <c r="AJ1012" s="48" t="s">
        <v>33</v>
      </c>
      <c r="AK1012" s="48" t="s">
        <v>33</v>
      </c>
      <c r="AL1012" s="48" t="s">
        <v>34</v>
      </c>
      <c r="AN1012" s="48">
        <v>0</v>
      </c>
      <c r="AO1012" s="48">
        <v>0</v>
      </c>
      <c r="AP1012" s="48">
        <v>0</v>
      </c>
      <c r="AQ1012" s="48">
        <v>0</v>
      </c>
      <c r="AR1012" s="48">
        <v>0</v>
      </c>
      <c r="AS1012" s="48">
        <v>0</v>
      </c>
      <c r="AT1012" s="48">
        <v>0</v>
      </c>
      <c r="AU1012" s="48">
        <v>0</v>
      </c>
      <c r="AV1012" s="48">
        <v>0</v>
      </c>
      <c r="AW1012" s="48">
        <v>0</v>
      </c>
      <c r="AX1012" s="48">
        <v>0</v>
      </c>
      <c r="AY1012" s="48">
        <v>0</v>
      </c>
      <c r="AZ1012" s="48">
        <v>0</v>
      </c>
      <c r="BA1012" s="48">
        <v>0</v>
      </c>
      <c r="BB1012" s="48">
        <v>0</v>
      </c>
    </row>
    <row r="1013" spans="1:54" x14ac:dyDescent="0.35">
      <c r="A1013" s="49">
        <v>45930</v>
      </c>
      <c r="B1013" s="48">
        <v>1</v>
      </c>
      <c r="C1013" s="50" t="s">
        <v>32</v>
      </c>
      <c r="D1013" s="48" t="s">
        <v>31</v>
      </c>
      <c r="E1013" s="48" t="s">
        <v>138</v>
      </c>
      <c r="F1013" s="48" t="s">
        <v>139</v>
      </c>
      <c r="G1013" s="49" t="s">
        <v>63</v>
      </c>
      <c r="H1013" s="48" t="s">
        <v>63</v>
      </c>
      <c r="I1013" s="48">
        <v>1</v>
      </c>
      <c r="J1013" s="48">
        <v>198</v>
      </c>
      <c r="K1013" s="48">
        <v>1</v>
      </c>
      <c r="N1013" s="48">
        <v>0</v>
      </c>
      <c r="R1013" s="49"/>
      <c r="S1013" s="181">
        <v>0</v>
      </c>
      <c r="T1013" s="49">
        <v>51956</v>
      </c>
      <c r="U1013" s="49">
        <v>51956</v>
      </c>
      <c r="V1013" s="49">
        <v>51956</v>
      </c>
      <c r="W1013" s="49">
        <v>51956</v>
      </c>
      <c r="X1013" s="48">
        <v>1</v>
      </c>
      <c r="Y1013" s="48">
        <v>1</v>
      </c>
      <c r="Z1013" s="48">
        <v>1</v>
      </c>
      <c r="AA1013" s="156">
        <v>2193.1339020672222</v>
      </c>
      <c r="AF1013" s="48">
        <v>0</v>
      </c>
      <c r="AG1013" s="49" t="s">
        <v>32</v>
      </c>
      <c r="AH1013" s="48">
        <v>1</v>
      </c>
      <c r="AI1013" s="48" t="s">
        <v>33</v>
      </c>
      <c r="AJ1013" s="48" t="s">
        <v>33</v>
      </c>
      <c r="AK1013" s="48" t="s">
        <v>33</v>
      </c>
      <c r="AL1013" s="48" t="s">
        <v>34</v>
      </c>
      <c r="AN1013" s="48">
        <v>0</v>
      </c>
      <c r="AO1013" s="48">
        <v>0</v>
      </c>
      <c r="AP1013" s="48">
        <v>0</v>
      </c>
      <c r="AQ1013" s="48">
        <v>0</v>
      </c>
      <c r="AR1013" s="48">
        <v>0</v>
      </c>
      <c r="AS1013" s="48">
        <v>0</v>
      </c>
      <c r="AT1013" s="48">
        <v>0</v>
      </c>
      <c r="AU1013" s="48">
        <v>0</v>
      </c>
      <c r="AV1013" s="48">
        <v>0</v>
      </c>
      <c r="AW1013" s="48">
        <v>0</v>
      </c>
      <c r="AX1013" s="48">
        <v>0</v>
      </c>
      <c r="AY1013" s="48">
        <v>0</v>
      </c>
      <c r="AZ1013" s="48">
        <v>0</v>
      </c>
      <c r="BA1013" s="48">
        <v>0</v>
      </c>
      <c r="BB1013" s="48">
        <v>0</v>
      </c>
    </row>
    <row r="1014" spans="1:54" x14ac:dyDescent="0.35">
      <c r="A1014" s="49">
        <v>45930</v>
      </c>
      <c r="B1014" s="48">
        <v>1</v>
      </c>
      <c r="C1014" s="50" t="s">
        <v>32</v>
      </c>
      <c r="D1014" s="48" t="s">
        <v>31</v>
      </c>
      <c r="E1014" s="48" t="s">
        <v>138</v>
      </c>
      <c r="F1014" s="48" t="s">
        <v>139</v>
      </c>
      <c r="G1014" s="49" t="s">
        <v>63</v>
      </c>
      <c r="H1014" s="48" t="s">
        <v>63</v>
      </c>
      <c r="I1014" s="48">
        <v>1</v>
      </c>
      <c r="J1014" s="48">
        <v>199</v>
      </c>
      <c r="K1014" s="48">
        <v>1</v>
      </c>
      <c r="N1014" s="48">
        <v>0</v>
      </c>
      <c r="R1014" s="49"/>
      <c r="S1014" s="181">
        <v>0</v>
      </c>
      <c r="T1014" s="49">
        <v>51986</v>
      </c>
      <c r="U1014" s="49">
        <v>51986</v>
      </c>
      <c r="V1014" s="49">
        <v>51986</v>
      </c>
      <c r="W1014" s="49">
        <v>51986</v>
      </c>
      <c r="X1014" s="48">
        <v>1</v>
      </c>
      <c r="Y1014" s="48">
        <v>1</v>
      </c>
      <c r="Z1014" s="48">
        <v>1</v>
      </c>
      <c r="AA1014" s="156">
        <v>2193.1339020672222</v>
      </c>
      <c r="AF1014" s="48">
        <v>0</v>
      </c>
      <c r="AG1014" s="49" t="s">
        <v>32</v>
      </c>
      <c r="AH1014" s="48">
        <v>1</v>
      </c>
      <c r="AI1014" s="48" t="s">
        <v>33</v>
      </c>
      <c r="AJ1014" s="48" t="s">
        <v>33</v>
      </c>
      <c r="AK1014" s="48" t="s">
        <v>33</v>
      </c>
      <c r="AL1014" s="48" t="s">
        <v>34</v>
      </c>
      <c r="AN1014" s="48">
        <v>0</v>
      </c>
      <c r="AO1014" s="48">
        <v>0</v>
      </c>
      <c r="AP1014" s="48">
        <v>0</v>
      </c>
      <c r="AQ1014" s="48">
        <v>0</v>
      </c>
      <c r="AR1014" s="48">
        <v>0</v>
      </c>
      <c r="AS1014" s="48">
        <v>0</v>
      </c>
      <c r="AT1014" s="48">
        <v>0</v>
      </c>
      <c r="AU1014" s="48">
        <v>0</v>
      </c>
      <c r="AV1014" s="48">
        <v>0</v>
      </c>
      <c r="AW1014" s="48">
        <v>0</v>
      </c>
      <c r="AX1014" s="48">
        <v>0</v>
      </c>
      <c r="AY1014" s="48">
        <v>0</v>
      </c>
      <c r="AZ1014" s="48">
        <v>0</v>
      </c>
      <c r="BA1014" s="48">
        <v>0</v>
      </c>
      <c r="BB1014" s="48">
        <v>0</v>
      </c>
    </row>
    <row r="1015" spans="1:54" x14ac:dyDescent="0.35">
      <c r="A1015" s="49">
        <v>45930</v>
      </c>
      <c r="B1015" s="48">
        <v>1</v>
      </c>
      <c r="C1015" s="50" t="s">
        <v>32</v>
      </c>
      <c r="D1015" s="48" t="s">
        <v>31</v>
      </c>
      <c r="E1015" s="48" t="s">
        <v>138</v>
      </c>
      <c r="F1015" s="48" t="s">
        <v>139</v>
      </c>
      <c r="G1015" s="49" t="s">
        <v>63</v>
      </c>
      <c r="H1015" s="48" t="s">
        <v>63</v>
      </c>
      <c r="I1015" s="48">
        <v>1</v>
      </c>
      <c r="J1015" s="48">
        <v>200</v>
      </c>
      <c r="K1015" s="48">
        <v>1</v>
      </c>
      <c r="N1015" s="48">
        <v>0</v>
      </c>
      <c r="R1015" s="49"/>
      <c r="S1015" s="181">
        <v>0</v>
      </c>
      <c r="T1015" s="49">
        <v>52017</v>
      </c>
      <c r="U1015" s="49">
        <v>52017</v>
      </c>
      <c r="V1015" s="49">
        <v>52017</v>
      </c>
      <c r="W1015" s="49">
        <v>52017</v>
      </c>
      <c r="X1015" s="48">
        <v>1</v>
      </c>
      <c r="Y1015" s="48">
        <v>1</v>
      </c>
      <c r="Z1015" s="48">
        <v>1</v>
      </c>
      <c r="AA1015" s="156">
        <v>2193.1339020672222</v>
      </c>
      <c r="AF1015" s="48">
        <v>0</v>
      </c>
      <c r="AG1015" s="49" t="s">
        <v>32</v>
      </c>
      <c r="AH1015" s="48">
        <v>1</v>
      </c>
      <c r="AI1015" s="48" t="s">
        <v>33</v>
      </c>
      <c r="AJ1015" s="48" t="s">
        <v>33</v>
      </c>
      <c r="AK1015" s="48" t="s">
        <v>33</v>
      </c>
      <c r="AL1015" s="48" t="s">
        <v>34</v>
      </c>
      <c r="AN1015" s="48">
        <v>0</v>
      </c>
      <c r="AO1015" s="48">
        <v>0</v>
      </c>
      <c r="AP1015" s="48">
        <v>0</v>
      </c>
      <c r="AQ1015" s="48">
        <v>0</v>
      </c>
      <c r="AR1015" s="48">
        <v>0</v>
      </c>
      <c r="AS1015" s="48">
        <v>0</v>
      </c>
      <c r="AT1015" s="48">
        <v>0</v>
      </c>
      <c r="AU1015" s="48">
        <v>0</v>
      </c>
      <c r="AV1015" s="48">
        <v>0</v>
      </c>
      <c r="AW1015" s="48">
        <v>0</v>
      </c>
      <c r="AX1015" s="48">
        <v>0</v>
      </c>
      <c r="AY1015" s="48">
        <v>0</v>
      </c>
      <c r="AZ1015" s="48">
        <v>0</v>
      </c>
      <c r="BA1015" s="48">
        <v>0</v>
      </c>
      <c r="BB1015" s="48">
        <v>0</v>
      </c>
    </row>
    <row r="1016" spans="1:54" x14ac:dyDescent="0.35">
      <c r="A1016" s="49">
        <v>45930</v>
      </c>
      <c r="B1016" s="48">
        <v>1</v>
      </c>
      <c r="C1016" s="50" t="s">
        <v>32</v>
      </c>
      <c r="D1016" s="48" t="s">
        <v>31</v>
      </c>
      <c r="E1016" s="48" t="s">
        <v>138</v>
      </c>
      <c r="F1016" s="48" t="s">
        <v>139</v>
      </c>
      <c r="G1016" s="49" t="s">
        <v>63</v>
      </c>
      <c r="H1016" s="48" t="s">
        <v>63</v>
      </c>
      <c r="I1016" s="48">
        <v>1</v>
      </c>
      <c r="J1016" s="48">
        <v>201</v>
      </c>
      <c r="K1016" s="48">
        <v>1</v>
      </c>
      <c r="N1016" s="48">
        <v>0</v>
      </c>
      <c r="R1016" s="49"/>
      <c r="S1016" s="181">
        <v>0</v>
      </c>
      <c r="T1016" s="49">
        <v>52047</v>
      </c>
      <c r="U1016" s="49">
        <v>52047</v>
      </c>
      <c r="V1016" s="49">
        <v>52047</v>
      </c>
      <c r="W1016" s="49">
        <v>52047</v>
      </c>
      <c r="X1016" s="48">
        <v>1</v>
      </c>
      <c r="Y1016" s="48">
        <v>1</v>
      </c>
      <c r="Z1016" s="48">
        <v>1</v>
      </c>
      <c r="AA1016" s="156">
        <v>2193.1339020672222</v>
      </c>
      <c r="AF1016" s="48">
        <v>0</v>
      </c>
      <c r="AG1016" s="49" t="s">
        <v>32</v>
      </c>
      <c r="AH1016" s="48">
        <v>1</v>
      </c>
      <c r="AI1016" s="48" t="s">
        <v>33</v>
      </c>
      <c r="AJ1016" s="48" t="s">
        <v>33</v>
      </c>
      <c r="AK1016" s="48" t="s">
        <v>33</v>
      </c>
      <c r="AL1016" s="48" t="s">
        <v>34</v>
      </c>
      <c r="AN1016" s="48">
        <v>0</v>
      </c>
      <c r="AO1016" s="48">
        <v>0</v>
      </c>
      <c r="AP1016" s="48">
        <v>0</v>
      </c>
      <c r="AQ1016" s="48">
        <v>0</v>
      </c>
      <c r="AR1016" s="48">
        <v>0</v>
      </c>
      <c r="AS1016" s="48">
        <v>0</v>
      </c>
      <c r="AT1016" s="48">
        <v>0</v>
      </c>
      <c r="AU1016" s="48">
        <v>0</v>
      </c>
      <c r="AV1016" s="48">
        <v>0</v>
      </c>
      <c r="AW1016" s="48">
        <v>0</v>
      </c>
      <c r="AX1016" s="48">
        <v>0</v>
      </c>
      <c r="AY1016" s="48">
        <v>0</v>
      </c>
      <c r="AZ1016" s="48">
        <v>0</v>
      </c>
      <c r="BA1016" s="48">
        <v>0</v>
      </c>
      <c r="BB1016" s="48">
        <v>0</v>
      </c>
    </row>
    <row r="1017" spans="1:54" x14ac:dyDescent="0.35">
      <c r="A1017" s="49">
        <v>45930</v>
      </c>
      <c r="B1017" s="48">
        <v>1</v>
      </c>
      <c r="C1017" s="50" t="s">
        <v>32</v>
      </c>
      <c r="D1017" s="48" t="s">
        <v>31</v>
      </c>
      <c r="E1017" s="48" t="s">
        <v>138</v>
      </c>
      <c r="F1017" s="48" t="s">
        <v>139</v>
      </c>
      <c r="G1017" s="49" t="s">
        <v>63</v>
      </c>
      <c r="H1017" s="48" t="s">
        <v>63</v>
      </c>
      <c r="I1017" s="48">
        <v>1</v>
      </c>
      <c r="J1017" s="48">
        <v>202</v>
      </c>
      <c r="K1017" s="48">
        <v>1</v>
      </c>
      <c r="N1017" s="48">
        <v>0</v>
      </c>
      <c r="R1017" s="49"/>
      <c r="S1017" s="181">
        <v>0</v>
      </c>
      <c r="T1017" s="49">
        <v>52078</v>
      </c>
      <c r="U1017" s="49">
        <v>52078</v>
      </c>
      <c r="V1017" s="49">
        <v>52078</v>
      </c>
      <c r="W1017" s="49">
        <v>52078</v>
      </c>
      <c r="X1017" s="48">
        <v>1</v>
      </c>
      <c r="Y1017" s="48">
        <v>1</v>
      </c>
      <c r="Z1017" s="48">
        <v>1</v>
      </c>
      <c r="AA1017" s="156">
        <v>2193.1339020672222</v>
      </c>
      <c r="AF1017" s="48">
        <v>0</v>
      </c>
      <c r="AG1017" s="49" t="s">
        <v>32</v>
      </c>
      <c r="AH1017" s="48">
        <v>1</v>
      </c>
      <c r="AI1017" s="48" t="s">
        <v>33</v>
      </c>
      <c r="AJ1017" s="48" t="s">
        <v>33</v>
      </c>
      <c r="AK1017" s="48" t="s">
        <v>33</v>
      </c>
      <c r="AL1017" s="48" t="s">
        <v>34</v>
      </c>
      <c r="AN1017" s="48">
        <v>0</v>
      </c>
      <c r="AO1017" s="48">
        <v>0</v>
      </c>
      <c r="AP1017" s="48">
        <v>0</v>
      </c>
      <c r="AQ1017" s="48">
        <v>0</v>
      </c>
      <c r="AR1017" s="48">
        <v>0</v>
      </c>
      <c r="AS1017" s="48">
        <v>0</v>
      </c>
      <c r="AT1017" s="48">
        <v>0</v>
      </c>
      <c r="AU1017" s="48">
        <v>0</v>
      </c>
      <c r="AV1017" s="48">
        <v>0</v>
      </c>
      <c r="AW1017" s="48">
        <v>0</v>
      </c>
      <c r="AX1017" s="48">
        <v>0</v>
      </c>
      <c r="AY1017" s="48">
        <v>0</v>
      </c>
      <c r="AZ1017" s="48">
        <v>0</v>
      </c>
      <c r="BA1017" s="48">
        <v>0</v>
      </c>
      <c r="BB1017" s="48">
        <v>0</v>
      </c>
    </row>
    <row r="1018" spans="1:54" x14ac:dyDescent="0.35">
      <c r="A1018" s="49">
        <v>45930</v>
      </c>
      <c r="B1018" s="48">
        <v>1</v>
      </c>
      <c r="C1018" s="50" t="s">
        <v>32</v>
      </c>
      <c r="D1018" s="48" t="s">
        <v>31</v>
      </c>
      <c r="E1018" s="48" t="s">
        <v>138</v>
      </c>
      <c r="F1018" s="48" t="s">
        <v>139</v>
      </c>
      <c r="G1018" s="49" t="s">
        <v>63</v>
      </c>
      <c r="H1018" s="48" t="s">
        <v>63</v>
      </c>
      <c r="I1018" s="48">
        <v>1</v>
      </c>
      <c r="J1018" s="48">
        <v>203</v>
      </c>
      <c r="K1018" s="48">
        <v>1</v>
      </c>
      <c r="N1018" s="48">
        <v>0</v>
      </c>
      <c r="R1018" s="49"/>
      <c r="S1018" s="181">
        <v>0</v>
      </c>
      <c r="T1018" s="49">
        <v>52109</v>
      </c>
      <c r="U1018" s="49">
        <v>52109</v>
      </c>
      <c r="V1018" s="49">
        <v>52109</v>
      </c>
      <c r="W1018" s="49">
        <v>52109</v>
      </c>
      <c r="X1018" s="48">
        <v>1</v>
      </c>
      <c r="Y1018" s="48">
        <v>1</v>
      </c>
      <c r="Z1018" s="48">
        <v>1</v>
      </c>
      <c r="AA1018" s="156">
        <v>2193.1339020672222</v>
      </c>
      <c r="AF1018" s="48">
        <v>0</v>
      </c>
      <c r="AG1018" s="49" t="s">
        <v>32</v>
      </c>
      <c r="AH1018" s="48">
        <v>1</v>
      </c>
      <c r="AI1018" s="48" t="s">
        <v>33</v>
      </c>
      <c r="AJ1018" s="48" t="s">
        <v>33</v>
      </c>
      <c r="AK1018" s="48" t="s">
        <v>33</v>
      </c>
      <c r="AL1018" s="48" t="s">
        <v>34</v>
      </c>
      <c r="AN1018" s="48">
        <v>0</v>
      </c>
      <c r="AO1018" s="48">
        <v>0</v>
      </c>
      <c r="AP1018" s="48">
        <v>0</v>
      </c>
      <c r="AQ1018" s="48">
        <v>0</v>
      </c>
      <c r="AR1018" s="48">
        <v>0</v>
      </c>
      <c r="AS1018" s="48">
        <v>0</v>
      </c>
      <c r="AT1018" s="48">
        <v>0</v>
      </c>
      <c r="AU1018" s="48">
        <v>0</v>
      </c>
      <c r="AV1018" s="48">
        <v>0</v>
      </c>
      <c r="AW1018" s="48">
        <v>0</v>
      </c>
      <c r="AX1018" s="48">
        <v>0</v>
      </c>
      <c r="AY1018" s="48">
        <v>0</v>
      </c>
      <c r="AZ1018" s="48">
        <v>0</v>
      </c>
      <c r="BA1018" s="48">
        <v>0</v>
      </c>
      <c r="BB1018" s="48">
        <v>0</v>
      </c>
    </row>
    <row r="1019" spans="1:54" x14ac:dyDescent="0.35">
      <c r="A1019" s="49">
        <v>45930</v>
      </c>
      <c r="B1019" s="48">
        <v>1</v>
      </c>
      <c r="C1019" s="50" t="s">
        <v>32</v>
      </c>
      <c r="D1019" s="48" t="s">
        <v>31</v>
      </c>
      <c r="E1019" s="48" t="s">
        <v>138</v>
      </c>
      <c r="F1019" s="48" t="s">
        <v>139</v>
      </c>
      <c r="G1019" s="49" t="s">
        <v>63</v>
      </c>
      <c r="H1019" s="48" t="s">
        <v>63</v>
      </c>
      <c r="I1019" s="48">
        <v>1</v>
      </c>
      <c r="J1019" s="48">
        <v>204</v>
      </c>
      <c r="K1019" s="48">
        <v>1</v>
      </c>
      <c r="N1019" s="48">
        <v>0</v>
      </c>
      <c r="R1019" s="49"/>
      <c r="S1019" s="181">
        <v>0</v>
      </c>
      <c r="T1019" s="49">
        <v>52139</v>
      </c>
      <c r="U1019" s="49">
        <v>52139</v>
      </c>
      <c r="V1019" s="49">
        <v>52139</v>
      </c>
      <c r="W1019" s="49">
        <v>52139</v>
      </c>
      <c r="X1019" s="48">
        <v>1</v>
      </c>
      <c r="Y1019" s="48">
        <v>1</v>
      </c>
      <c r="Z1019" s="48">
        <v>1</v>
      </c>
      <c r="AA1019" s="156">
        <v>2193.1339020672222</v>
      </c>
      <c r="AF1019" s="48">
        <v>0</v>
      </c>
      <c r="AG1019" s="49" t="s">
        <v>32</v>
      </c>
      <c r="AH1019" s="48">
        <v>1</v>
      </c>
      <c r="AI1019" s="48" t="s">
        <v>33</v>
      </c>
      <c r="AJ1019" s="48" t="s">
        <v>33</v>
      </c>
      <c r="AK1019" s="48" t="s">
        <v>33</v>
      </c>
      <c r="AL1019" s="48" t="s">
        <v>34</v>
      </c>
      <c r="AN1019" s="48">
        <v>0</v>
      </c>
      <c r="AO1019" s="48">
        <v>0</v>
      </c>
      <c r="AP1019" s="48">
        <v>0</v>
      </c>
      <c r="AQ1019" s="48">
        <v>0</v>
      </c>
      <c r="AR1019" s="48">
        <v>0</v>
      </c>
      <c r="AS1019" s="48">
        <v>0</v>
      </c>
      <c r="AT1019" s="48">
        <v>0</v>
      </c>
      <c r="AU1019" s="48">
        <v>0</v>
      </c>
      <c r="AV1019" s="48">
        <v>0</v>
      </c>
      <c r="AW1019" s="48">
        <v>0</v>
      </c>
      <c r="AX1019" s="48">
        <v>0</v>
      </c>
      <c r="AY1019" s="48">
        <v>0</v>
      </c>
      <c r="AZ1019" s="48">
        <v>0</v>
      </c>
      <c r="BA1019" s="48">
        <v>0</v>
      </c>
      <c r="BB1019" s="48">
        <v>0</v>
      </c>
    </row>
    <row r="1020" spans="1:54" x14ac:dyDescent="0.35">
      <c r="A1020" s="49">
        <v>45930</v>
      </c>
      <c r="B1020" s="48">
        <v>1</v>
      </c>
      <c r="C1020" s="50" t="s">
        <v>32</v>
      </c>
      <c r="D1020" s="48" t="s">
        <v>31</v>
      </c>
      <c r="E1020" s="48" t="s">
        <v>138</v>
      </c>
      <c r="F1020" s="48" t="s">
        <v>139</v>
      </c>
      <c r="G1020" s="49" t="s">
        <v>63</v>
      </c>
      <c r="H1020" s="48" t="s">
        <v>63</v>
      </c>
      <c r="I1020" s="48">
        <v>1</v>
      </c>
      <c r="J1020" s="48">
        <v>205</v>
      </c>
      <c r="K1020" s="48">
        <v>1</v>
      </c>
      <c r="N1020" s="48">
        <v>0</v>
      </c>
      <c r="R1020" s="49"/>
      <c r="S1020" s="181">
        <v>0</v>
      </c>
      <c r="T1020" s="49">
        <v>52170</v>
      </c>
      <c r="U1020" s="49">
        <v>52170</v>
      </c>
      <c r="V1020" s="49">
        <v>52170</v>
      </c>
      <c r="W1020" s="49">
        <v>52170</v>
      </c>
      <c r="X1020" s="48">
        <v>1</v>
      </c>
      <c r="Y1020" s="48">
        <v>1</v>
      </c>
      <c r="Z1020" s="48">
        <v>1</v>
      </c>
      <c r="AA1020" s="156">
        <v>1123.5902282867341</v>
      </c>
      <c r="AF1020" s="48">
        <v>0</v>
      </c>
      <c r="AG1020" s="49" t="s">
        <v>32</v>
      </c>
      <c r="AH1020" s="48">
        <v>1</v>
      </c>
      <c r="AI1020" s="48" t="s">
        <v>33</v>
      </c>
      <c r="AJ1020" s="48" t="s">
        <v>33</v>
      </c>
      <c r="AK1020" s="48" t="s">
        <v>33</v>
      </c>
      <c r="AL1020" s="48" t="s">
        <v>34</v>
      </c>
      <c r="AN1020" s="48">
        <v>0</v>
      </c>
      <c r="AO1020" s="48">
        <v>0</v>
      </c>
      <c r="AP1020" s="48">
        <v>0</v>
      </c>
      <c r="AQ1020" s="48">
        <v>0</v>
      </c>
      <c r="AR1020" s="48">
        <v>0</v>
      </c>
      <c r="AS1020" s="48">
        <v>0</v>
      </c>
      <c r="AT1020" s="48">
        <v>0</v>
      </c>
      <c r="AU1020" s="48">
        <v>0</v>
      </c>
      <c r="AV1020" s="48">
        <v>0</v>
      </c>
      <c r="AW1020" s="48">
        <v>0</v>
      </c>
      <c r="AX1020" s="48">
        <v>0</v>
      </c>
      <c r="AY1020" s="48">
        <v>0</v>
      </c>
      <c r="AZ1020" s="48">
        <v>0</v>
      </c>
      <c r="BA1020" s="48">
        <v>0</v>
      </c>
      <c r="BB1020" s="48">
        <v>0</v>
      </c>
    </row>
    <row r="1021" spans="1:54" x14ac:dyDescent="0.35">
      <c r="A1021" s="49">
        <v>45930</v>
      </c>
      <c r="B1021" s="48">
        <v>1</v>
      </c>
      <c r="C1021" s="50" t="s">
        <v>32</v>
      </c>
      <c r="D1021" s="48" t="s">
        <v>31</v>
      </c>
      <c r="E1021" s="48" t="s">
        <v>138</v>
      </c>
      <c r="F1021" s="48" t="s">
        <v>139</v>
      </c>
      <c r="G1021" s="49" t="s">
        <v>63</v>
      </c>
      <c r="H1021" s="48" t="s">
        <v>63</v>
      </c>
      <c r="I1021" s="48">
        <v>1</v>
      </c>
      <c r="J1021" s="48">
        <v>206</v>
      </c>
      <c r="K1021" s="48">
        <v>1</v>
      </c>
      <c r="N1021" s="48">
        <v>0</v>
      </c>
      <c r="R1021" s="49"/>
      <c r="S1021" s="181">
        <v>0</v>
      </c>
      <c r="T1021" s="49">
        <v>52200</v>
      </c>
      <c r="U1021" s="49">
        <v>52200</v>
      </c>
      <c r="V1021" s="49">
        <v>52200</v>
      </c>
      <c r="W1021" s="49">
        <v>52200</v>
      </c>
      <c r="X1021" s="48">
        <v>1</v>
      </c>
      <c r="Y1021" s="48">
        <v>1</v>
      </c>
      <c r="Z1021" s="48">
        <v>1</v>
      </c>
      <c r="AA1021" s="156">
        <v>0</v>
      </c>
      <c r="AF1021" s="48">
        <v>0</v>
      </c>
      <c r="AG1021" s="49" t="s">
        <v>32</v>
      </c>
      <c r="AH1021" s="48">
        <v>1</v>
      </c>
      <c r="AI1021" s="48" t="s">
        <v>33</v>
      </c>
      <c r="AJ1021" s="48" t="s">
        <v>33</v>
      </c>
      <c r="AK1021" s="48" t="s">
        <v>33</v>
      </c>
      <c r="AL1021" s="48" t="s">
        <v>34</v>
      </c>
      <c r="AN1021" s="48">
        <v>0</v>
      </c>
      <c r="AO1021" s="48">
        <v>0</v>
      </c>
      <c r="AP1021" s="48">
        <v>0</v>
      </c>
      <c r="AQ1021" s="48">
        <v>0</v>
      </c>
      <c r="AR1021" s="48">
        <v>0</v>
      </c>
      <c r="AS1021" s="48">
        <v>0</v>
      </c>
      <c r="AT1021" s="48">
        <v>0</v>
      </c>
      <c r="AU1021" s="48">
        <v>0</v>
      </c>
      <c r="AV1021" s="48">
        <v>0</v>
      </c>
      <c r="AW1021" s="48">
        <v>0</v>
      </c>
      <c r="AX1021" s="48">
        <v>0</v>
      </c>
      <c r="AY1021" s="48">
        <v>0</v>
      </c>
      <c r="AZ1021" s="48">
        <v>0</v>
      </c>
      <c r="BA1021" s="48">
        <v>0</v>
      </c>
      <c r="BB1021" s="48">
        <v>0</v>
      </c>
    </row>
    <row r="1022" spans="1:54" x14ac:dyDescent="0.35">
      <c r="A1022" s="49">
        <v>45930</v>
      </c>
      <c r="B1022" s="48">
        <v>1</v>
      </c>
      <c r="C1022" s="50" t="s">
        <v>32</v>
      </c>
      <c r="D1022" s="48" t="s">
        <v>31</v>
      </c>
      <c r="E1022" s="48" t="s">
        <v>138</v>
      </c>
      <c r="F1022" s="48" t="s">
        <v>139</v>
      </c>
      <c r="G1022" s="49" t="s">
        <v>63</v>
      </c>
      <c r="H1022" s="48" t="s">
        <v>63</v>
      </c>
      <c r="I1022" s="48">
        <v>1</v>
      </c>
      <c r="J1022" s="48">
        <v>207</v>
      </c>
      <c r="K1022" s="48">
        <v>1</v>
      </c>
      <c r="N1022" s="48">
        <v>0</v>
      </c>
      <c r="R1022" s="49"/>
      <c r="S1022" s="181">
        <v>0</v>
      </c>
      <c r="T1022" s="49">
        <v>52231</v>
      </c>
      <c r="U1022" s="49">
        <v>52231</v>
      </c>
      <c r="V1022" s="49">
        <v>52231</v>
      </c>
      <c r="W1022" s="49">
        <v>52231</v>
      </c>
      <c r="X1022" s="48">
        <v>1</v>
      </c>
      <c r="Y1022" s="48">
        <v>1</v>
      </c>
      <c r="Z1022" s="48">
        <v>1</v>
      </c>
      <c r="AA1022" s="156">
        <v>0</v>
      </c>
      <c r="AF1022" s="48">
        <v>0</v>
      </c>
      <c r="AG1022" s="49" t="s">
        <v>32</v>
      </c>
      <c r="AH1022" s="48">
        <v>1</v>
      </c>
      <c r="AI1022" s="48" t="s">
        <v>33</v>
      </c>
      <c r="AJ1022" s="48" t="s">
        <v>33</v>
      </c>
      <c r="AK1022" s="48" t="s">
        <v>33</v>
      </c>
      <c r="AL1022" s="48" t="s">
        <v>34</v>
      </c>
      <c r="AN1022" s="48">
        <v>0</v>
      </c>
      <c r="AO1022" s="48">
        <v>0</v>
      </c>
      <c r="AP1022" s="48">
        <v>0</v>
      </c>
      <c r="AQ1022" s="48">
        <v>0</v>
      </c>
      <c r="AR1022" s="48">
        <v>0</v>
      </c>
      <c r="AS1022" s="48">
        <v>0</v>
      </c>
      <c r="AT1022" s="48">
        <v>0</v>
      </c>
      <c r="AU1022" s="48">
        <v>0</v>
      </c>
      <c r="AV1022" s="48">
        <v>0</v>
      </c>
      <c r="AW1022" s="48">
        <v>0</v>
      </c>
      <c r="AX1022" s="48">
        <v>0</v>
      </c>
      <c r="AY1022" s="48">
        <v>0</v>
      </c>
      <c r="AZ1022" s="48">
        <v>0</v>
      </c>
      <c r="BA1022" s="48">
        <v>0</v>
      </c>
      <c r="BB1022" s="48">
        <v>0</v>
      </c>
    </row>
    <row r="1023" spans="1:54" x14ac:dyDescent="0.35">
      <c r="A1023" s="49">
        <v>45930</v>
      </c>
      <c r="B1023" s="48">
        <v>1</v>
      </c>
      <c r="C1023" s="50" t="s">
        <v>32</v>
      </c>
      <c r="D1023" s="48" t="s">
        <v>31</v>
      </c>
      <c r="E1023" s="48" t="s">
        <v>138</v>
      </c>
      <c r="F1023" s="48" t="s">
        <v>139</v>
      </c>
      <c r="G1023" s="49" t="s">
        <v>63</v>
      </c>
      <c r="H1023" s="48" t="s">
        <v>63</v>
      </c>
      <c r="I1023" s="48">
        <v>1</v>
      </c>
      <c r="J1023" s="48">
        <v>208</v>
      </c>
      <c r="K1023" s="48">
        <v>1</v>
      </c>
      <c r="N1023" s="48">
        <v>0</v>
      </c>
      <c r="R1023" s="49"/>
      <c r="S1023" s="181">
        <v>0</v>
      </c>
      <c r="T1023" s="49">
        <v>52262</v>
      </c>
      <c r="U1023" s="49">
        <v>52262</v>
      </c>
      <c r="V1023" s="49">
        <v>52262</v>
      </c>
      <c r="W1023" s="49">
        <v>52262</v>
      </c>
      <c r="X1023" s="48">
        <v>1</v>
      </c>
      <c r="Y1023" s="48">
        <v>1</v>
      </c>
      <c r="Z1023" s="48">
        <v>1</v>
      </c>
      <c r="AA1023" s="156">
        <v>0</v>
      </c>
      <c r="AF1023" s="48">
        <v>0</v>
      </c>
      <c r="AG1023" s="49" t="s">
        <v>32</v>
      </c>
      <c r="AH1023" s="48">
        <v>1</v>
      </c>
      <c r="AI1023" s="48" t="s">
        <v>33</v>
      </c>
      <c r="AJ1023" s="48" t="s">
        <v>33</v>
      </c>
      <c r="AK1023" s="48" t="s">
        <v>33</v>
      </c>
      <c r="AL1023" s="48" t="s">
        <v>34</v>
      </c>
      <c r="AN1023" s="48">
        <v>0</v>
      </c>
      <c r="AO1023" s="48">
        <v>0</v>
      </c>
      <c r="AP1023" s="48">
        <v>0</v>
      </c>
      <c r="AQ1023" s="48">
        <v>0</v>
      </c>
      <c r="AR1023" s="48">
        <v>0</v>
      </c>
      <c r="AS1023" s="48">
        <v>0</v>
      </c>
      <c r="AT1023" s="48">
        <v>0</v>
      </c>
      <c r="AU1023" s="48">
        <v>0</v>
      </c>
      <c r="AV1023" s="48">
        <v>0</v>
      </c>
      <c r="AW1023" s="48">
        <v>0</v>
      </c>
      <c r="AX1023" s="48">
        <v>0</v>
      </c>
      <c r="AY1023" s="48">
        <v>0</v>
      </c>
      <c r="AZ1023" s="48">
        <v>0</v>
      </c>
      <c r="BA1023" s="48">
        <v>0</v>
      </c>
      <c r="BB1023" s="48">
        <v>0</v>
      </c>
    </row>
    <row r="1024" spans="1:54" x14ac:dyDescent="0.35">
      <c r="A1024" s="49">
        <v>45930</v>
      </c>
      <c r="B1024" s="48">
        <v>1</v>
      </c>
      <c r="C1024" s="50" t="s">
        <v>32</v>
      </c>
      <c r="D1024" s="48" t="s">
        <v>31</v>
      </c>
      <c r="E1024" s="48" t="s">
        <v>138</v>
      </c>
      <c r="F1024" s="48" t="s">
        <v>139</v>
      </c>
      <c r="G1024" s="49" t="s">
        <v>63</v>
      </c>
      <c r="H1024" s="48" t="s">
        <v>63</v>
      </c>
      <c r="I1024" s="48">
        <v>1</v>
      </c>
      <c r="J1024" s="48">
        <v>209</v>
      </c>
      <c r="K1024" s="48">
        <v>1</v>
      </c>
      <c r="N1024" s="48">
        <v>0</v>
      </c>
      <c r="R1024" s="49"/>
      <c r="S1024" s="181">
        <v>0</v>
      </c>
      <c r="T1024" s="49">
        <v>52290</v>
      </c>
      <c r="U1024" s="49">
        <v>52290</v>
      </c>
      <c r="V1024" s="49">
        <v>52290</v>
      </c>
      <c r="W1024" s="49">
        <v>52290</v>
      </c>
      <c r="X1024" s="48">
        <v>1</v>
      </c>
      <c r="Y1024" s="48">
        <v>1</v>
      </c>
      <c r="Z1024" s="48">
        <v>1</v>
      </c>
      <c r="AA1024" s="156">
        <v>0</v>
      </c>
      <c r="AF1024" s="48">
        <v>0</v>
      </c>
      <c r="AG1024" s="49" t="s">
        <v>32</v>
      </c>
      <c r="AH1024" s="48">
        <v>1</v>
      </c>
      <c r="AI1024" s="48" t="s">
        <v>33</v>
      </c>
      <c r="AJ1024" s="48" t="s">
        <v>33</v>
      </c>
      <c r="AK1024" s="48" t="s">
        <v>33</v>
      </c>
      <c r="AL1024" s="48" t="s">
        <v>34</v>
      </c>
      <c r="AN1024" s="48">
        <v>0</v>
      </c>
      <c r="AO1024" s="48">
        <v>0</v>
      </c>
      <c r="AP1024" s="48">
        <v>0</v>
      </c>
      <c r="AQ1024" s="48">
        <v>0</v>
      </c>
      <c r="AR1024" s="48">
        <v>0</v>
      </c>
      <c r="AS1024" s="48">
        <v>0</v>
      </c>
      <c r="AT1024" s="48">
        <v>0</v>
      </c>
      <c r="AU1024" s="48">
        <v>0</v>
      </c>
      <c r="AV1024" s="48">
        <v>0</v>
      </c>
      <c r="AW1024" s="48">
        <v>0</v>
      </c>
      <c r="AX1024" s="48">
        <v>0</v>
      </c>
      <c r="AY1024" s="48">
        <v>0</v>
      </c>
      <c r="AZ1024" s="48">
        <v>0</v>
      </c>
      <c r="BA1024" s="48">
        <v>0</v>
      </c>
      <c r="BB1024" s="48">
        <v>0</v>
      </c>
    </row>
    <row r="1025" spans="1:54" x14ac:dyDescent="0.35">
      <c r="A1025" s="49">
        <v>45930</v>
      </c>
      <c r="B1025" s="48">
        <v>1</v>
      </c>
      <c r="C1025" s="50" t="s">
        <v>32</v>
      </c>
      <c r="D1025" s="48" t="s">
        <v>31</v>
      </c>
      <c r="E1025" s="48" t="s">
        <v>138</v>
      </c>
      <c r="F1025" s="48" t="s">
        <v>139</v>
      </c>
      <c r="G1025" s="49" t="s">
        <v>63</v>
      </c>
      <c r="H1025" s="48" t="s">
        <v>63</v>
      </c>
      <c r="I1025" s="48">
        <v>1</v>
      </c>
      <c r="J1025" s="48">
        <v>210</v>
      </c>
      <c r="K1025" s="48">
        <v>1</v>
      </c>
      <c r="N1025" s="48">
        <v>0</v>
      </c>
      <c r="R1025" s="49"/>
      <c r="S1025" s="181">
        <v>0</v>
      </c>
      <c r="T1025" s="49">
        <v>52321</v>
      </c>
      <c r="U1025" s="49">
        <v>52321</v>
      </c>
      <c r="V1025" s="49">
        <v>52321</v>
      </c>
      <c r="W1025" s="49">
        <v>52321</v>
      </c>
      <c r="X1025" s="48">
        <v>1</v>
      </c>
      <c r="Y1025" s="48">
        <v>1</v>
      </c>
      <c r="Z1025" s="48">
        <v>1</v>
      </c>
      <c r="AA1025" s="156">
        <v>0</v>
      </c>
      <c r="AF1025" s="48">
        <v>0</v>
      </c>
      <c r="AG1025" s="49" t="s">
        <v>32</v>
      </c>
      <c r="AH1025" s="48">
        <v>1</v>
      </c>
      <c r="AI1025" s="48" t="s">
        <v>33</v>
      </c>
      <c r="AJ1025" s="48" t="s">
        <v>33</v>
      </c>
      <c r="AK1025" s="48" t="s">
        <v>33</v>
      </c>
      <c r="AL1025" s="48" t="s">
        <v>34</v>
      </c>
      <c r="AN1025" s="48">
        <v>0</v>
      </c>
      <c r="AO1025" s="48">
        <v>0</v>
      </c>
      <c r="AP1025" s="48">
        <v>0</v>
      </c>
      <c r="AQ1025" s="48">
        <v>0</v>
      </c>
      <c r="AR1025" s="48">
        <v>0</v>
      </c>
      <c r="AS1025" s="48">
        <v>0</v>
      </c>
      <c r="AT1025" s="48">
        <v>0</v>
      </c>
      <c r="AU1025" s="48">
        <v>0</v>
      </c>
      <c r="AV1025" s="48">
        <v>0</v>
      </c>
      <c r="AW1025" s="48">
        <v>0</v>
      </c>
      <c r="AX1025" s="48">
        <v>0</v>
      </c>
      <c r="AY1025" s="48">
        <v>0</v>
      </c>
      <c r="AZ1025" s="48">
        <v>0</v>
      </c>
      <c r="BA1025" s="48">
        <v>0</v>
      </c>
      <c r="BB1025" s="48">
        <v>0</v>
      </c>
    </row>
    <row r="1026" spans="1:54" x14ac:dyDescent="0.35">
      <c r="A1026" s="49">
        <v>45930</v>
      </c>
      <c r="B1026" s="48">
        <v>1</v>
      </c>
      <c r="C1026" s="50" t="s">
        <v>32</v>
      </c>
      <c r="D1026" s="48" t="s">
        <v>31</v>
      </c>
      <c r="E1026" s="48" t="s">
        <v>138</v>
      </c>
      <c r="F1026" s="48" t="s">
        <v>139</v>
      </c>
      <c r="G1026" s="49" t="s">
        <v>63</v>
      </c>
      <c r="H1026" s="48" t="s">
        <v>63</v>
      </c>
      <c r="I1026" s="48">
        <v>1</v>
      </c>
      <c r="J1026" s="48">
        <v>211</v>
      </c>
      <c r="K1026" s="48">
        <v>1</v>
      </c>
      <c r="N1026" s="48">
        <v>0</v>
      </c>
      <c r="R1026" s="49"/>
      <c r="S1026" s="181">
        <v>0</v>
      </c>
      <c r="T1026" s="49">
        <v>52351</v>
      </c>
      <c r="U1026" s="49">
        <v>52351</v>
      </c>
      <c r="V1026" s="49">
        <v>52351</v>
      </c>
      <c r="W1026" s="49">
        <v>52351</v>
      </c>
      <c r="X1026" s="48">
        <v>1</v>
      </c>
      <c r="Y1026" s="48">
        <v>1</v>
      </c>
      <c r="Z1026" s="48">
        <v>1</v>
      </c>
      <c r="AA1026" s="156">
        <v>0</v>
      </c>
      <c r="AF1026" s="48">
        <v>0</v>
      </c>
      <c r="AG1026" s="49" t="s">
        <v>32</v>
      </c>
      <c r="AH1026" s="48">
        <v>1</v>
      </c>
      <c r="AI1026" s="48" t="s">
        <v>33</v>
      </c>
      <c r="AJ1026" s="48" t="s">
        <v>33</v>
      </c>
      <c r="AK1026" s="48" t="s">
        <v>33</v>
      </c>
      <c r="AL1026" s="48" t="s">
        <v>34</v>
      </c>
      <c r="AN1026" s="48">
        <v>0</v>
      </c>
      <c r="AO1026" s="48">
        <v>0</v>
      </c>
      <c r="AP1026" s="48">
        <v>0</v>
      </c>
      <c r="AQ1026" s="48">
        <v>0</v>
      </c>
      <c r="AR1026" s="48">
        <v>0</v>
      </c>
      <c r="AS1026" s="48">
        <v>0</v>
      </c>
      <c r="AT1026" s="48">
        <v>0</v>
      </c>
      <c r="AU1026" s="48">
        <v>0</v>
      </c>
      <c r="AV1026" s="48">
        <v>0</v>
      </c>
      <c r="AW1026" s="48">
        <v>0</v>
      </c>
      <c r="AX1026" s="48">
        <v>0</v>
      </c>
      <c r="AY1026" s="48">
        <v>0</v>
      </c>
      <c r="AZ1026" s="48">
        <v>0</v>
      </c>
      <c r="BA1026" s="48">
        <v>0</v>
      </c>
      <c r="BB1026" s="48">
        <v>0</v>
      </c>
    </row>
    <row r="1027" spans="1:54" x14ac:dyDescent="0.35">
      <c r="A1027" s="49">
        <v>45930</v>
      </c>
      <c r="B1027" s="48">
        <v>1</v>
      </c>
      <c r="C1027" s="50" t="s">
        <v>32</v>
      </c>
      <c r="D1027" s="48" t="s">
        <v>31</v>
      </c>
      <c r="E1027" s="48" t="s">
        <v>138</v>
      </c>
      <c r="F1027" s="48" t="s">
        <v>139</v>
      </c>
      <c r="G1027" s="49" t="s">
        <v>63</v>
      </c>
      <c r="H1027" s="48" t="s">
        <v>63</v>
      </c>
      <c r="I1027" s="48">
        <v>1</v>
      </c>
      <c r="J1027" s="48">
        <v>212</v>
      </c>
      <c r="K1027" s="48">
        <v>1</v>
      </c>
      <c r="N1027" s="48">
        <v>0</v>
      </c>
      <c r="R1027" s="49"/>
      <c r="S1027" s="181">
        <v>0</v>
      </c>
      <c r="T1027" s="49">
        <v>52382</v>
      </c>
      <c r="U1027" s="49">
        <v>52382</v>
      </c>
      <c r="V1027" s="49">
        <v>52382</v>
      </c>
      <c r="W1027" s="49">
        <v>52382</v>
      </c>
      <c r="X1027" s="48">
        <v>1</v>
      </c>
      <c r="Y1027" s="48">
        <v>1</v>
      </c>
      <c r="Z1027" s="48">
        <v>1</v>
      </c>
      <c r="AA1027" s="156">
        <v>0</v>
      </c>
      <c r="AF1027" s="48">
        <v>0</v>
      </c>
      <c r="AG1027" s="49" t="s">
        <v>32</v>
      </c>
      <c r="AH1027" s="48">
        <v>1</v>
      </c>
      <c r="AI1027" s="48" t="s">
        <v>33</v>
      </c>
      <c r="AJ1027" s="48" t="s">
        <v>33</v>
      </c>
      <c r="AK1027" s="48" t="s">
        <v>33</v>
      </c>
      <c r="AL1027" s="48" t="s">
        <v>34</v>
      </c>
      <c r="AN1027" s="48">
        <v>0</v>
      </c>
      <c r="AO1027" s="48">
        <v>0</v>
      </c>
      <c r="AP1027" s="48">
        <v>0</v>
      </c>
      <c r="AQ1027" s="48">
        <v>0</v>
      </c>
      <c r="AR1027" s="48">
        <v>0</v>
      </c>
      <c r="AS1027" s="48">
        <v>0</v>
      </c>
      <c r="AT1027" s="48">
        <v>0</v>
      </c>
      <c r="AU1027" s="48">
        <v>0</v>
      </c>
      <c r="AV1027" s="48">
        <v>0</v>
      </c>
      <c r="AW1027" s="48">
        <v>0</v>
      </c>
      <c r="AX1027" s="48">
        <v>0</v>
      </c>
      <c r="AY1027" s="48">
        <v>0</v>
      </c>
      <c r="AZ1027" s="48">
        <v>0</v>
      </c>
      <c r="BA1027" s="48">
        <v>0</v>
      </c>
      <c r="BB1027" s="48">
        <v>0</v>
      </c>
    </row>
    <row r="1028" spans="1:54" x14ac:dyDescent="0.35">
      <c r="A1028" s="49">
        <v>45930</v>
      </c>
      <c r="B1028" s="48">
        <v>1</v>
      </c>
      <c r="C1028" s="50" t="s">
        <v>32</v>
      </c>
      <c r="D1028" s="48" t="s">
        <v>31</v>
      </c>
      <c r="E1028" s="48" t="s">
        <v>138</v>
      </c>
      <c r="F1028" s="48" t="s">
        <v>139</v>
      </c>
      <c r="G1028" s="49" t="s">
        <v>63</v>
      </c>
      <c r="H1028" s="48" t="s">
        <v>63</v>
      </c>
      <c r="I1028" s="48">
        <v>1</v>
      </c>
      <c r="J1028" s="48">
        <v>213</v>
      </c>
      <c r="K1028" s="48">
        <v>1</v>
      </c>
      <c r="N1028" s="48">
        <v>0</v>
      </c>
      <c r="R1028" s="49"/>
      <c r="S1028" s="181">
        <v>0</v>
      </c>
      <c r="T1028" s="49">
        <v>52412</v>
      </c>
      <c r="U1028" s="49">
        <v>52412</v>
      </c>
      <c r="V1028" s="49">
        <v>52412</v>
      </c>
      <c r="W1028" s="49">
        <v>52412</v>
      </c>
      <c r="X1028" s="48">
        <v>1</v>
      </c>
      <c r="Y1028" s="48">
        <v>1</v>
      </c>
      <c r="Z1028" s="48">
        <v>1</v>
      </c>
      <c r="AA1028" s="156">
        <v>0</v>
      </c>
      <c r="AF1028" s="48">
        <v>0</v>
      </c>
      <c r="AG1028" s="49" t="s">
        <v>32</v>
      </c>
      <c r="AH1028" s="48">
        <v>1</v>
      </c>
      <c r="AI1028" s="48" t="s">
        <v>33</v>
      </c>
      <c r="AJ1028" s="48" t="s">
        <v>33</v>
      </c>
      <c r="AK1028" s="48" t="s">
        <v>33</v>
      </c>
      <c r="AL1028" s="48" t="s">
        <v>34</v>
      </c>
      <c r="AN1028" s="48">
        <v>0</v>
      </c>
      <c r="AO1028" s="48">
        <v>0</v>
      </c>
      <c r="AP1028" s="48">
        <v>0</v>
      </c>
      <c r="AQ1028" s="48">
        <v>0</v>
      </c>
      <c r="AR1028" s="48">
        <v>0</v>
      </c>
      <c r="AS1028" s="48">
        <v>0</v>
      </c>
      <c r="AT1028" s="48">
        <v>0</v>
      </c>
      <c r="AU1028" s="48">
        <v>0</v>
      </c>
      <c r="AV1028" s="48">
        <v>0</v>
      </c>
      <c r="AW1028" s="48">
        <v>0</v>
      </c>
      <c r="AX1028" s="48">
        <v>0</v>
      </c>
      <c r="AY1028" s="48">
        <v>0</v>
      </c>
      <c r="AZ1028" s="48">
        <v>0</v>
      </c>
      <c r="BA1028" s="48">
        <v>0</v>
      </c>
      <c r="BB1028" s="48">
        <v>0</v>
      </c>
    </row>
    <row r="1029" spans="1:54" x14ac:dyDescent="0.35">
      <c r="A1029" s="49">
        <v>45930</v>
      </c>
      <c r="B1029" s="48">
        <v>1</v>
      </c>
      <c r="C1029" s="50" t="s">
        <v>32</v>
      </c>
      <c r="D1029" s="48" t="s">
        <v>31</v>
      </c>
      <c r="E1029" s="48" t="s">
        <v>138</v>
      </c>
      <c r="F1029" s="48" t="s">
        <v>139</v>
      </c>
      <c r="G1029" s="49" t="s">
        <v>63</v>
      </c>
      <c r="H1029" s="48" t="s">
        <v>63</v>
      </c>
      <c r="I1029" s="48">
        <v>1</v>
      </c>
      <c r="J1029" s="48">
        <v>214</v>
      </c>
      <c r="K1029" s="48">
        <v>1</v>
      </c>
      <c r="N1029" s="48">
        <v>0</v>
      </c>
      <c r="R1029" s="49"/>
      <c r="S1029" s="181">
        <v>0</v>
      </c>
      <c r="T1029" s="49">
        <v>52443</v>
      </c>
      <c r="U1029" s="49">
        <v>52443</v>
      </c>
      <c r="V1029" s="49">
        <v>52443</v>
      </c>
      <c r="W1029" s="49">
        <v>52443</v>
      </c>
      <c r="X1029" s="48">
        <v>1</v>
      </c>
      <c r="Y1029" s="48">
        <v>1</v>
      </c>
      <c r="Z1029" s="48">
        <v>1</v>
      </c>
      <c r="AA1029" s="156">
        <v>0</v>
      </c>
      <c r="AF1029" s="48">
        <v>0</v>
      </c>
      <c r="AG1029" s="49" t="s">
        <v>32</v>
      </c>
      <c r="AH1029" s="48">
        <v>1</v>
      </c>
      <c r="AI1029" s="48" t="s">
        <v>33</v>
      </c>
      <c r="AJ1029" s="48" t="s">
        <v>33</v>
      </c>
      <c r="AK1029" s="48" t="s">
        <v>33</v>
      </c>
      <c r="AL1029" s="48" t="s">
        <v>34</v>
      </c>
      <c r="AN1029" s="48">
        <v>0</v>
      </c>
      <c r="AO1029" s="48">
        <v>0</v>
      </c>
      <c r="AP1029" s="48">
        <v>0</v>
      </c>
      <c r="AQ1029" s="48">
        <v>0</v>
      </c>
      <c r="AR1029" s="48">
        <v>0</v>
      </c>
      <c r="AS1029" s="48">
        <v>0</v>
      </c>
      <c r="AT1029" s="48">
        <v>0</v>
      </c>
      <c r="AU1029" s="48">
        <v>0</v>
      </c>
      <c r="AV1029" s="48">
        <v>0</v>
      </c>
      <c r="AW1029" s="48">
        <v>0</v>
      </c>
      <c r="AX1029" s="48">
        <v>0</v>
      </c>
      <c r="AY1029" s="48">
        <v>0</v>
      </c>
      <c r="AZ1029" s="48">
        <v>0</v>
      </c>
      <c r="BA1029" s="48">
        <v>0</v>
      </c>
      <c r="BB1029" s="48">
        <v>0</v>
      </c>
    </row>
    <row r="1030" spans="1:54" x14ac:dyDescent="0.35">
      <c r="A1030" s="49">
        <v>45930</v>
      </c>
      <c r="B1030" s="48">
        <v>1</v>
      </c>
      <c r="C1030" s="50" t="s">
        <v>32</v>
      </c>
      <c r="D1030" s="48" t="s">
        <v>31</v>
      </c>
      <c r="E1030" s="48" t="s">
        <v>138</v>
      </c>
      <c r="F1030" s="48" t="s">
        <v>139</v>
      </c>
      <c r="G1030" s="49" t="s">
        <v>63</v>
      </c>
      <c r="H1030" s="48" t="s">
        <v>63</v>
      </c>
      <c r="I1030" s="48">
        <v>1</v>
      </c>
      <c r="J1030" s="48">
        <v>215</v>
      </c>
      <c r="K1030" s="48">
        <v>1</v>
      </c>
      <c r="N1030" s="48">
        <v>0</v>
      </c>
      <c r="R1030" s="49"/>
      <c r="S1030" s="181">
        <v>0</v>
      </c>
      <c r="T1030" s="49">
        <v>52474</v>
      </c>
      <c r="U1030" s="49">
        <v>52474</v>
      </c>
      <c r="V1030" s="49">
        <v>52474</v>
      </c>
      <c r="W1030" s="49">
        <v>52474</v>
      </c>
      <c r="X1030" s="48">
        <v>1</v>
      </c>
      <c r="Y1030" s="48">
        <v>1</v>
      </c>
      <c r="Z1030" s="48">
        <v>1</v>
      </c>
      <c r="AA1030" s="156">
        <v>0</v>
      </c>
      <c r="AF1030" s="48">
        <v>0</v>
      </c>
      <c r="AG1030" s="49" t="s">
        <v>32</v>
      </c>
      <c r="AH1030" s="48">
        <v>1</v>
      </c>
      <c r="AI1030" s="48" t="s">
        <v>33</v>
      </c>
      <c r="AJ1030" s="48" t="s">
        <v>33</v>
      </c>
      <c r="AK1030" s="48" t="s">
        <v>33</v>
      </c>
      <c r="AL1030" s="48" t="s">
        <v>34</v>
      </c>
      <c r="AN1030" s="48">
        <v>0</v>
      </c>
      <c r="AO1030" s="48">
        <v>0</v>
      </c>
      <c r="AP1030" s="48">
        <v>0</v>
      </c>
      <c r="AQ1030" s="48">
        <v>0</v>
      </c>
      <c r="AR1030" s="48">
        <v>0</v>
      </c>
      <c r="AS1030" s="48">
        <v>0</v>
      </c>
      <c r="AT1030" s="48">
        <v>0</v>
      </c>
      <c r="AU1030" s="48">
        <v>0</v>
      </c>
      <c r="AV1030" s="48">
        <v>0</v>
      </c>
      <c r="AW1030" s="48">
        <v>0</v>
      </c>
      <c r="AX1030" s="48">
        <v>0</v>
      </c>
      <c r="AY1030" s="48">
        <v>0</v>
      </c>
      <c r="AZ1030" s="48">
        <v>0</v>
      </c>
      <c r="BA1030" s="48">
        <v>0</v>
      </c>
      <c r="BB1030" s="48">
        <v>0</v>
      </c>
    </row>
    <row r="1031" spans="1:54" x14ac:dyDescent="0.35">
      <c r="A1031" s="49">
        <v>45930</v>
      </c>
      <c r="B1031" s="48">
        <v>1</v>
      </c>
      <c r="C1031" s="50" t="s">
        <v>32</v>
      </c>
      <c r="D1031" s="48" t="s">
        <v>31</v>
      </c>
      <c r="E1031" s="48" t="s">
        <v>138</v>
      </c>
      <c r="F1031" s="48" t="s">
        <v>139</v>
      </c>
      <c r="G1031" s="49" t="s">
        <v>64</v>
      </c>
      <c r="H1031" s="48" t="s">
        <v>64</v>
      </c>
      <c r="I1031" s="48">
        <v>1</v>
      </c>
      <c r="K1031" s="48">
        <v>1</v>
      </c>
      <c r="N1031" s="48">
        <v>0</v>
      </c>
      <c r="R1031" s="49"/>
      <c r="S1031" s="49"/>
      <c r="T1031" s="49">
        <v>45931</v>
      </c>
      <c r="U1031" s="49">
        <v>45931</v>
      </c>
      <c r="V1031" s="49">
        <v>45931</v>
      </c>
      <c r="W1031" s="49">
        <v>45931</v>
      </c>
      <c r="X1031" s="48">
        <v>1</v>
      </c>
      <c r="Y1031" s="48">
        <v>1</v>
      </c>
      <c r="Z1031" s="48">
        <v>1</v>
      </c>
      <c r="AA1031" s="156">
        <v>36724</v>
      </c>
      <c r="AF1031" s="48">
        <v>0</v>
      </c>
      <c r="AG1031" s="49" t="s">
        <v>32</v>
      </c>
      <c r="AH1031" s="48">
        <v>1</v>
      </c>
      <c r="AI1031" s="48" t="s">
        <v>33</v>
      </c>
      <c r="AJ1031" s="48" t="s">
        <v>33</v>
      </c>
      <c r="AK1031" s="48" t="s">
        <v>33</v>
      </c>
      <c r="AL1031" s="48" t="s">
        <v>34</v>
      </c>
      <c r="AN1031" s="48">
        <v>0</v>
      </c>
      <c r="AO1031" s="48">
        <v>0</v>
      </c>
      <c r="AP1031" s="48">
        <v>0</v>
      </c>
      <c r="AQ1031" s="48">
        <v>0</v>
      </c>
      <c r="AR1031" s="48">
        <v>0</v>
      </c>
      <c r="AS1031" s="48">
        <v>0</v>
      </c>
      <c r="AT1031" s="48">
        <v>0</v>
      </c>
      <c r="AU1031" s="48">
        <v>0</v>
      </c>
      <c r="AV1031" s="48">
        <v>0</v>
      </c>
      <c r="AW1031" s="48">
        <v>0</v>
      </c>
      <c r="AX1031" s="48">
        <v>0</v>
      </c>
      <c r="AY1031" s="48">
        <v>0</v>
      </c>
      <c r="AZ1031" s="48">
        <v>0</v>
      </c>
      <c r="BA1031" s="48">
        <v>0</v>
      </c>
      <c r="BB1031" s="48">
        <v>0</v>
      </c>
    </row>
    <row r="1032" spans="1:54" x14ac:dyDescent="0.35">
      <c r="A1032" s="49">
        <v>45930</v>
      </c>
      <c r="B1032" s="48">
        <v>1</v>
      </c>
      <c r="C1032" s="50" t="s">
        <v>32</v>
      </c>
      <c r="D1032" s="48" t="s">
        <v>31</v>
      </c>
      <c r="E1032" s="48" t="s">
        <v>138</v>
      </c>
      <c r="F1032" s="48" t="s">
        <v>139</v>
      </c>
      <c r="G1032" s="49" t="s">
        <v>64</v>
      </c>
      <c r="H1032" s="48" t="s">
        <v>64</v>
      </c>
      <c r="I1032" s="48">
        <v>1</v>
      </c>
      <c r="J1032" s="48">
        <v>1</v>
      </c>
      <c r="K1032" s="48">
        <v>1</v>
      </c>
      <c r="N1032" s="48">
        <v>0</v>
      </c>
      <c r="R1032" s="49"/>
      <c r="S1032" s="181">
        <v>0</v>
      </c>
      <c r="T1032" s="49">
        <v>45961</v>
      </c>
      <c r="U1032" s="49">
        <v>45961</v>
      </c>
      <c r="V1032" s="49">
        <v>45961</v>
      </c>
      <c r="W1032" s="49">
        <v>45961</v>
      </c>
      <c r="X1032" s="48">
        <v>1</v>
      </c>
      <c r="Y1032" s="48">
        <v>1</v>
      </c>
      <c r="Z1032" s="48">
        <v>1</v>
      </c>
      <c r="AA1032" s="156">
        <v>8390.977733491969</v>
      </c>
      <c r="AF1032" s="48">
        <v>0</v>
      </c>
      <c r="AG1032" s="49" t="s">
        <v>32</v>
      </c>
      <c r="AH1032" s="48">
        <v>1</v>
      </c>
      <c r="AI1032" s="48" t="s">
        <v>33</v>
      </c>
      <c r="AJ1032" s="48" t="s">
        <v>33</v>
      </c>
      <c r="AK1032" s="48" t="s">
        <v>33</v>
      </c>
      <c r="AL1032" s="48" t="s">
        <v>34</v>
      </c>
      <c r="AN1032" s="48">
        <v>0</v>
      </c>
      <c r="AO1032" s="48">
        <v>0</v>
      </c>
      <c r="AP1032" s="48">
        <v>0</v>
      </c>
      <c r="AQ1032" s="48">
        <v>0</v>
      </c>
      <c r="AR1032" s="48">
        <v>0</v>
      </c>
      <c r="AS1032" s="48">
        <v>0</v>
      </c>
      <c r="AT1032" s="48">
        <v>0</v>
      </c>
      <c r="AU1032" s="48">
        <v>0</v>
      </c>
      <c r="AV1032" s="48">
        <v>0</v>
      </c>
      <c r="AW1032" s="48">
        <v>0</v>
      </c>
      <c r="AX1032" s="48">
        <v>0</v>
      </c>
      <c r="AY1032" s="48">
        <v>0</v>
      </c>
      <c r="AZ1032" s="48">
        <v>0</v>
      </c>
      <c r="BA1032" s="48">
        <v>0</v>
      </c>
      <c r="BB1032" s="48">
        <v>0</v>
      </c>
    </row>
    <row r="1033" spans="1:54" x14ac:dyDescent="0.35">
      <c r="A1033" s="49">
        <v>45930</v>
      </c>
      <c r="B1033" s="48">
        <v>1</v>
      </c>
      <c r="C1033" s="50" t="s">
        <v>32</v>
      </c>
      <c r="D1033" s="48" t="s">
        <v>31</v>
      </c>
      <c r="E1033" s="48" t="s">
        <v>138</v>
      </c>
      <c r="F1033" s="48" t="s">
        <v>139</v>
      </c>
      <c r="G1033" s="49" t="s">
        <v>64</v>
      </c>
      <c r="H1033" s="48" t="s">
        <v>64</v>
      </c>
      <c r="I1033" s="48">
        <v>1</v>
      </c>
      <c r="J1033" s="48">
        <v>2</v>
      </c>
      <c r="K1033" s="48">
        <v>1</v>
      </c>
      <c r="N1033" s="48">
        <v>0</v>
      </c>
      <c r="R1033" s="49"/>
      <c r="S1033" s="181">
        <v>0</v>
      </c>
      <c r="T1033" s="49">
        <v>45991</v>
      </c>
      <c r="U1033" s="49">
        <v>45991</v>
      </c>
      <c r="V1033" s="49">
        <v>45991</v>
      </c>
      <c r="W1033" s="49">
        <v>45991</v>
      </c>
      <c r="X1033" s="48">
        <v>1</v>
      </c>
      <c r="Y1033" s="48">
        <v>1</v>
      </c>
      <c r="Z1033" s="48">
        <v>1</v>
      </c>
      <c r="AA1033" s="156">
        <v>8390.977733491969</v>
      </c>
      <c r="AF1033" s="48">
        <v>0</v>
      </c>
      <c r="AG1033" s="49" t="s">
        <v>32</v>
      </c>
      <c r="AH1033" s="48">
        <v>1</v>
      </c>
      <c r="AI1033" s="48" t="s">
        <v>33</v>
      </c>
      <c r="AJ1033" s="48" t="s">
        <v>33</v>
      </c>
      <c r="AK1033" s="48" t="s">
        <v>33</v>
      </c>
      <c r="AL1033" s="48" t="s">
        <v>34</v>
      </c>
      <c r="AN1033" s="48">
        <v>0</v>
      </c>
      <c r="AO1033" s="48">
        <v>0</v>
      </c>
      <c r="AP1033" s="48">
        <v>0</v>
      </c>
      <c r="AQ1033" s="48">
        <v>0</v>
      </c>
      <c r="AR1033" s="48">
        <v>0</v>
      </c>
      <c r="AS1033" s="48">
        <v>0</v>
      </c>
      <c r="AT1033" s="48">
        <v>0</v>
      </c>
      <c r="AU1033" s="48">
        <v>0</v>
      </c>
      <c r="AV1033" s="48">
        <v>0</v>
      </c>
      <c r="AW1033" s="48">
        <v>0</v>
      </c>
      <c r="AX1033" s="48">
        <v>0</v>
      </c>
      <c r="AY1033" s="48">
        <v>0</v>
      </c>
      <c r="AZ1033" s="48">
        <v>0</v>
      </c>
      <c r="BA1033" s="48">
        <v>0</v>
      </c>
      <c r="BB1033" s="48">
        <v>0</v>
      </c>
    </row>
    <row r="1034" spans="1:54" x14ac:dyDescent="0.35">
      <c r="A1034" s="49">
        <v>45930</v>
      </c>
      <c r="B1034" s="48">
        <v>1</v>
      </c>
      <c r="C1034" s="50" t="s">
        <v>32</v>
      </c>
      <c r="D1034" s="48" t="s">
        <v>31</v>
      </c>
      <c r="E1034" s="48" t="s">
        <v>138</v>
      </c>
      <c r="F1034" s="48" t="s">
        <v>139</v>
      </c>
      <c r="G1034" s="49" t="s">
        <v>64</v>
      </c>
      <c r="H1034" s="48" t="s">
        <v>64</v>
      </c>
      <c r="I1034" s="48">
        <v>1</v>
      </c>
      <c r="J1034" s="48">
        <v>3</v>
      </c>
      <c r="K1034" s="48">
        <v>1</v>
      </c>
      <c r="N1034" s="48">
        <v>0</v>
      </c>
      <c r="R1034" s="49"/>
      <c r="S1034" s="181">
        <v>0</v>
      </c>
      <c r="T1034" s="49">
        <v>46022</v>
      </c>
      <c r="U1034" s="49">
        <v>46022</v>
      </c>
      <c r="V1034" s="49">
        <v>46022</v>
      </c>
      <c r="W1034" s="49">
        <v>46022</v>
      </c>
      <c r="X1034" s="48">
        <v>1</v>
      </c>
      <c r="Y1034" s="48">
        <v>1</v>
      </c>
      <c r="Z1034" s="48">
        <v>1</v>
      </c>
      <c r="AA1034" s="156">
        <v>8390.977733491969</v>
      </c>
      <c r="AF1034" s="48">
        <v>0</v>
      </c>
      <c r="AG1034" s="49" t="s">
        <v>32</v>
      </c>
      <c r="AH1034" s="48">
        <v>1</v>
      </c>
      <c r="AI1034" s="48" t="s">
        <v>33</v>
      </c>
      <c r="AJ1034" s="48" t="s">
        <v>33</v>
      </c>
      <c r="AK1034" s="48" t="s">
        <v>33</v>
      </c>
      <c r="AL1034" s="48" t="s">
        <v>34</v>
      </c>
      <c r="AN1034" s="48">
        <v>0</v>
      </c>
      <c r="AO1034" s="48">
        <v>0</v>
      </c>
      <c r="AP1034" s="48">
        <v>0</v>
      </c>
      <c r="AQ1034" s="48">
        <v>0</v>
      </c>
      <c r="AR1034" s="48">
        <v>0</v>
      </c>
      <c r="AS1034" s="48">
        <v>0</v>
      </c>
      <c r="AT1034" s="48">
        <v>0</v>
      </c>
      <c r="AU1034" s="48">
        <v>0</v>
      </c>
      <c r="AV1034" s="48">
        <v>0</v>
      </c>
      <c r="AW1034" s="48">
        <v>0</v>
      </c>
      <c r="AX1034" s="48">
        <v>0</v>
      </c>
      <c r="AY1034" s="48">
        <v>0</v>
      </c>
      <c r="AZ1034" s="48">
        <v>0</v>
      </c>
      <c r="BA1034" s="48">
        <v>0</v>
      </c>
      <c r="BB1034" s="48">
        <v>0</v>
      </c>
    </row>
    <row r="1035" spans="1:54" x14ac:dyDescent="0.35">
      <c r="A1035" s="49">
        <v>45930</v>
      </c>
      <c r="B1035" s="48">
        <v>1</v>
      </c>
      <c r="C1035" s="50" t="s">
        <v>32</v>
      </c>
      <c r="D1035" s="48" t="s">
        <v>31</v>
      </c>
      <c r="E1035" s="48" t="s">
        <v>138</v>
      </c>
      <c r="F1035" s="48" t="s">
        <v>139</v>
      </c>
      <c r="G1035" s="49" t="s">
        <v>64</v>
      </c>
      <c r="H1035" s="48" t="s">
        <v>64</v>
      </c>
      <c r="I1035" s="48">
        <v>1</v>
      </c>
      <c r="J1035" s="48">
        <v>4</v>
      </c>
      <c r="K1035" s="48">
        <v>1</v>
      </c>
      <c r="N1035" s="48">
        <v>0</v>
      </c>
      <c r="R1035" s="49"/>
      <c r="S1035" s="181">
        <v>0</v>
      </c>
      <c r="T1035" s="49">
        <v>46053</v>
      </c>
      <c r="U1035" s="49">
        <v>46053</v>
      </c>
      <c r="V1035" s="49">
        <v>46053</v>
      </c>
      <c r="W1035" s="49">
        <v>46053</v>
      </c>
      <c r="X1035" s="48">
        <v>1</v>
      </c>
      <c r="Y1035" s="48">
        <v>1</v>
      </c>
      <c r="Z1035" s="48">
        <v>1</v>
      </c>
      <c r="AA1035" s="156">
        <v>8390.977733491969</v>
      </c>
      <c r="AF1035" s="48">
        <v>0</v>
      </c>
      <c r="AG1035" s="49" t="s">
        <v>32</v>
      </c>
      <c r="AH1035" s="48">
        <v>1</v>
      </c>
      <c r="AI1035" s="48" t="s">
        <v>33</v>
      </c>
      <c r="AJ1035" s="48" t="s">
        <v>33</v>
      </c>
      <c r="AK1035" s="48" t="s">
        <v>33</v>
      </c>
      <c r="AL1035" s="48" t="s">
        <v>34</v>
      </c>
      <c r="AN1035" s="48">
        <v>0</v>
      </c>
      <c r="AO1035" s="48">
        <v>0</v>
      </c>
      <c r="AP1035" s="48">
        <v>0</v>
      </c>
      <c r="AQ1035" s="48">
        <v>0</v>
      </c>
      <c r="AR1035" s="48">
        <v>0</v>
      </c>
      <c r="AS1035" s="48">
        <v>0</v>
      </c>
      <c r="AT1035" s="48">
        <v>0</v>
      </c>
      <c r="AU1035" s="48">
        <v>0</v>
      </c>
      <c r="AV1035" s="48">
        <v>0</v>
      </c>
      <c r="AW1035" s="48">
        <v>0</v>
      </c>
      <c r="AX1035" s="48">
        <v>0</v>
      </c>
      <c r="AY1035" s="48">
        <v>0</v>
      </c>
      <c r="AZ1035" s="48">
        <v>0</v>
      </c>
      <c r="BA1035" s="48">
        <v>0</v>
      </c>
      <c r="BB1035" s="48">
        <v>0</v>
      </c>
    </row>
    <row r="1036" spans="1:54" x14ac:dyDescent="0.35">
      <c r="A1036" s="49">
        <v>45930</v>
      </c>
      <c r="B1036" s="48">
        <v>1</v>
      </c>
      <c r="C1036" s="50" t="s">
        <v>32</v>
      </c>
      <c r="D1036" s="48" t="s">
        <v>31</v>
      </c>
      <c r="E1036" s="48" t="s">
        <v>138</v>
      </c>
      <c r="F1036" s="48" t="s">
        <v>139</v>
      </c>
      <c r="G1036" s="49" t="s">
        <v>64</v>
      </c>
      <c r="H1036" s="48" t="s">
        <v>64</v>
      </c>
      <c r="I1036" s="48">
        <v>1</v>
      </c>
      <c r="J1036" s="48">
        <v>5</v>
      </c>
      <c r="K1036" s="48">
        <v>1</v>
      </c>
      <c r="N1036" s="48">
        <v>0</v>
      </c>
      <c r="R1036" s="49"/>
      <c r="S1036" s="181">
        <v>0</v>
      </c>
      <c r="T1036" s="49">
        <v>46081</v>
      </c>
      <c r="U1036" s="49">
        <v>46081</v>
      </c>
      <c r="V1036" s="49">
        <v>46081</v>
      </c>
      <c r="W1036" s="49">
        <v>46081</v>
      </c>
      <c r="X1036" s="48">
        <v>1</v>
      </c>
      <c r="Y1036" s="48">
        <v>1</v>
      </c>
      <c r="Z1036" s="48">
        <v>1</v>
      </c>
      <c r="AA1036" s="156">
        <v>8390.977733491969</v>
      </c>
      <c r="AF1036" s="48">
        <v>0</v>
      </c>
      <c r="AG1036" s="49" t="s">
        <v>32</v>
      </c>
      <c r="AH1036" s="48">
        <v>1</v>
      </c>
      <c r="AI1036" s="48" t="s">
        <v>33</v>
      </c>
      <c r="AJ1036" s="48" t="s">
        <v>33</v>
      </c>
      <c r="AK1036" s="48" t="s">
        <v>33</v>
      </c>
      <c r="AL1036" s="48" t="s">
        <v>34</v>
      </c>
      <c r="AN1036" s="48">
        <v>0</v>
      </c>
      <c r="AO1036" s="48">
        <v>0</v>
      </c>
      <c r="AP1036" s="48">
        <v>0</v>
      </c>
      <c r="AQ1036" s="48">
        <v>0</v>
      </c>
      <c r="AR1036" s="48">
        <v>0</v>
      </c>
      <c r="AS1036" s="48">
        <v>0</v>
      </c>
      <c r="AT1036" s="48">
        <v>0</v>
      </c>
      <c r="AU1036" s="48">
        <v>0</v>
      </c>
      <c r="AV1036" s="48">
        <v>0</v>
      </c>
      <c r="AW1036" s="48">
        <v>0</v>
      </c>
      <c r="AX1036" s="48">
        <v>0</v>
      </c>
      <c r="AY1036" s="48">
        <v>0</v>
      </c>
      <c r="AZ1036" s="48">
        <v>0</v>
      </c>
      <c r="BA1036" s="48">
        <v>0</v>
      </c>
      <c r="BB1036" s="48">
        <v>0</v>
      </c>
    </row>
    <row r="1037" spans="1:54" x14ac:dyDescent="0.35">
      <c r="A1037" s="49">
        <v>45930</v>
      </c>
      <c r="B1037" s="48">
        <v>1</v>
      </c>
      <c r="C1037" s="50" t="s">
        <v>32</v>
      </c>
      <c r="D1037" s="48" t="s">
        <v>31</v>
      </c>
      <c r="E1037" s="48" t="s">
        <v>138</v>
      </c>
      <c r="F1037" s="48" t="s">
        <v>139</v>
      </c>
      <c r="G1037" s="49" t="s">
        <v>64</v>
      </c>
      <c r="H1037" s="48" t="s">
        <v>64</v>
      </c>
      <c r="I1037" s="48">
        <v>1</v>
      </c>
      <c r="J1037" s="48">
        <v>6</v>
      </c>
      <c r="K1037" s="48">
        <v>1</v>
      </c>
      <c r="N1037" s="48">
        <v>0</v>
      </c>
      <c r="R1037" s="49"/>
      <c r="S1037" s="181">
        <v>0</v>
      </c>
      <c r="T1037" s="49">
        <v>46112</v>
      </c>
      <c r="U1037" s="49">
        <v>46112</v>
      </c>
      <c r="V1037" s="49">
        <v>46112</v>
      </c>
      <c r="W1037" s="49">
        <v>46112</v>
      </c>
      <c r="X1037" s="48">
        <v>1</v>
      </c>
      <c r="Y1037" s="48">
        <v>1</v>
      </c>
      <c r="Z1037" s="48">
        <v>1</v>
      </c>
      <c r="AA1037" s="156">
        <v>8390.977733491969</v>
      </c>
      <c r="AF1037" s="48">
        <v>0</v>
      </c>
      <c r="AG1037" s="49" t="s">
        <v>32</v>
      </c>
      <c r="AH1037" s="48">
        <v>1</v>
      </c>
      <c r="AI1037" s="48" t="s">
        <v>33</v>
      </c>
      <c r="AJ1037" s="48" t="s">
        <v>33</v>
      </c>
      <c r="AK1037" s="48" t="s">
        <v>33</v>
      </c>
      <c r="AL1037" s="48" t="s">
        <v>34</v>
      </c>
      <c r="AN1037" s="48">
        <v>0</v>
      </c>
      <c r="AO1037" s="48">
        <v>0</v>
      </c>
      <c r="AP1037" s="48">
        <v>0</v>
      </c>
      <c r="AQ1037" s="48">
        <v>0</v>
      </c>
      <c r="AR1037" s="48">
        <v>0</v>
      </c>
      <c r="AS1037" s="48">
        <v>0</v>
      </c>
      <c r="AT1037" s="48">
        <v>0</v>
      </c>
      <c r="AU1037" s="48">
        <v>0</v>
      </c>
      <c r="AV1037" s="48">
        <v>0</v>
      </c>
      <c r="AW1037" s="48">
        <v>0</v>
      </c>
      <c r="AX1037" s="48">
        <v>0</v>
      </c>
      <c r="AY1037" s="48">
        <v>0</v>
      </c>
      <c r="AZ1037" s="48">
        <v>0</v>
      </c>
      <c r="BA1037" s="48">
        <v>0</v>
      </c>
      <c r="BB1037" s="48">
        <v>0</v>
      </c>
    </row>
    <row r="1038" spans="1:54" x14ac:dyDescent="0.35">
      <c r="A1038" s="49">
        <v>45930</v>
      </c>
      <c r="B1038" s="48">
        <v>1</v>
      </c>
      <c r="C1038" s="50" t="s">
        <v>32</v>
      </c>
      <c r="D1038" s="48" t="s">
        <v>31</v>
      </c>
      <c r="E1038" s="48" t="s">
        <v>138</v>
      </c>
      <c r="F1038" s="48" t="s">
        <v>139</v>
      </c>
      <c r="G1038" s="49" t="s">
        <v>64</v>
      </c>
      <c r="H1038" s="48" t="s">
        <v>64</v>
      </c>
      <c r="I1038" s="48">
        <v>1</v>
      </c>
      <c r="J1038" s="48">
        <v>7</v>
      </c>
      <c r="K1038" s="48">
        <v>1</v>
      </c>
      <c r="N1038" s="48">
        <v>0</v>
      </c>
      <c r="R1038" s="49"/>
      <c r="S1038" s="181">
        <v>0</v>
      </c>
      <c r="T1038" s="49">
        <v>46142</v>
      </c>
      <c r="U1038" s="49">
        <v>46142</v>
      </c>
      <c r="V1038" s="49">
        <v>46142</v>
      </c>
      <c r="W1038" s="49">
        <v>46142</v>
      </c>
      <c r="X1038" s="48">
        <v>1</v>
      </c>
      <c r="Y1038" s="48">
        <v>1</v>
      </c>
      <c r="Z1038" s="48">
        <v>1</v>
      </c>
      <c r="AA1038" s="156">
        <v>8390.977733491969</v>
      </c>
      <c r="AF1038" s="48">
        <v>0</v>
      </c>
      <c r="AG1038" s="49" t="s">
        <v>32</v>
      </c>
      <c r="AH1038" s="48">
        <v>1</v>
      </c>
      <c r="AI1038" s="48" t="s">
        <v>33</v>
      </c>
      <c r="AJ1038" s="48" t="s">
        <v>33</v>
      </c>
      <c r="AK1038" s="48" t="s">
        <v>33</v>
      </c>
      <c r="AL1038" s="48" t="s">
        <v>34</v>
      </c>
      <c r="AN1038" s="48">
        <v>0</v>
      </c>
      <c r="AO1038" s="48">
        <v>0</v>
      </c>
      <c r="AP1038" s="48">
        <v>0</v>
      </c>
      <c r="AQ1038" s="48">
        <v>0</v>
      </c>
      <c r="AR1038" s="48">
        <v>0</v>
      </c>
      <c r="AS1038" s="48">
        <v>0</v>
      </c>
      <c r="AT1038" s="48">
        <v>0</v>
      </c>
      <c r="AU1038" s="48">
        <v>0</v>
      </c>
      <c r="AV1038" s="48">
        <v>0</v>
      </c>
      <c r="AW1038" s="48">
        <v>0</v>
      </c>
      <c r="AX1038" s="48">
        <v>0</v>
      </c>
      <c r="AY1038" s="48">
        <v>0</v>
      </c>
      <c r="AZ1038" s="48">
        <v>0</v>
      </c>
      <c r="BA1038" s="48">
        <v>0</v>
      </c>
      <c r="BB1038" s="48">
        <v>0</v>
      </c>
    </row>
    <row r="1039" spans="1:54" x14ac:dyDescent="0.35">
      <c r="A1039" s="49">
        <v>45930</v>
      </c>
      <c r="B1039" s="48">
        <v>1</v>
      </c>
      <c r="C1039" s="50" t="s">
        <v>32</v>
      </c>
      <c r="D1039" s="48" t="s">
        <v>31</v>
      </c>
      <c r="E1039" s="48" t="s">
        <v>138</v>
      </c>
      <c r="F1039" s="48" t="s">
        <v>139</v>
      </c>
      <c r="G1039" s="49" t="s">
        <v>64</v>
      </c>
      <c r="H1039" s="48" t="s">
        <v>64</v>
      </c>
      <c r="I1039" s="48">
        <v>1</v>
      </c>
      <c r="J1039" s="48">
        <v>8</v>
      </c>
      <c r="K1039" s="48">
        <v>1</v>
      </c>
      <c r="N1039" s="48">
        <v>0</v>
      </c>
      <c r="R1039" s="49"/>
      <c r="S1039" s="181">
        <v>0</v>
      </c>
      <c r="T1039" s="49">
        <v>46173</v>
      </c>
      <c r="U1039" s="49">
        <v>46173</v>
      </c>
      <c r="V1039" s="49">
        <v>46173</v>
      </c>
      <c r="W1039" s="49">
        <v>46173</v>
      </c>
      <c r="X1039" s="48">
        <v>1</v>
      </c>
      <c r="Y1039" s="48">
        <v>1</v>
      </c>
      <c r="Z1039" s="48">
        <v>1</v>
      </c>
      <c r="AA1039" s="156">
        <v>8390.977733491969</v>
      </c>
      <c r="AF1039" s="48">
        <v>0</v>
      </c>
      <c r="AG1039" s="49" t="s">
        <v>32</v>
      </c>
      <c r="AH1039" s="48">
        <v>1</v>
      </c>
      <c r="AI1039" s="48" t="s">
        <v>33</v>
      </c>
      <c r="AJ1039" s="48" t="s">
        <v>33</v>
      </c>
      <c r="AK1039" s="48" t="s">
        <v>33</v>
      </c>
      <c r="AL1039" s="48" t="s">
        <v>34</v>
      </c>
      <c r="AN1039" s="48">
        <v>0</v>
      </c>
      <c r="AO1039" s="48">
        <v>0</v>
      </c>
      <c r="AP1039" s="48">
        <v>0</v>
      </c>
      <c r="AQ1039" s="48">
        <v>0</v>
      </c>
      <c r="AR1039" s="48">
        <v>0</v>
      </c>
      <c r="AS1039" s="48">
        <v>0</v>
      </c>
      <c r="AT1039" s="48">
        <v>0</v>
      </c>
      <c r="AU1039" s="48">
        <v>0</v>
      </c>
      <c r="AV1039" s="48">
        <v>0</v>
      </c>
      <c r="AW1039" s="48">
        <v>0</v>
      </c>
      <c r="AX1039" s="48">
        <v>0</v>
      </c>
      <c r="AY1039" s="48">
        <v>0</v>
      </c>
      <c r="AZ1039" s="48">
        <v>0</v>
      </c>
      <c r="BA1039" s="48">
        <v>0</v>
      </c>
      <c r="BB1039" s="48">
        <v>0</v>
      </c>
    </row>
    <row r="1040" spans="1:54" x14ac:dyDescent="0.35">
      <c r="A1040" s="49">
        <v>45930</v>
      </c>
      <c r="B1040" s="48">
        <v>1</v>
      </c>
      <c r="C1040" s="50" t="s">
        <v>32</v>
      </c>
      <c r="D1040" s="48" t="s">
        <v>31</v>
      </c>
      <c r="E1040" s="48" t="s">
        <v>138</v>
      </c>
      <c r="F1040" s="48" t="s">
        <v>139</v>
      </c>
      <c r="G1040" s="49" t="s">
        <v>64</v>
      </c>
      <c r="H1040" s="48" t="s">
        <v>64</v>
      </c>
      <c r="I1040" s="48">
        <v>1</v>
      </c>
      <c r="J1040" s="48">
        <v>9</v>
      </c>
      <c r="K1040" s="48">
        <v>1</v>
      </c>
      <c r="N1040" s="48">
        <v>0</v>
      </c>
      <c r="R1040" s="49"/>
      <c r="S1040" s="181">
        <v>0</v>
      </c>
      <c r="T1040" s="49">
        <v>46203</v>
      </c>
      <c r="U1040" s="49">
        <v>46203</v>
      </c>
      <c r="V1040" s="49">
        <v>46203</v>
      </c>
      <c r="W1040" s="49">
        <v>46203</v>
      </c>
      <c r="X1040" s="48">
        <v>1</v>
      </c>
      <c r="Y1040" s="48">
        <v>1</v>
      </c>
      <c r="Z1040" s="48">
        <v>1</v>
      </c>
      <c r="AA1040" s="156">
        <v>8390.977733491969</v>
      </c>
      <c r="AF1040" s="48">
        <v>0</v>
      </c>
      <c r="AG1040" s="49" t="s">
        <v>32</v>
      </c>
      <c r="AH1040" s="48">
        <v>1</v>
      </c>
      <c r="AI1040" s="48" t="s">
        <v>33</v>
      </c>
      <c r="AJ1040" s="48" t="s">
        <v>33</v>
      </c>
      <c r="AK1040" s="48" t="s">
        <v>33</v>
      </c>
      <c r="AL1040" s="48" t="s">
        <v>34</v>
      </c>
      <c r="AN1040" s="48">
        <v>0</v>
      </c>
      <c r="AO1040" s="48">
        <v>0</v>
      </c>
      <c r="AP1040" s="48">
        <v>0</v>
      </c>
      <c r="AQ1040" s="48">
        <v>0</v>
      </c>
      <c r="AR1040" s="48">
        <v>0</v>
      </c>
      <c r="AS1040" s="48">
        <v>0</v>
      </c>
      <c r="AT1040" s="48">
        <v>0</v>
      </c>
      <c r="AU1040" s="48">
        <v>0</v>
      </c>
      <c r="AV1040" s="48">
        <v>0</v>
      </c>
      <c r="AW1040" s="48">
        <v>0</v>
      </c>
      <c r="AX1040" s="48">
        <v>0</v>
      </c>
      <c r="AY1040" s="48">
        <v>0</v>
      </c>
      <c r="AZ1040" s="48">
        <v>0</v>
      </c>
      <c r="BA1040" s="48">
        <v>0</v>
      </c>
      <c r="BB1040" s="48">
        <v>0</v>
      </c>
    </row>
    <row r="1041" spans="1:54" x14ac:dyDescent="0.35">
      <c r="A1041" s="49">
        <v>45930</v>
      </c>
      <c r="B1041" s="48">
        <v>1</v>
      </c>
      <c r="C1041" s="50" t="s">
        <v>32</v>
      </c>
      <c r="D1041" s="48" t="s">
        <v>31</v>
      </c>
      <c r="E1041" s="48" t="s">
        <v>138</v>
      </c>
      <c r="F1041" s="48" t="s">
        <v>139</v>
      </c>
      <c r="G1041" s="49" t="s">
        <v>64</v>
      </c>
      <c r="H1041" s="48" t="s">
        <v>64</v>
      </c>
      <c r="I1041" s="48">
        <v>1</v>
      </c>
      <c r="J1041" s="48">
        <v>10</v>
      </c>
      <c r="K1041" s="48">
        <v>1</v>
      </c>
      <c r="N1041" s="48">
        <v>0</v>
      </c>
      <c r="R1041" s="49"/>
      <c r="S1041" s="181">
        <v>0</v>
      </c>
      <c r="T1041" s="49">
        <v>46234</v>
      </c>
      <c r="U1041" s="49">
        <v>46234</v>
      </c>
      <c r="V1041" s="49">
        <v>46234</v>
      </c>
      <c r="W1041" s="49">
        <v>46234</v>
      </c>
      <c r="X1041" s="48">
        <v>1</v>
      </c>
      <c r="Y1041" s="48">
        <v>1</v>
      </c>
      <c r="Z1041" s="48">
        <v>1</v>
      </c>
      <c r="AA1041" s="156">
        <v>8390.977733491969</v>
      </c>
      <c r="AF1041" s="48">
        <v>0</v>
      </c>
      <c r="AG1041" s="49" t="s">
        <v>32</v>
      </c>
      <c r="AH1041" s="48">
        <v>1</v>
      </c>
      <c r="AI1041" s="48" t="s">
        <v>33</v>
      </c>
      <c r="AJ1041" s="48" t="s">
        <v>33</v>
      </c>
      <c r="AK1041" s="48" t="s">
        <v>33</v>
      </c>
      <c r="AL1041" s="48" t="s">
        <v>34</v>
      </c>
      <c r="AN1041" s="48">
        <v>0</v>
      </c>
      <c r="AO1041" s="48">
        <v>0</v>
      </c>
      <c r="AP1041" s="48">
        <v>0</v>
      </c>
      <c r="AQ1041" s="48">
        <v>0</v>
      </c>
      <c r="AR1041" s="48">
        <v>0</v>
      </c>
      <c r="AS1041" s="48">
        <v>0</v>
      </c>
      <c r="AT1041" s="48">
        <v>0</v>
      </c>
      <c r="AU1041" s="48">
        <v>0</v>
      </c>
      <c r="AV1041" s="48">
        <v>0</v>
      </c>
      <c r="AW1041" s="48">
        <v>0</v>
      </c>
      <c r="AX1041" s="48">
        <v>0</v>
      </c>
      <c r="AY1041" s="48">
        <v>0</v>
      </c>
      <c r="AZ1041" s="48">
        <v>0</v>
      </c>
      <c r="BA1041" s="48">
        <v>0</v>
      </c>
      <c r="BB1041" s="48">
        <v>0</v>
      </c>
    </row>
    <row r="1042" spans="1:54" x14ac:dyDescent="0.35">
      <c r="A1042" s="49">
        <v>45930</v>
      </c>
      <c r="B1042" s="48">
        <v>1</v>
      </c>
      <c r="C1042" s="50" t="s">
        <v>32</v>
      </c>
      <c r="D1042" s="48" t="s">
        <v>31</v>
      </c>
      <c r="E1042" s="48" t="s">
        <v>138</v>
      </c>
      <c r="F1042" s="48" t="s">
        <v>139</v>
      </c>
      <c r="G1042" s="49" t="s">
        <v>64</v>
      </c>
      <c r="H1042" s="48" t="s">
        <v>64</v>
      </c>
      <c r="I1042" s="48">
        <v>1</v>
      </c>
      <c r="J1042" s="48">
        <v>11</v>
      </c>
      <c r="K1042" s="48">
        <v>1</v>
      </c>
      <c r="N1042" s="48">
        <v>0</v>
      </c>
      <c r="R1042" s="49"/>
      <c r="S1042" s="181">
        <v>0</v>
      </c>
      <c r="T1042" s="49">
        <v>46265</v>
      </c>
      <c r="U1042" s="49">
        <v>46265</v>
      </c>
      <c r="V1042" s="49">
        <v>46265</v>
      </c>
      <c r="W1042" s="49">
        <v>46265</v>
      </c>
      <c r="X1042" s="48">
        <v>1</v>
      </c>
      <c r="Y1042" s="48">
        <v>1</v>
      </c>
      <c r="Z1042" s="48">
        <v>1</v>
      </c>
      <c r="AA1042" s="156">
        <v>8390.977733491969</v>
      </c>
      <c r="AF1042" s="48">
        <v>0</v>
      </c>
      <c r="AG1042" s="49" t="s">
        <v>32</v>
      </c>
      <c r="AH1042" s="48">
        <v>1</v>
      </c>
      <c r="AI1042" s="48" t="s">
        <v>33</v>
      </c>
      <c r="AJ1042" s="48" t="s">
        <v>33</v>
      </c>
      <c r="AK1042" s="48" t="s">
        <v>33</v>
      </c>
      <c r="AL1042" s="48" t="s">
        <v>34</v>
      </c>
      <c r="AN1042" s="48">
        <v>0</v>
      </c>
      <c r="AO1042" s="48">
        <v>0</v>
      </c>
      <c r="AP1042" s="48">
        <v>0</v>
      </c>
      <c r="AQ1042" s="48">
        <v>0</v>
      </c>
      <c r="AR1042" s="48">
        <v>0</v>
      </c>
      <c r="AS1042" s="48">
        <v>0</v>
      </c>
      <c r="AT1042" s="48">
        <v>0</v>
      </c>
      <c r="AU1042" s="48">
        <v>0</v>
      </c>
      <c r="AV1042" s="48">
        <v>0</v>
      </c>
      <c r="AW1042" s="48">
        <v>0</v>
      </c>
      <c r="AX1042" s="48">
        <v>0</v>
      </c>
      <c r="AY1042" s="48">
        <v>0</v>
      </c>
      <c r="AZ1042" s="48">
        <v>0</v>
      </c>
      <c r="BA1042" s="48">
        <v>0</v>
      </c>
      <c r="BB1042" s="48">
        <v>0</v>
      </c>
    </row>
    <row r="1043" spans="1:54" x14ac:dyDescent="0.35">
      <c r="A1043" s="49">
        <v>45930</v>
      </c>
      <c r="B1043" s="48">
        <v>1</v>
      </c>
      <c r="C1043" s="50" t="s">
        <v>32</v>
      </c>
      <c r="D1043" s="48" t="s">
        <v>31</v>
      </c>
      <c r="E1043" s="48" t="s">
        <v>138</v>
      </c>
      <c r="F1043" s="48" t="s">
        <v>139</v>
      </c>
      <c r="G1043" s="49" t="s">
        <v>64</v>
      </c>
      <c r="H1043" s="48" t="s">
        <v>64</v>
      </c>
      <c r="I1043" s="48">
        <v>1</v>
      </c>
      <c r="J1043" s="48">
        <v>12</v>
      </c>
      <c r="K1043" s="48">
        <v>1</v>
      </c>
      <c r="N1043" s="48">
        <v>0</v>
      </c>
      <c r="R1043" s="49"/>
      <c r="S1043" s="181">
        <v>0</v>
      </c>
      <c r="T1043" s="49">
        <v>46295</v>
      </c>
      <c r="U1043" s="49">
        <v>46295</v>
      </c>
      <c r="V1043" s="49">
        <v>46295</v>
      </c>
      <c r="W1043" s="49">
        <v>46295</v>
      </c>
      <c r="X1043" s="48">
        <v>1</v>
      </c>
      <c r="Y1043" s="48">
        <v>1</v>
      </c>
      <c r="Z1043" s="48">
        <v>1</v>
      </c>
      <c r="AA1043" s="156">
        <v>8390.977733491969</v>
      </c>
      <c r="AF1043" s="48">
        <v>0</v>
      </c>
      <c r="AG1043" s="49" t="s">
        <v>32</v>
      </c>
      <c r="AH1043" s="48">
        <v>1</v>
      </c>
      <c r="AI1043" s="48" t="s">
        <v>33</v>
      </c>
      <c r="AJ1043" s="48" t="s">
        <v>33</v>
      </c>
      <c r="AK1043" s="48" t="s">
        <v>33</v>
      </c>
      <c r="AL1043" s="48" t="s">
        <v>34</v>
      </c>
      <c r="AN1043" s="48">
        <v>0</v>
      </c>
      <c r="AO1043" s="48">
        <v>0</v>
      </c>
      <c r="AP1043" s="48">
        <v>0</v>
      </c>
      <c r="AQ1043" s="48">
        <v>0</v>
      </c>
      <c r="AR1043" s="48">
        <v>0</v>
      </c>
      <c r="AS1043" s="48">
        <v>0</v>
      </c>
      <c r="AT1043" s="48">
        <v>0</v>
      </c>
      <c r="AU1043" s="48">
        <v>0</v>
      </c>
      <c r="AV1043" s="48">
        <v>0</v>
      </c>
      <c r="AW1043" s="48">
        <v>0</v>
      </c>
      <c r="AX1043" s="48">
        <v>0</v>
      </c>
      <c r="AY1043" s="48">
        <v>0</v>
      </c>
      <c r="AZ1043" s="48">
        <v>0</v>
      </c>
      <c r="BA1043" s="48">
        <v>0</v>
      </c>
      <c r="BB1043" s="48">
        <v>0</v>
      </c>
    </row>
    <row r="1044" spans="1:54" x14ac:dyDescent="0.35">
      <c r="A1044" s="49">
        <v>45930</v>
      </c>
      <c r="B1044" s="48">
        <v>1</v>
      </c>
      <c r="C1044" s="50" t="s">
        <v>32</v>
      </c>
      <c r="D1044" s="48" t="s">
        <v>31</v>
      </c>
      <c r="E1044" s="48" t="s">
        <v>138</v>
      </c>
      <c r="F1044" s="48" t="s">
        <v>139</v>
      </c>
      <c r="G1044" s="49" t="s">
        <v>64</v>
      </c>
      <c r="H1044" s="48" t="s">
        <v>64</v>
      </c>
      <c r="I1044" s="48">
        <v>1</v>
      </c>
      <c r="J1044" s="48">
        <v>13</v>
      </c>
      <c r="K1044" s="48">
        <v>1</v>
      </c>
      <c r="N1044" s="48">
        <v>0</v>
      </c>
      <c r="R1044" s="49"/>
      <c r="S1044" s="181">
        <v>0</v>
      </c>
      <c r="T1044" s="49">
        <v>46326</v>
      </c>
      <c r="U1044" s="49">
        <v>46326</v>
      </c>
      <c r="V1044" s="49">
        <v>46326</v>
      </c>
      <c r="W1044" s="49">
        <v>46326</v>
      </c>
      <c r="X1044" s="48">
        <v>1</v>
      </c>
      <c r="Y1044" s="48">
        <v>1</v>
      </c>
      <c r="Z1044" s="48">
        <v>1</v>
      </c>
      <c r="AA1044" s="156">
        <v>8390.977733491969</v>
      </c>
      <c r="AF1044" s="48">
        <v>0</v>
      </c>
      <c r="AG1044" s="49" t="s">
        <v>32</v>
      </c>
      <c r="AH1044" s="48">
        <v>1</v>
      </c>
      <c r="AI1044" s="48" t="s">
        <v>33</v>
      </c>
      <c r="AJ1044" s="48" t="s">
        <v>33</v>
      </c>
      <c r="AK1044" s="48" t="s">
        <v>33</v>
      </c>
      <c r="AL1044" s="48" t="s">
        <v>34</v>
      </c>
      <c r="AN1044" s="48">
        <v>0</v>
      </c>
      <c r="AO1044" s="48">
        <v>0</v>
      </c>
      <c r="AP1044" s="48">
        <v>0</v>
      </c>
      <c r="AQ1044" s="48">
        <v>0</v>
      </c>
      <c r="AR1044" s="48">
        <v>0</v>
      </c>
      <c r="AS1044" s="48">
        <v>0</v>
      </c>
      <c r="AT1044" s="48">
        <v>0</v>
      </c>
      <c r="AU1044" s="48">
        <v>0</v>
      </c>
      <c r="AV1044" s="48">
        <v>0</v>
      </c>
      <c r="AW1044" s="48">
        <v>0</v>
      </c>
      <c r="AX1044" s="48">
        <v>0</v>
      </c>
      <c r="AY1044" s="48">
        <v>0</v>
      </c>
      <c r="AZ1044" s="48">
        <v>0</v>
      </c>
      <c r="BA1044" s="48">
        <v>0</v>
      </c>
      <c r="BB1044" s="48">
        <v>0</v>
      </c>
    </row>
    <row r="1045" spans="1:54" x14ac:dyDescent="0.35">
      <c r="A1045" s="49">
        <v>45930</v>
      </c>
      <c r="B1045" s="48">
        <v>1</v>
      </c>
      <c r="C1045" s="50" t="s">
        <v>32</v>
      </c>
      <c r="D1045" s="48" t="s">
        <v>31</v>
      </c>
      <c r="E1045" s="48" t="s">
        <v>138</v>
      </c>
      <c r="F1045" s="48" t="s">
        <v>139</v>
      </c>
      <c r="G1045" s="49" t="s">
        <v>64</v>
      </c>
      <c r="H1045" s="48" t="s">
        <v>64</v>
      </c>
      <c r="I1045" s="48">
        <v>1</v>
      </c>
      <c r="J1045" s="48">
        <v>14</v>
      </c>
      <c r="K1045" s="48">
        <v>1</v>
      </c>
      <c r="N1045" s="48">
        <v>0</v>
      </c>
      <c r="R1045" s="49"/>
      <c r="S1045" s="181">
        <v>0</v>
      </c>
      <c r="T1045" s="49">
        <v>46356</v>
      </c>
      <c r="U1045" s="49">
        <v>46356</v>
      </c>
      <c r="V1045" s="49">
        <v>46356</v>
      </c>
      <c r="W1045" s="49">
        <v>46356</v>
      </c>
      <c r="X1045" s="48">
        <v>1</v>
      </c>
      <c r="Y1045" s="48">
        <v>1</v>
      </c>
      <c r="Z1045" s="48">
        <v>1</v>
      </c>
      <c r="AA1045" s="156">
        <v>8390.977733491969</v>
      </c>
      <c r="AF1045" s="48">
        <v>0</v>
      </c>
      <c r="AG1045" s="49" t="s">
        <v>32</v>
      </c>
      <c r="AH1045" s="48">
        <v>1</v>
      </c>
      <c r="AI1045" s="48" t="s">
        <v>33</v>
      </c>
      <c r="AJ1045" s="48" t="s">
        <v>33</v>
      </c>
      <c r="AK1045" s="48" t="s">
        <v>33</v>
      </c>
      <c r="AL1045" s="48" t="s">
        <v>34</v>
      </c>
      <c r="AN1045" s="48">
        <v>0</v>
      </c>
      <c r="AO1045" s="48">
        <v>0</v>
      </c>
      <c r="AP1045" s="48">
        <v>0</v>
      </c>
      <c r="AQ1045" s="48">
        <v>0</v>
      </c>
      <c r="AR1045" s="48">
        <v>0</v>
      </c>
      <c r="AS1045" s="48">
        <v>0</v>
      </c>
      <c r="AT1045" s="48">
        <v>0</v>
      </c>
      <c r="AU1045" s="48">
        <v>0</v>
      </c>
      <c r="AV1045" s="48">
        <v>0</v>
      </c>
      <c r="AW1045" s="48">
        <v>0</v>
      </c>
      <c r="AX1045" s="48">
        <v>0</v>
      </c>
      <c r="AY1045" s="48">
        <v>0</v>
      </c>
      <c r="AZ1045" s="48">
        <v>0</v>
      </c>
      <c r="BA1045" s="48">
        <v>0</v>
      </c>
      <c r="BB1045" s="48">
        <v>0</v>
      </c>
    </row>
    <row r="1046" spans="1:54" x14ac:dyDescent="0.35">
      <c r="A1046" s="49">
        <v>45930</v>
      </c>
      <c r="B1046" s="48">
        <v>1</v>
      </c>
      <c r="C1046" s="50" t="s">
        <v>32</v>
      </c>
      <c r="D1046" s="48" t="s">
        <v>31</v>
      </c>
      <c r="E1046" s="48" t="s">
        <v>138</v>
      </c>
      <c r="F1046" s="48" t="s">
        <v>139</v>
      </c>
      <c r="G1046" s="49" t="s">
        <v>64</v>
      </c>
      <c r="H1046" s="48" t="s">
        <v>64</v>
      </c>
      <c r="I1046" s="48">
        <v>1</v>
      </c>
      <c r="J1046" s="48">
        <v>15</v>
      </c>
      <c r="K1046" s="48">
        <v>1</v>
      </c>
      <c r="N1046" s="48">
        <v>0</v>
      </c>
      <c r="R1046" s="49"/>
      <c r="S1046" s="181">
        <v>0</v>
      </c>
      <c r="T1046" s="49">
        <v>46387</v>
      </c>
      <c r="U1046" s="49">
        <v>46387</v>
      </c>
      <c r="V1046" s="49">
        <v>46387</v>
      </c>
      <c r="W1046" s="49">
        <v>46387</v>
      </c>
      <c r="X1046" s="48">
        <v>1</v>
      </c>
      <c r="Y1046" s="48">
        <v>1</v>
      </c>
      <c r="Z1046" s="48">
        <v>1</v>
      </c>
      <c r="AA1046" s="156">
        <v>8390.977733491969</v>
      </c>
      <c r="AF1046" s="48">
        <v>0</v>
      </c>
      <c r="AG1046" s="49" t="s">
        <v>32</v>
      </c>
      <c r="AH1046" s="48">
        <v>1</v>
      </c>
      <c r="AI1046" s="48" t="s">
        <v>33</v>
      </c>
      <c r="AJ1046" s="48" t="s">
        <v>33</v>
      </c>
      <c r="AK1046" s="48" t="s">
        <v>33</v>
      </c>
      <c r="AL1046" s="48" t="s">
        <v>34</v>
      </c>
      <c r="AN1046" s="48">
        <v>0</v>
      </c>
      <c r="AO1046" s="48">
        <v>0</v>
      </c>
      <c r="AP1046" s="48">
        <v>0</v>
      </c>
      <c r="AQ1046" s="48">
        <v>0</v>
      </c>
      <c r="AR1046" s="48">
        <v>0</v>
      </c>
      <c r="AS1046" s="48">
        <v>0</v>
      </c>
      <c r="AT1046" s="48">
        <v>0</v>
      </c>
      <c r="AU1046" s="48">
        <v>0</v>
      </c>
      <c r="AV1046" s="48">
        <v>0</v>
      </c>
      <c r="AW1046" s="48">
        <v>0</v>
      </c>
      <c r="AX1046" s="48">
        <v>0</v>
      </c>
      <c r="AY1046" s="48">
        <v>0</v>
      </c>
      <c r="AZ1046" s="48">
        <v>0</v>
      </c>
      <c r="BA1046" s="48">
        <v>0</v>
      </c>
      <c r="BB1046" s="48">
        <v>0</v>
      </c>
    </row>
    <row r="1047" spans="1:54" x14ac:dyDescent="0.35">
      <c r="A1047" s="49">
        <v>45930</v>
      </c>
      <c r="B1047" s="48">
        <v>1</v>
      </c>
      <c r="C1047" s="50" t="s">
        <v>32</v>
      </c>
      <c r="D1047" s="48" t="s">
        <v>31</v>
      </c>
      <c r="E1047" s="48" t="s">
        <v>138</v>
      </c>
      <c r="F1047" s="48" t="s">
        <v>139</v>
      </c>
      <c r="G1047" s="49" t="s">
        <v>64</v>
      </c>
      <c r="H1047" s="48" t="s">
        <v>64</v>
      </c>
      <c r="I1047" s="48">
        <v>1</v>
      </c>
      <c r="J1047" s="48">
        <v>16</v>
      </c>
      <c r="K1047" s="48">
        <v>1</v>
      </c>
      <c r="N1047" s="48">
        <v>0</v>
      </c>
      <c r="R1047" s="49"/>
      <c r="S1047" s="181">
        <v>0</v>
      </c>
      <c r="T1047" s="49">
        <v>46418</v>
      </c>
      <c r="U1047" s="49">
        <v>46418</v>
      </c>
      <c r="V1047" s="49">
        <v>46418</v>
      </c>
      <c r="W1047" s="49">
        <v>46418</v>
      </c>
      <c r="X1047" s="48">
        <v>1</v>
      </c>
      <c r="Y1047" s="48">
        <v>1</v>
      </c>
      <c r="Z1047" s="48">
        <v>1</v>
      </c>
      <c r="AA1047" s="156">
        <v>8390.977733491969</v>
      </c>
      <c r="AF1047" s="48">
        <v>0</v>
      </c>
      <c r="AG1047" s="49" t="s">
        <v>32</v>
      </c>
      <c r="AH1047" s="48">
        <v>1</v>
      </c>
      <c r="AI1047" s="48" t="s">
        <v>33</v>
      </c>
      <c r="AJ1047" s="48" t="s">
        <v>33</v>
      </c>
      <c r="AK1047" s="48" t="s">
        <v>33</v>
      </c>
      <c r="AL1047" s="48" t="s">
        <v>34</v>
      </c>
      <c r="AN1047" s="48">
        <v>0</v>
      </c>
      <c r="AO1047" s="48">
        <v>0</v>
      </c>
      <c r="AP1047" s="48">
        <v>0</v>
      </c>
      <c r="AQ1047" s="48">
        <v>0</v>
      </c>
      <c r="AR1047" s="48">
        <v>0</v>
      </c>
      <c r="AS1047" s="48">
        <v>0</v>
      </c>
      <c r="AT1047" s="48">
        <v>0</v>
      </c>
      <c r="AU1047" s="48">
        <v>0</v>
      </c>
      <c r="AV1047" s="48">
        <v>0</v>
      </c>
      <c r="AW1047" s="48">
        <v>0</v>
      </c>
      <c r="AX1047" s="48">
        <v>0</v>
      </c>
      <c r="AY1047" s="48">
        <v>0</v>
      </c>
      <c r="AZ1047" s="48">
        <v>0</v>
      </c>
      <c r="BA1047" s="48">
        <v>0</v>
      </c>
      <c r="BB1047" s="48">
        <v>0</v>
      </c>
    </row>
    <row r="1048" spans="1:54" x14ac:dyDescent="0.35">
      <c r="A1048" s="49">
        <v>45930</v>
      </c>
      <c r="B1048" s="48">
        <v>1</v>
      </c>
      <c r="C1048" s="50" t="s">
        <v>32</v>
      </c>
      <c r="D1048" s="48" t="s">
        <v>31</v>
      </c>
      <c r="E1048" s="48" t="s">
        <v>138</v>
      </c>
      <c r="F1048" s="48" t="s">
        <v>139</v>
      </c>
      <c r="G1048" s="49" t="s">
        <v>64</v>
      </c>
      <c r="H1048" s="48" t="s">
        <v>64</v>
      </c>
      <c r="I1048" s="48">
        <v>1</v>
      </c>
      <c r="J1048" s="48">
        <v>17</v>
      </c>
      <c r="K1048" s="48">
        <v>1</v>
      </c>
      <c r="N1048" s="48">
        <v>0</v>
      </c>
      <c r="R1048" s="49"/>
      <c r="S1048" s="181">
        <v>0</v>
      </c>
      <c r="T1048" s="49">
        <v>46446</v>
      </c>
      <c r="U1048" s="49">
        <v>46446</v>
      </c>
      <c r="V1048" s="49">
        <v>46446</v>
      </c>
      <c r="W1048" s="49">
        <v>46446</v>
      </c>
      <c r="X1048" s="48">
        <v>1</v>
      </c>
      <c r="Y1048" s="48">
        <v>1</v>
      </c>
      <c r="Z1048" s="48">
        <v>1</v>
      </c>
      <c r="AA1048" s="156">
        <v>8390.977733491969</v>
      </c>
      <c r="AF1048" s="48">
        <v>0</v>
      </c>
      <c r="AG1048" s="49" t="s">
        <v>32</v>
      </c>
      <c r="AH1048" s="48">
        <v>1</v>
      </c>
      <c r="AI1048" s="48" t="s">
        <v>33</v>
      </c>
      <c r="AJ1048" s="48" t="s">
        <v>33</v>
      </c>
      <c r="AK1048" s="48" t="s">
        <v>33</v>
      </c>
      <c r="AL1048" s="48" t="s">
        <v>34</v>
      </c>
      <c r="AN1048" s="48">
        <v>0</v>
      </c>
      <c r="AO1048" s="48">
        <v>0</v>
      </c>
      <c r="AP1048" s="48">
        <v>0</v>
      </c>
      <c r="AQ1048" s="48">
        <v>0</v>
      </c>
      <c r="AR1048" s="48">
        <v>0</v>
      </c>
      <c r="AS1048" s="48">
        <v>0</v>
      </c>
      <c r="AT1048" s="48">
        <v>0</v>
      </c>
      <c r="AU1048" s="48">
        <v>0</v>
      </c>
      <c r="AV1048" s="48">
        <v>0</v>
      </c>
      <c r="AW1048" s="48">
        <v>0</v>
      </c>
      <c r="AX1048" s="48">
        <v>0</v>
      </c>
      <c r="AY1048" s="48">
        <v>0</v>
      </c>
      <c r="AZ1048" s="48">
        <v>0</v>
      </c>
      <c r="BA1048" s="48">
        <v>0</v>
      </c>
      <c r="BB1048" s="48">
        <v>0</v>
      </c>
    </row>
    <row r="1049" spans="1:54" x14ac:dyDescent="0.35">
      <c r="A1049" s="49">
        <v>45930</v>
      </c>
      <c r="B1049" s="48">
        <v>1</v>
      </c>
      <c r="C1049" s="50" t="s">
        <v>32</v>
      </c>
      <c r="D1049" s="48" t="s">
        <v>31</v>
      </c>
      <c r="E1049" s="48" t="s">
        <v>138</v>
      </c>
      <c r="F1049" s="48" t="s">
        <v>139</v>
      </c>
      <c r="G1049" s="49" t="s">
        <v>64</v>
      </c>
      <c r="H1049" s="48" t="s">
        <v>64</v>
      </c>
      <c r="I1049" s="48">
        <v>1</v>
      </c>
      <c r="J1049" s="48">
        <v>18</v>
      </c>
      <c r="K1049" s="48">
        <v>1</v>
      </c>
      <c r="N1049" s="48">
        <v>0</v>
      </c>
      <c r="R1049" s="49"/>
      <c r="S1049" s="181">
        <v>0</v>
      </c>
      <c r="T1049" s="49">
        <v>46477</v>
      </c>
      <c r="U1049" s="49">
        <v>46477</v>
      </c>
      <c r="V1049" s="49">
        <v>46477</v>
      </c>
      <c r="W1049" s="49">
        <v>46477</v>
      </c>
      <c r="X1049" s="48">
        <v>1</v>
      </c>
      <c r="Y1049" s="48">
        <v>1</v>
      </c>
      <c r="Z1049" s="48">
        <v>1</v>
      </c>
      <c r="AA1049" s="156">
        <v>8390.977733491969</v>
      </c>
      <c r="AF1049" s="48">
        <v>0</v>
      </c>
      <c r="AG1049" s="49" t="s">
        <v>32</v>
      </c>
      <c r="AH1049" s="48">
        <v>1</v>
      </c>
      <c r="AI1049" s="48" t="s">
        <v>33</v>
      </c>
      <c r="AJ1049" s="48" t="s">
        <v>33</v>
      </c>
      <c r="AK1049" s="48" t="s">
        <v>33</v>
      </c>
      <c r="AL1049" s="48" t="s">
        <v>34</v>
      </c>
      <c r="AN1049" s="48">
        <v>0</v>
      </c>
      <c r="AO1049" s="48">
        <v>0</v>
      </c>
      <c r="AP1049" s="48">
        <v>0</v>
      </c>
      <c r="AQ1049" s="48">
        <v>0</v>
      </c>
      <c r="AR1049" s="48">
        <v>0</v>
      </c>
      <c r="AS1049" s="48">
        <v>0</v>
      </c>
      <c r="AT1049" s="48">
        <v>0</v>
      </c>
      <c r="AU1049" s="48">
        <v>0</v>
      </c>
      <c r="AV1049" s="48">
        <v>0</v>
      </c>
      <c r="AW1049" s="48">
        <v>0</v>
      </c>
      <c r="AX1049" s="48">
        <v>0</v>
      </c>
      <c r="AY1049" s="48">
        <v>0</v>
      </c>
      <c r="AZ1049" s="48">
        <v>0</v>
      </c>
      <c r="BA1049" s="48">
        <v>0</v>
      </c>
      <c r="BB1049" s="48">
        <v>0</v>
      </c>
    </row>
    <row r="1050" spans="1:54" x14ac:dyDescent="0.35">
      <c r="A1050" s="49">
        <v>45930</v>
      </c>
      <c r="B1050" s="48">
        <v>1</v>
      </c>
      <c r="C1050" s="50" t="s">
        <v>32</v>
      </c>
      <c r="D1050" s="48" t="s">
        <v>31</v>
      </c>
      <c r="E1050" s="48" t="s">
        <v>138</v>
      </c>
      <c r="F1050" s="48" t="s">
        <v>139</v>
      </c>
      <c r="G1050" s="49" t="s">
        <v>64</v>
      </c>
      <c r="H1050" s="48" t="s">
        <v>64</v>
      </c>
      <c r="I1050" s="48">
        <v>1</v>
      </c>
      <c r="J1050" s="48">
        <v>19</v>
      </c>
      <c r="K1050" s="48">
        <v>1</v>
      </c>
      <c r="N1050" s="48">
        <v>0</v>
      </c>
      <c r="R1050" s="49"/>
      <c r="S1050" s="181">
        <v>0</v>
      </c>
      <c r="T1050" s="49">
        <v>46507</v>
      </c>
      <c r="U1050" s="49">
        <v>46507</v>
      </c>
      <c r="V1050" s="49">
        <v>46507</v>
      </c>
      <c r="W1050" s="49">
        <v>46507</v>
      </c>
      <c r="X1050" s="48">
        <v>1</v>
      </c>
      <c r="Y1050" s="48">
        <v>1</v>
      </c>
      <c r="Z1050" s="48">
        <v>1</v>
      </c>
      <c r="AA1050" s="156">
        <v>8390.977733491969</v>
      </c>
      <c r="AF1050" s="48">
        <v>0</v>
      </c>
      <c r="AG1050" s="49" t="s">
        <v>32</v>
      </c>
      <c r="AH1050" s="48">
        <v>1</v>
      </c>
      <c r="AI1050" s="48" t="s">
        <v>33</v>
      </c>
      <c r="AJ1050" s="48" t="s">
        <v>33</v>
      </c>
      <c r="AK1050" s="48" t="s">
        <v>33</v>
      </c>
      <c r="AL1050" s="48" t="s">
        <v>34</v>
      </c>
      <c r="AN1050" s="48">
        <v>0</v>
      </c>
      <c r="AO1050" s="48">
        <v>0</v>
      </c>
      <c r="AP1050" s="48">
        <v>0</v>
      </c>
      <c r="AQ1050" s="48">
        <v>0</v>
      </c>
      <c r="AR1050" s="48">
        <v>0</v>
      </c>
      <c r="AS1050" s="48">
        <v>0</v>
      </c>
      <c r="AT1050" s="48">
        <v>0</v>
      </c>
      <c r="AU1050" s="48">
        <v>0</v>
      </c>
      <c r="AV1050" s="48">
        <v>0</v>
      </c>
      <c r="AW1050" s="48">
        <v>0</v>
      </c>
      <c r="AX1050" s="48">
        <v>0</v>
      </c>
      <c r="AY1050" s="48">
        <v>0</v>
      </c>
      <c r="AZ1050" s="48">
        <v>0</v>
      </c>
      <c r="BA1050" s="48">
        <v>0</v>
      </c>
      <c r="BB1050" s="48">
        <v>0</v>
      </c>
    </row>
    <row r="1051" spans="1:54" x14ac:dyDescent="0.35">
      <c r="A1051" s="49">
        <v>45930</v>
      </c>
      <c r="B1051" s="48">
        <v>1</v>
      </c>
      <c r="C1051" s="50" t="s">
        <v>32</v>
      </c>
      <c r="D1051" s="48" t="s">
        <v>31</v>
      </c>
      <c r="E1051" s="48" t="s">
        <v>138</v>
      </c>
      <c r="F1051" s="48" t="s">
        <v>139</v>
      </c>
      <c r="G1051" s="49" t="s">
        <v>64</v>
      </c>
      <c r="H1051" s="48" t="s">
        <v>64</v>
      </c>
      <c r="I1051" s="48">
        <v>1</v>
      </c>
      <c r="J1051" s="48">
        <v>20</v>
      </c>
      <c r="K1051" s="48">
        <v>1</v>
      </c>
      <c r="N1051" s="48">
        <v>0</v>
      </c>
      <c r="R1051" s="49"/>
      <c r="S1051" s="181">
        <v>0</v>
      </c>
      <c r="T1051" s="49">
        <v>46538</v>
      </c>
      <c r="U1051" s="49">
        <v>46538</v>
      </c>
      <c r="V1051" s="49">
        <v>46538</v>
      </c>
      <c r="W1051" s="49">
        <v>46538</v>
      </c>
      <c r="X1051" s="48">
        <v>1</v>
      </c>
      <c r="Y1051" s="48">
        <v>1</v>
      </c>
      <c r="Z1051" s="48">
        <v>1</v>
      </c>
      <c r="AA1051" s="156">
        <v>8390.977733491969</v>
      </c>
      <c r="AF1051" s="48">
        <v>0</v>
      </c>
      <c r="AG1051" s="49" t="s">
        <v>32</v>
      </c>
      <c r="AH1051" s="48">
        <v>1</v>
      </c>
      <c r="AI1051" s="48" t="s">
        <v>33</v>
      </c>
      <c r="AJ1051" s="48" t="s">
        <v>33</v>
      </c>
      <c r="AK1051" s="48" t="s">
        <v>33</v>
      </c>
      <c r="AL1051" s="48" t="s">
        <v>34</v>
      </c>
      <c r="AN1051" s="48">
        <v>0</v>
      </c>
      <c r="AO1051" s="48">
        <v>0</v>
      </c>
      <c r="AP1051" s="48">
        <v>0</v>
      </c>
      <c r="AQ1051" s="48">
        <v>0</v>
      </c>
      <c r="AR1051" s="48">
        <v>0</v>
      </c>
      <c r="AS1051" s="48">
        <v>0</v>
      </c>
      <c r="AT1051" s="48">
        <v>0</v>
      </c>
      <c r="AU1051" s="48">
        <v>0</v>
      </c>
      <c r="AV1051" s="48">
        <v>0</v>
      </c>
      <c r="AW1051" s="48">
        <v>0</v>
      </c>
      <c r="AX1051" s="48">
        <v>0</v>
      </c>
      <c r="AY1051" s="48">
        <v>0</v>
      </c>
      <c r="AZ1051" s="48">
        <v>0</v>
      </c>
      <c r="BA1051" s="48">
        <v>0</v>
      </c>
      <c r="BB1051" s="48">
        <v>0</v>
      </c>
    </row>
    <row r="1052" spans="1:54" x14ac:dyDescent="0.35">
      <c r="A1052" s="49">
        <v>45930</v>
      </c>
      <c r="B1052" s="48">
        <v>1</v>
      </c>
      <c r="C1052" s="50" t="s">
        <v>32</v>
      </c>
      <c r="D1052" s="48" t="s">
        <v>31</v>
      </c>
      <c r="E1052" s="48" t="s">
        <v>138</v>
      </c>
      <c r="F1052" s="48" t="s">
        <v>139</v>
      </c>
      <c r="G1052" s="49" t="s">
        <v>64</v>
      </c>
      <c r="H1052" s="48" t="s">
        <v>64</v>
      </c>
      <c r="I1052" s="48">
        <v>1</v>
      </c>
      <c r="J1052" s="48">
        <v>21</v>
      </c>
      <c r="K1052" s="48">
        <v>1</v>
      </c>
      <c r="N1052" s="48">
        <v>0</v>
      </c>
      <c r="R1052" s="49"/>
      <c r="S1052" s="181">
        <v>0</v>
      </c>
      <c r="T1052" s="49">
        <v>46568</v>
      </c>
      <c r="U1052" s="49">
        <v>46568</v>
      </c>
      <c r="V1052" s="49">
        <v>46568</v>
      </c>
      <c r="W1052" s="49">
        <v>46568</v>
      </c>
      <c r="X1052" s="48">
        <v>1</v>
      </c>
      <c r="Y1052" s="48">
        <v>1</v>
      </c>
      <c r="Z1052" s="48">
        <v>1</v>
      </c>
      <c r="AA1052" s="156">
        <v>8390.977733491969</v>
      </c>
      <c r="AF1052" s="48">
        <v>0</v>
      </c>
      <c r="AG1052" s="49" t="s">
        <v>32</v>
      </c>
      <c r="AH1052" s="48">
        <v>1</v>
      </c>
      <c r="AI1052" s="48" t="s">
        <v>33</v>
      </c>
      <c r="AJ1052" s="48" t="s">
        <v>33</v>
      </c>
      <c r="AK1052" s="48" t="s">
        <v>33</v>
      </c>
      <c r="AL1052" s="48" t="s">
        <v>34</v>
      </c>
      <c r="AN1052" s="48">
        <v>0</v>
      </c>
      <c r="AO1052" s="48">
        <v>0</v>
      </c>
      <c r="AP1052" s="48">
        <v>0</v>
      </c>
      <c r="AQ1052" s="48">
        <v>0</v>
      </c>
      <c r="AR1052" s="48">
        <v>0</v>
      </c>
      <c r="AS1052" s="48">
        <v>0</v>
      </c>
      <c r="AT1052" s="48">
        <v>0</v>
      </c>
      <c r="AU1052" s="48">
        <v>0</v>
      </c>
      <c r="AV1052" s="48">
        <v>0</v>
      </c>
      <c r="AW1052" s="48">
        <v>0</v>
      </c>
      <c r="AX1052" s="48">
        <v>0</v>
      </c>
      <c r="AY1052" s="48">
        <v>0</v>
      </c>
      <c r="AZ1052" s="48">
        <v>0</v>
      </c>
      <c r="BA1052" s="48">
        <v>0</v>
      </c>
      <c r="BB1052" s="48">
        <v>0</v>
      </c>
    </row>
    <row r="1053" spans="1:54" x14ac:dyDescent="0.35">
      <c r="A1053" s="49">
        <v>45930</v>
      </c>
      <c r="B1053" s="48">
        <v>1</v>
      </c>
      <c r="C1053" s="50" t="s">
        <v>32</v>
      </c>
      <c r="D1053" s="48" t="s">
        <v>31</v>
      </c>
      <c r="E1053" s="48" t="s">
        <v>138</v>
      </c>
      <c r="F1053" s="48" t="s">
        <v>139</v>
      </c>
      <c r="G1053" s="49" t="s">
        <v>64</v>
      </c>
      <c r="H1053" s="48" t="s">
        <v>64</v>
      </c>
      <c r="I1053" s="48">
        <v>1</v>
      </c>
      <c r="J1053" s="48">
        <v>22</v>
      </c>
      <c r="K1053" s="48">
        <v>1</v>
      </c>
      <c r="N1053" s="48">
        <v>0</v>
      </c>
      <c r="R1053" s="49"/>
      <c r="S1053" s="181">
        <v>0</v>
      </c>
      <c r="T1053" s="49">
        <v>46599</v>
      </c>
      <c r="U1053" s="49">
        <v>46599</v>
      </c>
      <c r="V1053" s="49">
        <v>46599</v>
      </c>
      <c r="W1053" s="49">
        <v>46599</v>
      </c>
      <c r="X1053" s="48">
        <v>1</v>
      </c>
      <c r="Y1053" s="48">
        <v>1</v>
      </c>
      <c r="Z1053" s="48">
        <v>1</v>
      </c>
      <c r="AA1053" s="156">
        <v>8390.977733491969</v>
      </c>
      <c r="AF1053" s="48">
        <v>0</v>
      </c>
      <c r="AG1053" s="49" t="s">
        <v>32</v>
      </c>
      <c r="AH1053" s="48">
        <v>1</v>
      </c>
      <c r="AI1053" s="48" t="s">
        <v>33</v>
      </c>
      <c r="AJ1053" s="48" t="s">
        <v>33</v>
      </c>
      <c r="AK1053" s="48" t="s">
        <v>33</v>
      </c>
      <c r="AL1053" s="48" t="s">
        <v>34</v>
      </c>
      <c r="AN1053" s="48">
        <v>0</v>
      </c>
      <c r="AO1053" s="48">
        <v>0</v>
      </c>
      <c r="AP1053" s="48">
        <v>0</v>
      </c>
      <c r="AQ1053" s="48">
        <v>0</v>
      </c>
      <c r="AR1053" s="48">
        <v>0</v>
      </c>
      <c r="AS1053" s="48">
        <v>0</v>
      </c>
      <c r="AT1053" s="48">
        <v>0</v>
      </c>
      <c r="AU1053" s="48">
        <v>0</v>
      </c>
      <c r="AV1053" s="48">
        <v>0</v>
      </c>
      <c r="AW1053" s="48">
        <v>0</v>
      </c>
      <c r="AX1053" s="48">
        <v>0</v>
      </c>
      <c r="AY1053" s="48">
        <v>0</v>
      </c>
      <c r="AZ1053" s="48">
        <v>0</v>
      </c>
      <c r="BA1053" s="48">
        <v>0</v>
      </c>
      <c r="BB1053" s="48">
        <v>0</v>
      </c>
    </row>
    <row r="1054" spans="1:54" x14ac:dyDescent="0.35">
      <c r="A1054" s="49">
        <v>45930</v>
      </c>
      <c r="B1054" s="48">
        <v>1</v>
      </c>
      <c r="C1054" s="50" t="s">
        <v>32</v>
      </c>
      <c r="D1054" s="48" t="s">
        <v>31</v>
      </c>
      <c r="E1054" s="48" t="s">
        <v>138</v>
      </c>
      <c r="F1054" s="48" t="s">
        <v>139</v>
      </c>
      <c r="G1054" s="49" t="s">
        <v>64</v>
      </c>
      <c r="H1054" s="48" t="s">
        <v>64</v>
      </c>
      <c r="I1054" s="48">
        <v>1</v>
      </c>
      <c r="J1054" s="48">
        <v>23</v>
      </c>
      <c r="K1054" s="48">
        <v>1</v>
      </c>
      <c r="N1054" s="48">
        <v>0</v>
      </c>
      <c r="R1054" s="49"/>
      <c r="S1054" s="181">
        <v>0</v>
      </c>
      <c r="T1054" s="49">
        <v>46630</v>
      </c>
      <c r="U1054" s="49">
        <v>46630</v>
      </c>
      <c r="V1054" s="49">
        <v>46630</v>
      </c>
      <c r="W1054" s="49">
        <v>46630</v>
      </c>
      <c r="X1054" s="48">
        <v>1</v>
      </c>
      <c r="Y1054" s="48">
        <v>1</v>
      </c>
      <c r="Z1054" s="48">
        <v>1</v>
      </c>
      <c r="AA1054" s="156">
        <v>8390.977733491969</v>
      </c>
      <c r="AF1054" s="48">
        <v>0</v>
      </c>
      <c r="AG1054" s="49" t="s">
        <v>32</v>
      </c>
      <c r="AH1054" s="48">
        <v>1</v>
      </c>
      <c r="AI1054" s="48" t="s">
        <v>33</v>
      </c>
      <c r="AJ1054" s="48" t="s">
        <v>33</v>
      </c>
      <c r="AK1054" s="48" t="s">
        <v>33</v>
      </c>
      <c r="AL1054" s="48" t="s">
        <v>34</v>
      </c>
      <c r="AN1054" s="48">
        <v>0</v>
      </c>
      <c r="AO1054" s="48">
        <v>0</v>
      </c>
      <c r="AP1054" s="48">
        <v>0</v>
      </c>
      <c r="AQ1054" s="48">
        <v>0</v>
      </c>
      <c r="AR1054" s="48">
        <v>0</v>
      </c>
      <c r="AS1054" s="48">
        <v>0</v>
      </c>
      <c r="AT1054" s="48">
        <v>0</v>
      </c>
      <c r="AU1054" s="48">
        <v>0</v>
      </c>
      <c r="AV1054" s="48">
        <v>0</v>
      </c>
      <c r="AW1054" s="48">
        <v>0</v>
      </c>
      <c r="AX1054" s="48">
        <v>0</v>
      </c>
      <c r="AY1054" s="48">
        <v>0</v>
      </c>
      <c r="AZ1054" s="48">
        <v>0</v>
      </c>
      <c r="BA1054" s="48">
        <v>0</v>
      </c>
      <c r="BB1054" s="48">
        <v>0</v>
      </c>
    </row>
    <row r="1055" spans="1:54" x14ac:dyDescent="0.35">
      <c r="A1055" s="49">
        <v>45930</v>
      </c>
      <c r="B1055" s="48">
        <v>1</v>
      </c>
      <c r="C1055" s="50" t="s">
        <v>32</v>
      </c>
      <c r="D1055" s="48" t="s">
        <v>31</v>
      </c>
      <c r="E1055" s="48" t="s">
        <v>138</v>
      </c>
      <c r="F1055" s="48" t="s">
        <v>139</v>
      </c>
      <c r="G1055" s="49" t="s">
        <v>64</v>
      </c>
      <c r="H1055" s="48" t="s">
        <v>64</v>
      </c>
      <c r="I1055" s="48">
        <v>1</v>
      </c>
      <c r="J1055" s="48">
        <v>24</v>
      </c>
      <c r="K1055" s="48">
        <v>1</v>
      </c>
      <c r="N1055" s="48">
        <v>0</v>
      </c>
      <c r="R1055" s="49"/>
      <c r="S1055" s="181">
        <v>0</v>
      </c>
      <c r="T1055" s="49">
        <v>46660</v>
      </c>
      <c r="U1055" s="49">
        <v>46660</v>
      </c>
      <c r="V1055" s="49">
        <v>46660</v>
      </c>
      <c r="W1055" s="49">
        <v>46660</v>
      </c>
      <c r="X1055" s="48">
        <v>1</v>
      </c>
      <c r="Y1055" s="48">
        <v>1</v>
      </c>
      <c r="Z1055" s="48">
        <v>1</v>
      </c>
      <c r="AA1055" s="156">
        <v>8390.977733491969</v>
      </c>
      <c r="AF1055" s="48">
        <v>0</v>
      </c>
      <c r="AG1055" s="49" t="s">
        <v>32</v>
      </c>
      <c r="AH1055" s="48">
        <v>1</v>
      </c>
      <c r="AI1055" s="48" t="s">
        <v>33</v>
      </c>
      <c r="AJ1055" s="48" t="s">
        <v>33</v>
      </c>
      <c r="AK1055" s="48" t="s">
        <v>33</v>
      </c>
      <c r="AL1055" s="48" t="s">
        <v>34</v>
      </c>
      <c r="AN1055" s="48">
        <v>0</v>
      </c>
      <c r="AO1055" s="48">
        <v>0</v>
      </c>
      <c r="AP1055" s="48">
        <v>0</v>
      </c>
      <c r="AQ1055" s="48">
        <v>0</v>
      </c>
      <c r="AR1055" s="48">
        <v>0</v>
      </c>
      <c r="AS1055" s="48">
        <v>0</v>
      </c>
      <c r="AT1055" s="48">
        <v>0</v>
      </c>
      <c r="AU1055" s="48">
        <v>0</v>
      </c>
      <c r="AV1055" s="48">
        <v>0</v>
      </c>
      <c r="AW1055" s="48">
        <v>0</v>
      </c>
      <c r="AX1055" s="48">
        <v>0</v>
      </c>
      <c r="AY1055" s="48">
        <v>0</v>
      </c>
      <c r="AZ1055" s="48">
        <v>0</v>
      </c>
      <c r="BA1055" s="48">
        <v>0</v>
      </c>
      <c r="BB1055" s="48">
        <v>0</v>
      </c>
    </row>
    <row r="1056" spans="1:54" x14ac:dyDescent="0.35">
      <c r="A1056" s="49">
        <v>45930</v>
      </c>
      <c r="B1056" s="48">
        <v>1</v>
      </c>
      <c r="C1056" s="50" t="s">
        <v>32</v>
      </c>
      <c r="D1056" s="48" t="s">
        <v>31</v>
      </c>
      <c r="E1056" s="48" t="s">
        <v>138</v>
      </c>
      <c r="F1056" s="48" t="s">
        <v>139</v>
      </c>
      <c r="G1056" s="49" t="s">
        <v>64</v>
      </c>
      <c r="H1056" s="48" t="s">
        <v>64</v>
      </c>
      <c r="I1056" s="48">
        <v>1</v>
      </c>
      <c r="J1056" s="48">
        <v>25</v>
      </c>
      <c r="K1056" s="48">
        <v>1</v>
      </c>
      <c r="N1056" s="48">
        <v>0</v>
      </c>
      <c r="R1056" s="49"/>
      <c r="S1056" s="181">
        <v>0</v>
      </c>
      <c r="T1056" s="49">
        <v>46691</v>
      </c>
      <c r="U1056" s="49">
        <v>46691</v>
      </c>
      <c r="V1056" s="49">
        <v>46691</v>
      </c>
      <c r="W1056" s="49">
        <v>46691</v>
      </c>
      <c r="X1056" s="48">
        <v>1</v>
      </c>
      <c r="Y1056" s="48">
        <v>1</v>
      </c>
      <c r="Z1056" s="48">
        <v>1</v>
      </c>
      <c r="AA1056" s="156">
        <v>8390.977733491969</v>
      </c>
      <c r="AF1056" s="48">
        <v>0</v>
      </c>
      <c r="AG1056" s="49" t="s">
        <v>32</v>
      </c>
      <c r="AH1056" s="48">
        <v>1</v>
      </c>
      <c r="AI1056" s="48" t="s">
        <v>33</v>
      </c>
      <c r="AJ1056" s="48" t="s">
        <v>33</v>
      </c>
      <c r="AK1056" s="48" t="s">
        <v>33</v>
      </c>
      <c r="AL1056" s="48" t="s">
        <v>34</v>
      </c>
      <c r="AN1056" s="48">
        <v>0</v>
      </c>
      <c r="AO1056" s="48">
        <v>0</v>
      </c>
      <c r="AP1056" s="48">
        <v>0</v>
      </c>
      <c r="AQ1056" s="48">
        <v>0</v>
      </c>
      <c r="AR1056" s="48">
        <v>0</v>
      </c>
      <c r="AS1056" s="48">
        <v>0</v>
      </c>
      <c r="AT1056" s="48">
        <v>0</v>
      </c>
      <c r="AU1056" s="48">
        <v>0</v>
      </c>
      <c r="AV1056" s="48">
        <v>0</v>
      </c>
      <c r="AW1056" s="48">
        <v>0</v>
      </c>
      <c r="AX1056" s="48">
        <v>0</v>
      </c>
      <c r="AY1056" s="48">
        <v>0</v>
      </c>
      <c r="AZ1056" s="48">
        <v>0</v>
      </c>
      <c r="BA1056" s="48">
        <v>0</v>
      </c>
      <c r="BB1056" s="48">
        <v>0</v>
      </c>
    </row>
    <row r="1057" spans="1:54" x14ac:dyDescent="0.35">
      <c r="A1057" s="49">
        <v>45930</v>
      </c>
      <c r="B1057" s="48">
        <v>1</v>
      </c>
      <c r="C1057" s="50" t="s">
        <v>32</v>
      </c>
      <c r="D1057" s="48" t="s">
        <v>31</v>
      </c>
      <c r="E1057" s="48" t="s">
        <v>138</v>
      </c>
      <c r="F1057" s="48" t="s">
        <v>139</v>
      </c>
      <c r="G1057" s="49" t="s">
        <v>64</v>
      </c>
      <c r="H1057" s="48" t="s">
        <v>64</v>
      </c>
      <c r="I1057" s="48">
        <v>1</v>
      </c>
      <c r="J1057" s="48">
        <v>26</v>
      </c>
      <c r="K1057" s="48">
        <v>1</v>
      </c>
      <c r="N1057" s="48">
        <v>0</v>
      </c>
      <c r="R1057" s="49"/>
      <c r="S1057" s="181">
        <v>0</v>
      </c>
      <c r="T1057" s="49">
        <v>46721</v>
      </c>
      <c r="U1057" s="49">
        <v>46721</v>
      </c>
      <c r="V1057" s="49">
        <v>46721</v>
      </c>
      <c r="W1057" s="49">
        <v>46721</v>
      </c>
      <c r="X1057" s="48">
        <v>1</v>
      </c>
      <c r="Y1057" s="48">
        <v>1</v>
      </c>
      <c r="Z1057" s="48">
        <v>1</v>
      </c>
      <c r="AA1057" s="156">
        <v>8390.977733491969</v>
      </c>
      <c r="AF1057" s="48">
        <v>0</v>
      </c>
      <c r="AG1057" s="49" t="s">
        <v>32</v>
      </c>
      <c r="AH1057" s="48">
        <v>1</v>
      </c>
      <c r="AI1057" s="48" t="s">
        <v>33</v>
      </c>
      <c r="AJ1057" s="48" t="s">
        <v>33</v>
      </c>
      <c r="AK1057" s="48" t="s">
        <v>33</v>
      </c>
      <c r="AL1057" s="48" t="s">
        <v>34</v>
      </c>
      <c r="AN1057" s="48">
        <v>0</v>
      </c>
      <c r="AO1057" s="48">
        <v>0</v>
      </c>
      <c r="AP1057" s="48">
        <v>0</v>
      </c>
      <c r="AQ1057" s="48">
        <v>0</v>
      </c>
      <c r="AR1057" s="48">
        <v>0</v>
      </c>
      <c r="AS1057" s="48">
        <v>0</v>
      </c>
      <c r="AT1057" s="48">
        <v>0</v>
      </c>
      <c r="AU1057" s="48">
        <v>0</v>
      </c>
      <c r="AV1057" s="48">
        <v>0</v>
      </c>
      <c r="AW1057" s="48">
        <v>0</v>
      </c>
      <c r="AX1057" s="48">
        <v>0</v>
      </c>
      <c r="AY1057" s="48">
        <v>0</v>
      </c>
      <c r="AZ1057" s="48">
        <v>0</v>
      </c>
      <c r="BA1057" s="48">
        <v>0</v>
      </c>
      <c r="BB1057" s="48">
        <v>0</v>
      </c>
    </row>
    <row r="1058" spans="1:54" x14ac:dyDescent="0.35">
      <c r="A1058" s="49">
        <v>45930</v>
      </c>
      <c r="B1058" s="48">
        <v>1</v>
      </c>
      <c r="C1058" s="50" t="s">
        <v>32</v>
      </c>
      <c r="D1058" s="48" t="s">
        <v>31</v>
      </c>
      <c r="E1058" s="48" t="s">
        <v>138</v>
      </c>
      <c r="F1058" s="48" t="s">
        <v>139</v>
      </c>
      <c r="G1058" s="49" t="s">
        <v>64</v>
      </c>
      <c r="H1058" s="48" t="s">
        <v>64</v>
      </c>
      <c r="I1058" s="48">
        <v>1</v>
      </c>
      <c r="J1058" s="48">
        <v>27</v>
      </c>
      <c r="K1058" s="48">
        <v>1</v>
      </c>
      <c r="N1058" s="48">
        <v>0</v>
      </c>
      <c r="R1058" s="49"/>
      <c r="S1058" s="181">
        <v>0</v>
      </c>
      <c r="T1058" s="49">
        <v>46752</v>
      </c>
      <c r="U1058" s="49">
        <v>46752</v>
      </c>
      <c r="V1058" s="49">
        <v>46752</v>
      </c>
      <c r="W1058" s="49">
        <v>46752</v>
      </c>
      <c r="X1058" s="48">
        <v>1</v>
      </c>
      <c r="Y1058" s="48">
        <v>1</v>
      </c>
      <c r="Z1058" s="48">
        <v>1</v>
      </c>
      <c r="AA1058" s="156">
        <v>8390.977733491969</v>
      </c>
      <c r="AF1058" s="48">
        <v>0</v>
      </c>
      <c r="AG1058" s="49" t="s">
        <v>32</v>
      </c>
      <c r="AH1058" s="48">
        <v>1</v>
      </c>
      <c r="AI1058" s="48" t="s">
        <v>33</v>
      </c>
      <c r="AJ1058" s="48" t="s">
        <v>33</v>
      </c>
      <c r="AK1058" s="48" t="s">
        <v>33</v>
      </c>
      <c r="AL1058" s="48" t="s">
        <v>34</v>
      </c>
      <c r="AN1058" s="48">
        <v>0</v>
      </c>
      <c r="AO1058" s="48">
        <v>0</v>
      </c>
      <c r="AP1058" s="48">
        <v>0</v>
      </c>
      <c r="AQ1058" s="48">
        <v>0</v>
      </c>
      <c r="AR1058" s="48">
        <v>0</v>
      </c>
      <c r="AS1058" s="48">
        <v>0</v>
      </c>
      <c r="AT1058" s="48">
        <v>0</v>
      </c>
      <c r="AU1058" s="48">
        <v>0</v>
      </c>
      <c r="AV1058" s="48">
        <v>0</v>
      </c>
      <c r="AW1058" s="48">
        <v>0</v>
      </c>
      <c r="AX1058" s="48">
        <v>0</v>
      </c>
      <c r="AY1058" s="48">
        <v>0</v>
      </c>
      <c r="AZ1058" s="48">
        <v>0</v>
      </c>
      <c r="BA1058" s="48">
        <v>0</v>
      </c>
      <c r="BB1058" s="48">
        <v>0</v>
      </c>
    </row>
    <row r="1059" spans="1:54" x14ac:dyDescent="0.35">
      <c r="A1059" s="49">
        <v>45930</v>
      </c>
      <c r="B1059" s="48">
        <v>1</v>
      </c>
      <c r="C1059" s="50" t="s">
        <v>32</v>
      </c>
      <c r="D1059" s="48" t="s">
        <v>31</v>
      </c>
      <c r="E1059" s="48" t="s">
        <v>138</v>
      </c>
      <c r="F1059" s="48" t="s">
        <v>139</v>
      </c>
      <c r="G1059" s="49" t="s">
        <v>64</v>
      </c>
      <c r="H1059" s="48" t="s">
        <v>64</v>
      </c>
      <c r="I1059" s="48">
        <v>1</v>
      </c>
      <c r="J1059" s="48">
        <v>28</v>
      </c>
      <c r="K1059" s="48">
        <v>1</v>
      </c>
      <c r="N1059" s="48">
        <v>0</v>
      </c>
      <c r="R1059" s="49"/>
      <c r="S1059" s="181">
        <v>0</v>
      </c>
      <c r="T1059" s="49">
        <v>46783</v>
      </c>
      <c r="U1059" s="49">
        <v>46783</v>
      </c>
      <c r="V1059" s="49">
        <v>46783</v>
      </c>
      <c r="W1059" s="49">
        <v>46783</v>
      </c>
      <c r="X1059" s="48">
        <v>1</v>
      </c>
      <c r="Y1059" s="48">
        <v>1</v>
      </c>
      <c r="Z1059" s="48">
        <v>1</v>
      </c>
      <c r="AA1059" s="156">
        <v>8390.977733491969</v>
      </c>
      <c r="AF1059" s="48">
        <v>0</v>
      </c>
      <c r="AG1059" s="49" t="s">
        <v>32</v>
      </c>
      <c r="AH1059" s="48">
        <v>1</v>
      </c>
      <c r="AI1059" s="48" t="s">
        <v>33</v>
      </c>
      <c r="AJ1059" s="48" t="s">
        <v>33</v>
      </c>
      <c r="AK1059" s="48" t="s">
        <v>33</v>
      </c>
      <c r="AL1059" s="48" t="s">
        <v>34</v>
      </c>
      <c r="AN1059" s="48">
        <v>0</v>
      </c>
      <c r="AO1059" s="48">
        <v>0</v>
      </c>
      <c r="AP1059" s="48">
        <v>0</v>
      </c>
      <c r="AQ1059" s="48">
        <v>0</v>
      </c>
      <c r="AR1059" s="48">
        <v>0</v>
      </c>
      <c r="AS1059" s="48">
        <v>0</v>
      </c>
      <c r="AT1059" s="48">
        <v>0</v>
      </c>
      <c r="AU1059" s="48">
        <v>0</v>
      </c>
      <c r="AV1059" s="48">
        <v>0</v>
      </c>
      <c r="AW1059" s="48">
        <v>0</v>
      </c>
      <c r="AX1059" s="48">
        <v>0</v>
      </c>
      <c r="AY1059" s="48">
        <v>0</v>
      </c>
      <c r="AZ1059" s="48">
        <v>0</v>
      </c>
      <c r="BA1059" s="48">
        <v>0</v>
      </c>
      <c r="BB1059" s="48">
        <v>0</v>
      </c>
    </row>
    <row r="1060" spans="1:54" x14ac:dyDescent="0.35">
      <c r="A1060" s="49">
        <v>45930</v>
      </c>
      <c r="B1060" s="48">
        <v>1</v>
      </c>
      <c r="C1060" s="50" t="s">
        <v>32</v>
      </c>
      <c r="D1060" s="48" t="s">
        <v>31</v>
      </c>
      <c r="E1060" s="48" t="s">
        <v>138</v>
      </c>
      <c r="F1060" s="48" t="s">
        <v>139</v>
      </c>
      <c r="G1060" s="49" t="s">
        <v>64</v>
      </c>
      <c r="H1060" s="48" t="s">
        <v>64</v>
      </c>
      <c r="I1060" s="48">
        <v>1</v>
      </c>
      <c r="J1060" s="48">
        <v>29</v>
      </c>
      <c r="K1060" s="48">
        <v>1</v>
      </c>
      <c r="N1060" s="48">
        <v>0</v>
      </c>
      <c r="R1060" s="49"/>
      <c r="S1060" s="181">
        <v>0</v>
      </c>
      <c r="T1060" s="49">
        <v>46812</v>
      </c>
      <c r="U1060" s="49">
        <v>46812</v>
      </c>
      <c r="V1060" s="49">
        <v>46812</v>
      </c>
      <c r="W1060" s="49">
        <v>46812</v>
      </c>
      <c r="X1060" s="48">
        <v>1</v>
      </c>
      <c r="Y1060" s="48">
        <v>1</v>
      </c>
      <c r="Z1060" s="48">
        <v>1</v>
      </c>
      <c r="AA1060" s="156">
        <v>8390.977733491969</v>
      </c>
      <c r="AF1060" s="48">
        <v>0</v>
      </c>
      <c r="AG1060" s="49" t="s">
        <v>32</v>
      </c>
      <c r="AH1060" s="48">
        <v>1</v>
      </c>
      <c r="AI1060" s="48" t="s">
        <v>33</v>
      </c>
      <c r="AJ1060" s="48" t="s">
        <v>33</v>
      </c>
      <c r="AK1060" s="48" t="s">
        <v>33</v>
      </c>
      <c r="AL1060" s="48" t="s">
        <v>34</v>
      </c>
      <c r="AN1060" s="48">
        <v>0</v>
      </c>
      <c r="AO1060" s="48">
        <v>0</v>
      </c>
      <c r="AP1060" s="48">
        <v>0</v>
      </c>
      <c r="AQ1060" s="48">
        <v>0</v>
      </c>
      <c r="AR1060" s="48">
        <v>0</v>
      </c>
      <c r="AS1060" s="48">
        <v>0</v>
      </c>
      <c r="AT1060" s="48">
        <v>0</v>
      </c>
      <c r="AU1060" s="48">
        <v>0</v>
      </c>
      <c r="AV1060" s="48">
        <v>0</v>
      </c>
      <c r="AW1060" s="48">
        <v>0</v>
      </c>
      <c r="AX1060" s="48">
        <v>0</v>
      </c>
      <c r="AY1060" s="48">
        <v>0</v>
      </c>
      <c r="AZ1060" s="48">
        <v>0</v>
      </c>
      <c r="BA1060" s="48">
        <v>0</v>
      </c>
      <c r="BB1060" s="48">
        <v>0</v>
      </c>
    </row>
    <row r="1061" spans="1:54" x14ac:dyDescent="0.35">
      <c r="A1061" s="49">
        <v>45930</v>
      </c>
      <c r="B1061" s="48">
        <v>1</v>
      </c>
      <c r="C1061" s="50" t="s">
        <v>32</v>
      </c>
      <c r="D1061" s="48" t="s">
        <v>31</v>
      </c>
      <c r="E1061" s="48" t="s">
        <v>138</v>
      </c>
      <c r="F1061" s="48" t="s">
        <v>139</v>
      </c>
      <c r="G1061" s="49" t="s">
        <v>64</v>
      </c>
      <c r="H1061" s="48" t="s">
        <v>64</v>
      </c>
      <c r="I1061" s="48">
        <v>1</v>
      </c>
      <c r="J1061" s="48">
        <v>30</v>
      </c>
      <c r="K1061" s="48">
        <v>1</v>
      </c>
      <c r="N1061" s="48">
        <v>0</v>
      </c>
      <c r="R1061" s="49"/>
      <c r="S1061" s="181">
        <v>0</v>
      </c>
      <c r="T1061" s="49">
        <v>46843</v>
      </c>
      <c r="U1061" s="49">
        <v>46843</v>
      </c>
      <c r="V1061" s="49">
        <v>46843</v>
      </c>
      <c r="W1061" s="49">
        <v>46843</v>
      </c>
      <c r="X1061" s="48">
        <v>1</v>
      </c>
      <c r="Y1061" s="48">
        <v>1</v>
      </c>
      <c r="Z1061" s="48">
        <v>1</v>
      </c>
      <c r="AA1061" s="156">
        <v>8390.977733491969</v>
      </c>
      <c r="AF1061" s="48">
        <v>0</v>
      </c>
      <c r="AG1061" s="49" t="s">
        <v>32</v>
      </c>
      <c r="AH1061" s="48">
        <v>1</v>
      </c>
      <c r="AI1061" s="48" t="s">
        <v>33</v>
      </c>
      <c r="AJ1061" s="48" t="s">
        <v>33</v>
      </c>
      <c r="AK1061" s="48" t="s">
        <v>33</v>
      </c>
      <c r="AL1061" s="48" t="s">
        <v>34</v>
      </c>
      <c r="AN1061" s="48">
        <v>0</v>
      </c>
      <c r="AO1061" s="48">
        <v>0</v>
      </c>
      <c r="AP1061" s="48">
        <v>0</v>
      </c>
      <c r="AQ1061" s="48">
        <v>0</v>
      </c>
      <c r="AR1061" s="48">
        <v>0</v>
      </c>
      <c r="AS1061" s="48">
        <v>0</v>
      </c>
      <c r="AT1061" s="48">
        <v>0</v>
      </c>
      <c r="AU1061" s="48">
        <v>0</v>
      </c>
      <c r="AV1061" s="48">
        <v>0</v>
      </c>
      <c r="AW1061" s="48">
        <v>0</v>
      </c>
      <c r="AX1061" s="48">
        <v>0</v>
      </c>
      <c r="AY1061" s="48">
        <v>0</v>
      </c>
      <c r="AZ1061" s="48">
        <v>0</v>
      </c>
      <c r="BA1061" s="48">
        <v>0</v>
      </c>
      <c r="BB1061" s="48">
        <v>0</v>
      </c>
    </row>
    <row r="1062" spans="1:54" x14ac:dyDescent="0.35">
      <c r="A1062" s="49">
        <v>45930</v>
      </c>
      <c r="B1062" s="48">
        <v>1</v>
      </c>
      <c r="C1062" s="50" t="s">
        <v>32</v>
      </c>
      <c r="D1062" s="48" t="s">
        <v>31</v>
      </c>
      <c r="E1062" s="48" t="s">
        <v>138</v>
      </c>
      <c r="F1062" s="48" t="s">
        <v>139</v>
      </c>
      <c r="G1062" s="49" t="s">
        <v>64</v>
      </c>
      <c r="H1062" s="48" t="s">
        <v>64</v>
      </c>
      <c r="I1062" s="48">
        <v>1</v>
      </c>
      <c r="J1062" s="48">
        <v>31</v>
      </c>
      <c r="K1062" s="48">
        <v>1</v>
      </c>
      <c r="N1062" s="48">
        <v>0</v>
      </c>
      <c r="R1062" s="49"/>
      <c r="S1062" s="181">
        <v>0</v>
      </c>
      <c r="T1062" s="49">
        <v>46873</v>
      </c>
      <c r="U1062" s="49">
        <v>46873</v>
      </c>
      <c r="V1062" s="49">
        <v>46873</v>
      </c>
      <c r="W1062" s="49">
        <v>46873</v>
      </c>
      <c r="X1062" s="48">
        <v>1</v>
      </c>
      <c r="Y1062" s="48">
        <v>1</v>
      </c>
      <c r="Z1062" s="48">
        <v>1</v>
      </c>
      <c r="AA1062" s="156">
        <v>8390.977733491969</v>
      </c>
      <c r="AF1062" s="48">
        <v>0</v>
      </c>
      <c r="AG1062" s="49" t="s">
        <v>32</v>
      </c>
      <c r="AH1062" s="48">
        <v>1</v>
      </c>
      <c r="AI1062" s="48" t="s">
        <v>33</v>
      </c>
      <c r="AJ1062" s="48" t="s">
        <v>33</v>
      </c>
      <c r="AK1062" s="48" t="s">
        <v>33</v>
      </c>
      <c r="AL1062" s="48" t="s">
        <v>34</v>
      </c>
      <c r="AN1062" s="48">
        <v>0</v>
      </c>
      <c r="AO1062" s="48">
        <v>0</v>
      </c>
      <c r="AP1062" s="48">
        <v>0</v>
      </c>
      <c r="AQ1062" s="48">
        <v>0</v>
      </c>
      <c r="AR1062" s="48">
        <v>0</v>
      </c>
      <c r="AS1062" s="48">
        <v>0</v>
      </c>
      <c r="AT1062" s="48">
        <v>0</v>
      </c>
      <c r="AU1062" s="48">
        <v>0</v>
      </c>
      <c r="AV1062" s="48">
        <v>0</v>
      </c>
      <c r="AW1062" s="48">
        <v>0</v>
      </c>
      <c r="AX1062" s="48">
        <v>0</v>
      </c>
      <c r="AY1062" s="48">
        <v>0</v>
      </c>
      <c r="AZ1062" s="48">
        <v>0</v>
      </c>
      <c r="BA1062" s="48">
        <v>0</v>
      </c>
      <c r="BB1062" s="48">
        <v>0</v>
      </c>
    </row>
    <row r="1063" spans="1:54" x14ac:dyDescent="0.35">
      <c r="A1063" s="49">
        <v>45930</v>
      </c>
      <c r="B1063" s="48">
        <v>1</v>
      </c>
      <c r="C1063" s="50" t="s">
        <v>32</v>
      </c>
      <c r="D1063" s="48" t="s">
        <v>31</v>
      </c>
      <c r="E1063" s="48" t="s">
        <v>138</v>
      </c>
      <c r="F1063" s="48" t="s">
        <v>139</v>
      </c>
      <c r="G1063" s="49" t="s">
        <v>64</v>
      </c>
      <c r="H1063" s="48" t="s">
        <v>64</v>
      </c>
      <c r="I1063" s="48">
        <v>1</v>
      </c>
      <c r="J1063" s="48">
        <v>32</v>
      </c>
      <c r="K1063" s="48">
        <v>1</v>
      </c>
      <c r="N1063" s="48">
        <v>0</v>
      </c>
      <c r="R1063" s="49"/>
      <c r="S1063" s="181">
        <v>0</v>
      </c>
      <c r="T1063" s="49">
        <v>46904</v>
      </c>
      <c r="U1063" s="49">
        <v>46904</v>
      </c>
      <c r="V1063" s="49">
        <v>46904</v>
      </c>
      <c r="W1063" s="49">
        <v>46904</v>
      </c>
      <c r="X1063" s="48">
        <v>1</v>
      </c>
      <c r="Y1063" s="48">
        <v>1</v>
      </c>
      <c r="Z1063" s="48">
        <v>1</v>
      </c>
      <c r="AA1063" s="156">
        <v>8390.977733491969</v>
      </c>
      <c r="AF1063" s="48">
        <v>0</v>
      </c>
      <c r="AG1063" s="49" t="s">
        <v>32</v>
      </c>
      <c r="AH1063" s="48">
        <v>1</v>
      </c>
      <c r="AI1063" s="48" t="s">
        <v>33</v>
      </c>
      <c r="AJ1063" s="48" t="s">
        <v>33</v>
      </c>
      <c r="AK1063" s="48" t="s">
        <v>33</v>
      </c>
      <c r="AL1063" s="48" t="s">
        <v>34</v>
      </c>
      <c r="AN1063" s="48">
        <v>0</v>
      </c>
      <c r="AO1063" s="48">
        <v>0</v>
      </c>
      <c r="AP1063" s="48">
        <v>0</v>
      </c>
      <c r="AQ1063" s="48">
        <v>0</v>
      </c>
      <c r="AR1063" s="48">
        <v>0</v>
      </c>
      <c r="AS1063" s="48">
        <v>0</v>
      </c>
      <c r="AT1063" s="48">
        <v>0</v>
      </c>
      <c r="AU1063" s="48">
        <v>0</v>
      </c>
      <c r="AV1063" s="48">
        <v>0</v>
      </c>
      <c r="AW1063" s="48">
        <v>0</v>
      </c>
      <c r="AX1063" s="48">
        <v>0</v>
      </c>
      <c r="AY1063" s="48">
        <v>0</v>
      </c>
      <c r="AZ1063" s="48">
        <v>0</v>
      </c>
      <c r="BA1063" s="48">
        <v>0</v>
      </c>
      <c r="BB1063" s="48">
        <v>0</v>
      </c>
    </row>
    <row r="1064" spans="1:54" x14ac:dyDescent="0.35">
      <c r="A1064" s="49">
        <v>45930</v>
      </c>
      <c r="B1064" s="48">
        <v>1</v>
      </c>
      <c r="C1064" s="50" t="s">
        <v>32</v>
      </c>
      <c r="D1064" s="48" t="s">
        <v>31</v>
      </c>
      <c r="E1064" s="48" t="s">
        <v>138</v>
      </c>
      <c r="F1064" s="48" t="s">
        <v>139</v>
      </c>
      <c r="G1064" s="49" t="s">
        <v>64</v>
      </c>
      <c r="H1064" s="48" t="s">
        <v>64</v>
      </c>
      <c r="I1064" s="48">
        <v>1</v>
      </c>
      <c r="J1064" s="48">
        <v>33</v>
      </c>
      <c r="K1064" s="48">
        <v>1</v>
      </c>
      <c r="N1064" s="48">
        <v>0</v>
      </c>
      <c r="R1064" s="49"/>
      <c r="S1064" s="181">
        <v>0</v>
      </c>
      <c r="T1064" s="49">
        <v>46934</v>
      </c>
      <c r="U1064" s="49">
        <v>46934</v>
      </c>
      <c r="V1064" s="49">
        <v>46934</v>
      </c>
      <c r="W1064" s="49">
        <v>46934</v>
      </c>
      <c r="X1064" s="48">
        <v>1</v>
      </c>
      <c r="Y1064" s="48">
        <v>1</v>
      </c>
      <c r="Z1064" s="48">
        <v>1</v>
      </c>
      <c r="AA1064" s="156">
        <v>8390.977733491969</v>
      </c>
      <c r="AF1064" s="48">
        <v>0</v>
      </c>
      <c r="AG1064" s="49" t="s">
        <v>32</v>
      </c>
      <c r="AH1064" s="48">
        <v>1</v>
      </c>
      <c r="AI1064" s="48" t="s">
        <v>33</v>
      </c>
      <c r="AJ1064" s="48" t="s">
        <v>33</v>
      </c>
      <c r="AK1064" s="48" t="s">
        <v>33</v>
      </c>
      <c r="AL1064" s="48" t="s">
        <v>34</v>
      </c>
      <c r="AN1064" s="48">
        <v>0</v>
      </c>
      <c r="AO1064" s="48">
        <v>0</v>
      </c>
      <c r="AP1064" s="48">
        <v>0</v>
      </c>
      <c r="AQ1064" s="48">
        <v>0</v>
      </c>
      <c r="AR1064" s="48">
        <v>0</v>
      </c>
      <c r="AS1064" s="48">
        <v>0</v>
      </c>
      <c r="AT1064" s="48">
        <v>0</v>
      </c>
      <c r="AU1064" s="48">
        <v>0</v>
      </c>
      <c r="AV1064" s="48">
        <v>0</v>
      </c>
      <c r="AW1064" s="48">
        <v>0</v>
      </c>
      <c r="AX1064" s="48">
        <v>0</v>
      </c>
      <c r="AY1064" s="48">
        <v>0</v>
      </c>
      <c r="AZ1064" s="48">
        <v>0</v>
      </c>
      <c r="BA1064" s="48">
        <v>0</v>
      </c>
      <c r="BB1064" s="48">
        <v>0</v>
      </c>
    </row>
    <row r="1065" spans="1:54" x14ac:dyDescent="0.35">
      <c r="A1065" s="49">
        <v>45930</v>
      </c>
      <c r="B1065" s="48">
        <v>1</v>
      </c>
      <c r="C1065" s="50" t="s">
        <v>32</v>
      </c>
      <c r="D1065" s="48" t="s">
        <v>31</v>
      </c>
      <c r="E1065" s="48" t="s">
        <v>138</v>
      </c>
      <c r="F1065" s="48" t="s">
        <v>139</v>
      </c>
      <c r="G1065" s="49" t="s">
        <v>64</v>
      </c>
      <c r="H1065" s="48" t="s">
        <v>64</v>
      </c>
      <c r="I1065" s="48">
        <v>1</v>
      </c>
      <c r="J1065" s="48">
        <v>34</v>
      </c>
      <c r="K1065" s="48">
        <v>1</v>
      </c>
      <c r="N1065" s="48">
        <v>0</v>
      </c>
      <c r="R1065" s="49"/>
      <c r="S1065" s="181">
        <v>0</v>
      </c>
      <c r="T1065" s="49">
        <v>46965</v>
      </c>
      <c r="U1065" s="49">
        <v>46965</v>
      </c>
      <c r="V1065" s="49">
        <v>46965</v>
      </c>
      <c r="W1065" s="49">
        <v>46965</v>
      </c>
      <c r="X1065" s="48">
        <v>1</v>
      </c>
      <c r="Y1065" s="48">
        <v>1</v>
      </c>
      <c r="Z1065" s="48">
        <v>1</v>
      </c>
      <c r="AA1065" s="156">
        <v>8390.977733491969</v>
      </c>
      <c r="AF1065" s="48">
        <v>0</v>
      </c>
      <c r="AG1065" s="49" t="s">
        <v>32</v>
      </c>
      <c r="AH1065" s="48">
        <v>1</v>
      </c>
      <c r="AI1065" s="48" t="s">
        <v>33</v>
      </c>
      <c r="AJ1065" s="48" t="s">
        <v>33</v>
      </c>
      <c r="AK1065" s="48" t="s">
        <v>33</v>
      </c>
      <c r="AL1065" s="48" t="s">
        <v>34</v>
      </c>
      <c r="AN1065" s="48">
        <v>0</v>
      </c>
      <c r="AO1065" s="48">
        <v>0</v>
      </c>
      <c r="AP1065" s="48">
        <v>0</v>
      </c>
      <c r="AQ1065" s="48">
        <v>0</v>
      </c>
      <c r="AR1065" s="48">
        <v>0</v>
      </c>
      <c r="AS1065" s="48">
        <v>0</v>
      </c>
      <c r="AT1065" s="48">
        <v>0</v>
      </c>
      <c r="AU1065" s="48">
        <v>0</v>
      </c>
      <c r="AV1065" s="48">
        <v>0</v>
      </c>
      <c r="AW1065" s="48">
        <v>0</v>
      </c>
      <c r="AX1065" s="48">
        <v>0</v>
      </c>
      <c r="AY1065" s="48">
        <v>0</v>
      </c>
      <c r="AZ1065" s="48">
        <v>0</v>
      </c>
      <c r="BA1065" s="48">
        <v>0</v>
      </c>
      <c r="BB1065" s="48">
        <v>0</v>
      </c>
    </row>
    <row r="1066" spans="1:54" x14ac:dyDescent="0.35">
      <c r="A1066" s="49">
        <v>45930</v>
      </c>
      <c r="B1066" s="48">
        <v>1</v>
      </c>
      <c r="C1066" s="50" t="s">
        <v>32</v>
      </c>
      <c r="D1066" s="48" t="s">
        <v>31</v>
      </c>
      <c r="E1066" s="48" t="s">
        <v>138</v>
      </c>
      <c r="F1066" s="48" t="s">
        <v>139</v>
      </c>
      <c r="G1066" s="49" t="s">
        <v>64</v>
      </c>
      <c r="H1066" s="48" t="s">
        <v>64</v>
      </c>
      <c r="I1066" s="48">
        <v>1</v>
      </c>
      <c r="J1066" s="48">
        <v>35</v>
      </c>
      <c r="K1066" s="48">
        <v>1</v>
      </c>
      <c r="N1066" s="48">
        <v>0</v>
      </c>
      <c r="R1066" s="49"/>
      <c r="S1066" s="181">
        <v>0</v>
      </c>
      <c r="T1066" s="49">
        <v>46996</v>
      </c>
      <c r="U1066" s="49">
        <v>46996</v>
      </c>
      <c r="V1066" s="49">
        <v>46996</v>
      </c>
      <c r="W1066" s="49">
        <v>46996</v>
      </c>
      <c r="X1066" s="48">
        <v>1</v>
      </c>
      <c r="Y1066" s="48">
        <v>1</v>
      </c>
      <c r="Z1066" s="48">
        <v>1</v>
      </c>
      <c r="AA1066" s="156">
        <v>8390.977733491969</v>
      </c>
      <c r="AF1066" s="48">
        <v>0</v>
      </c>
      <c r="AG1066" s="49" t="s">
        <v>32</v>
      </c>
      <c r="AH1066" s="48">
        <v>1</v>
      </c>
      <c r="AI1066" s="48" t="s">
        <v>33</v>
      </c>
      <c r="AJ1066" s="48" t="s">
        <v>33</v>
      </c>
      <c r="AK1066" s="48" t="s">
        <v>33</v>
      </c>
      <c r="AL1066" s="48" t="s">
        <v>34</v>
      </c>
      <c r="AN1066" s="48">
        <v>0</v>
      </c>
      <c r="AO1066" s="48">
        <v>0</v>
      </c>
      <c r="AP1066" s="48">
        <v>0</v>
      </c>
      <c r="AQ1066" s="48">
        <v>0</v>
      </c>
      <c r="AR1066" s="48">
        <v>0</v>
      </c>
      <c r="AS1066" s="48">
        <v>0</v>
      </c>
      <c r="AT1066" s="48">
        <v>0</v>
      </c>
      <c r="AU1066" s="48">
        <v>0</v>
      </c>
      <c r="AV1066" s="48">
        <v>0</v>
      </c>
      <c r="AW1066" s="48">
        <v>0</v>
      </c>
      <c r="AX1066" s="48">
        <v>0</v>
      </c>
      <c r="AY1066" s="48">
        <v>0</v>
      </c>
      <c r="AZ1066" s="48">
        <v>0</v>
      </c>
      <c r="BA1066" s="48">
        <v>0</v>
      </c>
      <c r="BB1066" s="48">
        <v>0</v>
      </c>
    </row>
    <row r="1067" spans="1:54" x14ac:dyDescent="0.35">
      <c r="A1067" s="49">
        <v>45930</v>
      </c>
      <c r="B1067" s="48">
        <v>1</v>
      </c>
      <c r="C1067" s="50" t="s">
        <v>32</v>
      </c>
      <c r="D1067" s="48" t="s">
        <v>31</v>
      </c>
      <c r="E1067" s="48" t="s">
        <v>138</v>
      </c>
      <c r="F1067" s="48" t="s">
        <v>139</v>
      </c>
      <c r="G1067" s="49" t="s">
        <v>64</v>
      </c>
      <c r="H1067" s="48" t="s">
        <v>64</v>
      </c>
      <c r="I1067" s="48">
        <v>1</v>
      </c>
      <c r="J1067" s="48">
        <v>36</v>
      </c>
      <c r="K1067" s="48">
        <v>1</v>
      </c>
      <c r="N1067" s="48">
        <v>0</v>
      </c>
      <c r="R1067" s="49"/>
      <c r="S1067" s="181">
        <v>0</v>
      </c>
      <c r="T1067" s="49">
        <v>47026</v>
      </c>
      <c r="U1067" s="49">
        <v>47026</v>
      </c>
      <c r="V1067" s="49">
        <v>47026</v>
      </c>
      <c r="W1067" s="49">
        <v>47026</v>
      </c>
      <c r="X1067" s="48">
        <v>1</v>
      </c>
      <c r="Y1067" s="48">
        <v>1</v>
      </c>
      <c r="Z1067" s="48">
        <v>1</v>
      </c>
      <c r="AA1067" s="156">
        <v>8390.977733491969</v>
      </c>
      <c r="AF1067" s="48">
        <v>0</v>
      </c>
      <c r="AG1067" s="49" t="s">
        <v>32</v>
      </c>
      <c r="AH1067" s="48">
        <v>1</v>
      </c>
      <c r="AI1067" s="48" t="s">
        <v>33</v>
      </c>
      <c r="AJ1067" s="48" t="s">
        <v>33</v>
      </c>
      <c r="AK1067" s="48" t="s">
        <v>33</v>
      </c>
      <c r="AL1067" s="48" t="s">
        <v>34</v>
      </c>
      <c r="AN1067" s="48">
        <v>0</v>
      </c>
      <c r="AO1067" s="48">
        <v>0</v>
      </c>
      <c r="AP1067" s="48">
        <v>0</v>
      </c>
      <c r="AQ1067" s="48">
        <v>0</v>
      </c>
      <c r="AR1067" s="48">
        <v>0</v>
      </c>
      <c r="AS1067" s="48">
        <v>0</v>
      </c>
      <c r="AT1067" s="48">
        <v>0</v>
      </c>
      <c r="AU1067" s="48">
        <v>0</v>
      </c>
      <c r="AV1067" s="48">
        <v>0</v>
      </c>
      <c r="AW1067" s="48">
        <v>0</v>
      </c>
      <c r="AX1067" s="48">
        <v>0</v>
      </c>
      <c r="AY1067" s="48">
        <v>0</v>
      </c>
      <c r="AZ1067" s="48">
        <v>0</v>
      </c>
      <c r="BA1067" s="48">
        <v>0</v>
      </c>
      <c r="BB1067" s="48">
        <v>0</v>
      </c>
    </row>
    <row r="1068" spans="1:54" x14ac:dyDescent="0.35">
      <c r="A1068" s="49">
        <v>45930</v>
      </c>
      <c r="B1068" s="48">
        <v>1</v>
      </c>
      <c r="C1068" s="50" t="s">
        <v>32</v>
      </c>
      <c r="D1068" s="48" t="s">
        <v>31</v>
      </c>
      <c r="E1068" s="48" t="s">
        <v>138</v>
      </c>
      <c r="F1068" s="48" t="s">
        <v>139</v>
      </c>
      <c r="G1068" s="49" t="s">
        <v>64</v>
      </c>
      <c r="H1068" s="48" t="s">
        <v>64</v>
      </c>
      <c r="I1068" s="48">
        <v>1</v>
      </c>
      <c r="J1068" s="48">
        <v>37</v>
      </c>
      <c r="K1068" s="48">
        <v>1</v>
      </c>
      <c r="N1068" s="48">
        <v>0</v>
      </c>
      <c r="R1068" s="49"/>
      <c r="S1068" s="181">
        <v>0</v>
      </c>
      <c r="T1068" s="49">
        <v>47057</v>
      </c>
      <c r="U1068" s="49">
        <v>47057</v>
      </c>
      <c r="V1068" s="49">
        <v>47057</v>
      </c>
      <c r="W1068" s="49">
        <v>47057</v>
      </c>
      <c r="X1068" s="48">
        <v>1</v>
      </c>
      <c r="Y1068" s="48">
        <v>1</v>
      </c>
      <c r="Z1068" s="48">
        <v>1</v>
      </c>
      <c r="AA1068" s="156">
        <v>8390.977733491969</v>
      </c>
      <c r="AF1068" s="48">
        <v>0</v>
      </c>
      <c r="AG1068" s="49" t="s">
        <v>32</v>
      </c>
      <c r="AH1068" s="48">
        <v>1</v>
      </c>
      <c r="AI1068" s="48" t="s">
        <v>33</v>
      </c>
      <c r="AJ1068" s="48" t="s">
        <v>33</v>
      </c>
      <c r="AK1068" s="48" t="s">
        <v>33</v>
      </c>
      <c r="AL1068" s="48" t="s">
        <v>34</v>
      </c>
      <c r="AN1068" s="48">
        <v>0</v>
      </c>
      <c r="AO1068" s="48">
        <v>0</v>
      </c>
      <c r="AP1068" s="48">
        <v>0</v>
      </c>
      <c r="AQ1068" s="48">
        <v>0</v>
      </c>
      <c r="AR1068" s="48">
        <v>0</v>
      </c>
      <c r="AS1068" s="48">
        <v>0</v>
      </c>
      <c r="AT1068" s="48">
        <v>0</v>
      </c>
      <c r="AU1068" s="48">
        <v>0</v>
      </c>
      <c r="AV1068" s="48">
        <v>0</v>
      </c>
      <c r="AW1068" s="48">
        <v>0</v>
      </c>
      <c r="AX1068" s="48">
        <v>0</v>
      </c>
      <c r="AY1068" s="48">
        <v>0</v>
      </c>
      <c r="AZ1068" s="48">
        <v>0</v>
      </c>
      <c r="BA1068" s="48">
        <v>0</v>
      </c>
      <c r="BB1068" s="48">
        <v>0</v>
      </c>
    </row>
    <row r="1069" spans="1:54" x14ac:dyDescent="0.35">
      <c r="A1069" s="49">
        <v>45930</v>
      </c>
      <c r="B1069" s="48">
        <v>1</v>
      </c>
      <c r="C1069" s="50" t="s">
        <v>32</v>
      </c>
      <c r="D1069" s="48" t="s">
        <v>31</v>
      </c>
      <c r="E1069" s="48" t="s">
        <v>138</v>
      </c>
      <c r="F1069" s="48" t="s">
        <v>139</v>
      </c>
      <c r="G1069" s="49" t="s">
        <v>64</v>
      </c>
      <c r="H1069" s="48" t="s">
        <v>64</v>
      </c>
      <c r="I1069" s="48">
        <v>1</v>
      </c>
      <c r="J1069" s="48">
        <v>38</v>
      </c>
      <c r="K1069" s="48">
        <v>1</v>
      </c>
      <c r="N1069" s="48">
        <v>0</v>
      </c>
      <c r="R1069" s="49"/>
      <c r="S1069" s="181">
        <v>0</v>
      </c>
      <c r="T1069" s="49">
        <v>47087</v>
      </c>
      <c r="U1069" s="49">
        <v>47087</v>
      </c>
      <c r="V1069" s="49">
        <v>47087</v>
      </c>
      <c r="W1069" s="49">
        <v>47087</v>
      </c>
      <c r="X1069" s="48">
        <v>1</v>
      </c>
      <c r="Y1069" s="48">
        <v>1</v>
      </c>
      <c r="Z1069" s="48">
        <v>1</v>
      </c>
      <c r="AA1069" s="156">
        <v>8390.977733491969</v>
      </c>
      <c r="AF1069" s="48">
        <v>0</v>
      </c>
      <c r="AG1069" s="49" t="s">
        <v>32</v>
      </c>
      <c r="AH1069" s="48">
        <v>1</v>
      </c>
      <c r="AI1069" s="48" t="s">
        <v>33</v>
      </c>
      <c r="AJ1069" s="48" t="s">
        <v>33</v>
      </c>
      <c r="AK1069" s="48" t="s">
        <v>33</v>
      </c>
      <c r="AL1069" s="48" t="s">
        <v>34</v>
      </c>
      <c r="AN1069" s="48">
        <v>0</v>
      </c>
      <c r="AO1069" s="48">
        <v>0</v>
      </c>
      <c r="AP1069" s="48">
        <v>0</v>
      </c>
      <c r="AQ1069" s="48">
        <v>0</v>
      </c>
      <c r="AR1069" s="48">
        <v>0</v>
      </c>
      <c r="AS1069" s="48">
        <v>0</v>
      </c>
      <c r="AT1069" s="48">
        <v>0</v>
      </c>
      <c r="AU1069" s="48">
        <v>0</v>
      </c>
      <c r="AV1069" s="48">
        <v>0</v>
      </c>
      <c r="AW1069" s="48">
        <v>0</v>
      </c>
      <c r="AX1069" s="48">
        <v>0</v>
      </c>
      <c r="AY1069" s="48">
        <v>0</v>
      </c>
      <c r="AZ1069" s="48">
        <v>0</v>
      </c>
      <c r="BA1069" s="48">
        <v>0</v>
      </c>
      <c r="BB1069" s="48">
        <v>0</v>
      </c>
    </row>
    <row r="1070" spans="1:54" x14ac:dyDescent="0.35">
      <c r="A1070" s="49">
        <v>45930</v>
      </c>
      <c r="B1070" s="48">
        <v>1</v>
      </c>
      <c r="C1070" s="50" t="s">
        <v>32</v>
      </c>
      <c r="D1070" s="48" t="s">
        <v>31</v>
      </c>
      <c r="E1070" s="48" t="s">
        <v>138</v>
      </c>
      <c r="F1070" s="48" t="s">
        <v>139</v>
      </c>
      <c r="G1070" s="49" t="s">
        <v>64</v>
      </c>
      <c r="H1070" s="48" t="s">
        <v>64</v>
      </c>
      <c r="I1070" s="48">
        <v>1</v>
      </c>
      <c r="J1070" s="48">
        <v>39</v>
      </c>
      <c r="K1070" s="48">
        <v>1</v>
      </c>
      <c r="N1070" s="48">
        <v>0</v>
      </c>
      <c r="R1070" s="49"/>
      <c r="S1070" s="181">
        <v>0</v>
      </c>
      <c r="T1070" s="49">
        <v>47118</v>
      </c>
      <c r="U1070" s="49">
        <v>47118</v>
      </c>
      <c r="V1070" s="49">
        <v>47118</v>
      </c>
      <c r="W1070" s="49">
        <v>47118</v>
      </c>
      <c r="X1070" s="48">
        <v>1</v>
      </c>
      <c r="Y1070" s="48">
        <v>1</v>
      </c>
      <c r="Z1070" s="48">
        <v>1</v>
      </c>
      <c r="AA1070" s="156">
        <v>8390.977733491969</v>
      </c>
      <c r="AF1070" s="48">
        <v>0</v>
      </c>
      <c r="AG1070" s="49" t="s">
        <v>32</v>
      </c>
      <c r="AH1070" s="48">
        <v>1</v>
      </c>
      <c r="AI1070" s="48" t="s">
        <v>33</v>
      </c>
      <c r="AJ1070" s="48" t="s">
        <v>33</v>
      </c>
      <c r="AK1070" s="48" t="s">
        <v>33</v>
      </c>
      <c r="AL1070" s="48" t="s">
        <v>34</v>
      </c>
      <c r="AN1070" s="48">
        <v>0</v>
      </c>
      <c r="AO1070" s="48">
        <v>0</v>
      </c>
      <c r="AP1070" s="48">
        <v>0</v>
      </c>
      <c r="AQ1070" s="48">
        <v>0</v>
      </c>
      <c r="AR1070" s="48">
        <v>0</v>
      </c>
      <c r="AS1070" s="48">
        <v>0</v>
      </c>
      <c r="AT1070" s="48">
        <v>0</v>
      </c>
      <c r="AU1070" s="48">
        <v>0</v>
      </c>
      <c r="AV1070" s="48">
        <v>0</v>
      </c>
      <c r="AW1070" s="48">
        <v>0</v>
      </c>
      <c r="AX1070" s="48">
        <v>0</v>
      </c>
      <c r="AY1070" s="48">
        <v>0</v>
      </c>
      <c r="AZ1070" s="48">
        <v>0</v>
      </c>
      <c r="BA1070" s="48">
        <v>0</v>
      </c>
      <c r="BB1070" s="48">
        <v>0</v>
      </c>
    </row>
    <row r="1071" spans="1:54" x14ac:dyDescent="0.35">
      <c r="A1071" s="49">
        <v>45930</v>
      </c>
      <c r="B1071" s="48">
        <v>1</v>
      </c>
      <c r="C1071" s="50" t="s">
        <v>32</v>
      </c>
      <c r="D1071" s="48" t="s">
        <v>31</v>
      </c>
      <c r="E1071" s="48" t="s">
        <v>138</v>
      </c>
      <c r="F1071" s="48" t="s">
        <v>139</v>
      </c>
      <c r="G1071" s="49" t="s">
        <v>64</v>
      </c>
      <c r="H1071" s="48" t="s">
        <v>64</v>
      </c>
      <c r="I1071" s="48">
        <v>1</v>
      </c>
      <c r="J1071" s="48">
        <v>40</v>
      </c>
      <c r="K1071" s="48">
        <v>1</v>
      </c>
      <c r="N1071" s="48">
        <v>0</v>
      </c>
      <c r="R1071" s="49"/>
      <c r="S1071" s="181">
        <v>0</v>
      </c>
      <c r="T1071" s="49">
        <v>47149</v>
      </c>
      <c r="U1071" s="49">
        <v>47149</v>
      </c>
      <c r="V1071" s="49">
        <v>47149</v>
      </c>
      <c r="W1071" s="49">
        <v>47149</v>
      </c>
      <c r="X1071" s="48">
        <v>1</v>
      </c>
      <c r="Y1071" s="48">
        <v>1</v>
      </c>
      <c r="Z1071" s="48">
        <v>1</v>
      </c>
      <c r="AA1071" s="156">
        <v>8390.977733491969</v>
      </c>
      <c r="AF1071" s="48">
        <v>0</v>
      </c>
      <c r="AG1071" s="49" t="s">
        <v>32</v>
      </c>
      <c r="AH1071" s="48">
        <v>1</v>
      </c>
      <c r="AI1071" s="48" t="s">
        <v>33</v>
      </c>
      <c r="AJ1071" s="48" t="s">
        <v>33</v>
      </c>
      <c r="AK1071" s="48" t="s">
        <v>33</v>
      </c>
      <c r="AL1071" s="48" t="s">
        <v>34</v>
      </c>
      <c r="AN1071" s="48">
        <v>0</v>
      </c>
      <c r="AO1071" s="48">
        <v>0</v>
      </c>
      <c r="AP1071" s="48">
        <v>0</v>
      </c>
      <c r="AQ1071" s="48">
        <v>0</v>
      </c>
      <c r="AR1071" s="48">
        <v>0</v>
      </c>
      <c r="AS1071" s="48">
        <v>0</v>
      </c>
      <c r="AT1071" s="48">
        <v>0</v>
      </c>
      <c r="AU1071" s="48">
        <v>0</v>
      </c>
      <c r="AV1071" s="48">
        <v>0</v>
      </c>
      <c r="AW1071" s="48">
        <v>0</v>
      </c>
      <c r="AX1071" s="48">
        <v>0</v>
      </c>
      <c r="AY1071" s="48">
        <v>0</v>
      </c>
      <c r="AZ1071" s="48">
        <v>0</v>
      </c>
      <c r="BA1071" s="48">
        <v>0</v>
      </c>
      <c r="BB1071" s="48">
        <v>0</v>
      </c>
    </row>
    <row r="1072" spans="1:54" x14ac:dyDescent="0.35">
      <c r="A1072" s="49">
        <v>45930</v>
      </c>
      <c r="B1072" s="48">
        <v>1</v>
      </c>
      <c r="C1072" s="50" t="s">
        <v>32</v>
      </c>
      <c r="D1072" s="48" t="s">
        <v>31</v>
      </c>
      <c r="E1072" s="48" t="s">
        <v>138</v>
      </c>
      <c r="F1072" s="48" t="s">
        <v>139</v>
      </c>
      <c r="G1072" s="49" t="s">
        <v>64</v>
      </c>
      <c r="H1072" s="48" t="s">
        <v>64</v>
      </c>
      <c r="I1072" s="48">
        <v>1</v>
      </c>
      <c r="J1072" s="48">
        <v>41</v>
      </c>
      <c r="K1072" s="48">
        <v>1</v>
      </c>
      <c r="N1072" s="48">
        <v>0</v>
      </c>
      <c r="R1072" s="49"/>
      <c r="S1072" s="181">
        <v>0</v>
      </c>
      <c r="T1072" s="49">
        <v>47177</v>
      </c>
      <c r="U1072" s="49">
        <v>47177</v>
      </c>
      <c r="V1072" s="49">
        <v>47177</v>
      </c>
      <c r="W1072" s="49">
        <v>47177</v>
      </c>
      <c r="X1072" s="48">
        <v>1</v>
      </c>
      <c r="Y1072" s="48">
        <v>1</v>
      </c>
      <c r="Z1072" s="48">
        <v>1</v>
      </c>
      <c r="AA1072" s="156">
        <v>8390.977733491969</v>
      </c>
      <c r="AF1072" s="48">
        <v>0</v>
      </c>
      <c r="AG1072" s="49" t="s">
        <v>32</v>
      </c>
      <c r="AH1072" s="48">
        <v>1</v>
      </c>
      <c r="AI1072" s="48" t="s">
        <v>33</v>
      </c>
      <c r="AJ1072" s="48" t="s">
        <v>33</v>
      </c>
      <c r="AK1072" s="48" t="s">
        <v>33</v>
      </c>
      <c r="AL1072" s="48" t="s">
        <v>34</v>
      </c>
      <c r="AN1072" s="48">
        <v>0</v>
      </c>
      <c r="AO1072" s="48">
        <v>0</v>
      </c>
      <c r="AP1072" s="48">
        <v>0</v>
      </c>
      <c r="AQ1072" s="48">
        <v>0</v>
      </c>
      <c r="AR1072" s="48">
        <v>0</v>
      </c>
      <c r="AS1072" s="48">
        <v>0</v>
      </c>
      <c r="AT1072" s="48">
        <v>0</v>
      </c>
      <c r="AU1072" s="48">
        <v>0</v>
      </c>
      <c r="AV1072" s="48">
        <v>0</v>
      </c>
      <c r="AW1072" s="48">
        <v>0</v>
      </c>
      <c r="AX1072" s="48">
        <v>0</v>
      </c>
      <c r="AY1072" s="48">
        <v>0</v>
      </c>
      <c r="AZ1072" s="48">
        <v>0</v>
      </c>
      <c r="BA1072" s="48">
        <v>0</v>
      </c>
      <c r="BB1072" s="48">
        <v>0</v>
      </c>
    </row>
    <row r="1073" spans="1:54" x14ac:dyDescent="0.35">
      <c r="A1073" s="49">
        <v>45930</v>
      </c>
      <c r="B1073" s="48">
        <v>1</v>
      </c>
      <c r="C1073" s="50" t="s">
        <v>32</v>
      </c>
      <c r="D1073" s="48" t="s">
        <v>31</v>
      </c>
      <c r="E1073" s="48" t="s">
        <v>138</v>
      </c>
      <c r="F1073" s="48" t="s">
        <v>139</v>
      </c>
      <c r="G1073" s="49" t="s">
        <v>64</v>
      </c>
      <c r="H1073" s="48" t="s">
        <v>64</v>
      </c>
      <c r="I1073" s="48">
        <v>1</v>
      </c>
      <c r="J1073" s="48">
        <v>42</v>
      </c>
      <c r="K1073" s="48">
        <v>1</v>
      </c>
      <c r="N1073" s="48">
        <v>0</v>
      </c>
      <c r="R1073" s="49"/>
      <c r="S1073" s="181">
        <v>0</v>
      </c>
      <c r="T1073" s="49">
        <v>47208</v>
      </c>
      <c r="U1073" s="49">
        <v>47208</v>
      </c>
      <c r="V1073" s="49">
        <v>47208</v>
      </c>
      <c r="W1073" s="49">
        <v>47208</v>
      </c>
      <c r="X1073" s="48">
        <v>1</v>
      </c>
      <c r="Y1073" s="48">
        <v>1</v>
      </c>
      <c r="Z1073" s="48">
        <v>1</v>
      </c>
      <c r="AA1073" s="156">
        <v>8390.977733491969</v>
      </c>
      <c r="AF1073" s="48">
        <v>0</v>
      </c>
      <c r="AG1073" s="49" t="s">
        <v>32</v>
      </c>
      <c r="AH1073" s="48">
        <v>1</v>
      </c>
      <c r="AI1073" s="48" t="s">
        <v>33</v>
      </c>
      <c r="AJ1073" s="48" t="s">
        <v>33</v>
      </c>
      <c r="AK1073" s="48" t="s">
        <v>33</v>
      </c>
      <c r="AL1073" s="48" t="s">
        <v>34</v>
      </c>
      <c r="AN1073" s="48">
        <v>0</v>
      </c>
      <c r="AO1073" s="48">
        <v>0</v>
      </c>
      <c r="AP1073" s="48">
        <v>0</v>
      </c>
      <c r="AQ1073" s="48">
        <v>0</v>
      </c>
      <c r="AR1073" s="48">
        <v>0</v>
      </c>
      <c r="AS1073" s="48">
        <v>0</v>
      </c>
      <c r="AT1073" s="48">
        <v>0</v>
      </c>
      <c r="AU1073" s="48">
        <v>0</v>
      </c>
      <c r="AV1073" s="48">
        <v>0</v>
      </c>
      <c r="AW1073" s="48">
        <v>0</v>
      </c>
      <c r="AX1073" s="48">
        <v>0</v>
      </c>
      <c r="AY1073" s="48">
        <v>0</v>
      </c>
      <c r="AZ1073" s="48">
        <v>0</v>
      </c>
      <c r="BA1073" s="48">
        <v>0</v>
      </c>
      <c r="BB1073" s="48">
        <v>0</v>
      </c>
    </row>
    <row r="1074" spans="1:54" x14ac:dyDescent="0.35">
      <c r="A1074" s="49">
        <v>45930</v>
      </c>
      <c r="B1074" s="48">
        <v>1</v>
      </c>
      <c r="C1074" s="50" t="s">
        <v>32</v>
      </c>
      <c r="D1074" s="48" t="s">
        <v>31</v>
      </c>
      <c r="E1074" s="48" t="s">
        <v>138</v>
      </c>
      <c r="F1074" s="48" t="s">
        <v>139</v>
      </c>
      <c r="G1074" s="49" t="s">
        <v>64</v>
      </c>
      <c r="H1074" s="48" t="s">
        <v>64</v>
      </c>
      <c r="I1074" s="48">
        <v>1</v>
      </c>
      <c r="J1074" s="48">
        <v>43</v>
      </c>
      <c r="K1074" s="48">
        <v>1</v>
      </c>
      <c r="N1074" s="48">
        <v>0</v>
      </c>
      <c r="R1074" s="49"/>
      <c r="S1074" s="181">
        <v>0</v>
      </c>
      <c r="T1074" s="49">
        <v>47238</v>
      </c>
      <c r="U1074" s="49">
        <v>47238</v>
      </c>
      <c r="V1074" s="49">
        <v>47238</v>
      </c>
      <c r="W1074" s="49">
        <v>47238</v>
      </c>
      <c r="X1074" s="48">
        <v>1</v>
      </c>
      <c r="Y1074" s="48">
        <v>1</v>
      </c>
      <c r="Z1074" s="48">
        <v>1</v>
      </c>
      <c r="AA1074" s="156">
        <v>8390.977733491969</v>
      </c>
      <c r="AF1074" s="48">
        <v>0</v>
      </c>
      <c r="AG1074" s="49" t="s">
        <v>32</v>
      </c>
      <c r="AH1074" s="48">
        <v>1</v>
      </c>
      <c r="AI1074" s="48" t="s">
        <v>33</v>
      </c>
      <c r="AJ1074" s="48" t="s">
        <v>33</v>
      </c>
      <c r="AK1074" s="48" t="s">
        <v>33</v>
      </c>
      <c r="AL1074" s="48" t="s">
        <v>34</v>
      </c>
      <c r="AN1074" s="48">
        <v>0</v>
      </c>
      <c r="AO1074" s="48">
        <v>0</v>
      </c>
      <c r="AP1074" s="48">
        <v>0</v>
      </c>
      <c r="AQ1074" s="48">
        <v>0</v>
      </c>
      <c r="AR1074" s="48">
        <v>0</v>
      </c>
      <c r="AS1074" s="48">
        <v>0</v>
      </c>
      <c r="AT1074" s="48">
        <v>0</v>
      </c>
      <c r="AU1074" s="48">
        <v>0</v>
      </c>
      <c r="AV1074" s="48">
        <v>0</v>
      </c>
      <c r="AW1074" s="48">
        <v>0</v>
      </c>
      <c r="AX1074" s="48">
        <v>0</v>
      </c>
      <c r="AY1074" s="48">
        <v>0</v>
      </c>
      <c r="AZ1074" s="48">
        <v>0</v>
      </c>
      <c r="BA1074" s="48">
        <v>0</v>
      </c>
      <c r="BB1074" s="48">
        <v>0</v>
      </c>
    </row>
    <row r="1075" spans="1:54" x14ac:dyDescent="0.35">
      <c r="A1075" s="49">
        <v>45930</v>
      </c>
      <c r="B1075" s="48">
        <v>1</v>
      </c>
      <c r="C1075" s="50" t="s">
        <v>32</v>
      </c>
      <c r="D1075" s="48" t="s">
        <v>31</v>
      </c>
      <c r="E1075" s="48" t="s">
        <v>138</v>
      </c>
      <c r="F1075" s="48" t="s">
        <v>139</v>
      </c>
      <c r="G1075" s="49" t="s">
        <v>64</v>
      </c>
      <c r="H1075" s="48" t="s">
        <v>64</v>
      </c>
      <c r="I1075" s="48">
        <v>1</v>
      </c>
      <c r="J1075" s="48">
        <v>44</v>
      </c>
      <c r="K1075" s="48">
        <v>1</v>
      </c>
      <c r="N1075" s="48">
        <v>0</v>
      </c>
      <c r="R1075" s="49"/>
      <c r="S1075" s="181">
        <v>0</v>
      </c>
      <c r="T1075" s="49">
        <v>47269</v>
      </c>
      <c r="U1075" s="49">
        <v>47269</v>
      </c>
      <c r="V1075" s="49">
        <v>47269</v>
      </c>
      <c r="W1075" s="49">
        <v>47269</v>
      </c>
      <c r="X1075" s="48">
        <v>1</v>
      </c>
      <c r="Y1075" s="48">
        <v>1</v>
      </c>
      <c r="Z1075" s="48">
        <v>1</v>
      </c>
      <c r="AA1075" s="156">
        <v>8390.977733491969</v>
      </c>
      <c r="AF1075" s="48">
        <v>0</v>
      </c>
      <c r="AG1075" s="49" t="s">
        <v>32</v>
      </c>
      <c r="AH1075" s="48">
        <v>1</v>
      </c>
      <c r="AI1075" s="48" t="s">
        <v>33</v>
      </c>
      <c r="AJ1075" s="48" t="s">
        <v>33</v>
      </c>
      <c r="AK1075" s="48" t="s">
        <v>33</v>
      </c>
      <c r="AL1075" s="48" t="s">
        <v>34</v>
      </c>
      <c r="AN1075" s="48">
        <v>0</v>
      </c>
      <c r="AO1075" s="48">
        <v>0</v>
      </c>
      <c r="AP1075" s="48">
        <v>0</v>
      </c>
      <c r="AQ1075" s="48">
        <v>0</v>
      </c>
      <c r="AR1075" s="48">
        <v>0</v>
      </c>
      <c r="AS1075" s="48">
        <v>0</v>
      </c>
      <c r="AT1075" s="48">
        <v>0</v>
      </c>
      <c r="AU1075" s="48">
        <v>0</v>
      </c>
      <c r="AV1075" s="48">
        <v>0</v>
      </c>
      <c r="AW1075" s="48">
        <v>0</v>
      </c>
      <c r="AX1075" s="48">
        <v>0</v>
      </c>
      <c r="AY1075" s="48">
        <v>0</v>
      </c>
      <c r="AZ1075" s="48">
        <v>0</v>
      </c>
      <c r="BA1075" s="48">
        <v>0</v>
      </c>
      <c r="BB1075" s="48">
        <v>0</v>
      </c>
    </row>
    <row r="1076" spans="1:54" x14ac:dyDescent="0.35">
      <c r="A1076" s="49">
        <v>45930</v>
      </c>
      <c r="B1076" s="48">
        <v>1</v>
      </c>
      <c r="C1076" s="50" t="s">
        <v>32</v>
      </c>
      <c r="D1076" s="48" t="s">
        <v>31</v>
      </c>
      <c r="E1076" s="48" t="s">
        <v>138</v>
      </c>
      <c r="F1076" s="48" t="s">
        <v>139</v>
      </c>
      <c r="G1076" s="49" t="s">
        <v>64</v>
      </c>
      <c r="H1076" s="48" t="s">
        <v>64</v>
      </c>
      <c r="I1076" s="48">
        <v>1</v>
      </c>
      <c r="J1076" s="48">
        <v>45</v>
      </c>
      <c r="K1076" s="48">
        <v>1</v>
      </c>
      <c r="N1076" s="48">
        <v>0</v>
      </c>
      <c r="R1076" s="49"/>
      <c r="S1076" s="181">
        <v>0</v>
      </c>
      <c r="T1076" s="49">
        <v>47299</v>
      </c>
      <c r="U1076" s="49">
        <v>47299</v>
      </c>
      <c r="V1076" s="49">
        <v>47299</v>
      </c>
      <c r="W1076" s="49">
        <v>47299</v>
      </c>
      <c r="X1076" s="48">
        <v>1</v>
      </c>
      <c r="Y1076" s="48">
        <v>1</v>
      </c>
      <c r="Z1076" s="48">
        <v>1</v>
      </c>
      <c r="AA1076" s="156">
        <v>8390.977733491969</v>
      </c>
      <c r="AF1076" s="48">
        <v>0</v>
      </c>
      <c r="AG1076" s="49" t="s">
        <v>32</v>
      </c>
      <c r="AH1076" s="48">
        <v>1</v>
      </c>
      <c r="AI1076" s="48" t="s">
        <v>33</v>
      </c>
      <c r="AJ1076" s="48" t="s">
        <v>33</v>
      </c>
      <c r="AK1076" s="48" t="s">
        <v>33</v>
      </c>
      <c r="AL1076" s="48" t="s">
        <v>34</v>
      </c>
      <c r="AN1076" s="48">
        <v>0</v>
      </c>
      <c r="AO1076" s="48">
        <v>0</v>
      </c>
      <c r="AP1076" s="48">
        <v>0</v>
      </c>
      <c r="AQ1076" s="48">
        <v>0</v>
      </c>
      <c r="AR1076" s="48">
        <v>0</v>
      </c>
      <c r="AS1076" s="48">
        <v>0</v>
      </c>
      <c r="AT1076" s="48">
        <v>0</v>
      </c>
      <c r="AU1076" s="48">
        <v>0</v>
      </c>
      <c r="AV1076" s="48">
        <v>0</v>
      </c>
      <c r="AW1076" s="48">
        <v>0</v>
      </c>
      <c r="AX1076" s="48">
        <v>0</v>
      </c>
      <c r="AY1076" s="48">
        <v>0</v>
      </c>
      <c r="AZ1076" s="48">
        <v>0</v>
      </c>
      <c r="BA1076" s="48">
        <v>0</v>
      </c>
      <c r="BB1076" s="48">
        <v>0</v>
      </c>
    </row>
    <row r="1077" spans="1:54" x14ac:dyDescent="0.35">
      <c r="A1077" s="49">
        <v>45930</v>
      </c>
      <c r="B1077" s="48">
        <v>1</v>
      </c>
      <c r="C1077" s="50" t="s">
        <v>32</v>
      </c>
      <c r="D1077" s="48" t="s">
        <v>31</v>
      </c>
      <c r="E1077" s="48" t="s">
        <v>138</v>
      </c>
      <c r="F1077" s="48" t="s">
        <v>139</v>
      </c>
      <c r="G1077" s="49" t="s">
        <v>64</v>
      </c>
      <c r="H1077" s="48" t="s">
        <v>64</v>
      </c>
      <c r="I1077" s="48">
        <v>1</v>
      </c>
      <c r="J1077" s="48">
        <v>46</v>
      </c>
      <c r="K1077" s="48">
        <v>1</v>
      </c>
      <c r="N1077" s="48">
        <v>0</v>
      </c>
      <c r="R1077" s="49"/>
      <c r="S1077" s="181">
        <v>0</v>
      </c>
      <c r="T1077" s="49">
        <v>47330</v>
      </c>
      <c r="U1077" s="49">
        <v>47330</v>
      </c>
      <c r="V1077" s="49">
        <v>47330</v>
      </c>
      <c r="W1077" s="49">
        <v>47330</v>
      </c>
      <c r="X1077" s="48">
        <v>1</v>
      </c>
      <c r="Y1077" s="48">
        <v>1</v>
      </c>
      <c r="Z1077" s="48">
        <v>1</v>
      </c>
      <c r="AA1077" s="156">
        <v>8390.977733491969</v>
      </c>
      <c r="AF1077" s="48">
        <v>0</v>
      </c>
      <c r="AG1077" s="49" t="s">
        <v>32</v>
      </c>
      <c r="AH1077" s="48">
        <v>1</v>
      </c>
      <c r="AI1077" s="48" t="s">
        <v>33</v>
      </c>
      <c r="AJ1077" s="48" t="s">
        <v>33</v>
      </c>
      <c r="AK1077" s="48" t="s">
        <v>33</v>
      </c>
      <c r="AL1077" s="48" t="s">
        <v>34</v>
      </c>
      <c r="AN1077" s="48">
        <v>0</v>
      </c>
      <c r="AO1077" s="48">
        <v>0</v>
      </c>
      <c r="AP1077" s="48">
        <v>0</v>
      </c>
      <c r="AQ1077" s="48">
        <v>0</v>
      </c>
      <c r="AR1077" s="48">
        <v>0</v>
      </c>
      <c r="AS1077" s="48">
        <v>0</v>
      </c>
      <c r="AT1077" s="48">
        <v>0</v>
      </c>
      <c r="AU1077" s="48">
        <v>0</v>
      </c>
      <c r="AV1077" s="48">
        <v>0</v>
      </c>
      <c r="AW1077" s="48">
        <v>0</v>
      </c>
      <c r="AX1077" s="48">
        <v>0</v>
      </c>
      <c r="AY1077" s="48">
        <v>0</v>
      </c>
      <c r="AZ1077" s="48">
        <v>0</v>
      </c>
      <c r="BA1077" s="48">
        <v>0</v>
      </c>
      <c r="BB1077" s="48">
        <v>0</v>
      </c>
    </row>
    <row r="1078" spans="1:54" x14ac:dyDescent="0.35">
      <c r="A1078" s="49">
        <v>45930</v>
      </c>
      <c r="B1078" s="48">
        <v>1</v>
      </c>
      <c r="C1078" s="50" t="s">
        <v>32</v>
      </c>
      <c r="D1078" s="48" t="s">
        <v>31</v>
      </c>
      <c r="E1078" s="48" t="s">
        <v>138</v>
      </c>
      <c r="F1078" s="48" t="s">
        <v>139</v>
      </c>
      <c r="G1078" s="49" t="s">
        <v>64</v>
      </c>
      <c r="H1078" s="48" t="s">
        <v>64</v>
      </c>
      <c r="I1078" s="48">
        <v>1</v>
      </c>
      <c r="J1078" s="48">
        <v>47</v>
      </c>
      <c r="K1078" s="48">
        <v>1</v>
      </c>
      <c r="N1078" s="48">
        <v>0</v>
      </c>
      <c r="R1078" s="49"/>
      <c r="S1078" s="181">
        <v>0</v>
      </c>
      <c r="T1078" s="49">
        <v>47361</v>
      </c>
      <c r="U1078" s="49">
        <v>47361</v>
      </c>
      <c r="V1078" s="49">
        <v>47361</v>
      </c>
      <c r="W1078" s="49">
        <v>47361</v>
      </c>
      <c r="X1078" s="48">
        <v>1</v>
      </c>
      <c r="Y1078" s="48">
        <v>1</v>
      </c>
      <c r="Z1078" s="48">
        <v>1</v>
      </c>
      <c r="AA1078" s="156">
        <v>8390.977733491969</v>
      </c>
      <c r="AF1078" s="48">
        <v>0</v>
      </c>
      <c r="AG1078" s="49" t="s">
        <v>32</v>
      </c>
      <c r="AH1078" s="48">
        <v>1</v>
      </c>
      <c r="AI1078" s="48" t="s">
        <v>33</v>
      </c>
      <c r="AJ1078" s="48" t="s">
        <v>33</v>
      </c>
      <c r="AK1078" s="48" t="s">
        <v>33</v>
      </c>
      <c r="AL1078" s="48" t="s">
        <v>34</v>
      </c>
      <c r="AN1078" s="48">
        <v>0</v>
      </c>
      <c r="AO1078" s="48">
        <v>0</v>
      </c>
      <c r="AP1078" s="48">
        <v>0</v>
      </c>
      <c r="AQ1078" s="48">
        <v>0</v>
      </c>
      <c r="AR1078" s="48">
        <v>0</v>
      </c>
      <c r="AS1078" s="48">
        <v>0</v>
      </c>
      <c r="AT1078" s="48">
        <v>0</v>
      </c>
      <c r="AU1078" s="48">
        <v>0</v>
      </c>
      <c r="AV1078" s="48">
        <v>0</v>
      </c>
      <c r="AW1078" s="48">
        <v>0</v>
      </c>
      <c r="AX1078" s="48">
        <v>0</v>
      </c>
      <c r="AY1078" s="48">
        <v>0</v>
      </c>
      <c r="AZ1078" s="48">
        <v>0</v>
      </c>
      <c r="BA1078" s="48">
        <v>0</v>
      </c>
      <c r="BB1078" s="48">
        <v>0</v>
      </c>
    </row>
    <row r="1079" spans="1:54" x14ac:dyDescent="0.35">
      <c r="A1079" s="49">
        <v>45930</v>
      </c>
      <c r="B1079" s="48">
        <v>1</v>
      </c>
      <c r="C1079" s="50" t="s">
        <v>32</v>
      </c>
      <c r="D1079" s="48" t="s">
        <v>31</v>
      </c>
      <c r="E1079" s="48" t="s">
        <v>138</v>
      </c>
      <c r="F1079" s="48" t="s">
        <v>139</v>
      </c>
      <c r="G1079" s="49" t="s">
        <v>64</v>
      </c>
      <c r="H1079" s="48" t="s">
        <v>64</v>
      </c>
      <c r="I1079" s="48">
        <v>1</v>
      </c>
      <c r="J1079" s="48">
        <v>48</v>
      </c>
      <c r="K1079" s="48">
        <v>1</v>
      </c>
      <c r="N1079" s="48">
        <v>0</v>
      </c>
      <c r="R1079" s="49"/>
      <c r="S1079" s="181">
        <v>0</v>
      </c>
      <c r="T1079" s="49">
        <v>47391</v>
      </c>
      <c r="U1079" s="49">
        <v>47391</v>
      </c>
      <c r="V1079" s="49">
        <v>47391</v>
      </c>
      <c r="W1079" s="49">
        <v>47391</v>
      </c>
      <c r="X1079" s="48">
        <v>1</v>
      </c>
      <c r="Y1079" s="48">
        <v>1</v>
      </c>
      <c r="Z1079" s="48">
        <v>1</v>
      </c>
      <c r="AA1079" s="156">
        <v>8390.977733491969</v>
      </c>
      <c r="AF1079" s="48">
        <v>0</v>
      </c>
      <c r="AG1079" s="49" t="s">
        <v>32</v>
      </c>
      <c r="AH1079" s="48">
        <v>1</v>
      </c>
      <c r="AI1079" s="48" t="s">
        <v>33</v>
      </c>
      <c r="AJ1079" s="48" t="s">
        <v>33</v>
      </c>
      <c r="AK1079" s="48" t="s">
        <v>33</v>
      </c>
      <c r="AL1079" s="48" t="s">
        <v>34</v>
      </c>
      <c r="AN1079" s="48">
        <v>0</v>
      </c>
      <c r="AO1079" s="48">
        <v>0</v>
      </c>
      <c r="AP1079" s="48">
        <v>0</v>
      </c>
      <c r="AQ1079" s="48">
        <v>0</v>
      </c>
      <c r="AR1079" s="48">
        <v>0</v>
      </c>
      <c r="AS1079" s="48">
        <v>0</v>
      </c>
      <c r="AT1079" s="48">
        <v>0</v>
      </c>
      <c r="AU1079" s="48">
        <v>0</v>
      </c>
      <c r="AV1079" s="48">
        <v>0</v>
      </c>
      <c r="AW1079" s="48">
        <v>0</v>
      </c>
      <c r="AX1079" s="48">
        <v>0</v>
      </c>
      <c r="AY1079" s="48">
        <v>0</v>
      </c>
      <c r="AZ1079" s="48">
        <v>0</v>
      </c>
      <c r="BA1079" s="48">
        <v>0</v>
      </c>
      <c r="BB1079" s="48">
        <v>0</v>
      </c>
    </row>
    <row r="1080" spans="1:54" x14ac:dyDescent="0.35">
      <c r="A1080" s="49">
        <v>45930</v>
      </c>
      <c r="B1080" s="48">
        <v>1</v>
      </c>
      <c r="C1080" s="50" t="s">
        <v>32</v>
      </c>
      <c r="D1080" s="48" t="s">
        <v>31</v>
      </c>
      <c r="E1080" s="48" t="s">
        <v>138</v>
      </c>
      <c r="F1080" s="48" t="s">
        <v>139</v>
      </c>
      <c r="G1080" s="49" t="s">
        <v>64</v>
      </c>
      <c r="H1080" s="48" t="s">
        <v>64</v>
      </c>
      <c r="I1080" s="48">
        <v>1</v>
      </c>
      <c r="J1080" s="48">
        <v>49</v>
      </c>
      <c r="K1080" s="48">
        <v>1</v>
      </c>
      <c r="N1080" s="48">
        <v>0</v>
      </c>
      <c r="R1080" s="49"/>
      <c r="S1080" s="181">
        <v>0</v>
      </c>
      <c r="T1080" s="49">
        <v>47422</v>
      </c>
      <c r="U1080" s="49">
        <v>47422</v>
      </c>
      <c r="V1080" s="49">
        <v>47422</v>
      </c>
      <c r="W1080" s="49">
        <v>47422</v>
      </c>
      <c r="X1080" s="48">
        <v>1</v>
      </c>
      <c r="Y1080" s="48">
        <v>1</v>
      </c>
      <c r="Z1080" s="48">
        <v>1</v>
      </c>
      <c r="AA1080" s="156">
        <v>8390.977733491969</v>
      </c>
      <c r="AF1080" s="48">
        <v>0</v>
      </c>
      <c r="AG1080" s="49" t="s">
        <v>32</v>
      </c>
      <c r="AH1080" s="48">
        <v>1</v>
      </c>
      <c r="AI1080" s="48" t="s">
        <v>33</v>
      </c>
      <c r="AJ1080" s="48" t="s">
        <v>33</v>
      </c>
      <c r="AK1080" s="48" t="s">
        <v>33</v>
      </c>
      <c r="AL1080" s="48" t="s">
        <v>34</v>
      </c>
      <c r="AN1080" s="48">
        <v>0</v>
      </c>
      <c r="AO1080" s="48">
        <v>0</v>
      </c>
      <c r="AP1080" s="48">
        <v>0</v>
      </c>
      <c r="AQ1080" s="48">
        <v>0</v>
      </c>
      <c r="AR1080" s="48">
        <v>0</v>
      </c>
      <c r="AS1080" s="48">
        <v>0</v>
      </c>
      <c r="AT1080" s="48">
        <v>0</v>
      </c>
      <c r="AU1080" s="48">
        <v>0</v>
      </c>
      <c r="AV1080" s="48">
        <v>0</v>
      </c>
      <c r="AW1080" s="48">
        <v>0</v>
      </c>
      <c r="AX1080" s="48">
        <v>0</v>
      </c>
      <c r="AY1080" s="48">
        <v>0</v>
      </c>
      <c r="AZ1080" s="48">
        <v>0</v>
      </c>
      <c r="BA1080" s="48">
        <v>0</v>
      </c>
      <c r="BB1080" s="48">
        <v>0</v>
      </c>
    </row>
    <row r="1081" spans="1:54" x14ac:dyDescent="0.35">
      <c r="A1081" s="49">
        <v>45930</v>
      </c>
      <c r="B1081" s="48">
        <v>1</v>
      </c>
      <c r="C1081" s="50" t="s">
        <v>32</v>
      </c>
      <c r="D1081" s="48" t="s">
        <v>31</v>
      </c>
      <c r="E1081" s="48" t="s">
        <v>138</v>
      </c>
      <c r="F1081" s="48" t="s">
        <v>139</v>
      </c>
      <c r="G1081" s="49" t="s">
        <v>64</v>
      </c>
      <c r="H1081" s="48" t="s">
        <v>64</v>
      </c>
      <c r="I1081" s="48">
        <v>1</v>
      </c>
      <c r="J1081" s="48">
        <v>50</v>
      </c>
      <c r="K1081" s="48">
        <v>1</v>
      </c>
      <c r="N1081" s="48">
        <v>0</v>
      </c>
      <c r="R1081" s="49"/>
      <c r="S1081" s="181">
        <v>0</v>
      </c>
      <c r="T1081" s="49">
        <v>47452</v>
      </c>
      <c r="U1081" s="49">
        <v>47452</v>
      </c>
      <c r="V1081" s="49">
        <v>47452</v>
      </c>
      <c r="W1081" s="49">
        <v>47452</v>
      </c>
      <c r="X1081" s="48">
        <v>1</v>
      </c>
      <c r="Y1081" s="48">
        <v>1</v>
      </c>
      <c r="Z1081" s="48">
        <v>1</v>
      </c>
      <c r="AA1081" s="156">
        <v>8390.977733491969</v>
      </c>
      <c r="AF1081" s="48">
        <v>0</v>
      </c>
      <c r="AG1081" s="49" t="s">
        <v>32</v>
      </c>
      <c r="AH1081" s="48">
        <v>1</v>
      </c>
      <c r="AI1081" s="48" t="s">
        <v>33</v>
      </c>
      <c r="AJ1081" s="48" t="s">
        <v>33</v>
      </c>
      <c r="AK1081" s="48" t="s">
        <v>33</v>
      </c>
      <c r="AL1081" s="48" t="s">
        <v>34</v>
      </c>
      <c r="AN1081" s="48">
        <v>0</v>
      </c>
      <c r="AO1081" s="48">
        <v>0</v>
      </c>
      <c r="AP1081" s="48">
        <v>0</v>
      </c>
      <c r="AQ1081" s="48">
        <v>0</v>
      </c>
      <c r="AR1081" s="48">
        <v>0</v>
      </c>
      <c r="AS1081" s="48">
        <v>0</v>
      </c>
      <c r="AT1081" s="48">
        <v>0</v>
      </c>
      <c r="AU1081" s="48">
        <v>0</v>
      </c>
      <c r="AV1081" s="48">
        <v>0</v>
      </c>
      <c r="AW1081" s="48">
        <v>0</v>
      </c>
      <c r="AX1081" s="48">
        <v>0</v>
      </c>
      <c r="AY1081" s="48">
        <v>0</v>
      </c>
      <c r="AZ1081" s="48">
        <v>0</v>
      </c>
      <c r="BA1081" s="48">
        <v>0</v>
      </c>
      <c r="BB1081" s="48">
        <v>0</v>
      </c>
    </row>
    <row r="1082" spans="1:54" x14ac:dyDescent="0.35">
      <c r="A1082" s="49">
        <v>45930</v>
      </c>
      <c r="B1082" s="48">
        <v>1</v>
      </c>
      <c r="C1082" s="50" t="s">
        <v>32</v>
      </c>
      <c r="D1082" s="48" t="s">
        <v>31</v>
      </c>
      <c r="E1082" s="48" t="s">
        <v>138</v>
      </c>
      <c r="F1082" s="48" t="s">
        <v>139</v>
      </c>
      <c r="G1082" s="49" t="s">
        <v>64</v>
      </c>
      <c r="H1082" s="48" t="s">
        <v>64</v>
      </c>
      <c r="I1082" s="48">
        <v>1</v>
      </c>
      <c r="J1082" s="48">
        <v>51</v>
      </c>
      <c r="K1082" s="48">
        <v>1</v>
      </c>
      <c r="N1082" s="48">
        <v>0</v>
      </c>
      <c r="R1082" s="49"/>
      <c r="S1082" s="181">
        <v>0</v>
      </c>
      <c r="T1082" s="49">
        <v>47483</v>
      </c>
      <c r="U1082" s="49">
        <v>47483</v>
      </c>
      <c r="V1082" s="49">
        <v>47483</v>
      </c>
      <c r="W1082" s="49">
        <v>47483</v>
      </c>
      <c r="X1082" s="48">
        <v>1</v>
      </c>
      <c r="Y1082" s="48">
        <v>1</v>
      </c>
      <c r="Z1082" s="48">
        <v>1</v>
      </c>
      <c r="AA1082" s="156">
        <v>8390.977733491969</v>
      </c>
      <c r="AF1082" s="48">
        <v>0</v>
      </c>
      <c r="AG1082" s="49" t="s">
        <v>32</v>
      </c>
      <c r="AH1082" s="48">
        <v>1</v>
      </c>
      <c r="AI1082" s="48" t="s">
        <v>33</v>
      </c>
      <c r="AJ1082" s="48" t="s">
        <v>33</v>
      </c>
      <c r="AK1082" s="48" t="s">
        <v>33</v>
      </c>
      <c r="AL1082" s="48" t="s">
        <v>34</v>
      </c>
      <c r="AN1082" s="48">
        <v>0</v>
      </c>
      <c r="AO1082" s="48">
        <v>0</v>
      </c>
      <c r="AP1082" s="48">
        <v>0</v>
      </c>
      <c r="AQ1082" s="48">
        <v>0</v>
      </c>
      <c r="AR1082" s="48">
        <v>0</v>
      </c>
      <c r="AS1082" s="48">
        <v>0</v>
      </c>
      <c r="AT1082" s="48">
        <v>0</v>
      </c>
      <c r="AU1082" s="48">
        <v>0</v>
      </c>
      <c r="AV1082" s="48">
        <v>0</v>
      </c>
      <c r="AW1082" s="48">
        <v>0</v>
      </c>
      <c r="AX1082" s="48">
        <v>0</v>
      </c>
      <c r="AY1082" s="48">
        <v>0</v>
      </c>
      <c r="AZ1082" s="48">
        <v>0</v>
      </c>
      <c r="BA1082" s="48">
        <v>0</v>
      </c>
      <c r="BB1082" s="48">
        <v>0</v>
      </c>
    </row>
    <row r="1083" spans="1:54" x14ac:dyDescent="0.35">
      <c r="A1083" s="49">
        <v>45930</v>
      </c>
      <c r="B1083" s="48">
        <v>1</v>
      </c>
      <c r="C1083" s="50" t="s">
        <v>32</v>
      </c>
      <c r="D1083" s="48" t="s">
        <v>31</v>
      </c>
      <c r="E1083" s="48" t="s">
        <v>138</v>
      </c>
      <c r="F1083" s="48" t="s">
        <v>139</v>
      </c>
      <c r="G1083" s="49" t="s">
        <v>64</v>
      </c>
      <c r="H1083" s="48" t="s">
        <v>64</v>
      </c>
      <c r="I1083" s="48">
        <v>1</v>
      </c>
      <c r="J1083" s="48">
        <v>52</v>
      </c>
      <c r="K1083" s="48">
        <v>1</v>
      </c>
      <c r="N1083" s="48">
        <v>0</v>
      </c>
      <c r="R1083" s="49"/>
      <c r="S1083" s="181">
        <v>0</v>
      </c>
      <c r="T1083" s="49">
        <v>47514</v>
      </c>
      <c r="U1083" s="49">
        <v>47514</v>
      </c>
      <c r="V1083" s="49">
        <v>47514</v>
      </c>
      <c r="W1083" s="49">
        <v>47514</v>
      </c>
      <c r="X1083" s="48">
        <v>1</v>
      </c>
      <c r="Y1083" s="48">
        <v>1</v>
      </c>
      <c r="Z1083" s="48">
        <v>1</v>
      </c>
      <c r="AA1083" s="156">
        <v>8390.977733491969</v>
      </c>
      <c r="AF1083" s="48">
        <v>0</v>
      </c>
      <c r="AG1083" s="49" t="s">
        <v>32</v>
      </c>
      <c r="AH1083" s="48">
        <v>1</v>
      </c>
      <c r="AI1083" s="48" t="s">
        <v>33</v>
      </c>
      <c r="AJ1083" s="48" t="s">
        <v>33</v>
      </c>
      <c r="AK1083" s="48" t="s">
        <v>33</v>
      </c>
      <c r="AL1083" s="48" t="s">
        <v>34</v>
      </c>
      <c r="AN1083" s="48">
        <v>0</v>
      </c>
      <c r="AO1083" s="48">
        <v>0</v>
      </c>
      <c r="AP1083" s="48">
        <v>0</v>
      </c>
      <c r="AQ1083" s="48">
        <v>0</v>
      </c>
      <c r="AR1083" s="48">
        <v>0</v>
      </c>
      <c r="AS1083" s="48">
        <v>0</v>
      </c>
      <c r="AT1083" s="48">
        <v>0</v>
      </c>
      <c r="AU1083" s="48">
        <v>0</v>
      </c>
      <c r="AV1083" s="48">
        <v>0</v>
      </c>
      <c r="AW1083" s="48">
        <v>0</v>
      </c>
      <c r="AX1083" s="48">
        <v>0</v>
      </c>
      <c r="AY1083" s="48">
        <v>0</v>
      </c>
      <c r="AZ1083" s="48">
        <v>0</v>
      </c>
      <c r="BA1083" s="48">
        <v>0</v>
      </c>
      <c r="BB1083" s="48">
        <v>0</v>
      </c>
    </row>
    <row r="1084" spans="1:54" x14ac:dyDescent="0.35">
      <c r="A1084" s="49">
        <v>45930</v>
      </c>
      <c r="B1084" s="48">
        <v>1</v>
      </c>
      <c r="C1084" s="50" t="s">
        <v>32</v>
      </c>
      <c r="D1084" s="48" t="s">
        <v>31</v>
      </c>
      <c r="E1084" s="48" t="s">
        <v>138</v>
      </c>
      <c r="F1084" s="48" t="s">
        <v>139</v>
      </c>
      <c r="G1084" s="49" t="s">
        <v>64</v>
      </c>
      <c r="H1084" s="48" t="s">
        <v>64</v>
      </c>
      <c r="I1084" s="48">
        <v>1</v>
      </c>
      <c r="J1084" s="48">
        <v>53</v>
      </c>
      <c r="K1084" s="48">
        <v>1</v>
      </c>
      <c r="N1084" s="48">
        <v>0</v>
      </c>
      <c r="R1084" s="49"/>
      <c r="S1084" s="181">
        <v>0</v>
      </c>
      <c r="T1084" s="49">
        <v>47542</v>
      </c>
      <c r="U1084" s="49">
        <v>47542</v>
      </c>
      <c r="V1084" s="49">
        <v>47542</v>
      </c>
      <c r="W1084" s="49">
        <v>47542</v>
      </c>
      <c r="X1084" s="48">
        <v>1</v>
      </c>
      <c r="Y1084" s="48">
        <v>1</v>
      </c>
      <c r="Z1084" s="48">
        <v>1</v>
      </c>
      <c r="AA1084" s="156">
        <v>8390.977733491969</v>
      </c>
      <c r="AF1084" s="48">
        <v>0</v>
      </c>
      <c r="AG1084" s="49" t="s">
        <v>32</v>
      </c>
      <c r="AH1084" s="48">
        <v>1</v>
      </c>
      <c r="AI1084" s="48" t="s">
        <v>33</v>
      </c>
      <c r="AJ1084" s="48" t="s">
        <v>33</v>
      </c>
      <c r="AK1084" s="48" t="s">
        <v>33</v>
      </c>
      <c r="AL1084" s="48" t="s">
        <v>34</v>
      </c>
      <c r="AN1084" s="48">
        <v>0</v>
      </c>
      <c r="AO1084" s="48">
        <v>0</v>
      </c>
      <c r="AP1084" s="48">
        <v>0</v>
      </c>
      <c r="AQ1084" s="48">
        <v>0</v>
      </c>
      <c r="AR1084" s="48">
        <v>0</v>
      </c>
      <c r="AS1084" s="48">
        <v>0</v>
      </c>
      <c r="AT1084" s="48">
        <v>0</v>
      </c>
      <c r="AU1084" s="48">
        <v>0</v>
      </c>
      <c r="AV1084" s="48">
        <v>0</v>
      </c>
      <c r="AW1084" s="48">
        <v>0</v>
      </c>
      <c r="AX1084" s="48">
        <v>0</v>
      </c>
      <c r="AY1084" s="48">
        <v>0</v>
      </c>
      <c r="AZ1084" s="48">
        <v>0</v>
      </c>
      <c r="BA1084" s="48">
        <v>0</v>
      </c>
      <c r="BB1084" s="48">
        <v>0</v>
      </c>
    </row>
    <row r="1085" spans="1:54" x14ac:dyDescent="0.35">
      <c r="A1085" s="49">
        <v>45930</v>
      </c>
      <c r="B1085" s="48">
        <v>1</v>
      </c>
      <c r="C1085" s="50" t="s">
        <v>32</v>
      </c>
      <c r="D1085" s="48" t="s">
        <v>31</v>
      </c>
      <c r="E1085" s="48" t="s">
        <v>138</v>
      </c>
      <c r="F1085" s="48" t="s">
        <v>139</v>
      </c>
      <c r="G1085" s="49" t="s">
        <v>64</v>
      </c>
      <c r="H1085" s="48" t="s">
        <v>64</v>
      </c>
      <c r="I1085" s="48">
        <v>1</v>
      </c>
      <c r="J1085" s="48">
        <v>54</v>
      </c>
      <c r="K1085" s="48">
        <v>1</v>
      </c>
      <c r="N1085" s="48">
        <v>0</v>
      </c>
      <c r="R1085" s="49"/>
      <c r="S1085" s="181">
        <v>0</v>
      </c>
      <c r="T1085" s="49">
        <v>47573</v>
      </c>
      <c r="U1085" s="49">
        <v>47573</v>
      </c>
      <c r="V1085" s="49">
        <v>47573</v>
      </c>
      <c r="W1085" s="49">
        <v>47573</v>
      </c>
      <c r="X1085" s="48">
        <v>1</v>
      </c>
      <c r="Y1085" s="48">
        <v>1</v>
      </c>
      <c r="Z1085" s="48">
        <v>1</v>
      </c>
      <c r="AA1085" s="156">
        <v>8390.977733491969</v>
      </c>
      <c r="AF1085" s="48">
        <v>0</v>
      </c>
      <c r="AG1085" s="49" t="s">
        <v>32</v>
      </c>
      <c r="AH1085" s="48">
        <v>1</v>
      </c>
      <c r="AI1085" s="48" t="s">
        <v>33</v>
      </c>
      <c r="AJ1085" s="48" t="s">
        <v>33</v>
      </c>
      <c r="AK1085" s="48" t="s">
        <v>33</v>
      </c>
      <c r="AL1085" s="48" t="s">
        <v>34</v>
      </c>
      <c r="AN1085" s="48">
        <v>0</v>
      </c>
      <c r="AO1085" s="48">
        <v>0</v>
      </c>
      <c r="AP1085" s="48">
        <v>0</v>
      </c>
      <c r="AQ1085" s="48">
        <v>0</v>
      </c>
      <c r="AR1085" s="48">
        <v>0</v>
      </c>
      <c r="AS1085" s="48">
        <v>0</v>
      </c>
      <c r="AT1085" s="48">
        <v>0</v>
      </c>
      <c r="AU1085" s="48">
        <v>0</v>
      </c>
      <c r="AV1085" s="48">
        <v>0</v>
      </c>
      <c r="AW1085" s="48">
        <v>0</v>
      </c>
      <c r="AX1085" s="48">
        <v>0</v>
      </c>
      <c r="AY1085" s="48">
        <v>0</v>
      </c>
      <c r="AZ1085" s="48">
        <v>0</v>
      </c>
      <c r="BA1085" s="48">
        <v>0</v>
      </c>
      <c r="BB1085" s="48">
        <v>0</v>
      </c>
    </row>
    <row r="1086" spans="1:54" x14ac:dyDescent="0.35">
      <c r="A1086" s="49">
        <v>45930</v>
      </c>
      <c r="B1086" s="48">
        <v>1</v>
      </c>
      <c r="C1086" s="50" t="s">
        <v>32</v>
      </c>
      <c r="D1086" s="48" t="s">
        <v>31</v>
      </c>
      <c r="E1086" s="48" t="s">
        <v>138</v>
      </c>
      <c r="F1086" s="48" t="s">
        <v>139</v>
      </c>
      <c r="G1086" s="49" t="s">
        <v>64</v>
      </c>
      <c r="H1086" s="48" t="s">
        <v>64</v>
      </c>
      <c r="I1086" s="48">
        <v>1</v>
      </c>
      <c r="J1086" s="48">
        <v>55</v>
      </c>
      <c r="K1086" s="48">
        <v>1</v>
      </c>
      <c r="N1086" s="48">
        <v>0</v>
      </c>
      <c r="R1086" s="49"/>
      <c r="S1086" s="181">
        <v>0</v>
      </c>
      <c r="T1086" s="49">
        <v>47603</v>
      </c>
      <c r="U1086" s="49">
        <v>47603</v>
      </c>
      <c r="V1086" s="49">
        <v>47603</v>
      </c>
      <c r="W1086" s="49">
        <v>47603</v>
      </c>
      <c r="X1086" s="48">
        <v>1</v>
      </c>
      <c r="Y1086" s="48">
        <v>1</v>
      </c>
      <c r="Z1086" s="48">
        <v>1</v>
      </c>
      <c r="AA1086" s="156">
        <v>8390.977733491969</v>
      </c>
      <c r="AF1086" s="48">
        <v>0</v>
      </c>
      <c r="AG1086" s="49" t="s">
        <v>32</v>
      </c>
      <c r="AH1086" s="48">
        <v>1</v>
      </c>
      <c r="AI1086" s="48" t="s">
        <v>33</v>
      </c>
      <c r="AJ1086" s="48" t="s">
        <v>33</v>
      </c>
      <c r="AK1086" s="48" t="s">
        <v>33</v>
      </c>
      <c r="AL1086" s="48" t="s">
        <v>34</v>
      </c>
      <c r="AN1086" s="48">
        <v>0</v>
      </c>
      <c r="AO1086" s="48">
        <v>0</v>
      </c>
      <c r="AP1086" s="48">
        <v>0</v>
      </c>
      <c r="AQ1086" s="48">
        <v>0</v>
      </c>
      <c r="AR1086" s="48">
        <v>0</v>
      </c>
      <c r="AS1086" s="48">
        <v>0</v>
      </c>
      <c r="AT1086" s="48">
        <v>0</v>
      </c>
      <c r="AU1086" s="48">
        <v>0</v>
      </c>
      <c r="AV1086" s="48">
        <v>0</v>
      </c>
      <c r="AW1086" s="48">
        <v>0</v>
      </c>
      <c r="AX1086" s="48">
        <v>0</v>
      </c>
      <c r="AY1086" s="48">
        <v>0</v>
      </c>
      <c r="AZ1086" s="48">
        <v>0</v>
      </c>
      <c r="BA1086" s="48">
        <v>0</v>
      </c>
      <c r="BB1086" s="48">
        <v>0</v>
      </c>
    </row>
    <row r="1087" spans="1:54" x14ac:dyDescent="0.35">
      <c r="A1087" s="49">
        <v>45930</v>
      </c>
      <c r="B1087" s="48">
        <v>1</v>
      </c>
      <c r="C1087" s="50" t="s">
        <v>32</v>
      </c>
      <c r="D1087" s="48" t="s">
        <v>31</v>
      </c>
      <c r="E1087" s="48" t="s">
        <v>138</v>
      </c>
      <c r="F1087" s="48" t="s">
        <v>139</v>
      </c>
      <c r="G1087" s="49" t="s">
        <v>64</v>
      </c>
      <c r="H1087" s="48" t="s">
        <v>64</v>
      </c>
      <c r="I1087" s="48">
        <v>1</v>
      </c>
      <c r="J1087" s="48">
        <v>56</v>
      </c>
      <c r="K1087" s="48">
        <v>1</v>
      </c>
      <c r="N1087" s="48">
        <v>0</v>
      </c>
      <c r="R1087" s="49"/>
      <c r="S1087" s="181">
        <v>0</v>
      </c>
      <c r="T1087" s="49">
        <v>47634</v>
      </c>
      <c r="U1087" s="49">
        <v>47634</v>
      </c>
      <c r="V1087" s="49">
        <v>47634</v>
      </c>
      <c r="W1087" s="49">
        <v>47634</v>
      </c>
      <c r="X1087" s="48">
        <v>1</v>
      </c>
      <c r="Y1087" s="48">
        <v>1</v>
      </c>
      <c r="Z1087" s="48">
        <v>1</v>
      </c>
      <c r="AA1087" s="156">
        <v>8390.977733491969</v>
      </c>
      <c r="AF1087" s="48">
        <v>0</v>
      </c>
      <c r="AG1087" s="49" t="s">
        <v>32</v>
      </c>
      <c r="AH1087" s="48">
        <v>1</v>
      </c>
      <c r="AI1087" s="48" t="s">
        <v>33</v>
      </c>
      <c r="AJ1087" s="48" t="s">
        <v>33</v>
      </c>
      <c r="AK1087" s="48" t="s">
        <v>33</v>
      </c>
      <c r="AL1087" s="48" t="s">
        <v>34</v>
      </c>
      <c r="AN1087" s="48">
        <v>0</v>
      </c>
      <c r="AO1087" s="48">
        <v>0</v>
      </c>
      <c r="AP1087" s="48">
        <v>0</v>
      </c>
      <c r="AQ1087" s="48">
        <v>0</v>
      </c>
      <c r="AR1087" s="48">
        <v>0</v>
      </c>
      <c r="AS1087" s="48">
        <v>0</v>
      </c>
      <c r="AT1087" s="48">
        <v>0</v>
      </c>
      <c r="AU1087" s="48">
        <v>0</v>
      </c>
      <c r="AV1087" s="48">
        <v>0</v>
      </c>
      <c r="AW1087" s="48">
        <v>0</v>
      </c>
      <c r="AX1087" s="48">
        <v>0</v>
      </c>
      <c r="AY1087" s="48">
        <v>0</v>
      </c>
      <c r="AZ1087" s="48">
        <v>0</v>
      </c>
      <c r="BA1087" s="48">
        <v>0</v>
      </c>
      <c r="BB1087" s="48">
        <v>0</v>
      </c>
    </row>
    <row r="1088" spans="1:54" x14ac:dyDescent="0.35">
      <c r="A1088" s="49">
        <v>45930</v>
      </c>
      <c r="B1088" s="48">
        <v>1</v>
      </c>
      <c r="C1088" s="50" t="s">
        <v>32</v>
      </c>
      <c r="D1088" s="48" t="s">
        <v>31</v>
      </c>
      <c r="E1088" s="48" t="s">
        <v>138</v>
      </c>
      <c r="F1088" s="48" t="s">
        <v>139</v>
      </c>
      <c r="G1088" s="49" t="s">
        <v>64</v>
      </c>
      <c r="H1088" s="48" t="s">
        <v>64</v>
      </c>
      <c r="I1088" s="48">
        <v>1</v>
      </c>
      <c r="J1088" s="48">
        <v>57</v>
      </c>
      <c r="K1088" s="48">
        <v>1</v>
      </c>
      <c r="N1088" s="48">
        <v>0</v>
      </c>
      <c r="R1088" s="49"/>
      <c r="S1088" s="181">
        <v>0</v>
      </c>
      <c r="T1088" s="49">
        <v>47664</v>
      </c>
      <c r="U1088" s="49">
        <v>47664</v>
      </c>
      <c r="V1088" s="49">
        <v>47664</v>
      </c>
      <c r="W1088" s="49">
        <v>47664</v>
      </c>
      <c r="X1088" s="48">
        <v>1</v>
      </c>
      <c r="Y1088" s="48">
        <v>1</v>
      </c>
      <c r="Z1088" s="48">
        <v>1</v>
      </c>
      <c r="AA1088" s="156">
        <v>8390.977733491969</v>
      </c>
      <c r="AF1088" s="48">
        <v>0</v>
      </c>
      <c r="AG1088" s="49" t="s">
        <v>32</v>
      </c>
      <c r="AH1088" s="48">
        <v>1</v>
      </c>
      <c r="AI1088" s="48" t="s">
        <v>33</v>
      </c>
      <c r="AJ1088" s="48" t="s">
        <v>33</v>
      </c>
      <c r="AK1088" s="48" t="s">
        <v>33</v>
      </c>
      <c r="AL1088" s="48" t="s">
        <v>34</v>
      </c>
      <c r="AN1088" s="48">
        <v>0</v>
      </c>
      <c r="AO1088" s="48">
        <v>0</v>
      </c>
      <c r="AP1088" s="48">
        <v>0</v>
      </c>
      <c r="AQ1088" s="48">
        <v>0</v>
      </c>
      <c r="AR1088" s="48">
        <v>0</v>
      </c>
      <c r="AS1088" s="48">
        <v>0</v>
      </c>
      <c r="AT1088" s="48">
        <v>0</v>
      </c>
      <c r="AU1088" s="48">
        <v>0</v>
      </c>
      <c r="AV1088" s="48">
        <v>0</v>
      </c>
      <c r="AW1088" s="48">
        <v>0</v>
      </c>
      <c r="AX1088" s="48">
        <v>0</v>
      </c>
      <c r="AY1088" s="48">
        <v>0</v>
      </c>
      <c r="AZ1088" s="48">
        <v>0</v>
      </c>
      <c r="BA1088" s="48">
        <v>0</v>
      </c>
      <c r="BB1088" s="48">
        <v>0</v>
      </c>
    </row>
    <row r="1089" spans="1:54" x14ac:dyDescent="0.35">
      <c r="A1089" s="49">
        <v>45930</v>
      </c>
      <c r="B1089" s="48">
        <v>1</v>
      </c>
      <c r="C1089" s="50" t="s">
        <v>32</v>
      </c>
      <c r="D1089" s="48" t="s">
        <v>31</v>
      </c>
      <c r="E1089" s="48" t="s">
        <v>138</v>
      </c>
      <c r="F1089" s="48" t="s">
        <v>139</v>
      </c>
      <c r="G1089" s="49" t="s">
        <v>64</v>
      </c>
      <c r="H1089" s="48" t="s">
        <v>64</v>
      </c>
      <c r="I1089" s="48">
        <v>1</v>
      </c>
      <c r="J1089" s="48">
        <v>58</v>
      </c>
      <c r="K1089" s="48">
        <v>1</v>
      </c>
      <c r="N1089" s="48">
        <v>0</v>
      </c>
      <c r="R1089" s="49"/>
      <c r="S1089" s="181">
        <v>0</v>
      </c>
      <c r="T1089" s="49">
        <v>47695</v>
      </c>
      <c r="U1089" s="49">
        <v>47695</v>
      </c>
      <c r="V1089" s="49">
        <v>47695</v>
      </c>
      <c r="W1089" s="49">
        <v>47695</v>
      </c>
      <c r="X1089" s="48">
        <v>1</v>
      </c>
      <c r="Y1089" s="48">
        <v>1</v>
      </c>
      <c r="Z1089" s="48">
        <v>1</v>
      </c>
      <c r="AA1089" s="156">
        <v>8390.977733491969</v>
      </c>
      <c r="AF1089" s="48">
        <v>0</v>
      </c>
      <c r="AG1089" s="49" t="s">
        <v>32</v>
      </c>
      <c r="AH1089" s="48">
        <v>1</v>
      </c>
      <c r="AI1089" s="48" t="s">
        <v>33</v>
      </c>
      <c r="AJ1089" s="48" t="s">
        <v>33</v>
      </c>
      <c r="AK1089" s="48" t="s">
        <v>33</v>
      </c>
      <c r="AL1089" s="48" t="s">
        <v>34</v>
      </c>
      <c r="AN1089" s="48">
        <v>0</v>
      </c>
      <c r="AO1089" s="48">
        <v>0</v>
      </c>
      <c r="AP1089" s="48">
        <v>0</v>
      </c>
      <c r="AQ1089" s="48">
        <v>0</v>
      </c>
      <c r="AR1089" s="48">
        <v>0</v>
      </c>
      <c r="AS1089" s="48">
        <v>0</v>
      </c>
      <c r="AT1089" s="48">
        <v>0</v>
      </c>
      <c r="AU1089" s="48">
        <v>0</v>
      </c>
      <c r="AV1089" s="48">
        <v>0</v>
      </c>
      <c r="AW1089" s="48">
        <v>0</v>
      </c>
      <c r="AX1089" s="48">
        <v>0</v>
      </c>
      <c r="AY1089" s="48">
        <v>0</v>
      </c>
      <c r="AZ1089" s="48">
        <v>0</v>
      </c>
      <c r="BA1089" s="48">
        <v>0</v>
      </c>
      <c r="BB1089" s="48">
        <v>0</v>
      </c>
    </row>
    <row r="1090" spans="1:54" x14ac:dyDescent="0.35">
      <c r="A1090" s="49">
        <v>45930</v>
      </c>
      <c r="B1090" s="48">
        <v>1</v>
      </c>
      <c r="C1090" s="50" t="s">
        <v>32</v>
      </c>
      <c r="D1090" s="48" t="s">
        <v>31</v>
      </c>
      <c r="E1090" s="48" t="s">
        <v>138</v>
      </c>
      <c r="F1090" s="48" t="s">
        <v>139</v>
      </c>
      <c r="G1090" s="49" t="s">
        <v>64</v>
      </c>
      <c r="H1090" s="48" t="s">
        <v>64</v>
      </c>
      <c r="I1090" s="48">
        <v>1</v>
      </c>
      <c r="J1090" s="48">
        <v>59</v>
      </c>
      <c r="K1090" s="48">
        <v>1</v>
      </c>
      <c r="N1090" s="48">
        <v>0</v>
      </c>
      <c r="R1090" s="49"/>
      <c r="S1090" s="181">
        <v>0</v>
      </c>
      <c r="T1090" s="49">
        <v>47726</v>
      </c>
      <c r="U1090" s="49">
        <v>47726</v>
      </c>
      <c r="V1090" s="49">
        <v>47726</v>
      </c>
      <c r="W1090" s="49">
        <v>47726</v>
      </c>
      <c r="X1090" s="48">
        <v>1</v>
      </c>
      <c r="Y1090" s="48">
        <v>1</v>
      </c>
      <c r="Z1090" s="48">
        <v>1</v>
      </c>
      <c r="AA1090" s="156">
        <v>8390.977733491969</v>
      </c>
      <c r="AF1090" s="48">
        <v>0</v>
      </c>
      <c r="AG1090" s="49" t="s">
        <v>32</v>
      </c>
      <c r="AH1090" s="48">
        <v>1</v>
      </c>
      <c r="AI1090" s="48" t="s">
        <v>33</v>
      </c>
      <c r="AJ1090" s="48" t="s">
        <v>33</v>
      </c>
      <c r="AK1090" s="48" t="s">
        <v>33</v>
      </c>
      <c r="AL1090" s="48" t="s">
        <v>34</v>
      </c>
      <c r="AN1090" s="48">
        <v>0</v>
      </c>
      <c r="AO1090" s="48">
        <v>0</v>
      </c>
      <c r="AP1090" s="48">
        <v>0</v>
      </c>
      <c r="AQ1090" s="48">
        <v>0</v>
      </c>
      <c r="AR1090" s="48">
        <v>0</v>
      </c>
      <c r="AS1090" s="48">
        <v>0</v>
      </c>
      <c r="AT1090" s="48">
        <v>0</v>
      </c>
      <c r="AU1090" s="48">
        <v>0</v>
      </c>
      <c r="AV1090" s="48">
        <v>0</v>
      </c>
      <c r="AW1090" s="48">
        <v>0</v>
      </c>
      <c r="AX1090" s="48">
        <v>0</v>
      </c>
      <c r="AY1090" s="48">
        <v>0</v>
      </c>
      <c r="AZ1090" s="48">
        <v>0</v>
      </c>
      <c r="BA1090" s="48">
        <v>0</v>
      </c>
      <c r="BB1090" s="48">
        <v>0</v>
      </c>
    </row>
    <row r="1091" spans="1:54" x14ac:dyDescent="0.35">
      <c r="A1091" s="49">
        <v>45930</v>
      </c>
      <c r="B1091" s="48">
        <v>1</v>
      </c>
      <c r="C1091" s="50" t="s">
        <v>32</v>
      </c>
      <c r="D1091" s="48" t="s">
        <v>31</v>
      </c>
      <c r="E1091" s="48" t="s">
        <v>138</v>
      </c>
      <c r="F1091" s="48" t="s">
        <v>139</v>
      </c>
      <c r="G1091" s="49" t="s">
        <v>64</v>
      </c>
      <c r="H1091" s="48" t="s">
        <v>64</v>
      </c>
      <c r="I1091" s="48">
        <v>1</v>
      </c>
      <c r="J1091" s="48">
        <v>60</v>
      </c>
      <c r="K1091" s="48">
        <v>1</v>
      </c>
      <c r="N1091" s="48">
        <v>0</v>
      </c>
      <c r="R1091" s="49"/>
      <c r="S1091" s="181">
        <v>0</v>
      </c>
      <c r="T1091" s="49">
        <v>47756</v>
      </c>
      <c r="U1091" s="49">
        <v>47756</v>
      </c>
      <c r="V1091" s="49">
        <v>47756</v>
      </c>
      <c r="W1091" s="49">
        <v>47756</v>
      </c>
      <c r="X1091" s="48">
        <v>1</v>
      </c>
      <c r="Y1091" s="48">
        <v>1</v>
      </c>
      <c r="Z1091" s="48">
        <v>1</v>
      </c>
      <c r="AA1091" s="156">
        <v>568056.76121950964</v>
      </c>
      <c r="AF1091" s="48">
        <v>0</v>
      </c>
      <c r="AG1091" s="49" t="s">
        <v>32</v>
      </c>
      <c r="AH1091" s="48">
        <v>1</v>
      </c>
      <c r="AI1091" s="48" t="s">
        <v>33</v>
      </c>
      <c r="AJ1091" s="48" t="s">
        <v>33</v>
      </c>
      <c r="AK1091" s="48" t="s">
        <v>33</v>
      </c>
      <c r="AL1091" s="48" t="s">
        <v>34</v>
      </c>
      <c r="AN1091" s="48">
        <v>0</v>
      </c>
      <c r="AO1091" s="48">
        <v>0</v>
      </c>
      <c r="AP1091" s="48">
        <v>0</v>
      </c>
      <c r="AQ1091" s="48">
        <v>0</v>
      </c>
      <c r="AR1091" s="48">
        <v>0</v>
      </c>
      <c r="AS1091" s="48">
        <v>0</v>
      </c>
      <c r="AT1091" s="48">
        <v>0</v>
      </c>
      <c r="AU1091" s="48">
        <v>0</v>
      </c>
      <c r="AV1091" s="48">
        <v>0</v>
      </c>
      <c r="AW1091" s="48">
        <v>0</v>
      </c>
      <c r="AX1091" s="48">
        <v>0</v>
      </c>
      <c r="AY1091" s="48">
        <v>0</v>
      </c>
      <c r="AZ1091" s="48">
        <v>0</v>
      </c>
      <c r="BA1091" s="48">
        <v>0</v>
      </c>
      <c r="BB1091" s="48">
        <v>0</v>
      </c>
    </row>
    <row r="1092" spans="1:54" x14ac:dyDescent="0.35">
      <c r="A1092" s="49">
        <v>45930</v>
      </c>
      <c r="B1092" s="48">
        <v>1</v>
      </c>
      <c r="C1092" s="50" t="s">
        <v>32</v>
      </c>
      <c r="D1092" s="48" t="s">
        <v>31</v>
      </c>
      <c r="E1092" s="48" t="s">
        <v>138</v>
      </c>
      <c r="F1092" s="48" t="s">
        <v>139</v>
      </c>
      <c r="G1092" s="49" t="s">
        <v>64</v>
      </c>
      <c r="H1092" s="48" t="s">
        <v>64</v>
      </c>
      <c r="I1092" s="48">
        <v>1</v>
      </c>
      <c r="J1092" s="48">
        <v>61</v>
      </c>
      <c r="K1092" s="48">
        <v>1</v>
      </c>
      <c r="N1092" s="48">
        <v>0</v>
      </c>
      <c r="R1092" s="49"/>
      <c r="S1092" s="181">
        <v>0</v>
      </c>
      <c r="T1092" s="49">
        <v>47787</v>
      </c>
      <c r="U1092" s="49">
        <v>47787</v>
      </c>
      <c r="V1092" s="49">
        <v>47787</v>
      </c>
      <c r="W1092" s="49">
        <v>47787</v>
      </c>
      <c r="X1092" s="48">
        <v>1</v>
      </c>
      <c r="Y1092" s="48">
        <v>1</v>
      </c>
      <c r="Z1092" s="48">
        <v>1</v>
      </c>
      <c r="AA1092" s="156">
        <v>0</v>
      </c>
      <c r="AF1092" s="48">
        <v>0</v>
      </c>
      <c r="AG1092" s="49" t="s">
        <v>32</v>
      </c>
      <c r="AH1092" s="48">
        <v>1</v>
      </c>
      <c r="AI1092" s="48" t="s">
        <v>33</v>
      </c>
      <c r="AJ1092" s="48" t="s">
        <v>33</v>
      </c>
      <c r="AK1092" s="48" t="s">
        <v>33</v>
      </c>
      <c r="AL1092" s="48" t="s">
        <v>34</v>
      </c>
      <c r="AN1092" s="48">
        <v>0</v>
      </c>
      <c r="AO1092" s="48">
        <v>0</v>
      </c>
      <c r="AP1092" s="48">
        <v>0</v>
      </c>
      <c r="AQ1092" s="48">
        <v>0</v>
      </c>
      <c r="AR1092" s="48">
        <v>0</v>
      </c>
      <c r="AS1092" s="48">
        <v>0</v>
      </c>
      <c r="AT1092" s="48">
        <v>0</v>
      </c>
      <c r="AU1092" s="48">
        <v>0</v>
      </c>
      <c r="AV1092" s="48">
        <v>0</v>
      </c>
      <c r="AW1092" s="48">
        <v>0</v>
      </c>
      <c r="AX1092" s="48">
        <v>0</v>
      </c>
      <c r="AY1092" s="48">
        <v>0</v>
      </c>
      <c r="AZ1092" s="48">
        <v>0</v>
      </c>
      <c r="BA1092" s="48">
        <v>0</v>
      </c>
      <c r="BB1092" s="48">
        <v>0</v>
      </c>
    </row>
    <row r="1093" spans="1:54" x14ac:dyDescent="0.35">
      <c r="A1093" s="49">
        <v>45930</v>
      </c>
      <c r="B1093" s="48">
        <v>1</v>
      </c>
      <c r="C1093" s="50" t="s">
        <v>32</v>
      </c>
      <c r="D1093" s="48" t="s">
        <v>31</v>
      </c>
      <c r="E1093" s="48" t="s">
        <v>138</v>
      </c>
      <c r="F1093" s="48" t="s">
        <v>139</v>
      </c>
      <c r="G1093" s="49" t="s">
        <v>64</v>
      </c>
      <c r="H1093" s="48" t="s">
        <v>64</v>
      </c>
      <c r="I1093" s="48">
        <v>1</v>
      </c>
      <c r="J1093" s="48">
        <v>62</v>
      </c>
      <c r="K1093" s="48">
        <v>1</v>
      </c>
      <c r="N1093" s="48">
        <v>0</v>
      </c>
      <c r="R1093" s="49"/>
      <c r="S1093" s="181">
        <v>0</v>
      </c>
      <c r="T1093" s="49">
        <v>47817</v>
      </c>
      <c r="U1093" s="49">
        <v>47817</v>
      </c>
      <c r="V1093" s="49">
        <v>47817</v>
      </c>
      <c r="W1093" s="49">
        <v>47817</v>
      </c>
      <c r="X1093" s="48">
        <v>1</v>
      </c>
      <c r="Y1093" s="48">
        <v>1</v>
      </c>
      <c r="Z1093" s="48">
        <v>1</v>
      </c>
      <c r="AA1093" s="156">
        <v>0</v>
      </c>
      <c r="AF1093" s="48">
        <v>0</v>
      </c>
      <c r="AG1093" s="49" t="s">
        <v>32</v>
      </c>
      <c r="AH1093" s="48">
        <v>1</v>
      </c>
      <c r="AI1093" s="48" t="s">
        <v>33</v>
      </c>
      <c r="AJ1093" s="48" t="s">
        <v>33</v>
      </c>
      <c r="AK1093" s="48" t="s">
        <v>33</v>
      </c>
      <c r="AL1093" s="48" t="s">
        <v>34</v>
      </c>
      <c r="AN1093" s="48">
        <v>0</v>
      </c>
      <c r="AO1093" s="48">
        <v>0</v>
      </c>
      <c r="AP1093" s="48">
        <v>0</v>
      </c>
      <c r="AQ1093" s="48">
        <v>0</v>
      </c>
      <c r="AR1093" s="48">
        <v>0</v>
      </c>
      <c r="AS1093" s="48">
        <v>0</v>
      </c>
      <c r="AT1093" s="48">
        <v>0</v>
      </c>
      <c r="AU1093" s="48">
        <v>0</v>
      </c>
      <c r="AV1093" s="48">
        <v>0</v>
      </c>
      <c r="AW1093" s="48">
        <v>0</v>
      </c>
      <c r="AX1093" s="48">
        <v>0</v>
      </c>
      <c r="AY1093" s="48">
        <v>0</v>
      </c>
      <c r="AZ1093" s="48">
        <v>0</v>
      </c>
      <c r="BA1093" s="48">
        <v>0</v>
      </c>
      <c r="BB1093" s="48">
        <v>0</v>
      </c>
    </row>
    <row r="1094" spans="1:54" x14ac:dyDescent="0.35">
      <c r="A1094" s="49">
        <v>45930</v>
      </c>
      <c r="B1094" s="48">
        <v>1</v>
      </c>
      <c r="C1094" s="50" t="s">
        <v>32</v>
      </c>
      <c r="D1094" s="48" t="s">
        <v>31</v>
      </c>
      <c r="E1094" s="48" t="s">
        <v>138</v>
      </c>
      <c r="F1094" s="48" t="s">
        <v>139</v>
      </c>
      <c r="G1094" s="49" t="s">
        <v>64</v>
      </c>
      <c r="H1094" s="48" t="s">
        <v>64</v>
      </c>
      <c r="I1094" s="48">
        <v>1</v>
      </c>
      <c r="J1094" s="48">
        <v>63</v>
      </c>
      <c r="K1094" s="48">
        <v>1</v>
      </c>
      <c r="N1094" s="48">
        <v>0</v>
      </c>
      <c r="R1094" s="49"/>
      <c r="S1094" s="181">
        <v>0</v>
      </c>
      <c r="T1094" s="49">
        <v>47848</v>
      </c>
      <c r="U1094" s="49">
        <v>47848</v>
      </c>
      <c r="V1094" s="49">
        <v>47848</v>
      </c>
      <c r="W1094" s="49">
        <v>47848</v>
      </c>
      <c r="X1094" s="48">
        <v>1</v>
      </c>
      <c r="Y1094" s="48">
        <v>1</v>
      </c>
      <c r="Z1094" s="48">
        <v>1</v>
      </c>
      <c r="AA1094" s="156">
        <v>0</v>
      </c>
      <c r="AF1094" s="48">
        <v>0</v>
      </c>
      <c r="AG1094" s="49" t="s">
        <v>32</v>
      </c>
      <c r="AH1094" s="48">
        <v>1</v>
      </c>
      <c r="AI1094" s="48" t="s">
        <v>33</v>
      </c>
      <c r="AJ1094" s="48" t="s">
        <v>33</v>
      </c>
      <c r="AK1094" s="48" t="s">
        <v>33</v>
      </c>
      <c r="AL1094" s="48" t="s">
        <v>34</v>
      </c>
      <c r="AN1094" s="48">
        <v>0</v>
      </c>
      <c r="AO1094" s="48">
        <v>0</v>
      </c>
      <c r="AP1094" s="48">
        <v>0</v>
      </c>
      <c r="AQ1094" s="48">
        <v>0</v>
      </c>
      <c r="AR1094" s="48">
        <v>0</v>
      </c>
      <c r="AS1094" s="48">
        <v>0</v>
      </c>
      <c r="AT1094" s="48">
        <v>0</v>
      </c>
      <c r="AU1094" s="48">
        <v>0</v>
      </c>
      <c r="AV1094" s="48">
        <v>0</v>
      </c>
      <c r="AW1094" s="48">
        <v>0</v>
      </c>
      <c r="AX1094" s="48">
        <v>0</v>
      </c>
      <c r="AY1094" s="48">
        <v>0</v>
      </c>
      <c r="AZ1094" s="48">
        <v>0</v>
      </c>
      <c r="BA1094" s="48">
        <v>0</v>
      </c>
      <c r="BB1094" s="48">
        <v>0</v>
      </c>
    </row>
    <row r="1095" spans="1:54" x14ac:dyDescent="0.35">
      <c r="A1095" s="49">
        <v>45930</v>
      </c>
      <c r="B1095" s="48">
        <v>1</v>
      </c>
      <c r="C1095" s="50" t="s">
        <v>32</v>
      </c>
      <c r="D1095" s="48" t="s">
        <v>31</v>
      </c>
      <c r="E1095" s="48" t="s">
        <v>138</v>
      </c>
      <c r="F1095" s="48" t="s">
        <v>139</v>
      </c>
      <c r="G1095" s="49" t="s">
        <v>64</v>
      </c>
      <c r="H1095" s="48" t="s">
        <v>64</v>
      </c>
      <c r="I1095" s="48">
        <v>1</v>
      </c>
      <c r="J1095" s="48">
        <v>64</v>
      </c>
      <c r="K1095" s="48">
        <v>1</v>
      </c>
      <c r="N1095" s="48">
        <v>0</v>
      </c>
      <c r="R1095" s="49"/>
      <c r="S1095" s="181">
        <v>0</v>
      </c>
      <c r="T1095" s="49">
        <v>47879</v>
      </c>
      <c r="U1095" s="49">
        <v>47879</v>
      </c>
      <c r="V1095" s="49">
        <v>47879</v>
      </c>
      <c r="W1095" s="49">
        <v>47879</v>
      </c>
      <c r="X1095" s="48">
        <v>1</v>
      </c>
      <c r="Y1095" s="48">
        <v>1</v>
      </c>
      <c r="Z1095" s="48">
        <v>1</v>
      </c>
      <c r="AA1095" s="156">
        <v>0</v>
      </c>
      <c r="AF1095" s="48">
        <v>0</v>
      </c>
      <c r="AG1095" s="49" t="s">
        <v>32</v>
      </c>
      <c r="AH1095" s="48">
        <v>1</v>
      </c>
      <c r="AI1095" s="48" t="s">
        <v>33</v>
      </c>
      <c r="AJ1095" s="48" t="s">
        <v>33</v>
      </c>
      <c r="AK1095" s="48" t="s">
        <v>33</v>
      </c>
      <c r="AL1095" s="48" t="s">
        <v>34</v>
      </c>
      <c r="AN1095" s="48">
        <v>0</v>
      </c>
      <c r="AO1095" s="48">
        <v>0</v>
      </c>
      <c r="AP1095" s="48">
        <v>0</v>
      </c>
      <c r="AQ1095" s="48">
        <v>0</v>
      </c>
      <c r="AR1095" s="48">
        <v>0</v>
      </c>
      <c r="AS1095" s="48">
        <v>0</v>
      </c>
      <c r="AT1095" s="48">
        <v>0</v>
      </c>
      <c r="AU1095" s="48">
        <v>0</v>
      </c>
      <c r="AV1095" s="48">
        <v>0</v>
      </c>
      <c r="AW1095" s="48">
        <v>0</v>
      </c>
      <c r="AX1095" s="48">
        <v>0</v>
      </c>
      <c r="AY1095" s="48">
        <v>0</v>
      </c>
      <c r="AZ1095" s="48">
        <v>0</v>
      </c>
      <c r="BA1095" s="48">
        <v>0</v>
      </c>
      <c r="BB1095" s="48">
        <v>0</v>
      </c>
    </row>
    <row r="1096" spans="1:54" x14ac:dyDescent="0.35">
      <c r="A1096" s="49">
        <v>45930</v>
      </c>
      <c r="B1096" s="48">
        <v>1</v>
      </c>
      <c r="C1096" s="50" t="s">
        <v>32</v>
      </c>
      <c r="D1096" s="48" t="s">
        <v>31</v>
      </c>
      <c r="E1096" s="48" t="s">
        <v>138</v>
      </c>
      <c r="F1096" s="48" t="s">
        <v>139</v>
      </c>
      <c r="G1096" s="49" t="s">
        <v>64</v>
      </c>
      <c r="H1096" s="48" t="s">
        <v>64</v>
      </c>
      <c r="I1096" s="48">
        <v>1</v>
      </c>
      <c r="J1096" s="48">
        <v>65</v>
      </c>
      <c r="K1096" s="48">
        <v>1</v>
      </c>
      <c r="N1096" s="48">
        <v>0</v>
      </c>
      <c r="R1096" s="49"/>
      <c r="S1096" s="181">
        <v>0</v>
      </c>
      <c r="T1096" s="49">
        <v>47907</v>
      </c>
      <c r="U1096" s="49">
        <v>47907</v>
      </c>
      <c r="V1096" s="49">
        <v>47907</v>
      </c>
      <c r="W1096" s="49">
        <v>47907</v>
      </c>
      <c r="X1096" s="48">
        <v>1</v>
      </c>
      <c r="Y1096" s="48">
        <v>1</v>
      </c>
      <c r="Z1096" s="48">
        <v>1</v>
      </c>
      <c r="AA1096" s="156">
        <v>0</v>
      </c>
      <c r="AF1096" s="48">
        <v>0</v>
      </c>
      <c r="AG1096" s="49" t="s">
        <v>32</v>
      </c>
      <c r="AH1096" s="48">
        <v>1</v>
      </c>
      <c r="AI1096" s="48" t="s">
        <v>33</v>
      </c>
      <c r="AJ1096" s="48" t="s">
        <v>33</v>
      </c>
      <c r="AK1096" s="48" t="s">
        <v>33</v>
      </c>
      <c r="AL1096" s="48" t="s">
        <v>34</v>
      </c>
      <c r="AN1096" s="48">
        <v>0</v>
      </c>
      <c r="AO1096" s="48">
        <v>0</v>
      </c>
      <c r="AP1096" s="48">
        <v>0</v>
      </c>
      <c r="AQ1096" s="48">
        <v>0</v>
      </c>
      <c r="AR1096" s="48">
        <v>0</v>
      </c>
      <c r="AS1096" s="48">
        <v>0</v>
      </c>
      <c r="AT1096" s="48">
        <v>0</v>
      </c>
      <c r="AU1096" s="48">
        <v>0</v>
      </c>
      <c r="AV1096" s="48">
        <v>0</v>
      </c>
      <c r="AW1096" s="48">
        <v>0</v>
      </c>
      <c r="AX1096" s="48">
        <v>0</v>
      </c>
      <c r="AY1096" s="48">
        <v>0</v>
      </c>
      <c r="AZ1096" s="48">
        <v>0</v>
      </c>
      <c r="BA1096" s="48">
        <v>0</v>
      </c>
      <c r="BB1096" s="48">
        <v>0</v>
      </c>
    </row>
    <row r="1097" spans="1:54" x14ac:dyDescent="0.35">
      <c r="A1097" s="49">
        <v>45930</v>
      </c>
      <c r="B1097" s="48">
        <v>1</v>
      </c>
      <c r="C1097" s="50" t="s">
        <v>32</v>
      </c>
      <c r="D1097" s="48" t="s">
        <v>31</v>
      </c>
      <c r="E1097" s="48" t="s">
        <v>138</v>
      </c>
      <c r="F1097" s="48" t="s">
        <v>139</v>
      </c>
      <c r="G1097" s="49" t="s">
        <v>64</v>
      </c>
      <c r="H1097" s="48" t="s">
        <v>64</v>
      </c>
      <c r="I1097" s="48">
        <v>1</v>
      </c>
      <c r="J1097" s="48">
        <v>66</v>
      </c>
      <c r="K1097" s="48">
        <v>1</v>
      </c>
      <c r="N1097" s="48">
        <v>0</v>
      </c>
      <c r="R1097" s="49"/>
      <c r="S1097" s="181">
        <v>0</v>
      </c>
      <c r="T1097" s="49">
        <v>47938</v>
      </c>
      <c r="U1097" s="49">
        <v>47938</v>
      </c>
      <c r="V1097" s="49">
        <v>47938</v>
      </c>
      <c r="W1097" s="49">
        <v>47938</v>
      </c>
      <c r="X1097" s="48">
        <v>1</v>
      </c>
      <c r="Y1097" s="48">
        <v>1</v>
      </c>
      <c r="Z1097" s="48">
        <v>1</v>
      </c>
      <c r="AA1097" s="156">
        <v>0</v>
      </c>
      <c r="AF1097" s="48">
        <v>0</v>
      </c>
      <c r="AG1097" s="49" t="s">
        <v>32</v>
      </c>
      <c r="AH1097" s="48">
        <v>1</v>
      </c>
      <c r="AI1097" s="48" t="s">
        <v>33</v>
      </c>
      <c r="AJ1097" s="48" t="s">
        <v>33</v>
      </c>
      <c r="AK1097" s="48" t="s">
        <v>33</v>
      </c>
      <c r="AL1097" s="48" t="s">
        <v>34</v>
      </c>
      <c r="AN1097" s="48">
        <v>0</v>
      </c>
      <c r="AO1097" s="48">
        <v>0</v>
      </c>
      <c r="AP1097" s="48">
        <v>0</v>
      </c>
      <c r="AQ1097" s="48">
        <v>0</v>
      </c>
      <c r="AR1097" s="48">
        <v>0</v>
      </c>
      <c r="AS1097" s="48">
        <v>0</v>
      </c>
      <c r="AT1097" s="48">
        <v>0</v>
      </c>
      <c r="AU1097" s="48">
        <v>0</v>
      </c>
      <c r="AV1097" s="48">
        <v>0</v>
      </c>
      <c r="AW1097" s="48">
        <v>0</v>
      </c>
      <c r="AX1097" s="48">
        <v>0</v>
      </c>
      <c r="AY1097" s="48">
        <v>0</v>
      </c>
      <c r="AZ1097" s="48">
        <v>0</v>
      </c>
      <c r="BA1097" s="48">
        <v>0</v>
      </c>
      <c r="BB1097" s="48">
        <v>0</v>
      </c>
    </row>
    <row r="1098" spans="1:54" x14ac:dyDescent="0.35">
      <c r="A1098" s="49">
        <v>45930</v>
      </c>
      <c r="B1098" s="48">
        <v>1</v>
      </c>
      <c r="C1098" s="50" t="s">
        <v>32</v>
      </c>
      <c r="D1098" s="48" t="s">
        <v>31</v>
      </c>
      <c r="E1098" s="48" t="s">
        <v>138</v>
      </c>
      <c r="F1098" s="48" t="s">
        <v>139</v>
      </c>
      <c r="G1098" s="49" t="s">
        <v>64</v>
      </c>
      <c r="H1098" s="48" t="s">
        <v>64</v>
      </c>
      <c r="I1098" s="48">
        <v>1</v>
      </c>
      <c r="J1098" s="48">
        <v>67</v>
      </c>
      <c r="K1098" s="48">
        <v>1</v>
      </c>
      <c r="N1098" s="48">
        <v>0</v>
      </c>
      <c r="R1098" s="49"/>
      <c r="S1098" s="181">
        <v>0</v>
      </c>
      <c r="T1098" s="49">
        <v>47968</v>
      </c>
      <c r="U1098" s="49">
        <v>47968</v>
      </c>
      <c r="V1098" s="49">
        <v>47968</v>
      </c>
      <c r="W1098" s="49">
        <v>47968</v>
      </c>
      <c r="X1098" s="48">
        <v>1</v>
      </c>
      <c r="Y1098" s="48">
        <v>1</v>
      </c>
      <c r="Z1098" s="48">
        <v>1</v>
      </c>
      <c r="AA1098" s="156">
        <v>0</v>
      </c>
      <c r="AF1098" s="48">
        <v>0</v>
      </c>
      <c r="AG1098" s="49" t="s">
        <v>32</v>
      </c>
      <c r="AH1098" s="48">
        <v>1</v>
      </c>
      <c r="AI1098" s="48" t="s">
        <v>33</v>
      </c>
      <c r="AJ1098" s="48" t="s">
        <v>33</v>
      </c>
      <c r="AK1098" s="48" t="s">
        <v>33</v>
      </c>
      <c r="AL1098" s="48" t="s">
        <v>34</v>
      </c>
      <c r="AN1098" s="48">
        <v>0</v>
      </c>
      <c r="AO1098" s="48">
        <v>0</v>
      </c>
      <c r="AP1098" s="48">
        <v>0</v>
      </c>
      <c r="AQ1098" s="48">
        <v>0</v>
      </c>
      <c r="AR1098" s="48">
        <v>0</v>
      </c>
      <c r="AS1098" s="48">
        <v>0</v>
      </c>
      <c r="AT1098" s="48">
        <v>0</v>
      </c>
      <c r="AU1098" s="48">
        <v>0</v>
      </c>
      <c r="AV1098" s="48">
        <v>0</v>
      </c>
      <c r="AW1098" s="48">
        <v>0</v>
      </c>
      <c r="AX1098" s="48">
        <v>0</v>
      </c>
      <c r="AY1098" s="48">
        <v>0</v>
      </c>
      <c r="AZ1098" s="48">
        <v>0</v>
      </c>
      <c r="BA1098" s="48">
        <v>0</v>
      </c>
      <c r="BB1098" s="48">
        <v>0</v>
      </c>
    </row>
    <row r="1099" spans="1:54" x14ac:dyDescent="0.35">
      <c r="A1099" s="49">
        <v>45930</v>
      </c>
      <c r="B1099" s="48">
        <v>1</v>
      </c>
      <c r="C1099" s="50" t="s">
        <v>32</v>
      </c>
      <c r="D1099" s="48" t="s">
        <v>31</v>
      </c>
      <c r="E1099" s="48" t="s">
        <v>138</v>
      </c>
      <c r="F1099" s="48" t="s">
        <v>139</v>
      </c>
      <c r="G1099" s="49" t="s">
        <v>64</v>
      </c>
      <c r="H1099" s="48" t="s">
        <v>64</v>
      </c>
      <c r="I1099" s="48">
        <v>1</v>
      </c>
      <c r="J1099" s="48">
        <v>68</v>
      </c>
      <c r="K1099" s="48">
        <v>1</v>
      </c>
      <c r="N1099" s="48">
        <v>0</v>
      </c>
      <c r="R1099" s="49"/>
      <c r="S1099" s="181">
        <v>0</v>
      </c>
      <c r="T1099" s="49">
        <v>47999</v>
      </c>
      <c r="U1099" s="49">
        <v>47999</v>
      </c>
      <c r="V1099" s="49">
        <v>47999</v>
      </c>
      <c r="W1099" s="49">
        <v>47999</v>
      </c>
      <c r="X1099" s="48">
        <v>1</v>
      </c>
      <c r="Y1099" s="48">
        <v>1</v>
      </c>
      <c r="Z1099" s="48">
        <v>1</v>
      </c>
      <c r="AA1099" s="156">
        <v>0</v>
      </c>
      <c r="AF1099" s="48">
        <v>0</v>
      </c>
      <c r="AG1099" s="49" t="s">
        <v>32</v>
      </c>
      <c r="AH1099" s="48">
        <v>1</v>
      </c>
      <c r="AI1099" s="48" t="s">
        <v>33</v>
      </c>
      <c r="AJ1099" s="48" t="s">
        <v>33</v>
      </c>
      <c r="AK1099" s="48" t="s">
        <v>33</v>
      </c>
      <c r="AL1099" s="48" t="s">
        <v>34</v>
      </c>
      <c r="AN1099" s="48">
        <v>0</v>
      </c>
      <c r="AO1099" s="48">
        <v>0</v>
      </c>
      <c r="AP1099" s="48">
        <v>0</v>
      </c>
      <c r="AQ1099" s="48">
        <v>0</v>
      </c>
      <c r="AR1099" s="48">
        <v>0</v>
      </c>
      <c r="AS1099" s="48">
        <v>0</v>
      </c>
      <c r="AT1099" s="48">
        <v>0</v>
      </c>
      <c r="AU1099" s="48">
        <v>0</v>
      </c>
      <c r="AV1099" s="48">
        <v>0</v>
      </c>
      <c r="AW1099" s="48">
        <v>0</v>
      </c>
      <c r="AX1099" s="48">
        <v>0</v>
      </c>
      <c r="AY1099" s="48">
        <v>0</v>
      </c>
      <c r="AZ1099" s="48">
        <v>0</v>
      </c>
      <c r="BA1099" s="48">
        <v>0</v>
      </c>
      <c r="BB1099" s="48">
        <v>0</v>
      </c>
    </row>
    <row r="1100" spans="1:54" x14ac:dyDescent="0.35">
      <c r="A1100" s="49">
        <v>45930</v>
      </c>
      <c r="B1100" s="48">
        <v>1</v>
      </c>
      <c r="C1100" s="50" t="s">
        <v>32</v>
      </c>
      <c r="D1100" s="48" t="s">
        <v>31</v>
      </c>
      <c r="E1100" s="48" t="s">
        <v>138</v>
      </c>
      <c r="F1100" s="48" t="s">
        <v>139</v>
      </c>
      <c r="G1100" s="49" t="s">
        <v>64</v>
      </c>
      <c r="H1100" s="48" t="s">
        <v>64</v>
      </c>
      <c r="I1100" s="48">
        <v>1</v>
      </c>
      <c r="J1100" s="48">
        <v>69</v>
      </c>
      <c r="K1100" s="48">
        <v>1</v>
      </c>
      <c r="N1100" s="48">
        <v>0</v>
      </c>
      <c r="R1100" s="49"/>
      <c r="S1100" s="181">
        <v>0</v>
      </c>
      <c r="T1100" s="49">
        <v>48029</v>
      </c>
      <c r="U1100" s="49">
        <v>48029</v>
      </c>
      <c r="V1100" s="49">
        <v>48029</v>
      </c>
      <c r="W1100" s="49">
        <v>48029</v>
      </c>
      <c r="X1100" s="48">
        <v>1</v>
      </c>
      <c r="Y1100" s="48">
        <v>1</v>
      </c>
      <c r="Z1100" s="48">
        <v>1</v>
      </c>
      <c r="AA1100" s="156">
        <v>0</v>
      </c>
      <c r="AF1100" s="48">
        <v>0</v>
      </c>
      <c r="AG1100" s="49" t="s">
        <v>32</v>
      </c>
      <c r="AH1100" s="48">
        <v>1</v>
      </c>
      <c r="AI1100" s="48" t="s">
        <v>33</v>
      </c>
      <c r="AJ1100" s="48" t="s">
        <v>33</v>
      </c>
      <c r="AK1100" s="48" t="s">
        <v>33</v>
      </c>
      <c r="AL1100" s="48" t="s">
        <v>34</v>
      </c>
      <c r="AN1100" s="48">
        <v>0</v>
      </c>
      <c r="AO1100" s="48">
        <v>0</v>
      </c>
      <c r="AP1100" s="48">
        <v>0</v>
      </c>
      <c r="AQ1100" s="48">
        <v>0</v>
      </c>
      <c r="AR1100" s="48">
        <v>0</v>
      </c>
      <c r="AS1100" s="48">
        <v>0</v>
      </c>
      <c r="AT1100" s="48">
        <v>0</v>
      </c>
      <c r="AU1100" s="48">
        <v>0</v>
      </c>
      <c r="AV1100" s="48">
        <v>0</v>
      </c>
      <c r="AW1100" s="48">
        <v>0</v>
      </c>
      <c r="AX1100" s="48">
        <v>0</v>
      </c>
      <c r="AY1100" s="48">
        <v>0</v>
      </c>
      <c r="AZ1100" s="48">
        <v>0</v>
      </c>
      <c r="BA1100" s="48">
        <v>0</v>
      </c>
      <c r="BB1100" s="48">
        <v>0</v>
      </c>
    </row>
    <row r="1101" spans="1:54" x14ac:dyDescent="0.35">
      <c r="A1101" s="49">
        <v>45930</v>
      </c>
      <c r="B1101" s="48">
        <v>1</v>
      </c>
      <c r="C1101" s="50" t="s">
        <v>32</v>
      </c>
      <c r="D1101" s="48" t="s">
        <v>31</v>
      </c>
      <c r="E1101" s="48" t="s">
        <v>138</v>
      </c>
      <c r="F1101" s="48" t="s">
        <v>139</v>
      </c>
      <c r="G1101" s="49" t="s">
        <v>64</v>
      </c>
      <c r="H1101" s="48" t="s">
        <v>64</v>
      </c>
      <c r="I1101" s="48">
        <v>1</v>
      </c>
      <c r="J1101" s="48">
        <v>70</v>
      </c>
      <c r="K1101" s="48">
        <v>1</v>
      </c>
      <c r="N1101" s="48">
        <v>0</v>
      </c>
      <c r="R1101" s="49"/>
      <c r="S1101" s="181">
        <v>0</v>
      </c>
      <c r="T1101" s="49">
        <v>48060</v>
      </c>
      <c r="U1101" s="49">
        <v>48060</v>
      </c>
      <c r="V1101" s="49">
        <v>48060</v>
      </c>
      <c r="W1101" s="49">
        <v>48060</v>
      </c>
      <c r="X1101" s="48">
        <v>1</v>
      </c>
      <c r="Y1101" s="48">
        <v>1</v>
      </c>
      <c r="Z1101" s="48">
        <v>1</v>
      </c>
      <c r="AA1101" s="156">
        <v>0</v>
      </c>
      <c r="AF1101" s="48">
        <v>0</v>
      </c>
      <c r="AG1101" s="49" t="s">
        <v>32</v>
      </c>
      <c r="AH1101" s="48">
        <v>1</v>
      </c>
      <c r="AI1101" s="48" t="s">
        <v>33</v>
      </c>
      <c r="AJ1101" s="48" t="s">
        <v>33</v>
      </c>
      <c r="AK1101" s="48" t="s">
        <v>33</v>
      </c>
      <c r="AL1101" s="48" t="s">
        <v>34</v>
      </c>
      <c r="AN1101" s="48">
        <v>0</v>
      </c>
      <c r="AO1101" s="48">
        <v>0</v>
      </c>
      <c r="AP1101" s="48">
        <v>0</v>
      </c>
      <c r="AQ1101" s="48">
        <v>0</v>
      </c>
      <c r="AR1101" s="48">
        <v>0</v>
      </c>
      <c r="AS1101" s="48">
        <v>0</v>
      </c>
      <c r="AT1101" s="48">
        <v>0</v>
      </c>
      <c r="AU1101" s="48">
        <v>0</v>
      </c>
      <c r="AV1101" s="48">
        <v>0</v>
      </c>
      <c r="AW1101" s="48">
        <v>0</v>
      </c>
      <c r="AX1101" s="48">
        <v>0</v>
      </c>
      <c r="AY1101" s="48">
        <v>0</v>
      </c>
      <c r="AZ1101" s="48">
        <v>0</v>
      </c>
      <c r="BA1101" s="48">
        <v>0</v>
      </c>
      <c r="BB1101" s="48">
        <v>0</v>
      </c>
    </row>
    <row r="1102" spans="1:54" x14ac:dyDescent="0.35">
      <c r="A1102" s="49">
        <v>45930</v>
      </c>
      <c r="B1102" s="48">
        <v>1</v>
      </c>
      <c r="C1102" s="50" t="s">
        <v>32</v>
      </c>
      <c r="D1102" s="48" t="s">
        <v>31</v>
      </c>
      <c r="E1102" s="48" t="s">
        <v>138</v>
      </c>
      <c r="F1102" s="48" t="s">
        <v>139</v>
      </c>
      <c r="G1102" s="49" t="s">
        <v>64</v>
      </c>
      <c r="H1102" s="48" t="s">
        <v>64</v>
      </c>
      <c r="I1102" s="48">
        <v>1</v>
      </c>
      <c r="J1102" s="48">
        <v>71</v>
      </c>
      <c r="K1102" s="48">
        <v>1</v>
      </c>
      <c r="N1102" s="48">
        <v>0</v>
      </c>
      <c r="R1102" s="49"/>
      <c r="S1102" s="181">
        <v>0</v>
      </c>
      <c r="T1102" s="49">
        <v>48091</v>
      </c>
      <c r="U1102" s="49">
        <v>48091</v>
      </c>
      <c r="V1102" s="49">
        <v>48091</v>
      </c>
      <c r="W1102" s="49">
        <v>48091</v>
      </c>
      <c r="X1102" s="48">
        <v>1</v>
      </c>
      <c r="Y1102" s="48">
        <v>1</v>
      </c>
      <c r="Z1102" s="48">
        <v>1</v>
      </c>
      <c r="AA1102" s="156">
        <v>0</v>
      </c>
      <c r="AF1102" s="48">
        <v>0</v>
      </c>
      <c r="AG1102" s="49" t="s">
        <v>32</v>
      </c>
      <c r="AH1102" s="48">
        <v>1</v>
      </c>
      <c r="AI1102" s="48" t="s">
        <v>33</v>
      </c>
      <c r="AJ1102" s="48" t="s">
        <v>33</v>
      </c>
      <c r="AK1102" s="48" t="s">
        <v>33</v>
      </c>
      <c r="AL1102" s="48" t="s">
        <v>34</v>
      </c>
      <c r="AN1102" s="48">
        <v>0</v>
      </c>
      <c r="AO1102" s="48">
        <v>0</v>
      </c>
      <c r="AP1102" s="48">
        <v>0</v>
      </c>
      <c r="AQ1102" s="48">
        <v>0</v>
      </c>
      <c r="AR1102" s="48">
        <v>0</v>
      </c>
      <c r="AS1102" s="48">
        <v>0</v>
      </c>
      <c r="AT1102" s="48">
        <v>0</v>
      </c>
      <c r="AU1102" s="48">
        <v>0</v>
      </c>
      <c r="AV1102" s="48">
        <v>0</v>
      </c>
      <c r="AW1102" s="48">
        <v>0</v>
      </c>
      <c r="AX1102" s="48">
        <v>0</v>
      </c>
      <c r="AY1102" s="48">
        <v>0</v>
      </c>
      <c r="AZ1102" s="48">
        <v>0</v>
      </c>
      <c r="BA1102" s="48">
        <v>0</v>
      </c>
      <c r="BB1102" s="48">
        <v>0</v>
      </c>
    </row>
    <row r="1103" spans="1:54" x14ac:dyDescent="0.35">
      <c r="A1103" s="49">
        <v>45930</v>
      </c>
      <c r="B1103" s="48">
        <v>1</v>
      </c>
      <c r="C1103" s="50" t="s">
        <v>32</v>
      </c>
      <c r="D1103" s="48" t="s">
        <v>31</v>
      </c>
      <c r="E1103" s="48" t="s">
        <v>138</v>
      </c>
      <c r="F1103" s="48" t="s">
        <v>139</v>
      </c>
      <c r="G1103" s="49" t="s">
        <v>64</v>
      </c>
      <c r="H1103" s="48" t="s">
        <v>64</v>
      </c>
      <c r="I1103" s="48">
        <v>1</v>
      </c>
      <c r="J1103" s="48">
        <v>72</v>
      </c>
      <c r="K1103" s="48">
        <v>1</v>
      </c>
      <c r="N1103" s="48">
        <v>0</v>
      </c>
      <c r="R1103" s="49"/>
      <c r="S1103" s="181">
        <v>0</v>
      </c>
      <c r="T1103" s="49">
        <v>48121</v>
      </c>
      <c r="U1103" s="49">
        <v>48121</v>
      </c>
      <c r="V1103" s="49">
        <v>48121</v>
      </c>
      <c r="W1103" s="49">
        <v>48121</v>
      </c>
      <c r="X1103" s="48">
        <v>1</v>
      </c>
      <c r="Y1103" s="48">
        <v>1</v>
      </c>
      <c r="Z1103" s="48">
        <v>1</v>
      </c>
      <c r="AA1103" s="156">
        <v>0</v>
      </c>
      <c r="AF1103" s="48">
        <v>0</v>
      </c>
      <c r="AG1103" s="49" t="s">
        <v>32</v>
      </c>
      <c r="AH1103" s="48">
        <v>1</v>
      </c>
      <c r="AI1103" s="48" t="s">
        <v>33</v>
      </c>
      <c r="AJ1103" s="48" t="s">
        <v>33</v>
      </c>
      <c r="AK1103" s="48" t="s">
        <v>33</v>
      </c>
      <c r="AL1103" s="48" t="s">
        <v>34</v>
      </c>
      <c r="AN1103" s="48">
        <v>0</v>
      </c>
      <c r="AO1103" s="48">
        <v>0</v>
      </c>
      <c r="AP1103" s="48">
        <v>0</v>
      </c>
      <c r="AQ1103" s="48">
        <v>0</v>
      </c>
      <c r="AR1103" s="48">
        <v>0</v>
      </c>
      <c r="AS1103" s="48">
        <v>0</v>
      </c>
      <c r="AT1103" s="48">
        <v>0</v>
      </c>
      <c r="AU1103" s="48">
        <v>0</v>
      </c>
      <c r="AV1103" s="48">
        <v>0</v>
      </c>
      <c r="AW1103" s="48">
        <v>0</v>
      </c>
      <c r="AX1103" s="48">
        <v>0</v>
      </c>
      <c r="AY1103" s="48">
        <v>0</v>
      </c>
      <c r="AZ1103" s="48">
        <v>0</v>
      </c>
      <c r="BA1103" s="48">
        <v>0</v>
      </c>
      <c r="BB1103" s="48">
        <v>0</v>
      </c>
    </row>
    <row r="1104" spans="1:54" x14ac:dyDescent="0.35">
      <c r="A1104" s="49">
        <v>45930</v>
      </c>
      <c r="B1104" s="48">
        <v>1</v>
      </c>
      <c r="C1104" s="50" t="s">
        <v>32</v>
      </c>
      <c r="D1104" s="48" t="s">
        <v>31</v>
      </c>
      <c r="E1104" s="48" t="s">
        <v>138</v>
      </c>
      <c r="F1104" s="48" t="s">
        <v>139</v>
      </c>
      <c r="G1104" s="49" t="s">
        <v>64</v>
      </c>
      <c r="H1104" s="48" t="s">
        <v>64</v>
      </c>
      <c r="I1104" s="48">
        <v>1</v>
      </c>
      <c r="J1104" s="48">
        <v>73</v>
      </c>
      <c r="K1104" s="48">
        <v>1</v>
      </c>
      <c r="N1104" s="48">
        <v>0</v>
      </c>
      <c r="R1104" s="49"/>
      <c r="S1104" s="181">
        <v>0</v>
      </c>
      <c r="T1104" s="49">
        <v>48152</v>
      </c>
      <c r="U1104" s="49">
        <v>48152</v>
      </c>
      <c r="V1104" s="49">
        <v>48152</v>
      </c>
      <c r="W1104" s="49">
        <v>48152</v>
      </c>
      <c r="X1104" s="48">
        <v>1</v>
      </c>
      <c r="Y1104" s="48">
        <v>1</v>
      </c>
      <c r="Z1104" s="48">
        <v>1</v>
      </c>
      <c r="AA1104" s="156">
        <v>0</v>
      </c>
      <c r="AF1104" s="48">
        <v>0</v>
      </c>
      <c r="AG1104" s="49" t="s">
        <v>32</v>
      </c>
      <c r="AH1104" s="48">
        <v>1</v>
      </c>
      <c r="AI1104" s="48" t="s">
        <v>33</v>
      </c>
      <c r="AJ1104" s="48" t="s">
        <v>33</v>
      </c>
      <c r="AK1104" s="48" t="s">
        <v>33</v>
      </c>
      <c r="AL1104" s="48" t="s">
        <v>34</v>
      </c>
      <c r="AN1104" s="48">
        <v>0</v>
      </c>
      <c r="AO1104" s="48">
        <v>0</v>
      </c>
      <c r="AP1104" s="48">
        <v>0</v>
      </c>
      <c r="AQ1104" s="48">
        <v>0</v>
      </c>
      <c r="AR1104" s="48">
        <v>0</v>
      </c>
      <c r="AS1104" s="48">
        <v>0</v>
      </c>
      <c r="AT1104" s="48">
        <v>0</v>
      </c>
      <c r="AU1104" s="48">
        <v>0</v>
      </c>
      <c r="AV1104" s="48">
        <v>0</v>
      </c>
      <c r="AW1104" s="48">
        <v>0</v>
      </c>
      <c r="AX1104" s="48">
        <v>0</v>
      </c>
      <c r="AY1104" s="48">
        <v>0</v>
      </c>
      <c r="AZ1104" s="48">
        <v>0</v>
      </c>
      <c r="BA1104" s="48">
        <v>0</v>
      </c>
      <c r="BB1104" s="48">
        <v>0</v>
      </c>
    </row>
    <row r="1105" spans="1:54" x14ac:dyDescent="0.35">
      <c r="A1105" s="49">
        <v>45930</v>
      </c>
      <c r="B1105" s="48">
        <v>1</v>
      </c>
      <c r="C1105" s="50" t="s">
        <v>32</v>
      </c>
      <c r="D1105" s="48" t="s">
        <v>31</v>
      </c>
      <c r="E1105" s="48" t="s">
        <v>138</v>
      </c>
      <c r="F1105" s="48" t="s">
        <v>139</v>
      </c>
      <c r="G1105" s="49" t="s">
        <v>64</v>
      </c>
      <c r="H1105" s="48" t="s">
        <v>64</v>
      </c>
      <c r="I1105" s="48">
        <v>1</v>
      </c>
      <c r="J1105" s="48">
        <v>74</v>
      </c>
      <c r="K1105" s="48">
        <v>1</v>
      </c>
      <c r="N1105" s="48">
        <v>0</v>
      </c>
      <c r="R1105" s="49"/>
      <c r="S1105" s="181">
        <v>0</v>
      </c>
      <c r="T1105" s="49">
        <v>48182</v>
      </c>
      <c r="U1105" s="49">
        <v>48182</v>
      </c>
      <c r="V1105" s="49">
        <v>48182</v>
      </c>
      <c r="W1105" s="49">
        <v>48182</v>
      </c>
      <c r="X1105" s="48">
        <v>1</v>
      </c>
      <c r="Y1105" s="48">
        <v>1</v>
      </c>
      <c r="Z1105" s="48">
        <v>1</v>
      </c>
      <c r="AA1105" s="156">
        <v>0</v>
      </c>
      <c r="AF1105" s="48">
        <v>0</v>
      </c>
      <c r="AG1105" s="49" t="s">
        <v>32</v>
      </c>
      <c r="AH1105" s="48">
        <v>1</v>
      </c>
      <c r="AI1105" s="48" t="s">
        <v>33</v>
      </c>
      <c r="AJ1105" s="48" t="s">
        <v>33</v>
      </c>
      <c r="AK1105" s="48" t="s">
        <v>33</v>
      </c>
      <c r="AL1105" s="48" t="s">
        <v>34</v>
      </c>
      <c r="AN1105" s="48">
        <v>0</v>
      </c>
      <c r="AO1105" s="48">
        <v>0</v>
      </c>
      <c r="AP1105" s="48">
        <v>0</v>
      </c>
      <c r="AQ1105" s="48">
        <v>0</v>
      </c>
      <c r="AR1105" s="48">
        <v>0</v>
      </c>
      <c r="AS1105" s="48">
        <v>0</v>
      </c>
      <c r="AT1105" s="48">
        <v>0</v>
      </c>
      <c r="AU1105" s="48">
        <v>0</v>
      </c>
      <c r="AV1105" s="48">
        <v>0</v>
      </c>
      <c r="AW1105" s="48">
        <v>0</v>
      </c>
      <c r="AX1105" s="48">
        <v>0</v>
      </c>
      <c r="AY1105" s="48">
        <v>0</v>
      </c>
      <c r="AZ1105" s="48">
        <v>0</v>
      </c>
      <c r="BA1105" s="48">
        <v>0</v>
      </c>
      <c r="BB1105" s="48">
        <v>0</v>
      </c>
    </row>
    <row r="1106" spans="1:54" x14ac:dyDescent="0.35">
      <c r="A1106" s="49">
        <v>45930</v>
      </c>
      <c r="B1106" s="48">
        <v>1</v>
      </c>
      <c r="C1106" s="50" t="s">
        <v>32</v>
      </c>
      <c r="D1106" s="48" t="s">
        <v>31</v>
      </c>
      <c r="E1106" s="48" t="s">
        <v>138</v>
      </c>
      <c r="F1106" s="48" t="s">
        <v>139</v>
      </c>
      <c r="G1106" s="49" t="s">
        <v>64</v>
      </c>
      <c r="H1106" s="48" t="s">
        <v>64</v>
      </c>
      <c r="I1106" s="48">
        <v>1</v>
      </c>
      <c r="J1106" s="48">
        <v>75</v>
      </c>
      <c r="K1106" s="48">
        <v>1</v>
      </c>
      <c r="N1106" s="48">
        <v>0</v>
      </c>
      <c r="R1106" s="49"/>
      <c r="S1106" s="181">
        <v>0</v>
      </c>
      <c r="T1106" s="49">
        <v>48213</v>
      </c>
      <c r="U1106" s="49">
        <v>48213</v>
      </c>
      <c r="V1106" s="49">
        <v>48213</v>
      </c>
      <c r="W1106" s="49">
        <v>48213</v>
      </c>
      <c r="X1106" s="48">
        <v>1</v>
      </c>
      <c r="Y1106" s="48">
        <v>1</v>
      </c>
      <c r="Z1106" s="48">
        <v>1</v>
      </c>
      <c r="AA1106" s="156">
        <v>0</v>
      </c>
      <c r="AF1106" s="48">
        <v>0</v>
      </c>
      <c r="AG1106" s="49" t="s">
        <v>32</v>
      </c>
      <c r="AH1106" s="48">
        <v>1</v>
      </c>
      <c r="AI1106" s="48" t="s">
        <v>33</v>
      </c>
      <c r="AJ1106" s="48" t="s">
        <v>33</v>
      </c>
      <c r="AK1106" s="48" t="s">
        <v>33</v>
      </c>
      <c r="AL1106" s="48" t="s">
        <v>34</v>
      </c>
      <c r="AN1106" s="48">
        <v>0</v>
      </c>
      <c r="AO1106" s="48">
        <v>0</v>
      </c>
      <c r="AP1106" s="48">
        <v>0</v>
      </c>
      <c r="AQ1106" s="48">
        <v>0</v>
      </c>
      <c r="AR1106" s="48">
        <v>0</v>
      </c>
      <c r="AS1106" s="48">
        <v>0</v>
      </c>
      <c r="AT1106" s="48">
        <v>0</v>
      </c>
      <c r="AU1106" s="48">
        <v>0</v>
      </c>
      <c r="AV1106" s="48">
        <v>0</v>
      </c>
      <c r="AW1106" s="48">
        <v>0</v>
      </c>
      <c r="AX1106" s="48">
        <v>0</v>
      </c>
      <c r="AY1106" s="48">
        <v>0</v>
      </c>
      <c r="AZ1106" s="48">
        <v>0</v>
      </c>
      <c r="BA1106" s="48">
        <v>0</v>
      </c>
      <c r="BB1106" s="48">
        <v>0</v>
      </c>
    </row>
    <row r="1107" spans="1:54" x14ac:dyDescent="0.35">
      <c r="A1107" s="49">
        <v>45930</v>
      </c>
      <c r="B1107" s="48">
        <v>1</v>
      </c>
      <c r="C1107" s="50" t="s">
        <v>32</v>
      </c>
      <c r="D1107" s="48" t="s">
        <v>31</v>
      </c>
      <c r="E1107" s="48" t="s">
        <v>138</v>
      </c>
      <c r="F1107" s="48" t="s">
        <v>139</v>
      </c>
      <c r="G1107" s="49" t="s">
        <v>64</v>
      </c>
      <c r="H1107" s="48" t="s">
        <v>64</v>
      </c>
      <c r="I1107" s="48">
        <v>1</v>
      </c>
      <c r="J1107" s="48">
        <v>76</v>
      </c>
      <c r="K1107" s="48">
        <v>1</v>
      </c>
      <c r="N1107" s="48">
        <v>0</v>
      </c>
      <c r="R1107" s="49"/>
      <c r="S1107" s="181">
        <v>0</v>
      </c>
      <c r="T1107" s="49">
        <v>48244</v>
      </c>
      <c r="U1107" s="49">
        <v>48244</v>
      </c>
      <c r="V1107" s="49">
        <v>48244</v>
      </c>
      <c r="W1107" s="49">
        <v>48244</v>
      </c>
      <c r="X1107" s="48">
        <v>1</v>
      </c>
      <c r="Y1107" s="48">
        <v>1</v>
      </c>
      <c r="Z1107" s="48">
        <v>1</v>
      </c>
      <c r="AA1107" s="156">
        <v>0</v>
      </c>
      <c r="AF1107" s="48">
        <v>0</v>
      </c>
      <c r="AG1107" s="49" t="s">
        <v>32</v>
      </c>
      <c r="AH1107" s="48">
        <v>1</v>
      </c>
      <c r="AI1107" s="48" t="s">
        <v>33</v>
      </c>
      <c r="AJ1107" s="48" t="s">
        <v>33</v>
      </c>
      <c r="AK1107" s="48" t="s">
        <v>33</v>
      </c>
      <c r="AL1107" s="48" t="s">
        <v>34</v>
      </c>
      <c r="AN1107" s="48">
        <v>0</v>
      </c>
      <c r="AO1107" s="48">
        <v>0</v>
      </c>
      <c r="AP1107" s="48">
        <v>0</v>
      </c>
      <c r="AQ1107" s="48">
        <v>0</v>
      </c>
      <c r="AR1107" s="48">
        <v>0</v>
      </c>
      <c r="AS1107" s="48">
        <v>0</v>
      </c>
      <c r="AT1107" s="48">
        <v>0</v>
      </c>
      <c r="AU1107" s="48">
        <v>0</v>
      </c>
      <c r="AV1107" s="48">
        <v>0</v>
      </c>
      <c r="AW1107" s="48">
        <v>0</v>
      </c>
      <c r="AX1107" s="48">
        <v>0</v>
      </c>
      <c r="AY1107" s="48">
        <v>0</v>
      </c>
      <c r="AZ1107" s="48">
        <v>0</v>
      </c>
      <c r="BA1107" s="48">
        <v>0</v>
      </c>
      <c r="BB1107" s="48">
        <v>0</v>
      </c>
    </row>
    <row r="1108" spans="1:54" x14ac:dyDescent="0.35">
      <c r="A1108" s="49">
        <v>45930</v>
      </c>
      <c r="B1108" s="48">
        <v>1</v>
      </c>
      <c r="C1108" s="50" t="s">
        <v>32</v>
      </c>
      <c r="D1108" s="48" t="s">
        <v>31</v>
      </c>
      <c r="E1108" s="48" t="s">
        <v>138</v>
      </c>
      <c r="F1108" s="48" t="s">
        <v>139</v>
      </c>
      <c r="G1108" s="49" t="s">
        <v>64</v>
      </c>
      <c r="H1108" s="48" t="s">
        <v>64</v>
      </c>
      <c r="I1108" s="48">
        <v>1</v>
      </c>
      <c r="J1108" s="48">
        <v>77</v>
      </c>
      <c r="K1108" s="48">
        <v>1</v>
      </c>
      <c r="N1108" s="48">
        <v>0</v>
      </c>
      <c r="R1108" s="49"/>
      <c r="S1108" s="181">
        <v>0</v>
      </c>
      <c r="T1108" s="49">
        <v>48273</v>
      </c>
      <c r="U1108" s="49">
        <v>48273</v>
      </c>
      <c r="V1108" s="49">
        <v>48273</v>
      </c>
      <c r="W1108" s="49">
        <v>48273</v>
      </c>
      <c r="X1108" s="48">
        <v>1</v>
      </c>
      <c r="Y1108" s="48">
        <v>1</v>
      </c>
      <c r="Z1108" s="48">
        <v>1</v>
      </c>
      <c r="AA1108" s="156">
        <v>0</v>
      </c>
      <c r="AF1108" s="48">
        <v>0</v>
      </c>
      <c r="AG1108" s="49" t="s">
        <v>32</v>
      </c>
      <c r="AH1108" s="48">
        <v>1</v>
      </c>
      <c r="AI1108" s="48" t="s">
        <v>33</v>
      </c>
      <c r="AJ1108" s="48" t="s">
        <v>33</v>
      </c>
      <c r="AK1108" s="48" t="s">
        <v>33</v>
      </c>
      <c r="AL1108" s="48" t="s">
        <v>34</v>
      </c>
      <c r="AN1108" s="48">
        <v>0</v>
      </c>
      <c r="AO1108" s="48">
        <v>0</v>
      </c>
      <c r="AP1108" s="48">
        <v>0</v>
      </c>
      <c r="AQ1108" s="48">
        <v>0</v>
      </c>
      <c r="AR1108" s="48">
        <v>0</v>
      </c>
      <c r="AS1108" s="48">
        <v>0</v>
      </c>
      <c r="AT1108" s="48">
        <v>0</v>
      </c>
      <c r="AU1108" s="48">
        <v>0</v>
      </c>
      <c r="AV1108" s="48">
        <v>0</v>
      </c>
      <c r="AW1108" s="48">
        <v>0</v>
      </c>
      <c r="AX1108" s="48">
        <v>0</v>
      </c>
      <c r="AY1108" s="48">
        <v>0</v>
      </c>
      <c r="AZ1108" s="48">
        <v>0</v>
      </c>
      <c r="BA1108" s="48">
        <v>0</v>
      </c>
      <c r="BB1108" s="48">
        <v>0</v>
      </c>
    </row>
    <row r="1109" spans="1:54" x14ac:dyDescent="0.35">
      <c r="A1109" s="49">
        <v>45930</v>
      </c>
      <c r="B1109" s="48">
        <v>1</v>
      </c>
      <c r="C1109" s="50" t="s">
        <v>32</v>
      </c>
      <c r="D1109" s="48" t="s">
        <v>31</v>
      </c>
      <c r="E1109" s="48" t="s">
        <v>138</v>
      </c>
      <c r="F1109" s="48" t="s">
        <v>139</v>
      </c>
      <c r="G1109" s="49" t="s">
        <v>64</v>
      </c>
      <c r="H1109" s="48" t="s">
        <v>64</v>
      </c>
      <c r="I1109" s="48">
        <v>1</v>
      </c>
      <c r="J1109" s="48">
        <v>78</v>
      </c>
      <c r="K1109" s="48">
        <v>1</v>
      </c>
      <c r="N1109" s="48">
        <v>0</v>
      </c>
      <c r="R1109" s="49"/>
      <c r="S1109" s="181">
        <v>0</v>
      </c>
      <c r="T1109" s="49">
        <v>48304</v>
      </c>
      <c r="U1109" s="49">
        <v>48304</v>
      </c>
      <c r="V1109" s="49">
        <v>48304</v>
      </c>
      <c r="W1109" s="49">
        <v>48304</v>
      </c>
      <c r="X1109" s="48">
        <v>1</v>
      </c>
      <c r="Y1109" s="48">
        <v>1</v>
      </c>
      <c r="Z1109" s="48">
        <v>1</v>
      </c>
      <c r="AA1109" s="156">
        <v>0</v>
      </c>
      <c r="AF1109" s="48">
        <v>0</v>
      </c>
      <c r="AG1109" s="49" t="s">
        <v>32</v>
      </c>
      <c r="AH1109" s="48">
        <v>1</v>
      </c>
      <c r="AI1109" s="48" t="s">
        <v>33</v>
      </c>
      <c r="AJ1109" s="48" t="s">
        <v>33</v>
      </c>
      <c r="AK1109" s="48" t="s">
        <v>33</v>
      </c>
      <c r="AL1109" s="48" t="s">
        <v>34</v>
      </c>
      <c r="AN1109" s="48">
        <v>0</v>
      </c>
      <c r="AO1109" s="48">
        <v>0</v>
      </c>
      <c r="AP1109" s="48">
        <v>0</v>
      </c>
      <c r="AQ1109" s="48">
        <v>0</v>
      </c>
      <c r="AR1109" s="48">
        <v>0</v>
      </c>
      <c r="AS1109" s="48">
        <v>0</v>
      </c>
      <c r="AT1109" s="48">
        <v>0</v>
      </c>
      <c r="AU1109" s="48">
        <v>0</v>
      </c>
      <c r="AV1109" s="48">
        <v>0</v>
      </c>
      <c r="AW1109" s="48">
        <v>0</v>
      </c>
      <c r="AX1109" s="48">
        <v>0</v>
      </c>
      <c r="AY1109" s="48">
        <v>0</v>
      </c>
      <c r="AZ1109" s="48">
        <v>0</v>
      </c>
      <c r="BA1109" s="48">
        <v>0</v>
      </c>
      <c r="BB1109" s="48">
        <v>0</v>
      </c>
    </row>
    <row r="1110" spans="1:54" x14ac:dyDescent="0.35">
      <c r="A1110" s="49">
        <v>45930</v>
      </c>
      <c r="B1110" s="48">
        <v>1</v>
      </c>
      <c r="C1110" s="50" t="s">
        <v>32</v>
      </c>
      <c r="D1110" s="48" t="s">
        <v>31</v>
      </c>
      <c r="E1110" s="48" t="s">
        <v>138</v>
      </c>
      <c r="F1110" s="48" t="s">
        <v>139</v>
      </c>
      <c r="G1110" s="49" t="s">
        <v>64</v>
      </c>
      <c r="H1110" s="48" t="s">
        <v>64</v>
      </c>
      <c r="I1110" s="48">
        <v>1</v>
      </c>
      <c r="J1110" s="48">
        <v>79</v>
      </c>
      <c r="K1110" s="48">
        <v>1</v>
      </c>
      <c r="N1110" s="48">
        <v>0</v>
      </c>
      <c r="R1110" s="49"/>
      <c r="S1110" s="181">
        <v>0</v>
      </c>
      <c r="T1110" s="49">
        <v>48334</v>
      </c>
      <c r="U1110" s="49">
        <v>48334</v>
      </c>
      <c r="V1110" s="49">
        <v>48334</v>
      </c>
      <c r="W1110" s="49">
        <v>48334</v>
      </c>
      <c r="X1110" s="48">
        <v>1</v>
      </c>
      <c r="Y1110" s="48">
        <v>1</v>
      </c>
      <c r="Z1110" s="48">
        <v>1</v>
      </c>
      <c r="AA1110" s="156">
        <v>0</v>
      </c>
      <c r="AF1110" s="48">
        <v>0</v>
      </c>
      <c r="AG1110" s="49" t="s">
        <v>32</v>
      </c>
      <c r="AH1110" s="48">
        <v>1</v>
      </c>
      <c r="AI1110" s="48" t="s">
        <v>33</v>
      </c>
      <c r="AJ1110" s="48" t="s">
        <v>33</v>
      </c>
      <c r="AK1110" s="48" t="s">
        <v>33</v>
      </c>
      <c r="AL1110" s="48" t="s">
        <v>34</v>
      </c>
      <c r="AN1110" s="48">
        <v>0</v>
      </c>
      <c r="AO1110" s="48">
        <v>0</v>
      </c>
      <c r="AP1110" s="48">
        <v>0</v>
      </c>
      <c r="AQ1110" s="48">
        <v>0</v>
      </c>
      <c r="AR1110" s="48">
        <v>0</v>
      </c>
      <c r="AS1110" s="48">
        <v>0</v>
      </c>
      <c r="AT1110" s="48">
        <v>0</v>
      </c>
      <c r="AU1110" s="48">
        <v>0</v>
      </c>
      <c r="AV1110" s="48">
        <v>0</v>
      </c>
      <c r="AW1110" s="48">
        <v>0</v>
      </c>
      <c r="AX1110" s="48">
        <v>0</v>
      </c>
      <c r="AY1110" s="48">
        <v>0</v>
      </c>
      <c r="AZ1110" s="48">
        <v>0</v>
      </c>
      <c r="BA1110" s="48">
        <v>0</v>
      </c>
      <c r="BB1110" s="48">
        <v>0</v>
      </c>
    </row>
    <row r="1111" spans="1:54" x14ac:dyDescent="0.35">
      <c r="A1111" s="49">
        <v>45930</v>
      </c>
      <c r="B1111" s="48">
        <v>1</v>
      </c>
      <c r="C1111" s="50" t="s">
        <v>32</v>
      </c>
      <c r="D1111" s="48" t="s">
        <v>31</v>
      </c>
      <c r="E1111" s="48" t="s">
        <v>138</v>
      </c>
      <c r="F1111" s="48" t="s">
        <v>139</v>
      </c>
      <c r="G1111" s="49" t="s">
        <v>64</v>
      </c>
      <c r="H1111" s="48" t="s">
        <v>64</v>
      </c>
      <c r="I1111" s="48">
        <v>1</v>
      </c>
      <c r="J1111" s="48">
        <v>80</v>
      </c>
      <c r="K1111" s="48">
        <v>1</v>
      </c>
      <c r="N1111" s="48">
        <v>0</v>
      </c>
      <c r="R1111" s="49"/>
      <c r="S1111" s="181">
        <v>0</v>
      </c>
      <c r="T1111" s="49">
        <v>48365</v>
      </c>
      <c r="U1111" s="49">
        <v>48365</v>
      </c>
      <c r="V1111" s="49">
        <v>48365</v>
      </c>
      <c r="W1111" s="49">
        <v>48365</v>
      </c>
      <c r="X1111" s="48">
        <v>1</v>
      </c>
      <c r="Y1111" s="48">
        <v>1</v>
      </c>
      <c r="Z1111" s="48">
        <v>1</v>
      </c>
      <c r="AA1111" s="156">
        <v>0</v>
      </c>
      <c r="AF1111" s="48">
        <v>0</v>
      </c>
      <c r="AG1111" s="49" t="s">
        <v>32</v>
      </c>
      <c r="AH1111" s="48">
        <v>1</v>
      </c>
      <c r="AI1111" s="48" t="s">
        <v>33</v>
      </c>
      <c r="AJ1111" s="48" t="s">
        <v>33</v>
      </c>
      <c r="AK1111" s="48" t="s">
        <v>33</v>
      </c>
      <c r="AL1111" s="48" t="s">
        <v>34</v>
      </c>
      <c r="AN1111" s="48">
        <v>0</v>
      </c>
      <c r="AO1111" s="48">
        <v>0</v>
      </c>
      <c r="AP1111" s="48">
        <v>0</v>
      </c>
      <c r="AQ1111" s="48">
        <v>0</v>
      </c>
      <c r="AR1111" s="48">
        <v>0</v>
      </c>
      <c r="AS1111" s="48">
        <v>0</v>
      </c>
      <c r="AT1111" s="48">
        <v>0</v>
      </c>
      <c r="AU1111" s="48">
        <v>0</v>
      </c>
      <c r="AV1111" s="48">
        <v>0</v>
      </c>
      <c r="AW1111" s="48">
        <v>0</v>
      </c>
      <c r="AX1111" s="48">
        <v>0</v>
      </c>
      <c r="AY1111" s="48">
        <v>0</v>
      </c>
      <c r="AZ1111" s="48">
        <v>0</v>
      </c>
      <c r="BA1111" s="48">
        <v>0</v>
      </c>
      <c r="BB1111" s="48">
        <v>0</v>
      </c>
    </row>
    <row r="1112" spans="1:54" x14ac:dyDescent="0.35">
      <c r="A1112" s="49">
        <v>45930</v>
      </c>
      <c r="B1112" s="48">
        <v>1</v>
      </c>
      <c r="C1112" s="50" t="s">
        <v>32</v>
      </c>
      <c r="D1112" s="48" t="s">
        <v>31</v>
      </c>
      <c r="E1112" s="48" t="s">
        <v>138</v>
      </c>
      <c r="F1112" s="48" t="s">
        <v>139</v>
      </c>
      <c r="G1112" s="49" t="s">
        <v>64</v>
      </c>
      <c r="H1112" s="48" t="s">
        <v>64</v>
      </c>
      <c r="I1112" s="48">
        <v>1</v>
      </c>
      <c r="J1112" s="48">
        <v>81</v>
      </c>
      <c r="K1112" s="48">
        <v>1</v>
      </c>
      <c r="N1112" s="48">
        <v>0</v>
      </c>
      <c r="R1112" s="49"/>
      <c r="S1112" s="181">
        <v>0</v>
      </c>
      <c r="T1112" s="49">
        <v>48395</v>
      </c>
      <c r="U1112" s="49">
        <v>48395</v>
      </c>
      <c r="V1112" s="49">
        <v>48395</v>
      </c>
      <c r="W1112" s="49">
        <v>48395</v>
      </c>
      <c r="X1112" s="48">
        <v>1</v>
      </c>
      <c r="Y1112" s="48">
        <v>1</v>
      </c>
      <c r="Z1112" s="48">
        <v>1</v>
      </c>
      <c r="AA1112" s="156">
        <v>0</v>
      </c>
      <c r="AF1112" s="48">
        <v>0</v>
      </c>
      <c r="AG1112" s="49" t="s">
        <v>32</v>
      </c>
      <c r="AH1112" s="48">
        <v>1</v>
      </c>
      <c r="AI1112" s="48" t="s">
        <v>33</v>
      </c>
      <c r="AJ1112" s="48" t="s">
        <v>33</v>
      </c>
      <c r="AK1112" s="48" t="s">
        <v>33</v>
      </c>
      <c r="AL1112" s="48" t="s">
        <v>34</v>
      </c>
      <c r="AN1112" s="48">
        <v>0</v>
      </c>
      <c r="AO1112" s="48">
        <v>0</v>
      </c>
      <c r="AP1112" s="48">
        <v>0</v>
      </c>
      <c r="AQ1112" s="48">
        <v>0</v>
      </c>
      <c r="AR1112" s="48">
        <v>0</v>
      </c>
      <c r="AS1112" s="48">
        <v>0</v>
      </c>
      <c r="AT1112" s="48">
        <v>0</v>
      </c>
      <c r="AU1112" s="48">
        <v>0</v>
      </c>
      <c r="AV1112" s="48">
        <v>0</v>
      </c>
      <c r="AW1112" s="48">
        <v>0</v>
      </c>
      <c r="AX1112" s="48">
        <v>0</v>
      </c>
      <c r="AY1112" s="48">
        <v>0</v>
      </c>
      <c r="AZ1112" s="48">
        <v>0</v>
      </c>
      <c r="BA1112" s="48">
        <v>0</v>
      </c>
      <c r="BB1112" s="48">
        <v>0</v>
      </c>
    </row>
    <row r="1113" spans="1:54" x14ac:dyDescent="0.35">
      <c r="A1113" s="49">
        <v>45930</v>
      </c>
      <c r="B1113" s="48">
        <v>1</v>
      </c>
      <c r="C1113" s="50" t="s">
        <v>32</v>
      </c>
      <c r="D1113" s="48" t="s">
        <v>31</v>
      </c>
      <c r="E1113" s="48" t="s">
        <v>138</v>
      </c>
      <c r="F1113" s="48" t="s">
        <v>139</v>
      </c>
      <c r="G1113" s="49" t="s">
        <v>64</v>
      </c>
      <c r="H1113" s="48" t="s">
        <v>64</v>
      </c>
      <c r="I1113" s="48">
        <v>1</v>
      </c>
      <c r="J1113" s="48">
        <v>82</v>
      </c>
      <c r="K1113" s="48">
        <v>1</v>
      </c>
      <c r="N1113" s="48">
        <v>0</v>
      </c>
      <c r="R1113" s="49"/>
      <c r="S1113" s="181">
        <v>0</v>
      </c>
      <c r="T1113" s="49">
        <v>48426</v>
      </c>
      <c r="U1113" s="49">
        <v>48426</v>
      </c>
      <c r="V1113" s="49">
        <v>48426</v>
      </c>
      <c r="W1113" s="49">
        <v>48426</v>
      </c>
      <c r="X1113" s="48">
        <v>1</v>
      </c>
      <c r="Y1113" s="48">
        <v>1</v>
      </c>
      <c r="Z1113" s="48">
        <v>1</v>
      </c>
      <c r="AA1113" s="156">
        <v>0</v>
      </c>
      <c r="AF1113" s="48">
        <v>0</v>
      </c>
      <c r="AG1113" s="49" t="s">
        <v>32</v>
      </c>
      <c r="AH1113" s="48">
        <v>1</v>
      </c>
      <c r="AI1113" s="48" t="s">
        <v>33</v>
      </c>
      <c r="AJ1113" s="48" t="s">
        <v>33</v>
      </c>
      <c r="AK1113" s="48" t="s">
        <v>33</v>
      </c>
      <c r="AL1113" s="48" t="s">
        <v>34</v>
      </c>
      <c r="AN1113" s="48">
        <v>0</v>
      </c>
      <c r="AO1113" s="48">
        <v>0</v>
      </c>
      <c r="AP1113" s="48">
        <v>0</v>
      </c>
      <c r="AQ1113" s="48">
        <v>0</v>
      </c>
      <c r="AR1113" s="48">
        <v>0</v>
      </c>
      <c r="AS1113" s="48">
        <v>0</v>
      </c>
      <c r="AT1113" s="48">
        <v>0</v>
      </c>
      <c r="AU1113" s="48">
        <v>0</v>
      </c>
      <c r="AV1113" s="48">
        <v>0</v>
      </c>
      <c r="AW1113" s="48">
        <v>0</v>
      </c>
      <c r="AX1113" s="48">
        <v>0</v>
      </c>
      <c r="AY1113" s="48">
        <v>0</v>
      </c>
      <c r="AZ1113" s="48">
        <v>0</v>
      </c>
      <c r="BA1113" s="48">
        <v>0</v>
      </c>
      <c r="BB1113" s="48">
        <v>0</v>
      </c>
    </row>
    <row r="1114" spans="1:54" x14ac:dyDescent="0.35">
      <c r="A1114" s="49">
        <v>45930</v>
      </c>
      <c r="B1114" s="48">
        <v>1</v>
      </c>
      <c r="C1114" s="50" t="s">
        <v>32</v>
      </c>
      <c r="D1114" s="48" t="s">
        <v>31</v>
      </c>
      <c r="E1114" s="48" t="s">
        <v>138</v>
      </c>
      <c r="F1114" s="48" t="s">
        <v>139</v>
      </c>
      <c r="G1114" s="49" t="s">
        <v>64</v>
      </c>
      <c r="H1114" s="48" t="s">
        <v>64</v>
      </c>
      <c r="I1114" s="48">
        <v>1</v>
      </c>
      <c r="J1114" s="48">
        <v>83</v>
      </c>
      <c r="K1114" s="48">
        <v>1</v>
      </c>
      <c r="N1114" s="48">
        <v>0</v>
      </c>
      <c r="R1114" s="49"/>
      <c r="S1114" s="181">
        <v>0</v>
      </c>
      <c r="T1114" s="49">
        <v>48457</v>
      </c>
      <c r="U1114" s="49">
        <v>48457</v>
      </c>
      <c r="V1114" s="49">
        <v>48457</v>
      </c>
      <c r="W1114" s="49">
        <v>48457</v>
      </c>
      <c r="X1114" s="48">
        <v>1</v>
      </c>
      <c r="Y1114" s="48">
        <v>1</v>
      </c>
      <c r="Z1114" s="48">
        <v>1</v>
      </c>
      <c r="AA1114" s="156">
        <v>0</v>
      </c>
      <c r="AF1114" s="48">
        <v>0</v>
      </c>
      <c r="AG1114" s="49" t="s">
        <v>32</v>
      </c>
      <c r="AH1114" s="48">
        <v>1</v>
      </c>
      <c r="AI1114" s="48" t="s">
        <v>33</v>
      </c>
      <c r="AJ1114" s="48" t="s">
        <v>33</v>
      </c>
      <c r="AK1114" s="48" t="s">
        <v>33</v>
      </c>
      <c r="AL1114" s="48" t="s">
        <v>34</v>
      </c>
      <c r="AN1114" s="48">
        <v>0</v>
      </c>
      <c r="AO1114" s="48">
        <v>0</v>
      </c>
      <c r="AP1114" s="48">
        <v>0</v>
      </c>
      <c r="AQ1114" s="48">
        <v>0</v>
      </c>
      <c r="AR1114" s="48">
        <v>0</v>
      </c>
      <c r="AS1114" s="48">
        <v>0</v>
      </c>
      <c r="AT1114" s="48">
        <v>0</v>
      </c>
      <c r="AU1114" s="48">
        <v>0</v>
      </c>
      <c r="AV1114" s="48">
        <v>0</v>
      </c>
      <c r="AW1114" s="48">
        <v>0</v>
      </c>
      <c r="AX1114" s="48">
        <v>0</v>
      </c>
      <c r="AY1114" s="48">
        <v>0</v>
      </c>
      <c r="AZ1114" s="48">
        <v>0</v>
      </c>
      <c r="BA1114" s="48">
        <v>0</v>
      </c>
      <c r="BB1114" s="48">
        <v>0</v>
      </c>
    </row>
    <row r="1115" spans="1:54" x14ac:dyDescent="0.35">
      <c r="A1115" s="49">
        <v>45930</v>
      </c>
      <c r="B1115" s="48">
        <v>1</v>
      </c>
      <c r="C1115" s="50" t="s">
        <v>32</v>
      </c>
      <c r="D1115" s="48" t="s">
        <v>31</v>
      </c>
      <c r="E1115" s="48" t="s">
        <v>138</v>
      </c>
      <c r="F1115" s="48" t="s">
        <v>139</v>
      </c>
      <c r="G1115" s="49" t="s">
        <v>64</v>
      </c>
      <c r="H1115" s="48" t="s">
        <v>64</v>
      </c>
      <c r="I1115" s="48">
        <v>1</v>
      </c>
      <c r="J1115" s="48">
        <v>84</v>
      </c>
      <c r="K1115" s="48">
        <v>1</v>
      </c>
      <c r="N1115" s="48">
        <v>0</v>
      </c>
      <c r="R1115" s="49"/>
      <c r="S1115" s="181">
        <v>0</v>
      </c>
      <c r="T1115" s="49">
        <v>48487</v>
      </c>
      <c r="U1115" s="49">
        <v>48487</v>
      </c>
      <c r="V1115" s="49">
        <v>48487</v>
      </c>
      <c r="W1115" s="49">
        <v>48487</v>
      </c>
      <c r="X1115" s="48">
        <v>1</v>
      </c>
      <c r="Y1115" s="48">
        <v>1</v>
      </c>
      <c r="Z1115" s="48">
        <v>1</v>
      </c>
      <c r="AA1115" s="156">
        <v>0</v>
      </c>
      <c r="AF1115" s="48">
        <v>0</v>
      </c>
      <c r="AG1115" s="49" t="s">
        <v>32</v>
      </c>
      <c r="AH1115" s="48">
        <v>1</v>
      </c>
      <c r="AI1115" s="48" t="s">
        <v>33</v>
      </c>
      <c r="AJ1115" s="48" t="s">
        <v>33</v>
      </c>
      <c r="AK1115" s="48" t="s">
        <v>33</v>
      </c>
      <c r="AL1115" s="48" t="s">
        <v>34</v>
      </c>
      <c r="AN1115" s="48">
        <v>0</v>
      </c>
      <c r="AO1115" s="48">
        <v>0</v>
      </c>
      <c r="AP1115" s="48">
        <v>0</v>
      </c>
      <c r="AQ1115" s="48">
        <v>0</v>
      </c>
      <c r="AR1115" s="48">
        <v>0</v>
      </c>
      <c r="AS1115" s="48">
        <v>0</v>
      </c>
      <c r="AT1115" s="48">
        <v>0</v>
      </c>
      <c r="AU1115" s="48">
        <v>0</v>
      </c>
      <c r="AV1115" s="48">
        <v>0</v>
      </c>
      <c r="AW1115" s="48">
        <v>0</v>
      </c>
      <c r="AX1115" s="48">
        <v>0</v>
      </c>
      <c r="AY1115" s="48">
        <v>0</v>
      </c>
      <c r="AZ1115" s="48">
        <v>0</v>
      </c>
      <c r="BA1115" s="48">
        <v>0</v>
      </c>
      <c r="BB1115" s="48">
        <v>0</v>
      </c>
    </row>
    <row r="1116" spans="1:54" x14ac:dyDescent="0.35">
      <c r="A1116" s="49">
        <v>45930</v>
      </c>
      <c r="B1116" s="48">
        <v>1</v>
      </c>
      <c r="C1116" s="50" t="s">
        <v>32</v>
      </c>
      <c r="D1116" s="48" t="s">
        <v>31</v>
      </c>
      <c r="E1116" s="48" t="s">
        <v>138</v>
      </c>
      <c r="F1116" s="48" t="s">
        <v>139</v>
      </c>
      <c r="G1116" s="49" t="s">
        <v>64</v>
      </c>
      <c r="H1116" s="48" t="s">
        <v>64</v>
      </c>
      <c r="I1116" s="48">
        <v>1</v>
      </c>
      <c r="J1116" s="48">
        <v>85</v>
      </c>
      <c r="K1116" s="48">
        <v>1</v>
      </c>
      <c r="N1116" s="48">
        <v>0</v>
      </c>
      <c r="R1116" s="49"/>
      <c r="S1116" s="181">
        <v>0</v>
      </c>
      <c r="T1116" s="49">
        <v>48518</v>
      </c>
      <c r="U1116" s="49">
        <v>48518</v>
      </c>
      <c r="V1116" s="49">
        <v>48518</v>
      </c>
      <c r="W1116" s="49">
        <v>48518</v>
      </c>
      <c r="X1116" s="48">
        <v>1</v>
      </c>
      <c r="Y1116" s="48">
        <v>1</v>
      </c>
      <c r="Z1116" s="48">
        <v>1</v>
      </c>
      <c r="AA1116" s="156">
        <v>0</v>
      </c>
      <c r="AF1116" s="48">
        <v>0</v>
      </c>
      <c r="AG1116" s="49" t="s">
        <v>32</v>
      </c>
      <c r="AH1116" s="48">
        <v>1</v>
      </c>
      <c r="AI1116" s="48" t="s">
        <v>33</v>
      </c>
      <c r="AJ1116" s="48" t="s">
        <v>33</v>
      </c>
      <c r="AK1116" s="48" t="s">
        <v>33</v>
      </c>
      <c r="AL1116" s="48" t="s">
        <v>34</v>
      </c>
      <c r="AN1116" s="48">
        <v>0</v>
      </c>
      <c r="AO1116" s="48">
        <v>0</v>
      </c>
      <c r="AP1116" s="48">
        <v>0</v>
      </c>
      <c r="AQ1116" s="48">
        <v>0</v>
      </c>
      <c r="AR1116" s="48">
        <v>0</v>
      </c>
      <c r="AS1116" s="48">
        <v>0</v>
      </c>
      <c r="AT1116" s="48">
        <v>0</v>
      </c>
      <c r="AU1116" s="48">
        <v>0</v>
      </c>
      <c r="AV1116" s="48">
        <v>0</v>
      </c>
      <c r="AW1116" s="48">
        <v>0</v>
      </c>
      <c r="AX1116" s="48">
        <v>0</v>
      </c>
      <c r="AY1116" s="48">
        <v>0</v>
      </c>
      <c r="AZ1116" s="48">
        <v>0</v>
      </c>
      <c r="BA1116" s="48">
        <v>0</v>
      </c>
      <c r="BB1116" s="48">
        <v>0</v>
      </c>
    </row>
    <row r="1117" spans="1:54" x14ac:dyDescent="0.35">
      <c r="A1117" s="49">
        <v>45930</v>
      </c>
      <c r="B1117" s="48">
        <v>1</v>
      </c>
      <c r="C1117" s="50" t="s">
        <v>32</v>
      </c>
      <c r="D1117" s="48" t="s">
        <v>31</v>
      </c>
      <c r="E1117" s="48" t="s">
        <v>138</v>
      </c>
      <c r="F1117" s="48" t="s">
        <v>139</v>
      </c>
      <c r="G1117" s="49" t="s">
        <v>64</v>
      </c>
      <c r="H1117" s="48" t="s">
        <v>64</v>
      </c>
      <c r="I1117" s="48">
        <v>1</v>
      </c>
      <c r="J1117" s="48">
        <v>86</v>
      </c>
      <c r="K1117" s="48">
        <v>1</v>
      </c>
      <c r="N1117" s="48">
        <v>0</v>
      </c>
      <c r="R1117" s="49"/>
      <c r="S1117" s="181">
        <v>0</v>
      </c>
      <c r="T1117" s="49">
        <v>48548</v>
      </c>
      <c r="U1117" s="49">
        <v>48548</v>
      </c>
      <c r="V1117" s="49">
        <v>48548</v>
      </c>
      <c r="W1117" s="49">
        <v>48548</v>
      </c>
      <c r="X1117" s="48">
        <v>1</v>
      </c>
      <c r="Y1117" s="48">
        <v>1</v>
      </c>
      <c r="Z1117" s="48">
        <v>1</v>
      </c>
      <c r="AA1117" s="156">
        <v>0</v>
      </c>
      <c r="AF1117" s="48">
        <v>0</v>
      </c>
      <c r="AG1117" s="49" t="s">
        <v>32</v>
      </c>
      <c r="AH1117" s="48">
        <v>1</v>
      </c>
      <c r="AI1117" s="48" t="s">
        <v>33</v>
      </c>
      <c r="AJ1117" s="48" t="s">
        <v>33</v>
      </c>
      <c r="AK1117" s="48" t="s">
        <v>33</v>
      </c>
      <c r="AL1117" s="48" t="s">
        <v>34</v>
      </c>
      <c r="AN1117" s="48">
        <v>0</v>
      </c>
      <c r="AO1117" s="48">
        <v>0</v>
      </c>
      <c r="AP1117" s="48">
        <v>0</v>
      </c>
      <c r="AQ1117" s="48">
        <v>0</v>
      </c>
      <c r="AR1117" s="48">
        <v>0</v>
      </c>
      <c r="AS1117" s="48">
        <v>0</v>
      </c>
      <c r="AT1117" s="48">
        <v>0</v>
      </c>
      <c r="AU1117" s="48">
        <v>0</v>
      </c>
      <c r="AV1117" s="48">
        <v>0</v>
      </c>
      <c r="AW1117" s="48">
        <v>0</v>
      </c>
      <c r="AX1117" s="48">
        <v>0</v>
      </c>
      <c r="AY1117" s="48">
        <v>0</v>
      </c>
      <c r="AZ1117" s="48">
        <v>0</v>
      </c>
      <c r="BA1117" s="48">
        <v>0</v>
      </c>
      <c r="BB1117" s="48">
        <v>0</v>
      </c>
    </row>
    <row r="1118" spans="1:54" x14ac:dyDescent="0.35">
      <c r="A1118" s="49">
        <v>45930</v>
      </c>
      <c r="B1118" s="48">
        <v>1</v>
      </c>
      <c r="C1118" s="50" t="s">
        <v>32</v>
      </c>
      <c r="D1118" s="48" t="s">
        <v>31</v>
      </c>
      <c r="E1118" s="48" t="s">
        <v>138</v>
      </c>
      <c r="F1118" s="48" t="s">
        <v>139</v>
      </c>
      <c r="G1118" s="49" t="s">
        <v>64</v>
      </c>
      <c r="H1118" s="48" t="s">
        <v>64</v>
      </c>
      <c r="I1118" s="48">
        <v>1</v>
      </c>
      <c r="J1118" s="48">
        <v>87</v>
      </c>
      <c r="K1118" s="48">
        <v>1</v>
      </c>
      <c r="N1118" s="48">
        <v>0</v>
      </c>
      <c r="R1118" s="49"/>
      <c r="S1118" s="181">
        <v>0</v>
      </c>
      <c r="T1118" s="49">
        <v>48579</v>
      </c>
      <c r="U1118" s="49">
        <v>48579</v>
      </c>
      <c r="V1118" s="49">
        <v>48579</v>
      </c>
      <c r="W1118" s="49">
        <v>48579</v>
      </c>
      <c r="X1118" s="48">
        <v>1</v>
      </c>
      <c r="Y1118" s="48">
        <v>1</v>
      </c>
      <c r="Z1118" s="48">
        <v>1</v>
      </c>
      <c r="AA1118" s="156">
        <v>0</v>
      </c>
      <c r="AF1118" s="48">
        <v>0</v>
      </c>
      <c r="AG1118" s="49" t="s">
        <v>32</v>
      </c>
      <c r="AH1118" s="48">
        <v>1</v>
      </c>
      <c r="AI1118" s="48" t="s">
        <v>33</v>
      </c>
      <c r="AJ1118" s="48" t="s">
        <v>33</v>
      </c>
      <c r="AK1118" s="48" t="s">
        <v>33</v>
      </c>
      <c r="AL1118" s="48" t="s">
        <v>34</v>
      </c>
      <c r="AN1118" s="48">
        <v>0</v>
      </c>
      <c r="AO1118" s="48">
        <v>0</v>
      </c>
      <c r="AP1118" s="48">
        <v>0</v>
      </c>
      <c r="AQ1118" s="48">
        <v>0</v>
      </c>
      <c r="AR1118" s="48">
        <v>0</v>
      </c>
      <c r="AS1118" s="48">
        <v>0</v>
      </c>
      <c r="AT1118" s="48">
        <v>0</v>
      </c>
      <c r="AU1118" s="48">
        <v>0</v>
      </c>
      <c r="AV1118" s="48">
        <v>0</v>
      </c>
      <c r="AW1118" s="48">
        <v>0</v>
      </c>
      <c r="AX1118" s="48">
        <v>0</v>
      </c>
      <c r="AY1118" s="48">
        <v>0</v>
      </c>
      <c r="AZ1118" s="48">
        <v>0</v>
      </c>
      <c r="BA1118" s="48">
        <v>0</v>
      </c>
      <c r="BB1118" s="48">
        <v>0</v>
      </c>
    </row>
    <row r="1119" spans="1:54" x14ac:dyDescent="0.35">
      <c r="A1119" s="49">
        <v>45930</v>
      </c>
      <c r="B1119" s="48">
        <v>1</v>
      </c>
      <c r="C1119" s="50" t="s">
        <v>32</v>
      </c>
      <c r="D1119" s="48" t="s">
        <v>31</v>
      </c>
      <c r="E1119" s="48" t="s">
        <v>138</v>
      </c>
      <c r="F1119" s="48" t="s">
        <v>139</v>
      </c>
      <c r="G1119" s="49" t="s">
        <v>64</v>
      </c>
      <c r="H1119" s="48" t="s">
        <v>64</v>
      </c>
      <c r="I1119" s="48">
        <v>1</v>
      </c>
      <c r="J1119" s="48">
        <v>88</v>
      </c>
      <c r="K1119" s="48">
        <v>1</v>
      </c>
      <c r="N1119" s="48">
        <v>0</v>
      </c>
      <c r="R1119" s="49"/>
      <c r="S1119" s="181">
        <v>0</v>
      </c>
      <c r="T1119" s="49">
        <v>48610</v>
      </c>
      <c r="U1119" s="49">
        <v>48610</v>
      </c>
      <c r="V1119" s="49">
        <v>48610</v>
      </c>
      <c r="W1119" s="49">
        <v>48610</v>
      </c>
      <c r="X1119" s="48">
        <v>1</v>
      </c>
      <c r="Y1119" s="48">
        <v>1</v>
      </c>
      <c r="Z1119" s="48">
        <v>1</v>
      </c>
      <c r="AA1119" s="156">
        <v>0</v>
      </c>
      <c r="AF1119" s="48">
        <v>0</v>
      </c>
      <c r="AG1119" s="49" t="s">
        <v>32</v>
      </c>
      <c r="AH1119" s="48">
        <v>1</v>
      </c>
      <c r="AI1119" s="48" t="s">
        <v>33</v>
      </c>
      <c r="AJ1119" s="48" t="s">
        <v>33</v>
      </c>
      <c r="AK1119" s="48" t="s">
        <v>33</v>
      </c>
      <c r="AL1119" s="48" t="s">
        <v>34</v>
      </c>
      <c r="AN1119" s="48">
        <v>0</v>
      </c>
      <c r="AO1119" s="48">
        <v>0</v>
      </c>
      <c r="AP1119" s="48">
        <v>0</v>
      </c>
      <c r="AQ1119" s="48">
        <v>0</v>
      </c>
      <c r="AR1119" s="48">
        <v>0</v>
      </c>
      <c r="AS1119" s="48">
        <v>0</v>
      </c>
      <c r="AT1119" s="48">
        <v>0</v>
      </c>
      <c r="AU1119" s="48">
        <v>0</v>
      </c>
      <c r="AV1119" s="48">
        <v>0</v>
      </c>
      <c r="AW1119" s="48">
        <v>0</v>
      </c>
      <c r="AX1119" s="48">
        <v>0</v>
      </c>
      <c r="AY1119" s="48">
        <v>0</v>
      </c>
      <c r="AZ1119" s="48">
        <v>0</v>
      </c>
      <c r="BA1119" s="48">
        <v>0</v>
      </c>
      <c r="BB1119" s="48">
        <v>0</v>
      </c>
    </row>
    <row r="1120" spans="1:54" x14ac:dyDescent="0.35">
      <c r="A1120" s="49">
        <v>45930</v>
      </c>
      <c r="B1120" s="48">
        <v>1</v>
      </c>
      <c r="C1120" s="50" t="s">
        <v>32</v>
      </c>
      <c r="D1120" s="48" t="s">
        <v>31</v>
      </c>
      <c r="E1120" s="48" t="s">
        <v>138</v>
      </c>
      <c r="F1120" s="48" t="s">
        <v>139</v>
      </c>
      <c r="G1120" s="49" t="s">
        <v>64</v>
      </c>
      <c r="H1120" s="48" t="s">
        <v>64</v>
      </c>
      <c r="I1120" s="48">
        <v>1</v>
      </c>
      <c r="J1120" s="48">
        <v>89</v>
      </c>
      <c r="K1120" s="48">
        <v>1</v>
      </c>
      <c r="N1120" s="48">
        <v>0</v>
      </c>
      <c r="R1120" s="49"/>
      <c r="S1120" s="181">
        <v>0</v>
      </c>
      <c r="T1120" s="49">
        <v>48638</v>
      </c>
      <c r="U1120" s="49">
        <v>48638</v>
      </c>
      <c r="V1120" s="49">
        <v>48638</v>
      </c>
      <c r="W1120" s="49">
        <v>48638</v>
      </c>
      <c r="X1120" s="48">
        <v>1</v>
      </c>
      <c r="Y1120" s="48">
        <v>1</v>
      </c>
      <c r="Z1120" s="48">
        <v>1</v>
      </c>
      <c r="AA1120" s="156">
        <v>0</v>
      </c>
      <c r="AF1120" s="48">
        <v>0</v>
      </c>
      <c r="AG1120" s="49" t="s">
        <v>32</v>
      </c>
      <c r="AH1120" s="48">
        <v>1</v>
      </c>
      <c r="AI1120" s="48" t="s">
        <v>33</v>
      </c>
      <c r="AJ1120" s="48" t="s">
        <v>33</v>
      </c>
      <c r="AK1120" s="48" t="s">
        <v>33</v>
      </c>
      <c r="AL1120" s="48" t="s">
        <v>34</v>
      </c>
      <c r="AN1120" s="48">
        <v>0</v>
      </c>
      <c r="AO1120" s="48">
        <v>0</v>
      </c>
      <c r="AP1120" s="48">
        <v>0</v>
      </c>
      <c r="AQ1120" s="48">
        <v>0</v>
      </c>
      <c r="AR1120" s="48">
        <v>0</v>
      </c>
      <c r="AS1120" s="48">
        <v>0</v>
      </c>
      <c r="AT1120" s="48">
        <v>0</v>
      </c>
      <c r="AU1120" s="48">
        <v>0</v>
      </c>
      <c r="AV1120" s="48">
        <v>0</v>
      </c>
      <c r="AW1120" s="48">
        <v>0</v>
      </c>
      <c r="AX1120" s="48">
        <v>0</v>
      </c>
      <c r="AY1120" s="48">
        <v>0</v>
      </c>
      <c r="AZ1120" s="48">
        <v>0</v>
      </c>
      <c r="BA1120" s="48">
        <v>0</v>
      </c>
      <c r="BB1120" s="48">
        <v>0</v>
      </c>
    </row>
    <row r="1121" spans="1:54" x14ac:dyDescent="0.35">
      <c r="A1121" s="49">
        <v>45930</v>
      </c>
      <c r="B1121" s="48">
        <v>1</v>
      </c>
      <c r="C1121" s="50" t="s">
        <v>32</v>
      </c>
      <c r="D1121" s="48" t="s">
        <v>31</v>
      </c>
      <c r="E1121" s="48" t="s">
        <v>138</v>
      </c>
      <c r="F1121" s="48" t="s">
        <v>139</v>
      </c>
      <c r="G1121" s="49" t="s">
        <v>64</v>
      </c>
      <c r="H1121" s="48" t="s">
        <v>64</v>
      </c>
      <c r="I1121" s="48">
        <v>1</v>
      </c>
      <c r="J1121" s="48">
        <v>90</v>
      </c>
      <c r="K1121" s="48">
        <v>1</v>
      </c>
      <c r="N1121" s="48">
        <v>0</v>
      </c>
      <c r="R1121" s="49"/>
      <c r="S1121" s="181">
        <v>0</v>
      </c>
      <c r="T1121" s="49">
        <v>48669</v>
      </c>
      <c r="U1121" s="49">
        <v>48669</v>
      </c>
      <c r="V1121" s="49">
        <v>48669</v>
      </c>
      <c r="W1121" s="49">
        <v>48669</v>
      </c>
      <c r="X1121" s="48">
        <v>1</v>
      </c>
      <c r="Y1121" s="48">
        <v>1</v>
      </c>
      <c r="Z1121" s="48">
        <v>1</v>
      </c>
      <c r="AA1121" s="156">
        <v>0</v>
      </c>
      <c r="AF1121" s="48">
        <v>0</v>
      </c>
      <c r="AG1121" s="49" t="s">
        <v>32</v>
      </c>
      <c r="AH1121" s="48">
        <v>1</v>
      </c>
      <c r="AI1121" s="48" t="s">
        <v>33</v>
      </c>
      <c r="AJ1121" s="48" t="s">
        <v>33</v>
      </c>
      <c r="AK1121" s="48" t="s">
        <v>33</v>
      </c>
      <c r="AL1121" s="48" t="s">
        <v>34</v>
      </c>
      <c r="AN1121" s="48">
        <v>0</v>
      </c>
      <c r="AO1121" s="48">
        <v>0</v>
      </c>
      <c r="AP1121" s="48">
        <v>0</v>
      </c>
      <c r="AQ1121" s="48">
        <v>0</v>
      </c>
      <c r="AR1121" s="48">
        <v>0</v>
      </c>
      <c r="AS1121" s="48">
        <v>0</v>
      </c>
      <c r="AT1121" s="48">
        <v>0</v>
      </c>
      <c r="AU1121" s="48">
        <v>0</v>
      </c>
      <c r="AV1121" s="48">
        <v>0</v>
      </c>
      <c r="AW1121" s="48">
        <v>0</v>
      </c>
      <c r="AX1121" s="48">
        <v>0</v>
      </c>
      <c r="AY1121" s="48">
        <v>0</v>
      </c>
      <c r="AZ1121" s="48">
        <v>0</v>
      </c>
      <c r="BA1121" s="48">
        <v>0</v>
      </c>
      <c r="BB1121" s="48">
        <v>0</v>
      </c>
    </row>
    <row r="1122" spans="1:54" x14ac:dyDescent="0.35">
      <c r="A1122" s="49">
        <v>45930</v>
      </c>
      <c r="B1122" s="48">
        <v>1</v>
      </c>
      <c r="C1122" s="50" t="s">
        <v>32</v>
      </c>
      <c r="D1122" s="48" t="s">
        <v>31</v>
      </c>
      <c r="E1122" s="48" t="s">
        <v>138</v>
      </c>
      <c r="F1122" s="48" t="s">
        <v>139</v>
      </c>
      <c r="G1122" s="49" t="s">
        <v>64</v>
      </c>
      <c r="H1122" s="48" t="s">
        <v>64</v>
      </c>
      <c r="I1122" s="48">
        <v>1</v>
      </c>
      <c r="J1122" s="48">
        <v>91</v>
      </c>
      <c r="K1122" s="48">
        <v>1</v>
      </c>
      <c r="N1122" s="48">
        <v>0</v>
      </c>
      <c r="R1122" s="49"/>
      <c r="S1122" s="181">
        <v>0</v>
      </c>
      <c r="T1122" s="49">
        <v>48699</v>
      </c>
      <c r="U1122" s="49">
        <v>48699</v>
      </c>
      <c r="V1122" s="49">
        <v>48699</v>
      </c>
      <c r="W1122" s="49">
        <v>48699</v>
      </c>
      <c r="X1122" s="48">
        <v>1</v>
      </c>
      <c r="Y1122" s="48">
        <v>1</v>
      </c>
      <c r="Z1122" s="48">
        <v>1</v>
      </c>
      <c r="AA1122" s="156">
        <v>0</v>
      </c>
      <c r="AF1122" s="48">
        <v>0</v>
      </c>
      <c r="AG1122" s="49" t="s">
        <v>32</v>
      </c>
      <c r="AH1122" s="48">
        <v>1</v>
      </c>
      <c r="AI1122" s="48" t="s">
        <v>33</v>
      </c>
      <c r="AJ1122" s="48" t="s">
        <v>33</v>
      </c>
      <c r="AK1122" s="48" t="s">
        <v>33</v>
      </c>
      <c r="AL1122" s="48" t="s">
        <v>34</v>
      </c>
      <c r="AN1122" s="48">
        <v>0</v>
      </c>
      <c r="AO1122" s="48">
        <v>0</v>
      </c>
      <c r="AP1122" s="48">
        <v>0</v>
      </c>
      <c r="AQ1122" s="48">
        <v>0</v>
      </c>
      <c r="AR1122" s="48">
        <v>0</v>
      </c>
      <c r="AS1122" s="48">
        <v>0</v>
      </c>
      <c r="AT1122" s="48">
        <v>0</v>
      </c>
      <c r="AU1122" s="48">
        <v>0</v>
      </c>
      <c r="AV1122" s="48">
        <v>0</v>
      </c>
      <c r="AW1122" s="48">
        <v>0</v>
      </c>
      <c r="AX1122" s="48">
        <v>0</v>
      </c>
      <c r="AY1122" s="48">
        <v>0</v>
      </c>
      <c r="AZ1122" s="48">
        <v>0</v>
      </c>
      <c r="BA1122" s="48">
        <v>0</v>
      </c>
      <c r="BB1122" s="48">
        <v>0</v>
      </c>
    </row>
    <row r="1123" spans="1:54" x14ac:dyDescent="0.35">
      <c r="A1123" s="49">
        <v>45930</v>
      </c>
      <c r="B1123" s="48">
        <v>1</v>
      </c>
      <c r="C1123" s="50" t="s">
        <v>32</v>
      </c>
      <c r="D1123" s="48" t="s">
        <v>31</v>
      </c>
      <c r="E1123" s="48" t="s">
        <v>138</v>
      </c>
      <c r="F1123" s="48" t="s">
        <v>139</v>
      </c>
      <c r="G1123" s="49" t="s">
        <v>64</v>
      </c>
      <c r="H1123" s="48" t="s">
        <v>64</v>
      </c>
      <c r="I1123" s="48">
        <v>1</v>
      </c>
      <c r="J1123" s="48">
        <v>92</v>
      </c>
      <c r="K1123" s="48">
        <v>1</v>
      </c>
      <c r="N1123" s="48">
        <v>0</v>
      </c>
      <c r="R1123" s="49"/>
      <c r="S1123" s="181">
        <v>0</v>
      </c>
      <c r="T1123" s="49">
        <v>48730</v>
      </c>
      <c r="U1123" s="49">
        <v>48730</v>
      </c>
      <c r="V1123" s="49">
        <v>48730</v>
      </c>
      <c r="W1123" s="49">
        <v>48730</v>
      </c>
      <c r="X1123" s="48">
        <v>1</v>
      </c>
      <c r="Y1123" s="48">
        <v>1</v>
      </c>
      <c r="Z1123" s="48">
        <v>1</v>
      </c>
      <c r="AA1123" s="156">
        <v>0</v>
      </c>
      <c r="AF1123" s="48">
        <v>0</v>
      </c>
      <c r="AG1123" s="49" t="s">
        <v>32</v>
      </c>
      <c r="AH1123" s="48">
        <v>1</v>
      </c>
      <c r="AI1123" s="48" t="s">
        <v>33</v>
      </c>
      <c r="AJ1123" s="48" t="s">
        <v>33</v>
      </c>
      <c r="AK1123" s="48" t="s">
        <v>33</v>
      </c>
      <c r="AL1123" s="48" t="s">
        <v>34</v>
      </c>
      <c r="AN1123" s="48">
        <v>0</v>
      </c>
      <c r="AO1123" s="48">
        <v>0</v>
      </c>
      <c r="AP1123" s="48">
        <v>0</v>
      </c>
      <c r="AQ1123" s="48">
        <v>0</v>
      </c>
      <c r="AR1123" s="48">
        <v>0</v>
      </c>
      <c r="AS1123" s="48">
        <v>0</v>
      </c>
      <c r="AT1123" s="48">
        <v>0</v>
      </c>
      <c r="AU1123" s="48">
        <v>0</v>
      </c>
      <c r="AV1123" s="48">
        <v>0</v>
      </c>
      <c r="AW1123" s="48">
        <v>0</v>
      </c>
      <c r="AX1123" s="48">
        <v>0</v>
      </c>
      <c r="AY1123" s="48">
        <v>0</v>
      </c>
      <c r="AZ1123" s="48">
        <v>0</v>
      </c>
      <c r="BA1123" s="48">
        <v>0</v>
      </c>
      <c r="BB1123" s="48">
        <v>0</v>
      </c>
    </row>
    <row r="1124" spans="1:54" x14ac:dyDescent="0.35">
      <c r="A1124" s="49">
        <v>45930</v>
      </c>
      <c r="B1124" s="48">
        <v>1</v>
      </c>
      <c r="C1124" s="50" t="s">
        <v>32</v>
      </c>
      <c r="D1124" s="48" t="s">
        <v>31</v>
      </c>
      <c r="E1124" s="48" t="s">
        <v>138</v>
      </c>
      <c r="F1124" s="48" t="s">
        <v>139</v>
      </c>
      <c r="G1124" s="49" t="s">
        <v>64</v>
      </c>
      <c r="H1124" s="48" t="s">
        <v>64</v>
      </c>
      <c r="I1124" s="48">
        <v>1</v>
      </c>
      <c r="J1124" s="48">
        <v>93</v>
      </c>
      <c r="K1124" s="48">
        <v>1</v>
      </c>
      <c r="N1124" s="48">
        <v>0</v>
      </c>
      <c r="R1124" s="49"/>
      <c r="S1124" s="181">
        <v>0</v>
      </c>
      <c r="T1124" s="49">
        <v>48760</v>
      </c>
      <c r="U1124" s="49">
        <v>48760</v>
      </c>
      <c r="V1124" s="49">
        <v>48760</v>
      </c>
      <c r="W1124" s="49">
        <v>48760</v>
      </c>
      <c r="X1124" s="48">
        <v>1</v>
      </c>
      <c r="Y1124" s="48">
        <v>1</v>
      </c>
      <c r="Z1124" s="48">
        <v>1</v>
      </c>
      <c r="AA1124" s="156">
        <v>0</v>
      </c>
      <c r="AF1124" s="48">
        <v>0</v>
      </c>
      <c r="AG1124" s="49" t="s">
        <v>32</v>
      </c>
      <c r="AH1124" s="48">
        <v>1</v>
      </c>
      <c r="AI1124" s="48" t="s">
        <v>33</v>
      </c>
      <c r="AJ1124" s="48" t="s">
        <v>33</v>
      </c>
      <c r="AK1124" s="48" t="s">
        <v>33</v>
      </c>
      <c r="AL1124" s="48" t="s">
        <v>34</v>
      </c>
      <c r="AN1124" s="48">
        <v>0</v>
      </c>
      <c r="AO1124" s="48">
        <v>0</v>
      </c>
      <c r="AP1124" s="48">
        <v>0</v>
      </c>
      <c r="AQ1124" s="48">
        <v>0</v>
      </c>
      <c r="AR1124" s="48">
        <v>0</v>
      </c>
      <c r="AS1124" s="48">
        <v>0</v>
      </c>
      <c r="AT1124" s="48">
        <v>0</v>
      </c>
      <c r="AU1124" s="48">
        <v>0</v>
      </c>
      <c r="AV1124" s="48">
        <v>0</v>
      </c>
      <c r="AW1124" s="48">
        <v>0</v>
      </c>
      <c r="AX1124" s="48">
        <v>0</v>
      </c>
      <c r="AY1124" s="48">
        <v>0</v>
      </c>
      <c r="AZ1124" s="48">
        <v>0</v>
      </c>
      <c r="BA1124" s="48">
        <v>0</v>
      </c>
      <c r="BB1124" s="48">
        <v>0</v>
      </c>
    </row>
    <row r="1125" spans="1:54" x14ac:dyDescent="0.35">
      <c r="A1125" s="49">
        <v>45930</v>
      </c>
      <c r="B1125" s="48">
        <v>1</v>
      </c>
      <c r="C1125" s="50" t="s">
        <v>32</v>
      </c>
      <c r="D1125" s="48" t="s">
        <v>31</v>
      </c>
      <c r="E1125" s="48" t="s">
        <v>138</v>
      </c>
      <c r="F1125" s="48" t="s">
        <v>139</v>
      </c>
      <c r="G1125" s="49" t="s">
        <v>64</v>
      </c>
      <c r="H1125" s="48" t="s">
        <v>64</v>
      </c>
      <c r="I1125" s="48">
        <v>1</v>
      </c>
      <c r="J1125" s="48">
        <v>94</v>
      </c>
      <c r="K1125" s="48">
        <v>1</v>
      </c>
      <c r="N1125" s="48">
        <v>0</v>
      </c>
      <c r="R1125" s="49"/>
      <c r="S1125" s="181">
        <v>0</v>
      </c>
      <c r="T1125" s="49">
        <v>48791</v>
      </c>
      <c r="U1125" s="49">
        <v>48791</v>
      </c>
      <c r="V1125" s="49">
        <v>48791</v>
      </c>
      <c r="W1125" s="49">
        <v>48791</v>
      </c>
      <c r="X1125" s="48">
        <v>1</v>
      </c>
      <c r="Y1125" s="48">
        <v>1</v>
      </c>
      <c r="Z1125" s="48">
        <v>1</v>
      </c>
      <c r="AA1125" s="156">
        <v>0</v>
      </c>
      <c r="AF1125" s="48">
        <v>0</v>
      </c>
      <c r="AG1125" s="49" t="s">
        <v>32</v>
      </c>
      <c r="AH1125" s="48">
        <v>1</v>
      </c>
      <c r="AI1125" s="48" t="s">
        <v>33</v>
      </c>
      <c r="AJ1125" s="48" t="s">
        <v>33</v>
      </c>
      <c r="AK1125" s="48" t="s">
        <v>33</v>
      </c>
      <c r="AL1125" s="48" t="s">
        <v>34</v>
      </c>
      <c r="AN1125" s="48">
        <v>0</v>
      </c>
      <c r="AO1125" s="48">
        <v>0</v>
      </c>
      <c r="AP1125" s="48">
        <v>0</v>
      </c>
      <c r="AQ1125" s="48">
        <v>0</v>
      </c>
      <c r="AR1125" s="48">
        <v>0</v>
      </c>
      <c r="AS1125" s="48">
        <v>0</v>
      </c>
      <c r="AT1125" s="48">
        <v>0</v>
      </c>
      <c r="AU1125" s="48">
        <v>0</v>
      </c>
      <c r="AV1125" s="48">
        <v>0</v>
      </c>
      <c r="AW1125" s="48">
        <v>0</v>
      </c>
      <c r="AX1125" s="48">
        <v>0</v>
      </c>
      <c r="AY1125" s="48">
        <v>0</v>
      </c>
      <c r="AZ1125" s="48">
        <v>0</v>
      </c>
      <c r="BA1125" s="48">
        <v>0</v>
      </c>
      <c r="BB1125" s="48">
        <v>0</v>
      </c>
    </row>
    <row r="1126" spans="1:54" x14ac:dyDescent="0.35">
      <c r="A1126" s="49">
        <v>45930</v>
      </c>
      <c r="B1126" s="48">
        <v>1</v>
      </c>
      <c r="C1126" s="50" t="s">
        <v>32</v>
      </c>
      <c r="D1126" s="48" t="s">
        <v>31</v>
      </c>
      <c r="E1126" s="48" t="s">
        <v>138</v>
      </c>
      <c r="F1126" s="48" t="s">
        <v>139</v>
      </c>
      <c r="G1126" s="49" t="s">
        <v>64</v>
      </c>
      <c r="H1126" s="48" t="s">
        <v>64</v>
      </c>
      <c r="I1126" s="48">
        <v>1</v>
      </c>
      <c r="J1126" s="48">
        <v>95</v>
      </c>
      <c r="K1126" s="48">
        <v>1</v>
      </c>
      <c r="N1126" s="48">
        <v>0</v>
      </c>
      <c r="R1126" s="49"/>
      <c r="S1126" s="181">
        <v>0</v>
      </c>
      <c r="T1126" s="49">
        <v>48822</v>
      </c>
      <c r="U1126" s="49">
        <v>48822</v>
      </c>
      <c r="V1126" s="49">
        <v>48822</v>
      </c>
      <c r="W1126" s="49">
        <v>48822</v>
      </c>
      <c r="X1126" s="48">
        <v>1</v>
      </c>
      <c r="Y1126" s="48">
        <v>1</v>
      </c>
      <c r="Z1126" s="48">
        <v>1</v>
      </c>
      <c r="AA1126" s="156">
        <v>0</v>
      </c>
      <c r="AF1126" s="48">
        <v>0</v>
      </c>
      <c r="AG1126" s="49" t="s">
        <v>32</v>
      </c>
      <c r="AH1126" s="48">
        <v>1</v>
      </c>
      <c r="AI1126" s="48" t="s">
        <v>33</v>
      </c>
      <c r="AJ1126" s="48" t="s">
        <v>33</v>
      </c>
      <c r="AK1126" s="48" t="s">
        <v>33</v>
      </c>
      <c r="AL1126" s="48" t="s">
        <v>34</v>
      </c>
      <c r="AN1126" s="48">
        <v>0</v>
      </c>
      <c r="AO1126" s="48">
        <v>0</v>
      </c>
      <c r="AP1126" s="48">
        <v>0</v>
      </c>
      <c r="AQ1126" s="48">
        <v>0</v>
      </c>
      <c r="AR1126" s="48">
        <v>0</v>
      </c>
      <c r="AS1126" s="48">
        <v>0</v>
      </c>
      <c r="AT1126" s="48">
        <v>0</v>
      </c>
      <c r="AU1126" s="48">
        <v>0</v>
      </c>
      <c r="AV1126" s="48">
        <v>0</v>
      </c>
      <c r="AW1126" s="48">
        <v>0</v>
      </c>
      <c r="AX1126" s="48">
        <v>0</v>
      </c>
      <c r="AY1126" s="48">
        <v>0</v>
      </c>
      <c r="AZ1126" s="48">
        <v>0</v>
      </c>
      <c r="BA1126" s="48">
        <v>0</v>
      </c>
      <c r="BB1126" s="48">
        <v>0</v>
      </c>
    </row>
    <row r="1127" spans="1:54" x14ac:dyDescent="0.35">
      <c r="A1127" s="49">
        <v>45930</v>
      </c>
      <c r="B1127" s="48">
        <v>1</v>
      </c>
      <c r="C1127" s="50" t="s">
        <v>32</v>
      </c>
      <c r="D1127" s="48" t="s">
        <v>31</v>
      </c>
      <c r="E1127" s="48" t="s">
        <v>138</v>
      </c>
      <c r="F1127" s="48" t="s">
        <v>139</v>
      </c>
      <c r="G1127" s="49" t="s">
        <v>64</v>
      </c>
      <c r="H1127" s="48" t="s">
        <v>64</v>
      </c>
      <c r="I1127" s="48">
        <v>1</v>
      </c>
      <c r="J1127" s="48">
        <v>96</v>
      </c>
      <c r="K1127" s="48">
        <v>1</v>
      </c>
      <c r="N1127" s="48">
        <v>0</v>
      </c>
      <c r="R1127" s="49"/>
      <c r="S1127" s="181">
        <v>0</v>
      </c>
      <c r="T1127" s="49">
        <v>48852</v>
      </c>
      <c r="U1127" s="49">
        <v>48852</v>
      </c>
      <c r="V1127" s="49">
        <v>48852</v>
      </c>
      <c r="W1127" s="49">
        <v>48852</v>
      </c>
      <c r="X1127" s="48">
        <v>1</v>
      </c>
      <c r="Y1127" s="48">
        <v>1</v>
      </c>
      <c r="Z1127" s="48">
        <v>1</v>
      </c>
      <c r="AA1127" s="156">
        <v>0</v>
      </c>
      <c r="AF1127" s="48">
        <v>0</v>
      </c>
      <c r="AG1127" s="49" t="s">
        <v>32</v>
      </c>
      <c r="AH1127" s="48">
        <v>1</v>
      </c>
      <c r="AI1127" s="48" t="s">
        <v>33</v>
      </c>
      <c r="AJ1127" s="48" t="s">
        <v>33</v>
      </c>
      <c r="AK1127" s="48" t="s">
        <v>33</v>
      </c>
      <c r="AL1127" s="48" t="s">
        <v>34</v>
      </c>
      <c r="AN1127" s="48">
        <v>0</v>
      </c>
      <c r="AO1127" s="48">
        <v>0</v>
      </c>
      <c r="AP1127" s="48">
        <v>0</v>
      </c>
      <c r="AQ1127" s="48">
        <v>0</v>
      </c>
      <c r="AR1127" s="48">
        <v>0</v>
      </c>
      <c r="AS1127" s="48">
        <v>0</v>
      </c>
      <c r="AT1127" s="48">
        <v>0</v>
      </c>
      <c r="AU1127" s="48">
        <v>0</v>
      </c>
      <c r="AV1127" s="48">
        <v>0</v>
      </c>
      <c r="AW1127" s="48">
        <v>0</v>
      </c>
      <c r="AX1127" s="48">
        <v>0</v>
      </c>
      <c r="AY1127" s="48">
        <v>0</v>
      </c>
      <c r="AZ1127" s="48">
        <v>0</v>
      </c>
      <c r="BA1127" s="48">
        <v>0</v>
      </c>
      <c r="BB1127" s="48">
        <v>0</v>
      </c>
    </row>
    <row r="1128" spans="1:54" x14ac:dyDescent="0.35">
      <c r="A1128" s="49">
        <v>45930</v>
      </c>
      <c r="B1128" s="48">
        <v>1</v>
      </c>
      <c r="C1128" s="50" t="s">
        <v>32</v>
      </c>
      <c r="D1128" s="48" t="s">
        <v>31</v>
      </c>
      <c r="E1128" s="48" t="s">
        <v>138</v>
      </c>
      <c r="F1128" s="48" t="s">
        <v>139</v>
      </c>
      <c r="G1128" s="49" t="s">
        <v>64</v>
      </c>
      <c r="H1128" s="48" t="s">
        <v>64</v>
      </c>
      <c r="I1128" s="48">
        <v>1</v>
      </c>
      <c r="J1128" s="48">
        <v>97</v>
      </c>
      <c r="K1128" s="48">
        <v>1</v>
      </c>
      <c r="N1128" s="48">
        <v>0</v>
      </c>
      <c r="R1128" s="49"/>
      <c r="S1128" s="181">
        <v>0</v>
      </c>
      <c r="T1128" s="49">
        <v>48883</v>
      </c>
      <c r="U1128" s="49">
        <v>48883</v>
      </c>
      <c r="V1128" s="49">
        <v>48883</v>
      </c>
      <c r="W1128" s="49">
        <v>48883</v>
      </c>
      <c r="X1128" s="48">
        <v>1</v>
      </c>
      <c r="Y1128" s="48">
        <v>1</v>
      </c>
      <c r="Z1128" s="48">
        <v>1</v>
      </c>
      <c r="AA1128" s="156">
        <v>0</v>
      </c>
      <c r="AF1128" s="48">
        <v>0</v>
      </c>
      <c r="AG1128" s="49" t="s">
        <v>32</v>
      </c>
      <c r="AH1128" s="48">
        <v>1</v>
      </c>
      <c r="AI1128" s="48" t="s">
        <v>33</v>
      </c>
      <c r="AJ1128" s="48" t="s">
        <v>33</v>
      </c>
      <c r="AK1128" s="48" t="s">
        <v>33</v>
      </c>
      <c r="AL1128" s="48" t="s">
        <v>34</v>
      </c>
      <c r="AN1128" s="48">
        <v>0</v>
      </c>
      <c r="AO1128" s="48">
        <v>0</v>
      </c>
      <c r="AP1128" s="48">
        <v>0</v>
      </c>
      <c r="AQ1128" s="48">
        <v>0</v>
      </c>
      <c r="AR1128" s="48">
        <v>0</v>
      </c>
      <c r="AS1128" s="48">
        <v>0</v>
      </c>
      <c r="AT1128" s="48">
        <v>0</v>
      </c>
      <c r="AU1128" s="48">
        <v>0</v>
      </c>
      <c r="AV1128" s="48">
        <v>0</v>
      </c>
      <c r="AW1128" s="48">
        <v>0</v>
      </c>
      <c r="AX1128" s="48">
        <v>0</v>
      </c>
      <c r="AY1128" s="48">
        <v>0</v>
      </c>
      <c r="AZ1128" s="48">
        <v>0</v>
      </c>
      <c r="BA1128" s="48">
        <v>0</v>
      </c>
      <c r="BB1128" s="48">
        <v>0</v>
      </c>
    </row>
    <row r="1129" spans="1:54" x14ac:dyDescent="0.35">
      <c r="A1129" s="49">
        <v>45930</v>
      </c>
      <c r="B1129" s="48">
        <v>1</v>
      </c>
      <c r="C1129" s="50" t="s">
        <v>32</v>
      </c>
      <c r="D1129" s="48" t="s">
        <v>31</v>
      </c>
      <c r="E1129" s="48" t="s">
        <v>138</v>
      </c>
      <c r="F1129" s="48" t="s">
        <v>139</v>
      </c>
      <c r="G1129" s="49" t="s">
        <v>64</v>
      </c>
      <c r="H1129" s="48" t="s">
        <v>64</v>
      </c>
      <c r="I1129" s="48">
        <v>1</v>
      </c>
      <c r="J1129" s="48">
        <v>98</v>
      </c>
      <c r="K1129" s="48">
        <v>1</v>
      </c>
      <c r="N1129" s="48">
        <v>0</v>
      </c>
      <c r="R1129" s="49"/>
      <c r="S1129" s="181">
        <v>0</v>
      </c>
      <c r="T1129" s="49">
        <v>48913</v>
      </c>
      <c r="U1129" s="49">
        <v>48913</v>
      </c>
      <c r="V1129" s="49">
        <v>48913</v>
      </c>
      <c r="W1129" s="49">
        <v>48913</v>
      </c>
      <c r="X1129" s="48">
        <v>1</v>
      </c>
      <c r="Y1129" s="48">
        <v>1</v>
      </c>
      <c r="Z1129" s="48">
        <v>1</v>
      </c>
      <c r="AA1129" s="156">
        <v>0</v>
      </c>
      <c r="AF1129" s="48">
        <v>0</v>
      </c>
      <c r="AG1129" s="49" t="s">
        <v>32</v>
      </c>
      <c r="AH1129" s="48">
        <v>1</v>
      </c>
      <c r="AI1129" s="48" t="s">
        <v>33</v>
      </c>
      <c r="AJ1129" s="48" t="s">
        <v>33</v>
      </c>
      <c r="AK1129" s="48" t="s">
        <v>33</v>
      </c>
      <c r="AL1129" s="48" t="s">
        <v>34</v>
      </c>
      <c r="AN1129" s="48">
        <v>0</v>
      </c>
      <c r="AO1129" s="48">
        <v>0</v>
      </c>
      <c r="AP1129" s="48">
        <v>0</v>
      </c>
      <c r="AQ1129" s="48">
        <v>0</v>
      </c>
      <c r="AR1129" s="48">
        <v>0</v>
      </c>
      <c r="AS1129" s="48">
        <v>0</v>
      </c>
      <c r="AT1129" s="48">
        <v>0</v>
      </c>
      <c r="AU1129" s="48">
        <v>0</v>
      </c>
      <c r="AV1129" s="48">
        <v>0</v>
      </c>
      <c r="AW1129" s="48">
        <v>0</v>
      </c>
      <c r="AX1129" s="48">
        <v>0</v>
      </c>
      <c r="AY1129" s="48">
        <v>0</v>
      </c>
      <c r="AZ1129" s="48">
        <v>0</v>
      </c>
      <c r="BA1129" s="48">
        <v>0</v>
      </c>
      <c r="BB1129" s="48">
        <v>0</v>
      </c>
    </row>
    <row r="1130" spans="1:54" x14ac:dyDescent="0.35">
      <c r="A1130" s="49">
        <v>45930</v>
      </c>
      <c r="B1130" s="48">
        <v>1</v>
      </c>
      <c r="C1130" s="50" t="s">
        <v>32</v>
      </c>
      <c r="D1130" s="48" t="s">
        <v>31</v>
      </c>
      <c r="E1130" s="48" t="s">
        <v>138</v>
      </c>
      <c r="F1130" s="48" t="s">
        <v>139</v>
      </c>
      <c r="G1130" s="49" t="s">
        <v>64</v>
      </c>
      <c r="H1130" s="48" t="s">
        <v>64</v>
      </c>
      <c r="I1130" s="48">
        <v>1</v>
      </c>
      <c r="J1130" s="48">
        <v>99</v>
      </c>
      <c r="K1130" s="48">
        <v>1</v>
      </c>
      <c r="N1130" s="48">
        <v>0</v>
      </c>
      <c r="R1130" s="49"/>
      <c r="S1130" s="181">
        <v>0</v>
      </c>
      <c r="T1130" s="49">
        <v>48944</v>
      </c>
      <c r="U1130" s="49">
        <v>48944</v>
      </c>
      <c r="V1130" s="49">
        <v>48944</v>
      </c>
      <c r="W1130" s="49">
        <v>48944</v>
      </c>
      <c r="X1130" s="48">
        <v>1</v>
      </c>
      <c r="Y1130" s="48">
        <v>1</v>
      </c>
      <c r="Z1130" s="48">
        <v>1</v>
      </c>
      <c r="AA1130" s="156">
        <v>0</v>
      </c>
      <c r="AF1130" s="48">
        <v>0</v>
      </c>
      <c r="AG1130" s="49" t="s">
        <v>32</v>
      </c>
      <c r="AH1130" s="48">
        <v>1</v>
      </c>
      <c r="AI1130" s="48" t="s">
        <v>33</v>
      </c>
      <c r="AJ1130" s="48" t="s">
        <v>33</v>
      </c>
      <c r="AK1130" s="48" t="s">
        <v>33</v>
      </c>
      <c r="AL1130" s="48" t="s">
        <v>34</v>
      </c>
      <c r="AN1130" s="48">
        <v>0</v>
      </c>
      <c r="AO1130" s="48">
        <v>0</v>
      </c>
      <c r="AP1130" s="48">
        <v>0</v>
      </c>
      <c r="AQ1130" s="48">
        <v>0</v>
      </c>
      <c r="AR1130" s="48">
        <v>0</v>
      </c>
      <c r="AS1130" s="48">
        <v>0</v>
      </c>
      <c r="AT1130" s="48">
        <v>0</v>
      </c>
      <c r="AU1130" s="48">
        <v>0</v>
      </c>
      <c r="AV1130" s="48">
        <v>0</v>
      </c>
      <c r="AW1130" s="48">
        <v>0</v>
      </c>
      <c r="AX1130" s="48">
        <v>0</v>
      </c>
      <c r="AY1130" s="48">
        <v>0</v>
      </c>
      <c r="AZ1130" s="48">
        <v>0</v>
      </c>
      <c r="BA1130" s="48">
        <v>0</v>
      </c>
      <c r="BB1130" s="48">
        <v>0</v>
      </c>
    </row>
    <row r="1131" spans="1:54" x14ac:dyDescent="0.35">
      <c r="A1131" s="49">
        <v>45930</v>
      </c>
      <c r="B1131" s="48">
        <v>1</v>
      </c>
      <c r="C1131" s="50" t="s">
        <v>32</v>
      </c>
      <c r="D1131" s="48" t="s">
        <v>31</v>
      </c>
      <c r="E1131" s="48" t="s">
        <v>138</v>
      </c>
      <c r="F1131" s="48" t="s">
        <v>139</v>
      </c>
      <c r="G1131" s="49" t="s">
        <v>64</v>
      </c>
      <c r="H1131" s="48" t="s">
        <v>64</v>
      </c>
      <c r="I1131" s="48">
        <v>1</v>
      </c>
      <c r="J1131" s="48">
        <v>100</v>
      </c>
      <c r="K1131" s="48">
        <v>1</v>
      </c>
      <c r="N1131" s="48">
        <v>0</v>
      </c>
      <c r="R1131" s="49"/>
      <c r="S1131" s="181">
        <v>0</v>
      </c>
      <c r="T1131" s="49">
        <v>48975</v>
      </c>
      <c r="U1131" s="49">
        <v>48975</v>
      </c>
      <c r="V1131" s="49">
        <v>48975</v>
      </c>
      <c r="W1131" s="49">
        <v>48975</v>
      </c>
      <c r="X1131" s="48">
        <v>1</v>
      </c>
      <c r="Y1131" s="48">
        <v>1</v>
      </c>
      <c r="Z1131" s="48">
        <v>1</v>
      </c>
      <c r="AA1131" s="156">
        <v>0</v>
      </c>
      <c r="AF1131" s="48">
        <v>0</v>
      </c>
      <c r="AG1131" s="49" t="s">
        <v>32</v>
      </c>
      <c r="AH1131" s="48">
        <v>1</v>
      </c>
      <c r="AI1131" s="48" t="s">
        <v>33</v>
      </c>
      <c r="AJ1131" s="48" t="s">
        <v>33</v>
      </c>
      <c r="AK1131" s="48" t="s">
        <v>33</v>
      </c>
      <c r="AL1131" s="48" t="s">
        <v>34</v>
      </c>
      <c r="AN1131" s="48">
        <v>0</v>
      </c>
      <c r="AO1131" s="48">
        <v>0</v>
      </c>
      <c r="AP1131" s="48">
        <v>0</v>
      </c>
      <c r="AQ1131" s="48">
        <v>0</v>
      </c>
      <c r="AR1131" s="48">
        <v>0</v>
      </c>
      <c r="AS1131" s="48">
        <v>0</v>
      </c>
      <c r="AT1131" s="48">
        <v>0</v>
      </c>
      <c r="AU1131" s="48">
        <v>0</v>
      </c>
      <c r="AV1131" s="48">
        <v>0</v>
      </c>
      <c r="AW1131" s="48">
        <v>0</v>
      </c>
      <c r="AX1131" s="48">
        <v>0</v>
      </c>
      <c r="AY1131" s="48">
        <v>0</v>
      </c>
      <c r="AZ1131" s="48">
        <v>0</v>
      </c>
      <c r="BA1131" s="48">
        <v>0</v>
      </c>
      <c r="BB1131" s="48">
        <v>0</v>
      </c>
    </row>
    <row r="1132" spans="1:54" x14ac:dyDescent="0.35">
      <c r="A1132" s="49">
        <v>45930</v>
      </c>
      <c r="B1132" s="48">
        <v>1</v>
      </c>
      <c r="C1132" s="50" t="s">
        <v>32</v>
      </c>
      <c r="D1132" s="48" t="s">
        <v>31</v>
      </c>
      <c r="E1132" s="48" t="s">
        <v>138</v>
      </c>
      <c r="F1132" s="48" t="s">
        <v>139</v>
      </c>
      <c r="G1132" s="49" t="s">
        <v>64</v>
      </c>
      <c r="H1132" s="48" t="s">
        <v>64</v>
      </c>
      <c r="I1132" s="48">
        <v>1</v>
      </c>
      <c r="J1132" s="48">
        <v>101</v>
      </c>
      <c r="K1132" s="48">
        <v>1</v>
      </c>
      <c r="N1132" s="48">
        <v>0</v>
      </c>
      <c r="R1132" s="49"/>
      <c r="S1132" s="181">
        <v>0</v>
      </c>
      <c r="T1132" s="49">
        <v>49003</v>
      </c>
      <c r="U1132" s="49">
        <v>49003</v>
      </c>
      <c r="V1132" s="49">
        <v>49003</v>
      </c>
      <c r="W1132" s="49">
        <v>49003</v>
      </c>
      <c r="X1132" s="48">
        <v>1</v>
      </c>
      <c r="Y1132" s="48">
        <v>1</v>
      </c>
      <c r="Z1132" s="48">
        <v>1</v>
      </c>
      <c r="AA1132" s="156">
        <v>0</v>
      </c>
      <c r="AF1132" s="48">
        <v>0</v>
      </c>
      <c r="AG1132" s="49" t="s">
        <v>32</v>
      </c>
      <c r="AH1132" s="48">
        <v>1</v>
      </c>
      <c r="AI1132" s="48" t="s">
        <v>33</v>
      </c>
      <c r="AJ1132" s="48" t="s">
        <v>33</v>
      </c>
      <c r="AK1132" s="48" t="s">
        <v>33</v>
      </c>
      <c r="AL1132" s="48" t="s">
        <v>34</v>
      </c>
      <c r="AN1132" s="48">
        <v>0</v>
      </c>
      <c r="AO1132" s="48">
        <v>0</v>
      </c>
      <c r="AP1132" s="48">
        <v>0</v>
      </c>
      <c r="AQ1132" s="48">
        <v>0</v>
      </c>
      <c r="AR1132" s="48">
        <v>0</v>
      </c>
      <c r="AS1132" s="48">
        <v>0</v>
      </c>
      <c r="AT1132" s="48">
        <v>0</v>
      </c>
      <c r="AU1132" s="48">
        <v>0</v>
      </c>
      <c r="AV1132" s="48">
        <v>0</v>
      </c>
      <c r="AW1132" s="48">
        <v>0</v>
      </c>
      <c r="AX1132" s="48">
        <v>0</v>
      </c>
      <c r="AY1132" s="48">
        <v>0</v>
      </c>
      <c r="AZ1132" s="48">
        <v>0</v>
      </c>
      <c r="BA1132" s="48">
        <v>0</v>
      </c>
      <c r="BB1132" s="48">
        <v>0</v>
      </c>
    </row>
    <row r="1133" spans="1:54" x14ac:dyDescent="0.35">
      <c r="A1133" s="49">
        <v>45930</v>
      </c>
      <c r="B1133" s="48">
        <v>1</v>
      </c>
      <c r="C1133" s="50" t="s">
        <v>32</v>
      </c>
      <c r="D1133" s="48" t="s">
        <v>31</v>
      </c>
      <c r="E1133" s="48" t="s">
        <v>138</v>
      </c>
      <c r="F1133" s="48" t="s">
        <v>139</v>
      </c>
      <c r="G1133" s="49" t="s">
        <v>64</v>
      </c>
      <c r="H1133" s="48" t="s">
        <v>64</v>
      </c>
      <c r="I1133" s="48">
        <v>1</v>
      </c>
      <c r="J1133" s="48">
        <v>102</v>
      </c>
      <c r="K1133" s="48">
        <v>1</v>
      </c>
      <c r="N1133" s="48">
        <v>0</v>
      </c>
      <c r="R1133" s="49"/>
      <c r="S1133" s="181">
        <v>0</v>
      </c>
      <c r="T1133" s="49">
        <v>49034</v>
      </c>
      <c r="U1133" s="49">
        <v>49034</v>
      </c>
      <c r="V1133" s="49">
        <v>49034</v>
      </c>
      <c r="W1133" s="49">
        <v>49034</v>
      </c>
      <c r="X1133" s="48">
        <v>1</v>
      </c>
      <c r="Y1133" s="48">
        <v>1</v>
      </c>
      <c r="Z1133" s="48">
        <v>1</v>
      </c>
      <c r="AA1133" s="156">
        <v>0</v>
      </c>
      <c r="AF1133" s="48">
        <v>0</v>
      </c>
      <c r="AG1133" s="49" t="s">
        <v>32</v>
      </c>
      <c r="AH1133" s="48">
        <v>1</v>
      </c>
      <c r="AI1133" s="48" t="s">
        <v>33</v>
      </c>
      <c r="AJ1133" s="48" t="s">
        <v>33</v>
      </c>
      <c r="AK1133" s="48" t="s">
        <v>33</v>
      </c>
      <c r="AL1133" s="48" t="s">
        <v>34</v>
      </c>
      <c r="AN1133" s="48">
        <v>0</v>
      </c>
      <c r="AO1133" s="48">
        <v>0</v>
      </c>
      <c r="AP1133" s="48">
        <v>0</v>
      </c>
      <c r="AQ1133" s="48">
        <v>0</v>
      </c>
      <c r="AR1133" s="48">
        <v>0</v>
      </c>
      <c r="AS1133" s="48">
        <v>0</v>
      </c>
      <c r="AT1133" s="48">
        <v>0</v>
      </c>
      <c r="AU1133" s="48">
        <v>0</v>
      </c>
      <c r="AV1133" s="48">
        <v>0</v>
      </c>
      <c r="AW1133" s="48">
        <v>0</v>
      </c>
      <c r="AX1133" s="48">
        <v>0</v>
      </c>
      <c r="AY1133" s="48">
        <v>0</v>
      </c>
      <c r="AZ1133" s="48">
        <v>0</v>
      </c>
      <c r="BA1133" s="48">
        <v>0</v>
      </c>
      <c r="BB1133" s="48">
        <v>0</v>
      </c>
    </row>
    <row r="1134" spans="1:54" x14ac:dyDescent="0.35">
      <c r="A1134" s="49">
        <v>45930</v>
      </c>
      <c r="B1134" s="48">
        <v>1</v>
      </c>
      <c r="C1134" s="50" t="s">
        <v>32</v>
      </c>
      <c r="D1134" s="48" t="s">
        <v>31</v>
      </c>
      <c r="E1134" s="48" t="s">
        <v>138</v>
      </c>
      <c r="F1134" s="48" t="s">
        <v>139</v>
      </c>
      <c r="G1134" s="49" t="s">
        <v>64</v>
      </c>
      <c r="H1134" s="48" t="s">
        <v>64</v>
      </c>
      <c r="I1134" s="48">
        <v>1</v>
      </c>
      <c r="J1134" s="48">
        <v>103</v>
      </c>
      <c r="K1134" s="48">
        <v>1</v>
      </c>
      <c r="N1134" s="48">
        <v>0</v>
      </c>
      <c r="R1134" s="49"/>
      <c r="S1134" s="181">
        <v>0</v>
      </c>
      <c r="T1134" s="49">
        <v>49064</v>
      </c>
      <c r="U1134" s="49">
        <v>49064</v>
      </c>
      <c r="V1134" s="49">
        <v>49064</v>
      </c>
      <c r="W1134" s="49">
        <v>49064</v>
      </c>
      <c r="X1134" s="48">
        <v>1</v>
      </c>
      <c r="Y1134" s="48">
        <v>1</v>
      </c>
      <c r="Z1134" s="48">
        <v>1</v>
      </c>
      <c r="AA1134" s="156">
        <v>0</v>
      </c>
      <c r="AF1134" s="48">
        <v>0</v>
      </c>
      <c r="AG1134" s="49" t="s">
        <v>32</v>
      </c>
      <c r="AH1134" s="48">
        <v>1</v>
      </c>
      <c r="AI1134" s="48" t="s">
        <v>33</v>
      </c>
      <c r="AJ1134" s="48" t="s">
        <v>33</v>
      </c>
      <c r="AK1134" s="48" t="s">
        <v>33</v>
      </c>
      <c r="AL1134" s="48" t="s">
        <v>34</v>
      </c>
      <c r="AN1134" s="48">
        <v>0</v>
      </c>
      <c r="AO1134" s="48">
        <v>0</v>
      </c>
      <c r="AP1134" s="48">
        <v>0</v>
      </c>
      <c r="AQ1134" s="48">
        <v>0</v>
      </c>
      <c r="AR1134" s="48">
        <v>0</v>
      </c>
      <c r="AS1134" s="48">
        <v>0</v>
      </c>
      <c r="AT1134" s="48">
        <v>0</v>
      </c>
      <c r="AU1134" s="48">
        <v>0</v>
      </c>
      <c r="AV1134" s="48">
        <v>0</v>
      </c>
      <c r="AW1134" s="48">
        <v>0</v>
      </c>
      <c r="AX1134" s="48">
        <v>0</v>
      </c>
      <c r="AY1134" s="48">
        <v>0</v>
      </c>
      <c r="AZ1134" s="48">
        <v>0</v>
      </c>
      <c r="BA1134" s="48">
        <v>0</v>
      </c>
      <c r="BB1134" s="48">
        <v>0</v>
      </c>
    </row>
    <row r="1135" spans="1:54" x14ac:dyDescent="0.35">
      <c r="A1135" s="49">
        <v>45930</v>
      </c>
      <c r="B1135" s="48">
        <v>1</v>
      </c>
      <c r="C1135" s="50" t="s">
        <v>32</v>
      </c>
      <c r="D1135" s="48" t="s">
        <v>31</v>
      </c>
      <c r="E1135" s="48" t="s">
        <v>138</v>
      </c>
      <c r="F1135" s="48" t="s">
        <v>139</v>
      </c>
      <c r="G1135" s="49" t="s">
        <v>64</v>
      </c>
      <c r="H1135" s="48" t="s">
        <v>64</v>
      </c>
      <c r="I1135" s="48">
        <v>1</v>
      </c>
      <c r="J1135" s="48">
        <v>104</v>
      </c>
      <c r="K1135" s="48">
        <v>1</v>
      </c>
      <c r="N1135" s="48">
        <v>0</v>
      </c>
      <c r="R1135" s="49"/>
      <c r="S1135" s="181">
        <v>0</v>
      </c>
      <c r="T1135" s="49">
        <v>49095</v>
      </c>
      <c r="U1135" s="49">
        <v>49095</v>
      </c>
      <c r="V1135" s="49">
        <v>49095</v>
      </c>
      <c r="W1135" s="49">
        <v>49095</v>
      </c>
      <c r="X1135" s="48">
        <v>1</v>
      </c>
      <c r="Y1135" s="48">
        <v>1</v>
      </c>
      <c r="Z1135" s="48">
        <v>1</v>
      </c>
      <c r="AA1135" s="156">
        <v>0</v>
      </c>
      <c r="AF1135" s="48">
        <v>0</v>
      </c>
      <c r="AG1135" s="49" t="s">
        <v>32</v>
      </c>
      <c r="AH1135" s="48">
        <v>1</v>
      </c>
      <c r="AI1135" s="48" t="s">
        <v>33</v>
      </c>
      <c r="AJ1135" s="48" t="s">
        <v>33</v>
      </c>
      <c r="AK1135" s="48" t="s">
        <v>33</v>
      </c>
      <c r="AL1135" s="48" t="s">
        <v>34</v>
      </c>
      <c r="AN1135" s="48">
        <v>0</v>
      </c>
      <c r="AO1135" s="48">
        <v>0</v>
      </c>
      <c r="AP1135" s="48">
        <v>0</v>
      </c>
      <c r="AQ1135" s="48">
        <v>0</v>
      </c>
      <c r="AR1135" s="48">
        <v>0</v>
      </c>
      <c r="AS1135" s="48">
        <v>0</v>
      </c>
      <c r="AT1135" s="48">
        <v>0</v>
      </c>
      <c r="AU1135" s="48">
        <v>0</v>
      </c>
      <c r="AV1135" s="48">
        <v>0</v>
      </c>
      <c r="AW1135" s="48">
        <v>0</v>
      </c>
      <c r="AX1135" s="48">
        <v>0</v>
      </c>
      <c r="AY1135" s="48">
        <v>0</v>
      </c>
      <c r="AZ1135" s="48">
        <v>0</v>
      </c>
      <c r="BA1135" s="48">
        <v>0</v>
      </c>
      <c r="BB1135" s="48">
        <v>0</v>
      </c>
    </row>
    <row r="1136" spans="1:54" x14ac:dyDescent="0.35">
      <c r="A1136" s="49">
        <v>45930</v>
      </c>
      <c r="B1136" s="48">
        <v>1</v>
      </c>
      <c r="C1136" s="50" t="s">
        <v>32</v>
      </c>
      <c r="D1136" s="48" t="s">
        <v>31</v>
      </c>
      <c r="E1136" s="48" t="s">
        <v>138</v>
      </c>
      <c r="F1136" s="48" t="s">
        <v>139</v>
      </c>
      <c r="G1136" s="49" t="s">
        <v>64</v>
      </c>
      <c r="H1136" s="48" t="s">
        <v>64</v>
      </c>
      <c r="I1136" s="48">
        <v>1</v>
      </c>
      <c r="J1136" s="48">
        <v>105</v>
      </c>
      <c r="K1136" s="48">
        <v>1</v>
      </c>
      <c r="N1136" s="48">
        <v>0</v>
      </c>
      <c r="R1136" s="49"/>
      <c r="S1136" s="181">
        <v>0</v>
      </c>
      <c r="T1136" s="49">
        <v>49125</v>
      </c>
      <c r="U1136" s="49">
        <v>49125</v>
      </c>
      <c r="V1136" s="49">
        <v>49125</v>
      </c>
      <c r="W1136" s="49">
        <v>49125</v>
      </c>
      <c r="X1136" s="48">
        <v>1</v>
      </c>
      <c r="Y1136" s="48">
        <v>1</v>
      </c>
      <c r="Z1136" s="48">
        <v>1</v>
      </c>
      <c r="AA1136" s="156">
        <v>0</v>
      </c>
      <c r="AF1136" s="48">
        <v>0</v>
      </c>
      <c r="AG1136" s="49" t="s">
        <v>32</v>
      </c>
      <c r="AH1136" s="48">
        <v>1</v>
      </c>
      <c r="AI1136" s="48" t="s">
        <v>33</v>
      </c>
      <c r="AJ1136" s="48" t="s">
        <v>33</v>
      </c>
      <c r="AK1136" s="48" t="s">
        <v>33</v>
      </c>
      <c r="AL1136" s="48" t="s">
        <v>34</v>
      </c>
      <c r="AN1136" s="48">
        <v>0</v>
      </c>
      <c r="AO1136" s="48">
        <v>0</v>
      </c>
      <c r="AP1136" s="48">
        <v>0</v>
      </c>
      <c r="AQ1136" s="48">
        <v>0</v>
      </c>
      <c r="AR1136" s="48">
        <v>0</v>
      </c>
      <c r="AS1136" s="48">
        <v>0</v>
      </c>
      <c r="AT1136" s="48">
        <v>0</v>
      </c>
      <c r="AU1136" s="48">
        <v>0</v>
      </c>
      <c r="AV1136" s="48">
        <v>0</v>
      </c>
      <c r="AW1136" s="48">
        <v>0</v>
      </c>
      <c r="AX1136" s="48">
        <v>0</v>
      </c>
      <c r="AY1136" s="48">
        <v>0</v>
      </c>
      <c r="AZ1136" s="48">
        <v>0</v>
      </c>
      <c r="BA1136" s="48">
        <v>0</v>
      </c>
      <c r="BB1136" s="48">
        <v>0</v>
      </c>
    </row>
    <row r="1137" spans="1:54" x14ac:dyDescent="0.35">
      <c r="A1137" s="49">
        <v>45930</v>
      </c>
      <c r="B1137" s="48">
        <v>1</v>
      </c>
      <c r="C1137" s="50" t="s">
        <v>32</v>
      </c>
      <c r="D1137" s="48" t="s">
        <v>31</v>
      </c>
      <c r="E1137" s="48" t="s">
        <v>138</v>
      </c>
      <c r="F1137" s="48" t="s">
        <v>139</v>
      </c>
      <c r="G1137" s="49" t="s">
        <v>64</v>
      </c>
      <c r="H1137" s="48" t="s">
        <v>64</v>
      </c>
      <c r="I1137" s="48">
        <v>1</v>
      </c>
      <c r="J1137" s="48">
        <v>106</v>
      </c>
      <c r="K1137" s="48">
        <v>1</v>
      </c>
      <c r="N1137" s="48">
        <v>0</v>
      </c>
      <c r="R1137" s="49"/>
      <c r="S1137" s="181">
        <v>0</v>
      </c>
      <c r="T1137" s="49">
        <v>49156</v>
      </c>
      <c r="U1137" s="49">
        <v>49156</v>
      </c>
      <c r="V1137" s="49">
        <v>49156</v>
      </c>
      <c r="W1137" s="49">
        <v>49156</v>
      </c>
      <c r="X1137" s="48">
        <v>1</v>
      </c>
      <c r="Y1137" s="48">
        <v>1</v>
      </c>
      <c r="Z1137" s="48">
        <v>1</v>
      </c>
      <c r="AA1137" s="156">
        <v>0</v>
      </c>
      <c r="AF1137" s="48">
        <v>0</v>
      </c>
      <c r="AG1137" s="49" t="s">
        <v>32</v>
      </c>
      <c r="AH1137" s="48">
        <v>1</v>
      </c>
      <c r="AI1137" s="48" t="s">
        <v>33</v>
      </c>
      <c r="AJ1137" s="48" t="s">
        <v>33</v>
      </c>
      <c r="AK1137" s="48" t="s">
        <v>33</v>
      </c>
      <c r="AL1137" s="48" t="s">
        <v>34</v>
      </c>
      <c r="AN1137" s="48">
        <v>0</v>
      </c>
      <c r="AO1137" s="48">
        <v>0</v>
      </c>
      <c r="AP1137" s="48">
        <v>0</v>
      </c>
      <c r="AQ1137" s="48">
        <v>0</v>
      </c>
      <c r="AR1137" s="48">
        <v>0</v>
      </c>
      <c r="AS1137" s="48">
        <v>0</v>
      </c>
      <c r="AT1137" s="48">
        <v>0</v>
      </c>
      <c r="AU1137" s="48">
        <v>0</v>
      </c>
      <c r="AV1137" s="48">
        <v>0</v>
      </c>
      <c r="AW1137" s="48">
        <v>0</v>
      </c>
      <c r="AX1137" s="48">
        <v>0</v>
      </c>
      <c r="AY1137" s="48">
        <v>0</v>
      </c>
      <c r="AZ1137" s="48">
        <v>0</v>
      </c>
      <c r="BA1137" s="48">
        <v>0</v>
      </c>
      <c r="BB1137" s="48">
        <v>0</v>
      </c>
    </row>
    <row r="1138" spans="1:54" x14ac:dyDescent="0.35">
      <c r="A1138" s="49">
        <v>45930</v>
      </c>
      <c r="B1138" s="48">
        <v>1</v>
      </c>
      <c r="C1138" s="50" t="s">
        <v>32</v>
      </c>
      <c r="D1138" s="48" t="s">
        <v>31</v>
      </c>
      <c r="E1138" s="48" t="s">
        <v>138</v>
      </c>
      <c r="F1138" s="48" t="s">
        <v>139</v>
      </c>
      <c r="G1138" s="49" t="s">
        <v>64</v>
      </c>
      <c r="H1138" s="48" t="s">
        <v>64</v>
      </c>
      <c r="I1138" s="48">
        <v>1</v>
      </c>
      <c r="J1138" s="48">
        <v>107</v>
      </c>
      <c r="K1138" s="48">
        <v>1</v>
      </c>
      <c r="N1138" s="48">
        <v>0</v>
      </c>
      <c r="R1138" s="49"/>
      <c r="S1138" s="181">
        <v>0</v>
      </c>
      <c r="T1138" s="49">
        <v>49187</v>
      </c>
      <c r="U1138" s="49">
        <v>49187</v>
      </c>
      <c r="V1138" s="49">
        <v>49187</v>
      </c>
      <c r="W1138" s="49">
        <v>49187</v>
      </c>
      <c r="X1138" s="48">
        <v>1</v>
      </c>
      <c r="Y1138" s="48">
        <v>1</v>
      </c>
      <c r="Z1138" s="48">
        <v>1</v>
      </c>
      <c r="AA1138" s="156">
        <v>0</v>
      </c>
      <c r="AF1138" s="48">
        <v>0</v>
      </c>
      <c r="AG1138" s="49" t="s">
        <v>32</v>
      </c>
      <c r="AH1138" s="48">
        <v>1</v>
      </c>
      <c r="AI1138" s="48" t="s">
        <v>33</v>
      </c>
      <c r="AJ1138" s="48" t="s">
        <v>33</v>
      </c>
      <c r="AK1138" s="48" t="s">
        <v>33</v>
      </c>
      <c r="AL1138" s="48" t="s">
        <v>34</v>
      </c>
      <c r="AN1138" s="48">
        <v>0</v>
      </c>
      <c r="AO1138" s="48">
        <v>0</v>
      </c>
      <c r="AP1138" s="48">
        <v>0</v>
      </c>
      <c r="AQ1138" s="48">
        <v>0</v>
      </c>
      <c r="AR1138" s="48">
        <v>0</v>
      </c>
      <c r="AS1138" s="48">
        <v>0</v>
      </c>
      <c r="AT1138" s="48">
        <v>0</v>
      </c>
      <c r="AU1138" s="48">
        <v>0</v>
      </c>
      <c r="AV1138" s="48">
        <v>0</v>
      </c>
      <c r="AW1138" s="48">
        <v>0</v>
      </c>
      <c r="AX1138" s="48">
        <v>0</v>
      </c>
      <c r="AY1138" s="48">
        <v>0</v>
      </c>
      <c r="AZ1138" s="48">
        <v>0</v>
      </c>
      <c r="BA1138" s="48">
        <v>0</v>
      </c>
      <c r="BB1138" s="48">
        <v>0</v>
      </c>
    </row>
    <row r="1139" spans="1:54" x14ac:dyDescent="0.35">
      <c r="A1139" s="49">
        <v>45930</v>
      </c>
      <c r="B1139" s="48">
        <v>1</v>
      </c>
      <c r="C1139" s="50" t="s">
        <v>32</v>
      </c>
      <c r="D1139" s="48" t="s">
        <v>31</v>
      </c>
      <c r="E1139" s="48" t="s">
        <v>138</v>
      </c>
      <c r="F1139" s="48" t="s">
        <v>139</v>
      </c>
      <c r="G1139" s="49" t="s">
        <v>64</v>
      </c>
      <c r="H1139" s="48" t="s">
        <v>64</v>
      </c>
      <c r="I1139" s="48">
        <v>1</v>
      </c>
      <c r="J1139" s="48">
        <v>108</v>
      </c>
      <c r="K1139" s="48">
        <v>1</v>
      </c>
      <c r="N1139" s="48">
        <v>0</v>
      </c>
      <c r="R1139" s="49"/>
      <c r="S1139" s="181">
        <v>0</v>
      </c>
      <c r="T1139" s="49">
        <v>49217</v>
      </c>
      <c r="U1139" s="49">
        <v>49217</v>
      </c>
      <c r="V1139" s="49">
        <v>49217</v>
      </c>
      <c r="W1139" s="49">
        <v>49217</v>
      </c>
      <c r="X1139" s="48">
        <v>1</v>
      </c>
      <c r="Y1139" s="48">
        <v>1</v>
      </c>
      <c r="Z1139" s="48">
        <v>1</v>
      </c>
      <c r="AA1139" s="156">
        <v>0</v>
      </c>
      <c r="AF1139" s="48">
        <v>0</v>
      </c>
      <c r="AG1139" s="49" t="s">
        <v>32</v>
      </c>
      <c r="AH1139" s="48">
        <v>1</v>
      </c>
      <c r="AI1139" s="48" t="s">
        <v>33</v>
      </c>
      <c r="AJ1139" s="48" t="s">
        <v>33</v>
      </c>
      <c r="AK1139" s="48" t="s">
        <v>33</v>
      </c>
      <c r="AL1139" s="48" t="s">
        <v>34</v>
      </c>
      <c r="AN1139" s="48">
        <v>0</v>
      </c>
      <c r="AO1139" s="48">
        <v>0</v>
      </c>
      <c r="AP1139" s="48">
        <v>0</v>
      </c>
      <c r="AQ1139" s="48">
        <v>0</v>
      </c>
      <c r="AR1139" s="48">
        <v>0</v>
      </c>
      <c r="AS1139" s="48">
        <v>0</v>
      </c>
      <c r="AT1139" s="48">
        <v>0</v>
      </c>
      <c r="AU1139" s="48">
        <v>0</v>
      </c>
      <c r="AV1139" s="48">
        <v>0</v>
      </c>
      <c r="AW1139" s="48">
        <v>0</v>
      </c>
      <c r="AX1139" s="48">
        <v>0</v>
      </c>
      <c r="AY1139" s="48">
        <v>0</v>
      </c>
      <c r="AZ1139" s="48">
        <v>0</v>
      </c>
      <c r="BA1139" s="48">
        <v>0</v>
      </c>
      <c r="BB1139" s="48">
        <v>0</v>
      </c>
    </row>
    <row r="1140" spans="1:54" x14ac:dyDescent="0.35">
      <c r="A1140" s="49">
        <v>45930</v>
      </c>
      <c r="B1140" s="48">
        <v>1</v>
      </c>
      <c r="C1140" s="50" t="s">
        <v>32</v>
      </c>
      <c r="D1140" s="48" t="s">
        <v>31</v>
      </c>
      <c r="E1140" s="48" t="s">
        <v>138</v>
      </c>
      <c r="F1140" s="48" t="s">
        <v>139</v>
      </c>
      <c r="G1140" s="49" t="s">
        <v>64</v>
      </c>
      <c r="H1140" s="48" t="s">
        <v>64</v>
      </c>
      <c r="I1140" s="48">
        <v>1</v>
      </c>
      <c r="J1140" s="48">
        <v>109</v>
      </c>
      <c r="K1140" s="48">
        <v>1</v>
      </c>
      <c r="N1140" s="48">
        <v>0</v>
      </c>
      <c r="R1140" s="49"/>
      <c r="S1140" s="181">
        <v>0</v>
      </c>
      <c r="T1140" s="49">
        <v>49248</v>
      </c>
      <c r="U1140" s="49">
        <v>49248</v>
      </c>
      <c r="V1140" s="49">
        <v>49248</v>
      </c>
      <c r="W1140" s="49">
        <v>49248</v>
      </c>
      <c r="X1140" s="48">
        <v>1</v>
      </c>
      <c r="Y1140" s="48">
        <v>1</v>
      </c>
      <c r="Z1140" s="48">
        <v>1</v>
      </c>
      <c r="AA1140" s="156">
        <v>0</v>
      </c>
      <c r="AF1140" s="48">
        <v>0</v>
      </c>
      <c r="AG1140" s="49" t="s">
        <v>32</v>
      </c>
      <c r="AH1140" s="48">
        <v>1</v>
      </c>
      <c r="AI1140" s="48" t="s">
        <v>33</v>
      </c>
      <c r="AJ1140" s="48" t="s">
        <v>33</v>
      </c>
      <c r="AK1140" s="48" t="s">
        <v>33</v>
      </c>
      <c r="AL1140" s="48" t="s">
        <v>34</v>
      </c>
      <c r="AN1140" s="48">
        <v>0</v>
      </c>
      <c r="AO1140" s="48">
        <v>0</v>
      </c>
      <c r="AP1140" s="48">
        <v>0</v>
      </c>
      <c r="AQ1140" s="48">
        <v>0</v>
      </c>
      <c r="AR1140" s="48">
        <v>0</v>
      </c>
      <c r="AS1140" s="48">
        <v>0</v>
      </c>
      <c r="AT1140" s="48">
        <v>0</v>
      </c>
      <c r="AU1140" s="48">
        <v>0</v>
      </c>
      <c r="AV1140" s="48">
        <v>0</v>
      </c>
      <c r="AW1140" s="48">
        <v>0</v>
      </c>
      <c r="AX1140" s="48">
        <v>0</v>
      </c>
      <c r="AY1140" s="48">
        <v>0</v>
      </c>
      <c r="AZ1140" s="48">
        <v>0</v>
      </c>
      <c r="BA1140" s="48">
        <v>0</v>
      </c>
      <c r="BB1140" s="48">
        <v>0</v>
      </c>
    </row>
    <row r="1141" spans="1:54" x14ac:dyDescent="0.35">
      <c r="A1141" s="49">
        <v>45930</v>
      </c>
      <c r="B1141" s="48">
        <v>1</v>
      </c>
      <c r="C1141" s="50" t="s">
        <v>32</v>
      </c>
      <c r="D1141" s="48" t="s">
        <v>31</v>
      </c>
      <c r="E1141" s="48" t="s">
        <v>138</v>
      </c>
      <c r="F1141" s="48" t="s">
        <v>139</v>
      </c>
      <c r="G1141" s="49" t="s">
        <v>64</v>
      </c>
      <c r="H1141" s="48" t="s">
        <v>64</v>
      </c>
      <c r="I1141" s="48">
        <v>1</v>
      </c>
      <c r="J1141" s="48">
        <v>110</v>
      </c>
      <c r="K1141" s="48">
        <v>1</v>
      </c>
      <c r="N1141" s="48">
        <v>0</v>
      </c>
      <c r="R1141" s="49"/>
      <c r="S1141" s="181">
        <v>0</v>
      </c>
      <c r="T1141" s="49">
        <v>49278</v>
      </c>
      <c r="U1141" s="49">
        <v>49278</v>
      </c>
      <c r="V1141" s="49">
        <v>49278</v>
      </c>
      <c r="W1141" s="49">
        <v>49278</v>
      </c>
      <c r="X1141" s="48">
        <v>1</v>
      </c>
      <c r="Y1141" s="48">
        <v>1</v>
      </c>
      <c r="Z1141" s="48">
        <v>1</v>
      </c>
      <c r="AA1141" s="156">
        <v>0</v>
      </c>
      <c r="AF1141" s="48">
        <v>0</v>
      </c>
      <c r="AG1141" s="49" t="s">
        <v>32</v>
      </c>
      <c r="AH1141" s="48">
        <v>1</v>
      </c>
      <c r="AI1141" s="48" t="s">
        <v>33</v>
      </c>
      <c r="AJ1141" s="48" t="s">
        <v>33</v>
      </c>
      <c r="AK1141" s="48" t="s">
        <v>33</v>
      </c>
      <c r="AL1141" s="48" t="s">
        <v>34</v>
      </c>
      <c r="AN1141" s="48">
        <v>0</v>
      </c>
      <c r="AO1141" s="48">
        <v>0</v>
      </c>
      <c r="AP1141" s="48">
        <v>0</v>
      </c>
      <c r="AQ1141" s="48">
        <v>0</v>
      </c>
      <c r="AR1141" s="48">
        <v>0</v>
      </c>
      <c r="AS1141" s="48">
        <v>0</v>
      </c>
      <c r="AT1141" s="48">
        <v>0</v>
      </c>
      <c r="AU1141" s="48">
        <v>0</v>
      </c>
      <c r="AV1141" s="48">
        <v>0</v>
      </c>
      <c r="AW1141" s="48">
        <v>0</v>
      </c>
      <c r="AX1141" s="48">
        <v>0</v>
      </c>
      <c r="AY1141" s="48">
        <v>0</v>
      </c>
      <c r="AZ1141" s="48">
        <v>0</v>
      </c>
      <c r="BA1141" s="48">
        <v>0</v>
      </c>
      <c r="BB1141" s="48">
        <v>0</v>
      </c>
    </row>
    <row r="1142" spans="1:54" x14ac:dyDescent="0.35">
      <c r="A1142" s="49">
        <v>45930</v>
      </c>
      <c r="B1142" s="48">
        <v>1</v>
      </c>
      <c r="C1142" s="50" t="s">
        <v>32</v>
      </c>
      <c r="D1142" s="48" t="s">
        <v>31</v>
      </c>
      <c r="E1142" s="48" t="s">
        <v>138</v>
      </c>
      <c r="F1142" s="48" t="s">
        <v>139</v>
      </c>
      <c r="G1142" s="49" t="s">
        <v>64</v>
      </c>
      <c r="H1142" s="48" t="s">
        <v>64</v>
      </c>
      <c r="I1142" s="48">
        <v>1</v>
      </c>
      <c r="J1142" s="48">
        <v>111</v>
      </c>
      <c r="K1142" s="48">
        <v>1</v>
      </c>
      <c r="N1142" s="48">
        <v>0</v>
      </c>
      <c r="R1142" s="49"/>
      <c r="S1142" s="181">
        <v>0</v>
      </c>
      <c r="T1142" s="49">
        <v>49309</v>
      </c>
      <c r="U1142" s="49">
        <v>49309</v>
      </c>
      <c r="V1142" s="49">
        <v>49309</v>
      </c>
      <c r="W1142" s="49">
        <v>49309</v>
      </c>
      <c r="X1142" s="48">
        <v>1</v>
      </c>
      <c r="Y1142" s="48">
        <v>1</v>
      </c>
      <c r="Z1142" s="48">
        <v>1</v>
      </c>
      <c r="AA1142" s="156">
        <v>0</v>
      </c>
      <c r="AF1142" s="48">
        <v>0</v>
      </c>
      <c r="AG1142" s="49" t="s">
        <v>32</v>
      </c>
      <c r="AH1142" s="48">
        <v>1</v>
      </c>
      <c r="AI1142" s="48" t="s">
        <v>33</v>
      </c>
      <c r="AJ1142" s="48" t="s">
        <v>33</v>
      </c>
      <c r="AK1142" s="48" t="s">
        <v>33</v>
      </c>
      <c r="AL1142" s="48" t="s">
        <v>34</v>
      </c>
      <c r="AN1142" s="48">
        <v>0</v>
      </c>
      <c r="AO1142" s="48">
        <v>0</v>
      </c>
      <c r="AP1142" s="48">
        <v>0</v>
      </c>
      <c r="AQ1142" s="48">
        <v>0</v>
      </c>
      <c r="AR1142" s="48">
        <v>0</v>
      </c>
      <c r="AS1142" s="48">
        <v>0</v>
      </c>
      <c r="AT1142" s="48">
        <v>0</v>
      </c>
      <c r="AU1142" s="48">
        <v>0</v>
      </c>
      <c r="AV1142" s="48">
        <v>0</v>
      </c>
      <c r="AW1142" s="48">
        <v>0</v>
      </c>
      <c r="AX1142" s="48">
        <v>0</v>
      </c>
      <c r="AY1142" s="48">
        <v>0</v>
      </c>
      <c r="AZ1142" s="48">
        <v>0</v>
      </c>
      <c r="BA1142" s="48">
        <v>0</v>
      </c>
      <c r="BB1142" s="48">
        <v>0</v>
      </c>
    </row>
    <row r="1143" spans="1:54" x14ac:dyDescent="0.35">
      <c r="A1143" s="49">
        <v>45930</v>
      </c>
      <c r="B1143" s="48">
        <v>1</v>
      </c>
      <c r="C1143" s="50" t="s">
        <v>32</v>
      </c>
      <c r="D1143" s="48" t="s">
        <v>31</v>
      </c>
      <c r="E1143" s="48" t="s">
        <v>138</v>
      </c>
      <c r="F1143" s="48" t="s">
        <v>139</v>
      </c>
      <c r="G1143" s="49" t="s">
        <v>64</v>
      </c>
      <c r="H1143" s="48" t="s">
        <v>64</v>
      </c>
      <c r="I1143" s="48">
        <v>1</v>
      </c>
      <c r="J1143" s="48">
        <v>112</v>
      </c>
      <c r="K1143" s="48">
        <v>1</v>
      </c>
      <c r="N1143" s="48">
        <v>0</v>
      </c>
      <c r="R1143" s="49"/>
      <c r="S1143" s="181">
        <v>0</v>
      </c>
      <c r="T1143" s="49">
        <v>49340</v>
      </c>
      <c r="U1143" s="49">
        <v>49340</v>
      </c>
      <c r="V1143" s="49">
        <v>49340</v>
      </c>
      <c r="W1143" s="49">
        <v>49340</v>
      </c>
      <c r="X1143" s="48">
        <v>1</v>
      </c>
      <c r="Y1143" s="48">
        <v>1</v>
      </c>
      <c r="Z1143" s="48">
        <v>1</v>
      </c>
      <c r="AA1143" s="156">
        <v>0</v>
      </c>
      <c r="AF1143" s="48">
        <v>0</v>
      </c>
      <c r="AG1143" s="49" t="s">
        <v>32</v>
      </c>
      <c r="AH1143" s="48">
        <v>1</v>
      </c>
      <c r="AI1143" s="48" t="s">
        <v>33</v>
      </c>
      <c r="AJ1143" s="48" t="s">
        <v>33</v>
      </c>
      <c r="AK1143" s="48" t="s">
        <v>33</v>
      </c>
      <c r="AL1143" s="48" t="s">
        <v>34</v>
      </c>
      <c r="AN1143" s="48">
        <v>0</v>
      </c>
      <c r="AO1143" s="48">
        <v>0</v>
      </c>
      <c r="AP1143" s="48">
        <v>0</v>
      </c>
      <c r="AQ1143" s="48">
        <v>0</v>
      </c>
      <c r="AR1143" s="48">
        <v>0</v>
      </c>
      <c r="AS1143" s="48">
        <v>0</v>
      </c>
      <c r="AT1143" s="48">
        <v>0</v>
      </c>
      <c r="AU1143" s="48">
        <v>0</v>
      </c>
      <c r="AV1143" s="48">
        <v>0</v>
      </c>
      <c r="AW1143" s="48">
        <v>0</v>
      </c>
      <c r="AX1143" s="48">
        <v>0</v>
      </c>
      <c r="AY1143" s="48">
        <v>0</v>
      </c>
      <c r="AZ1143" s="48">
        <v>0</v>
      </c>
      <c r="BA1143" s="48">
        <v>0</v>
      </c>
      <c r="BB1143" s="48">
        <v>0</v>
      </c>
    </row>
    <row r="1144" spans="1:54" x14ac:dyDescent="0.35">
      <c r="A1144" s="49">
        <v>45930</v>
      </c>
      <c r="B1144" s="48">
        <v>1</v>
      </c>
      <c r="C1144" s="50" t="s">
        <v>32</v>
      </c>
      <c r="D1144" s="48" t="s">
        <v>31</v>
      </c>
      <c r="E1144" s="48" t="s">
        <v>138</v>
      </c>
      <c r="F1144" s="48" t="s">
        <v>139</v>
      </c>
      <c r="G1144" s="49" t="s">
        <v>64</v>
      </c>
      <c r="H1144" s="48" t="s">
        <v>64</v>
      </c>
      <c r="I1144" s="48">
        <v>1</v>
      </c>
      <c r="J1144" s="48">
        <v>113</v>
      </c>
      <c r="K1144" s="48">
        <v>1</v>
      </c>
      <c r="N1144" s="48">
        <v>0</v>
      </c>
      <c r="R1144" s="49"/>
      <c r="S1144" s="181">
        <v>0</v>
      </c>
      <c r="T1144" s="49">
        <v>49368</v>
      </c>
      <c r="U1144" s="49">
        <v>49368</v>
      </c>
      <c r="V1144" s="49">
        <v>49368</v>
      </c>
      <c r="W1144" s="49">
        <v>49368</v>
      </c>
      <c r="X1144" s="48">
        <v>1</v>
      </c>
      <c r="Y1144" s="48">
        <v>1</v>
      </c>
      <c r="Z1144" s="48">
        <v>1</v>
      </c>
      <c r="AA1144" s="156">
        <v>0</v>
      </c>
      <c r="AF1144" s="48">
        <v>0</v>
      </c>
      <c r="AG1144" s="49" t="s">
        <v>32</v>
      </c>
      <c r="AH1144" s="48">
        <v>1</v>
      </c>
      <c r="AI1144" s="48" t="s">
        <v>33</v>
      </c>
      <c r="AJ1144" s="48" t="s">
        <v>33</v>
      </c>
      <c r="AK1144" s="48" t="s">
        <v>33</v>
      </c>
      <c r="AL1144" s="48" t="s">
        <v>34</v>
      </c>
      <c r="AN1144" s="48">
        <v>0</v>
      </c>
      <c r="AO1144" s="48">
        <v>0</v>
      </c>
      <c r="AP1144" s="48">
        <v>0</v>
      </c>
      <c r="AQ1144" s="48">
        <v>0</v>
      </c>
      <c r="AR1144" s="48">
        <v>0</v>
      </c>
      <c r="AS1144" s="48">
        <v>0</v>
      </c>
      <c r="AT1144" s="48">
        <v>0</v>
      </c>
      <c r="AU1144" s="48">
        <v>0</v>
      </c>
      <c r="AV1144" s="48">
        <v>0</v>
      </c>
      <c r="AW1144" s="48">
        <v>0</v>
      </c>
      <c r="AX1144" s="48">
        <v>0</v>
      </c>
      <c r="AY1144" s="48">
        <v>0</v>
      </c>
      <c r="AZ1144" s="48">
        <v>0</v>
      </c>
      <c r="BA1144" s="48">
        <v>0</v>
      </c>
      <c r="BB1144" s="48">
        <v>0</v>
      </c>
    </row>
    <row r="1145" spans="1:54" x14ac:dyDescent="0.35">
      <c r="A1145" s="49">
        <v>45930</v>
      </c>
      <c r="B1145" s="48">
        <v>1</v>
      </c>
      <c r="C1145" s="50" t="s">
        <v>32</v>
      </c>
      <c r="D1145" s="48" t="s">
        <v>31</v>
      </c>
      <c r="E1145" s="48" t="s">
        <v>138</v>
      </c>
      <c r="F1145" s="48" t="s">
        <v>139</v>
      </c>
      <c r="G1145" s="49" t="s">
        <v>64</v>
      </c>
      <c r="H1145" s="48" t="s">
        <v>64</v>
      </c>
      <c r="I1145" s="48">
        <v>1</v>
      </c>
      <c r="J1145" s="48">
        <v>114</v>
      </c>
      <c r="K1145" s="48">
        <v>1</v>
      </c>
      <c r="N1145" s="48">
        <v>0</v>
      </c>
      <c r="R1145" s="49"/>
      <c r="S1145" s="181">
        <v>0</v>
      </c>
      <c r="T1145" s="49">
        <v>49399</v>
      </c>
      <c r="U1145" s="49">
        <v>49399</v>
      </c>
      <c r="V1145" s="49">
        <v>49399</v>
      </c>
      <c r="W1145" s="49">
        <v>49399</v>
      </c>
      <c r="X1145" s="48">
        <v>1</v>
      </c>
      <c r="Y1145" s="48">
        <v>1</v>
      </c>
      <c r="Z1145" s="48">
        <v>1</v>
      </c>
      <c r="AA1145" s="156">
        <v>0</v>
      </c>
      <c r="AF1145" s="48">
        <v>0</v>
      </c>
      <c r="AG1145" s="49" t="s">
        <v>32</v>
      </c>
      <c r="AH1145" s="48">
        <v>1</v>
      </c>
      <c r="AI1145" s="48" t="s">
        <v>33</v>
      </c>
      <c r="AJ1145" s="48" t="s">
        <v>33</v>
      </c>
      <c r="AK1145" s="48" t="s">
        <v>33</v>
      </c>
      <c r="AL1145" s="48" t="s">
        <v>34</v>
      </c>
      <c r="AN1145" s="48">
        <v>0</v>
      </c>
      <c r="AO1145" s="48">
        <v>0</v>
      </c>
      <c r="AP1145" s="48">
        <v>0</v>
      </c>
      <c r="AQ1145" s="48">
        <v>0</v>
      </c>
      <c r="AR1145" s="48">
        <v>0</v>
      </c>
      <c r="AS1145" s="48">
        <v>0</v>
      </c>
      <c r="AT1145" s="48">
        <v>0</v>
      </c>
      <c r="AU1145" s="48">
        <v>0</v>
      </c>
      <c r="AV1145" s="48">
        <v>0</v>
      </c>
      <c r="AW1145" s="48">
        <v>0</v>
      </c>
      <c r="AX1145" s="48">
        <v>0</v>
      </c>
      <c r="AY1145" s="48">
        <v>0</v>
      </c>
      <c r="AZ1145" s="48">
        <v>0</v>
      </c>
      <c r="BA1145" s="48">
        <v>0</v>
      </c>
      <c r="BB1145" s="48">
        <v>0</v>
      </c>
    </row>
    <row r="1146" spans="1:54" x14ac:dyDescent="0.35">
      <c r="A1146" s="49">
        <v>45930</v>
      </c>
      <c r="B1146" s="48">
        <v>1</v>
      </c>
      <c r="C1146" s="50" t="s">
        <v>32</v>
      </c>
      <c r="D1146" s="48" t="s">
        <v>31</v>
      </c>
      <c r="E1146" s="48" t="s">
        <v>138</v>
      </c>
      <c r="F1146" s="48" t="s">
        <v>139</v>
      </c>
      <c r="G1146" s="49" t="s">
        <v>64</v>
      </c>
      <c r="H1146" s="48" t="s">
        <v>64</v>
      </c>
      <c r="I1146" s="48">
        <v>1</v>
      </c>
      <c r="J1146" s="48">
        <v>115</v>
      </c>
      <c r="K1146" s="48">
        <v>1</v>
      </c>
      <c r="N1146" s="48">
        <v>0</v>
      </c>
      <c r="R1146" s="49"/>
      <c r="S1146" s="181">
        <v>0</v>
      </c>
      <c r="T1146" s="49">
        <v>49429</v>
      </c>
      <c r="U1146" s="49">
        <v>49429</v>
      </c>
      <c r="V1146" s="49">
        <v>49429</v>
      </c>
      <c r="W1146" s="49">
        <v>49429</v>
      </c>
      <c r="X1146" s="48">
        <v>1</v>
      </c>
      <c r="Y1146" s="48">
        <v>1</v>
      </c>
      <c r="Z1146" s="48">
        <v>1</v>
      </c>
      <c r="AA1146" s="156">
        <v>0</v>
      </c>
      <c r="AF1146" s="48">
        <v>0</v>
      </c>
      <c r="AG1146" s="49" t="s">
        <v>32</v>
      </c>
      <c r="AH1146" s="48">
        <v>1</v>
      </c>
      <c r="AI1146" s="48" t="s">
        <v>33</v>
      </c>
      <c r="AJ1146" s="48" t="s">
        <v>33</v>
      </c>
      <c r="AK1146" s="48" t="s">
        <v>33</v>
      </c>
      <c r="AL1146" s="48" t="s">
        <v>34</v>
      </c>
      <c r="AN1146" s="48">
        <v>0</v>
      </c>
      <c r="AO1146" s="48">
        <v>0</v>
      </c>
      <c r="AP1146" s="48">
        <v>0</v>
      </c>
      <c r="AQ1146" s="48">
        <v>0</v>
      </c>
      <c r="AR1146" s="48">
        <v>0</v>
      </c>
      <c r="AS1146" s="48">
        <v>0</v>
      </c>
      <c r="AT1146" s="48">
        <v>0</v>
      </c>
      <c r="AU1146" s="48">
        <v>0</v>
      </c>
      <c r="AV1146" s="48">
        <v>0</v>
      </c>
      <c r="AW1146" s="48">
        <v>0</v>
      </c>
      <c r="AX1146" s="48">
        <v>0</v>
      </c>
      <c r="AY1146" s="48">
        <v>0</v>
      </c>
      <c r="AZ1146" s="48">
        <v>0</v>
      </c>
      <c r="BA1146" s="48">
        <v>0</v>
      </c>
      <c r="BB1146" s="48">
        <v>0</v>
      </c>
    </row>
    <row r="1147" spans="1:54" x14ac:dyDescent="0.35">
      <c r="A1147" s="49">
        <v>45930</v>
      </c>
      <c r="B1147" s="48">
        <v>1</v>
      </c>
      <c r="C1147" s="50" t="s">
        <v>32</v>
      </c>
      <c r="D1147" s="48" t="s">
        <v>31</v>
      </c>
      <c r="E1147" s="48" t="s">
        <v>138</v>
      </c>
      <c r="F1147" s="48" t="s">
        <v>139</v>
      </c>
      <c r="G1147" s="49" t="s">
        <v>64</v>
      </c>
      <c r="H1147" s="48" t="s">
        <v>64</v>
      </c>
      <c r="I1147" s="48">
        <v>1</v>
      </c>
      <c r="J1147" s="48">
        <v>116</v>
      </c>
      <c r="K1147" s="48">
        <v>1</v>
      </c>
      <c r="N1147" s="48">
        <v>0</v>
      </c>
      <c r="R1147" s="49"/>
      <c r="S1147" s="181">
        <v>0</v>
      </c>
      <c r="T1147" s="49">
        <v>49460</v>
      </c>
      <c r="U1147" s="49">
        <v>49460</v>
      </c>
      <c r="V1147" s="49">
        <v>49460</v>
      </c>
      <c r="W1147" s="49">
        <v>49460</v>
      </c>
      <c r="X1147" s="48">
        <v>1</v>
      </c>
      <c r="Y1147" s="48">
        <v>1</v>
      </c>
      <c r="Z1147" s="48">
        <v>1</v>
      </c>
      <c r="AA1147" s="156">
        <v>0</v>
      </c>
      <c r="AF1147" s="48">
        <v>0</v>
      </c>
      <c r="AG1147" s="49" t="s">
        <v>32</v>
      </c>
      <c r="AH1147" s="48">
        <v>1</v>
      </c>
      <c r="AI1147" s="48" t="s">
        <v>33</v>
      </c>
      <c r="AJ1147" s="48" t="s">
        <v>33</v>
      </c>
      <c r="AK1147" s="48" t="s">
        <v>33</v>
      </c>
      <c r="AL1147" s="48" t="s">
        <v>34</v>
      </c>
      <c r="AN1147" s="48">
        <v>0</v>
      </c>
      <c r="AO1147" s="48">
        <v>0</v>
      </c>
      <c r="AP1147" s="48">
        <v>0</v>
      </c>
      <c r="AQ1147" s="48">
        <v>0</v>
      </c>
      <c r="AR1147" s="48">
        <v>0</v>
      </c>
      <c r="AS1147" s="48">
        <v>0</v>
      </c>
      <c r="AT1147" s="48">
        <v>0</v>
      </c>
      <c r="AU1147" s="48">
        <v>0</v>
      </c>
      <c r="AV1147" s="48">
        <v>0</v>
      </c>
      <c r="AW1147" s="48">
        <v>0</v>
      </c>
      <c r="AX1147" s="48">
        <v>0</v>
      </c>
      <c r="AY1147" s="48">
        <v>0</v>
      </c>
      <c r="AZ1147" s="48">
        <v>0</v>
      </c>
      <c r="BA1147" s="48">
        <v>0</v>
      </c>
      <c r="BB1147" s="48">
        <v>0</v>
      </c>
    </row>
    <row r="1148" spans="1:54" x14ac:dyDescent="0.35">
      <c r="A1148" s="49">
        <v>45930</v>
      </c>
      <c r="B1148" s="48">
        <v>1</v>
      </c>
      <c r="C1148" s="50" t="s">
        <v>32</v>
      </c>
      <c r="D1148" s="48" t="s">
        <v>31</v>
      </c>
      <c r="E1148" s="48" t="s">
        <v>138</v>
      </c>
      <c r="F1148" s="48" t="s">
        <v>139</v>
      </c>
      <c r="G1148" s="49" t="s">
        <v>64</v>
      </c>
      <c r="H1148" s="48" t="s">
        <v>64</v>
      </c>
      <c r="I1148" s="48">
        <v>1</v>
      </c>
      <c r="J1148" s="48">
        <v>117</v>
      </c>
      <c r="K1148" s="48">
        <v>1</v>
      </c>
      <c r="N1148" s="48">
        <v>0</v>
      </c>
      <c r="R1148" s="49"/>
      <c r="S1148" s="181">
        <v>0</v>
      </c>
      <c r="T1148" s="49">
        <v>49490</v>
      </c>
      <c r="U1148" s="49">
        <v>49490</v>
      </c>
      <c r="V1148" s="49">
        <v>49490</v>
      </c>
      <c r="W1148" s="49">
        <v>49490</v>
      </c>
      <c r="X1148" s="48">
        <v>1</v>
      </c>
      <c r="Y1148" s="48">
        <v>1</v>
      </c>
      <c r="Z1148" s="48">
        <v>1</v>
      </c>
      <c r="AA1148" s="156">
        <v>0</v>
      </c>
      <c r="AF1148" s="48">
        <v>0</v>
      </c>
      <c r="AG1148" s="49" t="s">
        <v>32</v>
      </c>
      <c r="AH1148" s="48">
        <v>1</v>
      </c>
      <c r="AI1148" s="48" t="s">
        <v>33</v>
      </c>
      <c r="AJ1148" s="48" t="s">
        <v>33</v>
      </c>
      <c r="AK1148" s="48" t="s">
        <v>33</v>
      </c>
      <c r="AL1148" s="48" t="s">
        <v>34</v>
      </c>
      <c r="AN1148" s="48">
        <v>0</v>
      </c>
      <c r="AO1148" s="48">
        <v>0</v>
      </c>
      <c r="AP1148" s="48">
        <v>0</v>
      </c>
      <c r="AQ1148" s="48">
        <v>0</v>
      </c>
      <c r="AR1148" s="48">
        <v>0</v>
      </c>
      <c r="AS1148" s="48">
        <v>0</v>
      </c>
      <c r="AT1148" s="48">
        <v>0</v>
      </c>
      <c r="AU1148" s="48">
        <v>0</v>
      </c>
      <c r="AV1148" s="48">
        <v>0</v>
      </c>
      <c r="AW1148" s="48">
        <v>0</v>
      </c>
      <c r="AX1148" s="48">
        <v>0</v>
      </c>
      <c r="AY1148" s="48">
        <v>0</v>
      </c>
      <c r="AZ1148" s="48">
        <v>0</v>
      </c>
      <c r="BA1148" s="48">
        <v>0</v>
      </c>
      <c r="BB1148" s="48">
        <v>0</v>
      </c>
    </row>
    <row r="1149" spans="1:54" x14ac:dyDescent="0.35">
      <c r="A1149" s="49">
        <v>45930</v>
      </c>
      <c r="B1149" s="48">
        <v>1</v>
      </c>
      <c r="C1149" s="50" t="s">
        <v>32</v>
      </c>
      <c r="D1149" s="48" t="s">
        <v>31</v>
      </c>
      <c r="E1149" s="48" t="s">
        <v>138</v>
      </c>
      <c r="F1149" s="48" t="s">
        <v>139</v>
      </c>
      <c r="G1149" s="49" t="s">
        <v>64</v>
      </c>
      <c r="H1149" s="48" t="s">
        <v>64</v>
      </c>
      <c r="I1149" s="48">
        <v>1</v>
      </c>
      <c r="J1149" s="48">
        <v>118</v>
      </c>
      <c r="K1149" s="48">
        <v>1</v>
      </c>
      <c r="N1149" s="48">
        <v>0</v>
      </c>
      <c r="R1149" s="49"/>
      <c r="S1149" s="181">
        <v>0</v>
      </c>
      <c r="T1149" s="49">
        <v>49521</v>
      </c>
      <c r="U1149" s="49">
        <v>49521</v>
      </c>
      <c r="V1149" s="49">
        <v>49521</v>
      </c>
      <c r="W1149" s="49">
        <v>49521</v>
      </c>
      <c r="X1149" s="48">
        <v>1</v>
      </c>
      <c r="Y1149" s="48">
        <v>1</v>
      </c>
      <c r="Z1149" s="48">
        <v>1</v>
      </c>
      <c r="AA1149" s="156">
        <v>0</v>
      </c>
      <c r="AF1149" s="48">
        <v>0</v>
      </c>
      <c r="AG1149" s="49" t="s">
        <v>32</v>
      </c>
      <c r="AH1149" s="48">
        <v>1</v>
      </c>
      <c r="AI1149" s="48" t="s">
        <v>33</v>
      </c>
      <c r="AJ1149" s="48" t="s">
        <v>33</v>
      </c>
      <c r="AK1149" s="48" t="s">
        <v>33</v>
      </c>
      <c r="AL1149" s="48" t="s">
        <v>34</v>
      </c>
      <c r="AN1149" s="48">
        <v>0</v>
      </c>
      <c r="AO1149" s="48">
        <v>0</v>
      </c>
      <c r="AP1149" s="48">
        <v>0</v>
      </c>
      <c r="AQ1149" s="48">
        <v>0</v>
      </c>
      <c r="AR1149" s="48">
        <v>0</v>
      </c>
      <c r="AS1149" s="48">
        <v>0</v>
      </c>
      <c r="AT1149" s="48">
        <v>0</v>
      </c>
      <c r="AU1149" s="48">
        <v>0</v>
      </c>
      <c r="AV1149" s="48">
        <v>0</v>
      </c>
      <c r="AW1149" s="48">
        <v>0</v>
      </c>
      <c r="AX1149" s="48">
        <v>0</v>
      </c>
      <c r="AY1149" s="48">
        <v>0</v>
      </c>
      <c r="AZ1149" s="48">
        <v>0</v>
      </c>
      <c r="BA1149" s="48">
        <v>0</v>
      </c>
      <c r="BB1149" s="48">
        <v>0</v>
      </c>
    </row>
    <row r="1150" spans="1:54" x14ac:dyDescent="0.35">
      <c r="A1150" s="49">
        <v>45930</v>
      </c>
      <c r="B1150" s="48">
        <v>1</v>
      </c>
      <c r="C1150" s="50" t="s">
        <v>32</v>
      </c>
      <c r="D1150" s="48" t="s">
        <v>31</v>
      </c>
      <c r="E1150" s="48" t="s">
        <v>138</v>
      </c>
      <c r="F1150" s="48" t="s">
        <v>139</v>
      </c>
      <c r="G1150" s="49" t="s">
        <v>64</v>
      </c>
      <c r="H1150" s="48" t="s">
        <v>64</v>
      </c>
      <c r="I1150" s="48">
        <v>1</v>
      </c>
      <c r="J1150" s="48">
        <v>119</v>
      </c>
      <c r="K1150" s="48">
        <v>1</v>
      </c>
      <c r="N1150" s="48">
        <v>0</v>
      </c>
      <c r="R1150" s="49"/>
      <c r="S1150" s="181">
        <v>0</v>
      </c>
      <c r="T1150" s="49">
        <v>49552</v>
      </c>
      <c r="U1150" s="49">
        <v>49552</v>
      </c>
      <c r="V1150" s="49">
        <v>49552</v>
      </c>
      <c r="W1150" s="49">
        <v>49552</v>
      </c>
      <c r="X1150" s="48">
        <v>1</v>
      </c>
      <c r="Y1150" s="48">
        <v>1</v>
      </c>
      <c r="Z1150" s="48">
        <v>1</v>
      </c>
      <c r="AA1150" s="156">
        <v>0</v>
      </c>
      <c r="AF1150" s="48">
        <v>0</v>
      </c>
      <c r="AG1150" s="49" t="s">
        <v>32</v>
      </c>
      <c r="AH1150" s="48">
        <v>1</v>
      </c>
      <c r="AI1150" s="48" t="s">
        <v>33</v>
      </c>
      <c r="AJ1150" s="48" t="s">
        <v>33</v>
      </c>
      <c r="AK1150" s="48" t="s">
        <v>33</v>
      </c>
      <c r="AL1150" s="48" t="s">
        <v>34</v>
      </c>
      <c r="AN1150" s="48">
        <v>0</v>
      </c>
      <c r="AO1150" s="48">
        <v>0</v>
      </c>
      <c r="AP1150" s="48">
        <v>0</v>
      </c>
      <c r="AQ1150" s="48">
        <v>0</v>
      </c>
      <c r="AR1150" s="48">
        <v>0</v>
      </c>
      <c r="AS1150" s="48">
        <v>0</v>
      </c>
      <c r="AT1150" s="48">
        <v>0</v>
      </c>
      <c r="AU1150" s="48">
        <v>0</v>
      </c>
      <c r="AV1150" s="48">
        <v>0</v>
      </c>
      <c r="AW1150" s="48">
        <v>0</v>
      </c>
      <c r="AX1150" s="48">
        <v>0</v>
      </c>
      <c r="AY1150" s="48">
        <v>0</v>
      </c>
      <c r="AZ1150" s="48">
        <v>0</v>
      </c>
      <c r="BA1150" s="48">
        <v>0</v>
      </c>
      <c r="BB1150" s="48">
        <v>0</v>
      </c>
    </row>
    <row r="1151" spans="1:54" x14ac:dyDescent="0.35">
      <c r="A1151" s="49">
        <v>45930</v>
      </c>
      <c r="B1151" s="48">
        <v>1</v>
      </c>
      <c r="C1151" s="50" t="s">
        <v>32</v>
      </c>
      <c r="D1151" s="48" t="s">
        <v>31</v>
      </c>
      <c r="E1151" s="48" t="s">
        <v>138</v>
      </c>
      <c r="F1151" s="48" t="s">
        <v>139</v>
      </c>
      <c r="G1151" s="49" t="s">
        <v>64</v>
      </c>
      <c r="H1151" s="48" t="s">
        <v>64</v>
      </c>
      <c r="I1151" s="48">
        <v>1</v>
      </c>
      <c r="J1151" s="48">
        <v>120</v>
      </c>
      <c r="K1151" s="48">
        <v>1</v>
      </c>
      <c r="N1151" s="48">
        <v>0</v>
      </c>
      <c r="R1151" s="49"/>
      <c r="S1151" s="181">
        <v>0</v>
      </c>
      <c r="T1151" s="49">
        <v>49582</v>
      </c>
      <c r="U1151" s="49">
        <v>49582</v>
      </c>
      <c r="V1151" s="49">
        <v>49582</v>
      </c>
      <c r="W1151" s="49">
        <v>49582</v>
      </c>
      <c r="X1151" s="48">
        <v>1</v>
      </c>
      <c r="Y1151" s="48">
        <v>1</v>
      </c>
      <c r="Z1151" s="48">
        <v>1</v>
      </c>
      <c r="AA1151" s="156">
        <v>0</v>
      </c>
      <c r="AF1151" s="48">
        <v>0</v>
      </c>
      <c r="AG1151" s="49" t="s">
        <v>32</v>
      </c>
      <c r="AH1151" s="48">
        <v>1</v>
      </c>
      <c r="AI1151" s="48" t="s">
        <v>33</v>
      </c>
      <c r="AJ1151" s="48" t="s">
        <v>33</v>
      </c>
      <c r="AK1151" s="48" t="s">
        <v>33</v>
      </c>
      <c r="AL1151" s="48" t="s">
        <v>34</v>
      </c>
      <c r="AN1151" s="48">
        <v>0</v>
      </c>
      <c r="AO1151" s="48">
        <v>0</v>
      </c>
      <c r="AP1151" s="48">
        <v>0</v>
      </c>
      <c r="AQ1151" s="48">
        <v>0</v>
      </c>
      <c r="AR1151" s="48">
        <v>0</v>
      </c>
      <c r="AS1151" s="48">
        <v>0</v>
      </c>
      <c r="AT1151" s="48">
        <v>0</v>
      </c>
      <c r="AU1151" s="48">
        <v>0</v>
      </c>
      <c r="AV1151" s="48">
        <v>0</v>
      </c>
      <c r="AW1151" s="48">
        <v>0</v>
      </c>
      <c r="AX1151" s="48">
        <v>0</v>
      </c>
      <c r="AY1151" s="48">
        <v>0</v>
      </c>
      <c r="AZ1151" s="48">
        <v>0</v>
      </c>
      <c r="BA1151" s="48">
        <v>0</v>
      </c>
      <c r="BB1151" s="48">
        <v>0</v>
      </c>
    </row>
    <row r="1152" spans="1:54" x14ac:dyDescent="0.35">
      <c r="A1152" s="49">
        <v>45930</v>
      </c>
      <c r="B1152" s="48">
        <v>1</v>
      </c>
      <c r="C1152" s="50" t="s">
        <v>32</v>
      </c>
      <c r="D1152" s="48" t="s">
        <v>31</v>
      </c>
      <c r="E1152" s="48" t="s">
        <v>138</v>
      </c>
      <c r="F1152" s="48" t="s">
        <v>139</v>
      </c>
      <c r="G1152" s="49" t="s">
        <v>64</v>
      </c>
      <c r="H1152" s="48" t="s">
        <v>64</v>
      </c>
      <c r="I1152" s="48">
        <v>1</v>
      </c>
      <c r="J1152" s="48">
        <v>121</v>
      </c>
      <c r="K1152" s="48">
        <v>1</v>
      </c>
      <c r="N1152" s="48">
        <v>0</v>
      </c>
      <c r="R1152" s="49"/>
      <c r="S1152" s="181">
        <v>0</v>
      </c>
      <c r="T1152" s="49">
        <v>49613</v>
      </c>
      <c r="U1152" s="49">
        <v>49613</v>
      </c>
      <c r="V1152" s="49">
        <v>49613</v>
      </c>
      <c r="W1152" s="49">
        <v>49613</v>
      </c>
      <c r="X1152" s="48">
        <v>1</v>
      </c>
      <c r="Y1152" s="48">
        <v>1</v>
      </c>
      <c r="Z1152" s="48">
        <v>1</v>
      </c>
      <c r="AA1152" s="156">
        <v>0</v>
      </c>
      <c r="AF1152" s="48">
        <v>0</v>
      </c>
      <c r="AG1152" s="49" t="s">
        <v>32</v>
      </c>
      <c r="AH1152" s="48">
        <v>1</v>
      </c>
      <c r="AI1152" s="48" t="s">
        <v>33</v>
      </c>
      <c r="AJ1152" s="48" t="s">
        <v>33</v>
      </c>
      <c r="AK1152" s="48" t="s">
        <v>33</v>
      </c>
      <c r="AL1152" s="48" t="s">
        <v>34</v>
      </c>
      <c r="AN1152" s="48">
        <v>0</v>
      </c>
      <c r="AO1152" s="48">
        <v>0</v>
      </c>
      <c r="AP1152" s="48">
        <v>0</v>
      </c>
      <c r="AQ1152" s="48">
        <v>0</v>
      </c>
      <c r="AR1152" s="48">
        <v>0</v>
      </c>
      <c r="AS1152" s="48">
        <v>0</v>
      </c>
      <c r="AT1152" s="48">
        <v>0</v>
      </c>
      <c r="AU1152" s="48">
        <v>0</v>
      </c>
      <c r="AV1152" s="48">
        <v>0</v>
      </c>
      <c r="AW1152" s="48">
        <v>0</v>
      </c>
      <c r="AX1152" s="48">
        <v>0</v>
      </c>
      <c r="AY1152" s="48">
        <v>0</v>
      </c>
      <c r="AZ1152" s="48">
        <v>0</v>
      </c>
      <c r="BA1152" s="48">
        <v>0</v>
      </c>
      <c r="BB1152" s="48">
        <v>0</v>
      </c>
    </row>
    <row r="1153" spans="1:54" x14ac:dyDescent="0.35">
      <c r="A1153" s="49">
        <v>45930</v>
      </c>
      <c r="B1153" s="48">
        <v>1</v>
      </c>
      <c r="C1153" s="50" t="s">
        <v>32</v>
      </c>
      <c r="D1153" s="48" t="s">
        <v>31</v>
      </c>
      <c r="E1153" s="48" t="s">
        <v>138</v>
      </c>
      <c r="F1153" s="48" t="s">
        <v>139</v>
      </c>
      <c r="G1153" s="49" t="s">
        <v>64</v>
      </c>
      <c r="H1153" s="48" t="s">
        <v>64</v>
      </c>
      <c r="I1153" s="48">
        <v>1</v>
      </c>
      <c r="J1153" s="48">
        <v>122</v>
      </c>
      <c r="K1153" s="48">
        <v>1</v>
      </c>
      <c r="N1153" s="48">
        <v>0</v>
      </c>
      <c r="R1153" s="49"/>
      <c r="S1153" s="181">
        <v>0</v>
      </c>
      <c r="T1153" s="49">
        <v>49643</v>
      </c>
      <c r="U1153" s="49">
        <v>49643</v>
      </c>
      <c r="V1153" s="49">
        <v>49643</v>
      </c>
      <c r="W1153" s="49">
        <v>49643</v>
      </c>
      <c r="X1153" s="48">
        <v>1</v>
      </c>
      <c r="Y1153" s="48">
        <v>1</v>
      </c>
      <c r="Z1153" s="48">
        <v>1</v>
      </c>
      <c r="AA1153" s="156">
        <v>0</v>
      </c>
      <c r="AF1153" s="48">
        <v>0</v>
      </c>
      <c r="AG1153" s="49" t="s">
        <v>32</v>
      </c>
      <c r="AH1153" s="48">
        <v>1</v>
      </c>
      <c r="AI1153" s="48" t="s">
        <v>33</v>
      </c>
      <c r="AJ1153" s="48" t="s">
        <v>33</v>
      </c>
      <c r="AK1153" s="48" t="s">
        <v>33</v>
      </c>
      <c r="AL1153" s="48" t="s">
        <v>34</v>
      </c>
      <c r="AN1153" s="48">
        <v>0</v>
      </c>
      <c r="AO1153" s="48">
        <v>0</v>
      </c>
      <c r="AP1153" s="48">
        <v>0</v>
      </c>
      <c r="AQ1153" s="48">
        <v>0</v>
      </c>
      <c r="AR1153" s="48">
        <v>0</v>
      </c>
      <c r="AS1153" s="48">
        <v>0</v>
      </c>
      <c r="AT1153" s="48">
        <v>0</v>
      </c>
      <c r="AU1153" s="48">
        <v>0</v>
      </c>
      <c r="AV1153" s="48">
        <v>0</v>
      </c>
      <c r="AW1153" s="48">
        <v>0</v>
      </c>
      <c r="AX1153" s="48">
        <v>0</v>
      </c>
      <c r="AY1153" s="48">
        <v>0</v>
      </c>
      <c r="AZ1153" s="48">
        <v>0</v>
      </c>
      <c r="BA1153" s="48">
        <v>0</v>
      </c>
      <c r="BB1153" s="48">
        <v>0</v>
      </c>
    </row>
    <row r="1154" spans="1:54" x14ac:dyDescent="0.35">
      <c r="A1154" s="49">
        <v>45930</v>
      </c>
      <c r="B1154" s="48">
        <v>1</v>
      </c>
      <c r="C1154" s="50" t="s">
        <v>32</v>
      </c>
      <c r="D1154" s="48" t="s">
        <v>31</v>
      </c>
      <c r="E1154" s="48" t="s">
        <v>138</v>
      </c>
      <c r="F1154" s="48" t="s">
        <v>139</v>
      </c>
      <c r="G1154" s="49" t="s">
        <v>64</v>
      </c>
      <c r="H1154" s="48" t="s">
        <v>64</v>
      </c>
      <c r="I1154" s="48">
        <v>1</v>
      </c>
      <c r="J1154" s="48">
        <v>123</v>
      </c>
      <c r="K1154" s="48">
        <v>1</v>
      </c>
      <c r="N1154" s="48">
        <v>0</v>
      </c>
      <c r="R1154" s="49"/>
      <c r="S1154" s="181">
        <v>0</v>
      </c>
      <c r="T1154" s="49">
        <v>49674</v>
      </c>
      <c r="U1154" s="49">
        <v>49674</v>
      </c>
      <c r="V1154" s="49">
        <v>49674</v>
      </c>
      <c r="W1154" s="49">
        <v>49674</v>
      </c>
      <c r="X1154" s="48">
        <v>1</v>
      </c>
      <c r="Y1154" s="48">
        <v>1</v>
      </c>
      <c r="Z1154" s="48">
        <v>1</v>
      </c>
      <c r="AA1154" s="156">
        <v>0</v>
      </c>
      <c r="AF1154" s="48">
        <v>0</v>
      </c>
      <c r="AG1154" s="49" t="s">
        <v>32</v>
      </c>
      <c r="AH1154" s="48">
        <v>1</v>
      </c>
      <c r="AI1154" s="48" t="s">
        <v>33</v>
      </c>
      <c r="AJ1154" s="48" t="s">
        <v>33</v>
      </c>
      <c r="AK1154" s="48" t="s">
        <v>33</v>
      </c>
      <c r="AL1154" s="48" t="s">
        <v>34</v>
      </c>
      <c r="AN1154" s="48">
        <v>0</v>
      </c>
      <c r="AO1154" s="48">
        <v>0</v>
      </c>
      <c r="AP1154" s="48">
        <v>0</v>
      </c>
      <c r="AQ1154" s="48">
        <v>0</v>
      </c>
      <c r="AR1154" s="48">
        <v>0</v>
      </c>
      <c r="AS1154" s="48">
        <v>0</v>
      </c>
      <c r="AT1154" s="48">
        <v>0</v>
      </c>
      <c r="AU1154" s="48">
        <v>0</v>
      </c>
      <c r="AV1154" s="48">
        <v>0</v>
      </c>
      <c r="AW1154" s="48">
        <v>0</v>
      </c>
      <c r="AX1154" s="48">
        <v>0</v>
      </c>
      <c r="AY1154" s="48">
        <v>0</v>
      </c>
      <c r="AZ1154" s="48">
        <v>0</v>
      </c>
      <c r="BA1154" s="48">
        <v>0</v>
      </c>
      <c r="BB1154" s="48">
        <v>0</v>
      </c>
    </row>
    <row r="1155" spans="1:54" x14ac:dyDescent="0.35">
      <c r="A1155" s="49">
        <v>45930</v>
      </c>
      <c r="B1155" s="48">
        <v>1</v>
      </c>
      <c r="C1155" s="50" t="s">
        <v>32</v>
      </c>
      <c r="D1155" s="48" t="s">
        <v>31</v>
      </c>
      <c r="E1155" s="48" t="s">
        <v>138</v>
      </c>
      <c r="F1155" s="48" t="s">
        <v>139</v>
      </c>
      <c r="G1155" s="49" t="s">
        <v>64</v>
      </c>
      <c r="H1155" s="48" t="s">
        <v>64</v>
      </c>
      <c r="I1155" s="48">
        <v>1</v>
      </c>
      <c r="J1155" s="48">
        <v>124</v>
      </c>
      <c r="K1155" s="48">
        <v>1</v>
      </c>
      <c r="N1155" s="48">
        <v>0</v>
      </c>
      <c r="R1155" s="49"/>
      <c r="S1155" s="181">
        <v>0</v>
      </c>
      <c r="T1155" s="49">
        <v>49705</v>
      </c>
      <c r="U1155" s="49">
        <v>49705</v>
      </c>
      <c r="V1155" s="49">
        <v>49705</v>
      </c>
      <c r="W1155" s="49">
        <v>49705</v>
      </c>
      <c r="X1155" s="48">
        <v>1</v>
      </c>
      <c r="Y1155" s="48">
        <v>1</v>
      </c>
      <c r="Z1155" s="48">
        <v>1</v>
      </c>
      <c r="AA1155" s="156">
        <v>0</v>
      </c>
      <c r="AF1155" s="48">
        <v>0</v>
      </c>
      <c r="AG1155" s="49" t="s">
        <v>32</v>
      </c>
      <c r="AH1155" s="48">
        <v>1</v>
      </c>
      <c r="AI1155" s="48" t="s">
        <v>33</v>
      </c>
      <c r="AJ1155" s="48" t="s">
        <v>33</v>
      </c>
      <c r="AK1155" s="48" t="s">
        <v>33</v>
      </c>
      <c r="AL1155" s="48" t="s">
        <v>34</v>
      </c>
      <c r="AN1155" s="48">
        <v>0</v>
      </c>
      <c r="AO1155" s="48">
        <v>0</v>
      </c>
      <c r="AP1155" s="48">
        <v>0</v>
      </c>
      <c r="AQ1155" s="48">
        <v>0</v>
      </c>
      <c r="AR1155" s="48">
        <v>0</v>
      </c>
      <c r="AS1155" s="48">
        <v>0</v>
      </c>
      <c r="AT1155" s="48">
        <v>0</v>
      </c>
      <c r="AU1155" s="48">
        <v>0</v>
      </c>
      <c r="AV1155" s="48">
        <v>0</v>
      </c>
      <c r="AW1155" s="48">
        <v>0</v>
      </c>
      <c r="AX1155" s="48">
        <v>0</v>
      </c>
      <c r="AY1155" s="48">
        <v>0</v>
      </c>
      <c r="AZ1155" s="48">
        <v>0</v>
      </c>
      <c r="BA1155" s="48">
        <v>0</v>
      </c>
      <c r="BB1155" s="48">
        <v>0</v>
      </c>
    </row>
    <row r="1156" spans="1:54" x14ac:dyDescent="0.35">
      <c r="A1156" s="49">
        <v>45930</v>
      </c>
      <c r="B1156" s="48">
        <v>1</v>
      </c>
      <c r="C1156" s="50" t="s">
        <v>32</v>
      </c>
      <c r="D1156" s="48" t="s">
        <v>31</v>
      </c>
      <c r="E1156" s="48" t="s">
        <v>138</v>
      </c>
      <c r="F1156" s="48" t="s">
        <v>139</v>
      </c>
      <c r="G1156" s="49" t="s">
        <v>64</v>
      </c>
      <c r="H1156" s="48" t="s">
        <v>64</v>
      </c>
      <c r="I1156" s="48">
        <v>1</v>
      </c>
      <c r="J1156" s="48">
        <v>125</v>
      </c>
      <c r="K1156" s="48">
        <v>1</v>
      </c>
      <c r="N1156" s="48">
        <v>0</v>
      </c>
      <c r="R1156" s="49"/>
      <c r="S1156" s="181">
        <v>0</v>
      </c>
      <c r="T1156" s="49">
        <v>49734</v>
      </c>
      <c r="U1156" s="49">
        <v>49734</v>
      </c>
      <c r="V1156" s="49">
        <v>49734</v>
      </c>
      <c r="W1156" s="49">
        <v>49734</v>
      </c>
      <c r="X1156" s="48">
        <v>1</v>
      </c>
      <c r="Y1156" s="48">
        <v>1</v>
      </c>
      <c r="Z1156" s="48">
        <v>1</v>
      </c>
      <c r="AA1156" s="156">
        <v>0</v>
      </c>
      <c r="AF1156" s="48">
        <v>0</v>
      </c>
      <c r="AG1156" s="49" t="s">
        <v>32</v>
      </c>
      <c r="AH1156" s="48">
        <v>1</v>
      </c>
      <c r="AI1156" s="48" t="s">
        <v>33</v>
      </c>
      <c r="AJ1156" s="48" t="s">
        <v>33</v>
      </c>
      <c r="AK1156" s="48" t="s">
        <v>33</v>
      </c>
      <c r="AL1156" s="48" t="s">
        <v>34</v>
      </c>
      <c r="AN1156" s="48">
        <v>0</v>
      </c>
      <c r="AO1156" s="48">
        <v>0</v>
      </c>
      <c r="AP1156" s="48">
        <v>0</v>
      </c>
      <c r="AQ1156" s="48">
        <v>0</v>
      </c>
      <c r="AR1156" s="48">
        <v>0</v>
      </c>
      <c r="AS1156" s="48">
        <v>0</v>
      </c>
      <c r="AT1156" s="48">
        <v>0</v>
      </c>
      <c r="AU1156" s="48">
        <v>0</v>
      </c>
      <c r="AV1156" s="48">
        <v>0</v>
      </c>
      <c r="AW1156" s="48">
        <v>0</v>
      </c>
      <c r="AX1156" s="48">
        <v>0</v>
      </c>
      <c r="AY1156" s="48">
        <v>0</v>
      </c>
      <c r="AZ1156" s="48">
        <v>0</v>
      </c>
      <c r="BA1156" s="48">
        <v>0</v>
      </c>
      <c r="BB1156" s="48">
        <v>0</v>
      </c>
    </row>
    <row r="1157" spans="1:54" x14ac:dyDescent="0.35">
      <c r="A1157" s="49">
        <v>45930</v>
      </c>
      <c r="B1157" s="48">
        <v>1</v>
      </c>
      <c r="C1157" s="50" t="s">
        <v>32</v>
      </c>
      <c r="D1157" s="48" t="s">
        <v>31</v>
      </c>
      <c r="E1157" s="48" t="s">
        <v>138</v>
      </c>
      <c r="F1157" s="48" t="s">
        <v>139</v>
      </c>
      <c r="G1157" s="49" t="s">
        <v>64</v>
      </c>
      <c r="H1157" s="48" t="s">
        <v>64</v>
      </c>
      <c r="I1157" s="48">
        <v>1</v>
      </c>
      <c r="J1157" s="48">
        <v>126</v>
      </c>
      <c r="K1157" s="48">
        <v>1</v>
      </c>
      <c r="N1157" s="48">
        <v>0</v>
      </c>
      <c r="R1157" s="49"/>
      <c r="S1157" s="181">
        <v>0</v>
      </c>
      <c r="T1157" s="49">
        <v>49765</v>
      </c>
      <c r="U1157" s="49">
        <v>49765</v>
      </c>
      <c r="V1157" s="49">
        <v>49765</v>
      </c>
      <c r="W1157" s="49">
        <v>49765</v>
      </c>
      <c r="X1157" s="48">
        <v>1</v>
      </c>
      <c r="Y1157" s="48">
        <v>1</v>
      </c>
      <c r="Z1157" s="48">
        <v>1</v>
      </c>
      <c r="AA1157" s="156">
        <v>0</v>
      </c>
      <c r="AF1157" s="48">
        <v>0</v>
      </c>
      <c r="AG1157" s="49" t="s">
        <v>32</v>
      </c>
      <c r="AH1157" s="48">
        <v>1</v>
      </c>
      <c r="AI1157" s="48" t="s">
        <v>33</v>
      </c>
      <c r="AJ1157" s="48" t="s">
        <v>33</v>
      </c>
      <c r="AK1157" s="48" t="s">
        <v>33</v>
      </c>
      <c r="AL1157" s="48" t="s">
        <v>34</v>
      </c>
      <c r="AN1157" s="48">
        <v>0</v>
      </c>
      <c r="AO1157" s="48">
        <v>0</v>
      </c>
      <c r="AP1157" s="48">
        <v>0</v>
      </c>
      <c r="AQ1157" s="48">
        <v>0</v>
      </c>
      <c r="AR1157" s="48">
        <v>0</v>
      </c>
      <c r="AS1157" s="48">
        <v>0</v>
      </c>
      <c r="AT1157" s="48">
        <v>0</v>
      </c>
      <c r="AU1157" s="48">
        <v>0</v>
      </c>
      <c r="AV1157" s="48">
        <v>0</v>
      </c>
      <c r="AW1157" s="48">
        <v>0</v>
      </c>
      <c r="AX1157" s="48">
        <v>0</v>
      </c>
      <c r="AY1157" s="48">
        <v>0</v>
      </c>
      <c r="AZ1157" s="48">
        <v>0</v>
      </c>
      <c r="BA1157" s="48">
        <v>0</v>
      </c>
      <c r="BB1157" s="48">
        <v>0</v>
      </c>
    </row>
    <row r="1158" spans="1:54" x14ac:dyDescent="0.35">
      <c r="A1158" s="49">
        <v>45930</v>
      </c>
      <c r="B1158" s="48">
        <v>1</v>
      </c>
      <c r="C1158" s="50" t="s">
        <v>32</v>
      </c>
      <c r="D1158" s="48" t="s">
        <v>31</v>
      </c>
      <c r="E1158" s="48" t="s">
        <v>138</v>
      </c>
      <c r="F1158" s="48" t="s">
        <v>139</v>
      </c>
      <c r="G1158" s="49" t="s">
        <v>64</v>
      </c>
      <c r="H1158" s="48" t="s">
        <v>64</v>
      </c>
      <c r="I1158" s="48">
        <v>1</v>
      </c>
      <c r="J1158" s="48">
        <v>127</v>
      </c>
      <c r="K1158" s="48">
        <v>1</v>
      </c>
      <c r="N1158" s="48">
        <v>0</v>
      </c>
      <c r="R1158" s="49"/>
      <c r="S1158" s="181">
        <v>0</v>
      </c>
      <c r="T1158" s="49">
        <v>49795</v>
      </c>
      <c r="U1158" s="49">
        <v>49795</v>
      </c>
      <c r="V1158" s="49">
        <v>49795</v>
      </c>
      <c r="W1158" s="49">
        <v>49795</v>
      </c>
      <c r="X1158" s="48">
        <v>1</v>
      </c>
      <c r="Y1158" s="48">
        <v>1</v>
      </c>
      <c r="Z1158" s="48">
        <v>1</v>
      </c>
      <c r="AA1158" s="156">
        <v>0</v>
      </c>
      <c r="AF1158" s="48">
        <v>0</v>
      </c>
      <c r="AG1158" s="49" t="s">
        <v>32</v>
      </c>
      <c r="AH1158" s="48">
        <v>1</v>
      </c>
      <c r="AI1158" s="48" t="s">
        <v>33</v>
      </c>
      <c r="AJ1158" s="48" t="s">
        <v>33</v>
      </c>
      <c r="AK1158" s="48" t="s">
        <v>33</v>
      </c>
      <c r="AL1158" s="48" t="s">
        <v>34</v>
      </c>
      <c r="AN1158" s="48">
        <v>0</v>
      </c>
      <c r="AO1158" s="48">
        <v>0</v>
      </c>
      <c r="AP1158" s="48">
        <v>0</v>
      </c>
      <c r="AQ1158" s="48">
        <v>0</v>
      </c>
      <c r="AR1158" s="48">
        <v>0</v>
      </c>
      <c r="AS1158" s="48">
        <v>0</v>
      </c>
      <c r="AT1158" s="48">
        <v>0</v>
      </c>
      <c r="AU1158" s="48">
        <v>0</v>
      </c>
      <c r="AV1158" s="48">
        <v>0</v>
      </c>
      <c r="AW1158" s="48">
        <v>0</v>
      </c>
      <c r="AX1158" s="48">
        <v>0</v>
      </c>
      <c r="AY1158" s="48">
        <v>0</v>
      </c>
      <c r="AZ1158" s="48">
        <v>0</v>
      </c>
      <c r="BA1158" s="48">
        <v>0</v>
      </c>
      <c r="BB1158" s="48">
        <v>0</v>
      </c>
    </row>
    <row r="1159" spans="1:54" x14ac:dyDescent="0.35">
      <c r="A1159" s="49">
        <v>45930</v>
      </c>
      <c r="B1159" s="48">
        <v>1</v>
      </c>
      <c r="C1159" s="50" t="s">
        <v>32</v>
      </c>
      <c r="D1159" s="48" t="s">
        <v>31</v>
      </c>
      <c r="E1159" s="48" t="s">
        <v>138</v>
      </c>
      <c r="F1159" s="48" t="s">
        <v>139</v>
      </c>
      <c r="G1159" s="49" t="s">
        <v>64</v>
      </c>
      <c r="H1159" s="48" t="s">
        <v>64</v>
      </c>
      <c r="I1159" s="48">
        <v>1</v>
      </c>
      <c r="J1159" s="48">
        <v>128</v>
      </c>
      <c r="K1159" s="48">
        <v>1</v>
      </c>
      <c r="N1159" s="48">
        <v>0</v>
      </c>
      <c r="R1159" s="49"/>
      <c r="S1159" s="181">
        <v>0</v>
      </c>
      <c r="T1159" s="49">
        <v>49826</v>
      </c>
      <c r="U1159" s="49">
        <v>49826</v>
      </c>
      <c r="V1159" s="49">
        <v>49826</v>
      </c>
      <c r="W1159" s="49">
        <v>49826</v>
      </c>
      <c r="X1159" s="48">
        <v>1</v>
      </c>
      <c r="Y1159" s="48">
        <v>1</v>
      </c>
      <c r="Z1159" s="48">
        <v>1</v>
      </c>
      <c r="AA1159" s="156">
        <v>0</v>
      </c>
      <c r="AF1159" s="48">
        <v>0</v>
      </c>
      <c r="AG1159" s="49" t="s">
        <v>32</v>
      </c>
      <c r="AH1159" s="48">
        <v>1</v>
      </c>
      <c r="AI1159" s="48" t="s">
        <v>33</v>
      </c>
      <c r="AJ1159" s="48" t="s">
        <v>33</v>
      </c>
      <c r="AK1159" s="48" t="s">
        <v>33</v>
      </c>
      <c r="AL1159" s="48" t="s">
        <v>34</v>
      </c>
      <c r="AN1159" s="48">
        <v>0</v>
      </c>
      <c r="AO1159" s="48">
        <v>0</v>
      </c>
      <c r="AP1159" s="48">
        <v>0</v>
      </c>
      <c r="AQ1159" s="48">
        <v>0</v>
      </c>
      <c r="AR1159" s="48">
        <v>0</v>
      </c>
      <c r="AS1159" s="48">
        <v>0</v>
      </c>
      <c r="AT1159" s="48">
        <v>0</v>
      </c>
      <c r="AU1159" s="48">
        <v>0</v>
      </c>
      <c r="AV1159" s="48">
        <v>0</v>
      </c>
      <c r="AW1159" s="48">
        <v>0</v>
      </c>
      <c r="AX1159" s="48">
        <v>0</v>
      </c>
      <c r="AY1159" s="48">
        <v>0</v>
      </c>
      <c r="AZ1159" s="48">
        <v>0</v>
      </c>
      <c r="BA1159" s="48">
        <v>0</v>
      </c>
      <c r="BB1159" s="48">
        <v>0</v>
      </c>
    </row>
    <row r="1160" spans="1:54" x14ac:dyDescent="0.35">
      <c r="A1160" s="49">
        <v>45930</v>
      </c>
      <c r="B1160" s="48">
        <v>1</v>
      </c>
      <c r="C1160" s="50" t="s">
        <v>32</v>
      </c>
      <c r="D1160" s="48" t="s">
        <v>31</v>
      </c>
      <c r="E1160" s="48" t="s">
        <v>138</v>
      </c>
      <c r="F1160" s="48" t="s">
        <v>139</v>
      </c>
      <c r="G1160" s="49" t="s">
        <v>64</v>
      </c>
      <c r="H1160" s="48" t="s">
        <v>64</v>
      </c>
      <c r="I1160" s="48">
        <v>1</v>
      </c>
      <c r="J1160" s="48">
        <v>129</v>
      </c>
      <c r="K1160" s="48">
        <v>1</v>
      </c>
      <c r="N1160" s="48">
        <v>0</v>
      </c>
      <c r="R1160" s="49"/>
      <c r="S1160" s="181">
        <v>0</v>
      </c>
      <c r="T1160" s="49">
        <v>49856</v>
      </c>
      <c r="U1160" s="49">
        <v>49856</v>
      </c>
      <c r="V1160" s="49">
        <v>49856</v>
      </c>
      <c r="W1160" s="49">
        <v>49856</v>
      </c>
      <c r="X1160" s="48">
        <v>1</v>
      </c>
      <c r="Y1160" s="48">
        <v>1</v>
      </c>
      <c r="Z1160" s="48">
        <v>1</v>
      </c>
      <c r="AA1160" s="156">
        <v>0</v>
      </c>
      <c r="AF1160" s="48">
        <v>0</v>
      </c>
      <c r="AG1160" s="49" t="s">
        <v>32</v>
      </c>
      <c r="AH1160" s="48">
        <v>1</v>
      </c>
      <c r="AI1160" s="48" t="s">
        <v>33</v>
      </c>
      <c r="AJ1160" s="48" t="s">
        <v>33</v>
      </c>
      <c r="AK1160" s="48" t="s">
        <v>33</v>
      </c>
      <c r="AL1160" s="48" t="s">
        <v>34</v>
      </c>
      <c r="AN1160" s="48">
        <v>0</v>
      </c>
      <c r="AO1160" s="48">
        <v>0</v>
      </c>
      <c r="AP1160" s="48">
        <v>0</v>
      </c>
      <c r="AQ1160" s="48">
        <v>0</v>
      </c>
      <c r="AR1160" s="48">
        <v>0</v>
      </c>
      <c r="AS1160" s="48">
        <v>0</v>
      </c>
      <c r="AT1160" s="48">
        <v>0</v>
      </c>
      <c r="AU1160" s="48">
        <v>0</v>
      </c>
      <c r="AV1160" s="48">
        <v>0</v>
      </c>
      <c r="AW1160" s="48">
        <v>0</v>
      </c>
      <c r="AX1160" s="48">
        <v>0</v>
      </c>
      <c r="AY1160" s="48">
        <v>0</v>
      </c>
      <c r="AZ1160" s="48">
        <v>0</v>
      </c>
      <c r="BA1160" s="48">
        <v>0</v>
      </c>
      <c r="BB1160" s="48">
        <v>0</v>
      </c>
    </row>
    <row r="1161" spans="1:54" x14ac:dyDescent="0.35">
      <c r="A1161" s="49">
        <v>45930</v>
      </c>
      <c r="B1161" s="48">
        <v>1</v>
      </c>
      <c r="C1161" s="50" t="s">
        <v>32</v>
      </c>
      <c r="D1161" s="48" t="s">
        <v>31</v>
      </c>
      <c r="E1161" s="48" t="s">
        <v>138</v>
      </c>
      <c r="F1161" s="48" t="s">
        <v>139</v>
      </c>
      <c r="G1161" s="49" t="s">
        <v>64</v>
      </c>
      <c r="H1161" s="48" t="s">
        <v>64</v>
      </c>
      <c r="I1161" s="48">
        <v>1</v>
      </c>
      <c r="J1161" s="48">
        <v>130</v>
      </c>
      <c r="K1161" s="48">
        <v>1</v>
      </c>
      <c r="N1161" s="48">
        <v>0</v>
      </c>
      <c r="R1161" s="49"/>
      <c r="S1161" s="181">
        <v>0</v>
      </c>
      <c r="T1161" s="49">
        <v>49887</v>
      </c>
      <c r="U1161" s="49">
        <v>49887</v>
      </c>
      <c r="V1161" s="49">
        <v>49887</v>
      </c>
      <c r="W1161" s="49">
        <v>49887</v>
      </c>
      <c r="X1161" s="48">
        <v>1</v>
      </c>
      <c r="Y1161" s="48">
        <v>1</v>
      </c>
      <c r="Z1161" s="48">
        <v>1</v>
      </c>
      <c r="AA1161" s="156">
        <v>0</v>
      </c>
      <c r="AF1161" s="48">
        <v>0</v>
      </c>
      <c r="AG1161" s="49" t="s">
        <v>32</v>
      </c>
      <c r="AH1161" s="48">
        <v>1</v>
      </c>
      <c r="AI1161" s="48" t="s">
        <v>33</v>
      </c>
      <c r="AJ1161" s="48" t="s">
        <v>33</v>
      </c>
      <c r="AK1161" s="48" t="s">
        <v>33</v>
      </c>
      <c r="AL1161" s="48" t="s">
        <v>34</v>
      </c>
      <c r="AN1161" s="48">
        <v>0</v>
      </c>
      <c r="AO1161" s="48">
        <v>0</v>
      </c>
      <c r="AP1161" s="48">
        <v>0</v>
      </c>
      <c r="AQ1161" s="48">
        <v>0</v>
      </c>
      <c r="AR1161" s="48">
        <v>0</v>
      </c>
      <c r="AS1161" s="48">
        <v>0</v>
      </c>
      <c r="AT1161" s="48">
        <v>0</v>
      </c>
      <c r="AU1161" s="48">
        <v>0</v>
      </c>
      <c r="AV1161" s="48">
        <v>0</v>
      </c>
      <c r="AW1161" s="48">
        <v>0</v>
      </c>
      <c r="AX1161" s="48">
        <v>0</v>
      </c>
      <c r="AY1161" s="48">
        <v>0</v>
      </c>
      <c r="AZ1161" s="48">
        <v>0</v>
      </c>
      <c r="BA1161" s="48">
        <v>0</v>
      </c>
      <c r="BB1161" s="48">
        <v>0</v>
      </c>
    </row>
    <row r="1162" spans="1:54" x14ac:dyDescent="0.35">
      <c r="A1162" s="49">
        <v>45930</v>
      </c>
      <c r="B1162" s="48">
        <v>1</v>
      </c>
      <c r="C1162" s="50" t="s">
        <v>32</v>
      </c>
      <c r="D1162" s="48" t="s">
        <v>31</v>
      </c>
      <c r="E1162" s="48" t="s">
        <v>138</v>
      </c>
      <c r="F1162" s="48" t="s">
        <v>139</v>
      </c>
      <c r="G1162" s="49" t="s">
        <v>64</v>
      </c>
      <c r="H1162" s="48" t="s">
        <v>64</v>
      </c>
      <c r="I1162" s="48">
        <v>1</v>
      </c>
      <c r="J1162" s="48">
        <v>131</v>
      </c>
      <c r="K1162" s="48">
        <v>1</v>
      </c>
      <c r="N1162" s="48">
        <v>0</v>
      </c>
      <c r="R1162" s="49"/>
      <c r="S1162" s="181">
        <v>0</v>
      </c>
      <c r="T1162" s="49">
        <v>49918</v>
      </c>
      <c r="U1162" s="49">
        <v>49918</v>
      </c>
      <c r="V1162" s="49">
        <v>49918</v>
      </c>
      <c r="W1162" s="49">
        <v>49918</v>
      </c>
      <c r="X1162" s="48">
        <v>1</v>
      </c>
      <c r="Y1162" s="48">
        <v>1</v>
      </c>
      <c r="Z1162" s="48">
        <v>1</v>
      </c>
      <c r="AA1162" s="156">
        <v>0</v>
      </c>
      <c r="AF1162" s="48">
        <v>0</v>
      </c>
      <c r="AG1162" s="49" t="s">
        <v>32</v>
      </c>
      <c r="AH1162" s="48">
        <v>1</v>
      </c>
      <c r="AI1162" s="48" t="s">
        <v>33</v>
      </c>
      <c r="AJ1162" s="48" t="s">
        <v>33</v>
      </c>
      <c r="AK1162" s="48" t="s">
        <v>33</v>
      </c>
      <c r="AL1162" s="48" t="s">
        <v>34</v>
      </c>
      <c r="AN1162" s="48">
        <v>0</v>
      </c>
      <c r="AO1162" s="48">
        <v>0</v>
      </c>
      <c r="AP1162" s="48">
        <v>0</v>
      </c>
      <c r="AQ1162" s="48">
        <v>0</v>
      </c>
      <c r="AR1162" s="48">
        <v>0</v>
      </c>
      <c r="AS1162" s="48">
        <v>0</v>
      </c>
      <c r="AT1162" s="48">
        <v>0</v>
      </c>
      <c r="AU1162" s="48">
        <v>0</v>
      </c>
      <c r="AV1162" s="48">
        <v>0</v>
      </c>
      <c r="AW1162" s="48">
        <v>0</v>
      </c>
      <c r="AX1162" s="48">
        <v>0</v>
      </c>
      <c r="AY1162" s="48">
        <v>0</v>
      </c>
      <c r="AZ1162" s="48">
        <v>0</v>
      </c>
      <c r="BA1162" s="48">
        <v>0</v>
      </c>
      <c r="BB1162" s="48">
        <v>0</v>
      </c>
    </row>
    <row r="1163" spans="1:54" x14ac:dyDescent="0.35">
      <c r="A1163" s="49">
        <v>45930</v>
      </c>
      <c r="B1163" s="48">
        <v>1</v>
      </c>
      <c r="C1163" s="50" t="s">
        <v>32</v>
      </c>
      <c r="D1163" s="48" t="s">
        <v>31</v>
      </c>
      <c r="E1163" s="48" t="s">
        <v>138</v>
      </c>
      <c r="F1163" s="48" t="s">
        <v>139</v>
      </c>
      <c r="G1163" s="49" t="s">
        <v>64</v>
      </c>
      <c r="H1163" s="48" t="s">
        <v>64</v>
      </c>
      <c r="I1163" s="48">
        <v>1</v>
      </c>
      <c r="J1163" s="48">
        <v>132</v>
      </c>
      <c r="K1163" s="48">
        <v>1</v>
      </c>
      <c r="N1163" s="48">
        <v>0</v>
      </c>
      <c r="R1163" s="49"/>
      <c r="S1163" s="181">
        <v>0</v>
      </c>
      <c r="T1163" s="49">
        <v>49948</v>
      </c>
      <c r="U1163" s="49">
        <v>49948</v>
      </c>
      <c r="V1163" s="49">
        <v>49948</v>
      </c>
      <c r="W1163" s="49">
        <v>49948</v>
      </c>
      <c r="X1163" s="48">
        <v>1</v>
      </c>
      <c r="Y1163" s="48">
        <v>1</v>
      </c>
      <c r="Z1163" s="48">
        <v>1</v>
      </c>
      <c r="AA1163" s="156">
        <v>0</v>
      </c>
      <c r="AF1163" s="48">
        <v>0</v>
      </c>
      <c r="AG1163" s="49" t="s">
        <v>32</v>
      </c>
      <c r="AH1163" s="48">
        <v>1</v>
      </c>
      <c r="AI1163" s="48" t="s">
        <v>33</v>
      </c>
      <c r="AJ1163" s="48" t="s">
        <v>33</v>
      </c>
      <c r="AK1163" s="48" t="s">
        <v>33</v>
      </c>
      <c r="AL1163" s="48" t="s">
        <v>34</v>
      </c>
      <c r="AN1163" s="48">
        <v>0</v>
      </c>
      <c r="AO1163" s="48">
        <v>0</v>
      </c>
      <c r="AP1163" s="48">
        <v>0</v>
      </c>
      <c r="AQ1163" s="48">
        <v>0</v>
      </c>
      <c r="AR1163" s="48">
        <v>0</v>
      </c>
      <c r="AS1163" s="48">
        <v>0</v>
      </c>
      <c r="AT1163" s="48">
        <v>0</v>
      </c>
      <c r="AU1163" s="48">
        <v>0</v>
      </c>
      <c r="AV1163" s="48">
        <v>0</v>
      </c>
      <c r="AW1163" s="48">
        <v>0</v>
      </c>
      <c r="AX1163" s="48">
        <v>0</v>
      </c>
      <c r="AY1163" s="48">
        <v>0</v>
      </c>
      <c r="AZ1163" s="48">
        <v>0</v>
      </c>
      <c r="BA1163" s="48">
        <v>0</v>
      </c>
      <c r="BB1163" s="48">
        <v>0</v>
      </c>
    </row>
    <row r="1164" spans="1:54" x14ac:dyDescent="0.35">
      <c r="A1164" s="49">
        <v>45930</v>
      </c>
      <c r="B1164" s="48">
        <v>1</v>
      </c>
      <c r="C1164" s="50" t="s">
        <v>32</v>
      </c>
      <c r="D1164" s="48" t="s">
        <v>31</v>
      </c>
      <c r="E1164" s="48" t="s">
        <v>138</v>
      </c>
      <c r="F1164" s="48" t="s">
        <v>139</v>
      </c>
      <c r="G1164" s="49" t="s">
        <v>64</v>
      </c>
      <c r="H1164" s="48" t="s">
        <v>64</v>
      </c>
      <c r="I1164" s="48">
        <v>1</v>
      </c>
      <c r="J1164" s="48">
        <v>133</v>
      </c>
      <c r="K1164" s="48">
        <v>1</v>
      </c>
      <c r="N1164" s="48">
        <v>0</v>
      </c>
      <c r="R1164" s="49"/>
      <c r="S1164" s="181">
        <v>0</v>
      </c>
      <c r="T1164" s="49">
        <v>49979</v>
      </c>
      <c r="U1164" s="49">
        <v>49979</v>
      </c>
      <c r="V1164" s="49">
        <v>49979</v>
      </c>
      <c r="W1164" s="49">
        <v>49979</v>
      </c>
      <c r="X1164" s="48">
        <v>1</v>
      </c>
      <c r="Y1164" s="48">
        <v>1</v>
      </c>
      <c r="Z1164" s="48">
        <v>1</v>
      </c>
      <c r="AA1164" s="156">
        <v>0</v>
      </c>
      <c r="AF1164" s="48">
        <v>0</v>
      </c>
      <c r="AG1164" s="49" t="s">
        <v>32</v>
      </c>
      <c r="AH1164" s="48">
        <v>1</v>
      </c>
      <c r="AI1164" s="48" t="s">
        <v>33</v>
      </c>
      <c r="AJ1164" s="48" t="s">
        <v>33</v>
      </c>
      <c r="AK1164" s="48" t="s">
        <v>33</v>
      </c>
      <c r="AL1164" s="48" t="s">
        <v>34</v>
      </c>
      <c r="AN1164" s="48">
        <v>0</v>
      </c>
      <c r="AO1164" s="48">
        <v>0</v>
      </c>
      <c r="AP1164" s="48">
        <v>0</v>
      </c>
      <c r="AQ1164" s="48">
        <v>0</v>
      </c>
      <c r="AR1164" s="48">
        <v>0</v>
      </c>
      <c r="AS1164" s="48">
        <v>0</v>
      </c>
      <c r="AT1164" s="48">
        <v>0</v>
      </c>
      <c r="AU1164" s="48">
        <v>0</v>
      </c>
      <c r="AV1164" s="48">
        <v>0</v>
      </c>
      <c r="AW1164" s="48">
        <v>0</v>
      </c>
      <c r="AX1164" s="48">
        <v>0</v>
      </c>
      <c r="AY1164" s="48">
        <v>0</v>
      </c>
      <c r="AZ1164" s="48">
        <v>0</v>
      </c>
      <c r="BA1164" s="48">
        <v>0</v>
      </c>
      <c r="BB1164" s="48">
        <v>0</v>
      </c>
    </row>
    <row r="1165" spans="1:54" x14ac:dyDescent="0.35">
      <c r="A1165" s="49">
        <v>45930</v>
      </c>
      <c r="B1165" s="48">
        <v>1</v>
      </c>
      <c r="C1165" s="50" t="s">
        <v>32</v>
      </c>
      <c r="D1165" s="48" t="s">
        <v>31</v>
      </c>
      <c r="E1165" s="48" t="s">
        <v>138</v>
      </c>
      <c r="F1165" s="48" t="s">
        <v>139</v>
      </c>
      <c r="G1165" s="49" t="s">
        <v>64</v>
      </c>
      <c r="H1165" s="48" t="s">
        <v>64</v>
      </c>
      <c r="I1165" s="48">
        <v>1</v>
      </c>
      <c r="J1165" s="48">
        <v>134</v>
      </c>
      <c r="K1165" s="48">
        <v>1</v>
      </c>
      <c r="N1165" s="48">
        <v>0</v>
      </c>
      <c r="R1165" s="49"/>
      <c r="S1165" s="181">
        <v>0</v>
      </c>
      <c r="T1165" s="49">
        <v>50009</v>
      </c>
      <c r="U1165" s="49">
        <v>50009</v>
      </c>
      <c r="V1165" s="49">
        <v>50009</v>
      </c>
      <c r="W1165" s="49">
        <v>50009</v>
      </c>
      <c r="X1165" s="48">
        <v>1</v>
      </c>
      <c r="Y1165" s="48">
        <v>1</v>
      </c>
      <c r="Z1165" s="48">
        <v>1</v>
      </c>
      <c r="AA1165" s="156">
        <v>0</v>
      </c>
      <c r="AF1165" s="48">
        <v>0</v>
      </c>
      <c r="AG1165" s="49" t="s">
        <v>32</v>
      </c>
      <c r="AH1165" s="48">
        <v>1</v>
      </c>
      <c r="AI1165" s="48" t="s">
        <v>33</v>
      </c>
      <c r="AJ1165" s="48" t="s">
        <v>33</v>
      </c>
      <c r="AK1165" s="48" t="s">
        <v>33</v>
      </c>
      <c r="AL1165" s="48" t="s">
        <v>34</v>
      </c>
      <c r="AN1165" s="48">
        <v>0</v>
      </c>
      <c r="AO1165" s="48">
        <v>0</v>
      </c>
      <c r="AP1165" s="48">
        <v>0</v>
      </c>
      <c r="AQ1165" s="48">
        <v>0</v>
      </c>
      <c r="AR1165" s="48">
        <v>0</v>
      </c>
      <c r="AS1165" s="48">
        <v>0</v>
      </c>
      <c r="AT1165" s="48">
        <v>0</v>
      </c>
      <c r="AU1165" s="48">
        <v>0</v>
      </c>
      <c r="AV1165" s="48">
        <v>0</v>
      </c>
      <c r="AW1165" s="48">
        <v>0</v>
      </c>
      <c r="AX1165" s="48">
        <v>0</v>
      </c>
      <c r="AY1165" s="48">
        <v>0</v>
      </c>
      <c r="AZ1165" s="48">
        <v>0</v>
      </c>
      <c r="BA1165" s="48">
        <v>0</v>
      </c>
      <c r="BB1165" s="48">
        <v>0</v>
      </c>
    </row>
    <row r="1166" spans="1:54" x14ac:dyDescent="0.35">
      <c r="A1166" s="49">
        <v>45930</v>
      </c>
      <c r="B1166" s="48">
        <v>1</v>
      </c>
      <c r="C1166" s="50" t="s">
        <v>32</v>
      </c>
      <c r="D1166" s="48" t="s">
        <v>31</v>
      </c>
      <c r="E1166" s="48" t="s">
        <v>138</v>
      </c>
      <c r="F1166" s="48" t="s">
        <v>139</v>
      </c>
      <c r="G1166" s="49" t="s">
        <v>64</v>
      </c>
      <c r="H1166" s="48" t="s">
        <v>64</v>
      </c>
      <c r="I1166" s="48">
        <v>1</v>
      </c>
      <c r="J1166" s="48">
        <v>135</v>
      </c>
      <c r="K1166" s="48">
        <v>1</v>
      </c>
      <c r="N1166" s="48">
        <v>0</v>
      </c>
      <c r="R1166" s="49"/>
      <c r="S1166" s="181">
        <v>0</v>
      </c>
      <c r="T1166" s="49">
        <v>50040</v>
      </c>
      <c r="U1166" s="49">
        <v>50040</v>
      </c>
      <c r="V1166" s="49">
        <v>50040</v>
      </c>
      <c r="W1166" s="49">
        <v>50040</v>
      </c>
      <c r="X1166" s="48">
        <v>1</v>
      </c>
      <c r="Y1166" s="48">
        <v>1</v>
      </c>
      <c r="Z1166" s="48">
        <v>1</v>
      </c>
      <c r="AA1166" s="156">
        <v>0</v>
      </c>
      <c r="AF1166" s="48">
        <v>0</v>
      </c>
      <c r="AG1166" s="49" t="s">
        <v>32</v>
      </c>
      <c r="AH1166" s="48">
        <v>1</v>
      </c>
      <c r="AI1166" s="48" t="s">
        <v>33</v>
      </c>
      <c r="AJ1166" s="48" t="s">
        <v>33</v>
      </c>
      <c r="AK1166" s="48" t="s">
        <v>33</v>
      </c>
      <c r="AL1166" s="48" t="s">
        <v>34</v>
      </c>
      <c r="AN1166" s="48">
        <v>0</v>
      </c>
      <c r="AO1166" s="48">
        <v>0</v>
      </c>
      <c r="AP1166" s="48">
        <v>0</v>
      </c>
      <c r="AQ1166" s="48">
        <v>0</v>
      </c>
      <c r="AR1166" s="48">
        <v>0</v>
      </c>
      <c r="AS1166" s="48">
        <v>0</v>
      </c>
      <c r="AT1166" s="48">
        <v>0</v>
      </c>
      <c r="AU1166" s="48">
        <v>0</v>
      </c>
      <c r="AV1166" s="48">
        <v>0</v>
      </c>
      <c r="AW1166" s="48">
        <v>0</v>
      </c>
      <c r="AX1166" s="48">
        <v>0</v>
      </c>
      <c r="AY1166" s="48">
        <v>0</v>
      </c>
      <c r="AZ1166" s="48">
        <v>0</v>
      </c>
      <c r="BA1166" s="48">
        <v>0</v>
      </c>
      <c r="BB1166" s="48">
        <v>0</v>
      </c>
    </row>
    <row r="1167" spans="1:54" x14ac:dyDescent="0.35">
      <c r="A1167" s="49">
        <v>45930</v>
      </c>
      <c r="B1167" s="48">
        <v>1</v>
      </c>
      <c r="C1167" s="50" t="s">
        <v>32</v>
      </c>
      <c r="D1167" s="48" t="s">
        <v>31</v>
      </c>
      <c r="E1167" s="48" t="s">
        <v>138</v>
      </c>
      <c r="F1167" s="48" t="s">
        <v>139</v>
      </c>
      <c r="G1167" s="49" t="s">
        <v>64</v>
      </c>
      <c r="H1167" s="48" t="s">
        <v>64</v>
      </c>
      <c r="I1167" s="48">
        <v>1</v>
      </c>
      <c r="J1167" s="48">
        <v>136</v>
      </c>
      <c r="K1167" s="48">
        <v>1</v>
      </c>
      <c r="N1167" s="48">
        <v>0</v>
      </c>
      <c r="R1167" s="49"/>
      <c r="S1167" s="181">
        <v>0</v>
      </c>
      <c r="T1167" s="49">
        <v>50071</v>
      </c>
      <c r="U1167" s="49">
        <v>50071</v>
      </c>
      <c r="V1167" s="49">
        <v>50071</v>
      </c>
      <c r="W1167" s="49">
        <v>50071</v>
      </c>
      <c r="X1167" s="48">
        <v>1</v>
      </c>
      <c r="Y1167" s="48">
        <v>1</v>
      </c>
      <c r="Z1167" s="48">
        <v>1</v>
      </c>
      <c r="AA1167" s="156">
        <v>0</v>
      </c>
      <c r="AF1167" s="48">
        <v>0</v>
      </c>
      <c r="AG1167" s="49" t="s">
        <v>32</v>
      </c>
      <c r="AH1167" s="48">
        <v>1</v>
      </c>
      <c r="AI1167" s="48" t="s">
        <v>33</v>
      </c>
      <c r="AJ1167" s="48" t="s">
        <v>33</v>
      </c>
      <c r="AK1167" s="48" t="s">
        <v>33</v>
      </c>
      <c r="AL1167" s="48" t="s">
        <v>34</v>
      </c>
      <c r="AN1167" s="48">
        <v>0</v>
      </c>
      <c r="AO1167" s="48">
        <v>0</v>
      </c>
      <c r="AP1167" s="48">
        <v>0</v>
      </c>
      <c r="AQ1167" s="48">
        <v>0</v>
      </c>
      <c r="AR1167" s="48">
        <v>0</v>
      </c>
      <c r="AS1167" s="48">
        <v>0</v>
      </c>
      <c r="AT1167" s="48">
        <v>0</v>
      </c>
      <c r="AU1167" s="48">
        <v>0</v>
      </c>
      <c r="AV1167" s="48">
        <v>0</v>
      </c>
      <c r="AW1167" s="48">
        <v>0</v>
      </c>
      <c r="AX1167" s="48">
        <v>0</v>
      </c>
      <c r="AY1167" s="48">
        <v>0</v>
      </c>
      <c r="AZ1167" s="48">
        <v>0</v>
      </c>
      <c r="BA1167" s="48">
        <v>0</v>
      </c>
      <c r="BB1167" s="48">
        <v>0</v>
      </c>
    </row>
    <row r="1168" spans="1:54" x14ac:dyDescent="0.35">
      <c r="A1168" s="49">
        <v>45930</v>
      </c>
      <c r="B1168" s="48">
        <v>1</v>
      </c>
      <c r="C1168" s="50" t="s">
        <v>32</v>
      </c>
      <c r="D1168" s="48" t="s">
        <v>31</v>
      </c>
      <c r="E1168" s="48" t="s">
        <v>138</v>
      </c>
      <c r="F1168" s="48" t="s">
        <v>139</v>
      </c>
      <c r="G1168" s="49" t="s">
        <v>64</v>
      </c>
      <c r="H1168" s="48" t="s">
        <v>64</v>
      </c>
      <c r="I1168" s="48">
        <v>1</v>
      </c>
      <c r="J1168" s="48">
        <v>137</v>
      </c>
      <c r="K1168" s="48">
        <v>1</v>
      </c>
      <c r="N1168" s="48">
        <v>0</v>
      </c>
      <c r="R1168" s="49"/>
      <c r="S1168" s="181">
        <v>0</v>
      </c>
      <c r="T1168" s="49">
        <v>50099</v>
      </c>
      <c r="U1168" s="49">
        <v>50099</v>
      </c>
      <c r="V1168" s="49">
        <v>50099</v>
      </c>
      <c r="W1168" s="49">
        <v>50099</v>
      </c>
      <c r="X1168" s="48">
        <v>1</v>
      </c>
      <c r="Y1168" s="48">
        <v>1</v>
      </c>
      <c r="Z1168" s="48">
        <v>1</v>
      </c>
      <c r="AA1168" s="156">
        <v>0</v>
      </c>
      <c r="AF1168" s="48">
        <v>0</v>
      </c>
      <c r="AG1168" s="49" t="s">
        <v>32</v>
      </c>
      <c r="AH1168" s="48">
        <v>1</v>
      </c>
      <c r="AI1168" s="48" t="s">
        <v>33</v>
      </c>
      <c r="AJ1168" s="48" t="s">
        <v>33</v>
      </c>
      <c r="AK1168" s="48" t="s">
        <v>33</v>
      </c>
      <c r="AL1168" s="48" t="s">
        <v>34</v>
      </c>
      <c r="AN1168" s="48">
        <v>0</v>
      </c>
      <c r="AO1168" s="48">
        <v>0</v>
      </c>
      <c r="AP1168" s="48">
        <v>0</v>
      </c>
      <c r="AQ1168" s="48">
        <v>0</v>
      </c>
      <c r="AR1168" s="48">
        <v>0</v>
      </c>
      <c r="AS1168" s="48">
        <v>0</v>
      </c>
      <c r="AT1168" s="48">
        <v>0</v>
      </c>
      <c r="AU1168" s="48">
        <v>0</v>
      </c>
      <c r="AV1168" s="48">
        <v>0</v>
      </c>
      <c r="AW1168" s="48">
        <v>0</v>
      </c>
      <c r="AX1168" s="48">
        <v>0</v>
      </c>
      <c r="AY1168" s="48">
        <v>0</v>
      </c>
      <c r="AZ1168" s="48">
        <v>0</v>
      </c>
      <c r="BA1168" s="48">
        <v>0</v>
      </c>
      <c r="BB1168" s="48">
        <v>0</v>
      </c>
    </row>
    <row r="1169" spans="1:54" x14ac:dyDescent="0.35">
      <c r="A1169" s="49">
        <v>45930</v>
      </c>
      <c r="B1169" s="48">
        <v>1</v>
      </c>
      <c r="C1169" s="50" t="s">
        <v>32</v>
      </c>
      <c r="D1169" s="48" t="s">
        <v>31</v>
      </c>
      <c r="E1169" s="48" t="s">
        <v>138</v>
      </c>
      <c r="F1169" s="48" t="s">
        <v>139</v>
      </c>
      <c r="G1169" s="49" t="s">
        <v>64</v>
      </c>
      <c r="H1169" s="48" t="s">
        <v>64</v>
      </c>
      <c r="I1169" s="48">
        <v>1</v>
      </c>
      <c r="J1169" s="48">
        <v>138</v>
      </c>
      <c r="K1169" s="48">
        <v>1</v>
      </c>
      <c r="N1169" s="48">
        <v>0</v>
      </c>
      <c r="R1169" s="49"/>
      <c r="S1169" s="181">
        <v>0</v>
      </c>
      <c r="T1169" s="49">
        <v>50130</v>
      </c>
      <c r="U1169" s="49">
        <v>50130</v>
      </c>
      <c r="V1169" s="49">
        <v>50130</v>
      </c>
      <c r="W1169" s="49">
        <v>50130</v>
      </c>
      <c r="X1169" s="48">
        <v>1</v>
      </c>
      <c r="Y1169" s="48">
        <v>1</v>
      </c>
      <c r="Z1169" s="48">
        <v>1</v>
      </c>
      <c r="AA1169" s="156">
        <v>0</v>
      </c>
      <c r="AF1169" s="48">
        <v>0</v>
      </c>
      <c r="AG1169" s="49" t="s">
        <v>32</v>
      </c>
      <c r="AH1169" s="48">
        <v>1</v>
      </c>
      <c r="AI1169" s="48" t="s">
        <v>33</v>
      </c>
      <c r="AJ1169" s="48" t="s">
        <v>33</v>
      </c>
      <c r="AK1169" s="48" t="s">
        <v>33</v>
      </c>
      <c r="AL1169" s="48" t="s">
        <v>34</v>
      </c>
      <c r="AN1169" s="48">
        <v>0</v>
      </c>
      <c r="AO1169" s="48">
        <v>0</v>
      </c>
      <c r="AP1169" s="48">
        <v>0</v>
      </c>
      <c r="AQ1169" s="48">
        <v>0</v>
      </c>
      <c r="AR1169" s="48">
        <v>0</v>
      </c>
      <c r="AS1169" s="48">
        <v>0</v>
      </c>
      <c r="AT1169" s="48">
        <v>0</v>
      </c>
      <c r="AU1169" s="48">
        <v>0</v>
      </c>
      <c r="AV1169" s="48">
        <v>0</v>
      </c>
      <c r="AW1169" s="48">
        <v>0</v>
      </c>
      <c r="AX1169" s="48">
        <v>0</v>
      </c>
      <c r="AY1169" s="48">
        <v>0</v>
      </c>
      <c r="AZ1169" s="48">
        <v>0</v>
      </c>
      <c r="BA1169" s="48">
        <v>0</v>
      </c>
      <c r="BB1169" s="48">
        <v>0</v>
      </c>
    </row>
    <row r="1170" spans="1:54" x14ac:dyDescent="0.35">
      <c r="A1170" s="49">
        <v>45930</v>
      </c>
      <c r="B1170" s="48">
        <v>1</v>
      </c>
      <c r="C1170" s="50" t="s">
        <v>32</v>
      </c>
      <c r="D1170" s="48" t="s">
        <v>31</v>
      </c>
      <c r="E1170" s="48" t="s">
        <v>138</v>
      </c>
      <c r="F1170" s="48" t="s">
        <v>139</v>
      </c>
      <c r="G1170" s="49" t="s">
        <v>64</v>
      </c>
      <c r="H1170" s="48" t="s">
        <v>64</v>
      </c>
      <c r="I1170" s="48">
        <v>1</v>
      </c>
      <c r="J1170" s="48">
        <v>139</v>
      </c>
      <c r="K1170" s="48">
        <v>1</v>
      </c>
      <c r="N1170" s="48">
        <v>0</v>
      </c>
      <c r="R1170" s="49"/>
      <c r="S1170" s="181">
        <v>0</v>
      </c>
      <c r="T1170" s="49">
        <v>50160</v>
      </c>
      <c r="U1170" s="49">
        <v>50160</v>
      </c>
      <c r="V1170" s="49">
        <v>50160</v>
      </c>
      <c r="W1170" s="49">
        <v>50160</v>
      </c>
      <c r="X1170" s="48">
        <v>1</v>
      </c>
      <c r="Y1170" s="48">
        <v>1</v>
      </c>
      <c r="Z1170" s="48">
        <v>1</v>
      </c>
      <c r="AA1170" s="156">
        <v>0</v>
      </c>
      <c r="AF1170" s="48">
        <v>0</v>
      </c>
      <c r="AG1170" s="49" t="s">
        <v>32</v>
      </c>
      <c r="AH1170" s="48">
        <v>1</v>
      </c>
      <c r="AI1170" s="48" t="s">
        <v>33</v>
      </c>
      <c r="AJ1170" s="48" t="s">
        <v>33</v>
      </c>
      <c r="AK1170" s="48" t="s">
        <v>33</v>
      </c>
      <c r="AL1170" s="48" t="s">
        <v>34</v>
      </c>
      <c r="AN1170" s="48">
        <v>0</v>
      </c>
      <c r="AO1170" s="48">
        <v>0</v>
      </c>
      <c r="AP1170" s="48">
        <v>0</v>
      </c>
      <c r="AQ1170" s="48">
        <v>0</v>
      </c>
      <c r="AR1170" s="48">
        <v>0</v>
      </c>
      <c r="AS1170" s="48">
        <v>0</v>
      </c>
      <c r="AT1170" s="48">
        <v>0</v>
      </c>
      <c r="AU1170" s="48">
        <v>0</v>
      </c>
      <c r="AV1170" s="48">
        <v>0</v>
      </c>
      <c r="AW1170" s="48">
        <v>0</v>
      </c>
      <c r="AX1170" s="48">
        <v>0</v>
      </c>
      <c r="AY1170" s="48">
        <v>0</v>
      </c>
      <c r="AZ1170" s="48">
        <v>0</v>
      </c>
      <c r="BA1170" s="48">
        <v>0</v>
      </c>
      <c r="BB1170" s="48">
        <v>0</v>
      </c>
    </row>
    <row r="1171" spans="1:54" x14ac:dyDescent="0.35">
      <c r="A1171" s="49">
        <v>45930</v>
      </c>
      <c r="B1171" s="48">
        <v>1</v>
      </c>
      <c r="C1171" s="50" t="s">
        <v>32</v>
      </c>
      <c r="D1171" s="48" t="s">
        <v>31</v>
      </c>
      <c r="E1171" s="48" t="s">
        <v>138</v>
      </c>
      <c r="F1171" s="48" t="s">
        <v>139</v>
      </c>
      <c r="G1171" s="49" t="s">
        <v>64</v>
      </c>
      <c r="H1171" s="48" t="s">
        <v>64</v>
      </c>
      <c r="I1171" s="48">
        <v>1</v>
      </c>
      <c r="J1171" s="48">
        <v>140</v>
      </c>
      <c r="K1171" s="48">
        <v>1</v>
      </c>
      <c r="N1171" s="48">
        <v>0</v>
      </c>
      <c r="R1171" s="49"/>
      <c r="S1171" s="181">
        <v>0</v>
      </c>
      <c r="T1171" s="49">
        <v>50191</v>
      </c>
      <c r="U1171" s="49">
        <v>50191</v>
      </c>
      <c r="V1171" s="49">
        <v>50191</v>
      </c>
      <c r="W1171" s="49">
        <v>50191</v>
      </c>
      <c r="X1171" s="48">
        <v>1</v>
      </c>
      <c r="Y1171" s="48">
        <v>1</v>
      </c>
      <c r="Z1171" s="48">
        <v>1</v>
      </c>
      <c r="AA1171" s="156">
        <v>0</v>
      </c>
      <c r="AF1171" s="48">
        <v>0</v>
      </c>
      <c r="AG1171" s="49" t="s">
        <v>32</v>
      </c>
      <c r="AH1171" s="48">
        <v>1</v>
      </c>
      <c r="AI1171" s="48" t="s">
        <v>33</v>
      </c>
      <c r="AJ1171" s="48" t="s">
        <v>33</v>
      </c>
      <c r="AK1171" s="48" t="s">
        <v>33</v>
      </c>
      <c r="AL1171" s="48" t="s">
        <v>34</v>
      </c>
      <c r="AN1171" s="48">
        <v>0</v>
      </c>
      <c r="AO1171" s="48">
        <v>0</v>
      </c>
      <c r="AP1171" s="48">
        <v>0</v>
      </c>
      <c r="AQ1171" s="48">
        <v>0</v>
      </c>
      <c r="AR1171" s="48">
        <v>0</v>
      </c>
      <c r="AS1171" s="48">
        <v>0</v>
      </c>
      <c r="AT1171" s="48">
        <v>0</v>
      </c>
      <c r="AU1171" s="48">
        <v>0</v>
      </c>
      <c r="AV1171" s="48">
        <v>0</v>
      </c>
      <c r="AW1171" s="48">
        <v>0</v>
      </c>
      <c r="AX1171" s="48">
        <v>0</v>
      </c>
      <c r="AY1171" s="48">
        <v>0</v>
      </c>
      <c r="AZ1171" s="48">
        <v>0</v>
      </c>
      <c r="BA1171" s="48">
        <v>0</v>
      </c>
      <c r="BB1171" s="48">
        <v>0</v>
      </c>
    </row>
    <row r="1172" spans="1:54" x14ac:dyDescent="0.35">
      <c r="A1172" s="49">
        <v>45930</v>
      </c>
      <c r="B1172" s="48">
        <v>1</v>
      </c>
      <c r="C1172" s="50" t="s">
        <v>32</v>
      </c>
      <c r="D1172" s="48" t="s">
        <v>31</v>
      </c>
      <c r="E1172" s="48" t="s">
        <v>138</v>
      </c>
      <c r="F1172" s="48" t="s">
        <v>139</v>
      </c>
      <c r="G1172" s="49" t="s">
        <v>64</v>
      </c>
      <c r="H1172" s="48" t="s">
        <v>64</v>
      </c>
      <c r="I1172" s="48">
        <v>1</v>
      </c>
      <c r="J1172" s="48">
        <v>141</v>
      </c>
      <c r="K1172" s="48">
        <v>1</v>
      </c>
      <c r="N1172" s="48">
        <v>0</v>
      </c>
      <c r="R1172" s="49"/>
      <c r="S1172" s="181">
        <v>0</v>
      </c>
      <c r="T1172" s="49">
        <v>50221</v>
      </c>
      <c r="U1172" s="49">
        <v>50221</v>
      </c>
      <c r="V1172" s="49">
        <v>50221</v>
      </c>
      <c r="W1172" s="49">
        <v>50221</v>
      </c>
      <c r="X1172" s="48">
        <v>1</v>
      </c>
      <c r="Y1172" s="48">
        <v>1</v>
      </c>
      <c r="Z1172" s="48">
        <v>1</v>
      </c>
      <c r="AA1172" s="156">
        <v>0</v>
      </c>
      <c r="AF1172" s="48">
        <v>0</v>
      </c>
      <c r="AG1172" s="49" t="s">
        <v>32</v>
      </c>
      <c r="AH1172" s="48">
        <v>1</v>
      </c>
      <c r="AI1172" s="48" t="s">
        <v>33</v>
      </c>
      <c r="AJ1172" s="48" t="s">
        <v>33</v>
      </c>
      <c r="AK1172" s="48" t="s">
        <v>33</v>
      </c>
      <c r="AL1172" s="48" t="s">
        <v>34</v>
      </c>
      <c r="AN1172" s="48">
        <v>0</v>
      </c>
      <c r="AO1172" s="48">
        <v>0</v>
      </c>
      <c r="AP1172" s="48">
        <v>0</v>
      </c>
      <c r="AQ1172" s="48">
        <v>0</v>
      </c>
      <c r="AR1172" s="48">
        <v>0</v>
      </c>
      <c r="AS1172" s="48">
        <v>0</v>
      </c>
      <c r="AT1172" s="48">
        <v>0</v>
      </c>
      <c r="AU1172" s="48">
        <v>0</v>
      </c>
      <c r="AV1172" s="48">
        <v>0</v>
      </c>
      <c r="AW1172" s="48">
        <v>0</v>
      </c>
      <c r="AX1172" s="48">
        <v>0</v>
      </c>
      <c r="AY1172" s="48">
        <v>0</v>
      </c>
      <c r="AZ1172" s="48">
        <v>0</v>
      </c>
      <c r="BA1172" s="48">
        <v>0</v>
      </c>
      <c r="BB1172" s="48">
        <v>0</v>
      </c>
    </row>
    <row r="1173" spans="1:54" x14ac:dyDescent="0.35">
      <c r="A1173" s="49">
        <v>45930</v>
      </c>
      <c r="B1173" s="48">
        <v>1</v>
      </c>
      <c r="C1173" s="50" t="s">
        <v>32</v>
      </c>
      <c r="D1173" s="48" t="s">
        <v>31</v>
      </c>
      <c r="E1173" s="48" t="s">
        <v>138</v>
      </c>
      <c r="F1173" s="48" t="s">
        <v>139</v>
      </c>
      <c r="G1173" s="49" t="s">
        <v>64</v>
      </c>
      <c r="H1173" s="48" t="s">
        <v>64</v>
      </c>
      <c r="I1173" s="48">
        <v>1</v>
      </c>
      <c r="J1173" s="48">
        <v>142</v>
      </c>
      <c r="K1173" s="48">
        <v>1</v>
      </c>
      <c r="N1173" s="48">
        <v>0</v>
      </c>
      <c r="R1173" s="49"/>
      <c r="S1173" s="181">
        <v>0</v>
      </c>
      <c r="T1173" s="49">
        <v>50252</v>
      </c>
      <c r="U1173" s="49">
        <v>50252</v>
      </c>
      <c r="V1173" s="49">
        <v>50252</v>
      </c>
      <c r="W1173" s="49">
        <v>50252</v>
      </c>
      <c r="X1173" s="48">
        <v>1</v>
      </c>
      <c r="Y1173" s="48">
        <v>1</v>
      </c>
      <c r="Z1173" s="48">
        <v>1</v>
      </c>
      <c r="AA1173" s="156">
        <v>0</v>
      </c>
      <c r="AF1173" s="48">
        <v>0</v>
      </c>
      <c r="AG1173" s="49" t="s">
        <v>32</v>
      </c>
      <c r="AH1173" s="48">
        <v>1</v>
      </c>
      <c r="AI1173" s="48" t="s">
        <v>33</v>
      </c>
      <c r="AJ1173" s="48" t="s">
        <v>33</v>
      </c>
      <c r="AK1173" s="48" t="s">
        <v>33</v>
      </c>
      <c r="AL1173" s="48" t="s">
        <v>34</v>
      </c>
      <c r="AN1173" s="48">
        <v>0</v>
      </c>
      <c r="AO1173" s="48">
        <v>0</v>
      </c>
      <c r="AP1173" s="48">
        <v>0</v>
      </c>
      <c r="AQ1173" s="48">
        <v>0</v>
      </c>
      <c r="AR1173" s="48">
        <v>0</v>
      </c>
      <c r="AS1173" s="48">
        <v>0</v>
      </c>
      <c r="AT1173" s="48">
        <v>0</v>
      </c>
      <c r="AU1173" s="48">
        <v>0</v>
      </c>
      <c r="AV1173" s="48">
        <v>0</v>
      </c>
      <c r="AW1173" s="48">
        <v>0</v>
      </c>
      <c r="AX1173" s="48">
        <v>0</v>
      </c>
      <c r="AY1173" s="48">
        <v>0</v>
      </c>
      <c r="AZ1173" s="48">
        <v>0</v>
      </c>
      <c r="BA1173" s="48">
        <v>0</v>
      </c>
      <c r="BB1173" s="48">
        <v>0</v>
      </c>
    </row>
    <row r="1174" spans="1:54" x14ac:dyDescent="0.35">
      <c r="A1174" s="49">
        <v>45930</v>
      </c>
      <c r="B1174" s="48">
        <v>1</v>
      </c>
      <c r="C1174" s="50" t="s">
        <v>32</v>
      </c>
      <c r="D1174" s="48" t="s">
        <v>31</v>
      </c>
      <c r="E1174" s="48" t="s">
        <v>138</v>
      </c>
      <c r="F1174" s="48" t="s">
        <v>139</v>
      </c>
      <c r="G1174" s="49" t="s">
        <v>64</v>
      </c>
      <c r="H1174" s="48" t="s">
        <v>64</v>
      </c>
      <c r="I1174" s="48">
        <v>1</v>
      </c>
      <c r="J1174" s="48">
        <v>143</v>
      </c>
      <c r="K1174" s="48">
        <v>1</v>
      </c>
      <c r="N1174" s="48">
        <v>0</v>
      </c>
      <c r="R1174" s="49"/>
      <c r="S1174" s="181">
        <v>0</v>
      </c>
      <c r="T1174" s="49">
        <v>50283</v>
      </c>
      <c r="U1174" s="49">
        <v>50283</v>
      </c>
      <c r="V1174" s="49">
        <v>50283</v>
      </c>
      <c r="W1174" s="49">
        <v>50283</v>
      </c>
      <c r="X1174" s="48">
        <v>1</v>
      </c>
      <c r="Y1174" s="48">
        <v>1</v>
      </c>
      <c r="Z1174" s="48">
        <v>1</v>
      </c>
      <c r="AA1174" s="156">
        <v>0</v>
      </c>
      <c r="AF1174" s="48">
        <v>0</v>
      </c>
      <c r="AG1174" s="49" t="s">
        <v>32</v>
      </c>
      <c r="AH1174" s="48">
        <v>1</v>
      </c>
      <c r="AI1174" s="48" t="s">
        <v>33</v>
      </c>
      <c r="AJ1174" s="48" t="s">
        <v>33</v>
      </c>
      <c r="AK1174" s="48" t="s">
        <v>33</v>
      </c>
      <c r="AL1174" s="48" t="s">
        <v>34</v>
      </c>
      <c r="AN1174" s="48">
        <v>0</v>
      </c>
      <c r="AO1174" s="48">
        <v>0</v>
      </c>
      <c r="AP1174" s="48">
        <v>0</v>
      </c>
      <c r="AQ1174" s="48">
        <v>0</v>
      </c>
      <c r="AR1174" s="48">
        <v>0</v>
      </c>
      <c r="AS1174" s="48">
        <v>0</v>
      </c>
      <c r="AT1174" s="48">
        <v>0</v>
      </c>
      <c r="AU1174" s="48">
        <v>0</v>
      </c>
      <c r="AV1174" s="48">
        <v>0</v>
      </c>
      <c r="AW1174" s="48">
        <v>0</v>
      </c>
      <c r="AX1174" s="48">
        <v>0</v>
      </c>
      <c r="AY1174" s="48">
        <v>0</v>
      </c>
      <c r="AZ1174" s="48">
        <v>0</v>
      </c>
      <c r="BA1174" s="48">
        <v>0</v>
      </c>
      <c r="BB1174" s="48">
        <v>0</v>
      </c>
    </row>
    <row r="1175" spans="1:54" x14ac:dyDescent="0.35">
      <c r="A1175" s="49">
        <v>45930</v>
      </c>
      <c r="B1175" s="48">
        <v>1</v>
      </c>
      <c r="C1175" s="50" t="s">
        <v>32</v>
      </c>
      <c r="D1175" s="48" t="s">
        <v>31</v>
      </c>
      <c r="E1175" s="48" t="s">
        <v>138</v>
      </c>
      <c r="F1175" s="48" t="s">
        <v>139</v>
      </c>
      <c r="G1175" s="49" t="s">
        <v>64</v>
      </c>
      <c r="H1175" s="48" t="s">
        <v>64</v>
      </c>
      <c r="I1175" s="48">
        <v>1</v>
      </c>
      <c r="J1175" s="48">
        <v>144</v>
      </c>
      <c r="K1175" s="48">
        <v>1</v>
      </c>
      <c r="N1175" s="48">
        <v>0</v>
      </c>
      <c r="R1175" s="49"/>
      <c r="S1175" s="181">
        <v>0</v>
      </c>
      <c r="T1175" s="49">
        <v>50313</v>
      </c>
      <c r="U1175" s="49">
        <v>50313</v>
      </c>
      <c r="V1175" s="49">
        <v>50313</v>
      </c>
      <c r="W1175" s="49">
        <v>50313</v>
      </c>
      <c r="X1175" s="48">
        <v>1</v>
      </c>
      <c r="Y1175" s="48">
        <v>1</v>
      </c>
      <c r="Z1175" s="48">
        <v>1</v>
      </c>
      <c r="AA1175" s="156">
        <v>0</v>
      </c>
      <c r="AF1175" s="48">
        <v>0</v>
      </c>
      <c r="AG1175" s="49" t="s">
        <v>32</v>
      </c>
      <c r="AH1175" s="48">
        <v>1</v>
      </c>
      <c r="AI1175" s="48" t="s">
        <v>33</v>
      </c>
      <c r="AJ1175" s="48" t="s">
        <v>33</v>
      </c>
      <c r="AK1175" s="48" t="s">
        <v>33</v>
      </c>
      <c r="AL1175" s="48" t="s">
        <v>34</v>
      </c>
      <c r="AN1175" s="48">
        <v>0</v>
      </c>
      <c r="AO1175" s="48">
        <v>0</v>
      </c>
      <c r="AP1175" s="48">
        <v>0</v>
      </c>
      <c r="AQ1175" s="48">
        <v>0</v>
      </c>
      <c r="AR1175" s="48">
        <v>0</v>
      </c>
      <c r="AS1175" s="48">
        <v>0</v>
      </c>
      <c r="AT1175" s="48">
        <v>0</v>
      </c>
      <c r="AU1175" s="48">
        <v>0</v>
      </c>
      <c r="AV1175" s="48">
        <v>0</v>
      </c>
      <c r="AW1175" s="48">
        <v>0</v>
      </c>
      <c r="AX1175" s="48">
        <v>0</v>
      </c>
      <c r="AY1175" s="48">
        <v>0</v>
      </c>
      <c r="AZ1175" s="48">
        <v>0</v>
      </c>
      <c r="BA1175" s="48">
        <v>0</v>
      </c>
      <c r="BB1175" s="48">
        <v>0</v>
      </c>
    </row>
    <row r="1176" spans="1:54" x14ac:dyDescent="0.35">
      <c r="A1176" s="49">
        <v>45930</v>
      </c>
      <c r="B1176" s="48">
        <v>1</v>
      </c>
      <c r="C1176" s="50" t="s">
        <v>32</v>
      </c>
      <c r="D1176" s="48" t="s">
        <v>31</v>
      </c>
      <c r="E1176" s="48" t="s">
        <v>138</v>
      </c>
      <c r="F1176" s="48" t="s">
        <v>139</v>
      </c>
      <c r="G1176" s="49" t="s">
        <v>64</v>
      </c>
      <c r="H1176" s="48" t="s">
        <v>64</v>
      </c>
      <c r="I1176" s="48">
        <v>1</v>
      </c>
      <c r="J1176" s="48">
        <v>145</v>
      </c>
      <c r="K1176" s="48">
        <v>1</v>
      </c>
      <c r="N1176" s="48">
        <v>0</v>
      </c>
      <c r="R1176" s="49"/>
      <c r="S1176" s="181">
        <v>0</v>
      </c>
      <c r="T1176" s="49">
        <v>50344</v>
      </c>
      <c r="U1176" s="49">
        <v>50344</v>
      </c>
      <c r="V1176" s="49">
        <v>50344</v>
      </c>
      <c r="W1176" s="49">
        <v>50344</v>
      </c>
      <c r="X1176" s="48">
        <v>1</v>
      </c>
      <c r="Y1176" s="48">
        <v>1</v>
      </c>
      <c r="Z1176" s="48">
        <v>1</v>
      </c>
      <c r="AA1176" s="156">
        <v>0</v>
      </c>
      <c r="AF1176" s="48">
        <v>0</v>
      </c>
      <c r="AG1176" s="49" t="s">
        <v>32</v>
      </c>
      <c r="AH1176" s="48">
        <v>1</v>
      </c>
      <c r="AI1176" s="48" t="s">
        <v>33</v>
      </c>
      <c r="AJ1176" s="48" t="s">
        <v>33</v>
      </c>
      <c r="AK1176" s="48" t="s">
        <v>33</v>
      </c>
      <c r="AL1176" s="48" t="s">
        <v>34</v>
      </c>
      <c r="AN1176" s="48">
        <v>0</v>
      </c>
      <c r="AO1176" s="48">
        <v>0</v>
      </c>
      <c r="AP1176" s="48">
        <v>0</v>
      </c>
      <c r="AQ1176" s="48">
        <v>0</v>
      </c>
      <c r="AR1176" s="48">
        <v>0</v>
      </c>
      <c r="AS1176" s="48">
        <v>0</v>
      </c>
      <c r="AT1176" s="48">
        <v>0</v>
      </c>
      <c r="AU1176" s="48">
        <v>0</v>
      </c>
      <c r="AV1176" s="48">
        <v>0</v>
      </c>
      <c r="AW1176" s="48">
        <v>0</v>
      </c>
      <c r="AX1176" s="48">
        <v>0</v>
      </c>
      <c r="AY1176" s="48">
        <v>0</v>
      </c>
      <c r="AZ1176" s="48">
        <v>0</v>
      </c>
      <c r="BA1176" s="48">
        <v>0</v>
      </c>
      <c r="BB1176" s="48">
        <v>0</v>
      </c>
    </row>
    <row r="1177" spans="1:54" x14ac:dyDescent="0.35">
      <c r="A1177" s="49">
        <v>45930</v>
      </c>
      <c r="B1177" s="48">
        <v>1</v>
      </c>
      <c r="C1177" s="50" t="s">
        <v>32</v>
      </c>
      <c r="D1177" s="48" t="s">
        <v>31</v>
      </c>
      <c r="E1177" s="48" t="s">
        <v>138</v>
      </c>
      <c r="F1177" s="48" t="s">
        <v>139</v>
      </c>
      <c r="G1177" s="49" t="s">
        <v>64</v>
      </c>
      <c r="H1177" s="48" t="s">
        <v>64</v>
      </c>
      <c r="I1177" s="48">
        <v>1</v>
      </c>
      <c r="J1177" s="48">
        <v>146</v>
      </c>
      <c r="K1177" s="48">
        <v>1</v>
      </c>
      <c r="N1177" s="48">
        <v>0</v>
      </c>
      <c r="R1177" s="49"/>
      <c r="S1177" s="181">
        <v>0</v>
      </c>
      <c r="T1177" s="49">
        <v>50374</v>
      </c>
      <c r="U1177" s="49">
        <v>50374</v>
      </c>
      <c r="V1177" s="49">
        <v>50374</v>
      </c>
      <c r="W1177" s="49">
        <v>50374</v>
      </c>
      <c r="X1177" s="48">
        <v>1</v>
      </c>
      <c r="Y1177" s="48">
        <v>1</v>
      </c>
      <c r="Z1177" s="48">
        <v>1</v>
      </c>
      <c r="AA1177" s="156">
        <v>0</v>
      </c>
      <c r="AF1177" s="48">
        <v>0</v>
      </c>
      <c r="AG1177" s="49" t="s">
        <v>32</v>
      </c>
      <c r="AH1177" s="48">
        <v>1</v>
      </c>
      <c r="AI1177" s="48" t="s">
        <v>33</v>
      </c>
      <c r="AJ1177" s="48" t="s">
        <v>33</v>
      </c>
      <c r="AK1177" s="48" t="s">
        <v>33</v>
      </c>
      <c r="AL1177" s="48" t="s">
        <v>34</v>
      </c>
      <c r="AN1177" s="48">
        <v>0</v>
      </c>
      <c r="AO1177" s="48">
        <v>0</v>
      </c>
      <c r="AP1177" s="48">
        <v>0</v>
      </c>
      <c r="AQ1177" s="48">
        <v>0</v>
      </c>
      <c r="AR1177" s="48">
        <v>0</v>
      </c>
      <c r="AS1177" s="48">
        <v>0</v>
      </c>
      <c r="AT1177" s="48">
        <v>0</v>
      </c>
      <c r="AU1177" s="48">
        <v>0</v>
      </c>
      <c r="AV1177" s="48">
        <v>0</v>
      </c>
      <c r="AW1177" s="48">
        <v>0</v>
      </c>
      <c r="AX1177" s="48">
        <v>0</v>
      </c>
      <c r="AY1177" s="48">
        <v>0</v>
      </c>
      <c r="AZ1177" s="48">
        <v>0</v>
      </c>
      <c r="BA1177" s="48">
        <v>0</v>
      </c>
      <c r="BB1177" s="48">
        <v>0</v>
      </c>
    </row>
    <row r="1178" spans="1:54" x14ac:dyDescent="0.35">
      <c r="A1178" s="49">
        <v>45930</v>
      </c>
      <c r="B1178" s="48">
        <v>1</v>
      </c>
      <c r="C1178" s="50" t="s">
        <v>32</v>
      </c>
      <c r="D1178" s="48" t="s">
        <v>31</v>
      </c>
      <c r="E1178" s="48" t="s">
        <v>138</v>
      </c>
      <c r="F1178" s="48" t="s">
        <v>139</v>
      </c>
      <c r="G1178" s="49" t="s">
        <v>64</v>
      </c>
      <c r="H1178" s="48" t="s">
        <v>64</v>
      </c>
      <c r="I1178" s="48">
        <v>1</v>
      </c>
      <c r="J1178" s="48">
        <v>147</v>
      </c>
      <c r="K1178" s="48">
        <v>1</v>
      </c>
      <c r="N1178" s="48">
        <v>0</v>
      </c>
      <c r="R1178" s="49"/>
      <c r="S1178" s="181">
        <v>0</v>
      </c>
      <c r="T1178" s="49">
        <v>50405</v>
      </c>
      <c r="U1178" s="49">
        <v>50405</v>
      </c>
      <c r="V1178" s="49">
        <v>50405</v>
      </c>
      <c r="W1178" s="49">
        <v>50405</v>
      </c>
      <c r="X1178" s="48">
        <v>1</v>
      </c>
      <c r="Y1178" s="48">
        <v>1</v>
      </c>
      <c r="Z1178" s="48">
        <v>1</v>
      </c>
      <c r="AA1178" s="156">
        <v>0</v>
      </c>
      <c r="AF1178" s="48">
        <v>0</v>
      </c>
      <c r="AG1178" s="49" t="s">
        <v>32</v>
      </c>
      <c r="AH1178" s="48">
        <v>1</v>
      </c>
      <c r="AI1178" s="48" t="s">
        <v>33</v>
      </c>
      <c r="AJ1178" s="48" t="s">
        <v>33</v>
      </c>
      <c r="AK1178" s="48" t="s">
        <v>33</v>
      </c>
      <c r="AL1178" s="48" t="s">
        <v>34</v>
      </c>
      <c r="AN1178" s="48">
        <v>0</v>
      </c>
      <c r="AO1178" s="48">
        <v>0</v>
      </c>
      <c r="AP1178" s="48">
        <v>0</v>
      </c>
      <c r="AQ1178" s="48">
        <v>0</v>
      </c>
      <c r="AR1178" s="48">
        <v>0</v>
      </c>
      <c r="AS1178" s="48">
        <v>0</v>
      </c>
      <c r="AT1178" s="48">
        <v>0</v>
      </c>
      <c r="AU1178" s="48">
        <v>0</v>
      </c>
      <c r="AV1178" s="48">
        <v>0</v>
      </c>
      <c r="AW1178" s="48">
        <v>0</v>
      </c>
      <c r="AX1178" s="48">
        <v>0</v>
      </c>
      <c r="AY1178" s="48">
        <v>0</v>
      </c>
      <c r="AZ1178" s="48">
        <v>0</v>
      </c>
      <c r="BA1178" s="48">
        <v>0</v>
      </c>
      <c r="BB1178" s="48">
        <v>0</v>
      </c>
    </row>
    <row r="1179" spans="1:54" x14ac:dyDescent="0.35">
      <c r="A1179" s="49">
        <v>45930</v>
      </c>
      <c r="B1179" s="48">
        <v>1</v>
      </c>
      <c r="C1179" s="50" t="s">
        <v>32</v>
      </c>
      <c r="D1179" s="48" t="s">
        <v>31</v>
      </c>
      <c r="E1179" s="48" t="s">
        <v>138</v>
      </c>
      <c r="F1179" s="48" t="s">
        <v>139</v>
      </c>
      <c r="G1179" s="49" t="s">
        <v>64</v>
      </c>
      <c r="H1179" s="48" t="s">
        <v>64</v>
      </c>
      <c r="I1179" s="48">
        <v>1</v>
      </c>
      <c r="J1179" s="48">
        <v>148</v>
      </c>
      <c r="K1179" s="48">
        <v>1</v>
      </c>
      <c r="N1179" s="48">
        <v>0</v>
      </c>
      <c r="R1179" s="49"/>
      <c r="S1179" s="181">
        <v>0</v>
      </c>
      <c r="T1179" s="49">
        <v>50436</v>
      </c>
      <c r="U1179" s="49">
        <v>50436</v>
      </c>
      <c r="V1179" s="49">
        <v>50436</v>
      </c>
      <c r="W1179" s="49">
        <v>50436</v>
      </c>
      <c r="X1179" s="48">
        <v>1</v>
      </c>
      <c r="Y1179" s="48">
        <v>1</v>
      </c>
      <c r="Z1179" s="48">
        <v>1</v>
      </c>
      <c r="AA1179" s="156">
        <v>0</v>
      </c>
      <c r="AF1179" s="48">
        <v>0</v>
      </c>
      <c r="AG1179" s="49" t="s">
        <v>32</v>
      </c>
      <c r="AH1179" s="48">
        <v>1</v>
      </c>
      <c r="AI1179" s="48" t="s">
        <v>33</v>
      </c>
      <c r="AJ1179" s="48" t="s">
        <v>33</v>
      </c>
      <c r="AK1179" s="48" t="s">
        <v>33</v>
      </c>
      <c r="AL1179" s="48" t="s">
        <v>34</v>
      </c>
      <c r="AN1179" s="48">
        <v>0</v>
      </c>
      <c r="AO1179" s="48">
        <v>0</v>
      </c>
      <c r="AP1179" s="48">
        <v>0</v>
      </c>
      <c r="AQ1179" s="48">
        <v>0</v>
      </c>
      <c r="AR1179" s="48">
        <v>0</v>
      </c>
      <c r="AS1179" s="48">
        <v>0</v>
      </c>
      <c r="AT1179" s="48">
        <v>0</v>
      </c>
      <c r="AU1179" s="48">
        <v>0</v>
      </c>
      <c r="AV1179" s="48">
        <v>0</v>
      </c>
      <c r="AW1179" s="48">
        <v>0</v>
      </c>
      <c r="AX1179" s="48">
        <v>0</v>
      </c>
      <c r="AY1179" s="48">
        <v>0</v>
      </c>
      <c r="AZ1179" s="48">
        <v>0</v>
      </c>
      <c r="BA1179" s="48">
        <v>0</v>
      </c>
      <c r="BB1179" s="48">
        <v>0</v>
      </c>
    </row>
    <row r="1180" spans="1:54" x14ac:dyDescent="0.35">
      <c r="A1180" s="49">
        <v>45930</v>
      </c>
      <c r="B1180" s="48">
        <v>1</v>
      </c>
      <c r="C1180" s="50" t="s">
        <v>32</v>
      </c>
      <c r="D1180" s="48" t="s">
        <v>31</v>
      </c>
      <c r="E1180" s="48" t="s">
        <v>138</v>
      </c>
      <c r="F1180" s="48" t="s">
        <v>139</v>
      </c>
      <c r="G1180" s="49" t="s">
        <v>64</v>
      </c>
      <c r="H1180" s="48" t="s">
        <v>64</v>
      </c>
      <c r="I1180" s="48">
        <v>1</v>
      </c>
      <c r="J1180" s="48">
        <v>149</v>
      </c>
      <c r="K1180" s="48">
        <v>1</v>
      </c>
      <c r="N1180" s="48">
        <v>0</v>
      </c>
      <c r="R1180" s="49"/>
      <c r="S1180" s="181">
        <v>0</v>
      </c>
      <c r="T1180" s="49">
        <v>50464</v>
      </c>
      <c r="U1180" s="49">
        <v>50464</v>
      </c>
      <c r="V1180" s="49">
        <v>50464</v>
      </c>
      <c r="W1180" s="49">
        <v>50464</v>
      </c>
      <c r="X1180" s="48">
        <v>1</v>
      </c>
      <c r="Y1180" s="48">
        <v>1</v>
      </c>
      <c r="Z1180" s="48">
        <v>1</v>
      </c>
      <c r="AA1180" s="156">
        <v>0</v>
      </c>
      <c r="AF1180" s="48">
        <v>0</v>
      </c>
      <c r="AG1180" s="49" t="s">
        <v>32</v>
      </c>
      <c r="AH1180" s="48">
        <v>1</v>
      </c>
      <c r="AI1180" s="48" t="s">
        <v>33</v>
      </c>
      <c r="AJ1180" s="48" t="s">
        <v>33</v>
      </c>
      <c r="AK1180" s="48" t="s">
        <v>33</v>
      </c>
      <c r="AL1180" s="48" t="s">
        <v>34</v>
      </c>
      <c r="AN1180" s="48">
        <v>0</v>
      </c>
      <c r="AO1180" s="48">
        <v>0</v>
      </c>
      <c r="AP1180" s="48">
        <v>0</v>
      </c>
      <c r="AQ1180" s="48">
        <v>0</v>
      </c>
      <c r="AR1180" s="48">
        <v>0</v>
      </c>
      <c r="AS1180" s="48">
        <v>0</v>
      </c>
      <c r="AT1180" s="48">
        <v>0</v>
      </c>
      <c r="AU1180" s="48">
        <v>0</v>
      </c>
      <c r="AV1180" s="48">
        <v>0</v>
      </c>
      <c r="AW1180" s="48">
        <v>0</v>
      </c>
      <c r="AX1180" s="48">
        <v>0</v>
      </c>
      <c r="AY1180" s="48">
        <v>0</v>
      </c>
      <c r="AZ1180" s="48">
        <v>0</v>
      </c>
      <c r="BA1180" s="48">
        <v>0</v>
      </c>
      <c r="BB1180" s="48">
        <v>0</v>
      </c>
    </row>
    <row r="1181" spans="1:54" x14ac:dyDescent="0.35">
      <c r="A1181" s="49">
        <v>45930</v>
      </c>
      <c r="B1181" s="48">
        <v>1</v>
      </c>
      <c r="C1181" s="50" t="s">
        <v>32</v>
      </c>
      <c r="D1181" s="48" t="s">
        <v>31</v>
      </c>
      <c r="E1181" s="48" t="s">
        <v>138</v>
      </c>
      <c r="F1181" s="48" t="s">
        <v>139</v>
      </c>
      <c r="G1181" s="49" t="s">
        <v>64</v>
      </c>
      <c r="H1181" s="48" t="s">
        <v>64</v>
      </c>
      <c r="I1181" s="48">
        <v>1</v>
      </c>
      <c r="J1181" s="48">
        <v>150</v>
      </c>
      <c r="K1181" s="48">
        <v>1</v>
      </c>
      <c r="N1181" s="48">
        <v>0</v>
      </c>
      <c r="R1181" s="49"/>
      <c r="S1181" s="181">
        <v>0</v>
      </c>
      <c r="T1181" s="49">
        <v>50495</v>
      </c>
      <c r="U1181" s="49">
        <v>50495</v>
      </c>
      <c r="V1181" s="49">
        <v>50495</v>
      </c>
      <c r="W1181" s="49">
        <v>50495</v>
      </c>
      <c r="X1181" s="48">
        <v>1</v>
      </c>
      <c r="Y1181" s="48">
        <v>1</v>
      </c>
      <c r="Z1181" s="48">
        <v>1</v>
      </c>
      <c r="AA1181" s="156">
        <v>0</v>
      </c>
      <c r="AF1181" s="48">
        <v>0</v>
      </c>
      <c r="AG1181" s="49" t="s">
        <v>32</v>
      </c>
      <c r="AH1181" s="48">
        <v>1</v>
      </c>
      <c r="AI1181" s="48" t="s">
        <v>33</v>
      </c>
      <c r="AJ1181" s="48" t="s">
        <v>33</v>
      </c>
      <c r="AK1181" s="48" t="s">
        <v>33</v>
      </c>
      <c r="AL1181" s="48" t="s">
        <v>34</v>
      </c>
      <c r="AN1181" s="48">
        <v>0</v>
      </c>
      <c r="AO1181" s="48">
        <v>0</v>
      </c>
      <c r="AP1181" s="48">
        <v>0</v>
      </c>
      <c r="AQ1181" s="48">
        <v>0</v>
      </c>
      <c r="AR1181" s="48">
        <v>0</v>
      </c>
      <c r="AS1181" s="48">
        <v>0</v>
      </c>
      <c r="AT1181" s="48">
        <v>0</v>
      </c>
      <c r="AU1181" s="48">
        <v>0</v>
      </c>
      <c r="AV1181" s="48">
        <v>0</v>
      </c>
      <c r="AW1181" s="48">
        <v>0</v>
      </c>
      <c r="AX1181" s="48">
        <v>0</v>
      </c>
      <c r="AY1181" s="48">
        <v>0</v>
      </c>
      <c r="AZ1181" s="48">
        <v>0</v>
      </c>
      <c r="BA1181" s="48">
        <v>0</v>
      </c>
      <c r="BB1181" s="48">
        <v>0</v>
      </c>
    </row>
    <row r="1182" spans="1:54" x14ac:dyDescent="0.35">
      <c r="A1182" s="49">
        <v>45930</v>
      </c>
      <c r="B1182" s="48">
        <v>1</v>
      </c>
      <c r="C1182" s="50" t="s">
        <v>32</v>
      </c>
      <c r="D1182" s="48" t="s">
        <v>31</v>
      </c>
      <c r="E1182" s="48" t="s">
        <v>138</v>
      </c>
      <c r="F1182" s="48" t="s">
        <v>139</v>
      </c>
      <c r="G1182" s="49" t="s">
        <v>64</v>
      </c>
      <c r="H1182" s="48" t="s">
        <v>64</v>
      </c>
      <c r="I1182" s="48">
        <v>1</v>
      </c>
      <c r="J1182" s="48">
        <v>151</v>
      </c>
      <c r="K1182" s="48">
        <v>1</v>
      </c>
      <c r="N1182" s="48">
        <v>0</v>
      </c>
      <c r="R1182" s="49"/>
      <c r="S1182" s="181">
        <v>0</v>
      </c>
      <c r="T1182" s="49">
        <v>50525</v>
      </c>
      <c r="U1182" s="49">
        <v>50525</v>
      </c>
      <c r="V1182" s="49">
        <v>50525</v>
      </c>
      <c r="W1182" s="49">
        <v>50525</v>
      </c>
      <c r="X1182" s="48">
        <v>1</v>
      </c>
      <c r="Y1182" s="48">
        <v>1</v>
      </c>
      <c r="Z1182" s="48">
        <v>1</v>
      </c>
      <c r="AA1182" s="156">
        <v>0</v>
      </c>
      <c r="AF1182" s="48">
        <v>0</v>
      </c>
      <c r="AG1182" s="49" t="s">
        <v>32</v>
      </c>
      <c r="AH1182" s="48">
        <v>1</v>
      </c>
      <c r="AI1182" s="48" t="s">
        <v>33</v>
      </c>
      <c r="AJ1182" s="48" t="s">
        <v>33</v>
      </c>
      <c r="AK1182" s="48" t="s">
        <v>33</v>
      </c>
      <c r="AL1182" s="48" t="s">
        <v>34</v>
      </c>
      <c r="AN1182" s="48">
        <v>0</v>
      </c>
      <c r="AO1182" s="48">
        <v>0</v>
      </c>
      <c r="AP1182" s="48">
        <v>0</v>
      </c>
      <c r="AQ1182" s="48">
        <v>0</v>
      </c>
      <c r="AR1182" s="48">
        <v>0</v>
      </c>
      <c r="AS1182" s="48">
        <v>0</v>
      </c>
      <c r="AT1182" s="48">
        <v>0</v>
      </c>
      <c r="AU1182" s="48">
        <v>0</v>
      </c>
      <c r="AV1182" s="48">
        <v>0</v>
      </c>
      <c r="AW1182" s="48">
        <v>0</v>
      </c>
      <c r="AX1182" s="48">
        <v>0</v>
      </c>
      <c r="AY1182" s="48">
        <v>0</v>
      </c>
      <c r="AZ1182" s="48">
        <v>0</v>
      </c>
      <c r="BA1182" s="48">
        <v>0</v>
      </c>
      <c r="BB1182" s="48">
        <v>0</v>
      </c>
    </row>
    <row r="1183" spans="1:54" x14ac:dyDescent="0.35">
      <c r="A1183" s="49">
        <v>45930</v>
      </c>
      <c r="B1183" s="48">
        <v>1</v>
      </c>
      <c r="C1183" s="50" t="s">
        <v>32</v>
      </c>
      <c r="D1183" s="48" t="s">
        <v>31</v>
      </c>
      <c r="E1183" s="48" t="s">
        <v>138</v>
      </c>
      <c r="F1183" s="48" t="s">
        <v>139</v>
      </c>
      <c r="G1183" s="49" t="s">
        <v>64</v>
      </c>
      <c r="H1183" s="48" t="s">
        <v>64</v>
      </c>
      <c r="I1183" s="48">
        <v>1</v>
      </c>
      <c r="J1183" s="48">
        <v>152</v>
      </c>
      <c r="K1183" s="48">
        <v>1</v>
      </c>
      <c r="N1183" s="48">
        <v>0</v>
      </c>
      <c r="R1183" s="49"/>
      <c r="S1183" s="181">
        <v>0</v>
      </c>
      <c r="T1183" s="49">
        <v>50556</v>
      </c>
      <c r="U1183" s="49">
        <v>50556</v>
      </c>
      <c r="V1183" s="49">
        <v>50556</v>
      </c>
      <c r="W1183" s="49">
        <v>50556</v>
      </c>
      <c r="X1183" s="48">
        <v>1</v>
      </c>
      <c r="Y1183" s="48">
        <v>1</v>
      </c>
      <c r="Z1183" s="48">
        <v>1</v>
      </c>
      <c r="AA1183" s="156">
        <v>0</v>
      </c>
      <c r="AF1183" s="48">
        <v>0</v>
      </c>
      <c r="AG1183" s="49" t="s">
        <v>32</v>
      </c>
      <c r="AH1183" s="48">
        <v>1</v>
      </c>
      <c r="AI1183" s="48" t="s">
        <v>33</v>
      </c>
      <c r="AJ1183" s="48" t="s">
        <v>33</v>
      </c>
      <c r="AK1183" s="48" t="s">
        <v>33</v>
      </c>
      <c r="AL1183" s="48" t="s">
        <v>34</v>
      </c>
      <c r="AN1183" s="48">
        <v>0</v>
      </c>
      <c r="AO1183" s="48">
        <v>0</v>
      </c>
      <c r="AP1183" s="48">
        <v>0</v>
      </c>
      <c r="AQ1183" s="48">
        <v>0</v>
      </c>
      <c r="AR1183" s="48">
        <v>0</v>
      </c>
      <c r="AS1183" s="48">
        <v>0</v>
      </c>
      <c r="AT1183" s="48">
        <v>0</v>
      </c>
      <c r="AU1183" s="48">
        <v>0</v>
      </c>
      <c r="AV1183" s="48">
        <v>0</v>
      </c>
      <c r="AW1183" s="48">
        <v>0</v>
      </c>
      <c r="AX1183" s="48">
        <v>0</v>
      </c>
      <c r="AY1183" s="48">
        <v>0</v>
      </c>
      <c r="AZ1183" s="48">
        <v>0</v>
      </c>
      <c r="BA1183" s="48">
        <v>0</v>
      </c>
      <c r="BB1183" s="48">
        <v>0</v>
      </c>
    </row>
    <row r="1184" spans="1:54" x14ac:dyDescent="0.35">
      <c r="A1184" s="49">
        <v>45930</v>
      </c>
      <c r="B1184" s="48">
        <v>1</v>
      </c>
      <c r="C1184" s="50" t="s">
        <v>32</v>
      </c>
      <c r="D1184" s="48" t="s">
        <v>31</v>
      </c>
      <c r="E1184" s="48" t="s">
        <v>138</v>
      </c>
      <c r="F1184" s="48" t="s">
        <v>139</v>
      </c>
      <c r="G1184" s="49" t="s">
        <v>64</v>
      </c>
      <c r="H1184" s="48" t="s">
        <v>64</v>
      </c>
      <c r="I1184" s="48">
        <v>1</v>
      </c>
      <c r="J1184" s="48">
        <v>153</v>
      </c>
      <c r="K1184" s="48">
        <v>1</v>
      </c>
      <c r="N1184" s="48">
        <v>0</v>
      </c>
      <c r="R1184" s="49"/>
      <c r="S1184" s="181">
        <v>0</v>
      </c>
      <c r="T1184" s="49">
        <v>50586</v>
      </c>
      <c r="U1184" s="49">
        <v>50586</v>
      </c>
      <c r="V1184" s="49">
        <v>50586</v>
      </c>
      <c r="W1184" s="49">
        <v>50586</v>
      </c>
      <c r="X1184" s="48">
        <v>1</v>
      </c>
      <c r="Y1184" s="48">
        <v>1</v>
      </c>
      <c r="Z1184" s="48">
        <v>1</v>
      </c>
      <c r="AA1184" s="156">
        <v>0</v>
      </c>
      <c r="AF1184" s="48">
        <v>0</v>
      </c>
      <c r="AG1184" s="49" t="s">
        <v>32</v>
      </c>
      <c r="AH1184" s="48">
        <v>1</v>
      </c>
      <c r="AI1184" s="48" t="s">
        <v>33</v>
      </c>
      <c r="AJ1184" s="48" t="s">
        <v>33</v>
      </c>
      <c r="AK1184" s="48" t="s">
        <v>33</v>
      </c>
      <c r="AL1184" s="48" t="s">
        <v>34</v>
      </c>
      <c r="AN1184" s="48">
        <v>0</v>
      </c>
      <c r="AO1184" s="48">
        <v>0</v>
      </c>
      <c r="AP1184" s="48">
        <v>0</v>
      </c>
      <c r="AQ1184" s="48">
        <v>0</v>
      </c>
      <c r="AR1184" s="48">
        <v>0</v>
      </c>
      <c r="AS1184" s="48">
        <v>0</v>
      </c>
      <c r="AT1184" s="48">
        <v>0</v>
      </c>
      <c r="AU1184" s="48">
        <v>0</v>
      </c>
      <c r="AV1184" s="48">
        <v>0</v>
      </c>
      <c r="AW1184" s="48">
        <v>0</v>
      </c>
      <c r="AX1184" s="48">
        <v>0</v>
      </c>
      <c r="AY1184" s="48">
        <v>0</v>
      </c>
      <c r="AZ1184" s="48">
        <v>0</v>
      </c>
      <c r="BA1184" s="48">
        <v>0</v>
      </c>
      <c r="BB1184" s="48">
        <v>0</v>
      </c>
    </row>
    <row r="1185" spans="1:54" x14ac:dyDescent="0.35">
      <c r="A1185" s="49">
        <v>45930</v>
      </c>
      <c r="B1185" s="48">
        <v>1</v>
      </c>
      <c r="C1185" s="50" t="s">
        <v>32</v>
      </c>
      <c r="D1185" s="48" t="s">
        <v>31</v>
      </c>
      <c r="E1185" s="48" t="s">
        <v>138</v>
      </c>
      <c r="F1185" s="48" t="s">
        <v>139</v>
      </c>
      <c r="G1185" s="49" t="s">
        <v>64</v>
      </c>
      <c r="H1185" s="48" t="s">
        <v>64</v>
      </c>
      <c r="I1185" s="48">
        <v>1</v>
      </c>
      <c r="J1185" s="48">
        <v>154</v>
      </c>
      <c r="K1185" s="48">
        <v>1</v>
      </c>
      <c r="N1185" s="48">
        <v>0</v>
      </c>
      <c r="R1185" s="49"/>
      <c r="S1185" s="181">
        <v>0</v>
      </c>
      <c r="T1185" s="49">
        <v>50617</v>
      </c>
      <c r="U1185" s="49">
        <v>50617</v>
      </c>
      <c r="V1185" s="49">
        <v>50617</v>
      </c>
      <c r="W1185" s="49">
        <v>50617</v>
      </c>
      <c r="X1185" s="48">
        <v>1</v>
      </c>
      <c r="Y1185" s="48">
        <v>1</v>
      </c>
      <c r="Z1185" s="48">
        <v>1</v>
      </c>
      <c r="AA1185" s="156">
        <v>0</v>
      </c>
      <c r="AF1185" s="48">
        <v>0</v>
      </c>
      <c r="AG1185" s="49" t="s">
        <v>32</v>
      </c>
      <c r="AH1185" s="48">
        <v>1</v>
      </c>
      <c r="AI1185" s="48" t="s">
        <v>33</v>
      </c>
      <c r="AJ1185" s="48" t="s">
        <v>33</v>
      </c>
      <c r="AK1185" s="48" t="s">
        <v>33</v>
      </c>
      <c r="AL1185" s="48" t="s">
        <v>34</v>
      </c>
      <c r="AN1185" s="48">
        <v>0</v>
      </c>
      <c r="AO1185" s="48">
        <v>0</v>
      </c>
      <c r="AP1185" s="48">
        <v>0</v>
      </c>
      <c r="AQ1185" s="48">
        <v>0</v>
      </c>
      <c r="AR1185" s="48">
        <v>0</v>
      </c>
      <c r="AS1185" s="48">
        <v>0</v>
      </c>
      <c r="AT1185" s="48">
        <v>0</v>
      </c>
      <c r="AU1185" s="48">
        <v>0</v>
      </c>
      <c r="AV1185" s="48">
        <v>0</v>
      </c>
      <c r="AW1185" s="48">
        <v>0</v>
      </c>
      <c r="AX1185" s="48">
        <v>0</v>
      </c>
      <c r="AY1185" s="48">
        <v>0</v>
      </c>
      <c r="AZ1185" s="48">
        <v>0</v>
      </c>
      <c r="BA1185" s="48">
        <v>0</v>
      </c>
      <c r="BB1185" s="48">
        <v>0</v>
      </c>
    </row>
    <row r="1186" spans="1:54" x14ac:dyDescent="0.35">
      <c r="A1186" s="49">
        <v>45930</v>
      </c>
      <c r="B1186" s="48">
        <v>1</v>
      </c>
      <c r="C1186" s="50" t="s">
        <v>32</v>
      </c>
      <c r="D1186" s="48" t="s">
        <v>31</v>
      </c>
      <c r="E1186" s="48" t="s">
        <v>138</v>
      </c>
      <c r="F1186" s="48" t="s">
        <v>139</v>
      </c>
      <c r="G1186" s="49" t="s">
        <v>64</v>
      </c>
      <c r="H1186" s="48" t="s">
        <v>64</v>
      </c>
      <c r="I1186" s="48">
        <v>1</v>
      </c>
      <c r="J1186" s="48">
        <v>155</v>
      </c>
      <c r="K1186" s="48">
        <v>1</v>
      </c>
      <c r="N1186" s="48">
        <v>0</v>
      </c>
      <c r="R1186" s="49"/>
      <c r="S1186" s="181">
        <v>0</v>
      </c>
      <c r="T1186" s="49">
        <v>50648</v>
      </c>
      <c r="U1186" s="49">
        <v>50648</v>
      </c>
      <c r="V1186" s="49">
        <v>50648</v>
      </c>
      <c r="W1186" s="49">
        <v>50648</v>
      </c>
      <c r="X1186" s="48">
        <v>1</v>
      </c>
      <c r="Y1186" s="48">
        <v>1</v>
      </c>
      <c r="Z1186" s="48">
        <v>1</v>
      </c>
      <c r="AA1186" s="156">
        <v>0</v>
      </c>
      <c r="AF1186" s="48">
        <v>0</v>
      </c>
      <c r="AG1186" s="49" t="s">
        <v>32</v>
      </c>
      <c r="AH1186" s="48">
        <v>1</v>
      </c>
      <c r="AI1186" s="48" t="s">
        <v>33</v>
      </c>
      <c r="AJ1186" s="48" t="s">
        <v>33</v>
      </c>
      <c r="AK1186" s="48" t="s">
        <v>33</v>
      </c>
      <c r="AL1186" s="48" t="s">
        <v>34</v>
      </c>
      <c r="AN1186" s="48">
        <v>0</v>
      </c>
      <c r="AO1186" s="48">
        <v>0</v>
      </c>
      <c r="AP1186" s="48">
        <v>0</v>
      </c>
      <c r="AQ1186" s="48">
        <v>0</v>
      </c>
      <c r="AR1186" s="48">
        <v>0</v>
      </c>
      <c r="AS1186" s="48">
        <v>0</v>
      </c>
      <c r="AT1186" s="48">
        <v>0</v>
      </c>
      <c r="AU1186" s="48">
        <v>0</v>
      </c>
      <c r="AV1186" s="48">
        <v>0</v>
      </c>
      <c r="AW1186" s="48">
        <v>0</v>
      </c>
      <c r="AX1186" s="48">
        <v>0</v>
      </c>
      <c r="AY1186" s="48">
        <v>0</v>
      </c>
      <c r="AZ1186" s="48">
        <v>0</v>
      </c>
      <c r="BA1186" s="48">
        <v>0</v>
      </c>
      <c r="BB1186" s="48">
        <v>0</v>
      </c>
    </row>
    <row r="1187" spans="1:54" x14ac:dyDescent="0.35">
      <c r="A1187" s="49">
        <v>45930</v>
      </c>
      <c r="B1187" s="48">
        <v>1</v>
      </c>
      <c r="C1187" s="50" t="s">
        <v>32</v>
      </c>
      <c r="D1187" s="48" t="s">
        <v>31</v>
      </c>
      <c r="E1187" s="48" t="s">
        <v>138</v>
      </c>
      <c r="F1187" s="48" t="s">
        <v>139</v>
      </c>
      <c r="G1187" s="49" t="s">
        <v>64</v>
      </c>
      <c r="H1187" s="48" t="s">
        <v>64</v>
      </c>
      <c r="I1187" s="48">
        <v>1</v>
      </c>
      <c r="J1187" s="48">
        <v>156</v>
      </c>
      <c r="K1187" s="48">
        <v>1</v>
      </c>
      <c r="N1187" s="48">
        <v>0</v>
      </c>
      <c r="R1187" s="49"/>
      <c r="S1187" s="181">
        <v>0</v>
      </c>
      <c r="T1187" s="49">
        <v>50678</v>
      </c>
      <c r="U1187" s="49">
        <v>50678</v>
      </c>
      <c r="V1187" s="49">
        <v>50678</v>
      </c>
      <c r="W1187" s="49">
        <v>50678</v>
      </c>
      <c r="X1187" s="48">
        <v>1</v>
      </c>
      <c r="Y1187" s="48">
        <v>1</v>
      </c>
      <c r="Z1187" s="48">
        <v>1</v>
      </c>
      <c r="AA1187" s="156">
        <v>0</v>
      </c>
      <c r="AF1187" s="48">
        <v>0</v>
      </c>
      <c r="AG1187" s="49" t="s">
        <v>32</v>
      </c>
      <c r="AH1187" s="48">
        <v>1</v>
      </c>
      <c r="AI1187" s="48" t="s">
        <v>33</v>
      </c>
      <c r="AJ1187" s="48" t="s">
        <v>33</v>
      </c>
      <c r="AK1187" s="48" t="s">
        <v>33</v>
      </c>
      <c r="AL1187" s="48" t="s">
        <v>34</v>
      </c>
      <c r="AN1187" s="48">
        <v>0</v>
      </c>
      <c r="AO1187" s="48">
        <v>0</v>
      </c>
      <c r="AP1187" s="48">
        <v>0</v>
      </c>
      <c r="AQ1187" s="48">
        <v>0</v>
      </c>
      <c r="AR1187" s="48">
        <v>0</v>
      </c>
      <c r="AS1187" s="48">
        <v>0</v>
      </c>
      <c r="AT1187" s="48">
        <v>0</v>
      </c>
      <c r="AU1187" s="48">
        <v>0</v>
      </c>
      <c r="AV1187" s="48">
        <v>0</v>
      </c>
      <c r="AW1187" s="48">
        <v>0</v>
      </c>
      <c r="AX1187" s="48">
        <v>0</v>
      </c>
      <c r="AY1187" s="48">
        <v>0</v>
      </c>
      <c r="AZ1187" s="48">
        <v>0</v>
      </c>
      <c r="BA1187" s="48">
        <v>0</v>
      </c>
      <c r="BB1187" s="48">
        <v>0</v>
      </c>
    </row>
    <row r="1188" spans="1:54" x14ac:dyDescent="0.35">
      <c r="A1188" s="49">
        <v>45930</v>
      </c>
      <c r="B1188" s="48">
        <v>1</v>
      </c>
      <c r="C1188" s="50" t="s">
        <v>32</v>
      </c>
      <c r="D1188" s="48" t="s">
        <v>31</v>
      </c>
      <c r="E1188" s="48" t="s">
        <v>138</v>
      </c>
      <c r="F1188" s="48" t="s">
        <v>139</v>
      </c>
      <c r="G1188" s="49" t="s">
        <v>64</v>
      </c>
      <c r="H1188" s="48" t="s">
        <v>64</v>
      </c>
      <c r="I1188" s="48">
        <v>1</v>
      </c>
      <c r="J1188" s="48">
        <v>157</v>
      </c>
      <c r="K1188" s="48">
        <v>1</v>
      </c>
      <c r="N1188" s="48">
        <v>0</v>
      </c>
      <c r="R1188" s="49"/>
      <c r="S1188" s="181">
        <v>0</v>
      </c>
      <c r="T1188" s="49">
        <v>50709</v>
      </c>
      <c r="U1188" s="49">
        <v>50709</v>
      </c>
      <c r="V1188" s="49">
        <v>50709</v>
      </c>
      <c r="W1188" s="49">
        <v>50709</v>
      </c>
      <c r="X1188" s="48">
        <v>1</v>
      </c>
      <c r="Y1188" s="48">
        <v>1</v>
      </c>
      <c r="Z1188" s="48">
        <v>1</v>
      </c>
      <c r="AA1188" s="156">
        <v>0</v>
      </c>
      <c r="AF1188" s="48">
        <v>0</v>
      </c>
      <c r="AG1188" s="49" t="s">
        <v>32</v>
      </c>
      <c r="AH1188" s="48">
        <v>1</v>
      </c>
      <c r="AI1188" s="48" t="s">
        <v>33</v>
      </c>
      <c r="AJ1188" s="48" t="s">
        <v>33</v>
      </c>
      <c r="AK1188" s="48" t="s">
        <v>33</v>
      </c>
      <c r="AL1188" s="48" t="s">
        <v>34</v>
      </c>
      <c r="AN1188" s="48">
        <v>0</v>
      </c>
      <c r="AO1188" s="48">
        <v>0</v>
      </c>
      <c r="AP1188" s="48">
        <v>0</v>
      </c>
      <c r="AQ1188" s="48">
        <v>0</v>
      </c>
      <c r="AR1188" s="48">
        <v>0</v>
      </c>
      <c r="AS1188" s="48">
        <v>0</v>
      </c>
      <c r="AT1188" s="48">
        <v>0</v>
      </c>
      <c r="AU1188" s="48">
        <v>0</v>
      </c>
      <c r="AV1188" s="48">
        <v>0</v>
      </c>
      <c r="AW1188" s="48">
        <v>0</v>
      </c>
      <c r="AX1188" s="48">
        <v>0</v>
      </c>
      <c r="AY1188" s="48">
        <v>0</v>
      </c>
      <c r="AZ1188" s="48">
        <v>0</v>
      </c>
      <c r="BA1188" s="48">
        <v>0</v>
      </c>
      <c r="BB1188" s="48">
        <v>0</v>
      </c>
    </row>
    <row r="1189" spans="1:54" x14ac:dyDescent="0.35">
      <c r="A1189" s="49">
        <v>45930</v>
      </c>
      <c r="B1189" s="48">
        <v>1</v>
      </c>
      <c r="C1189" s="50" t="s">
        <v>32</v>
      </c>
      <c r="D1189" s="48" t="s">
        <v>31</v>
      </c>
      <c r="E1189" s="48" t="s">
        <v>138</v>
      </c>
      <c r="F1189" s="48" t="s">
        <v>139</v>
      </c>
      <c r="G1189" s="49" t="s">
        <v>64</v>
      </c>
      <c r="H1189" s="48" t="s">
        <v>64</v>
      </c>
      <c r="I1189" s="48">
        <v>1</v>
      </c>
      <c r="J1189" s="48">
        <v>158</v>
      </c>
      <c r="K1189" s="48">
        <v>1</v>
      </c>
      <c r="N1189" s="48">
        <v>0</v>
      </c>
      <c r="R1189" s="49"/>
      <c r="S1189" s="181">
        <v>0</v>
      </c>
      <c r="T1189" s="49">
        <v>50739</v>
      </c>
      <c r="U1189" s="49">
        <v>50739</v>
      </c>
      <c r="V1189" s="49">
        <v>50739</v>
      </c>
      <c r="W1189" s="49">
        <v>50739</v>
      </c>
      <c r="X1189" s="48">
        <v>1</v>
      </c>
      <c r="Y1189" s="48">
        <v>1</v>
      </c>
      <c r="Z1189" s="48">
        <v>1</v>
      </c>
      <c r="AA1189" s="156">
        <v>0</v>
      </c>
      <c r="AF1189" s="48">
        <v>0</v>
      </c>
      <c r="AG1189" s="49" t="s">
        <v>32</v>
      </c>
      <c r="AH1189" s="48">
        <v>1</v>
      </c>
      <c r="AI1189" s="48" t="s">
        <v>33</v>
      </c>
      <c r="AJ1189" s="48" t="s">
        <v>33</v>
      </c>
      <c r="AK1189" s="48" t="s">
        <v>33</v>
      </c>
      <c r="AL1189" s="48" t="s">
        <v>34</v>
      </c>
      <c r="AN1189" s="48">
        <v>0</v>
      </c>
      <c r="AO1189" s="48">
        <v>0</v>
      </c>
      <c r="AP1189" s="48">
        <v>0</v>
      </c>
      <c r="AQ1189" s="48">
        <v>0</v>
      </c>
      <c r="AR1189" s="48">
        <v>0</v>
      </c>
      <c r="AS1189" s="48">
        <v>0</v>
      </c>
      <c r="AT1189" s="48">
        <v>0</v>
      </c>
      <c r="AU1189" s="48">
        <v>0</v>
      </c>
      <c r="AV1189" s="48">
        <v>0</v>
      </c>
      <c r="AW1189" s="48">
        <v>0</v>
      </c>
      <c r="AX1189" s="48">
        <v>0</v>
      </c>
      <c r="AY1189" s="48">
        <v>0</v>
      </c>
      <c r="AZ1189" s="48">
        <v>0</v>
      </c>
      <c r="BA1189" s="48">
        <v>0</v>
      </c>
      <c r="BB1189" s="48">
        <v>0</v>
      </c>
    </row>
    <row r="1190" spans="1:54" x14ac:dyDescent="0.35">
      <c r="A1190" s="49">
        <v>45930</v>
      </c>
      <c r="B1190" s="48">
        <v>1</v>
      </c>
      <c r="C1190" s="50" t="s">
        <v>32</v>
      </c>
      <c r="D1190" s="48" t="s">
        <v>31</v>
      </c>
      <c r="E1190" s="48" t="s">
        <v>138</v>
      </c>
      <c r="F1190" s="48" t="s">
        <v>139</v>
      </c>
      <c r="G1190" s="49" t="s">
        <v>64</v>
      </c>
      <c r="H1190" s="48" t="s">
        <v>64</v>
      </c>
      <c r="I1190" s="48">
        <v>1</v>
      </c>
      <c r="J1190" s="48">
        <v>159</v>
      </c>
      <c r="K1190" s="48">
        <v>1</v>
      </c>
      <c r="N1190" s="48">
        <v>0</v>
      </c>
      <c r="R1190" s="49"/>
      <c r="S1190" s="181">
        <v>0</v>
      </c>
      <c r="T1190" s="49">
        <v>50770</v>
      </c>
      <c r="U1190" s="49">
        <v>50770</v>
      </c>
      <c r="V1190" s="49">
        <v>50770</v>
      </c>
      <c r="W1190" s="49">
        <v>50770</v>
      </c>
      <c r="X1190" s="48">
        <v>1</v>
      </c>
      <c r="Y1190" s="48">
        <v>1</v>
      </c>
      <c r="Z1190" s="48">
        <v>1</v>
      </c>
      <c r="AA1190" s="156">
        <v>0</v>
      </c>
      <c r="AF1190" s="48">
        <v>0</v>
      </c>
      <c r="AG1190" s="49" t="s">
        <v>32</v>
      </c>
      <c r="AH1190" s="48">
        <v>1</v>
      </c>
      <c r="AI1190" s="48" t="s">
        <v>33</v>
      </c>
      <c r="AJ1190" s="48" t="s">
        <v>33</v>
      </c>
      <c r="AK1190" s="48" t="s">
        <v>33</v>
      </c>
      <c r="AL1190" s="48" t="s">
        <v>34</v>
      </c>
      <c r="AN1190" s="48">
        <v>0</v>
      </c>
      <c r="AO1190" s="48">
        <v>0</v>
      </c>
      <c r="AP1190" s="48">
        <v>0</v>
      </c>
      <c r="AQ1190" s="48">
        <v>0</v>
      </c>
      <c r="AR1190" s="48">
        <v>0</v>
      </c>
      <c r="AS1190" s="48">
        <v>0</v>
      </c>
      <c r="AT1190" s="48">
        <v>0</v>
      </c>
      <c r="AU1190" s="48">
        <v>0</v>
      </c>
      <c r="AV1190" s="48">
        <v>0</v>
      </c>
      <c r="AW1190" s="48">
        <v>0</v>
      </c>
      <c r="AX1190" s="48">
        <v>0</v>
      </c>
      <c r="AY1190" s="48">
        <v>0</v>
      </c>
      <c r="AZ1190" s="48">
        <v>0</v>
      </c>
      <c r="BA1190" s="48">
        <v>0</v>
      </c>
      <c r="BB1190" s="48">
        <v>0</v>
      </c>
    </row>
    <row r="1191" spans="1:54" x14ac:dyDescent="0.35">
      <c r="A1191" s="49">
        <v>45930</v>
      </c>
      <c r="B1191" s="48">
        <v>1</v>
      </c>
      <c r="C1191" s="50" t="s">
        <v>32</v>
      </c>
      <c r="D1191" s="48" t="s">
        <v>31</v>
      </c>
      <c r="E1191" s="48" t="s">
        <v>138</v>
      </c>
      <c r="F1191" s="48" t="s">
        <v>139</v>
      </c>
      <c r="G1191" s="49" t="s">
        <v>64</v>
      </c>
      <c r="H1191" s="48" t="s">
        <v>64</v>
      </c>
      <c r="I1191" s="48">
        <v>1</v>
      </c>
      <c r="J1191" s="48">
        <v>160</v>
      </c>
      <c r="K1191" s="48">
        <v>1</v>
      </c>
      <c r="N1191" s="48">
        <v>0</v>
      </c>
      <c r="R1191" s="49"/>
      <c r="S1191" s="181">
        <v>0</v>
      </c>
      <c r="T1191" s="49">
        <v>50801</v>
      </c>
      <c r="U1191" s="49">
        <v>50801</v>
      </c>
      <c r="V1191" s="49">
        <v>50801</v>
      </c>
      <c r="W1191" s="49">
        <v>50801</v>
      </c>
      <c r="X1191" s="48">
        <v>1</v>
      </c>
      <c r="Y1191" s="48">
        <v>1</v>
      </c>
      <c r="Z1191" s="48">
        <v>1</v>
      </c>
      <c r="AA1191" s="156">
        <v>0</v>
      </c>
      <c r="AF1191" s="48">
        <v>0</v>
      </c>
      <c r="AG1191" s="49" t="s">
        <v>32</v>
      </c>
      <c r="AH1191" s="48">
        <v>1</v>
      </c>
      <c r="AI1191" s="48" t="s">
        <v>33</v>
      </c>
      <c r="AJ1191" s="48" t="s">
        <v>33</v>
      </c>
      <c r="AK1191" s="48" t="s">
        <v>33</v>
      </c>
      <c r="AL1191" s="48" t="s">
        <v>34</v>
      </c>
      <c r="AN1191" s="48">
        <v>0</v>
      </c>
      <c r="AO1191" s="48">
        <v>0</v>
      </c>
      <c r="AP1191" s="48">
        <v>0</v>
      </c>
      <c r="AQ1191" s="48">
        <v>0</v>
      </c>
      <c r="AR1191" s="48">
        <v>0</v>
      </c>
      <c r="AS1191" s="48">
        <v>0</v>
      </c>
      <c r="AT1191" s="48">
        <v>0</v>
      </c>
      <c r="AU1191" s="48">
        <v>0</v>
      </c>
      <c r="AV1191" s="48">
        <v>0</v>
      </c>
      <c r="AW1191" s="48">
        <v>0</v>
      </c>
      <c r="AX1191" s="48">
        <v>0</v>
      </c>
      <c r="AY1191" s="48">
        <v>0</v>
      </c>
      <c r="AZ1191" s="48">
        <v>0</v>
      </c>
      <c r="BA1191" s="48">
        <v>0</v>
      </c>
      <c r="BB1191" s="48">
        <v>0</v>
      </c>
    </row>
    <row r="1192" spans="1:54" x14ac:dyDescent="0.35">
      <c r="A1192" s="49">
        <v>45930</v>
      </c>
      <c r="B1192" s="48">
        <v>1</v>
      </c>
      <c r="C1192" s="50" t="s">
        <v>32</v>
      </c>
      <c r="D1192" s="48" t="s">
        <v>31</v>
      </c>
      <c r="E1192" s="48" t="s">
        <v>138</v>
      </c>
      <c r="F1192" s="48" t="s">
        <v>139</v>
      </c>
      <c r="G1192" s="49" t="s">
        <v>64</v>
      </c>
      <c r="H1192" s="48" t="s">
        <v>64</v>
      </c>
      <c r="I1192" s="48">
        <v>1</v>
      </c>
      <c r="J1192" s="48">
        <v>161</v>
      </c>
      <c r="K1192" s="48">
        <v>1</v>
      </c>
      <c r="N1192" s="48">
        <v>0</v>
      </c>
      <c r="R1192" s="49"/>
      <c r="S1192" s="181">
        <v>0</v>
      </c>
      <c r="T1192" s="49">
        <v>50829</v>
      </c>
      <c r="U1192" s="49">
        <v>50829</v>
      </c>
      <c r="V1192" s="49">
        <v>50829</v>
      </c>
      <c r="W1192" s="49">
        <v>50829</v>
      </c>
      <c r="X1192" s="48">
        <v>1</v>
      </c>
      <c r="Y1192" s="48">
        <v>1</v>
      </c>
      <c r="Z1192" s="48">
        <v>1</v>
      </c>
      <c r="AA1192" s="156">
        <v>0</v>
      </c>
      <c r="AF1192" s="48">
        <v>0</v>
      </c>
      <c r="AG1192" s="49" t="s">
        <v>32</v>
      </c>
      <c r="AH1192" s="48">
        <v>1</v>
      </c>
      <c r="AI1192" s="48" t="s">
        <v>33</v>
      </c>
      <c r="AJ1192" s="48" t="s">
        <v>33</v>
      </c>
      <c r="AK1192" s="48" t="s">
        <v>33</v>
      </c>
      <c r="AL1192" s="48" t="s">
        <v>34</v>
      </c>
      <c r="AN1192" s="48">
        <v>0</v>
      </c>
      <c r="AO1192" s="48">
        <v>0</v>
      </c>
      <c r="AP1192" s="48">
        <v>0</v>
      </c>
      <c r="AQ1192" s="48">
        <v>0</v>
      </c>
      <c r="AR1192" s="48">
        <v>0</v>
      </c>
      <c r="AS1192" s="48">
        <v>0</v>
      </c>
      <c r="AT1192" s="48">
        <v>0</v>
      </c>
      <c r="AU1192" s="48">
        <v>0</v>
      </c>
      <c r="AV1192" s="48">
        <v>0</v>
      </c>
      <c r="AW1192" s="48">
        <v>0</v>
      </c>
      <c r="AX1192" s="48">
        <v>0</v>
      </c>
      <c r="AY1192" s="48">
        <v>0</v>
      </c>
      <c r="AZ1192" s="48">
        <v>0</v>
      </c>
      <c r="BA1192" s="48">
        <v>0</v>
      </c>
      <c r="BB1192" s="48">
        <v>0</v>
      </c>
    </row>
    <row r="1193" spans="1:54" x14ac:dyDescent="0.35">
      <c r="A1193" s="49">
        <v>45930</v>
      </c>
      <c r="B1193" s="48">
        <v>1</v>
      </c>
      <c r="C1193" s="50" t="s">
        <v>32</v>
      </c>
      <c r="D1193" s="48" t="s">
        <v>31</v>
      </c>
      <c r="E1193" s="48" t="s">
        <v>138</v>
      </c>
      <c r="F1193" s="48" t="s">
        <v>139</v>
      </c>
      <c r="G1193" s="49" t="s">
        <v>64</v>
      </c>
      <c r="H1193" s="48" t="s">
        <v>64</v>
      </c>
      <c r="I1193" s="48">
        <v>1</v>
      </c>
      <c r="J1193" s="48">
        <v>162</v>
      </c>
      <c r="K1193" s="48">
        <v>1</v>
      </c>
      <c r="N1193" s="48">
        <v>0</v>
      </c>
      <c r="R1193" s="49"/>
      <c r="S1193" s="181">
        <v>0</v>
      </c>
      <c r="T1193" s="49">
        <v>50860</v>
      </c>
      <c r="U1193" s="49">
        <v>50860</v>
      </c>
      <c r="V1193" s="49">
        <v>50860</v>
      </c>
      <c r="W1193" s="49">
        <v>50860</v>
      </c>
      <c r="X1193" s="48">
        <v>1</v>
      </c>
      <c r="Y1193" s="48">
        <v>1</v>
      </c>
      <c r="Z1193" s="48">
        <v>1</v>
      </c>
      <c r="AA1193" s="156">
        <v>0</v>
      </c>
      <c r="AF1193" s="48">
        <v>0</v>
      </c>
      <c r="AG1193" s="49" t="s">
        <v>32</v>
      </c>
      <c r="AH1193" s="48">
        <v>1</v>
      </c>
      <c r="AI1193" s="48" t="s">
        <v>33</v>
      </c>
      <c r="AJ1193" s="48" t="s">
        <v>33</v>
      </c>
      <c r="AK1193" s="48" t="s">
        <v>33</v>
      </c>
      <c r="AL1193" s="48" t="s">
        <v>34</v>
      </c>
      <c r="AN1193" s="48">
        <v>0</v>
      </c>
      <c r="AO1193" s="48">
        <v>0</v>
      </c>
      <c r="AP1193" s="48">
        <v>0</v>
      </c>
      <c r="AQ1193" s="48">
        <v>0</v>
      </c>
      <c r="AR1193" s="48">
        <v>0</v>
      </c>
      <c r="AS1193" s="48">
        <v>0</v>
      </c>
      <c r="AT1193" s="48">
        <v>0</v>
      </c>
      <c r="AU1193" s="48">
        <v>0</v>
      </c>
      <c r="AV1193" s="48">
        <v>0</v>
      </c>
      <c r="AW1193" s="48">
        <v>0</v>
      </c>
      <c r="AX1193" s="48">
        <v>0</v>
      </c>
      <c r="AY1193" s="48">
        <v>0</v>
      </c>
      <c r="AZ1193" s="48">
        <v>0</v>
      </c>
      <c r="BA1193" s="48">
        <v>0</v>
      </c>
      <c r="BB1193" s="48">
        <v>0</v>
      </c>
    </row>
    <row r="1194" spans="1:54" x14ac:dyDescent="0.35">
      <c r="A1194" s="49">
        <v>45930</v>
      </c>
      <c r="B1194" s="48">
        <v>1</v>
      </c>
      <c r="C1194" s="50" t="s">
        <v>32</v>
      </c>
      <c r="D1194" s="48" t="s">
        <v>31</v>
      </c>
      <c r="E1194" s="48" t="s">
        <v>138</v>
      </c>
      <c r="F1194" s="48" t="s">
        <v>139</v>
      </c>
      <c r="G1194" s="49" t="s">
        <v>64</v>
      </c>
      <c r="H1194" s="48" t="s">
        <v>64</v>
      </c>
      <c r="I1194" s="48">
        <v>1</v>
      </c>
      <c r="J1194" s="48">
        <v>163</v>
      </c>
      <c r="K1194" s="48">
        <v>1</v>
      </c>
      <c r="N1194" s="48">
        <v>0</v>
      </c>
      <c r="R1194" s="49"/>
      <c r="S1194" s="181">
        <v>0</v>
      </c>
      <c r="T1194" s="49">
        <v>50890</v>
      </c>
      <c r="U1194" s="49">
        <v>50890</v>
      </c>
      <c r="V1194" s="49">
        <v>50890</v>
      </c>
      <c r="W1194" s="49">
        <v>50890</v>
      </c>
      <c r="X1194" s="48">
        <v>1</v>
      </c>
      <c r="Y1194" s="48">
        <v>1</v>
      </c>
      <c r="Z1194" s="48">
        <v>1</v>
      </c>
      <c r="AA1194" s="156">
        <v>0</v>
      </c>
      <c r="AF1194" s="48">
        <v>0</v>
      </c>
      <c r="AG1194" s="49" t="s">
        <v>32</v>
      </c>
      <c r="AH1194" s="48">
        <v>1</v>
      </c>
      <c r="AI1194" s="48" t="s">
        <v>33</v>
      </c>
      <c r="AJ1194" s="48" t="s">
        <v>33</v>
      </c>
      <c r="AK1194" s="48" t="s">
        <v>33</v>
      </c>
      <c r="AL1194" s="48" t="s">
        <v>34</v>
      </c>
      <c r="AN1194" s="48">
        <v>0</v>
      </c>
      <c r="AO1194" s="48">
        <v>0</v>
      </c>
      <c r="AP1194" s="48">
        <v>0</v>
      </c>
      <c r="AQ1194" s="48">
        <v>0</v>
      </c>
      <c r="AR1194" s="48">
        <v>0</v>
      </c>
      <c r="AS1194" s="48">
        <v>0</v>
      </c>
      <c r="AT1194" s="48">
        <v>0</v>
      </c>
      <c r="AU1194" s="48">
        <v>0</v>
      </c>
      <c r="AV1194" s="48">
        <v>0</v>
      </c>
      <c r="AW1194" s="48">
        <v>0</v>
      </c>
      <c r="AX1194" s="48">
        <v>0</v>
      </c>
      <c r="AY1194" s="48">
        <v>0</v>
      </c>
      <c r="AZ1194" s="48">
        <v>0</v>
      </c>
      <c r="BA1194" s="48">
        <v>0</v>
      </c>
      <c r="BB1194" s="48">
        <v>0</v>
      </c>
    </row>
    <row r="1195" spans="1:54" x14ac:dyDescent="0.35">
      <c r="A1195" s="49">
        <v>45930</v>
      </c>
      <c r="B1195" s="48">
        <v>1</v>
      </c>
      <c r="C1195" s="50" t="s">
        <v>32</v>
      </c>
      <c r="D1195" s="48" t="s">
        <v>31</v>
      </c>
      <c r="E1195" s="48" t="s">
        <v>138</v>
      </c>
      <c r="F1195" s="48" t="s">
        <v>139</v>
      </c>
      <c r="G1195" s="49" t="s">
        <v>64</v>
      </c>
      <c r="H1195" s="48" t="s">
        <v>64</v>
      </c>
      <c r="I1195" s="48">
        <v>1</v>
      </c>
      <c r="J1195" s="48">
        <v>164</v>
      </c>
      <c r="K1195" s="48">
        <v>1</v>
      </c>
      <c r="N1195" s="48">
        <v>0</v>
      </c>
      <c r="R1195" s="49"/>
      <c r="S1195" s="181">
        <v>0</v>
      </c>
      <c r="T1195" s="49">
        <v>50921</v>
      </c>
      <c r="U1195" s="49">
        <v>50921</v>
      </c>
      <c r="V1195" s="49">
        <v>50921</v>
      </c>
      <c r="W1195" s="49">
        <v>50921</v>
      </c>
      <c r="X1195" s="48">
        <v>1</v>
      </c>
      <c r="Y1195" s="48">
        <v>1</v>
      </c>
      <c r="Z1195" s="48">
        <v>1</v>
      </c>
      <c r="AA1195" s="156">
        <v>0</v>
      </c>
      <c r="AF1195" s="48">
        <v>0</v>
      </c>
      <c r="AG1195" s="49" t="s">
        <v>32</v>
      </c>
      <c r="AH1195" s="48">
        <v>1</v>
      </c>
      <c r="AI1195" s="48" t="s">
        <v>33</v>
      </c>
      <c r="AJ1195" s="48" t="s">
        <v>33</v>
      </c>
      <c r="AK1195" s="48" t="s">
        <v>33</v>
      </c>
      <c r="AL1195" s="48" t="s">
        <v>34</v>
      </c>
      <c r="AN1195" s="48">
        <v>0</v>
      </c>
      <c r="AO1195" s="48">
        <v>0</v>
      </c>
      <c r="AP1195" s="48">
        <v>0</v>
      </c>
      <c r="AQ1195" s="48">
        <v>0</v>
      </c>
      <c r="AR1195" s="48">
        <v>0</v>
      </c>
      <c r="AS1195" s="48">
        <v>0</v>
      </c>
      <c r="AT1195" s="48">
        <v>0</v>
      </c>
      <c r="AU1195" s="48">
        <v>0</v>
      </c>
      <c r="AV1195" s="48">
        <v>0</v>
      </c>
      <c r="AW1195" s="48">
        <v>0</v>
      </c>
      <c r="AX1195" s="48">
        <v>0</v>
      </c>
      <c r="AY1195" s="48">
        <v>0</v>
      </c>
      <c r="AZ1195" s="48">
        <v>0</v>
      </c>
      <c r="BA1195" s="48">
        <v>0</v>
      </c>
      <c r="BB1195" s="48">
        <v>0</v>
      </c>
    </row>
    <row r="1196" spans="1:54" x14ac:dyDescent="0.35">
      <c r="A1196" s="49">
        <v>45930</v>
      </c>
      <c r="B1196" s="48">
        <v>1</v>
      </c>
      <c r="C1196" s="50" t="s">
        <v>32</v>
      </c>
      <c r="D1196" s="48" t="s">
        <v>31</v>
      </c>
      <c r="E1196" s="48" t="s">
        <v>138</v>
      </c>
      <c r="F1196" s="48" t="s">
        <v>139</v>
      </c>
      <c r="G1196" s="49" t="s">
        <v>64</v>
      </c>
      <c r="H1196" s="48" t="s">
        <v>64</v>
      </c>
      <c r="I1196" s="48">
        <v>1</v>
      </c>
      <c r="J1196" s="48">
        <v>165</v>
      </c>
      <c r="K1196" s="48">
        <v>1</v>
      </c>
      <c r="N1196" s="48">
        <v>0</v>
      </c>
      <c r="R1196" s="49"/>
      <c r="S1196" s="181">
        <v>0</v>
      </c>
      <c r="T1196" s="49">
        <v>50951</v>
      </c>
      <c r="U1196" s="49">
        <v>50951</v>
      </c>
      <c r="V1196" s="49">
        <v>50951</v>
      </c>
      <c r="W1196" s="49">
        <v>50951</v>
      </c>
      <c r="X1196" s="48">
        <v>1</v>
      </c>
      <c r="Y1196" s="48">
        <v>1</v>
      </c>
      <c r="Z1196" s="48">
        <v>1</v>
      </c>
      <c r="AA1196" s="156">
        <v>0</v>
      </c>
      <c r="AF1196" s="48">
        <v>0</v>
      </c>
      <c r="AG1196" s="49" t="s">
        <v>32</v>
      </c>
      <c r="AH1196" s="48">
        <v>1</v>
      </c>
      <c r="AI1196" s="48" t="s">
        <v>33</v>
      </c>
      <c r="AJ1196" s="48" t="s">
        <v>33</v>
      </c>
      <c r="AK1196" s="48" t="s">
        <v>33</v>
      </c>
      <c r="AL1196" s="48" t="s">
        <v>34</v>
      </c>
      <c r="AN1196" s="48">
        <v>0</v>
      </c>
      <c r="AO1196" s="48">
        <v>0</v>
      </c>
      <c r="AP1196" s="48">
        <v>0</v>
      </c>
      <c r="AQ1196" s="48">
        <v>0</v>
      </c>
      <c r="AR1196" s="48">
        <v>0</v>
      </c>
      <c r="AS1196" s="48">
        <v>0</v>
      </c>
      <c r="AT1196" s="48">
        <v>0</v>
      </c>
      <c r="AU1196" s="48">
        <v>0</v>
      </c>
      <c r="AV1196" s="48">
        <v>0</v>
      </c>
      <c r="AW1196" s="48">
        <v>0</v>
      </c>
      <c r="AX1196" s="48">
        <v>0</v>
      </c>
      <c r="AY1196" s="48">
        <v>0</v>
      </c>
      <c r="AZ1196" s="48">
        <v>0</v>
      </c>
      <c r="BA1196" s="48">
        <v>0</v>
      </c>
      <c r="BB1196" s="48">
        <v>0</v>
      </c>
    </row>
    <row r="1197" spans="1:54" x14ac:dyDescent="0.35">
      <c r="A1197" s="49">
        <v>45930</v>
      </c>
      <c r="B1197" s="48">
        <v>1</v>
      </c>
      <c r="C1197" s="50" t="s">
        <v>32</v>
      </c>
      <c r="D1197" s="48" t="s">
        <v>31</v>
      </c>
      <c r="E1197" s="48" t="s">
        <v>138</v>
      </c>
      <c r="F1197" s="48" t="s">
        <v>139</v>
      </c>
      <c r="G1197" s="49" t="s">
        <v>64</v>
      </c>
      <c r="H1197" s="48" t="s">
        <v>64</v>
      </c>
      <c r="I1197" s="48">
        <v>1</v>
      </c>
      <c r="J1197" s="48">
        <v>166</v>
      </c>
      <c r="K1197" s="48">
        <v>1</v>
      </c>
      <c r="N1197" s="48">
        <v>0</v>
      </c>
      <c r="R1197" s="49"/>
      <c r="S1197" s="181">
        <v>0</v>
      </c>
      <c r="T1197" s="49">
        <v>50982</v>
      </c>
      <c r="U1197" s="49">
        <v>50982</v>
      </c>
      <c r="V1197" s="49">
        <v>50982</v>
      </c>
      <c r="W1197" s="49">
        <v>50982</v>
      </c>
      <c r="X1197" s="48">
        <v>1</v>
      </c>
      <c r="Y1197" s="48">
        <v>1</v>
      </c>
      <c r="Z1197" s="48">
        <v>1</v>
      </c>
      <c r="AA1197" s="156">
        <v>0</v>
      </c>
      <c r="AF1197" s="48">
        <v>0</v>
      </c>
      <c r="AG1197" s="49" t="s">
        <v>32</v>
      </c>
      <c r="AH1197" s="48">
        <v>1</v>
      </c>
      <c r="AI1197" s="48" t="s">
        <v>33</v>
      </c>
      <c r="AJ1197" s="48" t="s">
        <v>33</v>
      </c>
      <c r="AK1197" s="48" t="s">
        <v>33</v>
      </c>
      <c r="AL1197" s="48" t="s">
        <v>34</v>
      </c>
      <c r="AN1197" s="48">
        <v>0</v>
      </c>
      <c r="AO1197" s="48">
        <v>0</v>
      </c>
      <c r="AP1197" s="48">
        <v>0</v>
      </c>
      <c r="AQ1197" s="48">
        <v>0</v>
      </c>
      <c r="AR1197" s="48">
        <v>0</v>
      </c>
      <c r="AS1197" s="48">
        <v>0</v>
      </c>
      <c r="AT1197" s="48">
        <v>0</v>
      </c>
      <c r="AU1197" s="48">
        <v>0</v>
      </c>
      <c r="AV1197" s="48">
        <v>0</v>
      </c>
      <c r="AW1197" s="48">
        <v>0</v>
      </c>
      <c r="AX1197" s="48">
        <v>0</v>
      </c>
      <c r="AY1197" s="48">
        <v>0</v>
      </c>
      <c r="AZ1197" s="48">
        <v>0</v>
      </c>
      <c r="BA1197" s="48">
        <v>0</v>
      </c>
      <c r="BB1197" s="48">
        <v>0</v>
      </c>
    </row>
    <row r="1198" spans="1:54" x14ac:dyDescent="0.35">
      <c r="A1198" s="49">
        <v>45930</v>
      </c>
      <c r="B1198" s="48">
        <v>1</v>
      </c>
      <c r="C1198" s="50" t="s">
        <v>32</v>
      </c>
      <c r="D1198" s="48" t="s">
        <v>31</v>
      </c>
      <c r="E1198" s="48" t="s">
        <v>138</v>
      </c>
      <c r="F1198" s="48" t="s">
        <v>139</v>
      </c>
      <c r="G1198" s="49" t="s">
        <v>64</v>
      </c>
      <c r="H1198" s="48" t="s">
        <v>64</v>
      </c>
      <c r="I1198" s="48">
        <v>1</v>
      </c>
      <c r="J1198" s="48">
        <v>167</v>
      </c>
      <c r="K1198" s="48">
        <v>1</v>
      </c>
      <c r="N1198" s="48">
        <v>0</v>
      </c>
      <c r="R1198" s="49"/>
      <c r="S1198" s="181">
        <v>0</v>
      </c>
      <c r="T1198" s="49">
        <v>51013</v>
      </c>
      <c r="U1198" s="49">
        <v>51013</v>
      </c>
      <c r="V1198" s="49">
        <v>51013</v>
      </c>
      <c r="W1198" s="49">
        <v>51013</v>
      </c>
      <c r="X1198" s="48">
        <v>1</v>
      </c>
      <c r="Y1198" s="48">
        <v>1</v>
      </c>
      <c r="Z1198" s="48">
        <v>1</v>
      </c>
      <c r="AA1198" s="156">
        <v>0</v>
      </c>
      <c r="AF1198" s="48">
        <v>0</v>
      </c>
      <c r="AG1198" s="49" t="s">
        <v>32</v>
      </c>
      <c r="AH1198" s="48">
        <v>1</v>
      </c>
      <c r="AI1198" s="48" t="s">
        <v>33</v>
      </c>
      <c r="AJ1198" s="48" t="s">
        <v>33</v>
      </c>
      <c r="AK1198" s="48" t="s">
        <v>33</v>
      </c>
      <c r="AL1198" s="48" t="s">
        <v>34</v>
      </c>
      <c r="AN1198" s="48">
        <v>0</v>
      </c>
      <c r="AO1198" s="48">
        <v>0</v>
      </c>
      <c r="AP1198" s="48">
        <v>0</v>
      </c>
      <c r="AQ1198" s="48">
        <v>0</v>
      </c>
      <c r="AR1198" s="48">
        <v>0</v>
      </c>
      <c r="AS1198" s="48">
        <v>0</v>
      </c>
      <c r="AT1198" s="48">
        <v>0</v>
      </c>
      <c r="AU1198" s="48">
        <v>0</v>
      </c>
      <c r="AV1198" s="48">
        <v>0</v>
      </c>
      <c r="AW1198" s="48">
        <v>0</v>
      </c>
      <c r="AX1198" s="48">
        <v>0</v>
      </c>
      <c r="AY1198" s="48">
        <v>0</v>
      </c>
      <c r="AZ1198" s="48">
        <v>0</v>
      </c>
      <c r="BA1198" s="48">
        <v>0</v>
      </c>
      <c r="BB1198" s="48">
        <v>0</v>
      </c>
    </row>
    <row r="1199" spans="1:54" x14ac:dyDescent="0.35">
      <c r="A1199" s="49">
        <v>45930</v>
      </c>
      <c r="B1199" s="48">
        <v>1</v>
      </c>
      <c r="C1199" s="50" t="s">
        <v>32</v>
      </c>
      <c r="D1199" s="48" t="s">
        <v>31</v>
      </c>
      <c r="E1199" s="48" t="s">
        <v>138</v>
      </c>
      <c r="F1199" s="48" t="s">
        <v>139</v>
      </c>
      <c r="G1199" s="49" t="s">
        <v>64</v>
      </c>
      <c r="H1199" s="48" t="s">
        <v>64</v>
      </c>
      <c r="I1199" s="48">
        <v>1</v>
      </c>
      <c r="J1199" s="48">
        <v>168</v>
      </c>
      <c r="K1199" s="48">
        <v>1</v>
      </c>
      <c r="N1199" s="48">
        <v>0</v>
      </c>
      <c r="R1199" s="49"/>
      <c r="S1199" s="181">
        <v>0</v>
      </c>
      <c r="T1199" s="49">
        <v>51043</v>
      </c>
      <c r="U1199" s="49">
        <v>51043</v>
      </c>
      <c r="V1199" s="49">
        <v>51043</v>
      </c>
      <c r="W1199" s="49">
        <v>51043</v>
      </c>
      <c r="X1199" s="48">
        <v>1</v>
      </c>
      <c r="Y1199" s="48">
        <v>1</v>
      </c>
      <c r="Z1199" s="48">
        <v>1</v>
      </c>
      <c r="AA1199" s="156">
        <v>0</v>
      </c>
      <c r="AF1199" s="48">
        <v>0</v>
      </c>
      <c r="AG1199" s="49" t="s">
        <v>32</v>
      </c>
      <c r="AH1199" s="48">
        <v>1</v>
      </c>
      <c r="AI1199" s="48" t="s">
        <v>33</v>
      </c>
      <c r="AJ1199" s="48" t="s">
        <v>33</v>
      </c>
      <c r="AK1199" s="48" t="s">
        <v>33</v>
      </c>
      <c r="AL1199" s="48" t="s">
        <v>34</v>
      </c>
      <c r="AN1199" s="48">
        <v>0</v>
      </c>
      <c r="AO1199" s="48">
        <v>0</v>
      </c>
      <c r="AP1199" s="48">
        <v>0</v>
      </c>
      <c r="AQ1199" s="48">
        <v>0</v>
      </c>
      <c r="AR1199" s="48">
        <v>0</v>
      </c>
      <c r="AS1199" s="48">
        <v>0</v>
      </c>
      <c r="AT1199" s="48">
        <v>0</v>
      </c>
      <c r="AU1199" s="48">
        <v>0</v>
      </c>
      <c r="AV1199" s="48">
        <v>0</v>
      </c>
      <c r="AW1199" s="48">
        <v>0</v>
      </c>
      <c r="AX1199" s="48">
        <v>0</v>
      </c>
      <c r="AY1199" s="48">
        <v>0</v>
      </c>
      <c r="AZ1199" s="48">
        <v>0</v>
      </c>
      <c r="BA1199" s="48">
        <v>0</v>
      </c>
      <c r="BB1199" s="48">
        <v>0</v>
      </c>
    </row>
    <row r="1200" spans="1:54" x14ac:dyDescent="0.35">
      <c r="A1200" s="49">
        <v>45930</v>
      </c>
      <c r="B1200" s="48">
        <v>1</v>
      </c>
      <c r="C1200" s="50" t="s">
        <v>32</v>
      </c>
      <c r="D1200" s="48" t="s">
        <v>31</v>
      </c>
      <c r="E1200" s="48" t="s">
        <v>138</v>
      </c>
      <c r="F1200" s="48" t="s">
        <v>139</v>
      </c>
      <c r="G1200" s="49" t="s">
        <v>64</v>
      </c>
      <c r="H1200" s="48" t="s">
        <v>64</v>
      </c>
      <c r="I1200" s="48">
        <v>1</v>
      </c>
      <c r="J1200" s="48">
        <v>169</v>
      </c>
      <c r="K1200" s="48">
        <v>1</v>
      </c>
      <c r="N1200" s="48">
        <v>0</v>
      </c>
      <c r="R1200" s="49"/>
      <c r="S1200" s="181">
        <v>0</v>
      </c>
      <c r="T1200" s="49">
        <v>51074</v>
      </c>
      <c r="U1200" s="49">
        <v>51074</v>
      </c>
      <c r="V1200" s="49">
        <v>51074</v>
      </c>
      <c r="W1200" s="49">
        <v>51074</v>
      </c>
      <c r="X1200" s="48">
        <v>1</v>
      </c>
      <c r="Y1200" s="48">
        <v>1</v>
      </c>
      <c r="Z1200" s="48">
        <v>1</v>
      </c>
      <c r="AA1200" s="156">
        <v>0</v>
      </c>
      <c r="AF1200" s="48">
        <v>0</v>
      </c>
      <c r="AG1200" s="49" t="s">
        <v>32</v>
      </c>
      <c r="AH1200" s="48">
        <v>1</v>
      </c>
      <c r="AI1200" s="48" t="s">
        <v>33</v>
      </c>
      <c r="AJ1200" s="48" t="s">
        <v>33</v>
      </c>
      <c r="AK1200" s="48" t="s">
        <v>33</v>
      </c>
      <c r="AL1200" s="48" t="s">
        <v>34</v>
      </c>
      <c r="AN1200" s="48">
        <v>0</v>
      </c>
      <c r="AO1200" s="48">
        <v>0</v>
      </c>
      <c r="AP1200" s="48">
        <v>0</v>
      </c>
      <c r="AQ1200" s="48">
        <v>0</v>
      </c>
      <c r="AR1200" s="48">
        <v>0</v>
      </c>
      <c r="AS1200" s="48">
        <v>0</v>
      </c>
      <c r="AT1200" s="48">
        <v>0</v>
      </c>
      <c r="AU1200" s="48">
        <v>0</v>
      </c>
      <c r="AV1200" s="48">
        <v>0</v>
      </c>
      <c r="AW1200" s="48">
        <v>0</v>
      </c>
      <c r="AX1200" s="48">
        <v>0</v>
      </c>
      <c r="AY1200" s="48">
        <v>0</v>
      </c>
      <c r="AZ1200" s="48">
        <v>0</v>
      </c>
      <c r="BA1200" s="48">
        <v>0</v>
      </c>
      <c r="BB1200" s="48">
        <v>0</v>
      </c>
    </row>
    <row r="1201" spans="1:54" x14ac:dyDescent="0.35">
      <c r="A1201" s="49">
        <v>45930</v>
      </c>
      <c r="B1201" s="48">
        <v>1</v>
      </c>
      <c r="C1201" s="50" t="s">
        <v>32</v>
      </c>
      <c r="D1201" s="48" t="s">
        <v>31</v>
      </c>
      <c r="E1201" s="48" t="s">
        <v>138</v>
      </c>
      <c r="F1201" s="48" t="s">
        <v>139</v>
      </c>
      <c r="G1201" s="49" t="s">
        <v>64</v>
      </c>
      <c r="H1201" s="48" t="s">
        <v>64</v>
      </c>
      <c r="I1201" s="48">
        <v>1</v>
      </c>
      <c r="J1201" s="48">
        <v>170</v>
      </c>
      <c r="K1201" s="48">
        <v>1</v>
      </c>
      <c r="N1201" s="48">
        <v>0</v>
      </c>
      <c r="R1201" s="49"/>
      <c r="S1201" s="181">
        <v>0</v>
      </c>
      <c r="T1201" s="49">
        <v>51104</v>
      </c>
      <c r="U1201" s="49">
        <v>51104</v>
      </c>
      <c r="V1201" s="49">
        <v>51104</v>
      </c>
      <c r="W1201" s="49">
        <v>51104</v>
      </c>
      <c r="X1201" s="48">
        <v>1</v>
      </c>
      <c r="Y1201" s="48">
        <v>1</v>
      </c>
      <c r="Z1201" s="48">
        <v>1</v>
      </c>
      <c r="AA1201" s="156">
        <v>0</v>
      </c>
      <c r="AF1201" s="48">
        <v>0</v>
      </c>
      <c r="AG1201" s="49" t="s">
        <v>32</v>
      </c>
      <c r="AH1201" s="48">
        <v>1</v>
      </c>
      <c r="AI1201" s="48" t="s">
        <v>33</v>
      </c>
      <c r="AJ1201" s="48" t="s">
        <v>33</v>
      </c>
      <c r="AK1201" s="48" t="s">
        <v>33</v>
      </c>
      <c r="AL1201" s="48" t="s">
        <v>34</v>
      </c>
      <c r="AN1201" s="48">
        <v>0</v>
      </c>
      <c r="AO1201" s="48">
        <v>0</v>
      </c>
      <c r="AP1201" s="48">
        <v>0</v>
      </c>
      <c r="AQ1201" s="48">
        <v>0</v>
      </c>
      <c r="AR1201" s="48">
        <v>0</v>
      </c>
      <c r="AS1201" s="48">
        <v>0</v>
      </c>
      <c r="AT1201" s="48">
        <v>0</v>
      </c>
      <c r="AU1201" s="48">
        <v>0</v>
      </c>
      <c r="AV1201" s="48">
        <v>0</v>
      </c>
      <c r="AW1201" s="48">
        <v>0</v>
      </c>
      <c r="AX1201" s="48">
        <v>0</v>
      </c>
      <c r="AY1201" s="48">
        <v>0</v>
      </c>
      <c r="AZ1201" s="48">
        <v>0</v>
      </c>
      <c r="BA1201" s="48">
        <v>0</v>
      </c>
      <c r="BB1201" s="48">
        <v>0</v>
      </c>
    </row>
    <row r="1202" spans="1:54" x14ac:dyDescent="0.35">
      <c r="A1202" s="49">
        <v>45930</v>
      </c>
      <c r="B1202" s="48">
        <v>1</v>
      </c>
      <c r="C1202" s="50" t="s">
        <v>32</v>
      </c>
      <c r="D1202" s="48" t="s">
        <v>31</v>
      </c>
      <c r="E1202" s="48" t="s">
        <v>138</v>
      </c>
      <c r="F1202" s="48" t="s">
        <v>139</v>
      </c>
      <c r="G1202" s="49" t="s">
        <v>64</v>
      </c>
      <c r="H1202" s="48" t="s">
        <v>64</v>
      </c>
      <c r="I1202" s="48">
        <v>1</v>
      </c>
      <c r="J1202" s="48">
        <v>171</v>
      </c>
      <c r="K1202" s="48">
        <v>1</v>
      </c>
      <c r="N1202" s="48">
        <v>0</v>
      </c>
      <c r="R1202" s="49"/>
      <c r="S1202" s="181">
        <v>0</v>
      </c>
      <c r="T1202" s="49">
        <v>51135</v>
      </c>
      <c r="U1202" s="49">
        <v>51135</v>
      </c>
      <c r="V1202" s="49">
        <v>51135</v>
      </c>
      <c r="W1202" s="49">
        <v>51135</v>
      </c>
      <c r="X1202" s="48">
        <v>1</v>
      </c>
      <c r="Y1202" s="48">
        <v>1</v>
      </c>
      <c r="Z1202" s="48">
        <v>1</v>
      </c>
      <c r="AA1202" s="156">
        <v>0</v>
      </c>
      <c r="AF1202" s="48">
        <v>0</v>
      </c>
      <c r="AG1202" s="49" t="s">
        <v>32</v>
      </c>
      <c r="AH1202" s="48">
        <v>1</v>
      </c>
      <c r="AI1202" s="48" t="s">
        <v>33</v>
      </c>
      <c r="AJ1202" s="48" t="s">
        <v>33</v>
      </c>
      <c r="AK1202" s="48" t="s">
        <v>33</v>
      </c>
      <c r="AL1202" s="48" t="s">
        <v>34</v>
      </c>
      <c r="AN1202" s="48">
        <v>0</v>
      </c>
      <c r="AO1202" s="48">
        <v>0</v>
      </c>
      <c r="AP1202" s="48">
        <v>0</v>
      </c>
      <c r="AQ1202" s="48">
        <v>0</v>
      </c>
      <c r="AR1202" s="48">
        <v>0</v>
      </c>
      <c r="AS1202" s="48">
        <v>0</v>
      </c>
      <c r="AT1202" s="48">
        <v>0</v>
      </c>
      <c r="AU1202" s="48">
        <v>0</v>
      </c>
      <c r="AV1202" s="48">
        <v>0</v>
      </c>
      <c r="AW1202" s="48">
        <v>0</v>
      </c>
      <c r="AX1202" s="48">
        <v>0</v>
      </c>
      <c r="AY1202" s="48">
        <v>0</v>
      </c>
      <c r="AZ1202" s="48">
        <v>0</v>
      </c>
      <c r="BA1202" s="48">
        <v>0</v>
      </c>
      <c r="BB1202" s="48">
        <v>0</v>
      </c>
    </row>
    <row r="1203" spans="1:54" x14ac:dyDescent="0.35">
      <c r="A1203" s="49">
        <v>45930</v>
      </c>
      <c r="B1203" s="48">
        <v>1</v>
      </c>
      <c r="C1203" s="50" t="s">
        <v>32</v>
      </c>
      <c r="D1203" s="48" t="s">
        <v>31</v>
      </c>
      <c r="E1203" s="48" t="s">
        <v>138</v>
      </c>
      <c r="F1203" s="48" t="s">
        <v>139</v>
      </c>
      <c r="G1203" s="49" t="s">
        <v>64</v>
      </c>
      <c r="H1203" s="48" t="s">
        <v>64</v>
      </c>
      <c r="I1203" s="48">
        <v>1</v>
      </c>
      <c r="J1203" s="48">
        <v>172</v>
      </c>
      <c r="K1203" s="48">
        <v>1</v>
      </c>
      <c r="N1203" s="48">
        <v>0</v>
      </c>
      <c r="R1203" s="49"/>
      <c r="S1203" s="181">
        <v>0</v>
      </c>
      <c r="T1203" s="49">
        <v>51166</v>
      </c>
      <c r="U1203" s="49">
        <v>51166</v>
      </c>
      <c r="V1203" s="49">
        <v>51166</v>
      </c>
      <c r="W1203" s="49">
        <v>51166</v>
      </c>
      <c r="X1203" s="48">
        <v>1</v>
      </c>
      <c r="Y1203" s="48">
        <v>1</v>
      </c>
      <c r="Z1203" s="48">
        <v>1</v>
      </c>
      <c r="AA1203" s="156">
        <v>0</v>
      </c>
      <c r="AF1203" s="48">
        <v>0</v>
      </c>
      <c r="AG1203" s="49" t="s">
        <v>32</v>
      </c>
      <c r="AH1203" s="48">
        <v>1</v>
      </c>
      <c r="AI1203" s="48" t="s">
        <v>33</v>
      </c>
      <c r="AJ1203" s="48" t="s">
        <v>33</v>
      </c>
      <c r="AK1203" s="48" t="s">
        <v>33</v>
      </c>
      <c r="AL1203" s="48" t="s">
        <v>34</v>
      </c>
      <c r="AN1203" s="48">
        <v>0</v>
      </c>
      <c r="AO1203" s="48">
        <v>0</v>
      </c>
      <c r="AP1203" s="48">
        <v>0</v>
      </c>
      <c r="AQ1203" s="48">
        <v>0</v>
      </c>
      <c r="AR1203" s="48">
        <v>0</v>
      </c>
      <c r="AS1203" s="48">
        <v>0</v>
      </c>
      <c r="AT1203" s="48">
        <v>0</v>
      </c>
      <c r="AU1203" s="48">
        <v>0</v>
      </c>
      <c r="AV1203" s="48">
        <v>0</v>
      </c>
      <c r="AW1203" s="48">
        <v>0</v>
      </c>
      <c r="AX1203" s="48">
        <v>0</v>
      </c>
      <c r="AY1203" s="48">
        <v>0</v>
      </c>
      <c r="AZ1203" s="48">
        <v>0</v>
      </c>
      <c r="BA1203" s="48">
        <v>0</v>
      </c>
      <c r="BB1203" s="48">
        <v>0</v>
      </c>
    </row>
    <row r="1204" spans="1:54" x14ac:dyDescent="0.35">
      <c r="A1204" s="49">
        <v>45930</v>
      </c>
      <c r="B1204" s="48">
        <v>1</v>
      </c>
      <c r="C1204" s="50" t="s">
        <v>32</v>
      </c>
      <c r="D1204" s="48" t="s">
        <v>31</v>
      </c>
      <c r="E1204" s="48" t="s">
        <v>138</v>
      </c>
      <c r="F1204" s="48" t="s">
        <v>139</v>
      </c>
      <c r="G1204" s="49" t="s">
        <v>64</v>
      </c>
      <c r="H1204" s="48" t="s">
        <v>64</v>
      </c>
      <c r="I1204" s="48">
        <v>1</v>
      </c>
      <c r="J1204" s="48">
        <v>173</v>
      </c>
      <c r="K1204" s="48">
        <v>1</v>
      </c>
      <c r="N1204" s="48">
        <v>0</v>
      </c>
      <c r="R1204" s="49"/>
      <c r="S1204" s="181">
        <v>0</v>
      </c>
      <c r="T1204" s="49">
        <v>51195</v>
      </c>
      <c r="U1204" s="49">
        <v>51195</v>
      </c>
      <c r="V1204" s="49">
        <v>51195</v>
      </c>
      <c r="W1204" s="49">
        <v>51195</v>
      </c>
      <c r="X1204" s="48">
        <v>1</v>
      </c>
      <c r="Y1204" s="48">
        <v>1</v>
      </c>
      <c r="Z1204" s="48">
        <v>1</v>
      </c>
      <c r="AA1204" s="156">
        <v>0</v>
      </c>
      <c r="AF1204" s="48">
        <v>0</v>
      </c>
      <c r="AG1204" s="49" t="s">
        <v>32</v>
      </c>
      <c r="AH1204" s="48">
        <v>1</v>
      </c>
      <c r="AI1204" s="48" t="s">
        <v>33</v>
      </c>
      <c r="AJ1204" s="48" t="s">
        <v>33</v>
      </c>
      <c r="AK1204" s="48" t="s">
        <v>33</v>
      </c>
      <c r="AL1204" s="48" t="s">
        <v>34</v>
      </c>
      <c r="AN1204" s="48">
        <v>0</v>
      </c>
      <c r="AO1204" s="48">
        <v>0</v>
      </c>
      <c r="AP1204" s="48">
        <v>0</v>
      </c>
      <c r="AQ1204" s="48">
        <v>0</v>
      </c>
      <c r="AR1204" s="48">
        <v>0</v>
      </c>
      <c r="AS1204" s="48">
        <v>0</v>
      </c>
      <c r="AT1204" s="48">
        <v>0</v>
      </c>
      <c r="AU1204" s="48">
        <v>0</v>
      </c>
      <c r="AV1204" s="48">
        <v>0</v>
      </c>
      <c r="AW1204" s="48">
        <v>0</v>
      </c>
      <c r="AX1204" s="48">
        <v>0</v>
      </c>
      <c r="AY1204" s="48">
        <v>0</v>
      </c>
      <c r="AZ1204" s="48">
        <v>0</v>
      </c>
      <c r="BA1204" s="48">
        <v>0</v>
      </c>
      <c r="BB1204" s="48">
        <v>0</v>
      </c>
    </row>
    <row r="1205" spans="1:54" x14ac:dyDescent="0.35">
      <c r="A1205" s="49">
        <v>45930</v>
      </c>
      <c r="B1205" s="48">
        <v>1</v>
      </c>
      <c r="C1205" s="50" t="s">
        <v>32</v>
      </c>
      <c r="D1205" s="48" t="s">
        <v>31</v>
      </c>
      <c r="E1205" s="48" t="s">
        <v>138</v>
      </c>
      <c r="F1205" s="48" t="s">
        <v>139</v>
      </c>
      <c r="G1205" s="49" t="s">
        <v>64</v>
      </c>
      <c r="H1205" s="48" t="s">
        <v>64</v>
      </c>
      <c r="I1205" s="48">
        <v>1</v>
      </c>
      <c r="J1205" s="48">
        <v>174</v>
      </c>
      <c r="K1205" s="48">
        <v>1</v>
      </c>
      <c r="N1205" s="48">
        <v>0</v>
      </c>
      <c r="R1205" s="49"/>
      <c r="S1205" s="181">
        <v>0</v>
      </c>
      <c r="T1205" s="49">
        <v>51226</v>
      </c>
      <c r="U1205" s="49">
        <v>51226</v>
      </c>
      <c r="V1205" s="49">
        <v>51226</v>
      </c>
      <c r="W1205" s="49">
        <v>51226</v>
      </c>
      <c r="X1205" s="48">
        <v>1</v>
      </c>
      <c r="Y1205" s="48">
        <v>1</v>
      </c>
      <c r="Z1205" s="48">
        <v>1</v>
      </c>
      <c r="AA1205" s="156">
        <v>0</v>
      </c>
      <c r="AF1205" s="48">
        <v>0</v>
      </c>
      <c r="AG1205" s="49" t="s">
        <v>32</v>
      </c>
      <c r="AH1205" s="48">
        <v>1</v>
      </c>
      <c r="AI1205" s="48" t="s">
        <v>33</v>
      </c>
      <c r="AJ1205" s="48" t="s">
        <v>33</v>
      </c>
      <c r="AK1205" s="48" t="s">
        <v>33</v>
      </c>
      <c r="AL1205" s="48" t="s">
        <v>34</v>
      </c>
      <c r="AN1205" s="48">
        <v>0</v>
      </c>
      <c r="AO1205" s="48">
        <v>0</v>
      </c>
      <c r="AP1205" s="48">
        <v>0</v>
      </c>
      <c r="AQ1205" s="48">
        <v>0</v>
      </c>
      <c r="AR1205" s="48">
        <v>0</v>
      </c>
      <c r="AS1205" s="48">
        <v>0</v>
      </c>
      <c r="AT1205" s="48">
        <v>0</v>
      </c>
      <c r="AU1205" s="48">
        <v>0</v>
      </c>
      <c r="AV1205" s="48">
        <v>0</v>
      </c>
      <c r="AW1205" s="48">
        <v>0</v>
      </c>
      <c r="AX1205" s="48">
        <v>0</v>
      </c>
      <c r="AY1205" s="48">
        <v>0</v>
      </c>
      <c r="AZ1205" s="48">
        <v>0</v>
      </c>
      <c r="BA1205" s="48">
        <v>0</v>
      </c>
      <c r="BB1205" s="48">
        <v>0</v>
      </c>
    </row>
    <row r="1206" spans="1:54" x14ac:dyDescent="0.35">
      <c r="A1206" s="49">
        <v>45930</v>
      </c>
      <c r="B1206" s="48">
        <v>1</v>
      </c>
      <c r="C1206" s="50" t="s">
        <v>32</v>
      </c>
      <c r="D1206" s="48" t="s">
        <v>31</v>
      </c>
      <c r="E1206" s="48" t="s">
        <v>138</v>
      </c>
      <c r="F1206" s="48" t="s">
        <v>139</v>
      </c>
      <c r="G1206" s="49" t="s">
        <v>64</v>
      </c>
      <c r="H1206" s="48" t="s">
        <v>64</v>
      </c>
      <c r="I1206" s="48">
        <v>1</v>
      </c>
      <c r="J1206" s="48">
        <v>175</v>
      </c>
      <c r="K1206" s="48">
        <v>1</v>
      </c>
      <c r="N1206" s="48">
        <v>0</v>
      </c>
      <c r="R1206" s="49"/>
      <c r="S1206" s="181">
        <v>0</v>
      </c>
      <c r="T1206" s="49">
        <v>51256</v>
      </c>
      <c r="U1206" s="49">
        <v>51256</v>
      </c>
      <c r="V1206" s="49">
        <v>51256</v>
      </c>
      <c r="W1206" s="49">
        <v>51256</v>
      </c>
      <c r="X1206" s="48">
        <v>1</v>
      </c>
      <c r="Y1206" s="48">
        <v>1</v>
      </c>
      <c r="Z1206" s="48">
        <v>1</v>
      </c>
      <c r="AA1206" s="156">
        <v>0</v>
      </c>
      <c r="AF1206" s="48">
        <v>0</v>
      </c>
      <c r="AG1206" s="49" t="s">
        <v>32</v>
      </c>
      <c r="AH1206" s="48">
        <v>1</v>
      </c>
      <c r="AI1206" s="48" t="s">
        <v>33</v>
      </c>
      <c r="AJ1206" s="48" t="s">
        <v>33</v>
      </c>
      <c r="AK1206" s="48" t="s">
        <v>33</v>
      </c>
      <c r="AL1206" s="48" t="s">
        <v>34</v>
      </c>
      <c r="AN1206" s="48">
        <v>0</v>
      </c>
      <c r="AO1206" s="48">
        <v>0</v>
      </c>
      <c r="AP1206" s="48">
        <v>0</v>
      </c>
      <c r="AQ1206" s="48">
        <v>0</v>
      </c>
      <c r="AR1206" s="48">
        <v>0</v>
      </c>
      <c r="AS1206" s="48">
        <v>0</v>
      </c>
      <c r="AT1206" s="48">
        <v>0</v>
      </c>
      <c r="AU1206" s="48">
        <v>0</v>
      </c>
      <c r="AV1206" s="48">
        <v>0</v>
      </c>
      <c r="AW1206" s="48">
        <v>0</v>
      </c>
      <c r="AX1206" s="48">
        <v>0</v>
      </c>
      <c r="AY1206" s="48">
        <v>0</v>
      </c>
      <c r="AZ1206" s="48">
        <v>0</v>
      </c>
      <c r="BA1206" s="48">
        <v>0</v>
      </c>
      <c r="BB1206" s="48">
        <v>0</v>
      </c>
    </row>
    <row r="1207" spans="1:54" x14ac:dyDescent="0.35">
      <c r="A1207" s="49">
        <v>45930</v>
      </c>
      <c r="B1207" s="48">
        <v>1</v>
      </c>
      <c r="C1207" s="50" t="s">
        <v>32</v>
      </c>
      <c r="D1207" s="48" t="s">
        <v>31</v>
      </c>
      <c r="E1207" s="48" t="s">
        <v>138</v>
      </c>
      <c r="F1207" s="48" t="s">
        <v>139</v>
      </c>
      <c r="G1207" s="49" t="s">
        <v>64</v>
      </c>
      <c r="H1207" s="48" t="s">
        <v>64</v>
      </c>
      <c r="I1207" s="48">
        <v>1</v>
      </c>
      <c r="J1207" s="48">
        <v>176</v>
      </c>
      <c r="K1207" s="48">
        <v>1</v>
      </c>
      <c r="N1207" s="48">
        <v>0</v>
      </c>
      <c r="R1207" s="49"/>
      <c r="S1207" s="181">
        <v>0</v>
      </c>
      <c r="T1207" s="49">
        <v>51287</v>
      </c>
      <c r="U1207" s="49">
        <v>51287</v>
      </c>
      <c r="V1207" s="49">
        <v>51287</v>
      </c>
      <c r="W1207" s="49">
        <v>51287</v>
      </c>
      <c r="X1207" s="48">
        <v>1</v>
      </c>
      <c r="Y1207" s="48">
        <v>1</v>
      </c>
      <c r="Z1207" s="48">
        <v>1</v>
      </c>
      <c r="AA1207" s="156">
        <v>0</v>
      </c>
      <c r="AF1207" s="48">
        <v>0</v>
      </c>
      <c r="AG1207" s="49" t="s">
        <v>32</v>
      </c>
      <c r="AH1207" s="48">
        <v>1</v>
      </c>
      <c r="AI1207" s="48" t="s">
        <v>33</v>
      </c>
      <c r="AJ1207" s="48" t="s">
        <v>33</v>
      </c>
      <c r="AK1207" s="48" t="s">
        <v>33</v>
      </c>
      <c r="AL1207" s="48" t="s">
        <v>34</v>
      </c>
      <c r="AN1207" s="48">
        <v>0</v>
      </c>
      <c r="AO1207" s="48">
        <v>0</v>
      </c>
      <c r="AP1207" s="48">
        <v>0</v>
      </c>
      <c r="AQ1207" s="48">
        <v>0</v>
      </c>
      <c r="AR1207" s="48">
        <v>0</v>
      </c>
      <c r="AS1207" s="48">
        <v>0</v>
      </c>
      <c r="AT1207" s="48">
        <v>0</v>
      </c>
      <c r="AU1207" s="48">
        <v>0</v>
      </c>
      <c r="AV1207" s="48">
        <v>0</v>
      </c>
      <c r="AW1207" s="48">
        <v>0</v>
      </c>
      <c r="AX1207" s="48">
        <v>0</v>
      </c>
      <c r="AY1207" s="48">
        <v>0</v>
      </c>
      <c r="AZ1207" s="48">
        <v>0</v>
      </c>
      <c r="BA1207" s="48">
        <v>0</v>
      </c>
      <c r="BB1207" s="48">
        <v>0</v>
      </c>
    </row>
    <row r="1208" spans="1:54" x14ac:dyDescent="0.35">
      <c r="A1208" s="49">
        <v>45930</v>
      </c>
      <c r="B1208" s="48">
        <v>1</v>
      </c>
      <c r="C1208" s="50" t="s">
        <v>32</v>
      </c>
      <c r="D1208" s="48" t="s">
        <v>31</v>
      </c>
      <c r="E1208" s="48" t="s">
        <v>138</v>
      </c>
      <c r="F1208" s="48" t="s">
        <v>139</v>
      </c>
      <c r="G1208" s="49" t="s">
        <v>64</v>
      </c>
      <c r="H1208" s="48" t="s">
        <v>64</v>
      </c>
      <c r="I1208" s="48">
        <v>1</v>
      </c>
      <c r="J1208" s="48">
        <v>177</v>
      </c>
      <c r="K1208" s="48">
        <v>1</v>
      </c>
      <c r="N1208" s="48">
        <v>0</v>
      </c>
      <c r="R1208" s="49"/>
      <c r="S1208" s="181">
        <v>0</v>
      </c>
      <c r="T1208" s="49">
        <v>51317</v>
      </c>
      <c r="U1208" s="49">
        <v>51317</v>
      </c>
      <c r="V1208" s="49">
        <v>51317</v>
      </c>
      <c r="W1208" s="49">
        <v>51317</v>
      </c>
      <c r="X1208" s="48">
        <v>1</v>
      </c>
      <c r="Y1208" s="48">
        <v>1</v>
      </c>
      <c r="Z1208" s="48">
        <v>1</v>
      </c>
      <c r="AA1208" s="156">
        <v>0</v>
      </c>
      <c r="AF1208" s="48">
        <v>0</v>
      </c>
      <c r="AG1208" s="49" t="s">
        <v>32</v>
      </c>
      <c r="AH1208" s="48">
        <v>1</v>
      </c>
      <c r="AI1208" s="48" t="s">
        <v>33</v>
      </c>
      <c r="AJ1208" s="48" t="s">
        <v>33</v>
      </c>
      <c r="AK1208" s="48" t="s">
        <v>33</v>
      </c>
      <c r="AL1208" s="48" t="s">
        <v>34</v>
      </c>
      <c r="AN1208" s="48">
        <v>0</v>
      </c>
      <c r="AO1208" s="48">
        <v>0</v>
      </c>
      <c r="AP1208" s="48">
        <v>0</v>
      </c>
      <c r="AQ1208" s="48">
        <v>0</v>
      </c>
      <c r="AR1208" s="48">
        <v>0</v>
      </c>
      <c r="AS1208" s="48">
        <v>0</v>
      </c>
      <c r="AT1208" s="48">
        <v>0</v>
      </c>
      <c r="AU1208" s="48">
        <v>0</v>
      </c>
      <c r="AV1208" s="48">
        <v>0</v>
      </c>
      <c r="AW1208" s="48">
        <v>0</v>
      </c>
      <c r="AX1208" s="48">
        <v>0</v>
      </c>
      <c r="AY1208" s="48">
        <v>0</v>
      </c>
      <c r="AZ1208" s="48">
        <v>0</v>
      </c>
      <c r="BA1208" s="48">
        <v>0</v>
      </c>
      <c r="BB1208" s="48">
        <v>0</v>
      </c>
    </row>
    <row r="1209" spans="1:54" x14ac:dyDescent="0.35">
      <c r="A1209" s="49">
        <v>45930</v>
      </c>
      <c r="B1209" s="48">
        <v>1</v>
      </c>
      <c r="C1209" s="50" t="s">
        <v>32</v>
      </c>
      <c r="D1209" s="48" t="s">
        <v>31</v>
      </c>
      <c r="E1209" s="48" t="s">
        <v>138</v>
      </c>
      <c r="F1209" s="48" t="s">
        <v>139</v>
      </c>
      <c r="G1209" s="49" t="s">
        <v>64</v>
      </c>
      <c r="H1209" s="48" t="s">
        <v>64</v>
      </c>
      <c r="I1209" s="48">
        <v>1</v>
      </c>
      <c r="J1209" s="48">
        <v>178</v>
      </c>
      <c r="K1209" s="48">
        <v>1</v>
      </c>
      <c r="N1209" s="48">
        <v>0</v>
      </c>
      <c r="R1209" s="49"/>
      <c r="S1209" s="181">
        <v>0</v>
      </c>
      <c r="T1209" s="49">
        <v>51348</v>
      </c>
      <c r="U1209" s="49">
        <v>51348</v>
      </c>
      <c r="V1209" s="49">
        <v>51348</v>
      </c>
      <c r="W1209" s="49">
        <v>51348</v>
      </c>
      <c r="X1209" s="48">
        <v>1</v>
      </c>
      <c r="Y1209" s="48">
        <v>1</v>
      </c>
      <c r="Z1209" s="48">
        <v>1</v>
      </c>
      <c r="AA1209" s="156">
        <v>0</v>
      </c>
      <c r="AF1209" s="48">
        <v>0</v>
      </c>
      <c r="AG1209" s="49" t="s">
        <v>32</v>
      </c>
      <c r="AH1209" s="48">
        <v>1</v>
      </c>
      <c r="AI1209" s="48" t="s">
        <v>33</v>
      </c>
      <c r="AJ1209" s="48" t="s">
        <v>33</v>
      </c>
      <c r="AK1209" s="48" t="s">
        <v>33</v>
      </c>
      <c r="AL1209" s="48" t="s">
        <v>34</v>
      </c>
      <c r="AN1209" s="48">
        <v>0</v>
      </c>
      <c r="AO1209" s="48">
        <v>0</v>
      </c>
      <c r="AP1209" s="48">
        <v>0</v>
      </c>
      <c r="AQ1209" s="48">
        <v>0</v>
      </c>
      <c r="AR1209" s="48">
        <v>0</v>
      </c>
      <c r="AS1209" s="48">
        <v>0</v>
      </c>
      <c r="AT1209" s="48">
        <v>0</v>
      </c>
      <c r="AU1209" s="48">
        <v>0</v>
      </c>
      <c r="AV1209" s="48">
        <v>0</v>
      </c>
      <c r="AW1209" s="48">
        <v>0</v>
      </c>
      <c r="AX1209" s="48">
        <v>0</v>
      </c>
      <c r="AY1209" s="48">
        <v>0</v>
      </c>
      <c r="AZ1209" s="48">
        <v>0</v>
      </c>
      <c r="BA1209" s="48">
        <v>0</v>
      </c>
      <c r="BB1209" s="48">
        <v>0</v>
      </c>
    </row>
    <row r="1210" spans="1:54" x14ac:dyDescent="0.35">
      <c r="A1210" s="49">
        <v>45930</v>
      </c>
      <c r="B1210" s="48">
        <v>1</v>
      </c>
      <c r="C1210" s="50" t="s">
        <v>32</v>
      </c>
      <c r="D1210" s="48" t="s">
        <v>31</v>
      </c>
      <c r="E1210" s="48" t="s">
        <v>138</v>
      </c>
      <c r="F1210" s="48" t="s">
        <v>139</v>
      </c>
      <c r="G1210" s="49" t="s">
        <v>64</v>
      </c>
      <c r="H1210" s="48" t="s">
        <v>64</v>
      </c>
      <c r="I1210" s="48">
        <v>1</v>
      </c>
      <c r="J1210" s="48">
        <v>179</v>
      </c>
      <c r="K1210" s="48">
        <v>1</v>
      </c>
      <c r="N1210" s="48">
        <v>0</v>
      </c>
      <c r="R1210" s="49"/>
      <c r="S1210" s="181">
        <v>0</v>
      </c>
      <c r="T1210" s="49">
        <v>51379</v>
      </c>
      <c r="U1210" s="49">
        <v>51379</v>
      </c>
      <c r="V1210" s="49">
        <v>51379</v>
      </c>
      <c r="W1210" s="49">
        <v>51379</v>
      </c>
      <c r="X1210" s="48">
        <v>1</v>
      </c>
      <c r="Y1210" s="48">
        <v>1</v>
      </c>
      <c r="Z1210" s="48">
        <v>1</v>
      </c>
      <c r="AA1210" s="156">
        <v>0</v>
      </c>
      <c r="AF1210" s="48">
        <v>0</v>
      </c>
      <c r="AG1210" s="49" t="s">
        <v>32</v>
      </c>
      <c r="AH1210" s="48">
        <v>1</v>
      </c>
      <c r="AI1210" s="48" t="s">
        <v>33</v>
      </c>
      <c r="AJ1210" s="48" t="s">
        <v>33</v>
      </c>
      <c r="AK1210" s="48" t="s">
        <v>33</v>
      </c>
      <c r="AL1210" s="48" t="s">
        <v>34</v>
      </c>
      <c r="AN1210" s="48">
        <v>0</v>
      </c>
      <c r="AO1210" s="48">
        <v>0</v>
      </c>
      <c r="AP1210" s="48">
        <v>0</v>
      </c>
      <c r="AQ1210" s="48">
        <v>0</v>
      </c>
      <c r="AR1210" s="48">
        <v>0</v>
      </c>
      <c r="AS1210" s="48">
        <v>0</v>
      </c>
      <c r="AT1210" s="48">
        <v>0</v>
      </c>
      <c r="AU1210" s="48">
        <v>0</v>
      </c>
      <c r="AV1210" s="48">
        <v>0</v>
      </c>
      <c r="AW1210" s="48">
        <v>0</v>
      </c>
      <c r="AX1210" s="48">
        <v>0</v>
      </c>
      <c r="AY1210" s="48">
        <v>0</v>
      </c>
      <c r="AZ1210" s="48">
        <v>0</v>
      </c>
      <c r="BA1210" s="48">
        <v>0</v>
      </c>
      <c r="BB1210" s="48">
        <v>0</v>
      </c>
    </row>
    <row r="1211" spans="1:54" x14ac:dyDescent="0.35">
      <c r="A1211" s="49">
        <v>45930</v>
      </c>
      <c r="B1211" s="48">
        <v>1</v>
      </c>
      <c r="C1211" s="50" t="s">
        <v>32</v>
      </c>
      <c r="D1211" s="48" t="s">
        <v>31</v>
      </c>
      <c r="E1211" s="48" t="s">
        <v>138</v>
      </c>
      <c r="F1211" s="48" t="s">
        <v>139</v>
      </c>
      <c r="G1211" s="49" t="s">
        <v>64</v>
      </c>
      <c r="H1211" s="48" t="s">
        <v>64</v>
      </c>
      <c r="I1211" s="48">
        <v>1</v>
      </c>
      <c r="J1211" s="48">
        <v>180</v>
      </c>
      <c r="K1211" s="48">
        <v>1</v>
      </c>
      <c r="N1211" s="48">
        <v>0</v>
      </c>
      <c r="R1211" s="49"/>
      <c r="S1211" s="181">
        <v>0</v>
      </c>
      <c r="T1211" s="49">
        <v>51409</v>
      </c>
      <c r="U1211" s="49">
        <v>51409</v>
      </c>
      <c r="V1211" s="49">
        <v>51409</v>
      </c>
      <c r="W1211" s="49">
        <v>51409</v>
      </c>
      <c r="X1211" s="48">
        <v>1</v>
      </c>
      <c r="Y1211" s="48">
        <v>1</v>
      </c>
      <c r="Z1211" s="48">
        <v>1</v>
      </c>
      <c r="AA1211" s="156">
        <v>0</v>
      </c>
      <c r="AF1211" s="48">
        <v>0</v>
      </c>
      <c r="AG1211" s="49" t="s">
        <v>32</v>
      </c>
      <c r="AH1211" s="48">
        <v>1</v>
      </c>
      <c r="AI1211" s="48" t="s">
        <v>33</v>
      </c>
      <c r="AJ1211" s="48" t="s">
        <v>33</v>
      </c>
      <c r="AK1211" s="48" t="s">
        <v>33</v>
      </c>
      <c r="AL1211" s="48" t="s">
        <v>34</v>
      </c>
      <c r="AN1211" s="48">
        <v>0</v>
      </c>
      <c r="AO1211" s="48">
        <v>0</v>
      </c>
      <c r="AP1211" s="48">
        <v>0</v>
      </c>
      <c r="AQ1211" s="48">
        <v>0</v>
      </c>
      <c r="AR1211" s="48">
        <v>0</v>
      </c>
      <c r="AS1211" s="48">
        <v>0</v>
      </c>
      <c r="AT1211" s="48">
        <v>0</v>
      </c>
      <c r="AU1211" s="48">
        <v>0</v>
      </c>
      <c r="AV1211" s="48">
        <v>0</v>
      </c>
      <c r="AW1211" s="48">
        <v>0</v>
      </c>
      <c r="AX1211" s="48">
        <v>0</v>
      </c>
      <c r="AY1211" s="48">
        <v>0</v>
      </c>
      <c r="AZ1211" s="48">
        <v>0</v>
      </c>
      <c r="BA1211" s="48">
        <v>0</v>
      </c>
      <c r="BB1211" s="48">
        <v>0</v>
      </c>
    </row>
    <row r="1212" spans="1:54" x14ac:dyDescent="0.35">
      <c r="A1212" s="49">
        <v>45930</v>
      </c>
      <c r="B1212" s="48">
        <v>1</v>
      </c>
      <c r="C1212" s="50" t="s">
        <v>32</v>
      </c>
      <c r="D1212" s="48" t="s">
        <v>31</v>
      </c>
      <c r="E1212" s="48" t="s">
        <v>138</v>
      </c>
      <c r="F1212" s="48" t="s">
        <v>139</v>
      </c>
      <c r="G1212" s="49" t="s">
        <v>64</v>
      </c>
      <c r="H1212" s="48" t="s">
        <v>64</v>
      </c>
      <c r="I1212" s="48">
        <v>1</v>
      </c>
      <c r="J1212" s="48">
        <v>181</v>
      </c>
      <c r="K1212" s="48">
        <v>1</v>
      </c>
      <c r="N1212" s="48">
        <v>0</v>
      </c>
      <c r="R1212" s="49"/>
      <c r="S1212" s="181">
        <v>0</v>
      </c>
      <c r="T1212" s="49">
        <v>51440</v>
      </c>
      <c r="U1212" s="49">
        <v>51440</v>
      </c>
      <c r="V1212" s="49">
        <v>51440</v>
      </c>
      <c r="W1212" s="49">
        <v>51440</v>
      </c>
      <c r="X1212" s="48">
        <v>1</v>
      </c>
      <c r="Y1212" s="48">
        <v>1</v>
      </c>
      <c r="Z1212" s="48">
        <v>1</v>
      </c>
      <c r="AA1212" s="156">
        <v>0</v>
      </c>
      <c r="AF1212" s="48">
        <v>0</v>
      </c>
      <c r="AG1212" s="49" t="s">
        <v>32</v>
      </c>
      <c r="AH1212" s="48">
        <v>1</v>
      </c>
      <c r="AI1212" s="48" t="s">
        <v>33</v>
      </c>
      <c r="AJ1212" s="48" t="s">
        <v>33</v>
      </c>
      <c r="AK1212" s="48" t="s">
        <v>33</v>
      </c>
      <c r="AL1212" s="48" t="s">
        <v>34</v>
      </c>
      <c r="AN1212" s="48">
        <v>0</v>
      </c>
      <c r="AO1212" s="48">
        <v>0</v>
      </c>
      <c r="AP1212" s="48">
        <v>0</v>
      </c>
      <c r="AQ1212" s="48">
        <v>0</v>
      </c>
      <c r="AR1212" s="48">
        <v>0</v>
      </c>
      <c r="AS1212" s="48">
        <v>0</v>
      </c>
      <c r="AT1212" s="48">
        <v>0</v>
      </c>
      <c r="AU1212" s="48">
        <v>0</v>
      </c>
      <c r="AV1212" s="48">
        <v>0</v>
      </c>
      <c r="AW1212" s="48">
        <v>0</v>
      </c>
      <c r="AX1212" s="48">
        <v>0</v>
      </c>
      <c r="AY1212" s="48">
        <v>0</v>
      </c>
      <c r="AZ1212" s="48">
        <v>0</v>
      </c>
      <c r="BA1212" s="48">
        <v>0</v>
      </c>
      <c r="BB1212" s="48">
        <v>0</v>
      </c>
    </row>
    <row r="1213" spans="1:54" x14ac:dyDescent="0.35">
      <c r="A1213" s="49">
        <v>45930</v>
      </c>
      <c r="B1213" s="48">
        <v>1</v>
      </c>
      <c r="C1213" s="50" t="s">
        <v>32</v>
      </c>
      <c r="D1213" s="48" t="s">
        <v>31</v>
      </c>
      <c r="E1213" s="48" t="s">
        <v>138</v>
      </c>
      <c r="F1213" s="48" t="s">
        <v>139</v>
      </c>
      <c r="G1213" s="49" t="s">
        <v>64</v>
      </c>
      <c r="H1213" s="48" t="s">
        <v>64</v>
      </c>
      <c r="I1213" s="48">
        <v>1</v>
      </c>
      <c r="J1213" s="48">
        <v>182</v>
      </c>
      <c r="K1213" s="48">
        <v>1</v>
      </c>
      <c r="N1213" s="48">
        <v>0</v>
      </c>
      <c r="R1213" s="49"/>
      <c r="S1213" s="181">
        <v>0</v>
      </c>
      <c r="T1213" s="49">
        <v>51470</v>
      </c>
      <c r="U1213" s="49">
        <v>51470</v>
      </c>
      <c r="V1213" s="49">
        <v>51470</v>
      </c>
      <c r="W1213" s="49">
        <v>51470</v>
      </c>
      <c r="X1213" s="48">
        <v>1</v>
      </c>
      <c r="Y1213" s="48">
        <v>1</v>
      </c>
      <c r="Z1213" s="48">
        <v>1</v>
      </c>
      <c r="AA1213" s="156">
        <v>0</v>
      </c>
      <c r="AF1213" s="48">
        <v>0</v>
      </c>
      <c r="AG1213" s="49" t="s">
        <v>32</v>
      </c>
      <c r="AH1213" s="48">
        <v>1</v>
      </c>
      <c r="AI1213" s="48" t="s">
        <v>33</v>
      </c>
      <c r="AJ1213" s="48" t="s">
        <v>33</v>
      </c>
      <c r="AK1213" s="48" t="s">
        <v>33</v>
      </c>
      <c r="AL1213" s="48" t="s">
        <v>34</v>
      </c>
      <c r="AN1213" s="48">
        <v>0</v>
      </c>
      <c r="AO1213" s="48">
        <v>0</v>
      </c>
      <c r="AP1213" s="48">
        <v>0</v>
      </c>
      <c r="AQ1213" s="48">
        <v>0</v>
      </c>
      <c r="AR1213" s="48">
        <v>0</v>
      </c>
      <c r="AS1213" s="48">
        <v>0</v>
      </c>
      <c r="AT1213" s="48">
        <v>0</v>
      </c>
      <c r="AU1213" s="48">
        <v>0</v>
      </c>
      <c r="AV1213" s="48">
        <v>0</v>
      </c>
      <c r="AW1213" s="48">
        <v>0</v>
      </c>
      <c r="AX1213" s="48">
        <v>0</v>
      </c>
      <c r="AY1213" s="48">
        <v>0</v>
      </c>
      <c r="AZ1213" s="48">
        <v>0</v>
      </c>
      <c r="BA1213" s="48">
        <v>0</v>
      </c>
      <c r="BB1213" s="48">
        <v>0</v>
      </c>
    </row>
    <row r="1214" spans="1:54" x14ac:dyDescent="0.35">
      <c r="A1214" s="49">
        <v>45930</v>
      </c>
      <c r="B1214" s="48">
        <v>1</v>
      </c>
      <c r="C1214" s="50" t="s">
        <v>32</v>
      </c>
      <c r="D1214" s="48" t="s">
        <v>31</v>
      </c>
      <c r="E1214" s="48" t="s">
        <v>138</v>
      </c>
      <c r="F1214" s="48" t="s">
        <v>139</v>
      </c>
      <c r="G1214" s="49" t="s">
        <v>64</v>
      </c>
      <c r="H1214" s="48" t="s">
        <v>64</v>
      </c>
      <c r="I1214" s="48">
        <v>1</v>
      </c>
      <c r="J1214" s="48">
        <v>183</v>
      </c>
      <c r="K1214" s="48">
        <v>1</v>
      </c>
      <c r="N1214" s="48">
        <v>0</v>
      </c>
      <c r="R1214" s="49"/>
      <c r="S1214" s="181">
        <v>0</v>
      </c>
      <c r="T1214" s="49">
        <v>51501</v>
      </c>
      <c r="U1214" s="49">
        <v>51501</v>
      </c>
      <c r="V1214" s="49">
        <v>51501</v>
      </c>
      <c r="W1214" s="49">
        <v>51501</v>
      </c>
      <c r="X1214" s="48">
        <v>1</v>
      </c>
      <c r="Y1214" s="48">
        <v>1</v>
      </c>
      <c r="Z1214" s="48">
        <v>1</v>
      </c>
      <c r="AA1214" s="156">
        <v>104.66523349196908</v>
      </c>
      <c r="AF1214" s="48">
        <v>0</v>
      </c>
      <c r="AG1214" s="49" t="s">
        <v>32</v>
      </c>
      <c r="AH1214" s="48">
        <v>1</v>
      </c>
      <c r="AI1214" s="48" t="s">
        <v>33</v>
      </c>
      <c r="AJ1214" s="48" t="s">
        <v>33</v>
      </c>
      <c r="AK1214" s="48" t="s">
        <v>33</v>
      </c>
      <c r="AL1214" s="48" t="s">
        <v>34</v>
      </c>
      <c r="AN1214" s="48">
        <v>0</v>
      </c>
      <c r="AO1214" s="48">
        <v>0</v>
      </c>
      <c r="AP1214" s="48">
        <v>0</v>
      </c>
      <c r="AQ1214" s="48">
        <v>0</v>
      </c>
      <c r="AR1214" s="48">
        <v>0</v>
      </c>
      <c r="AS1214" s="48">
        <v>0</v>
      </c>
      <c r="AT1214" s="48">
        <v>0</v>
      </c>
      <c r="AU1214" s="48">
        <v>0</v>
      </c>
      <c r="AV1214" s="48">
        <v>0</v>
      </c>
      <c r="AW1214" s="48">
        <v>0</v>
      </c>
      <c r="AX1214" s="48">
        <v>0</v>
      </c>
      <c r="AY1214" s="48">
        <v>0</v>
      </c>
      <c r="AZ1214" s="48">
        <v>0</v>
      </c>
      <c r="BA1214" s="48">
        <v>0</v>
      </c>
      <c r="BB1214" s="48">
        <v>0</v>
      </c>
    </row>
    <row r="1215" spans="1:54" x14ac:dyDescent="0.35">
      <c r="A1215" s="49">
        <v>45930</v>
      </c>
      <c r="B1215" s="48">
        <v>1</v>
      </c>
      <c r="C1215" s="50" t="s">
        <v>32</v>
      </c>
      <c r="D1215" s="48" t="s">
        <v>31</v>
      </c>
      <c r="E1215" s="48" t="s">
        <v>138</v>
      </c>
      <c r="F1215" s="48" t="s">
        <v>139</v>
      </c>
      <c r="G1215" s="49" t="s">
        <v>64</v>
      </c>
      <c r="H1215" s="48" t="s">
        <v>64</v>
      </c>
      <c r="I1215" s="48">
        <v>1</v>
      </c>
      <c r="J1215" s="48">
        <v>184</v>
      </c>
      <c r="K1215" s="48">
        <v>1</v>
      </c>
      <c r="N1215" s="48">
        <v>0</v>
      </c>
      <c r="R1215" s="49"/>
      <c r="S1215" s="181">
        <v>0</v>
      </c>
      <c r="T1215" s="49">
        <v>51532</v>
      </c>
      <c r="U1215" s="49">
        <v>51532</v>
      </c>
      <c r="V1215" s="49">
        <v>51532</v>
      </c>
      <c r="W1215" s="49">
        <v>51532</v>
      </c>
      <c r="X1215" s="48">
        <v>1</v>
      </c>
      <c r="Y1215" s="48">
        <v>1</v>
      </c>
      <c r="Z1215" s="48">
        <v>1</v>
      </c>
      <c r="AA1215" s="156">
        <v>104.66523349196908</v>
      </c>
      <c r="AF1215" s="48">
        <v>0</v>
      </c>
      <c r="AG1215" s="49" t="s">
        <v>32</v>
      </c>
      <c r="AH1215" s="48">
        <v>1</v>
      </c>
      <c r="AI1215" s="48" t="s">
        <v>33</v>
      </c>
      <c r="AJ1215" s="48" t="s">
        <v>33</v>
      </c>
      <c r="AK1215" s="48" t="s">
        <v>33</v>
      </c>
      <c r="AL1215" s="48" t="s">
        <v>34</v>
      </c>
      <c r="AN1215" s="48">
        <v>0</v>
      </c>
      <c r="AO1215" s="48">
        <v>0</v>
      </c>
      <c r="AP1215" s="48">
        <v>0</v>
      </c>
      <c r="AQ1215" s="48">
        <v>0</v>
      </c>
      <c r="AR1215" s="48">
        <v>0</v>
      </c>
      <c r="AS1215" s="48">
        <v>0</v>
      </c>
      <c r="AT1215" s="48">
        <v>0</v>
      </c>
      <c r="AU1215" s="48">
        <v>0</v>
      </c>
      <c r="AV1215" s="48">
        <v>0</v>
      </c>
      <c r="AW1215" s="48">
        <v>0</v>
      </c>
      <c r="AX1215" s="48">
        <v>0</v>
      </c>
      <c r="AY1215" s="48">
        <v>0</v>
      </c>
      <c r="AZ1215" s="48">
        <v>0</v>
      </c>
      <c r="BA1215" s="48">
        <v>0</v>
      </c>
      <c r="BB1215" s="48">
        <v>0</v>
      </c>
    </row>
    <row r="1216" spans="1:54" x14ac:dyDescent="0.35">
      <c r="A1216" s="49">
        <v>45930</v>
      </c>
      <c r="B1216" s="48">
        <v>1</v>
      </c>
      <c r="C1216" s="50" t="s">
        <v>32</v>
      </c>
      <c r="D1216" s="48" t="s">
        <v>31</v>
      </c>
      <c r="E1216" s="48" t="s">
        <v>138</v>
      </c>
      <c r="F1216" s="48" t="s">
        <v>139</v>
      </c>
      <c r="G1216" s="49" t="s">
        <v>64</v>
      </c>
      <c r="H1216" s="48" t="s">
        <v>64</v>
      </c>
      <c r="I1216" s="48">
        <v>1</v>
      </c>
      <c r="J1216" s="48">
        <v>185</v>
      </c>
      <c r="K1216" s="48">
        <v>1</v>
      </c>
      <c r="N1216" s="48">
        <v>0</v>
      </c>
      <c r="R1216" s="49"/>
      <c r="S1216" s="181">
        <v>0</v>
      </c>
      <c r="T1216" s="49">
        <v>51560</v>
      </c>
      <c r="U1216" s="49">
        <v>51560</v>
      </c>
      <c r="V1216" s="49">
        <v>51560</v>
      </c>
      <c r="W1216" s="49">
        <v>51560</v>
      </c>
      <c r="X1216" s="48">
        <v>1</v>
      </c>
      <c r="Y1216" s="48">
        <v>1</v>
      </c>
      <c r="Z1216" s="48">
        <v>1</v>
      </c>
      <c r="AA1216" s="156">
        <v>104.66523349196908</v>
      </c>
      <c r="AF1216" s="48">
        <v>0</v>
      </c>
      <c r="AG1216" s="49" t="s">
        <v>32</v>
      </c>
      <c r="AH1216" s="48">
        <v>1</v>
      </c>
      <c r="AI1216" s="48" t="s">
        <v>33</v>
      </c>
      <c r="AJ1216" s="48" t="s">
        <v>33</v>
      </c>
      <c r="AK1216" s="48" t="s">
        <v>33</v>
      </c>
      <c r="AL1216" s="48" t="s">
        <v>34</v>
      </c>
      <c r="AN1216" s="48">
        <v>0</v>
      </c>
      <c r="AO1216" s="48">
        <v>0</v>
      </c>
      <c r="AP1216" s="48">
        <v>0</v>
      </c>
      <c r="AQ1216" s="48">
        <v>0</v>
      </c>
      <c r="AR1216" s="48">
        <v>0</v>
      </c>
      <c r="AS1216" s="48">
        <v>0</v>
      </c>
      <c r="AT1216" s="48">
        <v>0</v>
      </c>
      <c r="AU1216" s="48">
        <v>0</v>
      </c>
      <c r="AV1216" s="48">
        <v>0</v>
      </c>
      <c r="AW1216" s="48">
        <v>0</v>
      </c>
      <c r="AX1216" s="48">
        <v>0</v>
      </c>
      <c r="AY1216" s="48">
        <v>0</v>
      </c>
      <c r="AZ1216" s="48">
        <v>0</v>
      </c>
      <c r="BA1216" s="48">
        <v>0</v>
      </c>
      <c r="BB1216" s="48">
        <v>0</v>
      </c>
    </row>
    <row r="1217" spans="1:54" x14ac:dyDescent="0.35">
      <c r="A1217" s="49">
        <v>45930</v>
      </c>
      <c r="B1217" s="48">
        <v>1</v>
      </c>
      <c r="C1217" s="50" t="s">
        <v>32</v>
      </c>
      <c r="D1217" s="48" t="s">
        <v>31</v>
      </c>
      <c r="E1217" s="48" t="s">
        <v>138</v>
      </c>
      <c r="F1217" s="48" t="s">
        <v>139</v>
      </c>
      <c r="G1217" s="49" t="s">
        <v>64</v>
      </c>
      <c r="H1217" s="48" t="s">
        <v>64</v>
      </c>
      <c r="I1217" s="48">
        <v>1</v>
      </c>
      <c r="J1217" s="48">
        <v>186</v>
      </c>
      <c r="K1217" s="48">
        <v>1</v>
      </c>
      <c r="N1217" s="48">
        <v>0</v>
      </c>
      <c r="R1217" s="49"/>
      <c r="S1217" s="181">
        <v>0</v>
      </c>
      <c r="T1217" s="49">
        <v>51591</v>
      </c>
      <c r="U1217" s="49">
        <v>51591</v>
      </c>
      <c r="V1217" s="49">
        <v>51591</v>
      </c>
      <c r="W1217" s="49">
        <v>51591</v>
      </c>
      <c r="X1217" s="48">
        <v>1</v>
      </c>
      <c r="Y1217" s="48">
        <v>1</v>
      </c>
      <c r="Z1217" s="48">
        <v>1</v>
      </c>
      <c r="AA1217" s="156">
        <v>104.66523349196908</v>
      </c>
      <c r="AF1217" s="48">
        <v>0</v>
      </c>
      <c r="AG1217" s="49" t="s">
        <v>32</v>
      </c>
      <c r="AH1217" s="48">
        <v>1</v>
      </c>
      <c r="AI1217" s="48" t="s">
        <v>33</v>
      </c>
      <c r="AJ1217" s="48" t="s">
        <v>33</v>
      </c>
      <c r="AK1217" s="48" t="s">
        <v>33</v>
      </c>
      <c r="AL1217" s="48" t="s">
        <v>34</v>
      </c>
      <c r="AN1217" s="48">
        <v>0</v>
      </c>
      <c r="AO1217" s="48">
        <v>0</v>
      </c>
      <c r="AP1217" s="48">
        <v>0</v>
      </c>
      <c r="AQ1217" s="48">
        <v>0</v>
      </c>
      <c r="AR1217" s="48">
        <v>0</v>
      </c>
      <c r="AS1217" s="48">
        <v>0</v>
      </c>
      <c r="AT1217" s="48">
        <v>0</v>
      </c>
      <c r="AU1217" s="48">
        <v>0</v>
      </c>
      <c r="AV1217" s="48">
        <v>0</v>
      </c>
      <c r="AW1217" s="48">
        <v>0</v>
      </c>
      <c r="AX1217" s="48">
        <v>0</v>
      </c>
      <c r="AY1217" s="48">
        <v>0</v>
      </c>
      <c r="AZ1217" s="48">
        <v>0</v>
      </c>
      <c r="BA1217" s="48">
        <v>0</v>
      </c>
      <c r="BB1217" s="48">
        <v>0</v>
      </c>
    </row>
    <row r="1218" spans="1:54" x14ac:dyDescent="0.35">
      <c r="A1218" s="49">
        <v>45930</v>
      </c>
      <c r="B1218" s="48">
        <v>1</v>
      </c>
      <c r="C1218" s="50" t="s">
        <v>32</v>
      </c>
      <c r="D1218" s="48" t="s">
        <v>31</v>
      </c>
      <c r="E1218" s="48" t="s">
        <v>138</v>
      </c>
      <c r="F1218" s="48" t="s">
        <v>139</v>
      </c>
      <c r="G1218" s="49" t="s">
        <v>64</v>
      </c>
      <c r="H1218" s="48" t="s">
        <v>64</v>
      </c>
      <c r="I1218" s="48">
        <v>1</v>
      </c>
      <c r="J1218" s="48">
        <v>187</v>
      </c>
      <c r="K1218" s="48">
        <v>1</v>
      </c>
      <c r="N1218" s="48">
        <v>0</v>
      </c>
      <c r="R1218" s="49"/>
      <c r="S1218" s="181">
        <v>0</v>
      </c>
      <c r="T1218" s="49">
        <v>51621</v>
      </c>
      <c r="U1218" s="49">
        <v>51621</v>
      </c>
      <c r="V1218" s="49">
        <v>51621</v>
      </c>
      <c r="W1218" s="49">
        <v>51621</v>
      </c>
      <c r="X1218" s="48">
        <v>1</v>
      </c>
      <c r="Y1218" s="48">
        <v>1</v>
      </c>
      <c r="Z1218" s="48">
        <v>1</v>
      </c>
      <c r="AA1218" s="156">
        <v>104.66523349196908</v>
      </c>
      <c r="AF1218" s="48">
        <v>0</v>
      </c>
      <c r="AG1218" s="49" t="s">
        <v>32</v>
      </c>
      <c r="AH1218" s="48">
        <v>1</v>
      </c>
      <c r="AI1218" s="48" t="s">
        <v>33</v>
      </c>
      <c r="AJ1218" s="48" t="s">
        <v>33</v>
      </c>
      <c r="AK1218" s="48" t="s">
        <v>33</v>
      </c>
      <c r="AL1218" s="48" t="s">
        <v>34</v>
      </c>
      <c r="AN1218" s="48">
        <v>0</v>
      </c>
      <c r="AO1218" s="48">
        <v>0</v>
      </c>
      <c r="AP1218" s="48">
        <v>0</v>
      </c>
      <c r="AQ1218" s="48">
        <v>0</v>
      </c>
      <c r="AR1218" s="48">
        <v>0</v>
      </c>
      <c r="AS1218" s="48">
        <v>0</v>
      </c>
      <c r="AT1218" s="48">
        <v>0</v>
      </c>
      <c r="AU1218" s="48">
        <v>0</v>
      </c>
      <c r="AV1218" s="48">
        <v>0</v>
      </c>
      <c r="AW1218" s="48">
        <v>0</v>
      </c>
      <c r="AX1218" s="48">
        <v>0</v>
      </c>
      <c r="AY1218" s="48">
        <v>0</v>
      </c>
      <c r="AZ1218" s="48">
        <v>0</v>
      </c>
      <c r="BA1218" s="48">
        <v>0</v>
      </c>
      <c r="BB1218" s="48">
        <v>0</v>
      </c>
    </row>
    <row r="1219" spans="1:54" x14ac:dyDescent="0.35">
      <c r="A1219" s="49">
        <v>45930</v>
      </c>
      <c r="B1219" s="48">
        <v>1</v>
      </c>
      <c r="C1219" s="50" t="s">
        <v>32</v>
      </c>
      <c r="D1219" s="48" t="s">
        <v>31</v>
      </c>
      <c r="E1219" s="48" t="s">
        <v>138</v>
      </c>
      <c r="F1219" s="48" t="s">
        <v>139</v>
      </c>
      <c r="G1219" s="49" t="s">
        <v>64</v>
      </c>
      <c r="H1219" s="48" t="s">
        <v>64</v>
      </c>
      <c r="I1219" s="48">
        <v>1</v>
      </c>
      <c r="J1219" s="48">
        <v>188</v>
      </c>
      <c r="K1219" s="48">
        <v>1</v>
      </c>
      <c r="N1219" s="48">
        <v>0</v>
      </c>
      <c r="R1219" s="49"/>
      <c r="S1219" s="181">
        <v>0</v>
      </c>
      <c r="T1219" s="49">
        <v>51652</v>
      </c>
      <c r="U1219" s="49">
        <v>51652</v>
      </c>
      <c r="V1219" s="49">
        <v>51652</v>
      </c>
      <c r="W1219" s="49">
        <v>51652</v>
      </c>
      <c r="X1219" s="48">
        <v>1</v>
      </c>
      <c r="Y1219" s="48">
        <v>1</v>
      </c>
      <c r="Z1219" s="48">
        <v>1</v>
      </c>
      <c r="AA1219" s="156">
        <v>104.66523349196908</v>
      </c>
      <c r="AF1219" s="48">
        <v>0</v>
      </c>
      <c r="AG1219" s="49" t="s">
        <v>32</v>
      </c>
      <c r="AH1219" s="48">
        <v>1</v>
      </c>
      <c r="AI1219" s="48" t="s">
        <v>33</v>
      </c>
      <c r="AJ1219" s="48" t="s">
        <v>33</v>
      </c>
      <c r="AK1219" s="48" t="s">
        <v>33</v>
      </c>
      <c r="AL1219" s="48" t="s">
        <v>34</v>
      </c>
      <c r="AN1219" s="48">
        <v>0</v>
      </c>
      <c r="AO1219" s="48">
        <v>0</v>
      </c>
      <c r="AP1219" s="48">
        <v>0</v>
      </c>
      <c r="AQ1219" s="48">
        <v>0</v>
      </c>
      <c r="AR1219" s="48">
        <v>0</v>
      </c>
      <c r="AS1219" s="48">
        <v>0</v>
      </c>
      <c r="AT1219" s="48">
        <v>0</v>
      </c>
      <c r="AU1219" s="48">
        <v>0</v>
      </c>
      <c r="AV1219" s="48">
        <v>0</v>
      </c>
      <c r="AW1219" s="48">
        <v>0</v>
      </c>
      <c r="AX1219" s="48">
        <v>0</v>
      </c>
      <c r="AY1219" s="48">
        <v>0</v>
      </c>
      <c r="AZ1219" s="48">
        <v>0</v>
      </c>
      <c r="BA1219" s="48">
        <v>0</v>
      </c>
      <c r="BB1219" s="48">
        <v>0</v>
      </c>
    </row>
    <row r="1220" spans="1:54" x14ac:dyDescent="0.35">
      <c r="A1220" s="49">
        <v>45930</v>
      </c>
      <c r="B1220" s="48">
        <v>1</v>
      </c>
      <c r="C1220" s="50" t="s">
        <v>32</v>
      </c>
      <c r="D1220" s="48" t="s">
        <v>31</v>
      </c>
      <c r="E1220" s="48" t="s">
        <v>138</v>
      </c>
      <c r="F1220" s="48" t="s">
        <v>139</v>
      </c>
      <c r="G1220" s="49" t="s">
        <v>64</v>
      </c>
      <c r="H1220" s="48" t="s">
        <v>64</v>
      </c>
      <c r="I1220" s="48">
        <v>1</v>
      </c>
      <c r="J1220" s="48">
        <v>189</v>
      </c>
      <c r="K1220" s="48">
        <v>1</v>
      </c>
      <c r="N1220" s="48">
        <v>0</v>
      </c>
      <c r="R1220" s="49"/>
      <c r="S1220" s="181">
        <v>0</v>
      </c>
      <c r="T1220" s="49">
        <v>51682</v>
      </c>
      <c r="U1220" s="49">
        <v>51682</v>
      </c>
      <c r="V1220" s="49">
        <v>51682</v>
      </c>
      <c r="W1220" s="49">
        <v>51682</v>
      </c>
      <c r="X1220" s="48">
        <v>1</v>
      </c>
      <c r="Y1220" s="48">
        <v>1</v>
      </c>
      <c r="Z1220" s="48">
        <v>1</v>
      </c>
      <c r="AA1220" s="156">
        <v>104.66523349196908</v>
      </c>
      <c r="AF1220" s="48">
        <v>0</v>
      </c>
      <c r="AG1220" s="49" t="s">
        <v>32</v>
      </c>
      <c r="AH1220" s="48">
        <v>1</v>
      </c>
      <c r="AI1220" s="48" t="s">
        <v>33</v>
      </c>
      <c r="AJ1220" s="48" t="s">
        <v>33</v>
      </c>
      <c r="AK1220" s="48" t="s">
        <v>33</v>
      </c>
      <c r="AL1220" s="48" t="s">
        <v>34</v>
      </c>
      <c r="AN1220" s="48">
        <v>0</v>
      </c>
      <c r="AO1220" s="48">
        <v>0</v>
      </c>
      <c r="AP1220" s="48">
        <v>0</v>
      </c>
      <c r="AQ1220" s="48">
        <v>0</v>
      </c>
      <c r="AR1220" s="48">
        <v>0</v>
      </c>
      <c r="AS1220" s="48">
        <v>0</v>
      </c>
      <c r="AT1220" s="48">
        <v>0</v>
      </c>
      <c r="AU1220" s="48">
        <v>0</v>
      </c>
      <c r="AV1220" s="48">
        <v>0</v>
      </c>
      <c r="AW1220" s="48">
        <v>0</v>
      </c>
      <c r="AX1220" s="48">
        <v>0</v>
      </c>
      <c r="AY1220" s="48">
        <v>0</v>
      </c>
      <c r="AZ1220" s="48">
        <v>0</v>
      </c>
      <c r="BA1220" s="48">
        <v>0</v>
      </c>
      <c r="BB1220" s="48">
        <v>0</v>
      </c>
    </row>
    <row r="1221" spans="1:54" x14ac:dyDescent="0.35">
      <c r="A1221" s="49">
        <v>45930</v>
      </c>
      <c r="B1221" s="48">
        <v>1</v>
      </c>
      <c r="C1221" s="50" t="s">
        <v>32</v>
      </c>
      <c r="D1221" s="48" t="s">
        <v>31</v>
      </c>
      <c r="E1221" s="48" t="s">
        <v>138</v>
      </c>
      <c r="F1221" s="48" t="s">
        <v>139</v>
      </c>
      <c r="G1221" s="49" t="s">
        <v>64</v>
      </c>
      <c r="H1221" s="48" t="s">
        <v>64</v>
      </c>
      <c r="I1221" s="48">
        <v>1</v>
      </c>
      <c r="J1221" s="48">
        <v>190</v>
      </c>
      <c r="K1221" s="48">
        <v>1</v>
      </c>
      <c r="N1221" s="48">
        <v>0</v>
      </c>
      <c r="R1221" s="49"/>
      <c r="S1221" s="181">
        <v>0</v>
      </c>
      <c r="T1221" s="49">
        <v>51713</v>
      </c>
      <c r="U1221" s="49">
        <v>51713</v>
      </c>
      <c r="V1221" s="49">
        <v>51713</v>
      </c>
      <c r="W1221" s="49">
        <v>51713</v>
      </c>
      <c r="X1221" s="48">
        <v>1</v>
      </c>
      <c r="Y1221" s="48">
        <v>1</v>
      </c>
      <c r="Z1221" s="48">
        <v>1</v>
      </c>
      <c r="AA1221" s="156">
        <v>104.66523349196908</v>
      </c>
      <c r="AF1221" s="48">
        <v>0</v>
      </c>
      <c r="AG1221" s="49" t="s">
        <v>32</v>
      </c>
      <c r="AH1221" s="48">
        <v>1</v>
      </c>
      <c r="AI1221" s="48" t="s">
        <v>33</v>
      </c>
      <c r="AJ1221" s="48" t="s">
        <v>33</v>
      </c>
      <c r="AK1221" s="48" t="s">
        <v>33</v>
      </c>
      <c r="AL1221" s="48" t="s">
        <v>34</v>
      </c>
      <c r="AN1221" s="48">
        <v>0</v>
      </c>
      <c r="AO1221" s="48">
        <v>0</v>
      </c>
      <c r="AP1221" s="48">
        <v>0</v>
      </c>
      <c r="AQ1221" s="48">
        <v>0</v>
      </c>
      <c r="AR1221" s="48">
        <v>0</v>
      </c>
      <c r="AS1221" s="48">
        <v>0</v>
      </c>
      <c r="AT1221" s="48">
        <v>0</v>
      </c>
      <c r="AU1221" s="48">
        <v>0</v>
      </c>
      <c r="AV1221" s="48">
        <v>0</v>
      </c>
      <c r="AW1221" s="48">
        <v>0</v>
      </c>
      <c r="AX1221" s="48">
        <v>0</v>
      </c>
      <c r="AY1221" s="48">
        <v>0</v>
      </c>
      <c r="AZ1221" s="48">
        <v>0</v>
      </c>
      <c r="BA1221" s="48">
        <v>0</v>
      </c>
      <c r="BB1221" s="48">
        <v>0</v>
      </c>
    </row>
    <row r="1222" spans="1:54" x14ac:dyDescent="0.35">
      <c r="A1222" s="49">
        <v>45930</v>
      </c>
      <c r="B1222" s="48">
        <v>1</v>
      </c>
      <c r="C1222" s="50" t="s">
        <v>32</v>
      </c>
      <c r="D1222" s="48" t="s">
        <v>31</v>
      </c>
      <c r="E1222" s="48" t="s">
        <v>138</v>
      </c>
      <c r="F1222" s="48" t="s">
        <v>139</v>
      </c>
      <c r="G1222" s="49" t="s">
        <v>64</v>
      </c>
      <c r="H1222" s="48" t="s">
        <v>64</v>
      </c>
      <c r="I1222" s="48">
        <v>1</v>
      </c>
      <c r="J1222" s="48">
        <v>191</v>
      </c>
      <c r="K1222" s="48">
        <v>1</v>
      </c>
      <c r="N1222" s="48">
        <v>0</v>
      </c>
      <c r="R1222" s="49"/>
      <c r="S1222" s="181">
        <v>0</v>
      </c>
      <c r="T1222" s="49">
        <v>51744</v>
      </c>
      <c r="U1222" s="49">
        <v>51744</v>
      </c>
      <c r="V1222" s="49">
        <v>51744</v>
      </c>
      <c r="W1222" s="49">
        <v>51744</v>
      </c>
      <c r="X1222" s="48">
        <v>1</v>
      </c>
      <c r="Y1222" s="48">
        <v>1</v>
      </c>
      <c r="Z1222" s="48">
        <v>1</v>
      </c>
      <c r="AA1222" s="156">
        <v>104.66523349196908</v>
      </c>
      <c r="AF1222" s="48">
        <v>0</v>
      </c>
      <c r="AG1222" s="49" t="s">
        <v>32</v>
      </c>
      <c r="AH1222" s="48">
        <v>1</v>
      </c>
      <c r="AI1222" s="48" t="s">
        <v>33</v>
      </c>
      <c r="AJ1222" s="48" t="s">
        <v>33</v>
      </c>
      <c r="AK1222" s="48" t="s">
        <v>33</v>
      </c>
      <c r="AL1222" s="48" t="s">
        <v>34</v>
      </c>
      <c r="AN1222" s="48">
        <v>0</v>
      </c>
      <c r="AO1222" s="48">
        <v>0</v>
      </c>
      <c r="AP1222" s="48">
        <v>0</v>
      </c>
      <c r="AQ1222" s="48">
        <v>0</v>
      </c>
      <c r="AR1222" s="48">
        <v>0</v>
      </c>
      <c r="AS1222" s="48">
        <v>0</v>
      </c>
      <c r="AT1222" s="48">
        <v>0</v>
      </c>
      <c r="AU1222" s="48">
        <v>0</v>
      </c>
      <c r="AV1222" s="48">
        <v>0</v>
      </c>
      <c r="AW1222" s="48">
        <v>0</v>
      </c>
      <c r="AX1222" s="48">
        <v>0</v>
      </c>
      <c r="AY1222" s="48">
        <v>0</v>
      </c>
      <c r="AZ1222" s="48">
        <v>0</v>
      </c>
      <c r="BA1222" s="48">
        <v>0</v>
      </c>
      <c r="BB1222" s="48">
        <v>0</v>
      </c>
    </row>
    <row r="1223" spans="1:54" x14ac:dyDescent="0.35">
      <c r="A1223" s="49">
        <v>45930</v>
      </c>
      <c r="B1223" s="48">
        <v>1</v>
      </c>
      <c r="C1223" s="50" t="s">
        <v>32</v>
      </c>
      <c r="D1223" s="48" t="s">
        <v>31</v>
      </c>
      <c r="E1223" s="48" t="s">
        <v>138</v>
      </c>
      <c r="F1223" s="48" t="s">
        <v>139</v>
      </c>
      <c r="G1223" s="49" t="s">
        <v>64</v>
      </c>
      <c r="H1223" s="48" t="s">
        <v>64</v>
      </c>
      <c r="I1223" s="48">
        <v>1</v>
      </c>
      <c r="J1223" s="48">
        <v>192</v>
      </c>
      <c r="K1223" s="48">
        <v>1</v>
      </c>
      <c r="N1223" s="48">
        <v>0</v>
      </c>
      <c r="R1223" s="49"/>
      <c r="S1223" s="181">
        <v>0</v>
      </c>
      <c r="T1223" s="49">
        <v>51774</v>
      </c>
      <c r="U1223" s="49">
        <v>51774</v>
      </c>
      <c r="V1223" s="49">
        <v>51774</v>
      </c>
      <c r="W1223" s="49">
        <v>51774</v>
      </c>
      <c r="X1223" s="48">
        <v>1</v>
      </c>
      <c r="Y1223" s="48">
        <v>1</v>
      </c>
      <c r="Z1223" s="48">
        <v>1</v>
      </c>
      <c r="AA1223" s="156">
        <v>104.66523349196908</v>
      </c>
      <c r="AF1223" s="48">
        <v>0</v>
      </c>
      <c r="AG1223" s="49" t="s">
        <v>32</v>
      </c>
      <c r="AH1223" s="48">
        <v>1</v>
      </c>
      <c r="AI1223" s="48" t="s">
        <v>33</v>
      </c>
      <c r="AJ1223" s="48" t="s">
        <v>33</v>
      </c>
      <c r="AK1223" s="48" t="s">
        <v>33</v>
      </c>
      <c r="AL1223" s="48" t="s">
        <v>34</v>
      </c>
      <c r="AN1223" s="48">
        <v>0</v>
      </c>
      <c r="AO1223" s="48">
        <v>0</v>
      </c>
      <c r="AP1223" s="48">
        <v>0</v>
      </c>
      <c r="AQ1223" s="48">
        <v>0</v>
      </c>
      <c r="AR1223" s="48">
        <v>0</v>
      </c>
      <c r="AS1223" s="48">
        <v>0</v>
      </c>
      <c r="AT1223" s="48">
        <v>0</v>
      </c>
      <c r="AU1223" s="48">
        <v>0</v>
      </c>
      <c r="AV1223" s="48">
        <v>0</v>
      </c>
      <c r="AW1223" s="48">
        <v>0</v>
      </c>
      <c r="AX1223" s="48">
        <v>0</v>
      </c>
      <c r="AY1223" s="48">
        <v>0</v>
      </c>
      <c r="AZ1223" s="48">
        <v>0</v>
      </c>
      <c r="BA1223" s="48">
        <v>0</v>
      </c>
      <c r="BB1223" s="48">
        <v>0</v>
      </c>
    </row>
    <row r="1224" spans="1:54" x14ac:dyDescent="0.35">
      <c r="A1224" s="49">
        <v>45930</v>
      </c>
      <c r="B1224" s="48">
        <v>1</v>
      </c>
      <c r="C1224" s="50" t="s">
        <v>32</v>
      </c>
      <c r="D1224" s="48" t="s">
        <v>31</v>
      </c>
      <c r="E1224" s="48" t="s">
        <v>138</v>
      </c>
      <c r="F1224" s="48" t="s">
        <v>139</v>
      </c>
      <c r="G1224" s="49" t="s">
        <v>64</v>
      </c>
      <c r="H1224" s="48" t="s">
        <v>64</v>
      </c>
      <c r="I1224" s="48">
        <v>1</v>
      </c>
      <c r="J1224" s="48">
        <v>193</v>
      </c>
      <c r="K1224" s="48">
        <v>1</v>
      </c>
      <c r="N1224" s="48">
        <v>0</v>
      </c>
      <c r="R1224" s="49"/>
      <c r="S1224" s="181">
        <v>0</v>
      </c>
      <c r="T1224" s="49">
        <v>51805</v>
      </c>
      <c r="U1224" s="49">
        <v>51805</v>
      </c>
      <c r="V1224" s="49">
        <v>51805</v>
      </c>
      <c r="W1224" s="49">
        <v>51805</v>
      </c>
      <c r="X1224" s="48">
        <v>1</v>
      </c>
      <c r="Y1224" s="48">
        <v>1</v>
      </c>
      <c r="Z1224" s="48">
        <v>1</v>
      </c>
      <c r="AA1224" s="156">
        <v>104.66523349196908</v>
      </c>
      <c r="AF1224" s="48">
        <v>0</v>
      </c>
      <c r="AG1224" s="49" t="s">
        <v>32</v>
      </c>
      <c r="AH1224" s="48">
        <v>1</v>
      </c>
      <c r="AI1224" s="48" t="s">
        <v>33</v>
      </c>
      <c r="AJ1224" s="48" t="s">
        <v>33</v>
      </c>
      <c r="AK1224" s="48" t="s">
        <v>33</v>
      </c>
      <c r="AL1224" s="48" t="s">
        <v>34</v>
      </c>
      <c r="AN1224" s="48">
        <v>0</v>
      </c>
      <c r="AO1224" s="48">
        <v>0</v>
      </c>
      <c r="AP1224" s="48">
        <v>0</v>
      </c>
      <c r="AQ1224" s="48">
        <v>0</v>
      </c>
      <c r="AR1224" s="48">
        <v>0</v>
      </c>
      <c r="AS1224" s="48">
        <v>0</v>
      </c>
      <c r="AT1224" s="48">
        <v>0</v>
      </c>
      <c r="AU1224" s="48">
        <v>0</v>
      </c>
      <c r="AV1224" s="48">
        <v>0</v>
      </c>
      <c r="AW1224" s="48">
        <v>0</v>
      </c>
      <c r="AX1224" s="48">
        <v>0</v>
      </c>
      <c r="AY1224" s="48">
        <v>0</v>
      </c>
      <c r="AZ1224" s="48">
        <v>0</v>
      </c>
      <c r="BA1224" s="48">
        <v>0</v>
      </c>
      <c r="BB1224" s="48">
        <v>0</v>
      </c>
    </row>
    <row r="1225" spans="1:54" x14ac:dyDescent="0.35">
      <c r="A1225" s="49">
        <v>45930</v>
      </c>
      <c r="B1225" s="48">
        <v>1</v>
      </c>
      <c r="C1225" s="50" t="s">
        <v>32</v>
      </c>
      <c r="D1225" s="48" t="s">
        <v>31</v>
      </c>
      <c r="E1225" s="48" t="s">
        <v>138</v>
      </c>
      <c r="F1225" s="48" t="s">
        <v>139</v>
      </c>
      <c r="G1225" s="49" t="s">
        <v>64</v>
      </c>
      <c r="H1225" s="48" t="s">
        <v>64</v>
      </c>
      <c r="I1225" s="48">
        <v>1</v>
      </c>
      <c r="J1225" s="48">
        <v>194</v>
      </c>
      <c r="K1225" s="48">
        <v>1</v>
      </c>
      <c r="N1225" s="48">
        <v>0</v>
      </c>
      <c r="R1225" s="49"/>
      <c r="S1225" s="181">
        <v>0</v>
      </c>
      <c r="T1225" s="49">
        <v>51835</v>
      </c>
      <c r="U1225" s="49">
        <v>51835</v>
      </c>
      <c r="V1225" s="49">
        <v>51835</v>
      </c>
      <c r="W1225" s="49">
        <v>51835</v>
      </c>
      <c r="X1225" s="48">
        <v>1</v>
      </c>
      <c r="Y1225" s="48">
        <v>1</v>
      </c>
      <c r="Z1225" s="48">
        <v>1</v>
      </c>
      <c r="AA1225" s="156">
        <v>104.66523349196908</v>
      </c>
      <c r="AF1225" s="48">
        <v>0</v>
      </c>
      <c r="AG1225" s="49" t="s">
        <v>32</v>
      </c>
      <c r="AH1225" s="48">
        <v>1</v>
      </c>
      <c r="AI1225" s="48" t="s">
        <v>33</v>
      </c>
      <c r="AJ1225" s="48" t="s">
        <v>33</v>
      </c>
      <c r="AK1225" s="48" t="s">
        <v>33</v>
      </c>
      <c r="AL1225" s="48" t="s">
        <v>34</v>
      </c>
      <c r="AN1225" s="48">
        <v>0</v>
      </c>
      <c r="AO1225" s="48">
        <v>0</v>
      </c>
      <c r="AP1225" s="48">
        <v>0</v>
      </c>
      <c r="AQ1225" s="48">
        <v>0</v>
      </c>
      <c r="AR1225" s="48">
        <v>0</v>
      </c>
      <c r="AS1225" s="48">
        <v>0</v>
      </c>
      <c r="AT1225" s="48">
        <v>0</v>
      </c>
      <c r="AU1225" s="48">
        <v>0</v>
      </c>
      <c r="AV1225" s="48">
        <v>0</v>
      </c>
      <c r="AW1225" s="48">
        <v>0</v>
      </c>
      <c r="AX1225" s="48">
        <v>0</v>
      </c>
      <c r="AY1225" s="48">
        <v>0</v>
      </c>
      <c r="AZ1225" s="48">
        <v>0</v>
      </c>
      <c r="BA1225" s="48">
        <v>0</v>
      </c>
      <c r="BB1225" s="48">
        <v>0</v>
      </c>
    </row>
    <row r="1226" spans="1:54" x14ac:dyDescent="0.35">
      <c r="A1226" s="49">
        <v>45930</v>
      </c>
      <c r="B1226" s="48">
        <v>1</v>
      </c>
      <c r="C1226" s="50" t="s">
        <v>32</v>
      </c>
      <c r="D1226" s="48" t="s">
        <v>31</v>
      </c>
      <c r="E1226" s="48" t="s">
        <v>138</v>
      </c>
      <c r="F1226" s="48" t="s">
        <v>139</v>
      </c>
      <c r="G1226" s="49" t="s">
        <v>64</v>
      </c>
      <c r="H1226" s="48" t="s">
        <v>64</v>
      </c>
      <c r="I1226" s="48">
        <v>1</v>
      </c>
      <c r="J1226" s="48">
        <v>195</v>
      </c>
      <c r="K1226" s="48">
        <v>1</v>
      </c>
      <c r="N1226" s="48">
        <v>0</v>
      </c>
      <c r="R1226" s="49"/>
      <c r="S1226" s="181">
        <v>0</v>
      </c>
      <c r="T1226" s="49">
        <v>51866</v>
      </c>
      <c r="U1226" s="49">
        <v>51866</v>
      </c>
      <c r="V1226" s="49">
        <v>51866</v>
      </c>
      <c r="W1226" s="49">
        <v>51866</v>
      </c>
      <c r="X1226" s="48">
        <v>1</v>
      </c>
      <c r="Y1226" s="48">
        <v>1</v>
      </c>
      <c r="Z1226" s="48">
        <v>1</v>
      </c>
      <c r="AA1226" s="156">
        <v>104.66523349196908</v>
      </c>
      <c r="AF1226" s="48">
        <v>0</v>
      </c>
      <c r="AG1226" s="49" t="s">
        <v>32</v>
      </c>
      <c r="AH1226" s="48">
        <v>1</v>
      </c>
      <c r="AI1226" s="48" t="s">
        <v>33</v>
      </c>
      <c r="AJ1226" s="48" t="s">
        <v>33</v>
      </c>
      <c r="AK1226" s="48" t="s">
        <v>33</v>
      </c>
      <c r="AL1226" s="48" t="s">
        <v>34</v>
      </c>
      <c r="AN1226" s="48">
        <v>0</v>
      </c>
      <c r="AO1226" s="48">
        <v>0</v>
      </c>
      <c r="AP1226" s="48">
        <v>0</v>
      </c>
      <c r="AQ1226" s="48">
        <v>0</v>
      </c>
      <c r="AR1226" s="48">
        <v>0</v>
      </c>
      <c r="AS1226" s="48">
        <v>0</v>
      </c>
      <c r="AT1226" s="48">
        <v>0</v>
      </c>
      <c r="AU1226" s="48">
        <v>0</v>
      </c>
      <c r="AV1226" s="48">
        <v>0</v>
      </c>
      <c r="AW1226" s="48">
        <v>0</v>
      </c>
      <c r="AX1226" s="48">
        <v>0</v>
      </c>
      <c r="AY1226" s="48">
        <v>0</v>
      </c>
      <c r="AZ1226" s="48">
        <v>0</v>
      </c>
      <c r="BA1226" s="48">
        <v>0</v>
      </c>
      <c r="BB1226" s="48">
        <v>0</v>
      </c>
    </row>
    <row r="1227" spans="1:54" x14ac:dyDescent="0.35">
      <c r="A1227" s="49">
        <v>45930</v>
      </c>
      <c r="B1227" s="48">
        <v>1</v>
      </c>
      <c r="C1227" s="50" t="s">
        <v>32</v>
      </c>
      <c r="D1227" s="48" t="s">
        <v>31</v>
      </c>
      <c r="E1227" s="48" t="s">
        <v>138</v>
      </c>
      <c r="F1227" s="48" t="s">
        <v>139</v>
      </c>
      <c r="G1227" s="49" t="s">
        <v>64</v>
      </c>
      <c r="H1227" s="48" t="s">
        <v>64</v>
      </c>
      <c r="I1227" s="48">
        <v>1</v>
      </c>
      <c r="J1227" s="48">
        <v>196</v>
      </c>
      <c r="K1227" s="48">
        <v>1</v>
      </c>
      <c r="N1227" s="48">
        <v>0</v>
      </c>
      <c r="R1227" s="49"/>
      <c r="S1227" s="181">
        <v>0</v>
      </c>
      <c r="T1227" s="49">
        <v>51897</v>
      </c>
      <c r="U1227" s="49">
        <v>51897</v>
      </c>
      <c r="V1227" s="49">
        <v>51897</v>
      </c>
      <c r="W1227" s="49">
        <v>51897</v>
      </c>
      <c r="X1227" s="48">
        <v>1</v>
      </c>
      <c r="Y1227" s="48">
        <v>1</v>
      </c>
      <c r="Z1227" s="48">
        <v>1</v>
      </c>
      <c r="AA1227" s="156">
        <v>104.66523349196908</v>
      </c>
      <c r="AF1227" s="48">
        <v>0</v>
      </c>
      <c r="AG1227" s="49" t="s">
        <v>32</v>
      </c>
      <c r="AH1227" s="48">
        <v>1</v>
      </c>
      <c r="AI1227" s="48" t="s">
        <v>33</v>
      </c>
      <c r="AJ1227" s="48" t="s">
        <v>33</v>
      </c>
      <c r="AK1227" s="48" t="s">
        <v>33</v>
      </c>
      <c r="AL1227" s="48" t="s">
        <v>34</v>
      </c>
      <c r="AN1227" s="48">
        <v>0</v>
      </c>
      <c r="AO1227" s="48">
        <v>0</v>
      </c>
      <c r="AP1227" s="48">
        <v>0</v>
      </c>
      <c r="AQ1227" s="48">
        <v>0</v>
      </c>
      <c r="AR1227" s="48">
        <v>0</v>
      </c>
      <c r="AS1227" s="48">
        <v>0</v>
      </c>
      <c r="AT1227" s="48">
        <v>0</v>
      </c>
      <c r="AU1227" s="48">
        <v>0</v>
      </c>
      <c r="AV1227" s="48">
        <v>0</v>
      </c>
      <c r="AW1227" s="48">
        <v>0</v>
      </c>
      <c r="AX1227" s="48">
        <v>0</v>
      </c>
      <c r="AY1227" s="48">
        <v>0</v>
      </c>
      <c r="AZ1227" s="48">
        <v>0</v>
      </c>
      <c r="BA1227" s="48">
        <v>0</v>
      </c>
      <c r="BB1227" s="48">
        <v>0</v>
      </c>
    </row>
    <row r="1228" spans="1:54" x14ac:dyDescent="0.35">
      <c r="A1228" s="49">
        <v>45930</v>
      </c>
      <c r="B1228" s="48">
        <v>1</v>
      </c>
      <c r="C1228" s="50" t="s">
        <v>32</v>
      </c>
      <c r="D1228" s="48" t="s">
        <v>31</v>
      </c>
      <c r="E1228" s="48" t="s">
        <v>138</v>
      </c>
      <c r="F1228" s="48" t="s">
        <v>139</v>
      </c>
      <c r="G1228" s="49" t="s">
        <v>64</v>
      </c>
      <c r="H1228" s="48" t="s">
        <v>64</v>
      </c>
      <c r="I1228" s="48">
        <v>1</v>
      </c>
      <c r="J1228" s="48">
        <v>197</v>
      </c>
      <c r="K1228" s="48">
        <v>1</v>
      </c>
      <c r="N1228" s="48">
        <v>0</v>
      </c>
      <c r="R1228" s="49"/>
      <c r="S1228" s="181">
        <v>0</v>
      </c>
      <c r="T1228" s="49">
        <v>51925</v>
      </c>
      <c r="U1228" s="49">
        <v>51925</v>
      </c>
      <c r="V1228" s="49">
        <v>51925</v>
      </c>
      <c r="W1228" s="49">
        <v>51925</v>
      </c>
      <c r="X1228" s="48">
        <v>1</v>
      </c>
      <c r="Y1228" s="48">
        <v>1</v>
      </c>
      <c r="Z1228" s="48">
        <v>1</v>
      </c>
      <c r="AA1228" s="156">
        <v>104.66523349196908</v>
      </c>
      <c r="AF1228" s="48">
        <v>0</v>
      </c>
      <c r="AG1228" s="49" t="s">
        <v>32</v>
      </c>
      <c r="AH1228" s="48">
        <v>1</v>
      </c>
      <c r="AI1228" s="48" t="s">
        <v>33</v>
      </c>
      <c r="AJ1228" s="48" t="s">
        <v>33</v>
      </c>
      <c r="AK1228" s="48" t="s">
        <v>33</v>
      </c>
      <c r="AL1228" s="48" t="s">
        <v>34</v>
      </c>
      <c r="AN1228" s="48">
        <v>0</v>
      </c>
      <c r="AO1228" s="48">
        <v>0</v>
      </c>
      <c r="AP1228" s="48">
        <v>0</v>
      </c>
      <c r="AQ1228" s="48">
        <v>0</v>
      </c>
      <c r="AR1228" s="48">
        <v>0</v>
      </c>
      <c r="AS1228" s="48">
        <v>0</v>
      </c>
      <c r="AT1228" s="48">
        <v>0</v>
      </c>
      <c r="AU1228" s="48">
        <v>0</v>
      </c>
      <c r="AV1228" s="48">
        <v>0</v>
      </c>
      <c r="AW1228" s="48">
        <v>0</v>
      </c>
      <c r="AX1228" s="48">
        <v>0</v>
      </c>
      <c r="AY1228" s="48">
        <v>0</v>
      </c>
      <c r="AZ1228" s="48">
        <v>0</v>
      </c>
      <c r="BA1228" s="48">
        <v>0</v>
      </c>
      <c r="BB1228" s="48">
        <v>0</v>
      </c>
    </row>
    <row r="1229" spans="1:54" x14ac:dyDescent="0.35">
      <c r="A1229" s="49">
        <v>45930</v>
      </c>
      <c r="B1229" s="48">
        <v>1</v>
      </c>
      <c r="C1229" s="50" t="s">
        <v>32</v>
      </c>
      <c r="D1229" s="48" t="s">
        <v>31</v>
      </c>
      <c r="E1229" s="48" t="s">
        <v>138</v>
      </c>
      <c r="F1229" s="48" t="s">
        <v>139</v>
      </c>
      <c r="G1229" s="49" t="s">
        <v>64</v>
      </c>
      <c r="H1229" s="48" t="s">
        <v>64</v>
      </c>
      <c r="I1229" s="48">
        <v>1</v>
      </c>
      <c r="J1229" s="48">
        <v>198</v>
      </c>
      <c r="K1229" s="48">
        <v>1</v>
      </c>
      <c r="N1229" s="48">
        <v>0</v>
      </c>
      <c r="R1229" s="49"/>
      <c r="S1229" s="181">
        <v>0</v>
      </c>
      <c r="T1229" s="49">
        <v>51956</v>
      </c>
      <c r="U1229" s="49">
        <v>51956</v>
      </c>
      <c r="V1229" s="49">
        <v>51956</v>
      </c>
      <c r="W1229" s="49">
        <v>51956</v>
      </c>
      <c r="X1229" s="48">
        <v>1</v>
      </c>
      <c r="Y1229" s="48">
        <v>1</v>
      </c>
      <c r="Z1229" s="48">
        <v>1</v>
      </c>
      <c r="AA1229" s="156">
        <v>104.66523349196908</v>
      </c>
      <c r="AF1229" s="48">
        <v>0</v>
      </c>
      <c r="AG1229" s="49" t="s">
        <v>32</v>
      </c>
      <c r="AH1229" s="48">
        <v>1</v>
      </c>
      <c r="AI1229" s="48" t="s">
        <v>33</v>
      </c>
      <c r="AJ1229" s="48" t="s">
        <v>33</v>
      </c>
      <c r="AK1229" s="48" t="s">
        <v>33</v>
      </c>
      <c r="AL1229" s="48" t="s">
        <v>34</v>
      </c>
      <c r="AN1229" s="48">
        <v>0</v>
      </c>
      <c r="AO1229" s="48">
        <v>0</v>
      </c>
      <c r="AP1229" s="48">
        <v>0</v>
      </c>
      <c r="AQ1229" s="48">
        <v>0</v>
      </c>
      <c r="AR1229" s="48">
        <v>0</v>
      </c>
      <c r="AS1229" s="48">
        <v>0</v>
      </c>
      <c r="AT1229" s="48">
        <v>0</v>
      </c>
      <c r="AU1229" s="48">
        <v>0</v>
      </c>
      <c r="AV1229" s="48">
        <v>0</v>
      </c>
      <c r="AW1229" s="48">
        <v>0</v>
      </c>
      <c r="AX1229" s="48">
        <v>0</v>
      </c>
      <c r="AY1229" s="48">
        <v>0</v>
      </c>
      <c r="AZ1229" s="48">
        <v>0</v>
      </c>
      <c r="BA1229" s="48">
        <v>0</v>
      </c>
      <c r="BB1229" s="48">
        <v>0</v>
      </c>
    </row>
    <row r="1230" spans="1:54" x14ac:dyDescent="0.35">
      <c r="A1230" s="49">
        <v>45930</v>
      </c>
      <c r="B1230" s="48">
        <v>1</v>
      </c>
      <c r="C1230" s="50" t="s">
        <v>32</v>
      </c>
      <c r="D1230" s="48" t="s">
        <v>31</v>
      </c>
      <c r="E1230" s="48" t="s">
        <v>138</v>
      </c>
      <c r="F1230" s="48" t="s">
        <v>139</v>
      </c>
      <c r="G1230" s="49" t="s">
        <v>64</v>
      </c>
      <c r="H1230" s="48" t="s">
        <v>64</v>
      </c>
      <c r="I1230" s="48">
        <v>1</v>
      </c>
      <c r="J1230" s="48">
        <v>199</v>
      </c>
      <c r="K1230" s="48">
        <v>1</v>
      </c>
      <c r="N1230" s="48">
        <v>0</v>
      </c>
      <c r="R1230" s="49"/>
      <c r="S1230" s="181">
        <v>0</v>
      </c>
      <c r="T1230" s="49">
        <v>51986</v>
      </c>
      <c r="U1230" s="49">
        <v>51986</v>
      </c>
      <c r="V1230" s="49">
        <v>51986</v>
      </c>
      <c r="W1230" s="49">
        <v>51986</v>
      </c>
      <c r="X1230" s="48">
        <v>1</v>
      </c>
      <c r="Y1230" s="48">
        <v>1</v>
      </c>
      <c r="Z1230" s="48">
        <v>1</v>
      </c>
      <c r="AA1230" s="156">
        <v>104.66523349196908</v>
      </c>
      <c r="AF1230" s="48">
        <v>0</v>
      </c>
      <c r="AG1230" s="49" t="s">
        <v>32</v>
      </c>
      <c r="AH1230" s="48">
        <v>1</v>
      </c>
      <c r="AI1230" s="48" t="s">
        <v>33</v>
      </c>
      <c r="AJ1230" s="48" t="s">
        <v>33</v>
      </c>
      <c r="AK1230" s="48" t="s">
        <v>33</v>
      </c>
      <c r="AL1230" s="48" t="s">
        <v>34</v>
      </c>
      <c r="AN1230" s="48">
        <v>0</v>
      </c>
      <c r="AO1230" s="48">
        <v>0</v>
      </c>
      <c r="AP1230" s="48">
        <v>0</v>
      </c>
      <c r="AQ1230" s="48">
        <v>0</v>
      </c>
      <c r="AR1230" s="48">
        <v>0</v>
      </c>
      <c r="AS1230" s="48">
        <v>0</v>
      </c>
      <c r="AT1230" s="48">
        <v>0</v>
      </c>
      <c r="AU1230" s="48">
        <v>0</v>
      </c>
      <c r="AV1230" s="48">
        <v>0</v>
      </c>
      <c r="AW1230" s="48">
        <v>0</v>
      </c>
      <c r="AX1230" s="48">
        <v>0</v>
      </c>
      <c r="AY1230" s="48">
        <v>0</v>
      </c>
      <c r="AZ1230" s="48">
        <v>0</v>
      </c>
      <c r="BA1230" s="48">
        <v>0</v>
      </c>
      <c r="BB1230" s="48">
        <v>0</v>
      </c>
    </row>
    <row r="1231" spans="1:54" x14ac:dyDescent="0.35">
      <c r="A1231" s="49">
        <v>45930</v>
      </c>
      <c r="B1231" s="48">
        <v>1</v>
      </c>
      <c r="C1231" s="50" t="s">
        <v>32</v>
      </c>
      <c r="D1231" s="48" t="s">
        <v>31</v>
      </c>
      <c r="E1231" s="48" t="s">
        <v>138</v>
      </c>
      <c r="F1231" s="48" t="s">
        <v>139</v>
      </c>
      <c r="G1231" s="49" t="s">
        <v>64</v>
      </c>
      <c r="H1231" s="48" t="s">
        <v>64</v>
      </c>
      <c r="I1231" s="48">
        <v>1</v>
      </c>
      <c r="J1231" s="48">
        <v>200</v>
      </c>
      <c r="K1231" s="48">
        <v>1</v>
      </c>
      <c r="N1231" s="48">
        <v>0</v>
      </c>
      <c r="R1231" s="49"/>
      <c r="S1231" s="181">
        <v>0</v>
      </c>
      <c r="T1231" s="49">
        <v>52017</v>
      </c>
      <c r="U1231" s="49">
        <v>52017</v>
      </c>
      <c r="V1231" s="49">
        <v>52017</v>
      </c>
      <c r="W1231" s="49">
        <v>52017</v>
      </c>
      <c r="X1231" s="48">
        <v>1</v>
      </c>
      <c r="Y1231" s="48">
        <v>1</v>
      </c>
      <c r="Z1231" s="48">
        <v>1</v>
      </c>
      <c r="AA1231" s="156">
        <v>104.66523349196908</v>
      </c>
      <c r="AF1231" s="48">
        <v>0</v>
      </c>
      <c r="AG1231" s="49" t="s">
        <v>32</v>
      </c>
      <c r="AH1231" s="48">
        <v>1</v>
      </c>
      <c r="AI1231" s="48" t="s">
        <v>33</v>
      </c>
      <c r="AJ1231" s="48" t="s">
        <v>33</v>
      </c>
      <c r="AK1231" s="48" t="s">
        <v>33</v>
      </c>
      <c r="AL1231" s="48" t="s">
        <v>34</v>
      </c>
      <c r="AN1231" s="48">
        <v>0</v>
      </c>
      <c r="AO1231" s="48">
        <v>0</v>
      </c>
      <c r="AP1231" s="48">
        <v>0</v>
      </c>
      <c r="AQ1231" s="48">
        <v>0</v>
      </c>
      <c r="AR1231" s="48">
        <v>0</v>
      </c>
      <c r="AS1231" s="48">
        <v>0</v>
      </c>
      <c r="AT1231" s="48">
        <v>0</v>
      </c>
      <c r="AU1231" s="48">
        <v>0</v>
      </c>
      <c r="AV1231" s="48">
        <v>0</v>
      </c>
      <c r="AW1231" s="48">
        <v>0</v>
      </c>
      <c r="AX1231" s="48">
        <v>0</v>
      </c>
      <c r="AY1231" s="48">
        <v>0</v>
      </c>
      <c r="AZ1231" s="48">
        <v>0</v>
      </c>
      <c r="BA1231" s="48">
        <v>0</v>
      </c>
      <c r="BB1231" s="48">
        <v>0</v>
      </c>
    </row>
    <row r="1232" spans="1:54" x14ac:dyDescent="0.35">
      <c r="A1232" s="49">
        <v>45930</v>
      </c>
      <c r="B1232" s="48">
        <v>1</v>
      </c>
      <c r="C1232" s="50" t="s">
        <v>32</v>
      </c>
      <c r="D1232" s="48" t="s">
        <v>31</v>
      </c>
      <c r="E1232" s="48" t="s">
        <v>138</v>
      </c>
      <c r="F1232" s="48" t="s">
        <v>139</v>
      </c>
      <c r="G1232" s="49" t="s">
        <v>64</v>
      </c>
      <c r="H1232" s="48" t="s">
        <v>64</v>
      </c>
      <c r="I1232" s="48">
        <v>1</v>
      </c>
      <c r="J1232" s="48">
        <v>201</v>
      </c>
      <c r="K1232" s="48">
        <v>1</v>
      </c>
      <c r="N1232" s="48">
        <v>0</v>
      </c>
      <c r="R1232" s="49"/>
      <c r="S1232" s="181">
        <v>0</v>
      </c>
      <c r="T1232" s="49">
        <v>52047</v>
      </c>
      <c r="U1232" s="49">
        <v>52047</v>
      </c>
      <c r="V1232" s="49">
        <v>52047</v>
      </c>
      <c r="W1232" s="49">
        <v>52047</v>
      </c>
      <c r="X1232" s="48">
        <v>1</v>
      </c>
      <c r="Y1232" s="48">
        <v>1</v>
      </c>
      <c r="Z1232" s="48">
        <v>1</v>
      </c>
      <c r="AA1232" s="156">
        <v>104.66523349196908</v>
      </c>
      <c r="AF1232" s="48">
        <v>0</v>
      </c>
      <c r="AG1232" s="49" t="s">
        <v>32</v>
      </c>
      <c r="AH1232" s="48">
        <v>1</v>
      </c>
      <c r="AI1232" s="48" t="s">
        <v>33</v>
      </c>
      <c r="AJ1232" s="48" t="s">
        <v>33</v>
      </c>
      <c r="AK1232" s="48" t="s">
        <v>33</v>
      </c>
      <c r="AL1232" s="48" t="s">
        <v>34</v>
      </c>
      <c r="AN1232" s="48">
        <v>0</v>
      </c>
      <c r="AO1232" s="48">
        <v>0</v>
      </c>
      <c r="AP1232" s="48">
        <v>0</v>
      </c>
      <c r="AQ1232" s="48">
        <v>0</v>
      </c>
      <c r="AR1232" s="48">
        <v>0</v>
      </c>
      <c r="AS1232" s="48">
        <v>0</v>
      </c>
      <c r="AT1232" s="48">
        <v>0</v>
      </c>
      <c r="AU1232" s="48">
        <v>0</v>
      </c>
      <c r="AV1232" s="48">
        <v>0</v>
      </c>
      <c r="AW1232" s="48">
        <v>0</v>
      </c>
      <c r="AX1232" s="48">
        <v>0</v>
      </c>
      <c r="AY1232" s="48">
        <v>0</v>
      </c>
      <c r="AZ1232" s="48">
        <v>0</v>
      </c>
      <c r="BA1232" s="48">
        <v>0</v>
      </c>
      <c r="BB1232" s="48">
        <v>0</v>
      </c>
    </row>
    <row r="1233" spans="1:54" x14ac:dyDescent="0.35">
      <c r="A1233" s="49">
        <v>45930</v>
      </c>
      <c r="B1233" s="48">
        <v>1</v>
      </c>
      <c r="C1233" s="50" t="s">
        <v>32</v>
      </c>
      <c r="D1233" s="48" t="s">
        <v>31</v>
      </c>
      <c r="E1233" s="48" t="s">
        <v>138</v>
      </c>
      <c r="F1233" s="48" t="s">
        <v>139</v>
      </c>
      <c r="G1233" s="49" t="s">
        <v>64</v>
      </c>
      <c r="H1233" s="48" t="s">
        <v>64</v>
      </c>
      <c r="I1233" s="48">
        <v>1</v>
      </c>
      <c r="J1233" s="48">
        <v>202</v>
      </c>
      <c r="K1233" s="48">
        <v>1</v>
      </c>
      <c r="N1233" s="48">
        <v>0</v>
      </c>
      <c r="R1233" s="49"/>
      <c r="S1233" s="181">
        <v>0</v>
      </c>
      <c r="T1233" s="49">
        <v>52078</v>
      </c>
      <c r="U1233" s="49">
        <v>52078</v>
      </c>
      <c r="V1233" s="49">
        <v>52078</v>
      </c>
      <c r="W1233" s="49">
        <v>52078</v>
      </c>
      <c r="X1233" s="48">
        <v>1</v>
      </c>
      <c r="Y1233" s="48">
        <v>1</v>
      </c>
      <c r="Z1233" s="48">
        <v>1</v>
      </c>
      <c r="AA1233" s="156">
        <v>104.66523349196908</v>
      </c>
      <c r="AF1233" s="48">
        <v>0</v>
      </c>
      <c r="AG1233" s="49" t="s">
        <v>32</v>
      </c>
      <c r="AH1233" s="48">
        <v>1</v>
      </c>
      <c r="AI1233" s="48" t="s">
        <v>33</v>
      </c>
      <c r="AJ1233" s="48" t="s">
        <v>33</v>
      </c>
      <c r="AK1233" s="48" t="s">
        <v>33</v>
      </c>
      <c r="AL1233" s="48" t="s">
        <v>34</v>
      </c>
      <c r="AN1233" s="48">
        <v>0</v>
      </c>
      <c r="AO1233" s="48">
        <v>0</v>
      </c>
      <c r="AP1233" s="48">
        <v>0</v>
      </c>
      <c r="AQ1233" s="48">
        <v>0</v>
      </c>
      <c r="AR1233" s="48">
        <v>0</v>
      </c>
      <c r="AS1233" s="48">
        <v>0</v>
      </c>
      <c r="AT1233" s="48">
        <v>0</v>
      </c>
      <c r="AU1233" s="48">
        <v>0</v>
      </c>
      <c r="AV1233" s="48">
        <v>0</v>
      </c>
      <c r="AW1233" s="48">
        <v>0</v>
      </c>
      <c r="AX1233" s="48">
        <v>0</v>
      </c>
      <c r="AY1233" s="48">
        <v>0</v>
      </c>
      <c r="AZ1233" s="48">
        <v>0</v>
      </c>
      <c r="BA1233" s="48">
        <v>0</v>
      </c>
      <c r="BB1233" s="48">
        <v>0</v>
      </c>
    </row>
    <row r="1234" spans="1:54" x14ac:dyDescent="0.35">
      <c r="A1234" s="49">
        <v>45930</v>
      </c>
      <c r="B1234" s="48">
        <v>1</v>
      </c>
      <c r="C1234" s="50" t="s">
        <v>32</v>
      </c>
      <c r="D1234" s="48" t="s">
        <v>31</v>
      </c>
      <c r="E1234" s="48" t="s">
        <v>138</v>
      </c>
      <c r="F1234" s="48" t="s">
        <v>139</v>
      </c>
      <c r="G1234" s="49" t="s">
        <v>64</v>
      </c>
      <c r="H1234" s="48" t="s">
        <v>64</v>
      </c>
      <c r="I1234" s="48">
        <v>1</v>
      </c>
      <c r="J1234" s="48">
        <v>203</v>
      </c>
      <c r="K1234" s="48">
        <v>1</v>
      </c>
      <c r="N1234" s="48">
        <v>0</v>
      </c>
      <c r="R1234" s="49"/>
      <c r="S1234" s="181">
        <v>0</v>
      </c>
      <c r="T1234" s="49">
        <v>52109</v>
      </c>
      <c r="U1234" s="49">
        <v>52109</v>
      </c>
      <c r="V1234" s="49">
        <v>52109</v>
      </c>
      <c r="W1234" s="49">
        <v>52109</v>
      </c>
      <c r="X1234" s="48">
        <v>1</v>
      </c>
      <c r="Y1234" s="48">
        <v>1</v>
      </c>
      <c r="Z1234" s="48">
        <v>1</v>
      </c>
      <c r="AA1234" s="156">
        <v>104.66523349196908</v>
      </c>
      <c r="AF1234" s="48">
        <v>0</v>
      </c>
      <c r="AG1234" s="49" t="s">
        <v>32</v>
      </c>
      <c r="AH1234" s="48">
        <v>1</v>
      </c>
      <c r="AI1234" s="48" t="s">
        <v>33</v>
      </c>
      <c r="AJ1234" s="48" t="s">
        <v>33</v>
      </c>
      <c r="AK1234" s="48" t="s">
        <v>33</v>
      </c>
      <c r="AL1234" s="48" t="s">
        <v>34</v>
      </c>
      <c r="AN1234" s="48">
        <v>0</v>
      </c>
      <c r="AO1234" s="48">
        <v>0</v>
      </c>
      <c r="AP1234" s="48">
        <v>0</v>
      </c>
      <c r="AQ1234" s="48">
        <v>0</v>
      </c>
      <c r="AR1234" s="48">
        <v>0</v>
      </c>
      <c r="AS1234" s="48">
        <v>0</v>
      </c>
      <c r="AT1234" s="48">
        <v>0</v>
      </c>
      <c r="AU1234" s="48">
        <v>0</v>
      </c>
      <c r="AV1234" s="48">
        <v>0</v>
      </c>
      <c r="AW1234" s="48">
        <v>0</v>
      </c>
      <c r="AX1234" s="48">
        <v>0</v>
      </c>
      <c r="AY1234" s="48">
        <v>0</v>
      </c>
      <c r="AZ1234" s="48">
        <v>0</v>
      </c>
      <c r="BA1234" s="48">
        <v>0</v>
      </c>
      <c r="BB1234" s="48">
        <v>0</v>
      </c>
    </row>
    <row r="1235" spans="1:54" x14ac:dyDescent="0.35">
      <c r="A1235" s="49">
        <v>45930</v>
      </c>
      <c r="B1235" s="48">
        <v>1</v>
      </c>
      <c r="C1235" s="50" t="s">
        <v>32</v>
      </c>
      <c r="D1235" s="48" t="s">
        <v>31</v>
      </c>
      <c r="E1235" s="48" t="s">
        <v>138</v>
      </c>
      <c r="F1235" s="48" t="s">
        <v>139</v>
      </c>
      <c r="G1235" s="49" t="s">
        <v>64</v>
      </c>
      <c r="H1235" s="48" t="s">
        <v>64</v>
      </c>
      <c r="I1235" s="48">
        <v>1</v>
      </c>
      <c r="J1235" s="48">
        <v>204</v>
      </c>
      <c r="K1235" s="48">
        <v>1</v>
      </c>
      <c r="N1235" s="48">
        <v>0</v>
      </c>
      <c r="R1235" s="49"/>
      <c r="S1235" s="181">
        <v>0</v>
      </c>
      <c r="T1235" s="49">
        <v>52139</v>
      </c>
      <c r="U1235" s="49">
        <v>52139</v>
      </c>
      <c r="V1235" s="49">
        <v>52139</v>
      </c>
      <c r="W1235" s="49">
        <v>52139</v>
      </c>
      <c r="X1235" s="48">
        <v>1</v>
      </c>
      <c r="Y1235" s="48">
        <v>1</v>
      </c>
      <c r="Z1235" s="48">
        <v>1</v>
      </c>
      <c r="AA1235" s="156">
        <v>104.66523349196908</v>
      </c>
      <c r="AF1235" s="48">
        <v>0</v>
      </c>
      <c r="AG1235" s="49" t="s">
        <v>32</v>
      </c>
      <c r="AH1235" s="48">
        <v>1</v>
      </c>
      <c r="AI1235" s="48" t="s">
        <v>33</v>
      </c>
      <c r="AJ1235" s="48" t="s">
        <v>33</v>
      </c>
      <c r="AK1235" s="48" t="s">
        <v>33</v>
      </c>
      <c r="AL1235" s="48" t="s">
        <v>34</v>
      </c>
      <c r="AN1235" s="48">
        <v>0</v>
      </c>
      <c r="AO1235" s="48">
        <v>0</v>
      </c>
      <c r="AP1235" s="48">
        <v>0</v>
      </c>
      <c r="AQ1235" s="48">
        <v>0</v>
      </c>
      <c r="AR1235" s="48">
        <v>0</v>
      </c>
      <c r="AS1235" s="48">
        <v>0</v>
      </c>
      <c r="AT1235" s="48">
        <v>0</v>
      </c>
      <c r="AU1235" s="48">
        <v>0</v>
      </c>
      <c r="AV1235" s="48">
        <v>0</v>
      </c>
      <c r="AW1235" s="48">
        <v>0</v>
      </c>
      <c r="AX1235" s="48">
        <v>0</v>
      </c>
      <c r="AY1235" s="48">
        <v>0</v>
      </c>
      <c r="AZ1235" s="48">
        <v>0</v>
      </c>
      <c r="BA1235" s="48">
        <v>0</v>
      </c>
      <c r="BB1235" s="48">
        <v>0</v>
      </c>
    </row>
    <row r="1236" spans="1:54" x14ac:dyDescent="0.35">
      <c r="A1236" s="49">
        <v>45930</v>
      </c>
      <c r="B1236" s="48">
        <v>1</v>
      </c>
      <c r="C1236" s="50" t="s">
        <v>32</v>
      </c>
      <c r="D1236" s="48" t="s">
        <v>31</v>
      </c>
      <c r="E1236" s="48" t="s">
        <v>138</v>
      </c>
      <c r="F1236" s="48" t="s">
        <v>139</v>
      </c>
      <c r="G1236" s="49" t="s">
        <v>64</v>
      </c>
      <c r="H1236" s="48" t="s">
        <v>64</v>
      </c>
      <c r="I1236" s="48">
        <v>1</v>
      </c>
      <c r="J1236" s="48">
        <v>205</v>
      </c>
      <c r="K1236" s="48">
        <v>1</v>
      </c>
      <c r="N1236" s="48">
        <v>0</v>
      </c>
      <c r="R1236" s="49"/>
      <c r="S1236" s="181">
        <v>0</v>
      </c>
      <c r="T1236" s="49">
        <v>52170</v>
      </c>
      <c r="U1236" s="49">
        <v>52170</v>
      </c>
      <c r="V1236" s="49">
        <v>52170</v>
      </c>
      <c r="W1236" s="49">
        <v>52170</v>
      </c>
      <c r="X1236" s="48">
        <v>1</v>
      </c>
      <c r="Y1236" s="48">
        <v>1</v>
      </c>
      <c r="Z1236" s="48">
        <v>1</v>
      </c>
      <c r="AA1236" s="156">
        <v>90.917367638310537</v>
      </c>
      <c r="AF1236" s="48">
        <v>0</v>
      </c>
      <c r="AG1236" s="49" t="s">
        <v>32</v>
      </c>
      <c r="AH1236" s="48">
        <v>1</v>
      </c>
      <c r="AI1236" s="48" t="s">
        <v>33</v>
      </c>
      <c r="AJ1236" s="48" t="s">
        <v>33</v>
      </c>
      <c r="AK1236" s="48" t="s">
        <v>33</v>
      </c>
      <c r="AL1236" s="48" t="s">
        <v>34</v>
      </c>
      <c r="AN1236" s="48">
        <v>0</v>
      </c>
      <c r="AO1236" s="48">
        <v>0</v>
      </c>
      <c r="AP1236" s="48">
        <v>0</v>
      </c>
      <c r="AQ1236" s="48">
        <v>0</v>
      </c>
      <c r="AR1236" s="48">
        <v>0</v>
      </c>
      <c r="AS1236" s="48">
        <v>0</v>
      </c>
      <c r="AT1236" s="48">
        <v>0</v>
      </c>
      <c r="AU1236" s="48">
        <v>0</v>
      </c>
      <c r="AV1236" s="48">
        <v>0</v>
      </c>
      <c r="AW1236" s="48">
        <v>0</v>
      </c>
      <c r="AX1236" s="48">
        <v>0</v>
      </c>
      <c r="AY1236" s="48">
        <v>0</v>
      </c>
      <c r="AZ1236" s="48">
        <v>0</v>
      </c>
      <c r="BA1236" s="48">
        <v>0</v>
      </c>
      <c r="BB1236" s="48">
        <v>0</v>
      </c>
    </row>
    <row r="1237" spans="1:54" x14ac:dyDescent="0.35">
      <c r="A1237" s="49">
        <v>45930</v>
      </c>
      <c r="B1237" s="48">
        <v>1</v>
      </c>
      <c r="C1237" s="50" t="s">
        <v>32</v>
      </c>
      <c r="D1237" s="48" t="s">
        <v>31</v>
      </c>
      <c r="E1237" s="48" t="s">
        <v>138</v>
      </c>
      <c r="F1237" s="48" t="s">
        <v>139</v>
      </c>
      <c r="G1237" s="49" t="s">
        <v>64</v>
      </c>
      <c r="H1237" s="48" t="s">
        <v>64</v>
      </c>
      <c r="I1237" s="48">
        <v>1</v>
      </c>
      <c r="J1237" s="48">
        <v>206</v>
      </c>
      <c r="K1237" s="48">
        <v>1</v>
      </c>
      <c r="N1237" s="48">
        <v>0</v>
      </c>
      <c r="R1237" s="49"/>
      <c r="S1237" s="181">
        <v>0</v>
      </c>
      <c r="T1237" s="49">
        <v>52200</v>
      </c>
      <c r="U1237" s="49">
        <v>52200</v>
      </c>
      <c r="V1237" s="49">
        <v>52200</v>
      </c>
      <c r="W1237" s="49">
        <v>52200</v>
      </c>
      <c r="X1237" s="48">
        <v>1</v>
      </c>
      <c r="Y1237" s="48">
        <v>1</v>
      </c>
      <c r="Z1237" s="48">
        <v>1</v>
      </c>
      <c r="AA1237" s="156">
        <v>0</v>
      </c>
      <c r="AF1237" s="48">
        <v>0</v>
      </c>
      <c r="AG1237" s="49" t="s">
        <v>32</v>
      </c>
      <c r="AH1237" s="48">
        <v>1</v>
      </c>
      <c r="AI1237" s="48" t="s">
        <v>33</v>
      </c>
      <c r="AJ1237" s="48" t="s">
        <v>33</v>
      </c>
      <c r="AK1237" s="48" t="s">
        <v>33</v>
      </c>
      <c r="AL1237" s="48" t="s">
        <v>34</v>
      </c>
      <c r="AN1237" s="48">
        <v>0</v>
      </c>
      <c r="AO1237" s="48">
        <v>0</v>
      </c>
      <c r="AP1237" s="48">
        <v>0</v>
      </c>
      <c r="AQ1237" s="48">
        <v>0</v>
      </c>
      <c r="AR1237" s="48">
        <v>0</v>
      </c>
      <c r="AS1237" s="48">
        <v>0</v>
      </c>
      <c r="AT1237" s="48">
        <v>0</v>
      </c>
      <c r="AU1237" s="48">
        <v>0</v>
      </c>
      <c r="AV1237" s="48">
        <v>0</v>
      </c>
      <c r="AW1237" s="48">
        <v>0</v>
      </c>
      <c r="AX1237" s="48">
        <v>0</v>
      </c>
      <c r="AY1237" s="48">
        <v>0</v>
      </c>
      <c r="AZ1237" s="48">
        <v>0</v>
      </c>
      <c r="BA1237" s="48">
        <v>0</v>
      </c>
      <c r="BB1237" s="48">
        <v>0</v>
      </c>
    </row>
    <row r="1238" spans="1:54" x14ac:dyDescent="0.35">
      <c r="A1238" s="49">
        <v>45930</v>
      </c>
      <c r="B1238" s="48">
        <v>1</v>
      </c>
      <c r="C1238" s="50" t="s">
        <v>32</v>
      </c>
      <c r="D1238" s="48" t="s">
        <v>31</v>
      </c>
      <c r="E1238" s="48" t="s">
        <v>138</v>
      </c>
      <c r="F1238" s="48" t="s">
        <v>139</v>
      </c>
      <c r="G1238" s="49" t="s">
        <v>64</v>
      </c>
      <c r="H1238" s="48" t="s">
        <v>64</v>
      </c>
      <c r="I1238" s="48">
        <v>1</v>
      </c>
      <c r="J1238" s="48">
        <v>207</v>
      </c>
      <c r="K1238" s="48">
        <v>1</v>
      </c>
      <c r="N1238" s="48">
        <v>0</v>
      </c>
      <c r="R1238" s="49"/>
      <c r="S1238" s="181">
        <v>0</v>
      </c>
      <c r="T1238" s="49">
        <v>52231</v>
      </c>
      <c r="U1238" s="49">
        <v>52231</v>
      </c>
      <c r="V1238" s="49">
        <v>52231</v>
      </c>
      <c r="W1238" s="49">
        <v>52231</v>
      </c>
      <c r="X1238" s="48">
        <v>1</v>
      </c>
      <c r="Y1238" s="48">
        <v>1</v>
      </c>
      <c r="Z1238" s="48">
        <v>1</v>
      </c>
      <c r="AA1238" s="156">
        <v>0</v>
      </c>
      <c r="AF1238" s="48">
        <v>0</v>
      </c>
      <c r="AG1238" s="49" t="s">
        <v>32</v>
      </c>
      <c r="AH1238" s="48">
        <v>1</v>
      </c>
      <c r="AI1238" s="48" t="s">
        <v>33</v>
      </c>
      <c r="AJ1238" s="48" t="s">
        <v>33</v>
      </c>
      <c r="AK1238" s="48" t="s">
        <v>33</v>
      </c>
      <c r="AL1238" s="48" t="s">
        <v>34</v>
      </c>
      <c r="AN1238" s="48">
        <v>0</v>
      </c>
      <c r="AO1238" s="48">
        <v>0</v>
      </c>
      <c r="AP1238" s="48">
        <v>0</v>
      </c>
      <c r="AQ1238" s="48">
        <v>0</v>
      </c>
      <c r="AR1238" s="48">
        <v>0</v>
      </c>
      <c r="AS1238" s="48">
        <v>0</v>
      </c>
      <c r="AT1238" s="48">
        <v>0</v>
      </c>
      <c r="AU1238" s="48">
        <v>0</v>
      </c>
      <c r="AV1238" s="48">
        <v>0</v>
      </c>
      <c r="AW1238" s="48">
        <v>0</v>
      </c>
      <c r="AX1238" s="48">
        <v>0</v>
      </c>
      <c r="AY1238" s="48">
        <v>0</v>
      </c>
      <c r="AZ1238" s="48">
        <v>0</v>
      </c>
      <c r="BA1238" s="48">
        <v>0</v>
      </c>
      <c r="BB1238" s="48">
        <v>0</v>
      </c>
    </row>
    <row r="1239" spans="1:54" x14ac:dyDescent="0.35">
      <c r="A1239" s="49">
        <v>45930</v>
      </c>
      <c r="B1239" s="48">
        <v>1</v>
      </c>
      <c r="C1239" s="50" t="s">
        <v>32</v>
      </c>
      <c r="D1239" s="48" t="s">
        <v>31</v>
      </c>
      <c r="E1239" s="48" t="s">
        <v>138</v>
      </c>
      <c r="F1239" s="48" t="s">
        <v>139</v>
      </c>
      <c r="G1239" s="49" t="s">
        <v>64</v>
      </c>
      <c r="H1239" s="48" t="s">
        <v>64</v>
      </c>
      <c r="I1239" s="48">
        <v>1</v>
      </c>
      <c r="J1239" s="48">
        <v>208</v>
      </c>
      <c r="K1239" s="48">
        <v>1</v>
      </c>
      <c r="N1239" s="48">
        <v>0</v>
      </c>
      <c r="R1239" s="49"/>
      <c r="S1239" s="181">
        <v>0</v>
      </c>
      <c r="T1239" s="49">
        <v>52262</v>
      </c>
      <c r="U1239" s="49">
        <v>52262</v>
      </c>
      <c r="V1239" s="49">
        <v>52262</v>
      </c>
      <c r="W1239" s="49">
        <v>52262</v>
      </c>
      <c r="X1239" s="48">
        <v>1</v>
      </c>
      <c r="Y1239" s="48">
        <v>1</v>
      </c>
      <c r="Z1239" s="48">
        <v>1</v>
      </c>
      <c r="AA1239" s="156">
        <v>0</v>
      </c>
      <c r="AF1239" s="48">
        <v>0</v>
      </c>
      <c r="AG1239" s="49" t="s">
        <v>32</v>
      </c>
      <c r="AH1239" s="48">
        <v>1</v>
      </c>
      <c r="AI1239" s="48" t="s">
        <v>33</v>
      </c>
      <c r="AJ1239" s="48" t="s">
        <v>33</v>
      </c>
      <c r="AK1239" s="48" t="s">
        <v>33</v>
      </c>
      <c r="AL1239" s="48" t="s">
        <v>34</v>
      </c>
      <c r="AN1239" s="48">
        <v>0</v>
      </c>
      <c r="AO1239" s="48">
        <v>0</v>
      </c>
      <c r="AP1239" s="48">
        <v>0</v>
      </c>
      <c r="AQ1239" s="48">
        <v>0</v>
      </c>
      <c r="AR1239" s="48">
        <v>0</v>
      </c>
      <c r="AS1239" s="48">
        <v>0</v>
      </c>
      <c r="AT1239" s="48">
        <v>0</v>
      </c>
      <c r="AU1239" s="48">
        <v>0</v>
      </c>
      <c r="AV1239" s="48">
        <v>0</v>
      </c>
      <c r="AW1239" s="48">
        <v>0</v>
      </c>
      <c r="AX1239" s="48">
        <v>0</v>
      </c>
      <c r="AY1239" s="48">
        <v>0</v>
      </c>
      <c r="AZ1239" s="48">
        <v>0</v>
      </c>
      <c r="BA1239" s="48">
        <v>0</v>
      </c>
      <c r="BB1239" s="48">
        <v>0</v>
      </c>
    </row>
    <row r="1240" spans="1:54" x14ac:dyDescent="0.35">
      <c r="A1240" s="49">
        <v>45930</v>
      </c>
      <c r="B1240" s="48">
        <v>1</v>
      </c>
      <c r="C1240" s="50" t="s">
        <v>32</v>
      </c>
      <c r="D1240" s="48" t="s">
        <v>31</v>
      </c>
      <c r="E1240" s="48" t="s">
        <v>138</v>
      </c>
      <c r="F1240" s="48" t="s">
        <v>139</v>
      </c>
      <c r="G1240" s="49" t="s">
        <v>64</v>
      </c>
      <c r="H1240" s="48" t="s">
        <v>64</v>
      </c>
      <c r="I1240" s="48">
        <v>1</v>
      </c>
      <c r="J1240" s="48">
        <v>209</v>
      </c>
      <c r="K1240" s="48">
        <v>1</v>
      </c>
      <c r="N1240" s="48">
        <v>0</v>
      </c>
      <c r="R1240" s="49"/>
      <c r="S1240" s="181">
        <v>0</v>
      </c>
      <c r="T1240" s="49">
        <v>52290</v>
      </c>
      <c r="U1240" s="49">
        <v>52290</v>
      </c>
      <c r="V1240" s="49">
        <v>52290</v>
      </c>
      <c r="W1240" s="49">
        <v>52290</v>
      </c>
      <c r="X1240" s="48">
        <v>1</v>
      </c>
      <c r="Y1240" s="48">
        <v>1</v>
      </c>
      <c r="Z1240" s="48">
        <v>1</v>
      </c>
      <c r="AA1240" s="156">
        <v>0</v>
      </c>
      <c r="AF1240" s="48">
        <v>0</v>
      </c>
      <c r="AG1240" s="49" t="s">
        <v>32</v>
      </c>
      <c r="AH1240" s="48">
        <v>1</v>
      </c>
      <c r="AI1240" s="48" t="s">
        <v>33</v>
      </c>
      <c r="AJ1240" s="48" t="s">
        <v>33</v>
      </c>
      <c r="AK1240" s="48" t="s">
        <v>33</v>
      </c>
      <c r="AL1240" s="48" t="s">
        <v>34</v>
      </c>
      <c r="AN1240" s="48">
        <v>0</v>
      </c>
      <c r="AO1240" s="48">
        <v>0</v>
      </c>
      <c r="AP1240" s="48">
        <v>0</v>
      </c>
      <c r="AQ1240" s="48">
        <v>0</v>
      </c>
      <c r="AR1240" s="48">
        <v>0</v>
      </c>
      <c r="AS1240" s="48">
        <v>0</v>
      </c>
      <c r="AT1240" s="48">
        <v>0</v>
      </c>
      <c r="AU1240" s="48">
        <v>0</v>
      </c>
      <c r="AV1240" s="48">
        <v>0</v>
      </c>
      <c r="AW1240" s="48">
        <v>0</v>
      </c>
      <c r="AX1240" s="48">
        <v>0</v>
      </c>
      <c r="AY1240" s="48">
        <v>0</v>
      </c>
      <c r="AZ1240" s="48">
        <v>0</v>
      </c>
      <c r="BA1240" s="48">
        <v>0</v>
      </c>
      <c r="BB1240" s="48">
        <v>0</v>
      </c>
    </row>
    <row r="1241" spans="1:54" x14ac:dyDescent="0.35">
      <c r="A1241" s="49">
        <v>45930</v>
      </c>
      <c r="B1241" s="48">
        <v>1</v>
      </c>
      <c r="C1241" s="50" t="s">
        <v>32</v>
      </c>
      <c r="D1241" s="48" t="s">
        <v>31</v>
      </c>
      <c r="E1241" s="48" t="s">
        <v>138</v>
      </c>
      <c r="F1241" s="48" t="s">
        <v>139</v>
      </c>
      <c r="G1241" s="49" t="s">
        <v>64</v>
      </c>
      <c r="H1241" s="48" t="s">
        <v>64</v>
      </c>
      <c r="I1241" s="48">
        <v>1</v>
      </c>
      <c r="J1241" s="48">
        <v>210</v>
      </c>
      <c r="K1241" s="48">
        <v>1</v>
      </c>
      <c r="N1241" s="48">
        <v>0</v>
      </c>
      <c r="R1241" s="49"/>
      <c r="S1241" s="181">
        <v>0</v>
      </c>
      <c r="T1241" s="49">
        <v>52321</v>
      </c>
      <c r="U1241" s="49">
        <v>52321</v>
      </c>
      <c r="V1241" s="49">
        <v>52321</v>
      </c>
      <c r="W1241" s="49">
        <v>52321</v>
      </c>
      <c r="X1241" s="48">
        <v>1</v>
      </c>
      <c r="Y1241" s="48">
        <v>1</v>
      </c>
      <c r="Z1241" s="48">
        <v>1</v>
      </c>
      <c r="AA1241" s="156">
        <v>0</v>
      </c>
      <c r="AF1241" s="48">
        <v>0</v>
      </c>
      <c r="AG1241" s="49" t="s">
        <v>32</v>
      </c>
      <c r="AH1241" s="48">
        <v>1</v>
      </c>
      <c r="AI1241" s="48" t="s">
        <v>33</v>
      </c>
      <c r="AJ1241" s="48" t="s">
        <v>33</v>
      </c>
      <c r="AK1241" s="48" t="s">
        <v>33</v>
      </c>
      <c r="AL1241" s="48" t="s">
        <v>34</v>
      </c>
      <c r="AN1241" s="48">
        <v>0</v>
      </c>
      <c r="AO1241" s="48">
        <v>0</v>
      </c>
      <c r="AP1241" s="48">
        <v>0</v>
      </c>
      <c r="AQ1241" s="48">
        <v>0</v>
      </c>
      <c r="AR1241" s="48">
        <v>0</v>
      </c>
      <c r="AS1241" s="48">
        <v>0</v>
      </c>
      <c r="AT1241" s="48">
        <v>0</v>
      </c>
      <c r="AU1241" s="48">
        <v>0</v>
      </c>
      <c r="AV1241" s="48">
        <v>0</v>
      </c>
      <c r="AW1241" s="48">
        <v>0</v>
      </c>
      <c r="AX1241" s="48">
        <v>0</v>
      </c>
      <c r="AY1241" s="48">
        <v>0</v>
      </c>
      <c r="AZ1241" s="48">
        <v>0</v>
      </c>
      <c r="BA1241" s="48">
        <v>0</v>
      </c>
      <c r="BB1241" s="48">
        <v>0</v>
      </c>
    </row>
    <row r="1242" spans="1:54" x14ac:dyDescent="0.35">
      <c r="A1242" s="49">
        <v>45930</v>
      </c>
      <c r="B1242" s="48">
        <v>1</v>
      </c>
      <c r="C1242" s="50" t="s">
        <v>32</v>
      </c>
      <c r="D1242" s="48" t="s">
        <v>31</v>
      </c>
      <c r="E1242" s="48" t="s">
        <v>138</v>
      </c>
      <c r="F1242" s="48" t="s">
        <v>139</v>
      </c>
      <c r="G1242" s="49" t="s">
        <v>64</v>
      </c>
      <c r="H1242" s="48" t="s">
        <v>64</v>
      </c>
      <c r="I1242" s="48">
        <v>1</v>
      </c>
      <c r="J1242" s="48">
        <v>211</v>
      </c>
      <c r="K1242" s="48">
        <v>1</v>
      </c>
      <c r="N1242" s="48">
        <v>0</v>
      </c>
      <c r="R1242" s="49"/>
      <c r="S1242" s="181">
        <v>0</v>
      </c>
      <c r="T1242" s="49">
        <v>52351</v>
      </c>
      <c r="U1242" s="49">
        <v>52351</v>
      </c>
      <c r="V1242" s="49">
        <v>52351</v>
      </c>
      <c r="W1242" s="49">
        <v>52351</v>
      </c>
      <c r="X1242" s="48">
        <v>1</v>
      </c>
      <c r="Y1242" s="48">
        <v>1</v>
      </c>
      <c r="Z1242" s="48">
        <v>1</v>
      </c>
      <c r="AA1242" s="156">
        <v>0</v>
      </c>
      <c r="AF1242" s="48">
        <v>0</v>
      </c>
      <c r="AG1242" s="49" t="s">
        <v>32</v>
      </c>
      <c r="AH1242" s="48">
        <v>1</v>
      </c>
      <c r="AI1242" s="48" t="s">
        <v>33</v>
      </c>
      <c r="AJ1242" s="48" t="s">
        <v>33</v>
      </c>
      <c r="AK1242" s="48" t="s">
        <v>33</v>
      </c>
      <c r="AL1242" s="48" t="s">
        <v>34</v>
      </c>
      <c r="AN1242" s="48">
        <v>0</v>
      </c>
      <c r="AO1242" s="48">
        <v>0</v>
      </c>
      <c r="AP1242" s="48">
        <v>0</v>
      </c>
      <c r="AQ1242" s="48">
        <v>0</v>
      </c>
      <c r="AR1242" s="48">
        <v>0</v>
      </c>
      <c r="AS1242" s="48">
        <v>0</v>
      </c>
      <c r="AT1242" s="48">
        <v>0</v>
      </c>
      <c r="AU1242" s="48">
        <v>0</v>
      </c>
      <c r="AV1242" s="48">
        <v>0</v>
      </c>
      <c r="AW1242" s="48">
        <v>0</v>
      </c>
      <c r="AX1242" s="48">
        <v>0</v>
      </c>
      <c r="AY1242" s="48">
        <v>0</v>
      </c>
      <c r="AZ1242" s="48">
        <v>0</v>
      </c>
      <c r="BA1242" s="48">
        <v>0</v>
      </c>
      <c r="BB1242" s="48">
        <v>0</v>
      </c>
    </row>
    <row r="1243" spans="1:54" x14ac:dyDescent="0.35">
      <c r="A1243" s="49">
        <v>45930</v>
      </c>
      <c r="B1243" s="48">
        <v>1</v>
      </c>
      <c r="C1243" s="50" t="s">
        <v>32</v>
      </c>
      <c r="D1243" s="48" t="s">
        <v>31</v>
      </c>
      <c r="E1243" s="48" t="s">
        <v>138</v>
      </c>
      <c r="F1243" s="48" t="s">
        <v>139</v>
      </c>
      <c r="G1243" s="49" t="s">
        <v>64</v>
      </c>
      <c r="H1243" s="48" t="s">
        <v>64</v>
      </c>
      <c r="I1243" s="48">
        <v>1</v>
      </c>
      <c r="J1243" s="48">
        <v>212</v>
      </c>
      <c r="K1243" s="48">
        <v>1</v>
      </c>
      <c r="N1243" s="48">
        <v>0</v>
      </c>
      <c r="R1243" s="49"/>
      <c r="S1243" s="181">
        <v>0</v>
      </c>
      <c r="T1243" s="49">
        <v>52382</v>
      </c>
      <c r="U1243" s="49">
        <v>52382</v>
      </c>
      <c r="V1243" s="49">
        <v>52382</v>
      </c>
      <c r="W1243" s="49">
        <v>52382</v>
      </c>
      <c r="X1243" s="48">
        <v>1</v>
      </c>
      <c r="Y1243" s="48">
        <v>1</v>
      </c>
      <c r="Z1243" s="48">
        <v>1</v>
      </c>
      <c r="AA1243" s="156">
        <v>0</v>
      </c>
      <c r="AF1243" s="48">
        <v>0</v>
      </c>
      <c r="AG1243" s="49" t="s">
        <v>32</v>
      </c>
      <c r="AH1243" s="48">
        <v>1</v>
      </c>
      <c r="AI1243" s="48" t="s">
        <v>33</v>
      </c>
      <c r="AJ1243" s="48" t="s">
        <v>33</v>
      </c>
      <c r="AK1243" s="48" t="s">
        <v>33</v>
      </c>
      <c r="AL1243" s="48" t="s">
        <v>34</v>
      </c>
      <c r="AN1243" s="48">
        <v>0</v>
      </c>
      <c r="AO1243" s="48">
        <v>0</v>
      </c>
      <c r="AP1243" s="48">
        <v>0</v>
      </c>
      <c r="AQ1243" s="48">
        <v>0</v>
      </c>
      <c r="AR1243" s="48">
        <v>0</v>
      </c>
      <c r="AS1243" s="48">
        <v>0</v>
      </c>
      <c r="AT1243" s="48">
        <v>0</v>
      </c>
      <c r="AU1243" s="48">
        <v>0</v>
      </c>
      <c r="AV1243" s="48">
        <v>0</v>
      </c>
      <c r="AW1243" s="48">
        <v>0</v>
      </c>
      <c r="AX1243" s="48">
        <v>0</v>
      </c>
      <c r="AY1243" s="48">
        <v>0</v>
      </c>
      <c r="AZ1243" s="48">
        <v>0</v>
      </c>
      <c r="BA1243" s="48">
        <v>0</v>
      </c>
      <c r="BB1243" s="48">
        <v>0</v>
      </c>
    </row>
    <row r="1244" spans="1:54" x14ac:dyDescent="0.35">
      <c r="A1244" s="49">
        <v>45930</v>
      </c>
      <c r="B1244" s="48">
        <v>1</v>
      </c>
      <c r="C1244" s="50" t="s">
        <v>32</v>
      </c>
      <c r="D1244" s="48" t="s">
        <v>31</v>
      </c>
      <c r="E1244" s="48" t="s">
        <v>138</v>
      </c>
      <c r="F1244" s="48" t="s">
        <v>139</v>
      </c>
      <c r="G1244" s="49" t="s">
        <v>64</v>
      </c>
      <c r="H1244" s="48" t="s">
        <v>64</v>
      </c>
      <c r="I1244" s="48">
        <v>1</v>
      </c>
      <c r="J1244" s="48">
        <v>213</v>
      </c>
      <c r="K1244" s="48">
        <v>1</v>
      </c>
      <c r="N1244" s="48">
        <v>0</v>
      </c>
      <c r="R1244" s="49"/>
      <c r="S1244" s="181">
        <v>0</v>
      </c>
      <c r="T1244" s="49">
        <v>52412</v>
      </c>
      <c r="U1244" s="49">
        <v>52412</v>
      </c>
      <c r="V1244" s="49">
        <v>52412</v>
      </c>
      <c r="W1244" s="49">
        <v>52412</v>
      </c>
      <c r="X1244" s="48">
        <v>1</v>
      </c>
      <c r="Y1244" s="48">
        <v>1</v>
      </c>
      <c r="Z1244" s="48">
        <v>1</v>
      </c>
      <c r="AA1244" s="156">
        <v>0</v>
      </c>
      <c r="AF1244" s="48">
        <v>0</v>
      </c>
      <c r="AG1244" s="49" t="s">
        <v>32</v>
      </c>
      <c r="AH1244" s="48">
        <v>1</v>
      </c>
      <c r="AI1244" s="48" t="s">
        <v>33</v>
      </c>
      <c r="AJ1244" s="48" t="s">
        <v>33</v>
      </c>
      <c r="AK1244" s="48" t="s">
        <v>33</v>
      </c>
      <c r="AL1244" s="48" t="s">
        <v>34</v>
      </c>
      <c r="AN1244" s="48">
        <v>0</v>
      </c>
      <c r="AO1244" s="48">
        <v>0</v>
      </c>
      <c r="AP1244" s="48">
        <v>0</v>
      </c>
      <c r="AQ1244" s="48">
        <v>0</v>
      </c>
      <c r="AR1244" s="48">
        <v>0</v>
      </c>
      <c r="AS1244" s="48">
        <v>0</v>
      </c>
      <c r="AT1244" s="48">
        <v>0</v>
      </c>
      <c r="AU1244" s="48">
        <v>0</v>
      </c>
      <c r="AV1244" s="48">
        <v>0</v>
      </c>
      <c r="AW1244" s="48">
        <v>0</v>
      </c>
      <c r="AX1244" s="48">
        <v>0</v>
      </c>
      <c r="AY1244" s="48">
        <v>0</v>
      </c>
      <c r="AZ1244" s="48">
        <v>0</v>
      </c>
      <c r="BA1244" s="48">
        <v>0</v>
      </c>
      <c r="BB1244" s="48">
        <v>0</v>
      </c>
    </row>
    <row r="1245" spans="1:54" x14ac:dyDescent="0.35">
      <c r="A1245" s="49">
        <v>45930</v>
      </c>
      <c r="B1245" s="48">
        <v>1</v>
      </c>
      <c r="C1245" s="50" t="s">
        <v>32</v>
      </c>
      <c r="D1245" s="48" t="s">
        <v>31</v>
      </c>
      <c r="E1245" s="48" t="s">
        <v>138</v>
      </c>
      <c r="F1245" s="48" t="s">
        <v>139</v>
      </c>
      <c r="G1245" s="49" t="s">
        <v>64</v>
      </c>
      <c r="H1245" s="48" t="s">
        <v>64</v>
      </c>
      <c r="I1245" s="48">
        <v>1</v>
      </c>
      <c r="J1245" s="48">
        <v>214</v>
      </c>
      <c r="K1245" s="48">
        <v>1</v>
      </c>
      <c r="N1245" s="48">
        <v>0</v>
      </c>
      <c r="R1245" s="49"/>
      <c r="S1245" s="181">
        <v>0</v>
      </c>
      <c r="T1245" s="49">
        <v>52443</v>
      </c>
      <c r="U1245" s="49">
        <v>52443</v>
      </c>
      <c r="V1245" s="49">
        <v>52443</v>
      </c>
      <c r="W1245" s="49">
        <v>52443</v>
      </c>
      <c r="X1245" s="48">
        <v>1</v>
      </c>
      <c r="Y1245" s="48">
        <v>1</v>
      </c>
      <c r="Z1245" s="48">
        <v>1</v>
      </c>
      <c r="AA1245" s="156">
        <v>0</v>
      </c>
      <c r="AF1245" s="48">
        <v>0</v>
      </c>
      <c r="AG1245" s="49" t="s">
        <v>32</v>
      </c>
      <c r="AH1245" s="48">
        <v>1</v>
      </c>
      <c r="AI1245" s="48" t="s">
        <v>33</v>
      </c>
      <c r="AJ1245" s="48" t="s">
        <v>33</v>
      </c>
      <c r="AK1245" s="48" t="s">
        <v>33</v>
      </c>
      <c r="AL1245" s="48" t="s">
        <v>34</v>
      </c>
      <c r="AN1245" s="48">
        <v>0</v>
      </c>
      <c r="AO1245" s="48">
        <v>0</v>
      </c>
      <c r="AP1245" s="48">
        <v>0</v>
      </c>
      <c r="AQ1245" s="48">
        <v>0</v>
      </c>
      <c r="AR1245" s="48">
        <v>0</v>
      </c>
      <c r="AS1245" s="48">
        <v>0</v>
      </c>
      <c r="AT1245" s="48">
        <v>0</v>
      </c>
      <c r="AU1245" s="48">
        <v>0</v>
      </c>
      <c r="AV1245" s="48">
        <v>0</v>
      </c>
      <c r="AW1245" s="48">
        <v>0</v>
      </c>
      <c r="AX1245" s="48">
        <v>0</v>
      </c>
      <c r="AY1245" s="48">
        <v>0</v>
      </c>
      <c r="AZ1245" s="48">
        <v>0</v>
      </c>
      <c r="BA1245" s="48">
        <v>0</v>
      </c>
      <c r="BB1245" s="48">
        <v>0</v>
      </c>
    </row>
    <row r="1246" spans="1:54" x14ac:dyDescent="0.35">
      <c r="A1246" s="49">
        <v>45930</v>
      </c>
      <c r="B1246" s="48">
        <v>1</v>
      </c>
      <c r="C1246" s="50" t="s">
        <v>32</v>
      </c>
      <c r="D1246" s="48" t="s">
        <v>31</v>
      </c>
      <c r="E1246" s="48" t="s">
        <v>138</v>
      </c>
      <c r="F1246" s="48" t="s">
        <v>139</v>
      </c>
      <c r="G1246" s="49" t="s">
        <v>64</v>
      </c>
      <c r="H1246" s="48" t="s">
        <v>64</v>
      </c>
      <c r="I1246" s="48">
        <v>1</v>
      </c>
      <c r="J1246" s="48">
        <v>215</v>
      </c>
      <c r="K1246" s="48">
        <v>1</v>
      </c>
      <c r="N1246" s="48">
        <v>0</v>
      </c>
      <c r="R1246" s="49"/>
      <c r="S1246" s="181">
        <v>0</v>
      </c>
      <c r="T1246" s="49">
        <v>52474</v>
      </c>
      <c r="U1246" s="49">
        <v>52474</v>
      </c>
      <c r="V1246" s="49">
        <v>52474</v>
      </c>
      <c r="W1246" s="49">
        <v>52474</v>
      </c>
      <c r="X1246" s="48">
        <v>1</v>
      </c>
      <c r="Y1246" s="48">
        <v>1</v>
      </c>
      <c r="Z1246" s="48">
        <v>1</v>
      </c>
      <c r="AA1246" s="156">
        <v>0</v>
      </c>
      <c r="AF1246" s="48">
        <v>0</v>
      </c>
      <c r="AG1246" s="49" t="s">
        <v>32</v>
      </c>
      <c r="AH1246" s="48">
        <v>1</v>
      </c>
      <c r="AI1246" s="48" t="s">
        <v>33</v>
      </c>
      <c r="AJ1246" s="48" t="s">
        <v>33</v>
      </c>
      <c r="AK1246" s="48" t="s">
        <v>33</v>
      </c>
      <c r="AL1246" s="48" t="s">
        <v>34</v>
      </c>
      <c r="AN1246" s="48">
        <v>0</v>
      </c>
      <c r="AO1246" s="48">
        <v>0</v>
      </c>
      <c r="AP1246" s="48">
        <v>0</v>
      </c>
      <c r="AQ1246" s="48">
        <v>0</v>
      </c>
      <c r="AR1246" s="48">
        <v>0</v>
      </c>
      <c r="AS1246" s="48">
        <v>0</v>
      </c>
      <c r="AT1246" s="48">
        <v>0</v>
      </c>
      <c r="AU1246" s="48">
        <v>0</v>
      </c>
      <c r="AV1246" s="48">
        <v>0</v>
      </c>
      <c r="AW1246" s="48">
        <v>0</v>
      </c>
      <c r="AX1246" s="48">
        <v>0</v>
      </c>
      <c r="AY1246" s="48">
        <v>0</v>
      </c>
      <c r="AZ1246" s="48">
        <v>0</v>
      </c>
      <c r="BA1246" s="48">
        <v>0</v>
      </c>
      <c r="BB1246" s="48">
        <v>0</v>
      </c>
    </row>
    <row r="1247" spans="1:54" x14ac:dyDescent="0.35">
      <c r="A1247" s="49">
        <v>45930</v>
      </c>
      <c r="B1247" s="48">
        <v>1</v>
      </c>
      <c r="C1247" s="50" t="s">
        <v>41</v>
      </c>
      <c r="D1247" s="48" t="s">
        <v>31</v>
      </c>
      <c r="E1247" s="48" t="s">
        <v>138</v>
      </c>
      <c r="F1247" s="48" t="s">
        <v>139</v>
      </c>
      <c r="G1247" s="49" t="s">
        <v>180</v>
      </c>
      <c r="H1247" s="48" t="s">
        <v>183</v>
      </c>
      <c r="I1247" s="48">
        <v>1</v>
      </c>
      <c r="K1247" s="48">
        <v>1</v>
      </c>
      <c r="N1247" s="48">
        <v>0</v>
      </c>
      <c r="R1247" s="49"/>
      <c r="S1247" s="49"/>
      <c r="T1247" s="49">
        <v>45931</v>
      </c>
      <c r="U1247" s="49">
        <v>45931</v>
      </c>
      <c r="V1247" s="49">
        <v>45931</v>
      </c>
      <c r="W1247" s="49">
        <v>45931</v>
      </c>
      <c r="X1247" s="48">
        <v>1</v>
      </c>
      <c r="Y1247" s="48">
        <v>1</v>
      </c>
      <c r="Z1247" s="48">
        <v>1</v>
      </c>
      <c r="AA1247" s="156">
        <v>0</v>
      </c>
      <c r="AF1247" s="48">
        <v>0</v>
      </c>
      <c r="AG1247" s="49" t="s">
        <v>41</v>
      </c>
      <c r="AH1247" s="48">
        <v>1</v>
      </c>
      <c r="AI1247" s="48" t="s">
        <v>33</v>
      </c>
      <c r="AJ1247" s="48" t="s">
        <v>33</v>
      </c>
      <c r="AK1247" s="48" t="s">
        <v>33</v>
      </c>
      <c r="AL1247" s="48" t="s">
        <v>34</v>
      </c>
      <c r="AN1247" s="48">
        <v>0</v>
      </c>
      <c r="AO1247" s="48">
        <v>0</v>
      </c>
      <c r="AP1247" s="48">
        <v>0</v>
      </c>
      <c r="AQ1247" s="48">
        <v>0</v>
      </c>
      <c r="AR1247" s="48">
        <v>0</v>
      </c>
      <c r="AS1247" s="48">
        <v>0</v>
      </c>
      <c r="AT1247" s="48">
        <v>0</v>
      </c>
      <c r="AU1247" s="48">
        <v>0</v>
      </c>
      <c r="AV1247" s="48">
        <v>0</v>
      </c>
      <c r="AW1247" s="48">
        <v>0</v>
      </c>
      <c r="AX1247" s="48">
        <v>0</v>
      </c>
      <c r="AY1247" s="48">
        <v>0</v>
      </c>
      <c r="AZ1247" s="48">
        <v>0</v>
      </c>
      <c r="BA1247" s="48">
        <v>0</v>
      </c>
      <c r="BB1247" s="48">
        <v>0</v>
      </c>
    </row>
    <row r="1248" spans="1:54" x14ac:dyDescent="0.35">
      <c r="A1248" s="49">
        <v>45930</v>
      </c>
      <c r="B1248" s="48">
        <v>1</v>
      </c>
      <c r="C1248" s="50" t="s">
        <v>41</v>
      </c>
      <c r="D1248" s="48" t="s">
        <v>31</v>
      </c>
      <c r="E1248" s="48" t="s">
        <v>138</v>
      </c>
      <c r="F1248" s="48" t="s">
        <v>139</v>
      </c>
      <c r="G1248" s="49" t="s">
        <v>180</v>
      </c>
      <c r="H1248" s="48" t="s">
        <v>182</v>
      </c>
      <c r="I1248" s="48">
        <v>1</v>
      </c>
      <c r="K1248" s="48">
        <v>1</v>
      </c>
      <c r="N1248" s="48">
        <v>0</v>
      </c>
      <c r="R1248" s="49"/>
      <c r="S1248" s="49"/>
      <c r="T1248" s="49">
        <v>45931</v>
      </c>
      <c r="U1248" s="49">
        <v>45931</v>
      </c>
      <c r="V1248" s="49">
        <v>45931</v>
      </c>
      <c r="W1248" s="49">
        <v>45931</v>
      </c>
      <c r="X1248" s="48">
        <v>1</v>
      </c>
      <c r="Y1248" s="48">
        <v>1</v>
      </c>
      <c r="Z1248" s="48">
        <v>1</v>
      </c>
      <c r="AA1248" s="156">
        <v>462770337877</v>
      </c>
      <c r="AF1248" s="48">
        <v>0</v>
      </c>
      <c r="AG1248" s="49" t="s">
        <v>41</v>
      </c>
      <c r="AH1248" s="48">
        <v>1</v>
      </c>
      <c r="AI1248" s="48" t="s">
        <v>33</v>
      </c>
      <c r="AJ1248" s="48" t="s">
        <v>33</v>
      </c>
      <c r="AK1248" s="48" t="s">
        <v>33</v>
      </c>
      <c r="AL1248" s="48" t="s">
        <v>34</v>
      </c>
      <c r="AN1248" s="48">
        <v>0</v>
      </c>
      <c r="AO1248" s="48">
        <v>0</v>
      </c>
      <c r="AP1248" s="48">
        <v>0</v>
      </c>
      <c r="AQ1248" s="48">
        <v>0</v>
      </c>
      <c r="AR1248" s="48">
        <v>0</v>
      </c>
      <c r="AS1248" s="48">
        <v>0</v>
      </c>
      <c r="AT1248" s="48">
        <v>0</v>
      </c>
      <c r="AU1248" s="48">
        <v>0</v>
      </c>
      <c r="AV1248" s="48">
        <v>0</v>
      </c>
      <c r="AW1248" s="48">
        <v>0</v>
      </c>
      <c r="AX1248" s="48">
        <v>0</v>
      </c>
      <c r="AY1248" s="48">
        <v>0</v>
      </c>
      <c r="AZ1248" s="48">
        <v>0</v>
      </c>
      <c r="BA1248" s="48">
        <v>0</v>
      </c>
      <c r="BB1248" s="48">
        <v>0</v>
      </c>
    </row>
    <row r="1249" spans="1:54" x14ac:dyDescent="0.35">
      <c r="A1249" s="49">
        <v>45930</v>
      </c>
      <c r="B1249" s="48">
        <v>1</v>
      </c>
      <c r="C1249" s="50" t="s">
        <v>41</v>
      </c>
      <c r="D1249" s="48" t="s">
        <v>31</v>
      </c>
      <c r="E1249" s="48" t="s">
        <v>138</v>
      </c>
      <c r="F1249" s="48" t="s">
        <v>139</v>
      </c>
      <c r="G1249" s="49" t="s">
        <v>180</v>
      </c>
      <c r="H1249" s="48" t="s">
        <v>181</v>
      </c>
      <c r="I1249" s="48">
        <v>1</v>
      </c>
      <c r="J1249" s="48">
        <v>1</v>
      </c>
      <c r="K1249" s="48">
        <v>1</v>
      </c>
      <c r="N1249" s="48">
        <v>0</v>
      </c>
      <c r="R1249" s="49"/>
      <c r="S1249" s="49"/>
      <c r="T1249" s="49">
        <v>45961</v>
      </c>
      <c r="U1249" s="49">
        <v>45961</v>
      </c>
      <c r="V1249" s="49">
        <v>45961</v>
      </c>
      <c r="W1249" s="49">
        <v>45961</v>
      </c>
      <c r="X1249" s="48">
        <v>1</v>
      </c>
      <c r="Y1249" s="48">
        <v>1</v>
      </c>
      <c r="Z1249" s="48">
        <v>1</v>
      </c>
      <c r="AA1249" s="156">
        <v>9219591977.6462402</v>
      </c>
      <c r="AF1249" s="48">
        <v>0</v>
      </c>
      <c r="AG1249" s="49" t="s">
        <v>41</v>
      </c>
      <c r="AH1249" s="48">
        <v>1</v>
      </c>
      <c r="AI1249" s="48" t="s">
        <v>33</v>
      </c>
      <c r="AJ1249" s="48" t="s">
        <v>33</v>
      </c>
      <c r="AK1249" s="48" t="s">
        <v>33</v>
      </c>
      <c r="AL1249" s="48" t="s">
        <v>34</v>
      </c>
      <c r="AN1249" s="48">
        <v>0</v>
      </c>
      <c r="AO1249" s="48">
        <v>0</v>
      </c>
      <c r="AP1249" s="48">
        <v>0</v>
      </c>
      <c r="AQ1249" s="48">
        <v>0</v>
      </c>
      <c r="AR1249" s="48">
        <v>0</v>
      </c>
      <c r="AS1249" s="48">
        <v>0</v>
      </c>
      <c r="AT1249" s="48">
        <v>0</v>
      </c>
      <c r="AU1249" s="48">
        <v>0</v>
      </c>
      <c r="AV1249" s="48">
        <v>0</v>
      </c>
      <c r="AW1249" s="48">
        <v>0</v>
      </c>
      <c r="AX1249" s="48">
        <v>0</v>
      </c>
      <c r="AY1249" s="48">
        <v>0</v>
      </c>
      <c r="AZ1249" s="48">
        <v>0</v>
      </c>
      <c r="BA1249" s="48">
        <v>0</v>
      </c>
      <c r="BB1249" s="48">
        <v>0</v>
      </c>
    </row>
    <row r="1250" spans="1:54" x14ac:dyDescent="0.35">
      <c r="A1250" s="49">
        <v>45930</v>
      </c>
      <c r="B1250" s="48">
        <v>1</v>
      </c>
      <c r="C1250" s="50" t="s">
        <v>41</v>
      </c>
      <c r="D1250" s="48" t="s">
        <v>31</v>
      </c>
      <c r="E1250" s="48" t="s">
        <v>138</v>
      </c>
      <c r="F1250" s="48" t="s">
        <v>139</v>
      </c>
      <c r="G1250" s="49" t="s">
        <v>180</v>
      </c>
      <c r="H1250" s="48" t="s">
        <v>181</v>
      </c>
      <c r="I1250" s="48">
        <v>1</v>
      </c>
      <c r="J1250" s="48">
        <v>2</v>
      </c>
      <c r="K1250" s="48">
        <v>1</v>
      </c>
      <c r="N1250" s="48">
        <v>0</v>
      </c>
      <c r="R1250" s="49"/>
      <c r="S1250" s="49"/>
      <c r="T1250" s="49">
        <v>45991</v>
      </c>
      <c r="U1250" s="49">
        <v>45991</v>
      </c>
      <c r="V1250" s="49">
        <v>45991</v>
      </c>
      <c r="W1250" s="49">
        <v>45991</v>
      </c>
      <c r="X1250" s="48">
        <v>1</v>
      </c>
      <c r="Y1250" s="48">
        <v>1</v>
      </c>
      <c r="Z1250" s="48">
        <v>1</v>
      </c>
      <c r="AA1250" s="156">
        <v>9130594272.1499023</v>
      </c>
      <c r="AF1250" s="48">
        <v>0</v>
      </c>
      <c r="AG1250" s="49" t="s">
        <v>41</v>
      </c>
      <c r="AH1250" s="48">
        <v>1</v>
      </c>
      <c r="AI1250" s="48" t="s">
        <v>33</v>
      </c>
      <c r="AJ1250" s="48" t="s">
        <v>33</v>
      </c>
      <c r="AK1250" s="48" t="s">
        <v>33</v>
      </c>
      <c r="AL1250" s="48" t="s">
        <v>34</v>
      </c>
      <c r="AN1250" s="48">
        <v>0</v>
      </c>
      <c r="AO1250" s="48">
        <v>0</v>
      </c>
      <c r="AP1250" s="48">
        <v>0</v>
      </c>
      <c r="AQ1250" s="48">
        <v>0</v>
      </c>
      <c r="AR1250" s="48">
        <v>0</v>
      </c>
      <c r="AS1250" s="48">
        <v>0</v>
      </c>
      <c r="AT1250" s="48">
        <v>0</v>
      </c>
      <c r="AU1250" s="48">
        <v>0</v>
      </c>
      <c r="AV1250" s="48">
        <v>0</v>
      </c>
      <c r="AW1250" s="48">
        <v>0</v>
      </c>
      <c r="AX1250" s="48">
        <v>0</v>
      </c>
      <c r="AY1250" s="48">
        <v>0</v>
      </c>
      <c r="AZ1250" s="48">
        <v>0</v>
      </c>
      <c r="BA1250" s="48">
        <v>0</v>
      </c>
      <c r="BB1250" s="48">
        <v>0</v>
      </c>
    </row>
    <row r="1251" spans="1:54" x14ac:dyDescent="0.35">
      <c r="A1251" s="49">
        <v>45930</v>
      </c>
      <c r="B1251" s="48">
        <v>1</v>
      </c>
      <c r="C1251" s="50" t="s">
        <v>41</v>
      </c>
      <c r="D1251" s="48" t="s">
        <v>31</v>
      </c>
      <c r="E1251" s="48" t="s">
        <v>138</v>
      </c>
      <c r="F1251" s="48" t="s">
        <v>139</v>
      </c>
      <c r="G1251" s="49" t="s">
        <v>180</v>
      </c>
      <c r="H1251" s="48" t="s">
        <v>181</v>
      </c>
      <c r="I1251" s="48">
        <v>1</v>
      </c>
      <c r="J1251" s="48">
        <v>3</v>
      </c>
      <c r="K1251" s="48">
        <v>1</v>
      </c>
      <c r="N1251" s="48">
        <v>0</v>
      </c>
      <c r="R1251" s="49"/>
      <c r="S1251" s="49"/>
      <c r="T1251" s="49">
        <v>46022</v>
      </c>
      <c r="U1251" s="49">
        <v>46022</v>
      </c>
      <c r="V1251" s="49">
        <v>46022</v>
      </c>
      <c r="W1251" s="49">
        <v>46022</v>
      </c>
      <c r="X1251" s="48">
        <v>1</v>
      </c>
      <c r="Y1251" s="48">
        <v>1</v>
      </c>
      <c r="Z1251" s="48">
        <v>1</v>
      </c>
      <c r="AA1251" s="156">
        <v>9042455671.0045166</v>
      </c>
      <c r="AF1251" s="48">
        <v>0</v>
      </c>
      <c r="AG1251" s="49" t="s">
        <v>41</v>
      </c>
      <c r="AH1251" s="48">
        <v>1</v>
      </c>
      <c r="AI1251" s="48" t="s">
        <v>33</v>
      </c>
      <c r="AJ1251" s="48" t="s">
        <v>33</v>
      </c>
      <c r="AK1251" s="48" t="s">
        <v>33</v>
      </c>
      <c r="AL1251" s="48" t="s">
        <v>34</v>
      </c>
      <c r="AN1251" s="48">
        <v>0</v>
      </c>
      <c r="AO1251" s="48">
        <v>0</v>
      </c>
      <c r="AP1251" s="48">
        <v>0</v>
      </c>
      <c r="AQ1251" s="48">
        <v>0</v>
      </c>
      <c r="AR1251" s="48">
        <v>0</v>
      </c>
      <c r="AS1251" s="48">
        <v>0</v>
      </c>
      <c r="AT1251" s="48">
        <v>0</v>
      </c>
      <c r="AU1251" s="48">
        <v>0</v>
      </c>
      <c r="AV1251" s="48">
        <v>0</v>
      </c>
      <c r="AW1251" s="48">
        <v>0</v>
      </c>
      <c r="AX1251" s="48">
        <v>0</v>
      </c>
      <c r="AY1251" s="48">
        <v>0</v>
      </c>
      <c r="AZ1251" s="48">
        <v>0</v>
      </c>
      <c r="BA1251" s="48">
        <v>0</v>
      </c>
      <c r="BB1251" s="48">
        <v>0</v>
      </c>
    </row>
    <row r="1252" spans="1:54" x14ac:dyDescent="0.35">
      <c r="A1252" s="49">
        <v>45930</v>
      </c>
      <c r="B1252" s="48">
        <v>1</v>
      </c>
      <c r="C1252" s="50" t="s">
        <v>41</v>
      </c>
      <c r="D1252" s="48" t="s">
        <v>31</v>
      </c>
      <c r="E1252" s="48" t="s">
        <v>138</v>
      </c>
      <c r="F1252" s="48" t="s">
        <v>139</v>
      </c>
      <c r="G1252" s="49" t="s">
        <v>180</v>
      </c>
      <c r="H1252" s="48" t="s">
        <v>181</v>
      </c>
      <c r="I1252" s="48">
        <v>1</v>
      </c>
      <c r="J1252" s="48">
        <v>4</v>
      </c>
      <c r="K1252" s="48">
        <v>1</v>
      </c>
      <c r="N1252" s="48">
        <v>0</v>
      </c>
      <c r="R1252" s="49"/>
      <c r="S1252" s="49"/>
      <c r="T1252" s="49">
        <v>46053</v>
      </c>
      <c r="U1252" s="49">
        <v>46053</v>
      </c>
      <c r="V1252" s="49">
        <v>46053</v>
      </c>
      <c r="W1252" s="49">
        <v>46053</v>
      </c>
      <c r="X1252" s="48">
        <v>1</v>
      </c>
      <c r="Y1252" s="48">
        <v>1</v>
      </c>
      <c r="Z1252" s="48">
        <v>1</v>
      </c>
      <c r="AA1252" s="156">
        <v>8955167881.1844482</v>
      </c>
      <c r="AF1252" s="48">
        <v>0</v>
      </c>
      <c r="AG1252" s="49" t="s">
        <v>41</v>
      </c>
      <c r="AH1252" s="48">
        <v>1</v>
      </c>
      <c r="AI1252" s="48" t="s">
        <v>33</v>
      </c>
      <c r="AJ1252" s="48" t="s">
        <v>33</v>
      </c>
      <c r="AK1252" s="48" t="s">
        <v>33</v>
      </c>
      <c r="AL1252" s="48" t="s">
        <v>34</v>
      </c>
      <c r="AN1252" s="48">
        <v>0</v>
      </c>
      <c r="AO1252" s="48">
        <v>0</v>
      </c>
      <c r="AP1252" s="48">
        <v>0</v>
      </c>
      <c r="AQ1252" s="48">
        <v>0</v>
      </c>
      <c r="AR1252" s="48">
        <v>0</v>
      </c>
      <c r="AS1252" s="48">
        <v>0</v>
      </c>
      <c r="AT1252" s="48">
        <v>0</v>
      </c>
      <c r="AU1252" s="48">
        <v>0</v>
      </c>
      <c r="AV1252" s="48">
        <v>0</v>
      </c>
      <c r="AW1252" s="48">
        <v>0</v>
      </c>
      <c r="AX1252" s="48">
        <v>0</v>
      </c>
      <c r="AY1252" s="48">
        <v>0</v>
      </c>
      <c r="AZ1252" s="48">
        <v>0</v>
      </c>
      <c r="BA1252" s="48">
        <v>0</v>
      </c>
      <c r="BB1252" s="48">
        <v>0</v>
      </c>
    </row>
    <row r="1253" spans="1:54" x14ac:dyDescent="0.35">
      <c r="A1253" s="49">
        <v>45930</v>
      </c>
      <c r="B1253" s="48">
        <v>1</v>
      </c>
      <c r="C1253" s="50" t="s">
        <v>41</v>
      </c>
      <c r="D1253" s="48" t="s">
        <v>31</v>
      </c>
      <c r="E1253" s="48" t="s">
        <v>138</v>
      </c>
      <c r="F1253" s="48" t="s">
        <v>139</v>
      </c>
      <c r="G1253" s="49" t="s">
        <v>180</v>
      </c>
      <c r="H1253" s="48" t="s">
        <v>181</v>
      </c>
      <c r="I1253" s="48">
        <v>1</v>
      </c>
      <c r="J1253" s="48">
        <v>5</v>
      </c>
      <c r="K1253" s="48">
        <v>1</v>
      </c>
      <c r="N1253" s="48">
        <v>0</v>
      </c>
      <c r="R1253" s="49"/>
      <c r="S1253" s="49"/>
      <c r="T1253" s="49">
        <v>46081</v>
      </c>
      <c r="U1253" s="49">
        <v>46081</v>
      </c>
      <c r="V1253" s="49">
        <v>46081</v>
      </c>
      <c r="W1253" s="49">
        <v>46081</v>
      </c>
      <c r="X1253" s="48">
        <v>1</v>
      </c>
      <c r="Y1253" s="48">
        <v>1</v>
      </c>
      <c r="Z1253" s="48">
        <v>1</v>
      </c>
      <c r="AA1253" s="156">
        <v>8868722689.7167969</v>
      </c>
      <c r="AF1253" s="48">
        <v>0</v>
      </c>
      <c r="AG1253" s="49" t="s">
        <v>41</v>
      </c>
      <c r="AH1253" s="48">
        <v>1</v>
      </c>
      <c r="AI1253" s="48" t="s">
        <v>33</v>
      </c>
      <c r="AJ1253" s="48" t="s">
        <v>33</v>
      </c>
      <c r="AK1253" s="48" t="s">
        <v>33</v>
      </c>
      <c r="AL1253" s="48" t="s">
        <v>34</v>
      </c>
      <c r="AN1253" s="48">
        <v>0</v>
      </c>
      <c r="AO1253" s="48">
        <v>0</v>
      </c>
      <c r="AP1253" s="48">
        <v>0</v>
      </c>
      <c r="AQ1253" s="48">
        <v>0</v>
      </c>
      <c r="AR1253" s="48">
        <v>0</v>
      </c>
      <c r="AS1253" s="48">
        <v>0</v>
      </c>
      <c r="AT1253" s="48">
        <v>0</v>
      </c>
      <c r="AU1253" s="48">
        <v>0</v>
      </c>
      <c r="AV1253" s="48">
        <v>0</v>
      </c>
      <c r="AW1253" s="48">
        <v>0</v>
      </c>
      <c r="AX1253" s="48">
        <v>0</v>
      </c>
      <c r="AY1253" s="48">
        <v>0</v>
      </c>
      <c r="AZ1253" s="48">
        <v>0</v>
      </c>
      <c r="BA1253" s="48">
        <v>0</v>
      </c>
      <c r="BB1253" s="48">
        <v>0</v>
      </c>
    </row>
    <row r="1254" spans="1:54" x14ac:dyDescent="0.35">
      <c r="A1254" s="49">
        <v>45930</v>
      </c>
      <c r="B1254" s="48">
        <v>1</v>
      </c>
      <c r="C1254" s="50" t="s">
        <v>41</v>
      </c>
      <c r="D1254" s="48" t="s">
        <v>31</v>
      </c>
      <c r="E1254" s="48" t="s">
        <v>138</v>
      </c>
      <c r="F1254" s="48" t="s">
        <v>139</v>
      </c>
      <c r="G1254" s="49" t="s">
        <v>180</v>
      </c>
      <c r="H1254" s="48" t="s">
        <v>181</v>
      </c>
      <c r="I1254" s="48">
        <v>1</v>
      </c>
      <c r="J1254" s="48">
        <v>6</v>
      </c>
      <c r="K1254" s="48">
        <v>1</v>
      </c>
      <c r="N1254" s="48">
        <v>0</v>
      </c>
      <c r="R1254" s="49"/>
      <c r="S1254" s="49"/>
      <c r="T1254" s="49">
        <v>46112</v>
      </c>
      <c r="U1254" s="49">
        <v>46112</v>
      </c>
      <c r="V1254" s="49">
        <v>46112</v>
      </c>
      <c r="W1254" s="49">
        <v>46112</v>
      </c>
      <c r="X1254" s="48">
        <v>1</v>
      </c>
      <c r="Y1254" s="48">
        <v>1</v>
      </c>
      <c r="Z1254" s="48">
        <v>1</v>
      </c>
      <c r="AA1254" s="156">
        <v>8783111962.90979</v>
      </c>
      <c r="AF1254" s="48">
        <v>0</v>
      </c>
      <c r="AG1254" s="49" t="s">
        <v>41</v>
      </c>
      <c r="AH1254" s="48">
        <v>1</v>
      </c>
      <c r="AI1254" s="48" t="s">
        <v>33</v>
      </c>
      <c r="AJ1254" s="48" t="s">
        <v>33</v>
      </c>
      <c r="AK1254" s="48" t="s">
        <v>33</v>
      </c>
      <c r="AL1254" s="48" t="s">
        <v>34</v>
      </c>
      <c r="AN1254" s="48">
        <v>0</v>
      </c>
      <c r="AO1254" s="48">
        <v>0</v>
      </c>
      <c r="AP1254" s="48">
        <v>0</v>
      </c>
      <c r="AQ1254" s="48">
        <v>0</v>
      </c>
      <c r="AR1254" s="48">
        <v>0</v>
      </c>
      <c r="AS1254" s="48">
        <v>0</v>
      </c>
      <c r="AT1254" s="48">
        <v>0</v>
      </c>
      <c r="AU1254" s="48">
        <v>0</v>
      </c>
      <c r="AV1254" s="48">
        <v>0</v>
      </c>
      <c r="AW1254" s="48">
        <v>0</v>
      </c>
      <c r="AX1254" s="48">
        <v>0</v>
      </c>
      <c r="AY1254" s="48">
        <v>0</v>
      </c>
      <c r="AZ1254" s="48">
        <v>0</v>
      </c>
      <c r="BA1254" s="48">
        <v>0</v>
      </c>
      <c r="BB1254" s="48">
        <v>0</v>
      </c>
    </row>
    <row r="1255" spans="1:54" x14ac:dyDescent="0.35">
      <c r="A1255" s="49">
        <v>45930</v>
      </c>
      <c r="B1255" s="48">
        <v>1</v>
      </c>
      <c r="C1255" s="50" t="s">
        <v>41</v>
      </c>
      <c r="D1255" s="48" t="s">
        <v>31</v>
      </c>
      <c r="E1255" s="48" t="s">
        <v>138</v>
      </c>
      <c r="F1255" s="48" t="s">
        <v>139</v>
      </c>
      <c r="G1255" s="49" t="s">
        <v>180</v>
      </c>
      <c r="H1255" s="48" t="s">
        <v>181</v>
      </c>
      <c r="I1255" s="48">
        <v>1</v>
      </c>
      <c r="J1255" s="48">
        <v>7</v>
      </c>
      <c r="K1255" s="48">
        <v>1</v>
      </c>
      <c r="N1255" s="48">
        <v>0</v>
      </c>
      <c r="R1255" s="49"/>
      <c r="S1255" s="49"/>
      <c r="T1255" s="49">
        <v>46142</v>
      </c>
      <c r="U1255" s="49">
        <v>46142</v>
      </c>
      <c r="V1255" s="49">
        <v>46142</v>
      </c>
      <c r="W1255" s="49">
        <v>46142</v>
      </c>
      <c r="X1255" s="48">
        <v>1</v>
      </c>
      <c r="Y1255" s="48">
        <v>1</v>
      </c>
      <c r="Z1255" s="48">
        <v>1</v>
      </c>
      <c r="AA1255" s="156">
        <v>8698327645.5874023</v>
      </c>
      <c r="AF1255" s="48">
        <v>0</v>
      </c>
      <c r="AG1255" s="49" t="s">
        <v>41</v>
      </c>
      <c r="AH1255" s="48">
        <v>1</v>
      </c>
      <c r="AI1255" s="48" t="s">
        <v>33</v>
      </c>
      <c r="AJ1255" s="48" t="s">
        <v>33</v>
      </c>
      <c r="AK1255" s="48" t="s">
        <v>33</v>
      </c>
      <c r="AL1255" s="48" t="s">
        <v>34</v>
      </c>
      <c r="AN1255" s="48">
        <v>0</v>
      </c>
      <c r="AO1255" s="48">
        <v>0</v>
      </c>
      <c r="AP1255" s="48">
        <v>0</v>
      </c>
      <c r="AQ1255" s="48">
        <v>0</v>
      </c>
      <c r="AR1255" s="48">
        <v>0</v>
      </c>
      <c r="AS1255" s="48">
        <v>0</v>
      </c>
      <c r="AT1255" s="48">
        <v>0</v>
      </c>
      <c r="AU1255" s="48">
        <v>0</v>
      </c>
      <c r="AV1255" s="48">
        <v>0</v>
      </c>
      <c r="AW1255" s="48">
        <v>0</v>
      </c>
      <c r="AX1255" s="48">
        <v>0</v>
      </c>
      <c r="AY1255" s="48">
        <v>0</v>
      </c>
      <c r="AZ1255" s="48">
        <v>0</v>
      </c>
      <c r="BA1255" s="48">
        <v>0</v>
      </c>
      <c r="BB1255" s="48">
        <v>0</v>
      </c>
    </row>
    <row r="1256" spans="1:54" x14ac:dyDescent="0.35">
      <c r="A1256" s="49">
        <v>45930</v>
      </c>
      <c r="B1256" s="48">
        <v>1</v>
      </c>
      <c r="C1256" s="50" t="s">
        <v>41</v>
      </c>
      <c r="D1256" s="48" t="s">
        <v>31</v>
      </c>
      <c r="E1256" s="48" t="s">
        <v>138</v>
      </c>
      <c r="F1256" s="48" t="s">
        <v>139</v>
      </c>
      <c r="G1256" s="49" t="s">
        <v>180</v>
      </c>
      <c r="H1256" s="48" t="s">
        <v>181</v>
      </c>
      <c r="I1256" s="48">
        <v>1</v>
      </c>
      <c r="J1256" s="48">
        <v>8</v>
      </c>
      <c r="K1256" s="48">
        <v>1</v>
      </c>
      <c r="N1256" s="48">
        <v>0</v>
      </c>
      <c r="R1256" s="49"/>
      <c r="S1256" s="49"/>
      <c r="T1256" s="49">
        <v>46173</v>
      </c>
      <c r="U1256" s="49">
        <v>46173</v>
      </c>
      <c r="V1256" s="49">
        <v>46173</v>
      </c>
      <c r="W1256" s="49">
        <v>46173</v>
      </c>
      <c r="X1256" s="48">
        <v>1</v>
      </c>
      <c r="Y1256" s="48">
        <v>1</v>
      </c>
      <c r="Z1256" s="48">
        <v>1</v>
      </c>
      <c r="AA1256" s="156">
        <v>8614361760.3302002</v>
      </c>
      <c r="AF1256" s="48">
        <v>0</v>
      </c>
      <c r="AG1256" s="49" t="s">
        <v>41</v>
      </c>
      <c r="AH1256" s="48">
        <v>1</v>
      </c>
      <c r="AI1256" s="48" t="s">
        <v>33</v>
      </c>
      <c r="AJ1256" s="48" t="s">
        <v>33</v>
      </c>
      <c r="AK1256" s="48" t="s">
        <v>33</v>
      </c>
      <c r="AL1256" s="48" t="s">
        <v>34</v>
      </c>
      <c r="AN1256" s="48">
        <v>0</v>
      </c>
      <c r="AO1256" s="48">
        <v>0</v>
      </c>
      <c r="AP1256" s="48">
        <v>0</v>
      </c>
      <c r="AQ1256" s="48">
        <v>0</v>
      </c>
      <c r="AR1256" s="48">
        <v>0</v>
      </c>
      <c r="AS1256" s="48">
        <v>0</v>
      </c>
      <c r="AT1256" s="48">
        <v>0</v>
      </c>
      <c r="AU1256" s="48">
        <v>0</v>
      </c>
      <c r="AV1256" s="48">
        <v>0</v>
      </c>
      <c r="AW1256" s="48">
        <v>0</v>
      </c>
      <c r="AX1256" s="48">
        <v>0</v>
      </c>
      <c r="AY1256" s="48">
        <v>0</v>
      </c>
      <c r="AZ1256" s="48">
        <v>0</v>
      </c>
      <c r="BA1256" s="48">
        <v>0</v>
      </c>
      <c r="BB1256" s="48">
        <v>0</v>
      </c>
    </row>
    <row r="1257" spans="1:54" x14ac:dyDescent="0.35">
      <c r="A1257" s="49">
        <v>45930</v>
      </c>
      <c r="B1257" s="48">
        <v>1</v>
      </c>
      <c r="C1257" s="50" t="s">
        <v>41</v>
      </c>
      <c r="D1257" s="48" t="s">
        <v>31</v>
      </c>
      <c r="E1257" s="48" t="s">
        <v>138</v>
      </c>
      <c r="F1257" s="48" t="s">
        <v>139</v>
      </c>
      <c r="G1257" s="49" t="s">
        <v>180</v>
      </c>
      <c r="H1257" s="48" t="s">
        <v>181</v>
      </c>
      <c r="I1257" s="48">
        <v>1</v>
      </c>
      <c r="J1257" s="48">
        <v>9</v>
      </c>
      <c r="K1257" s="48">
        <v>1</v>
      </c>
      <c r="N1257" s="48">
        <v>0</v>
      </c>
      <c r="R1257" s="49"/>
      <c r="S1257" s="49"/>
      <c r="T1257" s="49">
        <v>46203</v>
      </c>
      <c r="U1257" s="49">
        <v>46203</v>
      </c>
      <c r="V1257" s="49">
        <v>46203</v>
      </c>
      <c r="W1257" s="49">
        <v>46203</v>
      </c>
      <c r="X1257" s="48">
        <v>1</v>
      </c>
      <c r="Y1257" s="48">
        <v>1</v>
      </c>
      <c r="Z1257" s="48">
        <v>1</v>
      </c>
      <c r="AA1257" s="156">
        <v>8531206406.7261963</v>
      </c>
      <c r="AF1257" s="48">
        <v>0</v>
      </c>
      <c r="AG1257" s="49" t="s">
        <v>41</v>
      </c>
      <c r="AH1257" s="48">
        <v>1</v>
      </c>
      <c r="AI1257" s="48" t="s">
        <v>33</v>
      </c>
      <c r="AJ1257" s="48" t="s">
        <v>33</v>
      </c>
      <c r="AK1257" s="48" t="s">
        <v>33</v>
      </c>
      <c r="AL1257" s="48" t="s">
        <v>34</v>
      </c>
      <c r="AN1257" s="48">
        <v>0</v>
      </c>
      <c r="AO1257" s="48">
        <v>0</v>
      </c>
      <c r="AP1257" s="48">
        <v>0</v>
      </c>
      <c r="AQ1257" s="48">
        <v>0</v>
      </c>
      <c r="AR1257" s="48">
        <v>0</v>
      </c>
      <c r="AS1257" s="48">
        <v>0</v>
      </c>
      <c r="AT1257" s="48">
        <v>0</v>
      </c>
      <c r="AU1257" s="48">
        <v>0</v>
      </c>
      <c r="AV1257" s="48">
        <v>0</v>
      </c>
      <c r="AW1257" s="48">
        <v>0</v>
      </c>
      <c r="AX1257" s="48">
        <v>0</v>
      </c>
      <c r="AY1257" s="48">
        <v>0</v>
      </c>
      <c r="AZ1257" s="48">
        <v>0</v>
      </c>
      <c r="BA1257" s="48">
        <v>0</v>
      </c>
      <c r="BB1257" s="48">
        <v>0</v>
      </c>
    </row>
    <row r="1258" spans="1:54" x14ac:dyDescent="0.35">
      <c r="A1258" s="49">
        <v>45930</v>
      </c>
      <c r="B1258" s="48">
        <v>1</v>
      </c>
      <c r="C1258" s="50" t="s">
        <v>41</v>
      </c>
      <c r="D1258" s="48" t="s">
        <v>31</v>
      </c>
      <c r="E1258" s="48" t="s">
        <v>138</v>
      </c>
      <c r="F1258" s="48" t="s">
        <v>139</v>
      </c>
      <c r="G1258" s="49" t="s">
        <v>180</v>
      </c>
      <c r="H1258" s="48" t="s">
        <v>181</v>
      </c>
      <c r="I1258" s="48">
        <v>1</v>
      </c>
      <c r="J1258" s="48">
        <v>10</v>
      </c>
      <c r="K1258" s="48">
        <v>1</v>
      </c>
      <c r="N1258" s="48">
        <v>0</v>
      </c>
      <c r="R1258" s="49"/>
      <c r="S1258" s="49"/>
      <c r="T1258" s="49">
        <v>46234</v>
      </c>
      <c r="U1258" s="49">
        <v>46234</v>
      </c>
      <c r="V1258" s="49">
        <v>46234</v>
      </c>
      <c r="W1258" s="49">
        <v>46234</v>
      </c>
      <c r="X1258" s="48">
        <v>1</v>
      </c>
      <c r="Y1258" s="48">
        <v>1</v>
      </c>
      <c r="Z1258" s="48">
        <v>1</v>
      </c>
      <c r="AA1258" s="156">
        <v>8448853760.6268311</v>
      </c>
      <c r="AF1258" s="48">
        <v>0</v>
      </c>
      <c r="AG1258" s="49" t="s">
        <v>41</v>
      </c>
      <c r="AH1258" s="48">
        <v>1</v>
      </c>
      <c r="AI1258" s="48" t="s">
        <v>33</v>
      </c>
      <c r="AJ1258" s="48" t="s">
        <v>33</v>
      </c>
      <c r="AK1258" s="48" t="s">
        <v>33</v>
      </c>
      <c r="AL1258" s="48" t="s">
        <v>34</v>
      </c>
      <c r="AN1258" s="48">
        <v>0</v>
      </c>
      <c r="AO1258" s="48">
        <v>0</v>
      </c>
      <c r="AP1258" s="48">
        <v>0</v>
      </c>
      <c r="AQ1258" s="48">
        <v>0</v>
      </c>
      <c r="AR1258" s="48">
        <v>0</v>
      </c>
      <c r="AS1258" s="48">
        <v>0</v>
      </c>
      <c r="AT1258" s="48">
        <v>0</v>
      </c>
      <c r="AU1258" s="48">
        <v>0</v>
      </c>
      <c r="AV1258" s="48">
        <v>0</v>
      </c>
      <c r="AW1258" s="48">
        <v>0</v>
      </c>
      <c r="AX1258" s="48">
        <v>0</v>
      </c>
      <c r="AY1258" s="48">
        <v>0</v>
      </c>
      <c r="AZ1258" s="48">
        <v>0</v>
      </c>
      <c r="BA1258" s="48">
        <v>0</v>
      </c>
      <c r="BB1258" s="48">
        <v>0</v>
      </c>
    </row>
    <row r="1259" spans="1:54" x14ac:dyDescent="0.35">
      <c r="A1259" s="49">
        <v>45930</v>
      </c>
      <c r="B1259" s="48">
        <v>1</v>
      </c>
      <c r="C1259" s="50" t="s">
        <v>41</v>
      </c>
      <c r="D1259" s="48" t="s">
        <v>31</v>
      </c>
      <c r="E1259" s="48" t="s">
        <v>138</v>
      </c>
      <c r="F1259" s="48" t="s">
        <v>139</v>
      </c>
      <c r="G1259" s="49" t="s">
        <v>180</v>
      </c>
      <c r="H1259" s="48" t="s">
        <v>181</v>
      </c>
      <c r="I1259" s="48">
        <v>1</v>
      </c>
      <c r="J1259" s="48">
        <v>11</v>
      </c>
      <c r="K1259" s="48">
        <v>1</v>
      </c>
      <c r="N1259" s="48">
        <v>0</v>
      </c>
      <c r="R1259" s="49"/>
      <c r="S1259" s="49"/>
      <c r="T1259" s="49">
        <v>46265</v>
      </c>
      <c r="U1259" s="49">
        <v>46265</v>
      </c>
      <c r="V1259" s="49">
        <v>46265</v>
      </c>
      <c r="W1259" s="49">
        <v>46265</v>
      </c>
      <c r="X1259" s="48">
        <v>1</v>
      </c>
      <c r="Y1259" s="48">
        <v>1</v>
      </c>
      <c r="Z1259" s="48">
        <v>1</v>
      </c>
      <c r="AA1259" s="156">
        <v>8367296073.4110107</v>
      </c>
      <c r="AF1259" s="48">
        <v>0</v>
      </c>
      <c r="AG1259" s="49" t="s">
        <v>41</v>
      </c>
      <c r="AH1259" s="48">
        <v>1</v>
      </c>
      <c r="AI1259" s="48" t="s">
        <v>33</v>
      </c>
      <c r="AJ1259" s="48" t="s">
        <v>33</v>
      </c>
      <c r="AK1259" s="48" t="s">
        <v>33</v>
      </c>
      <c r="AL1259" s="48" t="s">
        <v>34</v>
      </c>
      <c r="AN1259" s="48">
        <v>0</v>
      </c>
      <c r="AO1259" s="48">
        <v>0</v>
      </c>
      <c r="AP1259" s="48">
        <v>0</v>
      </c>
      <c r="AQ1259" s="48">
        <v>0</v>
      </c>
      <c r="AR1259" s="48">
        <v>0</v>
      </c>
      <c r="AS1259" s="48">
        <v>0</v>
      </c>
      <c r="AT1259" s="48">
        <v>0</v>
      </c>
      <c r="AU1259" s="48">
        <v>0</v>
      </c>
      <c r="AV1259" s="48">
        <v>0</v>
      </c>
      <c r="AW1259" s="48">
        <v>0</v>
      </c>
      <c r="AX1259" s="48">
        <v>0</v>
      </c>
      <c r="AY1259" s="48">
        <v>0</v>
      </c>
      <c r="AZ1259" s="48">
        <v>0</v>
      </c>
      <c r="BA1259" s="48">
        <v>0</v>
      </c>
      <c r="BB1259" s="48">
        <v>0</v>
      </c>
    </row>
    <row r="1260" spans="1:54" x14ac:dyDescent="0.35">
      <c r="A1260" s="49">
        <v>45930</v>
      </c>
      <c r="B1260" s="48">
        <v>1</v>
      </c>
      <c r="C1260" s="50" t="s">
        <v>41</v>
      </c>
      <c r="D1260" s="48" t="s">
        <v>31</v>
      </c>
      <c r="E1260" s="48" t="s">
        <v>138</v>
      </c>
      <c r="F1260" s="48" t="s">
        <v>139</v>
      </c>
      <c r="G1260" s="49" t="s">
        <v>180</v>
      </c>
      <c r="H1260" s="48" t="s">
        <v>181</v>
      </c>
      <c r="I1260" s="48">
        <v>1</v>
      </c>
      <c r="J1260" s="48">
        <v>12</v>
      </c>
      <c r="K1260" s="48">
        <v>1</v>
      </c>
      <c r="N1260" s="48">
        <v>0</v>
      </c>
      <c r="R1260" s="49"/>
      <c r="S1260" s="49"/>
      <c r="T1260" s="49">
        <v>46295</v>
      </c>
      <c r="U1260" s="49">
        <v>46295</v>
      </c>
      <c r="V1260" s="49">
        <v>46295</v>
      </c>
      <c r="W1260" s="49">
        <v>46295</v>
      </c>
      <c r="X1260" s="48">
        <v>1</v>
      </c>
      <c r="Y1260" s="48">
        <v>1</v>
      </c>
      <c r="Z1260" s="48">
        <v>1</v>
      </c>
      <c r="AA1260" s="156">
        <v>8286525671.2557373</v>
      </c>
      <c r="AF1260" s="48">
        <v>0</v>
      </c>
      <c r="AG1260" s="49" t="s">
        <v>41</v>
      </c>
      <c r="AH1260" s="48">
        <v>1</v>
      </c>
      <c r="AI1260" s="48" t="s">
        <v>33</v>
      </c>
      <c r="AJ1260" s="48" t="s">
        <v>33</v>
      </c>
      <c r="AK1260" s="48" t="s">
        <v>33</v>
      </c>
      <c r="AL1260" s="48" t="s">
        <v>34</v>
      </c>
      <c r="AN1260" s="48">
        <v>0</v>
      </c>
      <c r="AO1260" s="48">
        <v>0</v>
      </c>
      <c r="AP1260" s="48">
        <v>0</v>
      </c>
      <c r="AQ1260" s="48">
        <v>0</v>
      </c>
      <c r="AR1260" s="48">
        <v>0</v>
      </c>
      <c r="AS1260" s="48">
        <v>0</v>
      </c>
      <c r="AT1260" s="48">
        <v>0</v>
      </c>
      <c r="AU1260" s="48">
        <v>0</v>
      </c>
      <c r="AV1260" s="48">
        <v>0</v>
      </c>
      <c r="AW1260" s="48">
        <v>0</v>
      </c>
      <c r="AX1260" s="48">
        <v>0</v>
      </c>
      <c r="AY1260" s="48">
        <v>0</v>
      </c>
      <c r="AZ1260" s="48">
        <v>0</v>
      </c>
      <c r="BA1260" s="48">
        <v>0</v>
      </c>
      <c r="BB1260" s="48">
        <v>0</v>
      </c>
    </row>
    <row r="1261" spans="1:54" x14ac:dyDescent="0.35">
      <c r="A1261" s="49">
        <v>45930</v>
      </c>
      <c r="B1261" s="48">
        <v>1</v>
      </c>
      <c r="C1261" s="50" t="s">
        <v>41</v>
      </c>
      <c r="D1261" s="48" t="s">
        <v>31</v>
      </c>
      <c r="E1261" s="48" t="s">
        <v>138</v>
      </c>
      <c r="F1261" s="48" t="s">
        <v>139</v>
      </c>
      <c r="G1261" s="49" t="s">
        <v>180</v>
      </c>
      <c r="H1261" s="48" t="s">
        <v>181</v>
      </c>
      <c r="I1261" s="48">
        <v>1</v>
      </c>
      <c r="J1261" s="48">
        <v>13</v>
      </c>
      <c r="K1261" s="48">
        <v>1</v>
      </c>
      <c r="N1261" s="48">
        <v>0</v>
      </c>
      <c r="R1261" s="49"/>
      <c r="S1261" s="49"/>
      <c r="T1261" s="49">
        <v>46326</v>
      </c>
      <c r="U1261" s="49">
        <v>46326</v>
      </c>
      <c r="V1261" s="49">
        <v>46326</v>
      </c>
      <c r="W1261" s="49">
        <v>46326</v>
      </c>
      <c r="X1261" s="48">
        <v>1</v>
      </c>
      <c r="Y1261" s="48">
        <v>1</v>
      </c>
      <c r="Z1261" s="48">
        <v>1</v>
      </c>
      <c r="AA1261" s="156">
        <v>8206534954.4139404</v>
      </c>
      <c r="AF1261" s="48">
        <v>0</v>
      </c>
      <c r="AG1261" s="49" t="s">
        <v>41</v>
      </c>
      <c r="AH1261" s="48">
        <v>1</v>
      </c>
      <c r="AI1261" s="48" t="s">
        <v>33</v>
      </c>
      <c r="AJ1261" s="48" t="s">
        <v>33</v>
      </c>
      <c r="AK1261" s="48" t="s">
        <v>33</v>
      </c>
      <c r="AL1261" s="48" t="s">
        <v>34</v>
      </c>
      <c r="AN1261" s="48">
        <v>0</v>
      </c>
      <c r="AO1261" s="48">
        <v>0</v>
      </c>
      <c r="AP1261" s="48">
        <v>0</v>
      </c>
      <c r="AQ1261" s="48">
        <v>0</v>
      </c>
      <c r="AR1261" s="48">
        <v>0</v>
      </c>
      <c r="AS1261" s="48">
        <v>0</v>
      </c>
      <c r="AT1261" s="48">
        <v>0</v>
      </c>
      <c r="AU1261" s="48">
        <v>0</v>
      </c>
      <c r="AV1261" s="48">
        <v>0</v>
      </c>
      <c r="AW1261" s="48">
        <v>0</v>
      </c>
      <c r="AX1261" s="48">
        <v>0</v>
      </c>
      <c r="AY1261" s="48">
        <v>0</v>
      </c>
      <c r="AZ1261" s="48">
        <v>0</v>
      </c>
      <c r="BA1261" s="48">
        <v>0</v>
      </c>
      <c r="BB1261" s="48">
        <v>0</v>
      </c>
    </row>
    <row r="1262" spans="1:54" x14ac:dyDescent="0.35">
      <c r="A1262" s="49">
        <v>45930</v>
      </c>
      <c r="B1262" s="48">
        <v>1</v>
      </c>
      <c r="C1262" s="50" t="s">
        <v>41</v>
      </c>
      <c r="D1262" s="48" t="s">
        <v>31</v>
      </c>
      <c r="E1262" s="48" t="s">
        <v>138</v>
      </c>
      <c r="F1262" s="48" t="s">
        <v>139</v>
      </c>
      <c r="G1262" s="49" t="s">
        <v>180</v>
      </c>
      <c r="H1262" s="48" t="s">
        <v>181</v>
      </c>
      <c r="I1262" s="48">
        <v>1</v>
      </c>
      <c r="J1262" s="48">
        <v>14</v>
      </c>
      <c r="K1262" s="48">
        <v>1</v>
      </c>
      <c r="N1262" s="48">
        <v>0</v>
      </c>
      <c r="R1262" s="49"/>
      <c r="S1262" s="49"/>
      <c r="T1262" s="49">
        <v>46356</v>
      </c>
      <c r="U1262" s="49">
        <v>46356</v>
      </c>
      <c r="V1262" s="49">
        <v>46356</v>
      </c>
      <c r="W1262" s="49">
        <v>46356</v>
      </c>
      <c r="X1262" s="48">
        <v>1</v>
      </c>
      <c r="Y1262" s="48">
        <v>1</v>
      </c>
      <c r="Z1262" s="48">
        <v>1</v>
      </c>
      <c r="AA1262" s="156">
        <v>8127316396.5007324</v>
      </c>
      <c r="AF1262" s="48">
        <v>0</v>
      </c>
      <c r="AG1262" s="49" t="s">
        <v>41</v>
      </c>
      <c r="AH1262" s="48">
        <v>1</v>
      </c>
      <c r="AI1262" s="48" t="s">
        <v>33</v>
      </c>
      <c r="AJ1262" s="48" t="s">
        <v>33</v>
      </c>
      <c r="AK1262" s="48" t="s">
        <v>33</v>
      </c>
      <c r="AL1262" s="48" t="s">
        <v>34</v>
      </c>
      <c r="AN1262" s="48">
        <v>0</v>
      </c>
      <c r="AO1262" s="48">
        <v>0</v>
      </c>
      <c r="AP1262" s="48">
        <v>0</v>
      </c>
      <c r="AQ1262" s="48">
        <v>0</v>
      </c>
      <c r="AR1262" s="48">
        <v>0</v>
      </c>
      <c r="AS1262" s="48">
        <v>0</v>
      </c>
      <c r="AT1262" s="48">
        <v>0</v>
      </c>
      <c r="AU1262" s="48">
        <v>0</v>
      </c>
      <c r="AV1262" s="48">
        <v>0</v>
      </c>
      <c r="AW1262" s="48">
        <v>0</v>
      </c>
      <c r="AX1262" s="48">
        <v>0</v>
      </c>
      <c r="AY1262" s="48">
        <v>0</v>
      </c>
      <c r="AZ1262" s="48">
        <v>0</v>
      </c>
      <c r="BA1262" s="48">
        <v>0</v>
      </c>
      <c r="BB1262" s="48">
        <v>0</v>
      </c>
    </row>
    <row r="1263" spans="1:54" x14ac:dyDescent="0.35">
      <c r="A1263" s="49">
        <v>45930</v>
      </c>
      <c r="B1263" s="48">
        <v>1</v>
      </c>
      <c r="C1263" s="50" t="s">
        <v>41</v>
      </c>
      <c r="D1263" s="48" t="s">
        <v>31</v>
      </c>
      <c r="E1263" s="48" t="s">
        <v>138</v>
      </c>
      <c r="F1263" s="48" t="s">
        <v>139</v>
      </c>
      <c r="G1263" s="49" t="s">
        <v>180</v>
      </c>
      <c r="H1263" s="48" t="s">
        <v>181</v>
      </c>
      <c r="I1263" s="48">
        <v>1</v>
      </c>
      <c r="J1263" s="48">
        <v>15</v>
      </c>
      <c r="K1263" s="48">
        <v>1</v>
      </c>
      <c r="N1263" s="48">
        <v>0</v>
      </c>
      <c r="R1263" s="49"/>
      <c r="S1263" s="49"/>
      <c r="T1263" s="49">
        <v>46387</v>
      </c>
      <c r="U1263" s="49">
        <v>46387</v>
      </c>
      <c r="V1263" s="49">
        <v>46387</v>
      </c>
      <c r="W1263" s="49">
        <v>46387</v>
      </c>
      <c r="X1263" s="48">
        <v>1</v>
      </c>
      <c r="Y1263" s="48">
        <v>1</v>
      </c>
      <c r="Z1263" s="48">
        <v>1</v>
      </c>
      <c r="AA1263" s="156">
        <v>8048862543.7828369</v>
      </c>
      <c r="AF1263" s="48">
        <v>0</v>
      </c>
      <c r="AG1263" s="49" t="s">
        <v>41</v>
      </c>
      <c r="AH1263" s="48">
        <v>1</v>
      </c>
      <c r="AI1263" s="48" t="s">
        <v>33</v>
      </c>
      <c r="AJ1263" s="48" t="s">
        <v>33</v>
      </c>
      <c r="AK1263" s="48" t="s">
        <v>33</v>
      </c>
      <c r="AL1263" s="48" t="s">
        <v>34</v>
      </c>
      <c r="AN1263" s="48">
        <v>0</v>
      </c>
      <c r="AO1263" s="48">
        <v>0</v>
      </c>
      <c r="AP1263" s="48">
        <v>0</v>
      </c>
      <c r="AQ1263" s="48">
        <v>0</v>
      </c>
      <c r="AR1263" s="48">
        <v>0</v>
      </c>
      <c r="AS1263" s="48">
        <v>0</v>
      </c>
      <c r="AT1263" s="48">
        <v>0</v>
      </c>
      <c r="AU1263" s="48">
        <v>0</v>
      </c>
      <c r="AV1263" s="48">
        <v>0</v>
      </c>
      <c r="AW1263" s="48">
        <v>0</v>
      </c>
      <c r="AX1263" s="48">
        <v>0</v>
      </c>
      <c r="AY1263" s="48">
        <v>0</v>
      </c>
      <c r="AZ1263" s="48">
        <v>0</v>
      </c>
      <c r="BA1263" s="48">
        <v>0</v>
      </c>
      <c r="BB1263" s="48">
        <v>0</v>
      </c>
    </row>
    <row r="1264" spans="1:54" x14ac:dyDescent="0.35">
      <c r="A1264" s="49">
        <v>45930</v>
      </c>
      <c r="B1264" s="48">
        <v>1</v>
      </c>
      <c r="C1264" s="50" t="s">
        <v>41</v>
      </c>
      <c r="D1264" s="48" t="s">
        <v>31</v>
      </c>
      <c r="E1264" s="48" t="s">
        <v>138</v>
      </c>
      <c r="F1264" s="48" t="s">
        <v>139</v>
      </c>
      <c r="G1264" s="49" t="s">
        <v>180</v>
      </c>
      <c r="H1264" s="48" t="s">
        <v>181</v>
      </c>
      <c r="I1264" s="48">
        <v>1</v>
      </c>
      <c r="J1264" s="48">
        <v>16</v>
      </c>
      <c r="K1264" s="48">
        <v>1</v>
      </c>
      <c r="N1264" s="48">
        <v>0</v>
      </c>
      <c r="R1264" s="49"/>
      <c r="S1264" s="49"/>
      <c r="T1264" s="49">
        <v>46418</v>
      </c>
      <c r="U1264" s="49">
        <v>46418</v>
      </c>
      <c r="V1264" s="49">
        <v>46418</v>
      </c>
      <c r="W1264" s="49">
        <v>46418</v>
      </c>
      <c r="X1264" s="48">
        <v>1</v>
      </c>
      <c r="Y1264" s="48">
        <v>1</v>
      </c>
      <c r="Z1264" s="48">
        <v>1</v>
      </c>
      <c r="AA1264" s="156">
        <v>7971166014.4798584</v>
      </c>
      <c r="AF1264" s="48">
        <v>0</v>
      </c>
      <c r="AG1264" s="49" t="s">
        <v>41</v>
      </c>
      <c r="AH1264" s="48">
        <v>1</v>
      </c>
      <c r="AI1264" s="48" t="s">
        <v>33</v>
      </c>
      <c r="AJ1264" s="48" t="s">
        <v>33</v>
      </c>
      <c r="AK1264" s="48" t="s">
        <v>33</v>
      </c>
      <c r="AL1264" s="48" t="s">
        <v>34</v>
      </c>
      <c r="AN1264" s="48">
        <v>0</v>
      </c>
      <c r="AO1264" s="48">
        <v>0</v>
      </c>
      <c r="AP1264" s="48">
        <v>0</v>
      </c>
      <c r="AQ1264" s="48">
        <v>0</v>
      </c>
      <c r="AR1264" s="48">
        <v>0</v>
      </c>
      <c r="AS1264" s="48">
        <v>0</v>
      </c>
      <c r="AT1264" s="48">
        <v>0</v>
      </c>
      <c r="AU1264" s="48">
        <v>0</v>
      </c>
      <c r="AV1264" s="48">
        <v>0</v>
      </c>
      <c r="AW1264" s="48">
        <v>0</v>
      </c>
      <c r="AX1264" s="48">
        <v>0</v>
      </c>
      <c r="AY1264" s="48">
        <v>0</v>
      </c>
      <c r="AZ1264" s="48">
        <v>0</v>
      </c>
      <c r="BA1264" s="48">
        <v>0</v>
      </c>
      <c r="BB1264" s="48">
        <v>0</v>
      </c>
    </row>
    <row r="1265" spans="1:54" x14ac:dyDescent="0.35">
      <c r="A1265" s="49">
        <v>45930</v>
      </c>
      <c r="B1265" s="48">
        <v>1</v>
      </c>
      <c r="C1265" s="50" t="s">
        <v>41</v>
      </c>
      <c r="D1265" s="48" t="s">
        <v>31</v>
      </c>
      <c r="E1265" s="48" t="s">
        <v>138</v>
      </c>
      <c r="F1265" s="48" t="s">
        <v>139</v>
      </c>
      <c r="G1265" s="49" t="s">
        <v>180</v>
      </c>
      <c r="H1265" s="48" t="s">
        <v>181</v>
      </c>
      <c r="I1265" s="48">
        <v>1</v>
      </c>
      <c r="J1265" s="48">
        <v>17</v>
      </c>
      <c r="K1265" s="48">
        <v>1</v>
      </c>
      <c r="N1265" s="48">
        <v>0</v>
      </c>
      <c r="R1265" s="49"/>
      <c r="S1265" s="49"/>
      <c r="T1265" s="49">
        <v>46446</v>
      </c>
      <c r="U1265" s="49">
        <v>46446</v>
      </c>
      <c r="V1265" s="49">
        <v>46446</v>
      </c>
      <c r="W1265" s="49">
        <v>46446</v>
      </c>
      <c r="X1265" s="48">
        <v>1</v>
      </c>
      <c r="Y1265" s="48">
        <v>1</v>
      </c>
      <c r="Z1265" s="48">
        <v>1</v>
      </c>
      <c r="AA1265" s="156">
        <v>7894219498.0679932</v>
      </c>
      <c r="AF1265" s="48">
        <v>0</v>
      </c>
      <c r="AG1265" s="49" t="s">
        <v>41</v>
      </c>
      <c r="AH1265" s="48">
        <v>1</v>
      </c>
      <c r="AI1265" s="48" t="s">
        <v>33</v>
      </c>
      <c r="AJ1265" s="48" t="s">
        <v>33</v>
      </c>
      <c r="AK1265" s="48" t="s">
        <v>33</v>
      </c>
      <c r="AL1265" s="48" t="s">
        <v>34</v>
      </c>
      <c r="AN1265" s="48">
        <v>0</v>
      </c>
      <c r="AO1265" s="48">
        <v>0</v>
      </c>
      <c r="AP1265" s="48">
        <v>0</v>
      </c>
      <c r="AQ1265" s="48">
        <v>0</v>
      </c>
      <c r="AR1265" s="48">
        <v>0</v>
      </c>
      <c r="AS1265" s="48">
        <v>0</v>
      </c>
      <c r="AT1265" s="48">
        <v>0</v>
      </c>
      <c r="AU1265" s="48">
        <v>0</v>
      </c>
      <c r="AV1265" s="48">
        <v>0</v>
      </c>
      <c r="AW1265" s="48">
        <v>0</v>
      </c>
      <c r="AX1265" s="48">
        <v>0</v>
      </c>
      <c r="AY1265" s="48">
        <v>0</v>
      </c>
      <c r="AZ1265" s="48">
        <v>0</v>
      </c>
      <c r="BA1265" s="48">
        <v>0</v>
      </c>
      <c r="BB1265" s="48">
        <v>0</v>
      </c>
    </row>
    <row r="1266" spans="1:54" x14ac:dyDescent="0.35">
      <c r="A1266" s="49">
        <v>45930</v>
      </c>
      <c r="B1266" s="48">
        <v>1</v>
      </c>
      <c r="C1266" s="50" t="s">
        <v>41</v>
      </c>
      <c r="D1266" s="48" t="s">
        <v>31</v>
      </c>
      <c r="E1266" s="48" t="s">
        <v>138</v>
      </c>
      <c r="F1266" s="48" t="s">
        <v>139</v>
      </c>
      <c r="G1266" s="49" t="s">
        <v>180</v>
      </c>
      <c r="H1266" s="48" t="s">
        <v>181</v>
      </c>
      <c r="I1266" s="48">
        <v>1</v>
      </c>
      <c r="J1266" s="48">
        <v>18</v>
      </c>
      <c r="K1266" s="48">
        <v>1</v>
      </c>
      <c r="N1266" s="48">
        <v>0</v>
      </c>
      <c r="R1266" s="49"/>
      <c r="S1266" s="49"/>
      <c r="T1266" s="49">
        <v>46477</v>
      </c>
      <c r="U1266" s="49">
        <v>46477</v>
      </c>
      <c r="V1266" s="49">
        <v>46477</v>
      </c>
      <c r="W1266" s="49">
        <v>46477</v>
      </c>
      <c r="X1266" s="48">
        <v>1</v>
      </c>
      <c r="Y1266" s="48">
        <v>1</v>
      </c>
      <c r="Z1266" s="48">
        <v>1</v>
      </c>
      <c r="AA1266" s="156">
        <v>7818015754.5924072</v>
      </c>
      <c r="AF1266" s="48">
        <v>0</v>
      </c>
      <c r="AG1266" s="49" t="s">
        <v>41</v>
      </c>
      <c r="AH1266" s="48">
        <v>1</v>
      </c>
      <c r="AI1266" s="48" t="s">
        <v>33</v>
      </c>
      <c r="AJ1266" s="48" t="s">
        <v>33</v>
      </c>
      <c r="AK1266" s="48" t="s">
        <v>33</v>
      </c>
      <c r="AL1266" s="48" t="s">
        <v>34</v>
      </c>
      <c r="AN1266" s="48">
        <v>0</v>
      </c>
      <c r="AO1266" s="48">
        <v>0</v>
      </c>
      <c r="AP1266" s="48">
        <v>0</v>
      </c>
      <c r="AQ1266" s="48">
        <v>0</v>
      </c>
      <c r="AR1266" s="48">
        <v>0</v>
      </c>
      <c r="AS1266" s="48">
        <v>0</v>
      </c>
      <c r="AT1266" s="48">
        <v>0</v>
      </c>
      <c r="AU1266" s="48">
        <v>0</v>
      </c>
      <c r="AV1266" s="48">
        <v>0</v>
      </c>
      <c r="AW1266" s="48">
        <v>0</v>
      </c>
      <c r="AX1266" s="48">
        <v>0</v>
      </c>
      <c r="AY1266" s="48">
        <v>0</v>
      </c>
      <c r="AZ1266" s="48">
        <v>0</v>
      </c>
      <c r="BA1266" s="48">
        <v>0</v>
      </c>
      <c r="BB1266" s="48">
        <v>0</v>
      </c>
    </row>
    <row r="1267" spans="1:54" x14ac:dyDescent="0.35">
      <c r="A1267" s="49">
        <v>45930</v>
      </c>
      <c r="B1267" s="48">
        <v>1</v>
      </c>
      <c r="C1267" s="50" t="s">
        <v>41</v>
      </c>
      <c r="D1267" s="48" t="s">
        <v>31</v>
      </c>
      <c r="E1267" s="48" t="s">
        <v>138</v>
      </c>
      <c r="F1267" s="48" t="s">
        <v>139</v>
      </c>
      <c r="G1267" s="49" t="s">
        <v>180</v>
      </c>
      <c r="H1267" s="48" t="s">
        <v>181</v>
      </c>
      <c r="I1267" s="48">
        <v>1</v>
      </c>
      <c r="J1267" s="48">
        <v>19</v>
      </c>
      <c r="K1267" s="48">
        <v>1</v>
      </c>
      <c r="N1267" s="48">
        <v>0</v>
      </c>
      <c r="R1267" s="49"/>
      <c r="S1267" s="49"/>
      <c r="T1267" s="49">
        <v>46507</v>
      </c>
      <c r="U1267" s="49">
        <v>46507</v>
      </c>
      <c r="V1267" s="49">
        <v>46507</v>
      </c>
      <c r="W1267" s="49">
        <v>46507</v>
      </c>
      <c r="X1267" s="48">
        <v>1</v>
      </c>
      <c r="Y1267" s="48">
        <v>1</v>
      </c>
      <c r="Z1267" s="48">
        <v>1</v>
      </c>
      <c r="AA1267" s="156">
        <v>7742547613.9869385</v>
      </c>
      <c r="AF1267" s="48">
        <v>0</v>
      </c>
      <c r="AG1267" s="49" t="s">
        <v>41</v>
      </c>
      <c r="AH1267" s="48">
        <v>1</v>
      </c>
      <c r="AI1267" s="48" t="s">
        <v>33</v>
      </c>
      <c r="AJ1267" s="48" t="s">
        <v>33</v>
      </c>
      <c r="AK1267" s="48" t="s">
        <v>33</v>
      </c>
      <c r="AL1267" s="48" t="s">
        <v>34</v>
      </c>
      <c r="AN1267" s="48">
        <v>0</v>
      </c>
      <c r="AO1267" s="48">
        <v>0</v>
      </c>
      <c r="AP1267" s="48">
        <v>0</v>
      </c>
      <c r="AQ1267" s="48">
        <v>0</v>
      </c>
      <c r="AR1267" s="48">
        <v>0</v>
      </c>
      <c r="AS1267" s="48">
        <v>0</v>
      </c>
      <c r="AT1267" s="48">
        <v>0</v>
      </c>
      <c r="AU1267" s="48">
        <v>0</v>
      </c>
      <c r="AV1267" s="48">
        <v>0</v>
      </c>
      <c r="AW1267" s="48">
        <v>0</v>
      </c>
      <c r="AX1267" s="48">
        <v>0</v>
      </c>
      <c r="AY1267" s="48">
        <v>0</v>
      </c>
      <c r="AZ1267" s="48">
        <v>0</v>
      </c>
      <c r="BA1267" s="48">
        <v>0</v>
      </c>
      <c r="BB1267" s="48">
        <v>0</v>
      </c>
    </row>
    <row r="1268" spans="1:54" x14ac:dyDescent="0.35">
      <c r="A1268" s="49">
        <v>45930</v>
      </c>
      <c r="B1268" s="48">
        <v>1</v>
      </c>
      <c r="C1268" s="50" t="s">
        <v>41</v>
      </c>
      <c r="D1268" s="48" t="s">
        <v>31</v>
      </c>
      <c r="E1268" s="48" t="s">
        <v>138</v>
      </c>
      <c r="F1268" s="48" t="s">
        <v>139</v>
      </c>
      <c r="G1268" s="49" t="s">
        <v>180</v>
      </c>
      <c r="H1268" s="48" t="s">
        <v>181</v>
      </c>
      <c r="I1268" s="48">
        <v>1</v>
      </c>
      <c r="J1268" s="48">
        <v>20</v>
      </c>
      <c r="K1268" s="48">
        <v>1</v>
      </c>
      <c r="N1268" s="48">
        <v>0</v>
      </c>
      <c r="R1268" s="49"/>
      <c r="S1268" s="49"/>
      <c r="T1268" s="49">
        <v>46538</v>
      </c>
      <c r="U1268" s="49">
        <v>46538</v>
      </c>
      <c r="V1268" s="49">
        <v>46538</v>
      </c>
      <c r="W1268" s="49">
        <v>46538</v>
      </c>
      <c r="X1268" s="48">
        <v>1</v>
      </c>
      <c r="Y1268" s="48">
        <v>1</v>
      </c>
      <c r="Z1268" s="48">
        <v>1</v>
      </c>
      <c r="AA1268" s="156">
        <v>7667807975.3985596</v>
      </c>
      <c r="AF1268" s="48">
        <v>0</v>
      </c>
      <c r="AG1268" s="49" t="s">
        <v>41</v>
      </c>
      <c r="AH1268" s="48">
        <v>1</v>
      </c>
      <c r="AI1268" s="48" t="s">
        <v>33</v>
      </c>
      <c r="AJ1268" s="48" t="s">
        <v>33</v>
      </c>
      <c r="AK1268" s="48" t="s">
        <v>33</v>
      </c>
      <c r="AL1268" s="48" t="s">
        <v>34</v>
      </c>
      <c r="AN1268" s="48">
        <v>0</v>
      </c>
      <c r="AO1268" s="48">
        <v>0</v>
      </c>
      <c r="AP1268" s="48">
        <v>0</v>
      </c>
      <c r="AQ1268" s="48">
        <v>0</v>
      </c>
      <c r="AR1268" s="48">
        <v>0</v>
      </c>
      <c r="AS1268" s="48">
        <v>0</v>
      </c>
      <c r="AT1268" s="48">
        <v>0</v>
      </c>
      <c r="AU1268" s="48">
        <v>0</v>
      </c>
      <c r="AV1268" s="48">
        <v>0</v>
      </c>
      <c r="AW1268" s="48">
        <v>0</v>
      </c>
      <c r="AX1268" s="48">
        <v>0</v>
      </c>
      <c r="AY1268" s="48">
        <v>0</v>
      </c>
      <c r="AZ1268" s="48">
        <v>0</v>
      </c>
      <c r="BA1268" s="48">
        <v>0</v>
      </c>
      <c r="BB1268" s="48">
        <v>0</v>
      </c>
    </row>
    <row r="1269" spans="1:54" x14ac:dyDescent="0.35">
      <c r="A1269" s="49">
        <v>45930</v>
      </c>
      <c r="B1269" s="48">
        <v>1</v>
      </c>
      <c r="C1269" s="50" t="s">
        <v>41</v>
      </c>
      <c r="D1269" s="48" t="s">
        <v>31</v>
      </c>
      <c r="E1269" s="48" t="s">
        <v>138</v>
      </c>
      <c r="F1269" s="48" t="s">
        <v>139</v>
      </c>
      <c r="G1269" s="49" t="s">
        <v>180</v>
      </c>
      <c r="H1269" s="48" t="s">
        <v>181</v>
      </c>
      <c r="I1269" s="48">
        <v>1</v>
      </c>
      <c r="J1269" s="48">
        <v>21</v>
      </c>
      <c r="K1269" s="48">
        <v>1</v>
      </c>
      <c r="N1269" s="48">
        <v>0</v>
      </c>
      <c r="R1269" s="49"/>
      <c r="S1269" s="49"/>
      <c r="T1269" s="49">
        <v>46568</v>
      </c>
      <c r="U1269" s="49">
        <v>46568</v>
      </c>
      <c r="V1269" s="49">
        <v>46568</v>
      </c>
      <c r="W1269" s="49">
        <v>46568</v>
      </c>
      <c r="X1269" s="48">
        <v>1</v>
      </c>
      <c r="Y1269" s="48">
        <v>1</v>
      </c>
      <c r="Z1269" s="48">
        <v>1</v>
      </c>
      <c r="AA1269" s="156">
        <v>7593789806.5195313</v>
      </c>
      <c r="AF1269" s="48">
        <v>0</v>
      </c>
      <c r="AG1269" s="49" t="s">
        <v>41</v>
      </c>
      <c r="AH1269" s="48">
        <v>1</v>
      </c>
      <c r="AI1269" s="48" t="s">
        <v>33</v>
      </c>
      <c r="AJ1269" s="48" t="s">
        <v>33</v>
      </c>
      <c r="AK1269" s="48" t="s">
        <v>33</v>
      </c>
      <c r="AL1269" s="48" t="s">
        <v>34</v>
      </c>
      <c r="AN1269" s="48">
        <v>0</v>
      </c>
      <c r="AO1269" s="48">
        <v>0</v>
      </c>
      <c r="AP1269" s="48">
        <v>0</v>
      </c>
      <c r="AQ1269" s="48">
        <v>0</v>
      </c>
      <c r="AR1269" s="48">
        <v>0</v>
      </c>
      <c r="AS1269" s="48">
        <v>0</v>
      </c>
      <c r="AT1269" s="48">
        <v>0</v>
      </c>
      <c r="AU1269" s="48">
        <v>0</v>
      </c>
      <c r="AV1269" s="48">
        <v>0</v>
      </c>
      <c r="AW1269" s="48">
        <v>0</v>
      </c>
      <c r="AX1269" s="48">
        <v>0</v>
      </c>
      <c r="AY1269" s="48">
        <v>0</v>
      </c>
      <c r="AZ1269" s="48">
        <v>0</v>
      </c>
      <c r="BA1269" s="48">
        <v>0</v>
      </c>
      <c r="BB1269" s="48">
        <v>0</v>
      </c>
    </row>
    <row r="1270" spans="1:54" x14ac:dyDescent="0.35">
      <c r="A1270" s="49">
        <v>45930</v>
      </c>
      <c r="B1270" s="48">
        <v>1</v>
      </c>
      <c r="C1270" s="50" t="s">
        <v>41</v>
      </c>
      <c r="D1270" s="48" t="s">
        <v>31</v>
      </c>
      <c r="E1270" s="48" t="s">
        <v>138</v>
      </c>
      <c r="F1270" s="48" t="s">
        <v>139</v>
      </c>
      <c r="G1270" s="49" t="s">
        <v>180</v>
      </c>
      <c r="H1270" s="48" t="s">
        <v>181</v>
      </c>
      <c r="I1270" s="48">
        <v>1</v>
      </c>
      <c r="J1270" s="48">
        <v>22</v>
      </c>
      <c r="K1270" s="48">
        <v>1</v>
      </c>
      <c r="N1270" s="48">
        <v>0</v>
      </c>
      <c r="R1270" s="49"/>
      <c r="S1270" s="49"/>
      <c r="T1270" s="49">
        <v>46599</v>
      </c>
      <c r="U1270" s="49">
        <v>46599</v>
      </c>
      <c r="V1270" s="49">
        <v>46599</v>
      </c>
      <c r="W1270" s="49">
        <v>46599</v>
      </c>
      <c r="X1270" s="48">
        <v>1</v>
      </c>
      <c r="Y1270" s="48">
        <v>1</v>
      </c>
      <c r="Z1270" s="48">
        <v>1</v>
      </c>
      <c r="AA1270" s="156">
        <v>7520486142.9256592</v>
      </c>
      <c r="AF1270" s="48">
        <v>0</v>
      </c>
      <c r="AG1270" s="49" t="s">
        <v>41</v>
      </c>
      <c r="AH1270" s="48">
        <v>1</v>
      </c>
      <c r="AI1270" s="48" t="s">
        <v>33</v>
      </c>
      <c r="AJ1270" s="48" t="s">
        <v>33</v>
      </c>
      <c r="AK1270" s="48" t="s">
        <v>33</v>
      </c>
      <c r="AL1270" s="48" t="s">
        <v>34</v>
      </c>
      <c r="AN1270" s="48">
        <v>0</v>
      </c>
      <c r="AO1270" s="48">
        <v>0</v>
      </c>
      <c r="AP1270" s="48">
        <v>0</v>
      </c>
      <c r="AQ1270" s="48">
        <v>0</v>
      </c>
      <c r="AR1270" s="48">
        <v>0</v>
      </c>
      <c r="AS1270" s="48">
        <v>0</v>
      </c>
      <c r="AT1270" s="48">
        <v>0</v>
      </c>
      <c r="AU1270" s="48">
        <v>0</v>
      </c>
      <c r="AV1270" s="48">
        <v>0</v>
      </c>
      <c r="AW1270" s="48">
        <v>0</v>
      </c>
      <c r="AX1270" s="48">
        <v>0</v>
      </c>
      <c r="AY1270" s="48">
        <v>0</v>
      </c>
      <c r="AZ1270" s="48">
        <v>0</v>
      </c>
      <c r="BA1270" s="48">
        <v>0</v>
      </c>
      <c r="BB1270" s="48">
        <v>0</v>
      </c>
    </row>
    <row r="1271" spans="1:54" x14ac:dyDescent="0.35">
      <c r="A1271" s="49">
        <v>45930</v>
      </c>
      <c r="B1271" s="48">
        <v>1</v>
      </c>
      <c r="C1271" s="50" t="s">
        <v>41</v>
      </c>
      <c r="D1271" s="48" t="s">
        <v>31</v>
      </c>
      <c r="E1271" s="48" t="s">
        <v>138</v>
      </c>
      <c r="F1271" s="48" t="s">
        <v>139</v>
      </c>
      <c r="G1271" s="49" t="s">
        <v>180</v>
      </c>
      <c r="H1271" s="48" t="s">
        <v>181</v>
      </c>
      <c r="I1271" s="48">
        <v>1</v>
      </c>
      <c r="J1271" s="48">
        <v>23</v>
      </c>
      <c r="K1271" s="48">
        <v>1</v>
      </c>
      <c r="N1271" s="48">
        <v>0</v>
      </c>
      <c r="R1271" s="49"/>
      <c r="S1271" s="49"/>
      <c r="T1271" s="49">
        <v>46630</v>
      </c>
      <c r="U1271" s="49">
        <v>46630</v>
      </c>
      <c r="V1271" s="49">
        <v>46630</v>
      </c>
      <c r="W1271" s="49">
        <v>46630</v>
      </c>
      <c r="X1271" s="48">
        <v>1</v>
      </c>
      <c r="Y1271" s="48">
        <v>1</v>
      </c>
      <c r="Z1271" s="48">
        <v>1</v>
      </c>
      <c r="AA1271" s="156">
        <v>7447890087.4211426</v>
      </c>
      <c r="AF1271" s="48">
        <v>0</v>
      </c>
      <c r="AG1271" s="49" t="s">
        <v>41</v>
      </c>
      <c r="AH1271" s="48">
        <v>1</v>
      </c>
      <c r="AI1271" s="48" t="s">
        <v>33</v>
      </c>
      <c r="AJ1271" s="48" t="s">
        <v>33</v>
      </c>
      <c r="AK1271" s="48" t="s">
        <v>33</v>
      </c>
      <c r="AL1271" s="48" t="s">
        <v>34</v>
      </c>
      <c r="AN1271" s="48">
        <v>0</v>
      </c>
      <c r="AO1271" s="48">
        <v>0</v>
      </c>
      <c r="AP1271" s="48">
        <v>0</v>
      </c>
      <c r="AQ1271" s="48">
        <v>0</v>
      </c>
      <c r="AR1271" s="48">
        <v>0</v>
      </c>
      <c r="AS1271" s="48">
        <v>0</v>
      </c>
      <c r="AT1271" s="48">
        <v>0</v>
      </c>
      <c r="AU1271" s="48">
        <v>0</v>
      </c>
      <c r="AV1271" s="48">
        <v>0</v>
      </c>
      <c r="AW1271" s="48">
        <v>0</v>
      </c>
      <c r="AX1271" s="48">
        <v>0</v>
      </c>
      <c r="AY1271" s="48">
        <v>0</v>
      </c>
      <c r="AZ1271" s="48">
        <v>0</v>
      </c>
      <c r="BA1271" s="48">
        <v>0</v>
      </c>
      <c r="BB1271" s="48">
        <v>0</v>
      </c>
    </row>
    <row r="1272" spans="1:54" x14ac:dyDescent="0.35">
      <c r="A1272" s="49">
        <v>45930</v>
      </c>
      <c r="B1272" s="48">
        <v>1</v>
      </c>
      <c r="C1272" s="50" t="s">
        <v>41</v>
      </c>
      <c r="D1272" s="48" t="s">
        <v>31</v>
      </c>
      <c r="E1272" s="48" t="s">
        <v>138</v>
      </c>
      <c r="F1272" s="48" t="s">
        <v>139</v>
      </c>
      <c r="G1272" s="49" t="s">
        <v>180</v>
      </c>
      <c r="H1272" s="48" t="s">
        <v>181</v>
      </c>
      <c r="I1272" s="48">
        <v>1</v>
      </c>
      <c r="J1272" s="48">
        <v>24</v>
      </c>
      <c r="K1272" s="48">
        <v>1</v>
      </c>
      <c r="N1272" s="48">
        <v>0</v>
      </c>
      <c r="R1272" s="49"/>
      <c r="S1272" s="49"/>
      <c r="T1272" s="49">
        <v>46660</v>
      </c>
      <c r="U1272" s="49">
        <v>46660</v>
      </c>
      <c r="V1272" s="49">
        <v>46660</v>
      </c>
      <c r="W1272" s="49">
        <v>46660</v>
      </c>
      <c r="X1272" s="48">
        <v>1</v>
      </c>
      <c r="Y1272" s="48">
        <v>1</v>
      </c>
      <c r="Z1272" s="48">
        <v>1</v>
      </c>
      <c r="AA1272" s="156">
        <v>7375994809.3895264</v>
      </c>
      <c r="AF1272" s="48">
        <v>0</v>
      </c>
      <c r="AG1272" s="49" t="s">
        <v>41</v>
      </c>
      <c r="AH1272" s="48">
        <v>1</v>
      </c>
      <c r="AI1272" s="48" t="s">
        <v>33</v>
      </c>
      <c r="AJ1272" s="48" t="s">
        <v>33</v>
      </c>
      <c r="AK1272" s="48" t="s">
        <v>33</v>
      </c>
      <c r="AL1272" s="48" t="s">
        <v>34</v>
      </c>
      <c r="AN1272" s="48">
        <v>0</v>
      </c>
      <c r="AO1272" s="48">
        <v>0</v>
      </c>
      <c r="AP1272" s="48">
        <v>0</v>
      </c>
      <c r="AQ1272" s="48">
        <v>0</v>
      </c>
      <c r="AR1272" s="48">
        <v>0</v>
      </c>
      <c r="AS1272" s="48">
        <v>0</v>
      </c>
      <c r="AT1272" s="48">
        <v>0</v>
      </c>
      <c r="AU1272" s="48">
        <v>0</v>
      </c>
      <c r="AV1272" s="48">
        <v>0</v>
      </c>
      <c r="AW1272" s="48">
        <v>0</v>
      </c>
      <c r="AX1272" s="48">
        <v>0</v>
      </c>
      <c r="AY1272" s="48">
        <v>0</v>
      </c>
      <c r="AZ1272" s="48">
        <v>0</v>
      </c>
      <c r="BA1272" s="48">
        <v>0</v>
      </c>
      <c r="BB1272" s="48">
        <v>0</v>
      </c>
    </row>
    <row r="1273" spans="1:54" x14ac:dyDescent="0.35">
      <c r="A1273" s="49">
        <v>45930</v>
      </c>
      <c r="B1273" s="48">
        <v>1</v>
      </c>
      <c r="C1273" s="50" t="s">
        <v>41</v>
      </c>
      <c r="D1273" s="48" t="s">
        <v>31</v>
      </c>
      <c r="E1273" s="48" t="s">
        <v>138</v>
      </c>
      <c r="F1273" s="48" t="s">
        <v>139</v>
      </c>
      <c r="G1273" s="49" t="s">
        <v>180</v>
      </c>
      <c r="H1273" s="48" t="s">
        <v>181</v>
      </c>
      <c r="I1273" s="48">
        <v>1</v>
      </c>
      <c r="J1273" s="48">
        <v>25</v>
      </c>
      <c r="K1273" s="48">
        <v>1</v>
      </c>
      <c r="N1273" s="48">
        <v>0</v>
      </c>
      <c r="R1273" s="49"/>
      <c r="S1273" s="49"/>
      <c r="T1273" s="49">
        <v>46691</v>
      </c>
      <c r="U1273" s="49">
        <v>46691</v>
      </c>
      <c r="V1273" s="49">
        <v>46691</v>
      </c>
      <c r="W1273" s="49">
        <v>46691</v>
      </c>
      <c r="X1273" s="48">
        <v>1</v>
      </c>
      <c r="Y1273" s="48">
        <v>1</v>
      </c>
      <c r="Z1273" s="48">
        <v>1</v>
      </c>
      <c r="AA1273" s="156">
        <v>7304793544.1513672</v>
      </c>
      <c r="AF1273" s="48">
        <v>0</v>
      </c>
      <c r="AG1273" s="49" t="s">
        <v>41</v>
      </c>
      <c r="AH1273" s="48">
        <v>1</v>
      </c>
      <c r="AI1273" s="48" t="s">
        <v>33</v>
      </c>
      <c r="AJ1273" s="48" t="s">
        <v>33</v>
      </c>
      <c r="AK1273" s="48" t="s">
        <v>33</v>
      </c>
      <c r="AL1273" s="48" t="s">
        <v>34</v>
      </c>
      <c r="AN1273" s="48">
        <v>0</v>
      </c>
      <c r="AO1273" s="48">
        <v>0</v>
      </c>
      <c r="AP1273" s="48">
        <v>0</v>
      </c>
      <c r="AQ1273" s="48">
        <v>0</v>
      </c>
      <c r="AR1273" s="48">
        <v>0</v>
      </c>
      <c r="AS1273" s="48">
        <v>0</v>
      </c>
      <c r="AT1273" s="48">
        <v>0</v>
      </c>
      <c r="AU1273" s="48">
        <v>0</v>
      </c>
      <c r="AV1273" s="48">
        <v>0</v>
      </c>
      <c r="AW1273" s="48">
        <v>0</v>
      </c>
      <c r="AX1273" s="48">
        <v>0</v>
      </c>
      <c r="AY1273" s="48">
        <v>0</v>
      </c>
      <c r="AZ1273" s="48">
        <v>0</v>
      </c>
      <c r="BA1273" s="48">
        <v>0</v>
      </c>
      <c r="BB1273" s="48">
        <v>0</v>
      </c>
    </row>
    <row r="1274" spans="1:54" x14ac:dyDescent="0.35">
      <c r="A1274" s="49">
        <v>45930</v>
      </c>
      <c r="B1274" s="48">
        <v>1</v>
      </c>
      <c r="C1274" s="50" t="s">
        <v>41</v>
      </c>
      <c r="D1274" s="48" t="s">
        <v>31</v>
      </c>
      <c r="E1274" s="48" t="s">
        <v>138</v>
      </c>
      <c r="F1274" s="48" t="s">
        <v>139</v>
      </c>
      <c r="G1274" s="49" t="s">
        <v>180</v>
      </c>
      <c r="H1274" s="48" t="s">
        <v>181</v>
      </c>
      <c r="I1274" s="48">
        <v>1</v>
      </c>
      <c r="J1274" s="48">
        <v>26</v>
      </c>
      <c r="K1274" s="48">
        <v>1</v>
      </c>
      <c r="N1274" s="48">
        <v>0</v>
      </c>
      <c r="R1274" s="49"/>
      <c r="S1274" s="49"/>
      <c r="T1274" s="49">
        <v>46721</v>
      </c>
      <c r="U1274" s="49">
        <v>46721</v>
      </c>
      <c r="V1274" s="49">
        <v>46721</v>
      </c>
      <c r="W1274" s="49">
        <v>46721</v>
      </c>
      <c r="X1274" s="48">
        <v>1</v>
      </c>
      <c r="Y1274" s="48">
        <v>1</v>
      </c>
      <c r="Z1274" s="48">
        <v>1</v>
      </c>
      <c r="AA1274" s="156">
        <v>7234279592.3265381</v>
      </c>
      <c r="AF1274" s="48">
        <v>0</v>
      </c>
      <c r="AG1274" s="49" t="s">
        <v>41</v>
      </c>
      <c r="AH1274" s="48">
        <v>1</v>
      </c>
      <c r="AI1274" s="48" t="s">
        <v>33</v>
      </c>
      <c r="AJ1274" s="48" t="s">
        <v>33</v>
      </c>
      <c r="AK1274" s="48" t="s">
        <v>33</v>
      </c>
      <c r="AL1274" s="48" t="s">
        <v>34</v>
      </c>
      <c r="AN1274" s="48">
        <v>0</v>
      </c>
      <c r="AO1274" s="48">
        <v>0</v>
      </c>
      <c r="AP1274" s="48">
        <v>0</v>
      </c>
      <c r="AQ1274" s="48">
        <v>0</v>
      </c>
      <c r="AR1274" s="48">
        <v>0</v>
      </c>
      <c r="AS1274" s="48">
        <v>0</v>
      </c>
      <c r="AT1274" s="48">
        <v>0</v>
      </c>
      <c r="AU1274" s="48">
        <v>0</v>
      </c>
      <c r="AV1274" s="48">
        <v>0</v>
      </c>
      <c r="AW1274" s="48">
        <v>0</v>
      </c>
      <c r="AX1274" s="48">
        <v>0</v>
      </c>
      <c r="AY1274" s="48">
        <v>0</v>
      </c>
      <c r="AZ1274" s="48">
        <v>0</v>
      </c>
      <c r="BA1274" s="48">
        <v>0</v>
      </c>
      <c r="BB1274" s="48">
        <v>0</v>
      </c>
    </row>
    <row r="1275" spans="1:54" x14ac:dyDescent="0.35">
      <c r="A1275" s="49">
        <v>45930</v>
      </c>
      <c r="B1275" s="48">
        <v>1</v>
      </c>
      <c r="C1275" s="50" t="s">
        <v>41</v>
      </c>
      <c r="D1275" s="48" t="s">
        <v>31</v>
      </c>
      <c r="E1275" s="48" t="s">
        <v>138</v>
      </c>
      <c r="F1275" s="48" t="s">
        <v>139</v>
      </c>
      <c r="G1275" s="49" t="s">
        <v>180</v>
      </c>
      <c r="H1275" s="48" t="s">
        <v>181</v>
      </c>
      <c r="I1275" s="48">
        <v>1</v>
      </c>
      <c r="J1275" s="48">
        <v>27</v>
      </c>
      <c r="K1275" s="48">
        <v>1</v>
      </c>
      <c r="N1275" s="48">
        <v>0</v>
      </c>
      <c r="R1275" s="49"/>
      <c r="S1275" s="49"/>
      <c r="T1275" s="49">
        <v>46752</v>
      </c>
      <c r="U1275" s="49">
        <v>46752</v>
      </c>
      <c r="V1275" s="49">
        <v>46752</v>
      </c>
      <c r="W1275" s="49">
        <v>46752</v>
      </c>
      <c r="X1275" s="48">
        <v>1</v>
      </c>
      <c r="Y1275" s="48">
        <v>1</v>
      </c>
      <c r="Z1275" s="48">
        <v>1</v>
      </c>
      <c r="AA1275" s="156">
        <v>7164446319.2059326</v>
      </c>
      <c r="AF1275" s="48">
        <v>0</v>
      </c>
      <c r="AG1275" s="49" t="s">
        <v>41</v>
      </c>
      <c r="AH1275" s="48">
        <v>1</v>
      </c>
      <c r="AI1275" s="48" t="s">
        <v>33</v>
      </c>
      <c r="AJ1275" s="48" t="s">
        <v>33</v>
      </c>
      <c r="AK1275" s="48" t="s">
        <v>33</v>
      </c>
      <c r="AL1275" s="48" t="s">
        <v>34</v>
      </c>
      <c r="AN1275" s="48">
        <v>0</v>
      </c>
      <c r="AO1275" s="48">
        <v>0</v>
      </c>
      <c r="AP1275" s="48">
        <v>0</v>
      </c>
      <c r="AQ1275" s="48">
        <v>0</v>
      </c>
      <c r="AR1275" s="48">
        <v>0</v>
      </c>
      <c r="AS1275" s="48">
        <v>0</v>
      </c>
      <c r="AT1275" s="48">
        <v>0</v>
      </c>
      <c r="AU1275" s="48">
        <v>0</v>
      </c>
      <c r="AV1275" s="48">
        <v>0</v>
      </c>
      <c r="AW1275" s="48">
        <v>0</v>
      </c>
      <c r="AX1275" s="48">
        <v>0</v>
      </c>
      <c r="AY1275" s="48">
        <v>0</v>
      </c>
      <c r="AZ1275" s="48">
        <v>0</v>
      </c>
      <c r="BA1275" s="48">
        <v>0</v>
      </c>
      <c r="BB1275" s="48">
        <v>0</v>
      </c>
    </row>
    <row r="1276" spans="1:54" x14ac:dyDescent="0.35">
      <c r="A1276" s="49">
        <v>45930</v>
      </c>
      <c r="B1276" s="48">
        <v>1</v>
      </c>
      <c r="C1276" s="50" t="s">
        <v>41</v>
      </c>
      <c r="D1276" s="48" t="s">
        <v>31</v>
      </c>
      <c r="E1276" s="48" t="s">
        <v>138</v>
      </c>
      <c r="F1276" s="48" t="s">
        <v>139</v>
      </c>
      <c r="G1276" s="49" t="s">
        <v>180</v>
      </c>
      <c r="H1276" s="48" t="s">
        <v>181</v>
      </c>
      <c r="I1276" s="48">
        <v>1</v>
      </c>
      <c r="J1276" s="48">
        <v>28</v>
      </c>
      <c r="K1276" s="48">
        <v>1</v>
      </c>
      <c r="N1276" s="48">
        <v>0</v>
      </c>
      <c r="R1276" s="49"/>
      <c r="S1276" s="49"/>
      <c r="T1276" s="49">
        <v>46783</v>
      </c>
      <c r="U1276" s="49">
        <v>46783</v>
      </c>
      <c r="V1276" s="49">
        <v>46783</v>
      </c>
      <c r="W1276" s="49">
        <v>46783</v>
      </c>
      <c r="X1276" s="48">
        <v>1</v>
      </c>
      <c r="Y1276" s="48">
        <v>1</v>
      </c>
      <c r="Z1276" s="48">
        <v>1</v>
      </c>
      <c r="AA1276" s="156">
        <v>7095287154.125</v>
      </c>
      <c r="AF1276" s="48">
        <v>0</v>
      </c>
      <c r="AG1276" s="49" t="s">
        <v>41</v>
      </c>
      <c r="AH1276" s="48">
        <v>1</v>
      </c>
      <c r="AI1276" s="48" t="s">
        <v>33</v>
      </c>
      <c r="AJ1276" s="48" t="s">
        <v>33</v>
      </c>
      <c r="AK1276" s="48" t="s">
        <v>33</v>
      </c>
      <c r="AL1276" s="48" t="s">
        <v>34</v>
      </c>
      <c r="AN1276" s="48">
        <v>0</v>
      </c>
      <c r="AO1276" s="48">
        <v>0</v>
      </c>
      <c r="AP1276" s="48">
        <v>0</v>
      </c>
      <c r="AQ1276" s="48">
        <v>0</v>
      </c>
      <c r="AR1276" s="48">
        <v>0</v>
      </c>
      <c r="AS1276" s="48">
        <v>0</v>
      </c>
      <c r="AT1276" s="48">
        <v>0</v>
      </c>
      <c r="AU1276" s="48">
        <v>0</v>
      </c>
      <c r="AV1276" s="48">
        <v>0</v>
      </c>
      <c r="AW1276" s="48">
        <v>0</v>
      </c>
      <c r="AX1276" s="48">
        <v>0</v>
      </c>
      <c r="AY1276" s="48">
        <v>0</v>
      </c>
      <c r="AZ1276" s="48">
        <v>0</v>
      </c>
      <c r="BA1276" s="48">
        <v>0</v>
      </c>
      <c r="BB1276" s="48">
        <v>0</v>
      </c>
    </row>
    <row r="1277" spans="1:54" x14ac:dyDescent="0.35">
      <c r="A1277" s="49">
        <v>45930</v>
      </c>
      <c r="B1277" s="48">
        <v>1</v>
      </c>
      <c r="C1277" s="50" t="s">
        <v>41</v>
      </c>
      <c r="D1277" s="48" t="s">
        <v>31</v>
      </c>
      <c r="E1277" s="48" t="s">
        <v>138</v>
      </c>
      <c r="F1277" s="48" t="s">
        <v>139</v>
      </c>
      <c r="G1277" s="49" t="s">
        <v>180</v>
      </c>
      <c r="H1277" s="48" t="s">
        <v>181</v>
      </c>
      <c r="I1277" s="48">
        <v>1</v>
      </c>
      <c r="J1277" s="48">
        <v>29</v>
      </c>
      <c r="K1277" s="48">
        <v>1</v>
      </c>
      <c r="N1277" s="48">
        <v>0</v>
      </c>
      <c r="R1277" s="49"/>
      <c r="S1277" s="49"/>
      <c r="T1277" s="49">
        <v>46812</v>
      </c>
      <c r="U1277" s="49">
        <v>46812</v>
      </c>
      <c r="V1277" s="49">
        <v>46812</v>
      </c>
      <c r="W1277" s="49">
        <v>46812</v>
      </c>
      <c r="X1277" s="48">
        <v>1</v>
      </c>
      <c r="Y1277" s="48">
        <v>1</v>
      </c>
      <c r="Z1277" s="48">
        <v>1</v>
      </c>
      <c r="AA1277" s="156">
        <v>7026795589.8468018</v>
      </c>
      <c r="AF1277" s="48">
        <v>0</v>
      </c>
      <c r="AG1277" s="49" t="s">
        <v>41</v>
      </c>
      <c r="AH1277" s="48">
        <v>1</v>
      </c>
      <c r="AI1277" s="48" t="s">
        <v>33</v>
      </c>
      <c r="AJ1277" s="48" t="s">
        <v>33</v>
      </c>
      <c r="AK1277" s="48" t="s">
        <v>33</v>
      </c>
      <c r="AL1277" s="48" t="s">
        <v>34</v>
      </c>
      <c r="AN1277" s="48">
        <v>0</v>
      </c>
      <c r="AO1277" s="48">
        <v>0</v>
      </c>
      <c r="AP1277" s="48">
        <v>0</v>
      </c>
      <c r="AQ1277" s="48">
        <v>0</v>
      </c>
      <c r="AR1277" s="48">
        <v>0</v>
      </c>
      <c r="AS1277" s="48">
        <v>0</v>
      </c>
      <c r="AT1277" s="48">
        <v>0</v>
      </c>
      <c r="AU1277" s="48">
        <v>0</v>
      </c>
      <c r="AV1277" s="48">
        <v>0</v>
      </c>
      <c r="AW1277" s="48">
        <v>0</v>
      </c>
      <c r="AX1277" s="48">
        <v>0</v>
      </c>
      <c r="AY1277" s="48">
        <v>0</v>
      </c>
      <c r="AZ1277" s="48">
        <v>0</v>
      </c>
      <c r="BA1277" s="48">
        <v>0</v>
      </c>
      <c r="BB1277" s="48">
        <v>0</v>
      </c>
    </row>
    <row r="1278" spans="1:54" x14ac:dyDescent="0.35">
      <c r="A1278" s="49">
        <v>45930</v>
      </c>
      <c r="B1278" s="48">
        <v>1</v>
      </c>
      <c r="C1278" s="50" t="s">
        <v>41</v>
      </c>
      <c r="D1278" s="48" t="s">
        <v>31</v>
      </c>
      <c r="E1278" s="48" t="s">
        <v>138</v>
      </c>
      <c r="F1278" s="48" t="s">
        <v>139</v>
      </c>
      <c r="G1278" s="49" t="s">
        <v>180</v>
      </c>
      <c r="H1278" s="48" t="s">
        <v>181</v>
      </c>
      <c r="I1278" s="48">
        <v>1</v>
      </c>
      <c r="J1278" s="48">
        <v>30</v>
      </c>
      <c r="K1278" s="48">
        <v>1</v>
      </c>
      <c r="N1278" s="48">
        <v>0</v>
      </c>
      <c r="R1278" s="49"/>
      <c r="S1278" s="49"/>
      <c r="T1278" s="49">
        <v>46843</v>
      </c>
      <c r="U1278" s="49">
        <v>46843</v>
      </c>
      <c r="V1278" s="49">
        <v>46843</v>
      </c>
      <c r="W1278" s="49">
        <v>46843</v>
      </c>
      <c r="X1278" s="48">
        <v>1</v>
      </c>
      <c r="Y1278" s="48">
        <v>1</v>
      </c>
      <c r="Z1278" s="48">
        <v>1</v>
      </c>
      <c r="AA1278" s="156">
        <v>6958965181.949585</v>
      </c>
      <c r="AF1278" s="48">
        <v>0</v>
      </c>
      <c r="AG1278" s="49" t="s">
        <v>41</v>
      </c>
      <c r="AH1278" s="48">
        <v>1</v>
      </c>
      <c r="AI1278" s="48" t="s">
        <v>33</v>
      </c>
      <c r="AJ1278" s="48" t="s">
        <v>33</v>
      </c>
      <c r="AK1278" s="48" t="s">
        <v>33</v>
      </c>
      <c r="AL1278" s="48" t="s">
        <v>34</v>
      </c>
      <c r="AN1278" s="48">
        <v>0</v>
      </c>
      <c r="AO1278" s="48">
        <v>0</v>
      </c>
      <c r="AP1278" s="48">
        <v>0</v>
      </c>
      <c r="AQ1278" s="48">
        <v>0</v>
      </c>
      <c r="AR1278" s="48">
        <v>0</v>
      </c>
      <c r="AS1278" s="48">
        <v>0</v>
      </c>
      <c r="AT1278" s="48">
        <v>0</v>
      </c>
      <c r="AU1278" s="48">
        <v>0</v>
      </c>
      <c r="AV1278" s="48">
        <v>0</v>
      </c>
      <c r="AW1278" s="48">
        <v>0</v>
      </c>
      <c r="AX1278" s="48">
        <v>0</v>
      </c>
      <c r="AY1278" s="48">
        <v>0</v>
      </c>
      <c r="AZ1278" s="48">
        <v>0</v>
      </c>
      <c r="BA1278" s="48">
        <v>0</v>
      </c>
      <c r="BB1278" s="48">
        <v>0</v>
      </c>
    </row>
    <row r="1279" spans="1:54" x14ac:dyDescent="0.35">
      <c r="A1279" s="49">
        <v>45930</v>
      </c>
      <c r="B1279" s="48">
        <v>1</v>
      </c>
      <c r="C1279" s="50" t="s">
        <v>41</v>
      </c>
      <c r="D1279" s="48" t="s">
        <v>31</v>
      </c>
      <c r="E1279" s="48" t="s">
        <v>138</v>
      </c>
      <c r="F1279" s="48" t="s">
        <v>139</v>
      </c>
      <c r="G1279" s="49" t="s">
        <v>180</v>
      </c>
      <c r="H1279" s="48" t="s">
        <v>181</v>
      </c>
      <c r="I1279" s="48">
        <v>1</v>
      </c>
      <c r="J1279" s="48">
        <v>31</v>
      </c>
      <c r="K1279" s="48">
        <v>1</v>
      </c>
      <c r="N1279" s="48">
        <v>0</v>
      </c>
      <c r="R1279" s="49"/>
      <c r="S1279" s="49"/>
      <c r="T1279" s="49">
        <v>46873</v>
      </c>
      <c r="U1279" s="49">
        <v>46873</v>
      </c>
      <c r="V1279" s="49">
        <v>46873</v>
      </c>
      <c r="W1279" s="49">
        <v>46873</v>
      </c>
      <c r="X1279" s="48">
        <v>1</v>
      </c>
      <c r="Y1279" s="48">
        <v>1</v>
      </c>
      <c r="Z1279" s="48">
        <v>1</v>
      </c>
      <c r="AA1279" s="156">
        <v>6891789548.2203369</v>
      </c>
      <c r="AF1279" s="48">
        <v>0</v>
      </c>
      <c r="AG1279" s="49" t="s">
        <v>41</v>
      </c>
      <c r="AH1279" s="48">
        <v>1</v>
      </c>
      <c r="AI1279" s="48" t="s">
        <v>33</v>
      </c>
      <c r="AJ1279" s="48" t="s">
        <v>33</v>
      </c>
      <c r="AK1279" s="48" t="s">
        <v>33</v>
      </c>
      <c r="AL1279" s="48" t="s">
        <v>34</v>
      </c>
      <c r="AN1279" s="48">
        <v>0</v>
      </c>
      <c r="AO1279" s="48">
        <v>0</v>
      </c>
      <c r="AP1279" s="48">
        <v>0</v>
      </c>
      <c r="AQ1279" s="48">
        <v>0</v>
      </c>
      <c r="AR1279" s="48">
        <v>0</v>
      </c>
      <c r="AS1279" s="48">
        <v>0</v>
      </c>
      <c r="AT1279" s="48">
        <v>0</v>
      </c>
      <c r="AU1279" s="48">
        <v>0</v>
      </c>
      <c r="AV1279" s="48">
        <v>0</v>
      </c>
      <c r="AW1279" s="48">
        <v>0</v>
      </c>
      <c r="AX1279" s="48">
        <v>0</v>
      </c>
      <c r="AY1279" s="48">
        <v>0</v>
      </c>
      <c r="AZ1279" s="48">
        <v>0</v>
      </c>
      <c r="BA1279" s="48">
        <v>0</v>
      </c>
      <c r="BB1279" s="48">
        <v>0</v>
      </c>
    </row>
    <row r="1280" spans="1:54" x14ac:dyDescent="0.35">
      <c r="A1280" s="49">
        <v>45930</v>
      </c>
      <c r="B1280" s="48">
        <v>1</v>
      </c>
      <c r="C1280" s="50" t="s">
        <v>41</v>
      </c>
      <c r="D1280" s="48" t="s">
        <v>31</v>
      </c>
      <c r="E1280" s="48" t="s">
        <v>138</v>
      </c>
      <c r="F1280" s="48" t="s">
        <v>139</v>
      </c>
      <c r="G1280" s="49" t="s">
        <v>180</v>
      </c>
      <c r="H1280" s="48" t="s">
        <v>181</v>
      </c>
      <c r="I1280" s="48">
        <v>1</v>
      </c>
      <c r="J1280" s="48">
        <v>32</v>
      </c>
      <c r="K1280" s="48">
        <v>1</v>
      </c>
      <c r="N1280" s="48">
        <v>0</v>
      </c>
      <c r="R1280" s="49"/>
      <c r="S1280" s="49"/>
      <c r="T1280" s="49">
        <v>46904</v>
      </c>
      <c r="U1280" s="49">
        <v>46904</v>
      </c>
      <c r="V1280" s="49">
        <v>46904</v>
      </c>
      <c r="W1280" s="49">
        <v>46904</v>
      </c>
      <c r="X1280" s="48">
        <v>1</v>
      </c>
      <c r="Y1280" s="48">
        <v>1</v>
      </c>
      <c r="Z1280" s="48">
        <v>1</v>
      </c>
      <c r="AA1280" s="156">
        <v>6825262368.0541992</v>
      </c>
      <c r="AF1280" s="48">
        <v>0</v>
      </c>
      <c r="AG1280" s="49" t="s">
        <v>41</v>
      </c>
      <c r="AH1280" s="48">
        <v>1</v>
      </c>
      <c r="AI1280" s="48" t="s">
        <v>33</v>
      </c>
      <c r="AJ1280" s="48" t="s">
        <v>33</v>
      </c>
      <c r="AK1280" s="48" t="s">
        <v>33</v>
      </c>
      <c r="AL1280" s="48" t="s">
        <v>34</v>
      </c>
      <c r="AN1280" s="48">
        <v>0</v>
      </c>
      <c r="AO1280" s="48">
        <v>0</v>
      </c>
      <c r="AP1280" s="48">
        <v>0</v>
      </c>
      <c r="AQ1280" s="48">
        <v>0</v>
      </c>
      <c r="AR1280" s="48">
        <v>0</v>
      </c>
      <c r="AS1280" s="48">
        <v>0</v>
      </c>
      <c r="AT1280" s="48">
        <v>0</v>
      </c>
      <c r="AU1280" s="48">
        <v>0</v>
      </c>
      <c r="AV1280" s="48">
        <v>0</v>
      </c>
      <c r="AW1280" s="48">
        <v>0</v>
      </c>
      <c r="AX1280" s="48">
        <v>0</v>
      </c>
      <c r="AY1280" s="48">
        <v>0</v>
      </c>
      <c r="AZ1280" s="48">
        <v>0</v>
      </c>
      <c r="BA1280" s="48">
        <v>0</v>
      </c>
      <c r="BB1280" s="48">
        <v>0</v>
      </c>
    </row>
    <row r="1281" spans="1:54" x14ac:dyDescent="0.35">
      <c r="A1281" s="49">
        <v>45930</v>
      </c>
      <c r="B1281" s="48">
        <v>1</v>
      </c>
      <c r="C1281" s="50" t="s">
        <v>41</v>
      </c>
      <c r="D1281" s="48" t="s">
        <v>31</v>
      </c>
      <c r="E1281" s="48" t="s">
        <v>138</v>
      </c>
      <c r="F1281" s="48" t="s">
        <v>139</v>
      </c>
      <c r="G1281" s="49" t="s">
        <v>180</v>
      </c>
      <c r="H1281" s="48" t="s">
        <v>181</v>
      </c>
      <c r="I1281" s="48">
        <v>1</v>
      </c>
      <c r="J1281" s="48">
        <v>33</v>
      </c>
      <c r="K1281" s="48">
        <v>1</v>
      </c>
      <c r="N1281" s="48">
        <v>0</v>
      </c>
      <c r="R1281" s="49"/>
      <c r="S1281" s="49"/>
      <c r="T1281" s="49">
        <v>46934</v>
      </c>
      <c r="U1281" s="49">
        <v>46934</v>
      </c>
      <c r="V1281" s="49">
        <v>46934</v>
      </c>
      <c r="W1281" s="49">
        <v>46934</v>
      </c>
      <c r="X1281" s="48">
        <v>1</v>
      </c>
      <c r="Y1281" s="48">
        <v>1</v>
      </c>
      <c r="Z1281" s="48">
        <v>1</v>
      </c>
      <c r="AA1281" s="156">
        <v>6759377381.8594971</v>
      </c>
      <c r="AF1281" s="48">
        <v>0</v>
      </c>
      <c r="AG1281" s="49" t="s">
        <v>41</v>
      </c>
      <c r="AH1281" s="48">
        <v>1</v>
      </c>
      <c r="AI1281" s="48" t="s">
        <v>33</v>
      </c>
      <c r="AJ1281" s="48" t="s">
        <v>33</v>
      </c>
      <c r="AK1281" s="48" t="s">
        <v>33</v>
      </c>
      <c r="AL1281" s="48" t="s">
        <v>34</v>
      </c>
      <c r="AN1281" s="48">
        <v>0</v>
      </c>
      <c r="AO1281" s="48">
        <v>0</v>
      </c>
      <c r="AP1281" s="48">
        <v>0</v>
      </c>
      <c r="AQ1281" s="48">
        <v>0</v>
      </c>
      <c r="AR1281" s="48">
        <v>0</v>
      </c>
      <c r="AS1281" s="48">
        <v>0</v>
      </c>
      <c r="AT1281" s="48">
        <v>0</v>
      </c>
      <c r="AU1281" s="48">
        <v>0</v>
      </c>
      <c r="AV1281" s="48">
        <v>0</v>
      </c>
      <c r="AW1281" s="48">
        <v>0</v>
      </c>
      <c r="AX1281" s="48">
        <v>0</v>
      </c>
      <c r="AY1281" s="48">
        <v>0</v>
      </c>
      <c r="AZ1281" s="48">
        <v>0</v>
      </c>
      <c r="BA1281" s="48">
        <v>0</v>
      </c>
      <c r="BB1281" s="48">
        <v>0</v>
      </c>
    </row>
    <row r="1282" spans="1:54" x14ac:dyDescent="0.35">
      <c r="A1282" s="49">
        <v>45930</v>
      </c>
      <c r="B1282" s="48">
        <v>1</v>
      </c>
      <c r="C1282" s="50" t="s">
        <v>41</v>
      </c>
      <c r="D1282" s="48" t="s">
        <v>31</v>
      </c>
      <c r="E1282" s="48" t="s">
        <v>138</v>
      </c>
      <c r="F1282" s="48" t="s">
        <v>139</v>
      </c>
      <c r="G1282" s="49" t="s">
        <v>180</v>
      </c>
      <c r="H1282" s="48" t="s">
        <v>181</v>
      </c>
      <c r="I1282" s="48">
        <v>1</v>
      </c>
      <c r="J1282" s="48">
        <v>34</v>
      </c>
      <c r="K1282" s="48">
        <v>1</v>
      </c>
      <c r="N1282" s="48">
        <v>0</v>
      </c>
      <c r="R1282" s="49"/>
      <c r="S1282" s="49"/>
      <c r="T1282" s="49">
        <v>46965</v>
      </c>
      <c r="U1282" s="49">
        <v>46965</v>
      </c>
      <c r="V1282" s="49">
        <v>46965</v>
      </c>
      <c r="W1282" s="49">
        <v>46965</v>
      </c>
      <c r="X1282" s="48">
        <v>1</v>
      </c>
      <c r="Y1282" s="48">
        <v>1</v>
      </c>
      <c r="Z1282" s="48">
        <v>1</v>
      </c>
      <c r="AA1282" s="156">
        <v>6694128390.4693604</v>
      </c>
      <c r="AF1282" s="48">
        <v>0</v>
      </c>
      <c r="AG1282" s="49" t="s">
        <v>41</v>
      </c>
      <c r="AH1282" s="48">
        <v>1</v>
      </c>
      <c r="AI1282" s="48" t="s">
        <v>33</v>
      </c>
      <c r="AJ1282" s="48" t="s">
        <v>33</v>
      </c>
      <c r="AK1282" s="48" t="s">
        <v>33</v>
      </c>
      <c r="AL1282" s="48" t="s">
        <v>34</v>
      </c>
      <c r="AN1282" s="48">
        <v>0</v>
      </c>
      <c r="AO1282" s="48">
        <v>0</v>
      </c>
      <c r="AP1282" s="48">
        <v>0</v>
      </c>
      <c r="AQ1282" s="48">
        <v>0</v>
      </c>
      <c r="AR1282" s="48">
        <v>0</v>
      </c>
      <c r="AS1282" s="48">
        <v>0</v>
      </c>
      <c r="AT1282" s="48">
        <v>0</v>
      </c>
      <c r="AU1282" s="48">
        <v>0</v>
      </c>
      <c r="AV1282" s="48">
        <v>0</v>
      </c>
      <c r="AW1282" s="48">
        <v>0</v>
      </c>
      <c r="AX1282" s="48">
        <v>0</v>
      </c>
      <c r="AY1282" s="48">
        <v>0</v>
      </c>
      <c r="AZ1282" s="48">
        <v>0</v>
      </c>
      <c r="BA1282" s="48">
        <v>0</v>
      </c>
      <c r="BB1282" s="48">
        <v>0</v>
      </c>
    </row>
    <row r="1283" spans="1:54" x14ac:dyDescent="0.35">
      <c r="A1283" s="49">
        <v>45930</v>
      </c>
      <c r="B1283" s="48">
        <v>1</v>
      </c>
      <c r="C1283" s="50" t="s">
        <v>41</v>
      </c>
      <c r="D1283" s="48" t="s">
        <v>31</v>
      </c>
      <c r="E1283" s="48" t="s">
        <v>138</v>
      </c>
      <c r="F1283" s="48" t="s">
        <v>139</v>
      </c>
      <c r="G1283" s="49" t="s">
        <v>180</v>
      </c>
      <c r="H1283" s="48" t="s">
        <v>181</v>
      </c>
      <c r="I1283" s="48">
        <v>1</v>
      </c>
      <c r="J1283" s="48">
        <v>35</v>
      </c>
      <c r="K1283" s="48">
        <v>1</v>
      </c>
      <c r="N1283" s="48">
        <v>0</v>
      </c>
      <c r="R1283" s="49"/>
      <c r="S1283" s="49"/>
      <c r="T1283" s="49">
        <v>46996</v>
      </c>
      <c r="U1283" s="49">
        <v>46996</v>
      </c>
      <c r="V1283" s="49">
        <v>46996</v>
      </c>
      <c r="W1283" s="49">
        <v>46996</v>
      </c>
      <c r="X1283" s="48">
        <v>1</v>
      </c>
      <c r="Y1283" s="48">
        <v>1</v>
      </c>
      <c r="Z1283" s="48">
        <v>1</v>
      </c>
      <c r="AA1283" s="156">
        <v>6629509254.5581055</v>
      </c>
      <c r="AF1283" s="48">
        <v>0</v>
      </c>
      <c r="AG1283" s="49" t="s">
        <v>41</v>
      </c>
      <c r="AH1283" s="48">
        <v>1</v>
      </c>
      <c r="AI1283" s="48" t="s">
        <v>33</v>
      </c>
      <c r="AJ1283" s="48" t="s">
        <v>33</v>
      </c>
      <c r="AK1283" s="48" t="s">
        <v>33</v>
      </c>
      <c r="AL1283" s="48" t="s">
        <v>34</v>
      </c>
      <c r="AN1283" s="48">
        <v>0</v>
      </c>
      <c r="AO1283" s="48">
        <v>0</v>
      </c>
      <c r="AP1283" s="48">
        <v>0</v>
      </c>
      <c r="AQ1283" s="48">
        <v>0</v>
      </c>
      <c r="AR1283" s="48">
        <v>0</v>
      </c>
      <c r="AS1283" s="48">
        <v>0</v>
      </c>
      <c r="AT1283" s="48">
        <v>0</v>
      </c>
      <c r="AU1283" s="48">
        <v>0</v>
      </c>
      <c r="AV1283" s="48">
        <v>0</v>
      </c>
      <c r="AW1283" s="48">
        <v>0</v>
      </c>
      <c r="AX1283" s="48">
        <v>0</v>
      </c>
      <c r="AY1283" s="48">
        <v>0</v>
      </c>
      <c r="AZ1283" s="48">
        <v>0</v>
      </c>
      <c r="BA1283" s="48">
        <v>0</v>
      </c>
      <c r="BB1283" s="48">
        <v>0</v>
      </c>
    </row>
    <row r="1284" spans="1:54" x14ac:dyDescent="0.35">
      <c r="A1284" s="49">
        <v>45930</v>
      </c>
      <c r="B1284" s="48">
        <v>1</v>
      </c>
      <c r="C1284" s="50" t="s">
        <v>41</v>
      </c>
      <c r="D1284" s="48" t="s">
        <v>31</v>
      </c>
      <c r="E1284" s="48" t="s">
        <v>138</v>
      </c>
      <c r="F1284" s="48" t="s">
        <v>139</v>
      </c>
      <c r="G1284" s="49" t="s">
        <v>180</v>
      </c>
      <c r="H1284" s="48" t="s">
        <v>181</v>
      </c>
      <c r="I1284" s="48">
        <v>1</v>
      </c>
      <c r="J1284" s="48">
        <v>36</v>
      </c>
      <c r="K1284" s="48">
        <v>1</v>
      </c>
      <c r="N1284" s="48">
        <v>0</v>
      </c>
      <c r="R1284" s="49"/>
      <c r="S1284" s="49"/>
      <c r="T1284" s="49">
        <v>47026</v>
      </c>
      <c r="U1284" s="49">
        <v>47026</v>
      </c>
      <c r="V1284" s="49">
        <v>47026</v>
      </c>
      <c r="W1284" s="49">
        <v>47026</v>
      </c>
      <c r="X1284" s="48">
        <v>1</v>
      </c>
      <c r="Y1284" s="48">
        <v>1</v>
      </c>
      <c r="Z1284" s="48">
        <v>1</v>
      </c>
      <c r="AA1284" s="156">
        <v>6565513894.0633545</v>
      </c>
      <c r="AF1284" s="48">
        <v>0</v>
      </c>
      <c r="AG1284" s="49" t="s">
        <v>41</v>
      </c>
      <c r="AH1284" s="48">
        <v>1</v>
      </c>
      <c r="AI1284" s="48" t="s">
        <v>33</v>
      </c>
      <c r="AJ1284" s="48" t="s">
        <v>33</v>
      </c>
      <c r="AK1284" s="48" t="s">
        <v>33</v>
      </c>
      <c r="AL1284" s="48" t="s">
        <v>34</v>
      </c>
      <c r="AN1284" s="48">
        <v>0</v>
      </c>
      <c r="AO1284" s="48">
        <v>0</v>
      </c>
      <c r="AP1284" s="48">
        <v>0</v>
      </c>
      <c r="AQ1284" s="48">
        <v>0</v>
      </c>
      <c r="AR1284" s="48">
        <v>0</v>
      </c>
      <c r="AS1284" s="48">
        <v>0</v>
      </c>
      <c r="AT1284" s="48">
        <v>0</v>
      </c>
      <c r="AU1284" s="48">
        <v>0</v>
      </c>
      <c r="AV1284" s="48">
        <v>0</v>
      </c>
      <c r="AW1284" s="48">
        <v>0</v>
      </c>
      <c r="AX1284" s="48">
        <v>0</v>
      </c>
      <c r="AY1284" s="48">
        <v>0</v>
      </c>
      <c r="AZ1284" s="48">
        <v>0</v>
      </c>
      <c r="BA1284" s="48">
        <v>0</v>
      </c>
      <c r="BB1284" s="48">
        <v>0</v>
      </c>
    </row>
    <row r="1285" spans="1:54" x14ac:dyDescent="0.35">
      <c r="A1285" s="49">
        <v>45930</v>
      </c>
      <c r="B1285" s="48">
        <v>1</v>
      </c>
      <c r="C1285" s="50" t="s">
        <v>41</v>
      </c>
      <c r="D1285" s="48" t="s">
        <v>31</v>
      </c>
      <c r="E1285" s="48" t="s">
        <v>138</v>
      </c>
      <c r="F1285" s="48" t="s">
        <v>139</v>
      </c>
      <c r="G1285" s="49" t="s">
        <v>180</v>
      </c>
      <c r="H1285" s="48" t="s">
        <v>181</v>
      </c>
      <c r="I1285" s="48">
        <v>1</v>
      </c>
      <c r="J1285" s="48">
        <v>37</v>
      </c>
      <c r="K1285" s="48">
        <v>1</v>
      </c>
      <c r="N1285" s="48">
        <v>0</v>
      </c>
      <c r="R1285" s="49"/>
      <c r="S1285" s="49"/>
      <c r="T1285" s="49">
        <v>47057</v>
      </c>
      <c r="U1285" s="49">
        <v>47057</v>
      </c>
      <c r="V1285" s="49">
        <v>47057</v>
      </c>
      <c r="W1285" s="49">
        <v>47057</v>
      </c>
      <c r="X1285" s="48">
        <v>1</v>
      </c>
      <c r="Y1285" s="48">
        <v>1</v>
      </c>
      <c r="Z1285" s="48">
        <v>1</v>
      </c>
      <c r="AA1285" s="156">
        <v>6502136287.6147461</v>
      </c>
      <c r="AF1285" s="48">
        <v>0</v>
      </c>
      <c r="AG1285" s="49" t="s">
        <v>41</v>
      </c>
      <c r="AH1285" s="48">
        <v>1</v>
      </c>
      <c r="AI1285" s="48" t="s">
        <v>33</v>
      </c>
      <c r="AJ1285" s="48" t="s">
        <v>33</v>
      </c>
      <c r="AK1285" s="48" t="s">
        <v>33</v>
      </c>
      <c r="AL1285" s="48" t="s">
        <v>34</v>
      </c>
      <c r="AN1285" s="48">
        <v>0</v>
      </c>
      <c r="AO1285" s="48">
        <v>0</v>
      </c>
      <c r="AP1285" s="48">
        <v>0</v>
      </c>
      <c r="AQ1285" s="48">
        <v>0</v>
      </c>
      <c r="AR1285" s="48">
        <v>0</v>
      </c>
      <c r="AS1285" s="48">
        <v>0</v>
      </c>
      <c r="AT1285" s="48">
        <v>0</v>
      </c>
      <c r="AU1285" s="48">
        <v>0</v>
      </c>
      <c r="AV1285" s="48">
        <v>0</v>
      </c>
      <c r="AW1285" s="48">
        <v>0</v>
      </c>
      <c r="AX1285" s="48">
        <v>0</v>
      </c>
      <c r="AY1285" s="48">
        <v>0</v>
      </c>
      <c r="AZ1285" s="48">
        <v>0</v>
      </c>
      <c r="BA1285" s="48">
        <v>0</v>
      </c>
      <c r="BB1285" s="48">
        <v>0</v>
      </c>
    </row>
    <row r="1286" spans="1:54" x14ac:dyDescent="0.35">
      <c r="A1286" s="49">
        <v>45930</v>
      </c>
      <c r="B1286" s="48">
        <v>1</v>
      </c>
      <c r="C1286" s="50" t="s">
        <v>41</v>
      </c>
      <c r="D1286" s="48" t="s">
        <v>31</v>
      </c>
      <c r="E1286" s="48" t="s">
        <v>138</v>
      </c>
      <c r="F1286" s="48" t="s">
        <v>139</v>
      </c>
      <c r="G1286" s="49" t="s">
        <v>180</v>
      </c>
      <c r="H1286" s="48" t="s">
        <v>181</v>
      </c>
      <c r="I1286" s="48">
        <v>1</v>
      </c>
      <c r="J1286" s="48">
        <v>38</v>
      </c>
      <c r="K1286" s="48">
        <v>1</v>
      </c>
      <c r="N1286" s="48">
        <v>0</v>
      </c>
      <c r="R1286" s="49"/>
      <c r="S1286" s="49"/>
      <c r="T1286" s="49">
        <v>47087</v>
      </c>
      <c r="U1286" s="49">
        <v>47087</v>
      </c>
      <c r="V1286" s="49">
        <v>47087</v>
      </c>
      <c r="W1286" s="49">
        <v>47087</v>
      </c>
      <c r="X1286" s="48">
        <v>1</v>
      </c>
      <c r="Y1286" s="48">
        <v>1</v>
      </c>
      <c r="Z1286" s="48">
        <v>1</v>
      </c>
      <c r="AA1286" s="156">
        <v>6439370471.9663086</v>
      </c>
      <c r="AF1286" s="48">
        <v>0</v>
      </c>
      <c r="AG1286" s="49" t="s">
        <v>41</v>
      </c>
      <c r="AH1286" s="48">
        <v>1</v>
      </c>
      <c r="AI1286" s="48" t="s">
        <v>33</v>
      </c>
      <c r="AJ1286" s="48" t="s">
        <v>33</v>
      </c>
      <c r="AK1286" s="48" t="s">
        <v>33</v>
      </c>
      <c r="AL1286" s="48" t="s">
        <v>34</v>
      </c>
      <c r="AN1286" s="48">
        <v>0</v>
      </c>
      <c r="AO1286" s="48">
        <v>0</v>
      </c>
      <c r="AP1286" s="48">
        <v>0</v>
      </c>
      <c r="AQ1286" s="48">
        <v>0</v>
      </c>
      <c r="AR1286" s="48">
        <v>0</v>
      </c>
      <c r="AS1286" s="48">
        <v>0</v>
      </c>
      <c r="AT1286" s="48">
        <v>0</v>
      </c>
      <c r="AU1286" s="48">
        <v>0</v>
      </c>
      <c r="AV1286" s="48">
        <v>0</v>
      </c>
      <c r="AW1286" s="48">
        <v>0</v>
      </c>
      <c r="AX1286" s="48">
        <v>0</v>
      </c>
      <c r="AY1286" s="48">
        <v>0</v>
      </c>
      <c r="AZ1286" s="48">
        <v>0</v>
      </c>
      <c r="BA1286" s="48">
        <v>0</v>
      </c>
      <c r="BB1286" s="48">
        <v>0</v>
      </c>
    </row>
    <row r="1287" spans="1:54" x14ac:dyDescent="0.35">
      <c r="A1287" s="49">
        <v>45930</v>
      </c>
      <c r="B1287" s="48">
        <v>1</v>
      </c>
      <c r="C1287" s="50" t="s">
        <v>41</v>
      </c>
      <c r="D1287" s="48" t="s">
        <v>31</v>
      </c>
      <c r="E1287" s="48" t="s">
        <v>138</v>
      </c>
      <c r="F1287" s="48" t="s">
        <v>139</v>
      </c>
      <c r="G1287" s="49" t="s">
        <v>180</v>
      </c>
      <c r="H1287" s="48" t="s">
        <v>181</v>
      </c>
      <c r="I1287" s="48">
        <v>1</v>
      </c>
      <c r="J1287" s="48">
        <v>39</v>
      </c>
      <c r="K1287" s="48">
        <v>1</v>
      </c>
      <c r="N1287" s="48">
        <v>0</v>
      </c>
      <c r="R1287" s="49"/>
      <c r="S1287" s="49"/>
      <c r="T1287" s="49">
        <v>47118</v>
      </c>
      <c r="U1287" s="49">
        <v>47118</v>
      </c>
      <c r="V1287" s="49">
        <v>47118</v>
      </c>
      <c r="W1287" s="49">
        <v>47118</v>
      </c>
      <c r="X1287" s="48">
        <v>1</v>
      </c>
      <c r="Y1287" s="48">
        <v>1</v>
      </c>
      <c r="Z1287" s="48">
        <v>1</v>
      </c>
      <c r="AA1287" s="156">
        <v>6377210541.4362793</v>
      </c>
      <c r="AF1287" s="48">
        <v>0</v>
      </c>
      <c r="AG1287" s="49" t="s">
        <v>41</v>
      </c>
      <c r="AH1287" s="48">
        <v>1</v>
      </c>
      <c r="AI1287" s="48" t="s">
        <v>33</v>
      </c>
      <c r="AJ1287" s="48" t="s">
        <v>33</v>
      </c>
      <c r="AK1287" s="48" t="s">
        <v>33</v>
      </c>
      <c r="AL1287" s="48" t="s">
        <v>34</v>
      </c>
      <c r="AN1287" s="48">
        <v>0</v>
      </c>
      <c r="AO1287" s="48">
        <v>0</v>
      </c>
      <c r="AP1287" s="48">
        <v>0</v>
      </c>
      <c r="AQ1287" s="48">
        <v>0</v>
      </c>
      <c r="AR1287" s="48">
        <v>0</v>
      </c>
      <c r="AS1287" s="48">
        <v>0</v>
      </c>
      <c r="AT1287" s="48">
        <v>0</v>
      </c>
      <c r="AU1287" s="48">
        <v>0</v>
      </c>
      <c r="AV1287" s="48">
        <v>0</v>
      </c>
      <c r="AW1287" s="48">
        <v>0</v>
      </c>
      <c r="AX1287" s="48">
        <v>0</v>
      </c>
      <c r="AY1287" s="48">
        <v>0</v>
      </c>
      <c r="AZ1287" s="48">
        <v>0</v>
      </c>
      <c r="BA1287" s="48">
        <v>0</v>
      </c>
      <c r="BB1287" s="48">
        <v>0</v>
      </c>
    </row>
    <row r="1288" spans="1:54" x14ac:dyDescent="0.35">
      <c r="A1288" s="49">
        <v>45930</v>
      </c>
      <c r="B1288" s="48">
        <v>1</v>
      </c>
      <c r="C1288" s="50" t="s">
        <v>41</v>
      </c>
      <c r="D1288" s="48" t="s">
        <v>31</v>
      </c>
      <c r="E1288" s="48" t="s">
        <v>138</v>
      </c>
      <c r="F1288" s="48" t="s">
        <v>139</v>
      </c>
      <c r="G1288" s="49" t="s">
        <v>180</v>
      </c>
      <c r="H1288" s="48" t="s">
        <v>181</v>
      </c>
      <c r="I1288" s="48">
        <v>1</v>
      </c>
      <c r="J1288" s="48">
        <v>40</v>
      </c>
      <c r="K1288" s="48">
        <v>1</v>
      </c>
      <c r="N1288" s="48">
        <v>0</v>
      </c>
      <c r="R1288" s="49"/>
      <c r="S1288" s="49"/>
      <c r="T1288" s="49">
        <v>47149</v>
      </c>
      <c r="U1288" s="49">
        <v>47149</v>
      </c>
      <c r="V1288" s="49">
        <v>47149</v>
      </c>
      <c r="W1288" s="49">
        <v>47149</v>
      </c>
      <c r="X1288" s="48">
        <v>1</v>
      </c>
      <c r="Y1288" s="48">
        <v>1</v>
      </c>
      <c r="Z1288" s="48">
        <v>1</v>
      </c>
      <c r="AA1288" s="156">
        <v>6315650647.350708</v>
      </c>
      <c r="AF1288" s="48">
        <v>0</v>
      </c>
      <c r="AG1288" s="49" t="s">
        <v>41</v>
      </c>
      <c r="AH1288" s="48">
        <v>1</v>
      </c>
      <c r="AI1288" s="48" t="s">
        <v>33</v>
      </c>
      <c r="AJ1288" s="48" t="s">
        <v>33</v>
      </c>
      <c r="AK1288" s="48" t="s">
        <v>33</v>
      </c>
      <c r="AL1288" s="48" t="s">
        <v>34</v>
      </c>
      <c r="AN1288" s="48">
        <v>0</v>
      </c>
      <c r="AO1288" s="48">
        <v>0</v>
      </c>
      <c r="AP1288" s="48">
        <v>0</v>
      </c>
      <c r="AQ1288" s="48">
        <v>0</v>
      </c>
      <c r="AR1288" s="48">
        <v>0</v>
      </c>
      <c r="AS1288" s="48">
        <v>0</v>
      </c>
      <c r="AT1288" s="48">
        <v>0</v>
      </c>
      <c r="AU1288" s="48">
        <v>0</v>
      </c>
      <c r="AV1288" s="48">
        <v>0</v>
      </c>
      <c r="AW1288" s="48">
        <v>0</v>
      </c>
      <c r="AX1288" s="48">
        <v>0</v>
      </c>
      <c r="AY1288" s="48">
        <v>0</v>
      </c>
      <c r="AZ1288" s="48">
        <v>0</v>
      </c>
      <c r="BA1288" s="48">
        <v>0</v>
      </c>
      <c r="BB1288" s="48">
        <v>0</v>
      </c>
    </row>
    <row r="1289" spans="1:54" x14ac:dyDescent="0.35">
      <c r="A1289" s="49">
        <v>45930</v>
      </c>
      <c r="B1289" s="48">
        <v>1</v>
      </c>
      <c r="C1289" s="50" t="s">
        <v>41</v>
      </c>
      <c r="D1289" s="48" t="s">
        <v>31</v>
      </c>
      <c r="E1289" s="48" t="s">
        <v>138</v>
      </c>
      <c r="F1289" s="48" t="s">
        <v>139</v>
      </c>
      <c r="G1289" s="49" t="s">
        <v>180</v>
      </c>
      <c r="H1289" s="48" t="s">
        <v>181</v>
      </c>
      <c r="I1289" s="48">
        <v>1</v>
      </c>
      <c r="J1289" s="48">
        <v>41</v>
      </c>
      <c r="K1289" s="48">
        <v>1</v>
      </c>
      <c r="N1289" s="48">
        <v>0</v>
      </c>
      <c r="R1289" s="49"/>
      <c r="S1289" s="49"/>
      <c r="T1289" s="49">
        <v>47177</v>
      </c>
      <c r="U1289" s="49">
        <v>47177</v>
      </c>
      <c r="V1289" s="49">
        <v>47177</v>
      </c>
      <c r="W1289" s="49">
        <v>47177</v>
      </c>
      <c r="X1289" s="48">
        <v>1</v>
      </c>
      <c r="Y1289" s="48">
        <v>1</v>
      </c>
      <c r="Z1289" s="48">
        <v>1</v>
      </c>
      <c r="AA1289" s="156">
        <v>6254684997.4938965</v>
      </c>
      <c r="AF1289" s="48">
        <v>0</v>
      </c>
      <c r="AG1289" s="49" t="s">
        <v>41</v>
      </c>
      <c r="AH1289" s="48">
        <v>1</v>
      </c>
      <c r="AI1289" s="48" t="s">
        <v>33</v>
      </c>
      <c r="AJ1289" s="48" t="s">
        <v>33</v>
      </c>
      <c r="AK1289" s="48" t="s">
        <v>33</v>
      </c>
      <c r="AL1289" s="48" t="s">
        <v>34</v>
      </c>
      <c r="AN1289" s="48">
        <v>0</v>
      </c>
      <c r="AO1289" s="48">
        <v>0</v>
      </c>
      <c r="AP1289" s="48">
        <v>0</v>
      </c>
      <c r="AQ1289" s="48">
        <v>0</v>
      </c>
      <c r="AR1289" s="48">
        <v>0</v>
      </c>
      <c r="AS1289" s="48">
        <v>0</v>
      </c>
      <c r="AT1289" s="48">
        <v>0</v>
      </c>
      <c r="AU1289" s="48">
        <v>0</v>
      </c>
      <c r="AV1289" s="48">
        <v>0</v>
      </c>
      <c r="AW1289" s="48">
        <v>0</v>
      </c>
      <c r="AX1289" s="48">
        <v>0</v>
      </c>
      <c r="AY1289" s="48">
        <v>0</v>
      </c>
      <c r="AZ1289" s="48">
        <v>0</v>
      </c>
      <c r="BA1289" s="48">
        <v>0</v>
      </c>
      <c r="BB1289" s="48">
        <v>0</v>
      </c>
    </row>
    <row r="1290" spans="1:54" x14ac:dyDescent="0.35">
      <c r="A1290" s="49">
        <v>45930</v>
      </c>
      <c r="B1290" s="48">
        <v>1</v>
      </c>
      <c r="C1290" s="50" t="s">
        <v>41</v>
      </c>
      <c r="D1290" s="48" t="s">
        <v>31</v>
      </c>
      <c r="E1290" s="48" t="s">
        <v>138</v>
      </c>
      <c r="F1290" s="48" t="s">
        <v>139</v>
      </c>
      <c r="G1290" s="49" t="s">
        <v>180</v>
      </c>
      <c r="H1290" s="48" t="s">
        <v>181</v>
      </c>
      <c r="I1290" s="48">
        <v>1</v>
      </c>
      <c r="J1290" s="48">
        <v>42</v>
      </c>
      <c r="K1290" s="48">
        <v>1</v>
      </c>
      <c r="N1290" s="48">
        <v>0</v>
      </c>
      <c r="R1290" s="49"/>
      <c r="S1290" s="49"/>
      <c r="T1290" s="49">
        <v>47208</v>
      </c>
      <c r="U1290" s="49">
        <v>47208</v>
      </c>
      <c r="V1290" s="49">
        <v>47208</v>
      </c>
      <c r="W1290" s="49">
        <v>47208</v>
      </c>
      <c r="X1290" s="48">
        <v>1</v>
      </c>
      <c r="Y1290" s="48">
        <v>1</v>
      </c>
      <c r="Z1290" s="48">
        <v>1</v>
      </c>
      <c r="AA1290" s="156">
        <v>6194307855.5629883</v>
      </c>
      <c r="AF1290" s="48">
        <v>0</v>
      </c>
      <c r="AG1290" s="49" t="s">
        <v>41</v>
      </c>
      <c r="AH1290" s="48">
        <v>1</v>
      </c>
      <c r="AI1290" s="48" t="s">
        <v>33</v>
      </c>
      <c r="AJ1290" s="48" t="s">
        <v>33</v>
      </c>
      <c r="AK1290" s="48" t="s">
        <v>33</v>
      </c>
      <c r="AL1290" s="48" t="s">
        <v>34</v>
      </c>
      <c r="AN1290" s="48">
        <v>0</v>
      </c>
      <c r="AO1290" s="48">
        <v>0</v>
      </c>
      <c r="AP1290" s="48">
        <v>0</v>
      </c>
      <c r="AQ1290" s="48">
        <v>0</v>
      </c>
      <c r="AR1290" s="48">
        <v>0</v>
      </c>
      <c r="AS1290" s="48">
        <v>0</v>
      </c>
      <c r="AT1290" s="48">
        <v>0</v>
      </c>
      <c r="AU1290" s="48">
        <v>0</v>
      </c>
      <c r="AV1290" s="48">
        <v>0</v>
      </c>
      <c r="AW1290" s="48">
        <v>0</v>
      </c>
      <c r="AX1290" s="48">
        <v>0</v>
      </c>
      <c r="AY1290" s="48">
        <v>0</v>
      </c>
      <c r="AZ1290" s="48">
        <v>0</v>
      </c>
      <c r="BA1290" s="48">
        <v>0</v>
      </c>
      <c r="BB1290" s="48">
        <v>0</v>
      </c>
    </row>
    <row r="1291" spans="1:54" x14ac:dyDescent="0.35">
      <c r="A1291" s="49">
        <v>45930</v>
      </c>
      <c r="B1291" s="48">
        <v>1</v>
      </c>
      <c r="C1291" s="50" t="s">
        <v>41</v>
      </c>
      <c r="D1291" s="48" t="s">
        <v>31</v>
      </c>
      <c r="E1291" s="48" t="s">
        <v>138</v>
      </c>
      <c r="F1291" s="48" t="s">
        <v>139</v>
      </c>
      <c r="G1291" s="49" t="s">
        <v>180</v>
      </c>
      <c r="H1291" s="48" t="s">
        <v>181</v>
      </c>
      <c r="I1291" s="48">
        <v>1</v>
      </c>
      <c r="J1291" s="48">
        <v>43</v>
      </c>
      <c r="K1291" s="48">
        <v>1</v>
      </c>
      <c r="N1291" s="48">
        <v>0</v>
      </c>
      <c r="R1291" s="49"/>
      <c r="S1291" s="49"/>
      <c r="T1291" s="49">
        <v>47238</v>
      </c>
      <c r="U1291" s="49">
        <v>47238</v>
      </c>
      <c r="V1291" s="49">
        <v>47238</v>
      </c>
      <c r="W1291" s="49">
        <v>47238</v>
      </c>
      <c r="X1291" s="48">
        <v>1</v>
      </c>
      <c r="Y1291" s="48">
        <v>1</v>
      </c>
      <c r="Z1291" s="48">
        <v>1</v>
      </c>
      <c r="AA1291" s="156">
        <v>6134513540.6280518</v>
      </c>
      <c r="AF1291" s="48">
        <v>0</v>
      </c>
      <c r="AG1291" s="49" t="s">
        <v>41</v>
      </c>
      <c r="AH1291" s="48">
        <v>1</v>
      </c>
      <c r="AI1291" s="48" t="s">
        <v>33</v>
      </c>
      <c r="AJ1291" s="48" t="s">
        <v>33</v>
      </c>
      <c r="AK1291" s="48" t="s">
        <v>33</v>
      </c>
      <c r="AL1291" s="48" t="s">
        <v>34</v>
      </c>
      <c r="AN1291" s="48">
        <v>0</v>
      </c>
      <c r="AO1291" s="48">
        <v>0</v>
      </c>
      <c r="AP1291" s="48">
        <v>0</v>
      </c>
      <c r="AQ1291" s="48">
        <v>0</v>
      </c>
      <c r="AR1291" s="48">
        <v>0</v>
      </c>
      <c r="AS1291" s="48">
        <v>0</v>
      </c>
      <c r="AT1291" s="48">
        <v>0</v>
      </c>
      <c r="AU1291" s="48">
        <v>0</v>
      </c>
      <c r="AV1291" s="48">
        <v>0</v>
      </c>
      <c r="AW1291" s="48">
        <v>0</v>
      </c>
      <c r="AX1291" s="48">
        <v>0</v>
      </c>
      <c r="AY1291" s="48">
        <v>0</v>
      </c>
      <c r="AZ1291" s="48">
        <v>0</v>
      </c>
      <c r="BA1291" s="48">
        <v>0</v>
      </c>
      <c r="BB1291" s="48">
        <v>0</v>
      </c>
    </row>
    <row r="1292" spans="1:54" x14ac:dyDescent="0.35">
      <c r="A1292" s="49">
        <v>45930</v>
      </c>
      <c r="B1292" s="48">
        <v>1</v>
      </c>
      <c r="C1292" s="50" t="s">
        <v>41</v>
      </c>
      <c r="D1292" s="48" t="s">
        <v>31</v>
      </c>
      <c r="E1292" s="48" t="s">
        <v>138</v>
      </c>
      <c r="F1292" s="48" t="s">
        <v>139</v>
      </c>
      <c r="G1292" s="49" t="s">
        <v>180</v>
      </c>
      <c r="H1292" s="48" t="s">
        <v>181</v>
      </c>
      <c r="I1292" s="48">
        <v>1</v>
      </c>
      <c r="J1292" s="48">
        <v>44</v>
      </c>
      <c r="K1292" s="48">
        <v>1</v>
      </c>
      <c r="N1292" s="48">
        <v>0</v>
      </c>
      <c r="R1292" s="49"/>
      <c r="S1292" s="49"/>
      <c r="T1292" s="49">
        <v>47269</v>
      </c>
      <c r="U1292" s="49">
        <v>47269</v>
      </c>
      <c r="V1292" s="49">
        <v>47269</v>
      </c>
      <c r="W1292" s="49">
        <v>47269</v>
      </c>
      <c r="X1292" s="48">
        <v>1</v>
      </c>
      <c r="Y1292" s="48">
        <v>1</v>
      </c>
      <c r="Z1292" s="48">
        <v>1</v>
      </c>
      <c r="AA1292" s="156">
        <v>6075296426.5976563</v>
      </c>
      <c r="AF1292" s="48">
        <v>0</v>
      </c>
      <c r="AG1292" s="49" t="s">
        <v>41</v>
      </c>
      <c r="AH1292" s="48">
        <v>1</v>
      </c>
      <c r="AI1292" s="48" t="s">
        <v>33</v>
      </c>
      <c r="AJ1292" s="48" t="s">
        <v>33</v>
      </c>
      <c r="AK1292" s="48" t="s">
        <v>33</v>
      </c>
      <c r="AL1292" s="48" t="s">
        <v>34</v>
      </c>
      <c r="AN1292" s="48">
        <v>0</v>
      </c>
      <c r="AO1292" s="48">
        <v>0</v>
      </c>
      <c r="AP1292" s="48">
        <v>0</v>
      </c>
      <c r="AQ1292" s="48">
        <v>0</v>
      </c>
      <c r="AR1292" s="48">
        <v>0</v>
      </c>
      <c r="AS1292" s="48">
        <v>0</v>
      </c>
      <c r="AT1292" s="48">
        <v>0</v>
      </c>
      <c r="AU1292" s="48">
        <v>0</v>
      </c>
      <c r="AV1292" s="48">
        <v>0</v>
      </c>
      <c r="AW1292" s="48">
        <v>0</v>
      </c>
      <c r="AX1292" s="48">
        <v>0</v>
      </c>
      <c r="AY1292" s="48">
        <v>0</v>
      </c>
      <c r="AZ1292" s="48">
        <v>0</v>
      </c>
      <c r="BA1292" s="48">
        <v>0</v>
      </c>
      <c r="BB1292" s="48">
        <v>0</v>
      </c>
    </row>
    <row r="1293" spans="1:54" x14ac:dyDescent="0.35">
      <c r="A1293" s="49">
        <v>45930</v>
      </c>
      <c r="B1293" s="48">
        <v>1</v>
      </c>
      <c r="C1293" s="50" t="s">
        <v>41</v>
      </c>
      <c r="D1293" s="48" t="s">
        <v>31</v>
      </c>
      <c r="E1293" s="48" t="s">
        <v>138</v>
      </c>
      <c r="F1293" s="48" t="s">
        <v>139</v>
      </c>
      <c r="G1293" s="49" t="s">
        <v>180</v>
      </c>
      <c r="H1293" s="48" t="s">
        <v>181</v>
      </c>
      <c r="I1293" s="48">
        <v>1</v>
      </c>
      <c r="J1293" s="48">
        <v>45</v>
      </c>
      <c r="K1293" s="48">
        <v>1</v>
      </c>
      <c r="N1293" s="48">
        <v>0</v>
      </c>
      <c r="R1293" s="49"/>
      <c r="S1293" s="49"/>
      <c r="T1293" s="49">
        <v>47299</v>
      </c>
      <c r="U1293" s="49">
        <v>47299</v>
      </c>
      <c r="V1293" s="49">
        <v>47299</v>
      </c>
      <c r="W1293" s="49">
        <v>47299</v>
      </c>
      <c r="X1293" s="48">
        <v>1</v>
      </c>
      <c r="Y1293" s="48">
        <v>1</v>
      </c>
      <c r="Z1293" s="48">
        <v>1</v>
      </c>
      <c r="AA1293" s="156">
        <v>6016650941.6903076</v>
      </c>
      <c r="AF1293" s="48">
        <v>0</v>
      </c>
      <c r="AG1293" s="49" t="s">
        <v>41</v>
      </c>
      <c r="AH1293" s="48">
        <v>1</v>
      </c>
      <c r="AI1293" s="48" t="s">
        <v>33</v>
      </c>
      <c r="AJ1293" s="48" t="s">
        <v>33</v>
      </c>
      <c r="AK1293" s="48" t="s">
        <v>33</v>
      </c>
      <c r="AL1293" s="48" t="s">
        <v>34</v>
      </c>
      <c r="AN1293" s="48">
        <v>0</v>
      </c>
      <c r="AO1293" s="48">
        <v>0</v>
      </c>
      <c r="AP1293" s="48">
        <v>0</v>
      </c>
      <c r="AQ1293" s="48">
        <v>0</v>
      </c>
      <c r="AR1293" s="48">
        <v>0</v>
      </c>
      <c r="AS1293" s="48">
        <v>0</v>
      </c>
      <c r="AT1293" s="48">
        <v>0</v>
      </c>
      <c r="AU1293" s="48">
        <v>0</v>
      </c>
      <c r="AV1293" s="48">
        <v>0</v>
      </c>
      <c r="AW1293" s="48">
        <v>0</v>
      </c>
      <c r="AX1293" s="48">
        <v>0</v>
      </c>
      <c r="AY1293" s="48">
        <v>0</v>
      </c>
      <c r="AZ1293" s="48">
        <v>0</v>
      </c>
      <c r="BA1293" s="48">
        <v>0</v>
      </c>
      <c r="BB1293" s="48">
        <v>0</v>
      </c>
    </row>
    <row r="1294" spans="1:54" x14ac:dyDescent="0.35">
      <c r="A1294" s="49">
        <v>45930</v>
      </c>
      <c r="B1294" s="48">
        <v>1</v>
      </c>
      <c r="C1294" s="50" t="s">
        <v>41</v>
      </c>
      <c r="D1294" s="48" t="s">
        <v>31</v>
      </c>
      <c r="E1294" s="48" t="s">
        <v>138</v>
      </c>
      <c r="F1294" s="48" t="s">
        <v>139</v>
      </c>
      <c r="G1294" s="49" t="s">
        <v>180</v>
      </c>
      <c r="H1294" s="48" t="s">
        <v>181</v>
      </c>
      <c r="I1294" s="48">
        <v>1</v>
      </c>
      <c r="J1294" s="48">
        <v>46</v>
      </c>
      <c r="K1294" s="48">
        <v>1</v>
      </c>
      <c r="N1294" s="48">
        <v>0</v>
      </c>
      <c r="R1294" s="49"/>
      <c r="S1294" s="49"/>
      <c r="T1294" s="49">
        <v>47330</v>
      </c>
      <c r="U1294" s="49">
        <v>47330</v>
      </c>
      <c r="V1294" s="49">
        <v>47330</v>
      </c>
      <c r="W1294" s="49">
        <v>47330</v>
      </c>
      <c r="X1294" s="48">
        <v>1</v>
      </c>
      <c r="Y1294" s="48">
        <v>1</v>
      </c>
      <c r="Z1294" s="48">
        <v>1</v>
      </c>
      <c r="AA1294" s="156">
        <v>5958571567.9086914</v>
      </c>
      <c r="AF1294" s="48">
        <v>0</v>
      </c>
      <c r="AG1294" s="49" t="s">
        <v>41</v>
      </c>
      <c r="AH1294" s="48">
        <v>1</v>
      </c>
      <c r="AI1294" s="48" t="s">
        <v>33</v>
      </c>
      <c r="AJ1294" s="48" t="s">
        <v>33</v>
      </c>
      <c r="AK1294" s="48" t="s">
        <v>33</v>
      </c>
      <c r="AL1294" s="48" t="s">
        <v>34</v>
      </c>
      <c r="AN1294" s="48">
        <v>0</v>
      </c>
      <c r="AO1294" s="48">
        <v>0</v>
      </c>
      <c r="AP1294" s="48">
        <v>0</v>
      </c>
      <c r="AQ1294" s="48">
        <v>0</v>
      </c>
      <c r="AR1294" s="48">
        <v>0</v>
      </c>
      <c r="AS1294" s="48">
        <v>0</v>
      </c>
      <c r="AT1294" s="48">
        <v>0</v>
      </c>
      <c r="AU1294" s="48">
        <v>0</v>
      </c>
      <c r="AV1294" s="48">
        <v>0</v>
      </c>
      <c r="AW1294" s="48">
        <v>0</v>
      </c>
      <c r="AX1294" s="48">
        <v>0</v>
      </c>
      <c r="AY1294" s="48">
        <v>0</v>
      </c>
      <c r="AZ1294" s="48">
        <v>0</v>
      </c>
      <c r="BA1294" s="48">
        <v>0</v>
      </c>
      <c r="BB1294" s="48">
        <v>0</v>
      </c>
    </row>
    <row r="1295" spans="1:54" x14ac:dyDescent="0.35">
      <c r="A1295" s="49">
        <v>45930</v>
      </c>
      <c r="B1295" s="48">
        <v>1</v>
      </c>
      <c r="C1295" s="50" t="s">
        <v>41</v>
      </c>
      <c r="D1295" s="48" t="s">
        <v>31</v>
      </c>
      <c r="E1295" s="48" t="s">
        <v>138</v>
      </c>
      <c r="F1295" s="48" t="s">
        <v>139</v>
      </c>
      <c r="G1295" s="49" t="s">
        <v>180</v>
      </c>
      <c r="H1295" s="48" t="s">
        <v>181</v>
      </c>
      <c r="I1295" s="48">
        <v>1</v>
      </c>
      <c r="J1295" s="48">
        <v>47</v>
      </c>
      <c r="K1295" s="48">
        <v>1</v>
      </c>
      <c r="N1295" s="48">
        <v>0</v>
      </c>
      <c r="R1295" s="49"/>
      <c r="S1295" s="49"/>
      <c r="T1295" s="49">
        <v>47361</v>
      </c>
      <c r="U1295" s="49">
        <v>47361</v>
      </c>
      <c r="V1295" s="49">
        <v>47361</v>
      </c>
      <c r="W1295" s="49">
        <v>47361</v>
      </c>
      <c r="X1295" s="48">
        <v>1</v>
      </c>
      <c r="Y1295" s="48">
        <v>1</v>
      </c>
      <c r="Z1295" s="48">
        <v>1</v>
      </c>
      <c r="AA1295" s="156">
        <v>5901052840.5218506</v>
      </c>
      <c r="AF1295" s="48">
        <v>0</v>
      </c>
      <c r="AG1295" s="49" t="s">
        <v>41</v>
      </c>
      <c r="AH1295" s="48">
        <v>1</v>
      </c>
      <c r="AI1295" s="48" t="s">
        <v>33</v>
      </c>
      <c r="AJ1295" s="48" t="s">
        <v>33</v>
      </c>
      <c r="AK1295" s="48" t="s">
        <v>33</v>
      </c>
      <c r="AL1295" s="48" t="s">
        <v>34</v>
      </c>
      <c r="AN1295" s="48">
        <v>0</v>
      </c>
      <c r="AO1295" s="48">
        <v>0</v>
      </c>
      <c r="AP1295" s="48">
        <v>0</v>
      </c>
      <c r="AQ1295" s="48">
        <v>0</v>
      </c>
      <c r="AR1295" s="48">
        <v>0</v>
      </c>
      <c r="AS1295" s="48">
        <v>0</v>
      </c>
      <c r="AT1295" s="48">
        <v>0</v>
      </c>
      <c r="AU1295" s="48">
        <v>0</v>
      </c>
      <c r="AV1295" s="48">
        <v>0</v>
      </c>
      <c r="AW1295" s="48">
        <v>0</v>
      </c>
      <c r="AX1295" s="48">
        <v>0</v>
      </c>
      <c r="AY1295" s="48">
        <v>0</v>
      </c>
      <c r="AZ1295" s="48">
        <v>0</v>
      </c>
      <c r="BA1295" s="48">
        <v>0</v>
      </c>
      <c r="BB1295" s="48">
        <v>0</v>
      </c>
    </row>
    <row r="1296" spans="1:54" x14ac:dyDescent="0.35">
      <c r="A1296" s="49">
        <v>45930</v>
      </c>
      <c r="B1296" s="48">
        <v>1</v>
      </c>
      <c r="C1296" s="50" t="s">
        <v>41</v>
      </c>
      <c r="D1296" s="48" t="s">
        <v>31</v>
      </c>
      <c r="E1296" s="48" t="s">
        <v>138</v>
      </c>
      <c r="F1296" s="48" t="s">
        <v>139</v>
      </c>
      <c r="G1296" s="49" t="s">
        <v>180</v>
      </c>
      <c r="H1296" s="48" t="s">
        <v>181</v>
      </c>
      <c r="I1296" s="48">
        <v>1</v>
      </c>
      <c r="J1296" s="48">
        <v>48</v>
      </c>
      <c r="K1296" s="48">
        <v>1</v>
      </c>
      <c r="N1296" s="48">
        <v>0</v>
      </c>
      <c r="R1296" s="49"/>
      <c r="S1296" s="49"/>
      <c r="T1296" s="49">
        <v>47391</v>
      </c>
      <c r="U1296" s="49">
        <v>47391</v>
      </c>
      <c r="V1296" s="49">
        <v>47391</v>
      </c>
      <c r="W1296" s="49">
        <v>47391</v>
      </c>
      <c r="X1296" s="48">
        <v>1</v>
      </c>
      <c r="Y1296" s="48">
        <v>1</v>
      </c>
      <c r="Z1296" s="48">
        <v>1</v>
      </c>
      <c r="AA1296" s="156">
        <v>5844089347.550293</v>
      </c>
      <c r="AF1296" s="48">
        <v>0</v>
      </c>
      <c r="AG1296" s="49" t="s">
        <v>41</v>
      </c>
      <c r="AH1296" s="48">
        <v>1</v>
      </c>
      <c r="AI1296" s="48" t="s">
        <v>33</v>
      </c>
      <c r="AJ1296" s="48" t="s">
        <v>33</v>
      </c>
      <c r="AK1296" s="48" t="s">
        <v>33</v>
      </c>
      <c r="AL1296" s="48" t="s">
        <v>34</v>
      </c>
      <c r="AN1296" s="48">
        <v>0</v>
      </c>
      <c r="AO1296" s="48">
        <v>0</v>
      </c>
      <c r="AP1296" s="48">
        <v>0</v>
      </c>
      <c r="AQ1296" s="48">
        <v>0</v>
      </c>
      <c r="AR1296" s="48">
        <v>0</v>
      </c>
      <c r="AS1296" s="48">
        <v>0</v>
      </c>
      <c r="AT1296" s="48">
        <v>0</v>
      </c>
      <c r="AU1296" s="48">
        <v>0</v>
      </c>
      <c r="AV1296" s="48">
        <v>0</v>
      </c>
      <c r="AW1296" s="48">
        <v>0</v>
      </c>
      <c r="AX1296" s="48">
        <v>0</v>
      </c>
      <c r="AY1296" s="48">
        <v>0</v>
      </c>
      <c r="AZ1296" s="48">
        <v>0</v>
      </c>
      <c r="BA1296" s="48">
        <v>0</v>
      </c>
      <c r="BB1296" s="48">
        <v>0</v>
      </c>
    </row>
    <row r="1297" spans="1:54" x14ac:dyDescent="0.35">
      <c r="A1297" s="49">
        <v>45930</v>
      </c>
      <c r="B1297" s="48">
        <v>1</v>
      </c>
      <c r="C1297" s="50" t="s">
        <v>41</v>
      </c>
      <c r="D1297" s="48" t="s">
        <v>31</v>
      </c>
      <c r="E1297" s="48" t="s">
        <v>138</v>
      </c>
      <c r="F1297" s="48" t="s">
        <v>139</v>
      </c>
      <c r="G1297" s="49" t="s">
        <v>180</v>
      </c>
      <c r="H1297" s="48" t="s">
        <v>181</v>
      </c>
      <c r="I1297" s="48">
        <v>1</v>
      </c>
      <c r="J1297" s="48">
        <v>49</v>
      </c>
      <c r="K1297" s="48">
        <v>1</v>
      </c>
      <c r="N1297" s="48">
        <v>0</v>
      </c>
      <c r="R1297" s="49"/>
      <c r="S1297" s="49"/>
      <c r="T1297" s="49">
        <v>47422</v>
      </c>
      <c r="U1297" s="49">
        <v>47422</v>
      </c>
      <c r="V1297" s="49">
        <v>47422</v>
      </c>
      <c r="W1297" s="49">
        <v>47422</v>
      </c>
      <c r="X1297" s="48">
        <v>1</v>
      </c>
      <c r="Y1297" s="48">
        <v>1</v>
      </c>
      <c r="Z1297" s="48">
        <v>1</v>
      </c>
      <c r="AA1297" s="156">
        <v>5787675729.2568359</v>
      </c>
      <c r="AF1297" s="48">
        <v>0</v>
      </c>
      <c r="AG1297" s="49" t="s">
        <v>41</v>
      </c>
      <c r="AH1297" s="48">
        <v>1</v>
      </c>
      <c r="AI1297" s="48" t="s">
        <v>33</v>
      </c>
      <c r="AJ1297" s="48" t="s">
        <v>33</v>
      </c>
      <c r="AK1297" s="48" t="s">
        <v>33</v>
      </c>
      <c r="AL1297" s="48" t="s">
        <v>34</v>
      </c>
      <c r="AN1297" s="48">
        <v>0</v>
      </c>
      <c r="AO1297" s="48">
        <v>0</v>
      </c>
      <c r="AP1297" s="48">
        <v>0</v>
      </c>
      <c r="AQ1297" s="48">
        <v>0</v>
      </c>
      <c r="AR1297" s="48">
        <v>0</v>
      </c>
      <c r="AS1297" s="48">
        <v>0</v>
      </c>
      <c r="AT1297" s="48">
        <v>0</v>
      </c>
      <c r="AU1297" s="48">
        <v>0</v>
      </c>
      <c r="AV1297" s="48">
        <v>0</v>
      </c>
      <c r="AW1297" s="48">
        <v>0</v>
      </c>
      <c r="AX1297" s="48">
        <v>0</v>
      </c>
      <c r="AY1297" s="48">
        <v>0</v>
      </c>
      <c r="AZ1297" s="48">
        <v>0</v>
      </c>
      <c r="BA1297" s="48">
        <v>0</v>
      </c>
      <c r="BB1297" s="48">
        <v>0</v>
      </c>
    </row>
    <row r="1298" spans="1:54" x14ac:dyDescent="0.35">
      <c r="A1298" s="49">
        <v>45930</v>
      </c>
      <c r="B1298" s="48">
        <v>1</v>
      </c>
      <c r="C1298" s="50" t="s">
        <v>41</v>
      </c>
      <c r="D1298" s="48" t="s">
        <v>31</v>
      </c>
      <c r="E1298" s="48" t="s">
        <v>138</v>
      </c>
      <c r="F1298" s="48" t="s">
        <v>139</v>
      </c>
      <c r="G1298" s="49" t="s">
        <v>180</v>
      </c>
      <c r="H1298" s="48" t="s">
        <v>181</v>
      </c>
      <c r="I1298" s="48">
        <v>1</v>
      </c>
      <c r="J1298" s="48">
        <v>50</v>
      </c>
      <c r="K1298" s="48">
        <v>1</v>
      </c>
      <c r="N1298" s="48">
        <v>0</v>
      </c>
      <c r="R1298" s="49"/>
      <c r="S1298" s="49"/>
      <c r="T1298" s="49">
        <v>47452</v>
      </c>
      <c r="U1298" s="49">
        <v>47452</v>
      </c>
      <c r="V1298" s="49">
        <v>47452</v>
      </c>
      <c r="W1298" s="49">
        <v>47452</v>
      </c>
      <c r="X1298" s="48">
        <v>1</v>
      </c>
      <c r="Y1298" s="48">
        <v>1</v>
      </c>
      <c r="Z1298" s="48">
        <v>1</v>
      </c>
      <c r="AA1298" s="156">
        <v>5731806677.6425781</v>
      </c>
      <c r="AF1298" s="48">
        <v>0</v>
      </c>
      <c r="AG1298" s="49" t="s">
        <v>41</v>
      </c>
      <c r="AH1298" s="48">
        <v>1</v>
      </c>
      <c r="AI1298" s="48" t="s">
        <v>33</v>
      </c>
      <c r="AJ1298" s="48" t="s">
        <v>33</v>
      </c>
      <c r="AK1298" s="48" t="s">
        <v>33</v>
      </c>
      <c r="AL1298" s="48" t="s">
        <v>34</v>
      </c>
      <c r="AN1298" s="48">
        <v>0</v>
      </c>
      <c r="AO1298" s="48">
        <v>0</v>
      </c>
      <c r="AP1298" s="48">
        <v>0</v>
      </c>
      <c r="AQ1298" s="48">
        <v>0</v>
      </c>
      <c r="AR1298" s="48">
        <v>0</v>
      </c>
      <c r="AS1298" s="48">
        <v>0</v>
      </c>
      <c r="AT1298" s="48">
        <v>0</v>
      </c>
      <c r="AU1298" s="48">
        <v>0</v>
      </c>
      <c r="AV1298" s="48">
        <v>0</v>
      </c>
      <c r="AW1298" s="48">
        <v>0</v>
      </c>
      <c r="AX1298" s="48">
        <v>0</v>
      </c>
      <c r="AY1298" s="48">
        <v>0</v>
      </c>
      <c r="AZ1298" s="48">
        <v>0</v>
      </c>
      <c r="BA1298" s="48">
        <v>0</v>
      </c>
      <c r="BB1298" s="48">
        <v>0</v>
      </c>
    </row>
    <row r="1299" spans="1:54" x14ac:dyDescent="0.35">
      <c r="A1299" s="49">
        <v>45930</v>
      </c>
      <c r="B1299" s="48">
        <v>1</v>
      </c>
      <c r="C1299" s="50" t="s">
        <v>41</v>
      </c>
      <c r="D1299" s="48" t="s">
        <v>31</v>
      </c>
      <c r="E1299" s="48" t="s">
        <v>138</v>
      </c>
      <c r="F1299" s="48" t="s">
        <v>139</v>
      </c>
      <c r="G1299" s="49" t="s">
        <v>180</v>
      </c>
      <c r="H1299" s="48" t="s">
        <v>181</v>
      </c>
      <c r="I1299" s="48">
        <v>1</v>
      </c>
      <c r="J1299" s="48">
        <v>51</v>
      </c>
      <c r="K1299" s="48">
        <v>1</v>
      </c>
      <c r="N1299" s="48">
        <v>0</v>
      </c>
      <c r="R1299" s="49"/>
      <c r="S1299" s="49"/>
      <c r="T1299" s="49">
        <v>47483</v>
      </c>
      <c r="U1299" s="49">
        <v>47483</v>
      </c>
      <c r="V1299" s="49">
        <v>47483</v>
      </c>
      <c r="W1299" s="49">
        <v>47483</v>
      </c>
      <c r="X1299" s="48">
        <v>1</v>
      </c>
      <c r="Y1299" s="48">
        <v>1</v>
      </c>
      <c r="Z1299" s="48">
        <v>1</v>
      </c>
      <c r="AA1299" s="156">
        <v>5676476935.9472656</v>
      </c>
      <c r="AF1299" s="48">
        <v>0</v>
      </c>
      <c r="AG1299" s="49" t="s">
        <v>41</v>
      </c>
      <c r="AH1299" s="48">
        <v>1</v>
      </c>
      <c r="AI1299" s="48" t="s">
        <v>33</v>
      </c>
      <c r="AJ1299" s="48" t="s">
        <v>33</v>
      </c>
      <c r="AK1299" s="48" t="s">
        <v>33</v>
      </c>
      <c r="AL1299" s="48" t="s">
        <v>34</v>
      </c>
      <c r="AN1299" s="48">
        <v>0</v>
      </c>
      <c r="AO1299" s="48">
        <v>0</v>
      </c>
      <c r="AP1299" s="48">
        <v>0</v>
      </c>
      <c r="AQ1299" s="48">
        <v>0</v>
      </c>
      <c r="AR1299" s="48">
        <v>0</v>
      </c>
      <c r="AS1299" s="48">
        <v>0</v>
      </c>
      <c r="AT1299" s="48">
        <v>0</v>
      </c>
      <c r="AU1299" s="48">
        <v>0</v>
      </c>
      <c r="AV1299" s="48">
        <v>0</v>
      </c>
      <c r="AW1299" s="48">
        <v>0</v>
      </c>
      <c r="AX1299" s="48">
        <v>0</v>
      </c>
      <c r="AY1299" s="48">
        <v>0</v>
      </c>
      <c r="AZ1299" s="48">
        <v>0</v>
      </c>
      <c r="BA1299" s="48">
        <v>0</v>
      </c>
      <c r="BB1299" s="48">
        <v>0</v>
      </c>
    </row>
    <row r="1300" spans="1:54" x14ac:dyDescent="0.35">
      <c r="A1300" s="49">
        <v>45930</v>
      </c>
      <c r="B1300" s="48">
        <v>1</v>
      </c>
      <c r="C1300" s="50" t="s">
        <v>41</v>
      </c>
      <c r="D1300" s="48" t="s">
        <v>31</v>
      </c>
      <c r="E1300" s="48" t="s">
        <v>138</v>
      </c>
      <c r="F1300" s="48" t="s">
        <v>139</v>
      </c>
      <c r="G1300" s="49" t="s">
        <v>180</v>
      </c>
      <c r="H1300" s="48" t="s">
        <v>181</v>
      </c>
      <c r="I1300" s="48">
        <v>1</v>
      </c>
      <c r="J1300" s="48">
        <v>52</v>
      </c>
      <c r="K1300" s="48">
        <v>1</v>
      </c>
      <c r="N1300" s="48">
        <v>0</v>
      </c>
      <c r="R1300" s="49"/>
      <c r="S1300" s="49"/>
      <c r="T1300" s="49">
        <v>47514</v>
      </c>
      <c r="U1300" s="49">
        <v>47514</v>
      </c>
      <c r="V1300" s="49">
        <v>47514</v>
      </c>
      <c r="W1300" s="49">
        <v>47514</v>
      </c>
      <c r="X1300" s="48">
        <v>1</v>
      </c>
      <c r="Y1300" s="48">
        <v>1</v>
      </c>
      <c r="Z1300" s="48">
        <v>1</v>
      </c>
      <c r="AA1300" s="156">
        <v>5621681298.1547852</v>
      </c>
      <c r="AF1300" s="48">
        <v>0</v>
      </c>
      <c r="AG1300" s="49" t="s">
        <v>41</v>
      </c>
      <c r="AH1300" s="48">
        <v>1</v>
      </c>
      <c r="AI1300" s="48" t="s">
        <v>33</v>
      </c>
      <c r="AJ1300" s="48" t="s">
        <v>33</v>
      </c>
      <c r="AK1300" s="48" t="s">
        <v>33</v>
      </c>
      <c r="AL1300" s="48" t="s">
        <v>34</v>
      </c>
      <c r="AN1300" s="48">
        <v>0</v>
      </c>
      <c r="AO1300" s="48">
        <v>0</v>
      </c>
      <c r="AP1300" s="48">
        <v>0</v>
      </c>
      <c r="AQ1300" s="48">
        <v>0</v>
      </c>
      <c r="AR1300" s="48">
        <v>0</v>
      </c>
      <c r="AS1300" s="48">
        <v>0</v>
      </c>
      <c r="AT1300" s="48">
        <v>0</v>
      </c>
      <c r="AU1300" s="48">
        <v>0</v>
      </c>
      <c r="AV1300" s="48">
        <v>0</v>
      </c>
      <c r="AW1300" s="48">
        <v>0</v>
      </c>
      <c r="AX1300" s="48">
        <v>0</v>
      </c>
      <c r="AY1300" s="48">
        <v>0</v>
      </c>
      <c r="AZ1300" s="48">
        <v>0</v>
      </c>
      <c r="BA1300" s="48">
        <v>0</v>
      </c>
      <c r="BB1300" s="48">
        <v>0</v>
      </c>
    </row>
    <row r="1301" spans="1:54" x14ac:dyDescent="0.35">
      <c r="A1301" s="49">
        <v>45930</v>
      </c>
      <c r="B1301" s="48">
        <v>1</v>
      </c>
      <c r="C1301" s="50" t="s">
        <v>41</v>
      </c>
      <c r="D1301" s="48" t="s">
        <v>31</v>
      </c>
      <c r="E1301" s="48" t="s">
        <v>138</v>
      </c>
      <c r="F1301" s="48" t="s">
        <v>139</v>
      </c>
      <c r="G1301" s="49" t="s">
        <v>180</v>
      </c>
      <c r="H1301" s="48" t="s">
        <v>181</v>
      </c>
      <c r="I1301" s="48">
        <v>1</v>
      </c>
      <c r="J1301" s="48">
        <v>53</v>
      </c>
      <c r="K1301" s="48">
        <v>1</v>
      </c>
      <c r="N1301" s="48">
        <v>0</v>
      </c>
      <c r="R1301" s="49"/>
      <c r="S1301" s="49"/>
      <c r="T1301" s="49">
        <v>47542</v>
      </c>
      <c r="U1301" s="49">
        <v>47542</v>
      </c>
      <c r="V1301" s="49">
        <v>47542</v>
      </c>
      <c r="W1301" s="49">
        <v>47542</v>
      </c>
      <c r="X1301" s="48">
        <v>1</v>
      </c>
      <c r="Y1301" s="48">
        <v>1</v>
      </c>
      <c r="Z1301" s="48">
        <v>1</v>
      </c>
      <c r="AA1301" s="156">
        <v>5567414608.5028076</v>
      </c>
      <c r="AF1301" s="48">
        <v>0</v>
      </c>
      <c r="AG1301" s="49" t="s">
        <v>41</v>
      </c>
      <c r="AH1301" s="48">
        <v>1</v>
      </c>
      <c r="AI1301" s="48" t="s">
        <v>33</v>
      </c>
      <c r="AJ1301" s="48" t="s">
        <v>33</v>
      </c>
      <c r="AK1301" s="48" t="s">
        <v>33</v>
      </c>
      <c r="AL1301" s="48" t="s">
        <v>34</v>
      </c>
      <c r="AN1301" s="48">
        <v>0</v>
      </c>
      <c r="AO1301" s="48">
        <v>0</v>
      </c>
      <c r="AP1301" s="48">
        <v>0</v>
      </c>
      <c r="AQ1301" s="48">
        <v>0</v>
      </c>
      <c r="AR1301" s="48">
        <v>0</v>
      </c>
      <c r="AS1301" s="48">
        <v>0</v>
      </c>
      <c r="AT1301" s="48">
        <v>0</v>
      </c>
      <c r="AU1301" s="48">
        <v>0</v>
      </c>
      <c r="AV1301" s="48">
        <v>0</v>
      </c>
      <c r="AW1301" s="48">
        <v>0</v>
      </c>
      <c r="AX1301" s="48">
        <v>0</v>
      </c>
      <c r="AY1301" s="48">
        <v>0</v>
      </c>
      <c r="AZ1301" s="48">
        <v>0</v>
      </c>
      <c r="BA1301" s="48">
        <v>0</v>
      </c>
      <c r="BB1301" s="48">
        <v>0</v>
      </c>
    </row>
    <row r="1302" spans="1:54" x14ac:dyDescent="0.35">
      <c r="A1302" s="49">
        <v>45930</v>
      </c>
      <c r="B1302" s="48">
        <v>1</v>
      </c>
      <c r="C1302" s="50" t="s">
        <v>41</v>
      </c>
      <c r="D1302" s="48" t="s">
        <v>31</v>
      </c>
      <c r="E1302" s="48" t="s">
        <v>138</v>
      </c>
      <c r="F1302" s="48" t="s">
        <v>139</v>
      </c>
      <c r="G1302" s="49" t="s">
        <v>180</v>
      </c>
      <c r="H1302" s="48" t="s">
        <v>181</v>
      </c>
      <c r="I1302" s="48">
        <v>1</v>
      </c>
      <c r="J1302" s="48">
        <v>54</v>
      </c>
      <c r="K1302" s="48">
        <v>1</v>
      </c>
      <c r="N1302" s="48">
        <v>0</v>
      </c>
      <c r="R1302" s="49"/>
      <c r="S1302" s="49"/>
      <c r="T1302" s="49">
        <v>47573</v>
      </c>
      <c r="U1302" s="49">
        <v>47573</v>
      </c>
      <c r="V1302" s="49">
        <v>47573</v>
      </c>
      <c r="W1302" s="49">
        <v>47573</v>
      </c>
      <c r="X1302" s="48">
        <v>1</v>
      </c>
      <c r="Y1302" s="48">
        <v>1</v>
      </c>
      <c r="Z1302" s="48">
        <v>1</v>
      </c>
      <c r="AA1302" s="156">
        <v>5513671760.9987793</v>
      </c>
      <c r="AF1302" s="48">
        <v>0</v>
      </c>
      <c r="AG1302" s="49" t="s">
        <v>41</v>
      </c>
      <c r="AH1302" s="48">
        <v>1</v>
      </c>
      <c r="AI1302" s="48" t="s">
        <v>33</v>
      </c>
      <c r="AJ1302" s="48" t="s">
        <v>33</v>
      </c>
      <c r="AK1302" s="48" t="s">
        <v>33</v>
      </c>
      <c r="AL1302" s="48" t="s">
        <v>34</v>
      </c>
      <c r="AN1302" s="48">
        <v>0</v>
      </c>
      <c r="AO1302" s="48">
        <v>0</v>
      </c>
      <c r="AP1302" s="48">
        <v>0</v>
      </c>
      <c r="AQ1302" s="48">
        <v>0</v>
      </c>
      <c r="AR1302" s="48">
        <v>0</v>
      </c>
      <c r="AS1302" s="48">
        <v>0</v>
      </c>
      <c r="AT1302" s="48">
        <v>0</v>
      </c>
      <c r="AU1302" s="48">
        <v>0</v>
      </c>
      <c r="AV1302" s="48">
        <v>0</v>
      </c>
      <c r="AW1302" s="48">
        <v>0</v>
      </c>
      <c r="AX1302" s="48">
        <v>0</v>
      </c>
      <c r="AY1302" s="48">
        <v>0</v>
      </c>
      <c r="AZ1302" s="48">
        <v>0</v>
      </c>
      <c r="BA1302" s="48">
        <v>0</v>
      </c>
      <c r="BB1302" s="48">
        <v>0</v>
      </c>
    </row>
    <row r="1303" spans="1:54" x14ac:dyDescent="0.35">
      <c r="A1303" s="49">
        <v>45930</v>
      </c>
      <c r="B1303" s="48">
        <v>1</v>
      </c>
      <c r="C1303" s="50" t="s">
        <v>41</v>
      </c>
      <c r="D1303" s="48" t="s">
        <v>31</v>
      </c>
      <c r="E1303" s="48" t="s">
        <v>138</v>
      </c>
      <c r="F1303" s="48" t="s">
        <v>139</v>
      </c>
      <c r="G1303" s="49" t="s">
        <v>180</v>
      </c>
      <c r="H1303" s="48" t="s">
        <v>181</v>
      </c>
      <c r="I1303" s="48">
        <v>1</v>
      </c>
      <c r="J1303" s="48">
        <v>55</v>
      </c>
      <c r="K1303" s="48">
        <v>1</v>
      </c>
      <c r="N1303" s="48">
        <v>0</v>
      </c>
      <c r="R1303" s="49"/>
      <c r="S1303" s="49"/>
      <c r="T1303" s="49">
        <v>47603</v>
      </c>
      <c r="U1303" s="49">
        <v>47603</v>
      </c>
      <c r="V1303" s="49">
        <v>47603</v>
      </c>
      <c r="W1303" s="49">
        <v>47603</v>
      </c>
      <c r="X1303" s="48">
        <v>1</v>
      </c>
      <c r="Y1303" s="48">
        <v>1</v>
      </c>
      <c r="Z1303" s="48">
        <v>1</v>
      </c>
      <c r="AA1303" s="156">
        <v>5460447698.9383545</v>
      </c>
      <c r="AF1303" s="48">
        <v>0</v>
      </c>
      <c r="AG1303" s="49" t="s">
        <v>41</v>
      </c>
      <c r="AH1303" s="48">
        <v>1</v>
      </c>
      <c r="AI1303" s="48" t="s">
        <v>33</v>
      </c>
      <c r="AJ1303" s="48" t="s">
        <v>33</v>
      </c>
      <c r="AK1303" s="48" t="s">
        <v>33</v>
      </c>
      <c r="AL1303" s="48" t="s">
        <v>34</v>
      </c>
      <c r="AN1303" s="48">
        <v>0</v>
      </c>
      <c r="AO1303" s="48">
        <v>0</v>
      </c>
      <c r="AP1303" s="48">
        <v>0</v>
      </c>
      <c r="AQ1303" s="48">
        <v>0</v>
      </c>
      <c r="AR1303" s="48">
        <v>0</v>
      </c>
      <c r="AS1303" s="48">
        <v>0</v>
      </c>
      <c r="AT1303" s="48">
        <v>0</v>
      </c>
      <c r="AU1303" s="48">
        <v>0</v>
      </c>
      <c r="AV1303" s="48">
        <v>0</v>
      </c>
      <c r="AW1303" s="48">
        <v>0</v>
      </c>
      <c r="AX1303" s="48">
        <v>0</v>
      </c>
      <c r="AY1303" s="48">
        <v>0</v>
      </c>
      <c r="AZ1303" s="48">
        <v>0</v>
      </c>
      <c r="BA1303" s="48">
        <v>0</v>
      </c>
      <c r="BB1303" s="48">
        <v>0</v>
      </c>
    </row>
    <row r="1304" spans="1:54" x14ac:dyDescent="0.35">
      <c r="A1304" s="49">
        <v>45930</v>
      </c>
      <c r="B1304" s="48">
        <v>1</v>
      </c>
      <c r="C1304" s="50" t="s">
        <v>41</v>
      </c>
      <c r="D1304" s="48" t="s">
        <v>31</v>
      </c>
      <c r="E1304" s="48" t="s">
        <v>138</v>
      </c>
      <c r="F1304" s="48" t="s">
        <v>139</v>
      </c>
      <c r="G1304" s="49" t="s">
        <v>180</v>
      </c>
      <c r="H1304" s="48" t="s">
        <v>181</v>
      </c>
      <c r="I1304" s="48">
        <v>1</v>
      </c>
      <c r="J1304" s="48">
        <v>56</v>
      </c>
      <c r="K1304" s="48">
        <v>1</v>
      </c>
      <c r="N1304" s="48">
        <v>0</v>
      </c>
      <c r="R1304" s="49"/>
      <c r="S1304" s="49"/>
      <c r="T1304" s="49">
        <v>47634</v>
      </c>
      <c r="U1304" s="49">
        <v>47634</v>
      </c>
      <c r="V1304" s="49">
        <v>47634</v>
      </c>
      <c r="W1304" s="49">
        <v>47634</v>
      </c>
      <c r="X1304" s="48">
        <v>1</v>
      </c>
      <c r="Y1304" s="48">
        <v>1</v>
      </c>
      <c r="Z1304" s="48">
        <v>1</v>
      </c>
      <c r="AA1304" s="156">
        <v>5407737414.430542</v>
      </c>
      <c r="AF1304" s="48">
        <v>0</v>
      </c>
      <c r="AG1304" s="49" t="s">
        <v>41</v>
      </c>
      <c r="AH1304" s="48">
        <v>1</v>
      </c>
      <c r="AI1304" s="48" t="s">
        <v>33</v>
      </c>
      <c r="AJ1304" s="48" t="s">
        <v>33</v>
      </c>
      <c r="AK1304" s="48" t="s">
        <v>33</v>
      </c>
      <c r="AL1304" s="48" t="s">
        <v>34</v>
      </c>
      <c r="AN1304" s="48">
        <v>0</v>
      </c>
      <c r="AO1304" s="48">
        <v>0</v>
      </c>
      <c r="AP1304" s="48">
        <v>0</v>
      </c>
      <c r="AQ1304" s="48">
        <v>0</v>
      </c>
      <c r="AR1304" s="48">
        <v>0</v>
      </c>
      <c r="AS1304" s="48">
        <v>0</v>
      </c>
      <c r="AT1304" s="48">
        <v>0</v>
      </c>
      <c r="AU1304" s="48">
        <v>0</v>
      </c>
      <c r="AV1304" s="48">
        <v>0</v>
      </c>
      <c r="AW1304" s="48">
        <v>0</v>
      </c>
      <c r="AX1304" s="48">
        <v>0</v>
      </c>
      <c r="AY1304" s="48">
        <v>0</v>
      </c>
      <c r="AZ1304" s="48">
        <v>0</v>
      </c>
      <c r="BA1304" s="48">
        <v>0</v>
      </c>
      <c r="BB1304" s="48">
        <v>0</v>
      </c>
    </row>
    <row r="1305" spans="1:54" x14ac:dyDescent="0.35">
      <c r="A1305" s="49">
        <v>45930</v>
      </c>
      <c r="B1305" s="48">
        <v>1</v>
      </c>
      <c r="C1305" s="50" t="s">
        <v>41</v>
      </c>
      <c r="D1305" s="48" t="s">
        <v>31</v>
      </c>
      <c r="E1305" s="48" t="s">
        <v>138</v>
      </c>
      <c r="F1305" s="48" t="s">
        <v>139</v>
      </c>
      <c r="G1305" s="49" t="s">
        <v>180</v>
      </c>
      <c r="H1305" s="48" t="s">
        <v>181</v>
      </c>
      <c r="I1305" s="48">
        <v>1</v>
      </c>
      <c r="J1305" s="48">
        <v>57</v>
      </c>
      <c r="K1305" s="48">
        <v>1</v>
      </c>
      <c r="N1305" s="48">
        <v>0</v>
      </c>
      <c r="R1305" s="49"/>
      <c r="S1305" s="49"/>
      <c r="T1305" s="49">
        <v>47664</v>
      </c>
      <c r="U1305" s="49">
        <v>47664</v>
      </c>
      <c r="V1305" s="49">
        <v>47664</v>
      </c>
      <c r="W1305" s="49">
        <v>47664</v>
      </c>
      <c r="X1305" s="48">
        <v>1</v>
      </c>
      <c r="Y1305" s="48">
        <v>1</v>
      </c>
      <c r="Z1305" s="48">
        <v>1</v>
      </c>
      <c r="AA1305" s="156">
        <v>5355535947.9254761</v>
      </c>
      <c r="AF1305" s="48">
        <v>0</v>
      </c>
      <c r="AG1305" s="49" t="s">
        <v>41</v>
      </c>
      <c r="AH1305" s="48">
        <v>1</v>
      </c>
      <c r="AI1305" s="48" t="s">
        <v>33</v>
      </c>
      <c r="AJ1305" s="48" t="s">
        <v>33</v>
      </c>
      <c r="AK1305" s="48" t="s">
        <v>33</v>
      </c>
      <c r="AL1305" s="48" t="s">
        <v>34</v>
      </c>
      <c r="AN1305" s="48">
        <v>0</v>
      </c>
      <c r="AO1305" s="48">
        <v>0</v>
      </c>
      <c r="AP1305" s="48">
        <v>0</v>
      </c>
      <c r="AQ1305" s="48">
        <v>0</v>
      </c>
      <c r="AR1305" s="48">
        <v>0</v>
      </c>
      <c r="AS1305" s="48">
        <v>0</v>
      </c>
      <c r="AT1305" s="48">
        <v>0</v>
      </c>
      <c r="AU1305" s="48">
        <v>0</v>
      </c>
      <c r="AV1305" s="48">
        <v>0</v>
      </c>
      <c r="AW1305" s="48">
        <v>0</v>
      </c>
      <c r="AX1305" s="48">
        <v>0</v>
      </c>
      <c r="AY1305" s="48">
        <v>0</v>
      </c>
      <c r="AZ1305" s="48">
        <v>0</v>
      </c>
      <c r="BA1305" s="48">
        <v>0</v>
      </c>
      <c r="BB1305" s="48">
        <v>0</v>
      </c>
    </row>
    <row r="1306" spans="1:54" x14ac:dyDescent="0.35">
      <c r="A1306" s="49">
        <v>45930</v>
      </c>
      <c r="B1306" s="48">
        <v>1</v>
      </c>
      <c r="C1306" s="50" t="s">
        <v>41</v>
      </c>
      <c r="D1306" s="48" t="s">
        <v>31</v>
      </c>
      <c r="E1306" s="48" t="s">
        <v>138</v>
      </c>
      <c r="F1306" s="48" t="s">
        <v>139</v>
      </c>
      <c r="G1306" s="49" t="s">
        <v>180</v>
      </c>
      <c r="H1306" s="48" t="s">
        <v>181</v>
      </c>
      <c r="I1306" s="48">
        <v>1</v>
      </c>
      <c r="J1306" s="48">
        <v>58</v>
      </c>
      <c r="K1306" s="48">
        <v>1</v>
      </c>
      <c r="N1306" s="48">
        <v>0</v>
      </c>
      <c r="R1306" s="49"/>
      <c r="S1306" s="49"/>
      <c r="T1306" s="49">
        <v>47695</v>
      </c>
      <c r="U1306" s="49">
        <v>47695</v>
      </c>
      <c r="V1306" s="49">
        <v>47695</v>
      </c>
      <c r="W1306" s="49">
        <v>47695</v>
      </c>
      <c r="X1306" s="48">
        <v>1</v>
      </c>
      <c r="Y1306" s="48">
        <v>1</v>
      </c>
      <c r="Z1306" s="48">
        <v>1</v>
      </c>
      <c r="AA1306" s="156">
        <v>5303838387.7486572</v>
      </c>
      <c r="AF1306" s="48">
        <v>0</v>
      </c>
      <c r="AG1306" s="49" t="s">
        <v>41</v>
      </c>
      <c r="AH1306" s="48">
        <v>1</v>
      </c>
      <c r="AI1306" s="48" t="s">
        <v>33</v>
      </c>
      <c r="AJ1306" s="48" t="s">
        <v>33</v>
      </c>
      <c r="AK1306" s="48" t="s">
        <v>33</v>
      </c>
      <c r="AL1306" s="48" t="s">
        <v>34</v>
      </c>
      <c r="AN1306" s="48">
        <v>0</v>
      </c>
      <c r="AO1306" s="48">
        <v>0</v>
      </c>
      <c r="AP1306" s="48">
        <v>0</v>
      </c>
      <c r="AQ1306" s="48">
        <v>0</v>
      </c>
      <c r="AR1306" s="48">
        <v>0</v>
      </c>
      <c r="AS1306" s="48">
        <v>0</v>
      </c>
      <c r="AT1306" s="48">
        <v>0</v>
      </c>
      <c r="AU1306" s="48">
        <v>0</v>
      </c>
      <c r="AV1306" s="48">
        <v>0</v>
      </c>
      <c r="AW1306" s="48">
        <v>0</v>
      </c>
      <c r="AX1306" s="48">
        <v>0</v>
      </c>
      <c r="AY1306" s="48">
        <v>0</v>
      </c>
      <c r="AZ1306" s="48">
        <v>0</v>
      </c>
      <c r="BA1306" s="48">
        <v>0</v>
      </c>
      <c r="BB1306" s="48">
        <v>0</v>
      </c>
    </row>
    <row r="1307" spans="1:54" x14ac:dyDescent="0.35">
      <c r="A1307" s="49">
        <v>45930</v>
      </c>
      <c r="B1307" s="48">
        <v>1</v>
      </c>
      <c r="C1307" s="50" t="s">
        <v>41</v>
      </c>
      <c r="D1307" s="48" t="s">
        <v>31</v>
      </c>
      <c r="E1307" s="48" t="s">
        <v>138</v>
      </c>
      <c r="F1307" s="48" t="s">
        <v>139</v>
      </c>
      <c r="G1307" s="49" t="s">
        <v>180</v>
      </c>
      <c r="H1307" s="48" t="s">
        <v>181</v>
      </c>
      <c r="I1307" s="48">
        <v>1</v>
      </c>
      <c r="J1307" s="48">
        <v>59</v>
      </c>
      <c r="K1307" s="48">
        <v>1</v>
      </c>
      <c r="N1307" s="48">
        <v>0</v>
      </c>
      <c r="R1307" s="49"/>
      <c r="S1307" s="49"/>
      <c r="T1307" s="49">
        <v>47726</v>
      </c>
      <c r="U1307" s="49">
        <v>47726</v>
      </c>
      <c r="V1307" s="49">
        <v>47726</v>
      </c>
      <c r="W1307" s="49">
        <v>47726</v>
      </c>
      <c r="X1307" s="48">
        <v>1</v>
      </c>
      <c r="Y1307" s="48">
        <v>1</v>
      </c>
      <c r="Z1307" s="48">
        <v>1</v>
      </c>
      <c r="AA1307" s="156">
        <v>5252639869.638855</v>
      </c>
      <c r="AF1307" s="48">
        <v>0</v>
      </c>
      <c r="AG1307" s="49" t="s">
        <v>41</v>
      </c>
      <c r="AH1307" s="48">
        <v>1</v>
      </c>
      <c r="AI1307" s="48" t="s">
        <v>33</v>
      </c>
      <c r="AJ1307" s="48" t="s">
        <v>33</v>
      </c>
      <c r="AK1307" s="48" t="s">
        <v>33</v>
      </c>
      <c r="AL1307" s="48" t="s">
        <v>34</v>
      </c>
      <c r="AN1307" s="48">
        <v>0</v>
      </c>
      <c r="AO1307" s="48">
        <v>0</v>
      </c>
      <c r="AP1307" s="48">
        <v>0</v>
      </c>
      <c r="AQ1307" s="48">
        <v>0</v>
      </c>
      <c r="AR1307" s="48">
        <v>0</v>
      </c>
      <c r="AS1307" s="48">
        <v>0</v>
      </c>
      <c r="AT1307" s="48">
        <v>0</v>
      </c>
      <c r="AU1307" s="48">
        <v>0</v>
      </c>
      <c r="AV1307" s="48">
        <v>0</v>
      </c>
      <c r="AW1307" s="48">
        <v>0</v>
      </c>
      <c r="AX1307" s="48">
        <v>0</v>
      </c>
      <c r="AY1307" s="48">
        <v>0</v>
      </c>
      <c r="AZ1307" s="48">
        <v>0</v>
      </c>
      <c r="BA1307" s="48">
        <v>0</v>
      </c>
      <c r="BB1307" s="48">
        <v>0</v>
      </c>
    </row>
    <row r="1308" spans="1:54" x14ac:dyDescent="0.35">
      <c r="A1308" s="49">
        <v>45930</v>
      </c>
      <c r="B1308" s="48">
        <v>1</v>
      </c>
      <c r="C1308" s="50" t="s">
        <v>41</v>
      </c>
      <c r="D1308" s="48" t="s">
        <v>31</v>
      </c>
      <c r="E1308" s="48" t="s">
        <v>138</v>
      </c>
      <c r="F1308" s="48" t="s">
        <v>139</v>
      </c>
      <c r="G1308" s="49" t="s">
        <v>180</v>
      </c>
      <c r="H1308" s="48" t="s">
        <v>181</v>
      </c>
      <c r="I1308" s="48">
        <v>1</v>
      </c>
      <c r="J1308" s="48">
        <v>60</v>
      </c>
      <c r="K1308" s="48">
        <v>1</v>
      </c>
      <c r="N1308" s="48">
        <v>0</v>
      </c>
      <c r="R1308" s="49"/>
      <c r="S1308" s="49"/>
      <c r="T1308" s="49">
        <v>47756</v>
      </c>
      <c r="U1308" s="49">
        <v>47756</v>
      </c>
      <c r="V1308" s="49">
        <v>47756</v>
      </c>
      <c r="W1308" s="49">
        <v>47756</v>
      </c>
      <c r="X1308" s="48">
        <v>1</v>
      </c>
      <c r="Y1308" s="48">
        <v>1</v>
      </c>
      <c r="Z1308" s="48">
        <v>1</v>
      </c>
      <c r="AA1308" s="156">
        <v>5201935576.2894287</v>
      </c>
      <c r="AF1308" s="48">
        <v>0</v>
      </c>
      <c r="AG1308" s="49" t="s">
        <v>41</v>
      </c>
      <c r="AH1308" s="48">
        <v>1</v>
      </c>
      <c r="AI1308" s="48" t="s">
        <v>33</v>
      </c>
      <c r="AJ1308" s="48" t="s">
        <v>33</v>
      </c>
      <c r="AK1308" s="48" t="s">
        <v>33</v>
      </c>
      <c r="AL1308" s="48" t="s">
        <v>34</v>
      </c>
      <c r="AN1308" s="48">
        <v>0</v>
      </c>
      <c r="AO1308" s="48">
        <v>0</v>
      </c>
      <c r="AP1308" s="48">
        <v>0</v>
      </c>
      <c r="AQ1308" s="48">
        <v>0</v>
      </c>
      <c r="AR1308" s="48">
        <v>0</v>
      </c>
      <c r="AS1308" s="48">
        <v>0</v>
      </c>
      <c r="AT1308" s="48">
        <v>0</v>
      </c>
      <c r="AU1308" s="48">
        <v>0</v>
      </c>
      <c r="AV1308" s="48">
        <v>0</v>
      </c>
      <c r="AW1308" s="48">
        <v>0</v>
      </c>
      <c r="AX1308" s="48">
        <v>0</v>
      </c>
      <c r="AY1308" s="48">
        <v>0</v>
      </c>
      <c r="AZ1308" s="48">
        <v>0</v>
      </c>
      <c r="BA1308" s="48">
        <v>0</v>
      </c>
      <c r="BB1308" s="48">
        <v>0</v>
      </c>
    </row>
    <row r="1309" spans="1:54" x14ac:dyDescent="0.35">
      <c r="A1309" s="49">
        <v>45930</v>
      </c>
      <c r="B1309" s="48">
        <v>1</v>
      </c>
      <c r="C1309" s="50" t="s">
        <v>41</v>
      </c>
      <c r="D1309" s="48" t="s">
        <v>31</v>
      </c>
      <c r="E1309" s="48" t="s">
        <v>138</v>
      </c>
      <c r="F1309" s="48" t="s">
        <v>139</v>
      </c>
      <c r="G1309" s="49" t="s">
        <v>180</v>
      </c>
      <c r="H1309" s="48" t="s">
        <v>181</v>
      </c>
      <c r="I1309" s="48">
        <v>1</v>
      </c>
      <c r="J1309" s="48">
        <v>61</v>
      </c>
      <c r="K1309" s="48">
        <v>1</v>
      </c>
      <c r="N1309" s="48">
        <v>0</v>
      </c>
      <c r="R1309" s="49"/>
      <c r="S1309" s="49"/>
      <c r="T1309" s="49">
        <v>47787</v>
      </c>
      <c r="U1309" s="49">
        <v>47787</v>
      </c>
      <c r="V1309" s="49">
        <v>47787</v>
      </c>
      <c r="W1309" s="49">
        <v>47787</v>
      </c>
      <c r="X1309" s="48">
        <v>1</v>
      </c>
      <c r="Y1309" s="48">
        <v>1</v>
      </c>
      <c r="Z1309" s="48">
        <v>1</v>
      </c>
      <c r="AA1309" s="156">
        <v>5151720736.8959351</v>
      </c>
      <c r="AF1309" s="48">
        <v>0</v>
      </c>
      <c r="AG1309" s="49" t="s">
        <v>41</v>
      </c>
      <c r="AH1309" s="48">
        <v>1</v>
      </c>
      <c r="AI1309" s="48" t="s">
        <v>33</v>
      </c>
      <c r="AJ1309" s="48" t="s">
        <v>33</v>
      </c>
      <c r="AK1309" s="48" t="s">
        <v>33</v>
      </c>
      <c r="AL1309" s="48" t="s">
        <v>34</v>
      </c>
      <c r="AN1309" s="48">
        <v>0</v>
      </c>
      <c r="AO1309" s="48">
        <v>0</v>
      </c>
      <c r="AP1309" s="48">
        <v>0</v>
      </c>
      <c r="AQ1309" s="48">
        <v>0</v>
      </c>
      <c r="AR1309" s="48">
        <v>0</v>
      </c>
      <c r="AS1309" s="48">
        <v>0</v>
      </c>
      <c r="AT1309" s="48">
        <v>0</v>
      </c>
      <c r="AU1309" s="48">
        <v>0</v>
      </c>
      <c r="AV1309" s="48">
        <v>0</v>
      </c>
      <c r="AW1309" s="48">
        <v>0</v>
      </c>
      <c r="AX1309" s="48">
        <v>0</v>
      </c>
      <c r="AY1309" s="48">
        <v>0</v>
      </c>
      <c r="AZ1309" s="48">
        <v>0</v>
      </c>
      <c r="BA1309" s="48">
        <v>0</v>
      </c>
      <c r="BB1309" s="48">
        <v>0</v>
      </c>
    </row>
    <row r="1310" spans="1:54" x14ac:dyDescent="0.35">
      <c r="A1310" s="49">
        <v>45930</v>
      </c>
      <c r="B1310" s="48">
        <v>1</v>
      </c>
      <c r="C1310" s="50" t="s">
        <v>41</v>
      </c>
      <c r="D1310" s="48" t="s">
        <v>31</v>
      </c>
      <c r="E1310" s="48" t="s">
        <v>138</v>
      </c>
      <c r="F1310" s="48" t="s">
        <v>139</v>
      </c>
      <c r="G1310" s="49" t="s">
        <v>180</v>
      </c>
      <c r="H1310" s="48" t="s">
        <v>181</v>
      </c>
      <c r="I1310" s="48">
        <v>1</v>
      </c>
      <c r="J1310" s="48">
        <v>62</v>
      </c>
      <c r="K1310" s="48">
        <v>1</v>
      </c>
      <c r="N1310" s="48">
        <v>0</v>
      </c>
      <c r="R1310" s="49"/>
      <c r="S1310" s="49"/>
      <c r="T1310" s="49">
        <v>47817</v>
      </c>
      <c r="U1310" s="49">
        <v>47817</v>
      </c>
      <c r="V1310" s="49">
        <v>47817</v>
      </c>
      <c r="W1310" s="49">
        <v>47817</v>
      </c>
      <c r="X1310" s="48">
        <v>1</v>
      </c>
      <c r="Y1310" s="48">
        <v>1</v>
      </c>
      <c r="Z1310" s="48">
        <v>1</v>
      </c>
      <c r="AA1310" s="156">
        <v>5101990626.7073975</v>
      </c>
      <c r="AF1310" s="48">
        <v>0</v>
      </c>
      <c r="AG1310" s="49" t="s">
        <v>41</v>
      </c>
      <c r="AH1310" s="48">
        <v>1</v>
      </c>
      <c r="AI1310" s="48" t="s">
        <v>33</v>
      </c>
      <c r="AJ1310" s="48" t="s">
        <v>33</v>
      </c>
      <c r="AK1310" s="48" t="s">
        <v>33</v>
      </c>
      <c r="AL1310" s="48" t="s">
        <v>34</v>
      </c>
      <c r="AN1310" s="48">
        <v>0</v>
      </c>
      <c r="AO1310" s="48">
        <v>0</v>
      </c>
      <c r="AP1310" s="48">
        <v>0</v>
      </c>
      <c r="AQ1310" s="48">
        <v>0</v>
      </c>
      <c r="AR1310" s="48">
        <v>0</v>
      </c>
      <c r="AS1310" s="48">
        <v>0</v>
      </c>
      <c r="AT1310" s="48">
        <v>0</v>
      </c>
      <c r="AU1310" s="48">
        <v>0</v>
      </c>
      <c r="AV1310" s="48">
        <v>0</v>
      </c>
      <c r="AW1310" s="48">
        <v>0</v>
      </c>
      <c r="AX1310" s="48">
        <v>0</v>
      </c>
      <c r="AY1310" s="48">
        <v>0</v>
      </c>
      <c r="AZ1310" s="48">
        <v>0</v>
      </c>
      <c r="BA1310" s="48">
        <v>0</v>
      </c>
      <c r="BB1310" s="48">
        <v>0</v>
      </c>
    </row>
    <row r="1311" spans="1:54" x14ac:dyDescent="0.35">
      <c r="A1311" s="49">
        <v>45930</v>
      </c>
      <c r="B1311" s="48">
        <v>1</v>
      </c>
      <c r="C1311" s="50" t="s">
        <v>41</v>
      </c>
      <c r="D1311" s="48" t="s">
        <v>31</v>
      </c>
      <c r="E1311" s="48" t="s">
        <v>138</v>
      </c>
      <c r="F1311" s="48" t="s">
        <v>139</v>
      </c>
      <c r="G1311" s="49" t="s">
        <v>180</v>
      </c>
      <c r="H1311" s="48" t="s">
        <v>181</v>
      </c>
      <c r="I1311" s="48">
        <v>1</v>
      </c>
      <c r="J1311" s="48">
        <v>63</v>
      </c>
      <c r="K1311" s="48">
        <v>1</v>
      </c>
      <c r="N1311" s="48">
        <v>0</v>
      </c>
      <c r="R1311" s="49"/>
      <c r="S1311" s="49"/>
      <c r="T1311" s="49">
        <v>47848</v>
      </c>
      <c r="U1311" s="49">
        <v>47848</v>
      </c>
      <c r="V1311" s="49">
        <v>47848</v>
      </c>
      <c r="W1311" s="49">
        <v>47848</v>
      </c>
      <c r="X1311" s="48">
        <v>1</v>
      </c>
      <c r="Y1311" s="48">
        <v>1</v>
      </c>
      <c r="Z1311" s="48">
        <v>1</v>
      </c>
      <c r="AA1311" s="156">
        <v>5052740566.5808105</v>
      </c>
      <c r="AF1311" s="48">
        <v>0</v>
      </c>
      <c r="AG1311" s="49" t="s">
        <v>41</v>
      </c>
      <c r="AH1311" s="48">
        <v>1</v>
      </c>
      <c r="AI1311" s="48" t="s">
        <v>33</v>
      </c>
      <c r="AJ1311" s="48" t="s">
        <v>33</v>
      </c>
      <c r="AK1311" s="48" t="s">
        <v>33</v>
      </c>
      <c r="AL1311" s="48" t="s">
        <v>34</v>
      </c>
      <c r="AN1311" s="48">
        <v>0</v>
      </c>
      <c r="AO1311" s="48">
        <v>0</v>
      </c>
      <c r="AP1311" s="48">
        <v>0</v>
      </c>
      <c r="AQ1311" s="48">
        <v>0</v>
      </c>
      <c r="AR1311" s="48">
        <v>0</v>
      </c>
      <c r="AS1311" s="48">
        <v>0</v>
      </c>
      <c r="AT1311" s="48">
        <v>0</v>
      </c>
      <c r="AU1311" s="48">
        <v>0</v>
      </c>
      <c r="AV1311" s="48">
        <v>0</v>
      </c>
      <c r="AW1311" s="48">
        <v>0</v>
      </c>
      <c r="AX1311" s="48">
        <v>0</v>
      </c>
      <c r="AY1311" s="48">
        <v>0</v>
      </c>
      <c r="AZ1311" s="48">
        <v>0</v>
      </c>
      <c r="BA1311" s="48">
        <v>0</v>
      </c>
      <c r="BB1311" s="48">
        <v>0</v>
      </c>
    </row>
    <row r="1312" spans="1:54" x14ac:dyDescent="0.35">
      <c r="A1312" s="49">
        <v>45930</v>
      </c>
      <c r="B1312" s="48">
        <v>1</v>
      </c>
      <c r="C1312" s="50" t="s">
        <v>41</v>
      </c>
      <c r="D1312" s="48" t="s">
        <v>31</v>
      </c>
      <c r="E1312" s="48" t="s">
        <v>138</v>
      </c>
      <c r="F1312" s="48" t="s">
        <v>139</v>
      </c>
      <c r="G1312" s="49" t="s">
        <v>180</v>
      </c>
      <c r="H1312" s="48" t="s">
        <v>181</v>
      </c>
      <c r="I1312" s="48">
        <v>1</v>
      </c>
      <c r="J1312" s="48">
        <v>64</v>
      </c>
      <c r="K1312" s="48">
        <v>1</v>
      </c>
      <c r="N1312" s="48">
        <v>0</v>
      </c>
      <c r="R1312" s="49"/>
      <c r="S1312" s="49"/>
      <c r="T1312" s="49">
        <v>47879</v>
      </c>
      <c r="U1312" s="49">
        <v>47879</v>
      </c>
      <c r="V1312" s="49">
        <v>47879</v>
      </c>
      <c r="W1312" s="49">
        <v>47879</v>
      </c>
      <c r="X1312" s="48">
        <v>1</v>
      </c>
      <c r="Y1312" s="48">
        <v>1</v>
      </c>
      <c r="Z1312" s="48">
        <v>1</v>
      </c>
      <c r="AA1312" s="156">
        <v>5003965922.5418701</v>
      </c>
      <c r="AF1312" s="48">
        <v>0</v>
      </c>
      <c r="AG1312" s="49" t="s">
        <v>41</v>
      </c>
      <c r="AH1312" s="48">
        <v>1</v>
      </c>
      <c r="AI1312" s="48" t="s">
        <v>33</v>
      </c>
      <c r="AJ1312" s="48" t="s">
        <v>33</v>
      </c>
      <c r="AK1312" s="48" t="s">
        <v>33</v>
      </c>
      <c r="AL1312" s="48" t="s">
        <v>34</v>
      </c>
      <c r="AN1312" s="48">
        <v>0</v>
      </c>
      <c r="AO1312" s="48">
        <v>0</v>
      </c>
      <c r="AP1312" s="48">
        <v>0</v>
      </c>
      <c r="AQ1312" s="48">
        <v>0</v>
      </c>
      <c r="AR1312" s="48">
        <v>0</v>
      </c>
      <c r="AS1312" s="48">
        <v>0</v>
      </c>
      <c r="AT1312" s="48">
        <v>0</v>
      </c>
      <c r="AU1312" s="48">
        <v>0</v>
      </c>
      <c r="AV1312" s="48">
        <v>0</v>
      </c>
      <c r="AW1312" s="48">
        <v>0</v>
      </c>
      <c r="AX1312" s="48">
        <v>0</v>
      </c>
      <c r="AY1312" s="48">
        <v>0</v>
      </c>
      <c r="AZ1312" s="48">
        <v>0</v>
      </c>
      <c r="BA1312" s="48">
        <v>0</v>
      </c>
      <c r="BB1312" s="48">
        <v>0</v>
      </c>
    </row>
    <row r="1313" spans="1:54" x14ac:dyDescent="0.35">
      <c r="A1313" s="49">
        <v>45930</v>
      </c>
      <c r="B1313" s="48">
        <v>1</v>
      </c>
      <c r="C1313" s="50" t="s">
        <v>41</v>
      </c>
      <c r="D1313" s="48" t="s">
        <v>31</v>
      </c>
      <c r="E1313" s="48" t="s">
        <v>138</v>
      </c>
      <c r="F1313" s="48" t="s">
        <v>139</v>
      </c>
      <c r="G1313" s="49" t="s">
        <v>180</v>
      </c>
      <c r="H1313" s="48" t="s">
        <v>181</v>
      </c>
      <c r="I1313" s="48">
        <v>1</v>
      </c>
      <c r="J1313" s="48">
        <v>65</v>
      </c>
      <c r="K1313" s="48">
        <v>1</v>
      </c>
      <c r="N1313" s="48">
        <v>0</v>
      </c>
      <c r="R1313" s="49"/>
      <c r="S1313" s="49"/>
      <c r="T1313" s="49">
        <v>47907</v>
      </c>
      <c r="U1313" s="49">
        <v>47907</v>
      </c>
      <c r="V1313" s="49">
        <v>47907</v>
      </c>
      <c r="W1313" s="49">
        <v>47907</v>
      </c>
      <c r="X1313" s="48">
        <v>1</v>
      </c>
      <c r="Y1313" s="48">
        <v>1</v>
      </c>
      <c r="Z1313" s="48">
        <v>1</v>
      </c>
      <c r="AA1313" s="156">
        <v>4955662105.3482666</v>
      </c>
      <c r="AF1313" s="48">
        <v>0</v>
      </c>
      <c r="AG1313" s="49" t="s">
        <v>41</v>
      </c>
      <c r="AH1313" s="48">
        <v>1</v>
      </c>
      <c r="AI1313" s="48" t="s">
        <v>33</v>
      </c>
      <c r="AJ1313" s="48" t="s">
        <v>33</v>
      </c>
      <c r="AK1313" s="48" t="s">
        <v>33</v>
      </c>
      <c r="AL1313" s="48" t="s">
        <v>34</v>
      </c>
      <c r="AN1313" s="48">
        <v>0</v>
      </c>
      <c r="AO1313" s="48">
        <v>0</v>
      </c>
      <c r="AP1313" s="48">
        <v>0</v>
      </c>
      <c r="AQ1313" s="48">
        <v>0</v>
      </c>
      <c r="AR1313" s="48">
        <v>0</v>
      </c>
      <c r="AS1313" s="48">
        <v>0</v>
      </c>
      <c r="AT1313" s="48">
        <v>0</v>
      </c>
      <c r="AU1313" s="48">
        <v>0</v>
      </c>
      <c r="AV1313" s="48">
        <v>0</v>
      </c>
      <c r="AW1313" s="48">
        <v>0</v>
      </c>
      <c r="AX1313" s="48">
        <v>0</v>
      </c>
      <c r="AY1313" s="48">
        <v>0</v>
      </c>
      <c r="AZ1313" s="48">
        <v>0</v>
      </c>
      <c r="BA1313" s="48">
        <v>0</v>
      </c>
      <c r="BB1313" s="48">
        <v>0</v>
      </c>
    </row>
    <row r="1314" spans="1:54" x14ac:dyDescent="0.35">
      <c r="A1314" s="49">
        <v>45930</v>
      </c>
      <c r="B1314" s="48">
        <v>1</v>
      </c>
      <c r="C1314" s="50" t="s">
        <v>41</v>
      </c>
      <c r="D1314" s="48" t="s">
        <v>31</v>
      </c>
      <c r="E1314" s="48" t="s">
        <v>138</v>
      </c>
      <c r="F1314" s="48" t="s">
        <v>139</v>
      </c>
      <c r="G1314" s="49" t="s">
        <v>180</v>
      </c>
      <c r="H1314" s="48" t="s">
        <v>181</v>
      </c>
      <c r="I1314" s="48">
        <v>1</v>
      </c>
      <c r="J1314" s="48">
        <v>66</v>
      </c>
      <c r="K1314" s="48">
        <v>1</v>
      </c>
      <c r="N1314" s="48">
        <v>0</v>
      </c>
      <c r="R1314" s="49"/>
      <c r="S1314" s="49"/>
      <c r="T1314" s="49">
        <v>47938</v>
      </c>
      <c r="U1314" s="49">
        <v>47938</v>
      </c>
      <c r="V1314" s="49">
        <v>47938</v>
      </c>
      <c r="W1314" s="49">
        <v>47938</v>
      </c>
      <c r="X1314" s="48">
        <v>1</v>
      </c>
      <c r="Y1314" s="48">
        <v>1</v>
      </c>
      <c r="Z1314" s="48">
        <v>1</v>
      </c>
      <c r="AA1314" s="156">
        <v>4907824570.0579224</v>
      </c>
      <c r="AF1314" s="48">
        <v>0</v>
      </c>
      <c r="AG1314" s="49" t="s">
        <v>41</v>
      </c>
      <c r="AH1314" s="48">
        <v>1</v>
      </c>
      <c r="AI1314" s="48" t="s">
        <v>33</v>
      </c>
      <c r="AJ1314" s="48" t="s">
        <v>33</v>
      </c>
      <c r="AK1314" s="48" t="s">
        <v>33</v>
      </c>
      <c r="AL1314" s="48" t="s">
        <v>34</v>
      </c>
      <c r="AN1314" s="48">
        <v>0</v>
      </c>
      <c r="AO1314" s="48">
        <v>0</v>
      </c>
      <c r="AP1314" s="48">
        <v>0</v>
      </c>
      <c r="AQ1314" s="48">
        <v>0</v>
      </c>
      <c r="AR1314" s="48">
        <v>0</v>
      </c>
      <c r="AS1314" s="48">
        <v>0</v>
      </c>
      <c r="AT1314" s="48">
        <v>0</v>
      </c>
      <c r="AU1314" s="48">
        <v>0</v>
      </c>
      <c r="AV1314" s="48">
        <v>0</v>
      </c>
      <c r="AW1314" s="48">
        <v>0</v>
      </c>
      <c r="AX1314" s="48">
        <v>0</v>
      </c>
      <c r="AY1314" s="48">
        <v>0</v>
      </c>
      <c r="AZ1314" s="48">
        <v>0</v>
      </c>
      <c r="BA1314" s="48">
        <v>0</v>
      </c>
      <c r="BB1314" s="48">
        <v>0</v>
      </c>
    </row>
    <row r="1315" spans="1:54" x14ac:dyDescent="0.35">
      <c r="A1315" s="49">
        <v>45930</v>
      </c>
      <c r="B1315" s="48">
        <v>1</v>
      </c>
      <c r="C1315" s="50" t="s">
        <v>41</v>
      </c>
      <c r="D1315" s="48" t="s">
        <v>31</v>
      </c>
      <c r="E1315" s="48" t="s">
        <v>138</v>
      </c>
      <c r="F1315" s="48" t="s">
        <v>139</v>
      </c>
      <c r="G1315" s="49" t="s">
        <v>180</v>
      </c>
      <c r="H1315" s="48" t="s">
        <v>181</v>
      </c>
      <c r="I1315" s="48">
        <v>1</v>
      </c>
      <c r="J1315" s="48">
        <v>67</v>
      </c>
      <c r="K1315" s="48">
        <v>1</v>
      </c>
      <c r="N1315" s="48">
        <v>0</v>
      </c>
      <c r="R1315" s="49"/>
      <c r="S1315" s="49"/>
      <c r="T1315" s="49">
        <v>47968</v>
      </c>
      <c r="U1315" s="49">
        <v>47968</v>
      </c>
      <c r="V1315" s="49">
        <v>47968</v>
      </c>
      <c r="W1315" s="49">
        <v>47968</v>
      </c>
      <c r="X1315" s="48">
        <v>1</v>
      </c>
      <c r="Y1315" s="48">
        <v>1</v>
      </c>
      <c r="Z1315" s="48">
        <v>1</v>
      </c>
      <c r="AA1315" s="156">
        <v>4860448815.602417</v>
      </c>
      <c r="AF1315" s="48">
        <v>0</v>
      </c>
      <c r="AG1315" s="49" t="s">
        <v>41</v>
      </c>
      <c r="AH1315" s="48">
        <v>1</v>
      </c>
      <c r="AI1315" s="48" t="s">
        <v>33</v>
      </c>
      <c r="AJ1315" s="48" t="s">
        <v>33</v>
      </c>
      <c r="AK1315" s="48" t="s">
        <v>33</v>
      </c>
      <c r="AL1315" s="48" t="s">
        <v>34</v>
      </c>
      <c r="AN1315" s="48">
        <v>0</v>
      </c>
      <c r="AO1315" s="48">
        <v>0</v>
      </c>
      <c r="AP1315" s="48">
        <v>0</v>
      </c>
      <c r="AQ1315" s="48">
        <v>0</v>
      </c>
      <c r="AR1315" s="48">
        <v>0</v>
      </c>
      <c r="AS1315" s="48">
        <v>0</v>
      </c>
      <c r="AT1315" s="48">
        <v>0</v>
      </c>
      <c r="AU1315" s="48">
        <v>0</v>
      </c>
      <c r="AV1315" s="48">
        <v>0</v>
      </c>
      <c r="AW1315" s="48">
        <v>0</v>
      </c>
      <c r="AX1315" s="48">
        <v>0</v>
      </c>
      <c r="AY1315" s="48">
        <v>0</v>
      </c>
      <c r="AZ1315" s="48">
        <v>0</v>
      </c>
      <c r="BA1315" s="48">
        <v>0</v>
      </c>
      <c r="BB1315" s="48">
        <v>0</v>
      </c>
    </row>
    <row r="1316" spans="1:54" x14ac:dyDescent="0.35">
      <c r="A1316" s="49">
        <v>45930</v>
      </c>
      <c r="B1316" s="48">
        <v>1</v>
      </c>
      <c r="C1316" s="50" t="s">
        <v>41</v>
      </c>
      <c r="D1316" s="48" t="s">
        <v>31</v>
      </c>
      <c r="E1316" s="48" t="s">
        <v>138</v>
      </c>
      <c r="F1316" s="48" t="s">
        <v>139</v>
      </c>
      <c r="G1316" s="49" t="s">
        <v>180</v>
      </c>
      <c r="H1316" s="48" t="s">
        <v>181</v>
      </c>
      <c r="I1316" s="48">
        <v>1</v>
      </c>
      <c r="J1316" s="48">
        <v>68</v>
      </c>
      <c r="K1316" s="48">
        <v>1</v>
      </c>
      <c r="N1316" s="48">
        <v>0</v>
      </c>
      <c r="R1316" s="49"/>
      <c r="S1316" s="49"/>
      <c r="T1316" s="49">
        <v>47999</v>
      </c>
      <c r="U1316" s="49">
        <v>47999</v>
      </c>
      <c r="V1316" s="49">
        <v>47999</v>
      </c>
      <c r="W1316" s="49">
        <v>47999</v>
      </c>
      <c r="X1316" s="48">
        <v>1</v>
      </c>
      <c r="Y1316" s="48">
        <v>1</v>
      </c>
      <c r="Z1316" s="48">
        <v>1</v>
      </c>
      <c r="AA1316" s="156">
        <v>4813530384.3614502</v>
      </c>
      <c r="AF1316" s="48">
        <v>0</v>
      </c>
      <c r="AG1316" s="49" t="s">
        <v>41</v>
      </c>
      <c r="AH1316" s="48">
        <v>1</v>
      </c>
      <c r="AI1316" s="48" t="s">
        <v>33</v>
      </c>
      <c r="AJ1316" s="48" t="s">
        <v>33</v>
      </c>
      <c r="AK1316" s="48" t="s">
        <v>33</v>
      </c>
      <c r="AL1316" s="48" t="s">
        <v>34</v>
      </c>
      <c r="AN1316" s="48">
        <v>0</v>
      </c>
      <c r="AO1316" s="48">
        <v>0</v>
      </c>
      <c r="AP1316" s="48">
        <v>0</v>
      </c>
      <c r="AQ1316" s="48">
        <v>0</v>
      </c>
      <c r="AR1316" s="48">
        <v>0</v>
      </c>
      <c r="AS1316" s="48">
        <v>0</v>
      </c>
      <c r="AT1316" s="48">
        <v>0</v>
      </c>
      <c r="AU1316" s="48">
        <v>0</v>
      </c>
      <c r="AV1316" s="48">
        <v>0</v>
      </c>
      <c r="AW1316" s="48">
        <v>0</v>
      </c>
      <c r="AX1316" s="48">
        <v>0</v>
      </c>
      <c r="AY1316" s="48">
        <v>0</v>
      </c>
      <c r="AZ1316" s="48">
        <v>0</v>
      </c>
      <c r="BA1316" s="48">
        <v>0</v>
      </c>
      <c r="BB1316" s="48">
        <v>0</v>
      </c>
    </row>
    <row r="1317" spans="1:54" x14ac:dyDescent="0.35">
      <c r="A1317" s="49">
        <v>45930</v>
      </c>
      <c r="B1317" s="48">
        <v>1</v>
      </c>
      <c r="C1317" s="50" t="s">
        <v>41</v>
      </c>
      <c r="D1317" s="48" t="s">
        <v>31</v>
      </c>
      <c r="E1317" s="48" t="s">
        <v>138</v>
      </c>
      <c r="F1317" s="48" t="s">
        <v>139</v>
      </c>
      <c r="G1317" s="49" t="s">
        <v>180</v>
      </c>
      <c r="H1317" s="48" t="s">
        <v>181</v>
      </c>
      <c r="I1317" s="48">
        <v>1</v>
      </c>
      <c r="J1317" s="48">
        <v>69</v>
      </c>
      <c r="K1317" s="48">
        <v>1</v>
      </c>
      <c r="N1317" s="48">
        <v>0</v>
      </c>
      <c r="R1317" s="49"/>
      <c r="S1317" s="49"/>
      <c r="T1317" s="49">
        <v>48029</v>
      </c>
      <c r="U1317" s="49">
        <v>48029</v>
      </c>
      <c r="V1317" s="49">
        <v>48029</v>
      </c>
      <c r="W1317" s="49">
        <v>48029</v>
      </c>
      <c r="X1317" s="48">
        <v>1</v>
      </c>
      <c r="Y1317" s="48">
        <v>1</v>
      </c>
      <c r="Z1317" s="48">
        <v>1</v>
      </c>
      <c r="AA1317" s="156">
        <v>4767064861.7458496</v>
      </c>
      <c r="AF1317" s="48">
        <v>0</v>
      </c>
      <c r="AG1317" s="49" t="s">
        <v>41</v>
      </c>
      <c r="AH1317" s="48">
        <v>1</v>
      </c>
      <c r="AI1317" s="48" t="s">
        <v>33</v>
      </c>
      <c r="AJ1317" s="48" t="s">
        <v>33</v>
      </c>
      <c r="AK1317" s="48" t="s">
        <v>33</v>
      </c>
      <c r="AL1317" s="48" t="s">
        <v>34</v>
      </c>
      <c r="AN1317" s="48">
        <v>0</v>
      </c>
      <c r="AO1317" s="48">
        <v>0</v>
      </c>
      <c r="AP1317" s="48">
        <v>0</v>
      </c>
      <c r="AQ1317" s="48">
        <v>0</v>
      </c>
      <c r="AR1317" s="48">
        <v>0</v>
      </c>
      <c r="AS1317" s="48">
        <v>0</v>
      </c>
      <c r="AT1317" s="48">
        <v>0</v>
      </c>
      <c r="AU1317" s="48">
        <v>0</v>
      </c>
      <c r="AV1317" s="48">
        <v>0</v>
      </c>
      <c r="AW1317" s="48">
        <v>0</v>
      </c>
      <c r="AX1317" s="48">
        <v>0</v>
      </c>
      <c r="AY1317" s="48">
        <v>0</v>
      </c>
      <c r="AZ1317" s="48">
        <v>0</v>
      </c>
      <c r="BA1317" s="48">
        <v>0</v>
      </c>
      <c r="BB1317" s="48">
        <v>0</v>
      </c>
    </row>
    <row r="1318" spans="1:54" x14ac:dyDescent="0.35">
      <c r="A1318" s="49">
        <v>45930</v>
      </c>
      <c r="B1318" s="48">
        <v>1</v>
      </c>
      <c r="C1318" s="50" t="s">
        <v>41</v>
      </c>
      <c r="D1318" s="48" t="s">
        <v>31</v>
      </c>
      <c r="E1318" s="48" t="s">
        <v>138</v>
      </c>
      <c r="F1318" s="48" t="s">
        <v>139</v>
      </c>
      <c r="G1318" s="49" t="s">
        <v>180</v>
      </c>
      <c r="H1318" s="48" t="s">
        <v>181</v>
      </c>
      <c r="I1318" s="48">
        <v>1</v>
      </c>
      <c r="J1318" s="48">
        <v>70</v>
      </c>
      <c r="K1318" s="48">
        <v>1</v>
      </c>
      <c r="N1318" s="48">
        <v>0</v>
      </c>
      <c r="R1318" s="49"/>
      <c r="S1318" s="49"/>
      <c r="T1318" s="49">
        <v>48060</v>
      </c>
      <c r="U1318" s="49">
        <v>48060</v>
      </c>
      <c r="V1318" s="49">
        <v>48060</v>
      </c>
      <c r="W1318" s="49">
        <v>48060</v>
      </c>
      <c r="X1318" s="48">
        <v>1</v>
      </c>
      <c r="Y1318" s="48">
        <v>1</v>
      </c>
      <c r="Z1318" s="48">
        <v>1</v>
      </c>
      <c r="AA1318" s="156">
        <v>4721047875.7798462</v>
      </c>
      <c r="AF1318" s="48">
        <v>0</v>
      </c>
      <c r="AG1318" s="49" t="s">
        <v>41</v>
      </c>
      <c r="AH1318" s="48">
        <v>1</v>
      </c>
      <c r="AI1318" s="48" t="s">
        <v>33</v>
      </c>
      <c r="AJ1318" s="48" t="s">
        <v>33</v>
      </c>
      <c r="AK1318" s="48" t="s">
        <v>33</v>
      </c>
      <c r="AL1318" s="48" t="s">
        <v>34</v>
      </c>
      <c r="AN1318" s="48">
        <v>0</v>
      </c>
      <c r="AO1318" s="48">
        <v>0</v>
      </c>
      <c r="AP1318" s="48">
        <v>0</v>
      </c>
      <c r="AQ1318" s="48">
        <v>0</v>
      </c>
      <c r="AR1318" s="48">
        <v>0</v>
      </c>
      <c r="AS1318" s="48">
        <v>0</v>
      </c>
      <c r="AT1318" s="48">
        <v>0</v>
      </c>
      <c r="AU1318" s="48">
        <v>0</v>
      </c>
      <c r="AV1318" s="48">
        <v>0</v>
      </c>
      <c r="AW1318" s="48">
        <v>0</v>
      </c>
      <c r="AX1318" s="48">
        <v>0</v>
      </c>
      <c r="AY1318" s="48">
        <v>0</v>
      </c>
      <c r="AZ1318" s="48">
        <v>0</v>
      </c>
      <c r="BA1318" s="48">
        <v>0</v>
      </c>
      <c r="BB1318" s="48">
        <v>0</v>
      </c>
    </row>
    <row r="1319" spans="1:54" x14ac:dyDescent="0.35">
      <c r="A1319" s="49">
        <v>45930</v>
      </c>
      <c r="B1319" s="48">
        <v>1</v>
      </c>
      <c r="C1319" s="50" t="s">
        <v>41</v>
      </c>
      <c r="D1319" s="48" t="s">
        <v>31</v>
      </c>
      <c r="E1319" s="48" t="s">
        <v>138</v>
      </c>
      <c r="F1319" s="48" t="s">
        <v>139</v>
      </c>
      <c r="G1319" s="49" t="s">
        <v>180</v>
      </c>
      <c r="H1319" s="48" t="s">
        <v>181</v>
      </c>
      <c r="I1319" s="48">
        <v>1</v>
      </c>
      <c r="J1319" s="48">
        <v>71</v>
      </c>
      <c r="K1319" s="48">
        <v>1</v>
      </c>
      <c r="N1319" s="48">
        <v>0</v>
      </c>
      <c r="R1319" s="49"/>
      <c r="S1319" s="49"/>
      <c r="T1319" s="49">
        <v>48091</v>
      </c>
      <c r="U1319" s="49">
        <v>48091</v>
      </c>
      <c r="V1319" s="49">
        <v>48091</v>
      </c>
      <c r="W1319" s="49">
        <v>48091</v>
      </c>
      <c r="X1319" s="48">
        <v>1</v>
      </c>
      <c r="Y1319" s="48">
        <v>1</v>
      </c>
      <c r="Z1319" s="48">
        <v>1</v>
      </c>
      <c r="AA1319" s="156">
        <v>4675475096.6911621</v>
      </c>
      <c r="AF1319" s="48">
        <v>0</v>
      </c>
      <c r="AG1319" s="49" t="s">
        <v>41</v>
      </c>
      <c r="AH1319" s="48">
        <v>1</v>
      </c>
      <c r="AI1319" s="48" t="s">
        <v>33</v>
      </c>
      <c r="AJ1319" s="48" t="s">
        <v>33</v>
      </c>
      <c r="AK1319" s="48" t="s">
        <v>33</v>
      </c>
      <c r="AL1319" s="48" t="s">
        <v>34</v>
      </c>
      <c r="AN1319" s="48">
        <v>0</v>
      </c>
      <c r="AO1319" s="48">
        <v>0</v>
      </c>
      <c r="AP1319" s="48">
        <v>0</v>
      </c>
      <c r="AQ1319" s="48">
        <v>0</v>
      </c>
      <c r="AR1319" s="48">
        <v>0</v>
      </c>
      <c r="AS1319" s="48">
        <v>0</v>
      </c>
      <c r="AT1319" s="48">
        <v>0</v>
      </c>
      <c r="AU1319" s="48">
        <v>0</v>
      </c>
      <c r="AV1319" s="48">
        <v>0</v>
      </c>
      <c r="AW1319" s="48">
        <v>0</v>
      </c>
      <c r="AX1319" s="48">
        <v>0</v>
      </c>
      <c r="AY1319" s="48">
        <v>0</v>
      </c>
      <c r="AZ1319" s="48">
        <v>0</v>
      </c>
      <c r="BA1319" s="48">
        <v>0</v>
      </c>
      <c r="BB1319" s="48">
        <v>0</v>
      </c>
    </row>
    <row r="1320" spans="1:54" x14ac:dyDescent="0.35">
      <c r="A1320" s="49">
        <v>45930</v>
      </c>
      <c r="B1320" s="48">
        <v>1</v>
      </c>
      <c r="C1320" s="50" t="s">
        <v>41</v>
      </c>
      <c r="D1320" s="48" t="s">
        <v>31</v>
      </c>
      <c r="E1320" s="48" t="s">
        <v>138</v>
      </c>
      <c r="F1320" s="48" t="s">
        <v>139</v>
      </c>
      <c r="G1320" s="49" t="s">
        <v>180</v>
      </c>
      <c r="H1320" s="48" t="s">
        <v>181</v>
      </c>
      <c r="I1320" s="48">
        <v>1</v>
      </c>
      <c r="J1320" s="48">
        <v>72</v>
      </c>
      <c r="K1320" s="48">
        <v>1</v>
      </c>
      <c r="N1320" s="48">
        <v>0</v>
      </c>
      <c r="R1320" s="49"/>
      <c r="S1320" s="49"/>
      <c r="T1320" s="49">
        <v>48121</v>
      </c>
      <c r="U1320" s="49">
        <v>48121</v>
      </c>
      <c r="V1320" s="49">
        <v>48121</v>
      </c>
      <c r="W1320" s="49">
        <v>48121</v>
      </c>
      <c r="X1320" s="48">
        <v>1</v>
      </c>
      <c r="Y1320" s="48">
        <v>1</v>
      </c>
      <c r="Z1320" s="48">
        <v>1</v>
      </c>
      <c r="AA1320" s="156">
        <v>4630342236.5039673</v>
      </c>
      <c r="AF1320" s="48">
        <v>0</v>
      </c>
      <c r="AG1320" s="49" t="s">
        <v>41</v>
      </c>
      <c r="AH1320" s="48">
        <v>1</v>
      </c>
      <c r="AI1320" s="48" t="s">
        <v>33</v>
      </c>
      <c r="AJ1320" s="48" t="s">
        <v>33</v>
      </c>
      <c r="AK1320" s="48" t="s">
        <v>33</v>
      </c>
      <c r="AL1320" s="48" t="s">
        <v>34</v>
      </c>
      <c r="AN1320" s="48">
        <v>0</v>
      </c>
      <c r="AO1320" s="48">
        <v>0</v>
      </c>
      <c r="AP1320" s="48">
        <v>0</v>
      </c>
      <c r="AQ1320" s="48">
        <v>0</v>
      </c>
      <c r="AR1320" s="48">
        <v>0</v>
      </c>
      <c r="AS1320" s="48">
        <v>0</v>
      </c>
      <c r="AT1320" s="48">
        <v>0</v>
      </c>
      <c r="AU1320" s="48">
        <v>0</v>
      </c>
      <c r="AV1320" s="48">
        <v>0</v>
      </c>
      <c r="AW1320" s="48">
        <v>0</v>
      </c>
      <c r="AX1320" s="48">
        <v>0</v>
      </c>
      <c r="AY1320" s="48">
        <v>0</v>
      </c>
      <c r="AZ1320" s="48">
        <v>0</v>
      </c>
      <c r="BA1320" s="48">
        <v>0</v>
      </c>
      <c r="BB1320" s="48">
        <v>0</v>
      </c>
    </row>
    <row r="1321" spans="1:54" x14ac:dyDescent="0.35">
      <c r="A1321" s="49">
        <v>45930</v>
      </c>
      <c r="B1321" s="48">
        <v>1</v>
      </c>
      <c r="C1321" s="50" t="s">
        <v>41</v>
      </c>
      <c r="D1321" s="48" t="s">
        <v>31</v>
      </c>
      <c r="E1321" s="48" t="s">
        <v>138</v>
      </c>
      <c r="F1321" s="48" t="s">
        <v>139</v>
      </c>
      <c r="G1321" s="49" t="s">
        <v>180</v>
      </c>
      <c r="H1321" s="48" t="s">
        <v>181</v>
      </c>
      <c r="I1321" s="48">
        <v>1</v>
      </c>
      <c r="J1321" s="48">
        <v>73</v>
      </c>
      <c r="K1321" s="48">
        <v>1</v>
      </c>
      <c r="N1321" s="48">
        <v>0</v>
      </c>
      <c r="R1321" s="49"/>
      <c r="S1321" s="49"/>
      <c r="T1321" s="49">
        <v>48152</v>
      </c>
      <c r="U1321" s="49">
        <v>48152</v>
      </c>
      <c r="V1321" s="49">
        <v>48152</v>
      </c>
      <c r="W1321" s="49">
        <v>48152</v>
      </c>
      <c r="X1321" s="48">
        <v>1</v>
      </c>
      <c r="Y1321" s="48">
        <v>1</v>
      </c>
      <c r="Z1321" s="48">
        <v>1</v>
      </c>
      <c r="AA1321" s="156">
        <v>4585645048.633728</v>
      </c>
      <c r="AF1321" s="48">
        <v>0</v>
      </c>
      <c r="AG1321" s="49" t="s">
        <v>41</v>
      </c>
      <c r="AH1321" s="48">
        <v>1</v>
      </c>
      <c r="AI1321" s="48" t="s">
        <v>33</v>
      </c>
      <c r="AJ1321" s="48" t="s">
        <v>33</v>
      </c>
      <c r="AK1321" s="48" t="s">
        <v>33</v>
      </c>
      <c r="AL1321" s="48" t="s">
        <v>34</v>
      </c>
      <c r="AN1321" s="48">
        <v>0</v>
      </c>
      <c r="AO1321" s="48">
        <v>0</v>
      </c>
      <c r="AP1321" s="48">
        <v>0</v>
      </c>
      <c r="AQ1321" s="48">
        <v>0</v>
      </c>
      <c r="AR1321" s="48">
        <v>0</v>
      </c>
      <c r="AS1321" s="48">
        <v>0</v>
      </c>
      <c r="AT1321" s="48">
        <v>0</v>
      </c>
      <c r="AU1321" s="48">
        <v>0</v>
      </c>
      <c r="AV1321" s="48">
        <v>0</v>
      </c>
      <c r="AW1321" s="48">
        <v>0</v>
      </c>
      <c r="AX1321" s="48">
        <v>0</v>
      </c>
      <c r="AY1321" s="48">
        <v>0</v>
      </c>
      <c r="AZ1321" s="48">
        <v>0</v>
      </c>
      <c r="BA1321" s="48">
        <v>0</v>
      </c>
      <c r="BB1321" s="48">
        <v>0</v>
      </c>
    </row>
    <row r="1322" spans="1:54" x14ac:dyDescent="0.35">
      <c r="A1322" s="49">
        <v>45930</v>
      </c>
      <c r="B1322" s="48">
        <v>1</v>
      </c>
      <c r="C1322" s="50" t="s">
        <v>41</v>
      </c>
      <c r="D1322" s="48" t="s">
        <v>31</v>
      </c>
      <c r="E1322" s="48" t="s">
        <v>138</v>
      </c>
      <c r="F1322" s="48" t="s">
        <v>139</v>
      </c>
      <c r="G1322" s="49" t="s">
        <v>180</v>
      </c>
      <c r="H1322" s="48" t="s">
        <v>181</v>
      </c>
      <c r="I1322" s="48">
        <v>1</v>
      </c>
      <c r="J1322" s="48">
        <v>74</v>
      </c>
      <c r="K1322" s="48">
        <v>1</v>
      </c>
      <c r="N1322" s="48">
        <v>0</v>
      </c>
      <c r="R1322" s="49"/>
      <c r="S1322" s="49"/>
      <c r="T1322" s="49">
        <v>48182</v>
      </c>
      <c r="U1322" s="49">
        <v>48182</v>
      </c>
      <c r="V1322" s="49">
        <v>48182</v>
      </c>
      <c r="W1322" s="49">
        <v>48182</v>
      </c>
      <c r="X1322" s="48">
        <v>1</v>
      </c>
      <c r="Y1322" s="48">
        <v>1</v>
      </c>
      <c r="Z1322" s="48">
        <v>1</v>
      </c>
      <c r="AA1322" s="156">
        <v>470457796429.89362</v>
      </c>
      <c r="AF1322" s="48">
        <v>0</v>
      </c>
      <c r="AG1322" s="49" t="s">
        <v>41</v>
      </c>
      <c r="AH1322" s="48">
        <v>1</v>
      </c>
      <c r="AI1322" s="48" t="s">
        <v>33</v>
      </c>
      <c r="AJ1322" s="48" t="s">
        <v>33</v>
      </c>
      <c r="AK1322" s="48" t="s">
        <v>33</v>
      </c>
      <c r="AL1322" s="48" t="s">
        <v>34</v>
      </c>
      <c r="AN1322" s="48">
        <v>0</v>
      </c>
      <c r="AO1322" s="48">
        <v>0</v>
      </c>
      <c r="AP1322" s="48">
        <v>0</v>
      </c>
      <c r="AQ1322" s="48">
        <v>0</v>
      </c>
      <c r="AR1322" s="48">
        <v>0</v>
      </c>
      <c r="AS1322" s="48">
        <v>0</v>
      </c>
      <c r="AT1322" s="48">
        <v>0</v>
      </c>
      <c r="AU1322" s="48">
        <v>0</v>
      </c>
      <c r="AV1322" s="48">
        <v>0</v>
      </c>
      <c r="AW1322" s="48">
        <v>0</v>
      </c>
      <c r="AX1322" s="48">
        <v>0</v>
      </c>
      <c r="AY1322" s="48">
        <v>0</v>
      </c>
      <c r="AZ1322" s="48">
        <v>0</v>
      </c>
      <c r="BA1322" s="48">
        <v>0</v>
      </c>
      <c r="BB1322" s="48">
        <v>0</v>
      </c>
    </row>
    <row r="1323" spans="1:54" x14ac:dyDescent="0.35">
      <c r="A1323" s="49">
        <v>45930</v>
      </c>
      <c r="B1323" s="48">
        <v>1</v>
      </c>
      <c r="C1323" s="50" t="s">
        <v>41</v>
      </c>
      <c r="D1323" s="48" t="s">
        <v>31</v>
      </c>
      <c r="E1323" s="48" t="s">
        <v>138</v>
      </c>
      <c r="F1323" s="48" t="s">
        <v>139</v>
      </c>
      <c r="G1323" s="49" t="s">
        <v>179</v>
      </c>
      <c r="H1323" s="48" t="s">
        <v>177</v>
      </c>
      <c r="I1323" s="48">
        <v>1</v>
      </c>
      <c r="K1323" s="48">
        <v>1</v>
      </c>
      <c r="N1323" s="48">
        <v>0</v>
      </c>
      <c r="R1323" s="49"/>
      <c r="S1323" s="49"/>
      <c r="T1323" s="49">
        <v>45931</v>
      </c>
      <c r="U1323" s="49">
        <v>45931</v>
      </c>
      <c r="V1323" s="49">
        <v>45931</v>
      </c>
      <c r="W1323" s="49">
        <v>45931</v>
      </c>
      <c r="X1323" s="48">
        <v>1</v>
      </c>
      <c r="Y1323" s="48">
        <v>1</v>
      </c>
      <c r="Z1323" s="48">
        <v>1</v>
      </c>
      <c r="AA1323" s="156">
        <v>50974195938</v>
      </c>
      <c r="AF1323" s="48">
        <v>0</v>
      </c>
      <c r="AG1323" s="49" t="s">
        <v>41</v>
      </c>
      <c r="AH1323" s="48">
        <v>1</v>
      </c>
      <c r="AI1323" s="48" t="s">
        <v>33</v>
      </c>
      <c r="AJ1323" s="48" t="s">
        <v>33</v>
      </c>
      <c r="AK1323" s="48" t="s">
        <v>33</v>
      </c>
      <c r="AL1323" s="48" t="s">
        <v>34</v>
      </c>
      <c r="AN1323" s="48">
        <v>0</v>
      </c>
      <c r="AO1323" s="48">
        <v>0</v>
      </c>
      <c r="AP1323" s="48">
        <v>0</v>
      </c>
      <c r="AQ1323" s="48">
        <v>0</v>
      </c>
      <c r="AR1323" s="48">
        <v>0</v>
      </c>
      <c r="AS1323" s="48">
        <v>0</v>
      </c>
      <c r="AT1323" s="48">
        <v>0</v>
      </c>
      <c r="AU1323" s="48">
        <v>0</v>
      </c>
      <c r="AV1323" s="48">
        <v>0</v>
      </c>
      <c r="AW1323" s="48">
        <v>0</v>
      </c>
      <c r="AX1323" s="48">
        <v>0</v>
      </c>
      <c r="AY1323" s="48">
        <v>0</v>
      </c>
      <c r="AZ1323" s="48">
        <v>0</v>
      </c>
      <c r="BA1323" s="48">
        <v>0</v>
      </c>
      <c r="BB1323" s="48">
        <v>0</v>
      </c>
    </row>
    <row r="1324" spans="1:54" x14ac:dyDescent="0.35">
      <c r="A1324" s="49">
        <v>45930</v>
      </c>
      <c r="B1324" s="48">
        <v>1</v>
      </c>
      <c r="C1324" s="50" t="s">
        <v>41</v>
      </c>
      <c r="D1324" s="48" t="s">
        <v>31</v>
      </c>
      <c r="E1324" s="48" t="s">
        <v>138</v>
      </c>
      <c r="F1324" s="48" t="s">
        <v>139</v>
      </c>
      <c r="G1324" s="49" t="s">
        <v>179</v>
      </c>
      <c r="H1324" s="48" t="s">
        <v>178</v>
      </c>
      <c r="I1324" s="48">
        <v>1</v>
      </c>
      <c r="J1324" s="48">
        <v>1</v>
      </c>
      <c r="K1324" s="48">
        <v>1</v>
      </c>
      <c r="N1324" s="48">
        <v>0</v>
      </c>
      <c r="R1324" s="49"/>
      <c r="S1324" s="49"/>
      <c r="T1324" s="49">
        <v>45961</v>
      </c>
      <c r="U1324" s="49">
        <v>45961</v>
      </c>
      <c r="V1324" s="49">
        <v>45961</v>
      </c>
      <c r="W1324" s="49">
        <v>45961</v>
      </c>
      <c r="X1324" s="48">
        <v>1</v>
      </c>
      <c r="Y1324" s="48">
        <v>1</v>
      </c>
      <c r="Z1324" s="48">
        <v>1</v>
      </c>
      <c r="AA1324" s="156">
        <v>1718247440.0393219</v>
      </c>
      <c r="AF1324" s="48">
        <v>0</v>
      </c>
      <c r="AG1324" s="49" t="s">
        <v>41</v>
      </c>
      <c r="AH1324" s="48">
        <v>1</v>
      </c>
      <c r="AI1324" s="48" t="s">
        <v>33</v>
      </c>
      <c r="AJ1324" s="48" t="s">
        <v>33</v>
      </c>
      <c r="AK1324" s="48" t="s">
        <v>33</v>
      </c>
      <c r="AL1324" s="48" t="s">
        <v>34</v>
      </c>
      <c r="AN1324" s="48">
        <v>0</v>
      </c>
      <c r="AO1324" s="48">
        <v>0</v>
      </c>
      <c r="AP1324" s="48">
        <v>0</v>
      </c>
      <c r="AQ1324" s="48">
        <v>0</v>
      </c>
      <c r="AR1324" s="48">
        <v>0</v>
      </c>
      <c r="AS1324" s="48">
        <v>0</v>
      </c>
      <c r="AT1324" s="48">
        <v>0</v>
      </c>
      <c r="AU1324" s="48">
        <v>0</v>
      </c>
      <c r="AV1324" s="48">
        <v>0</v>
      </c>
      <c r="AW1324" s="48">
        <v>0</v>
      </c>
      <c r="AX1324" s="48">
        <v>0</v>
      </c>
      <c r="AY1324" s="48">
        <v>0</v>
      </c>
      <c r="AZ1324" s="48">
        <v>0</v>
      </c>
      <c r="BA1324" s="48">
        <v>0</v>
      </c>
      <c r="BB1324" s="48">
        <v>0</v>
      </c>
    </row>
    <row r="1325" spans="1:54" x14ac:dyDescent="0.35">
      <c r="A1325" s="49">
        <v>45930</v>
      </c>
      <c r="B1325" s="48">
        <v>1</v>
      </c>
      <c r="C1325" s="50" t="s">
        <v>41</v>
      </c>
      <c r="D1325" s="48" t="s">
        <v>31</v>
      </c>
      <c r="E1325" s="48" t="s">
        <v>138</v>
      </c>
      <c r="F1325" s="48" t="s">
        <v>139</v>
      </c>
      <c r="G1325" s="49" t="s">
        <v>179</v>
      </c>
      <c r="H1325" s="48" t="s">
        <v>178</v>
      </c>
      <c r="I1325" s="48">
        <v>1</v>
      </c>
      <c r="J1325" s="48">
        <v>2</v>
      </c>
      <c r="K1325" s="48">
        <v>1</v>
      </c>
      <c r="N1325" s="48">
        <v>0</v>
      </c>
      <c r="R1325" s="49"/>
      <c r="S1325" s="49"/>
      <c r="T1325" s="49">
        <v>45991</v>
      </c>
      <c r="U1325" s="49">
        <v>45991</v>
      </c>
      <c r="V1325" s="49">
        <v>45991</v>
      </c>
      <c r="W1325" s="49">
        <v>45991</v>
      </c>
      <c r="X1325" s="48">
        <v>1</v>
      </c>
      <c r="Y1325" s="48">
        <v>1</v>
      </c>
      <c r="Z1325" s="48">
        <v>1</v>
      </c>
      <c r="AA1325" s="156">
        <v>1691819946.8889313</v>
      </c>
      <c r="AF1325" s="48">
        <v>0</v>
      </c>
      <c r="AG1325" s="49" t="s">
        <v>41</v>
      </c>
      <c r="AH1325" s="48">
        <v>1</v>
      </c>
      <c r="AI1325" s="48" t="s">
        <v>33</v>
      </c>
      <c r="AJ1325" s="48" t="s">
        <v>33</v>
      </c>
      <c r="AK1325" s="48" t="s">
        <v>33</v>
      </c>
      <c r="AL1325" s="48" t="s">
        <v>34</v>
      </c>
      <c r="AN1325" s="48">
        <v>0</v>
      </c>
      <c r="AO1325" s="48">
        <v>0</v>
      </c>
      <c r="AP1325" s="48">
        <v>0</v>
      </c>
      <c r="AQ1325" s="48">
        <v>0</v>
      </c>
      <c r="AR1325" s="48">
        <v>0</v>
      </c>
      <c r="AS1325" s="48">
        <v>0</v>
      </c>
      <c r="AT1325" s="48">
        <v>0</v>
      </c>
      <c r="AU1325" s="48">
        <v>0</v>
      </c>
      <c r="AV1325" s="48">
        <v>0</v>
      </c>
      <c r="AW1325" s="48">
        <v>0</v>
      </c>
      <c r="AX1325" s="48">
        <v>0</v>
      </c>
      <c r="AY1325" s="48">
        <v>0</v>
      </c>
      <c r="AZ1325" s="48">
        <v>0</v>
      </c>
      <c r="BA1325" s="48">
        <v>0</v>
      </c>
      <c r="BB1325" s="48">
        <v>0</v>
      </c>
    </row>
    <row r="1326" spans="1:54" x14ac:dyDescent="0.35">
      <c r="A1326" s="49">
        <v>45930</v>
      </c>
      <c r="B1326" s="48">
        <v>1</v>
      </c>
      <c r="C1326" s="50" t="s">
        <v>41</v>
      </c>
      <c r="D1326" s="48" t="s">
        <v>31</v>
      </c>
      <c r="E1326" s="48" t="s">
        <v>138</v>
      </c>
      <c r="F1326" s="48" t="s">
        <v>139</v>
      </c>
      <c r="G1326" s="49" t="s">
        <v>179</v>
      </c>
      <c r="H1326" s="48" t="s">
        <v>178</v>
      </c>
      <c r="I1326" s="48">
        <v>1</v>
      </c>
      <c r="J1326" s="48">
        <v>3</v>
      </c>
      <c r="K1326" s="48">
        <v>1</v>
      </c>
      <c r="N1326" s="48">
        <v>0</v>
      </c>
      <c r="R1326" s="49"/>
      <c r="S1326" s="49"/>
      <c r="T1326" s="49">
        <v>46022</v>
      </c>
      <c r="U1326" s="49">
        <v>46022</v>
      </c>
      <c r="V1326" s="49">
        <v>46022</v>
      </c>
      <c r="W1326" s="49">
        <v>46022</v>
      </c>
      <c r="X1326" s="48">
        <v>1</v>
      </c>
      <c r="Y1326" s="48">
        <v>1</v>
      </c>
      <c r="Z1326" s="48">
        <v>1</v>
      </c>
      <c r="AA1326" s="156">
        <v>1665798921.6185455</v>
      </c>
      <c r="AF1326" s="48">
        <v>0</v>
      </c>
      <c r="AG1326" s="49" t="s">
        <v>41</v>
      </c>
      <c r="AH1326" s="48">
        <v>1</v>
      </c>
      <c r="AI1326" s="48" t="s">
        <v>33</v>
      </c>
      <c r="AJ1326" s="48" t="s">
        <v>33</v>
      </c>
      <c r="AK1326" s="48" t="s">
        <v>33</v>
      </c>
      <c r="AL1326" s="48" t="s">
        <v>34</v>
      </c>
      <c r="AN1326" s="48">
        <v>0</v>
      </c>
      <c r="AO1326" s="48">
        <v>0</v>
      </c>
      <c r="AP1326" s="48">
        <v>0</v>
      </c>
      <c r="AQ1326" s="48">
        <v>0</v>
      </c>
      <c r="AR1326" s="48">
        <v>0</v>
      </c>
      <c r="AS1326" s="48">
        <v>0</v>
      </c>
      <c r="AT1326" s="48">
        <v>0</v>
      </c>
      <c r="AU1326" s="48">
        <v>0</v>
      </c>
      <c r="AV1326" s="48">
        <v>0</v>
      </c>
      <c r="AW1326" s="48">
        <v>0</v>
      </c>
      <c r="AX1326" s="48">
        <v>0</v>
      </c>
      <c r="AY1326" s="48">
        <v>0</v>
      </c>
      <c r="AZ1326" s="48">
        <v>0</v>
      </c>
      <c r="BA1326" s="48">
        <v>0</v>
      </c>
      <c r="BB1326" s="48">
        <v>0</v>
      </c>
    </row>
    <row r="1327" spans="1:54" x14ac:dyDescent="0.35">
      <c r="A1327" s="49">
        <v>45930</v>
      </c>
      <c r="B1327" s="48">
        <v>1</v>
      </c>
      <c r="C1327" s="50" t="s">
        <v>41</v>
      </c>
      <c r="D1327" s="48" t="s">
        <v>31</v>
      </c>
      <c r="E1327" s="48" t="s">
        <v>138</v>
      </c>
      <c r="F1327" s="48" t="s">
        <v>139</v>
      </c>
      <c r="G1327" s="49" t="s">
        <v>179</v>
      </c>
      <c r="H1327" s="48" t="s">
        <v>178</v>
      </c>
      <c r="I1327" s="48">
        <v>1</v>
      </c>
      <c r="J1327" s="48">
        <v>4</v>
      </c>
      <c r="K1327" s="48">
        <v>1</v>
      </c>
      <c r="N1327" s="48">
        <v>0</v>
      </c>
      <c r="R1327" s="49"/>
      <c r="S1327" s="49"/>
      <c r="T1327" s="49">
        <v>46053</v>
      </c>
      <c r="U1327" s="49">
        <v>46053</v>
      </c>
      <c r="V1327" s="49">
        <v>46053</v>
      </c>
      <c r="W1327" s="49">
        <v>46053</v>
      </c>
      <c r="X1327" s="48">
        <v>1</v>
      </c>
      <c r="Y1327" s="48">
        <v>1</v>
      </c>
      <c r="Z1327" s="48">
        <v>1</v>
      </c>
      <c r="AA1327" s="156">
        <v>1640178112.5516052</v>
      </c>
      <c r="AF1327" s="48">
        <v>0</v>
      </c>
      <c r="AG1327" s="49" t="s">
        <v>41</v>
      </c>
      <c r="AH1327" s="48">
        <v>1</v>
      </c>
      <c r="AI1327" s="48" t="s">
        <v>33</v>
      </c>
      <c r="AJ1327" s="48" t="s">
        <v>33</v>
      </c>
      <c r="AK1327" s="48" t="s">
        <v>33</v>
      </c>
      <c r="AL1327" s="48" t="s">
        <v>34</v>
      </c>
      <c r="AN1327" s="48">
        <v>0</v>
      </c>
      <c r="AO1327" s="48">
        <v>0</v>
      </c>
      <c r="AP1327" s="48">
        <v>0</v>
      </c>
      <c r="AQ1327" s="48">
        <v>0</v>
      </c>
      <c r="AR1327" s="48">
        <v>0</v>
      </c>
      <c r="AS1327" s="48">
        <v>0</v>
      </c>
      <c r="AT1327" s="48">
        <v>0</v>
      </c>
      <c r="AU1327" s="48">
        <v>0</v>
      </c>
      <c r="AV1327" s="48">
        <v>0</v>
      </c>
      <c r="AW1327" s="48">
        <v>0</v>
      </c>
      <c r="AX1327" s="48">
        <v>0</v>
      </c>
      <c r="AY1327" s="48">
        <v>0</v>
      </c>
      <c r="AZ1327" s="48">
        <v>0</v>
      </c>
      <c r="BA1327" s="48">
        <v>0</v>
      </c>
      <c r="BB1327" s="48">
        <v>0</v>
      </c>
    </row>
    <row r="1328" spans="1:54" x14ac:dyDescent="0.35">
      <c r="A1328" s="49">
        <v>45930</v>
      </c>
      <c r="B1328" s="48">
        <v>1</v>
      </c>
      <c r="C1328" s="50" t="s">
        <v>41</v>
      </c>
      <c r="D1328" s="48" t="s">
        <v>31</v>
      </c>
      <c r="E1328" s="48" t="s">
        <v>138</v>
      </c>
      <c r="F1328" s="48" t="s">
        <v>139</v>
      </c>
      <c r="G1328" s="49" t="s">
        <v>179</v>
      </c>
      <c r="H1328" s="48" t="s">
        <v>178</v>
      </c>
      <c r="I1328" s="48">
        <v>1</v>
      </c>
      <c r="J1328" s="48">
        <v>5</v>
      </c>
      <c r="K1328" s="48">
        <v>1</v>
      </c>
      <c r="N1328" s="48">
        <v>0</v>
      </c>
      <c r="R1328" s="49"/>
      <c r="S1328" s="49"/>
      <c r="T1328" s="49">
        <v>46081</v>
      </c>
      <c r="U1328" s="49">
        <v>46081</v>
      </c>
      <c r="V1328" s="49">
        <v>46081</v>
      </c>
      <c r="W1328" s="49">
        <v>46081</v>
      </c>
      <c r="X1328" s="48">
        <v>1</v>
      </c>
      <c r="Y1328" s="48">
        <v>1</v>
      </c>
      <c r="Z1328" s="48">
        <v>1</v>
      </c>
      <c r="AA1328" s="156">
        <v>1614951364.1655579</v>
      </c>
      <c r="AF1328" s="48">
        <v>0</v>
      </c>
      <c r="AG1328" s="49" t="s">
        <v>41</v>
      </c>
      <c r="AH1328" s="48">
        <v>1</v>
      </c>
      <c r="AI1328" s="48" t="s">
        <v>33</v>
      </c>
      <c r="AJ1328" s="48" t="s">
        <v>33</v>
      </c>
      <c r="AK1328" s="48" t="s">
        <v>33</v>
      </c>
      <c r="AL1328" s="48" t="s">
        <v>34</v>
      </c>
      <c r="AN1328" s="48">
        <v>0</v>
      </c>
      <c r="AO1328" s="48">
        <v>0</v>
      </c>
      <c r="AP1328" s="48">
        <v>0</v>
      </c>
      <c r="AQ1328" s="48">
        <v>0</v>
      </c>
      <c r="AR1328" s="48">
        <v>0</v>
      </c>
      <c r="AS1328" s="48">
        <v>0</v>
      </c>
      <c r="AT1328" s="48">
        <v>0</v>
      </c>
      <c r="AU1328" s="48">
        <v>0</v>
      </c>
      <c r="AV1328" s="48">
        <v>0</v>
      </c>
      <c r="AW1328" s="48">
        <v>0</v>
      </c>
      <c r="AX1328" s="48">
        <v>0</v>
      </c>
      <c r="AY1328" s="48">
        <v>0</v>
      </c>
      <c r="AZ1328" s="48">
        <v>0</v>
      </c>
      <c r="BA1328" s="48">
        <v>0</v>
      </c>
      <c r="BB1328" s="48">
        <v>0</v>
      </c>
    </row>
    <row r="1329" spans="1:54" x14ac:dyDescent="0.35">
      <c r="A1329" s="49">
        <v>45930</v>
      </c>
      <c r="B1329" s="48">
        <v>1</v>
      </c>
      <c r="C1329" s="50" t="s">
        <v>41</v>
      </c>
      <c r="D1329" s="48" t="s">
        <v>31</v>
      </c>
      <c r="E1329" s="48" t="s">
        <v>138</v>
      </c>
      <c r="F1329" s="48" t="s">
        <v>139</v>
      </c>
      <c r="G1329" s="49" t="s">
        <v>179</v>
      </c>
      <c r="H1329" s="48" t="s">
        <v>178</v>
      </c>
      <c r="I1329" s="48">
        <v>1</v>
      </c>
      <c r="J1329" s="48">
        <v>6</v>
      </c>
      <c r="K1329" s="48">
        <v>1</v>
      </c>
      <c r="N1329" s="48">
        <v>0</v>
      </c>
      <c r="R1329" s="49"/>
      <c r="S1329" s="49"/>
      <c r="T1329" s="49">
        <v>46112</v>
      </c>
      <c r="U1329" s="49">
        <v>46112</v>
      </c>
      <c r="V1329" s="49">
        <v>46112</v>
      </c>
      <c r="W1329" s="49">
        <v>46112</v>
      </c>
      <c r="X1329" s="48">
        <v>1</v>
      </c>
      <c r="Y1329" s="48">
        <v>1</v>
      </c>
      <c r="Z1329" s="48">
        <v>1</v>
      </c>
      <c r="AA1329" s="156">
        <v>1590112615.6127167</v>
      </c>
      <c r="AF1329" s="48">
        <v>0</v>
      </c>
      <c r="AG1329" s="49" t="s">
        <v>41</v>
      </c>
      <c r="AH1329" s="48">
        <v>1</v>
      </c>
      <c r="AI1329" s="48" t="s">
        <v>33</v>
      </c>
      <c r="AJ1329" s="48" t="s">
        <v>33</v>
      </c>
      <c r="AK1329" s="48" t="s">
        <v>33</v>
      </c>
      <c r="AL1329" s="48" t="s">
        <v>34</v>
      </c>
      <c r="AN1329" s="48">
        <v>0</v>
      </c>
      <c r="AO1329" s="48">
        <v>0</v>
      </c>
      <c r="AP1329" s="48">
        <v>0</v>
      </c>
      <c r="AQ1329" s="48">
        <v>0</v>
      </c>
      <c r="AR1329" s="48">
        <v>0</v>
      </c>
      <c r="AS1329" s="48">
        <v>0</v>
      </c>
      <c r="AT1329" s="48">
        <v>0</v>
      </c>
      <c r="AU1329" s="48">
        <v>0</v>
      </c>
      <c r="AV1329" s="48">
        <v>0</v>
      </c>
      <c r="AW1329" s="48">
        <v>0</v>
      </c>
      <c r="AX1329" s="48">
        <v>0</v>
      </c>
      <c r="AY1329" s="48">
        <v>0</v>
      </c>
      <c r="AZ1329" s="48">
        <v>0</v>
      </c>
      <c r="BA1329" s="48">
        <v>0</v>
      </c>
      <c r="BB1329" s="48">
        <v>0</v>
      </c>
    </row>
    <row r="1330" spans="1:54" x14ac:dyDescent="0.35">
      <c r="A1330" s="49">
        <v>45930</v>
      </c>
      <c r="B1330" s="48">
        <v>1</v>
      </c>
      <c r="C1330" s="50" t="s">
        <v>41</v>
      </c>
      <c r="D1330" s="48" t="s">
        <v>31</v>
      </c>
      <c r="E1330" s="48" t="s">
        <v>138</v>
      </c>
      <c r="F1330" s="48" t="s">
        <v>139</v>
      </c>
      <c r="G1330" s="49" t="s">
        <v>179</v>
      </c>
      <c r="H1330" s="48" t="s">
        <v>178</v>
      </c>
      <c r="I1330" s="48">
        <v>1</v>
      </c>
      <c r="J1330" s="48">
        <v>7</v>
      </c>
      <c r="K1330" s="48">
        <v>1</v>
      </c>
      <c r="N1330" s="48">
        <v>0</v>
      </c>
      <c r="R1330" s="49"/>
      <c r="S1330" s="49"/>
      <c r="T1330" s="49">
        <v>46142</v>
      </c>
      <c r="U1330" s="49">
        <v>46142</v>
      </c>
      <c r="V1330" s="49">
        <v>46142</v>
      </c>
      <c r="W1330" s="49">
        <v>46142</v>
      </c>
      <c r="X1330" s="48">
        <v>1</v>
      </c>
      <c r="Y1330" s="48">
        <v>1</v>
      </c>
      <c r="Z1330" s="48">
        <v>1</v>
      </c>
      <c r="AA1330" s="156">
        <v>1565655899.2643127</v>
      </c>
      <c r="AF1330" s="48">
        <v>0</v>
      </c>
      <c r="AG1330" s="49" t="s">
        <v>41</v>
      </c>
      <c r="AH1330" s="48">
        <v>1</v>
      </c>
      <c r="AI1330" s="48" t="s">
        <v>33</v>
      </c>
      <c r="AJ1330" s="48" t="s">
        <v>33</v>
      </c>
      <c r="AK1330" s="48" t="s">
        <v>33</v>
      </c>
      <c r="AL1330" s="48" t="s">
        <v>34</v>
      </c>
      <c r="AN1330" s="48">
        <v>0</v>
      </c>
      <c r="AO1330" s="48">
        <v>0</v>
      </c>
      <c r="AP1330" s="48">
        <v>0</v>
      </c>
      <c r="AQ1330" s="48">
        <v>0</v>
      </c>
      <c r="AR1330" s="48">
        <v>0</v>
      </c>
      <c r="AS1330" s="48">
        <v>0</v>
      </c>
      <c r="AT1330" s="48">
        <v>0</v>
      </c>
      <c r="AU1330" s="48">
        <v>0</v>
      </c>
      <c r="AV1330" s="48">
        <v>0</v>
      </c>
      <c r="AW1330" s="48">
        <v>0</v>
      </c>
      <c r="AX1330" s="48">
        <v>0</v>
      </c>
      <c r="AY1330" s="48">
        <v>0</v>
      </c>
      <c r="AZ1330" s="48">
        <v>0</v>
      </c>
      <c r="BA1330" s="48">
        <v>0</v>
      </c>
      <c r="BB1330" s="48">
        <v>0</v>
      </c>
    </row>
    <row r="1331" spans="1:54" x14ac:dyDescent="0.35">
      <c r="A1331" s="49">
        <v>45930</v>
      </c>
      <c r="B1331" s="48">
        <v>1</v>
      </c>
      <c r="C1331" s="50" t="s">
        <v>41</v>
      </c>
      <c r="D1331" s="48" t="s">
        <v>31</v>
      </c>
      <c r="E1331" s="48" t="s">
        <v>138</v>
      </c>
      <c r="F1331" s="48" t="s">
        <v>139</v>
      </c>
      <c r="G1331" s="49" t="s">
        <v>179</v>
      </c>
      <c r="H1331" s="48" t="s">
        <v>178</v>
      </c>
      <c r="I1331" s="48">
        <v>1</v>
      </c>
      <c r="J1331" s="48">
        <v>8</v>
      </c>
      <c r="K1331" s="48">
        <v>1</v>
      </c>
      <c r="N1331" s="48">
        <v>0</v>
      </c>
      <c r="R1331" s="49"/>
      <c r="S1331" s="49"/>
      <c r="T1331" s="49">
        <v>46173</v>
      </c>
      <c r="U1331" s="49">
        <v>46173</v>
      </c>
      <c r="V1331" s="49">
        <v>46173</v>
      </c>
      <c r="W1331" s="49">
        <v>46173</v>
      </c>
      <c r="X1331" s="48">
        <v>1</v>
      </c>
      <c r="Y1331" s="48">
        <v>1</v>
      </c>
      <c r="Z1331" s="48">
        <v>1</v>
      </c>
      <c r="AA1331" s="156">
        <v>1541575339.2765656</v>
      </c>
      <c r="AF1331" s="48">
        <v>0</v>
      </c>
      <c r="AG1331" s="49" t="s">
        <v>41</v>
      </c>
      <c r="AH1331" s="48">
        <v>1</v>
      </c>
      <c r="AI1331" s="48" t="s">
        <v>33</v>
      </c>
      <c r="AJ1331" s="48" t="s">
        <v>33</v>
      </c>
      <c r="AK1331" s="48" t="s">
        <v>33</v>
      </c>
      <c r="AL1331" s="48" t="s">
        <v>34</v>
      </c>
      <c r="AN1331" s="48">
        <v>0</v>
      </c>
      <c r="AO1331" s="48">
        <v>0</v>
      </c>
      <c r="AP1331" s="48">
        <v>0</v>
      </c>
      <c r="AQ1331" s="48">
        <v>0</v>
      </c>
      <c r="AR1331" s="48">
        <v>0</v>
      </c>
      <c r="AS1331" s="48">
        <v>0</v>
      </c>
      <c r="AT1331" s="48">
        <v>0</v>
      </c>
      <c r="AU1331" s="48">
        <v>0</v>
      </c>
      <c r="AV1331" s="48">
        <v>0</v>
      </c>
      <c r="AW1331" s="48">
        <v>0</v>
      </c>
      <c r="AX1331" s="48">
        <v>0</v>
      </c>
      <c r="AY1331" s="48">
        <v>0</v>
      </c>
      <c r="AZ1331" s="48">
        <v>0</v>
      </c>
      <c r="BA1331" s="48">
        <v>0</v>
      </c>
      <c r="BB1331" s="48">
        <v>0</v>
      </c>
    </row>
    <row r="1332" spans="1:54" x14ac:dyDescent="0.35">
      <c r="A1332" s="49">
        <v>45930</v>
      </c>
      <c r="B1332" s="48">
        <v>1</v>
      </c>
      <c r="C1332" s="50" t="s">
        <v>41</v>
      </c>
      <c r="D1332" s="48" t="s">
        <v>31</v>
      </c>
      <c r="E1332" s="48" t="s">
        <v>138</v>
      </c>
      <c r="F1332" s="48" t="s">
        <v>139</v>
      </c>
      <c r="G1332" s="49" t="s">
        <v>179</v>
      </c>
      <c r="H1332" s="48" t="s">
        <v>178</v>
      </c>
      <c r="I1332" s="48">
        <v>1</v>
      </c>
      <c r="J1332" s="48">
        <v>9</v>
      </c>
      <c r="K1332" s="48">
        <v>1</v>
      </c>
      <c r="N1332" s="48">
        <v>0</v>
      </c>
      <c r="R1332" s="49"/>
      <c r="S1332" s="49"/>
      <c r="T1332" s="49">
        <v>46203</v>
      </c>
      <c r="U1332" s="49">
        <v>46203</v>
      </c>
      <c r="V1332" s="49">
        <v>46203</v>
      </c>
      <c r="W1332" s="49">
        <v>46203</v>
      </c>
      <c r="X1332" s="48">
        <v>1</v>
      </c>
      <c r="Y1332" s="48">
        <v>1</v>
      </c>
      <c r="Z1332" s="48">
        <v>1</v>
      </c>
      <c r="AA1332" s="156">
        <v>1517865150.1791229</v>
      </c>
      <c r="AF1332" s="48">
        <v>0</v>
      </c>
      <c r="AG1332" s="49" t="s">
        <v>41</v>
      </c>
      <c r="AH1332" s="48">
        <v>1</v>
      </c>
      <c r="AI1332" s="48" t="s">
        <v>33</v>
      </c>
      <c r="AJ1332" s="48" t="s">
        <v>33</v>
      </c>
      <c r="AK1332" s="48" t="s">
        <v>33</v>
      </c>
      <c r="AL1332" s="48" t="s">
        <v>34</v>
      </c>
      <c r="AN1332" s="48">
        <v>0</v>
      </c>
      <c r="AO1332" s="48">
        <v>0</v>
      </c>
      <c r="AP1332" s="48">
        <v>0</v>
      </c>
      <c r="AQ1332" s="48">
        <v>0</v>
      </c>
      <c r="AR1332" s="48">
        <v>0</v>
      </c>
      <c r="AS1332" s="48">
        <v>0</v>
      </c>
      <c r="AT1332" s="48">
        <v>0</v>
      </c>
      <c r="AU1332" s="48">
        <v>0</v>
      </c>
      <c r="AV1332" s="48">
        <v>0</v>
      </c>
      <c r="AW1332" s="48">
        <v>0</v>
      </c>
      <c r="AX1332" s="48">
        <v>0</v>
      </c>
      <c r="AY1332" s="48">
        <v>0</v>
      </c>
      <c r="AZ1332" s="48">
        <v>0</v>
      </c>
      <c r="BA1332" s="48">
        <v>0</v>
      </c>
      <c r="BB1332" s="48">
        <v>0</v>
      </c>
    </row>
    <row r="1333" spans="1:54" x14ac:dyDescent="0.35">
      <c r="A1333" s="49">
        <v>45930</v>
      </c>
      <c r="B1333" s="48">
        <v>1</v>
      </c>
      <c r="C1333" s="50" t="s">
        <v>41</v>
      </c>
      <c r="D1333" s="48" t="s">
        <v>31</v>
      </c>
      <c r="E1333" s="48" t="s">
        <v>138</v>
      </c>
      <c r="F1333" s="48" t="s">
        <v>139</v>
      </c>
      <c r="G1333" s="49" t="s">
        <v>179</v>
      </c>
      <c r="H1333" s="48" t="s">
        <v>178</v>
      </c>
      <c r="I1333" s="48">
        <v>1</v>
      </c>
      <c r="J1333" s="48">
        <v>10</v>
      </c>
      <c r="K1333" s="48">
        <v>1</v>
      </c>
      <c r="N1333" s="48">
        <v>0</v>
      </c>
      <c r="R1333" s="49"/>
      <c r="S1333" s="49"/>
      <c r="T1333" s="49">
        <v>46234</v>
      </c>
      <c r="U1333" s="49">
        <v>46234</v>
      </c>
      <c r="V1333" s="49">
        <v>46234</v>
      </c>
      <c r="W1333" s="49">
        <v>46234</v>
      </c>
      <c r="X1333" s="48">
        <v>1</v>
      </c>
      <c r="Y1333" s="48">
        <v>1</v>
      </c>
      <c r="Z1333" s="48">
        <v>1</v>
      </c>
      <c r="AA1333" s="156">
        <v>1494519635.4850159</v>
      </c>
      <c r="AF1333" s="48">
        <v>0</v>
      </c>
      <c r="AG1333" s="49" t="s">
        <v>41</v>
      </c>
      <c r="AH1333" s="48">
        <v>1</v>
      </c>
      <c r="AI1333" s="48" t="s">
        <v>33</v>
      </c>
      <c r="AJ1333" s="48" t="s">
        <v>33</v>
      </c>
      <c r="AK1333" s="48" t="s">
        <v>33</v>
      </c>
      <c r="AL1333" s="48" t="s">
        <v>34</v>
      </c>
      <c r="AN1333" s="48">
        <v>0</v>
      </c>
      <c r="AO1333" s="48">
        <v>0</v>
      </c>
      <c r="AP1333" s="48">
        <v>0</v>
      </c>
      <c r="AQ1333" s="48">
        <v>0</v>
      </c>
      <c r="AR1333" s="48">
        <v>0</v>
      </c>
      <c r="AS1333" s="48">
        <v>0</v>
      </c>
      <c r="AT1333" s="48">
        <v>0</v>
      </c>
      <c r="AU1333" s="48">
        <v>0</v>
      </c>
      <c r="AV1333" s="48">
        <v>0</v>
      </c>
      <c r="AW1333" s="48">
        <v>0</v>
      </c>
      <c r="AX1333" s="48">
        <v>0</v>
      </c>
      <c r="AY1333" s="48">
        <v>0</v>
      </c>
      <c r="AZ1333" s="48">
        <v>0</v>
      </c>
      <c r="BA1333" s="48">
        <v>0</v>
      </c>
      <c r="BB1333" s="48">
        <v>0</v>
      </c>
    </row>
    <row r="1334" spans="1:54" x14ac:dyDescent="0.35">
      <c r="A1334" s="49">
        <v>45930</v>
      </c>
      <c r="B1334" s="48">
        <v>1</v>
      </c>
      <c r="C1334" s="50" t="s">
        <v>41</v>
      </c>
      <c r="D1334" s="48" t="s">
        <v>31</v>
      </c>
      <c r="E1334" s="48" t="s">
        <v>138</v>
      </c>
      <c r="F1334" s="48" t="s">
        <v>139</v>
      </c>
      <c r="G1334" s="49" t="s">
        <v>179</v>
      </c>
      <c r="H1334" s="48" t="s">
        <v>178</v>
      </c>
      <c r="I1334" s="48">
        <v>1</v>
      </c>
      <c r="J1334" s="48">
        <v>11</v>
      </c>
      <c r="K1334" s="48">
        <v>1</v>
      </c>
      <c r="N1334" s="48">
        <v>0</v>
      </c>
      <c r="R1334" s="49"/>
      <c r="S1334" s="49"/>
      <c r="T1334" s="49">
        <v>46265</v>
      </c>
      <c r="U1334" s="49">
        <v>46265</v>
      </c>
      <c r="V1334" s="49">
        <v>46265</v>
      </c>
      <c r="W1334" s="49">
        <v>46265</v>
      </c>
      <c r="X1334" s="48">
        <v>1</v>
      </c>
      <c r="Y1334" s="48">
        <v>1</v>
      </c>
      <c r="Z1334" s="48">
        <v>1</v>
      </c>
      <c r="AA1334" s="156">
        <v>1471533186.3220367</v>
      </c>
      <c r="AF1334" s="48">
        <v>0</v>
      </c>
      <c r="AG1334" s="49" t="s">
        <v>41</v>
      </c>
      <c r="AH1334" s="48">
        <v>1</v>
      </c>
      <c r="AI1334" s="48" t="s">
        <v>33</v>
      </c>
      <c r="AJ1334" s="48" t="s">
        <v>33</v>
      </c>
      <c r="AK1334" s="48" t="s">
        <v>33</v>
      </c>
      <c r="AL1334" s="48" t="s">
        <v>34</v>
      </c>
      <c r="AN1334" s="48">
        <v>0</v>
      </c>
      <c r="AO1334" s="48">
        <v>0</v>
      </c>
      <c r="AP1334" s="48">
        <v>0</v>
      </c>
      <c r="AQ1334" s="48">
        <v>0</v>
      </c>
      <c r="AR1334" s="48">
        <v>0</v>
      </c>
      <c r="AS1334" s="48">
        <v>0</v>
      </c>
      <c r="AT1334" s="48">
        <v>0</v>
      </c>
      <c r="AU1334" s="48">
        <v>0</v>
      </c>
      <c r="AV1334" s="48">
        <v>0</v>
      </c>
      <c r="AW1334" s="48">
        <v>0</v>
      </c>
      <c r="AX1334" s="48">
        <v>0</v>
      </c>
      <c r="AY1334" s="48">
        <v>0</v>
      </c>
      <c r="AZ1334" s="48">
        <v>0</v>
      </c>
      <c r="BA1334" s="48">
        <v>0</v>
      </c>
      <c r="BB1334" s="48">
        <v>0</v>
      </c>
    </row>
    <row r="1335" spans="1:54" x14ac:dyDescent="0.35">
      <c r="A1335" s="49">
        <v>45930</v>
      </c>
      <c r="B1335" s="48">
        <v>1</v>
      </c>
      <c r="C1335" s="50" t="s">
        <v>41</v>
      </c>
      <c r="D1335" s="48" t="s">
        <v>31</v>
      </c>
      <c r="E1335" s="48" t="s">
        <v>138</v>
      </c>
      <c r="F1335" s="48" t="s">
        <v>139</v>
      </c>
      <c r="G1335" s="49" t="s">
        <v>179</v>
      </c>
      <c r="H1335" s="48" t="s">
        <v>178</v>
      </c>
      <c r="I1335" s="48">
        <v>1</v>
      </c>
      <c r="J1335" s="48">
        <v>12</v>
      </c>
      <c r="K1335" s="48">
        <v>1</v>
      </c>
      <c r="N1335" s="48">
        <v>0</v>
      </c>
      <c r="R1335" s="49"/>
      <c r="S1335" s="49"/>
      <c r="T1335" s="49">
        <v>46295</v>
      </c>
      <c r="U1335" s="49">
        <v>46295</v>
      </c>
      <c r="V1335" s="49">
        <v>46295</v>
      </c>
      <c r="W1335" s="49">
        <v>46295</v>
      </c>
      <c r="X1335" s="48">
        <v>1</v>
      </c>
      <c r="Y1335" s="48">
        <v>1</v>
      </c>
      <c r="Z1335" s="48">
        <v>1</v>
      </c>
      <c r="AA1335" s="156">
        <v>1448900280.0852203</v>
      </c>
      <c r="AF1335" s="48">
        <v>0</v>
      </c>
      <c r="AG1335" s="49" t="s">
        <v>41</v>
      </c>
      <c r="AH1335" s="48">
        <v>1</v>
      </c>
      <c r="AI1335" s="48" t="s">
        <v>33</v>
      </c>
      <c r="AJ1335" s="48" t="s">
        <v>33</v>
      </c>
      <c r="AK1335" s="48" t="s">
        <v>33</v>
      </c>
      <c r="AL1335" s="48" t="s">
        <v>34</v>
      </c>
      <c r="AN1335" s="48">
        <v>0</v>
      </c>
      <c r="AO1335" s="48">
        <v>0</v>
      </c>
      <c r="AP1335" s="48">
        <v>0</v>
      </c>
      <c r="AQ1335" s="48">
        <v>0</v>
      </c>
      <c r="AR1335" s="48">
        <v>0</v>
      </c>
      <c r="AS1335" s="48">
        <v>0</v>
      </c>
      <c r="AT1335" s="48">
        <v>0</v>
      </c>
      <c r="AU1335" s="48">
        <v>0</v>
      </c>
      <c r="AV1335" s="48">
        <v>0</v>
      </c>
      <c r="AW1335" s="48">
        <v>0</v>
      </c>
      <c r="AX1335" s="48">
        <v>0</v>
      </c>
      <c r="AY1335" s="48">
        <v>0</v>
      </c>
      <c r="AZ1335" s="48">
        <v>0</v>
      </c>
      <c r="BA1335" s="48">
        <v>0</v>
      </c>
      <c r="BB1335" s="48">
        <v>0</v>
      </c>
    </row>
    <row r="1336" spans="1:54" x14ac:dyDescent="0.35">
      <c r="A1336" s="49">
        <v>45930</v>
      </c>
      <c r="B1336" s="48">
        <v>1</v>
      </c>
      <c r="C1336" s="50" t="s">
        <v>41</v>
      </c>
      <c r="D1336" s="48" t="s">
        <v>31</v>
      </c>
      <c r="E1336" s="48" t="s">
        <v>138</v>
      </c>
      <c r="F1336" s="48" t="s">
        <v>139</v>
      </c>
      <c r="G1336" s="49" t="s">
        <v>179</v>
      </c>
      <c r="H1336" s="48" t="s">
        <v>178</v>
      </c>
      <c r="I1336" s="48">
        <v>1</v>
      </c>
      <c r="J1336" s="48">
        <v>13</v>
      </c>
      <c r="K1336" s="48">
        <v>1</v>
      </c>
      <c r="N1336" s="48">
        <v>0</v>
      </c>
      <c r="R1336" s="49"/>
      <c r="S1336" s="49"/>
      <c r="T1336" s="49">
        <v>46326</v>
      </c>
      <c r="U1336" s="49">
        <v>46326</v>
      </c>
      <c r="V1336" s="49">
        <v>46326</v>
      </c>
      <c r="W1336" s="49">
        <v>46326</v>
      </c>
      <c r="X1336" s="48">
        <v>1</v>
      </c>
      <c r="Y1336" s="48">
        <v>1</v>
      </c>
      <c r="Z1336" s="48">
        <v>1</v>
      </c>
      <c r="AA1336" s="156">
        <v>1426615479.1099396</v>
      </c>
      <c r="AF1336" s="48">
        <v>0</v>
      </c>
      <c r="AG1336" s="49" t="s">
        <v>41</v>
      </c>
      <c r="AH1336" s="48">
        <v>1</v>
      </c>
      <c r="AI1336" s="48" t="s">
        <v>33</v>
      </c>
      <c r="AJ1336" s="48" t="s">
        <v>33</v>
      </c>
      <c r="AK1336" s="48" t="s">
        <v>33</v>
      </c>
      <c r="AL1336" s="48" t="s">
        <v>34</v>
      </c>
      <c r="AN1336" s="48">
        <v>0</v>
      </c>
      <c r="AO1336" s="48">
        <v>0</v>
      </c>
      <c r="AP1336" s="48">
        <v>0</v>
      </c>
      <c r="AQ1336" s="48">
        <v>0</v>
      </c>
      <c r="AR1336" s="48">
        <v>0</v>
      </c>
      <c r="AS1336" s="48">
        <v>0</v>
      </c>
      <c r="AT1336" s="48">
        <v>0</v>
      </c>
      <c r="AU1336" s="48">
        <v>0</v>
      </c>
      <c r="AV1336" s="48">
        <v>0</v>
      </c>
      <c r="AW1336" s="48">
        <v>0</v>
      </c>
      <c r="AX1336" s="48">
        <v>0</v>
      </c>
      <c r="AY1336" s="48">
        <v>0</v>
      </c>
      <c r="AZ1336" s="48">
        <v>0</v>
      </c>
      <c r="BA1336" s="48">
        <v>0</v>
      </c>
      <c r="BB1336" s="48">
        <v>0</v>
      </c>
    </row>
    <row r="1337" spans="1:54" x14ac:dyDescent="0.35">
      <c r="A1337" s="49">
        <v>45930</v>
      </c>
      <c r="B1337" s="48">
        <v>1</v>
      </c>
      <c r="C1337" s="50" t="s">
        <v>41</v>
      </c>
      <c r="D1337" s="48" t="s">
        <v>31</v>
      </c>
      <c r="E1337" s="48" t="s">
        <v>138</v>
      </c>
      <c r="F1337" s="48" t="s">
        <v>139</v>
      </c>
      <c r="G1337" s="49" t="s">
        <v>179</v>
      </c>
      <c r="H1337" s="48" t="s">
        <v>178</v>
      </c>
      <c r="I1337" s="48">
        <v>1</v>
      </c>
      <c r="J1337" s="48">
        <v>14</v>
      </c>
      <c r="K1337" s="48">
        <v>1</v>
      </c>
      <c r="N1337" s="48">
        <v>0</v>
      </c>
      <c r="R1337" s="49"/>
      <c r="S1337" s="49"/>
      <c r="T1337" s="49">
        <v>46356</v>
      </c>
      <c r="U1337" s="49">
        <v>46356</v>
      </c>
      <c r="V1337" s="49">
        <v>46356</v>
      </c>
      <c r="W1337" s="49">
        <v>46356</v>
      </c>
      <c r="X1337" s="48">
        <v>1</v>
      </c>
      <c r="Y1337" s="48">
        <v>1</v>
      </c>
      <c r="Z1337" s="48">
        <v>1</v>
      </c>
      <c r="AA1337" s="156">
        <v>1404673429.3656158</v>
      </c>
      <c r="AF1337" s="48">
        <v>0</v>
      </c>
      <c r="AG1337" s="49" t="s">
        <v>41</v>
      </c>
      <c r="AH1337" s="48">
        <v>1</v>
      </c>
      <c r="AI1337" s="48" t="s">
        <v>33</v>
      </c>
      <c r="AJ1337" s="48" t="s">
        <v>33</v>
      </c>
      <c r="AK1337" s="48" t="s">
        <v>33</v>
      </c>
      <c r="AL1337" s="48" t="s">
        <v>34</v>
      </c>
      <c r="AN1337" s="48">
        <v>0</v>
      </c>
      <c r="AO1337" s="48">
        <v>0</v>
      </c>
      <c r="AP1337" s="48">
        <v>0</v>
      </c>
      <c r="AQ1337" s="48">
        <v>0</v>
      </c>
      <c r="AR1337" s="48">
        <v>0</v>
      </c>
      <c r="AS1337" s="48">
        <v>0</v>
      </c>
      <c r="AT1337" s="48">
        <v>0</v>
      </c>
      <c r="AU1337" s="48">
        <v>0</v>
      </c>
      <c r="AV1337" s="48">
        <v>0</v>
      </c>
      <c r="AW1337" s="48">
        <v>0</v>
      </c>
      <c r="AX1337" s="48">
        <v>0</v>
      </c>
      <c r="AY1337" s="48">
        <v>0</v>
      </c>
      <c r="AZ1337" s="48">
        <v>0</v>
      </c>
      <c r="BA1337" s="48">
        <v>0</v>
      </c>
      <c r="BB1337" s="48">
        <v>0</v>
      </c>
    </row>
    <row r="1338" spans="1:54" x14ac:dyDescent="0.35">
      <c r="A1338" s="49">
        <v>45930</v>
      </c>
      <c r="B1338" s="48">
        <v>1</v>
      </c>
      <c r="C1338" s="50" t="s">
        <v>41</v>
      </c>
      <c r="D1338" s="48" t="s">
        <v>31</v>
      </c>
      <c r="E1338" s="48" t="s">
        <v>138</v>
      </c>
      <c r="F1338" s="48" t="s">
        <v>139</v>
      </c>
      <c r="G1338" s="49" t="s">
        <v>179</v>
      </c>
      <c r="H1338" s="48" t="s">
        <v>178</v>
      </c>
      <c r="I1338" s="48">
        <v>1</v>
      </c>
      <c r="J1338" s="48">
        <v>15</v>
      </c>
      <c r="K1338" s="48">
        <v>1</v>
      </c>
      <c r="N1338" s="48">
        <v>0</v>
      </c>
      <c r="R1338" s="49"/>
      <c r="S1338" s="49"/>
      <c r="T1338" s="49">
        <v>46387</v>
      </c>
      <c r="U1338" s="49">
        <v>46387</v>
      </c>
      <c r="V1338" s="49">
        <v>46387</v>
      </c>
      <c r="W1338" s="49">
        <v>46387</v>
      </c>
      <c r="X1338" s="48">
        <v>1</v>
      </c>
      <c r="Y1338" s="48">
        <v>1</v>
      </c>
      <c r="Z1338" s="48">
        <v>1</v>
      </c>
      <c r="AA1338" s="156">
        <v>1383068859.1692505</v>
      </c>
      <c r="AF1338" s="48">
        <v>0</v>
      </c>
      <c r="AG1338" s="49" t="s">
        <v>41</v>
      </c>
      <c r="AH1338" s="48">
        <v>1</v>
      </c>
      <c r="AI1338" s="48" t="s">
        <v>33</v>
      </c>
      <c r="AJ1338" s="48" t="s">
        <v>33</v>
      </c>
      <c r="AK1338" s="48" t="s">
        <v>33</v>
      </c>
      <c r="AL1338" s="48" t="s">
        <v>34</v>
      </c>
      <c r="AN1338" s="48">
        <v>0</v>
      </c>
      <c r="AO1338" s="48">
        <v>0</v>
      </c>
      <c r="AP1338" s="48">
        <v>0</v>
      </c>
      <c r="AQ1338" s="48">
        <v>0</v>
      </c>
      <c r="AR1338" s="48">
        <v>0</v>
      </c>
      <c r="AS1338" s="48">
        <v>0</v>
      </c>
      <c r="AT1338" s="48">
        <v>0</v>
      </c>
      <c r="AU1338" s="48">
        <v>0</v>
      </c>
      <c r="AV1338" s="48">
        <v>0</v>
      </c>
      <c r="AW1338" s="48">
        <v>0</v>
      </c>
      <c r="AX1338" s="48">
        <v>0</v>
      </c>
      <c r="AY1338" s="48">
        <v>0</v>
      </c>
      <c r="AZ1338" s="48">
        <v>0</v>
      </c>
      <c r="BA1338" s="48">
        <v>0</v>
      </c>
      <c r="BB1338" s="48">
        <v>0</v>
      </c>
    </row>
    <row r="1339" spans="1:54" x14ac:dyDescent="0.35">
      <c r="A1339" s="49">
        <v>45930</v>
      </c>
      <c r="B1339" s="48">
        <v>1</v>
      </c>
      <c r="C1339" s="50" t="s">
        <v>41</v>
      </c>
      <c r="D1339" s="48" t="s">
        <v>31</v>
      </c>
      <c r="E1339" s="48" t="s">
        <v>138</v>
      </c>
      <c r="F1339" s="48" t="s">
        <v>139</v>
      </c>
      <c r="G1339" s="49" t="s">
        <v>179</v>
      </c>
      <c r="H1339" s="48" t="s">
        <v>178</v>
      </c>
      <c r="I1339" s="48">
        <v>1</v>
      </c>
      <c r="J1339" s="48">
        <v>16</v>
      </c>
      <c r="K1339" s="48">
        <v>1</v>
      </c>
      <c r="N1339" s="48">
        <v>0</v>
      </c>
      <c r="R1339" s="49"/>
      <c r="S1339" s="49"/>
      <c r="T1339" s="49">
        <v>46418</v>
      </c>
      <c r="U1339" s="49">
        <v>46418</v>
      </c>
      <c r="V1339" s="49">
        <v>46418</v>
      </c>
      <c r="W1339" s="49">
        <v>46418</v>
      </c>
      <c r="X1339" s="48">
        <v>1</v>
      </c>
      <c r="Y1339" s="48">
        <v>1</v>
      </c>
      <c r="Z1339" s="48">
        <v>1</v>
      </c>
      <c r="AA1339" s="156">
        <v>1361796577.9189148</v>
      </c>
      <c r="AF1339" s="48">
        <v>0</v>
      </c>
      <c r="AG1339" s="49" t="s">
        <v>41</v>
      </c>
      <c r="AH1339" s="48">
        <v>1</v>
      </c>
      <c r="AI1339" s="48" t="s">
        <v>33</v>
      </c>
      <c r="AJ1339" s="48" t="s">
        <v>33</v>
      </c>
      <c r="AK1339" s="48" t="s">
        <v>33</v>
      </c>
      <c r="AL1339" s="48" t="s">
        <v>34</v>
      </c>
      <c r="AN1339" s="48">
        <v>0</v>
      </c>
      <c r="AO1339" s="48">
        <v>0</v>
      </c>
      <c r="AP1339" s="48">
        <v>0</v>
      </c>
      <c r="AQ1339" s="48">
        <v>0</v>
      </c>
      <c r="AR1339" s="48">
        <v>0</v>
      </c>
      <c r="AS1339" s="48">
        <v>0</v>
      </c>
      <c r="AT1339" s="48">
        <v>0</v>
      </c>
      <c r="AU1339" s="48">
        <v>0</v>
      </c>
      <c r="AV1339" s="48">
        <v>0</v>
      </c>
      <c r="AW1339" s="48">
        <v>0</v>
      </c>
      <c r="AX1339" s="48">
        <v>0</v>
      </c>
      <c r="AY1339" s="48">
        <v>0</v>
      </c>
      <c r="AZ1339" s="48">
        <v>0</v>
      </c>
      <c r="BA1339" s="48">
        <v>0</v>
      </c>
      <c r="BB1339" s="48">
        <v>0</v>
      </c>
    </row>
    <row r="1340" spans="1:54" x14ac:dyDescent="0.35">
      <c r="A1340" s="49">
        <v>45930</v>
      </c>
      <c r="B1340" s="48">
        <v>1</v>
      </c>
      <c r="C1340" s="50" t="s">
        <v>41</v>
      </c>
      <c r="D1340" s="48" t="s">
        <v>31</v>
      </c>
      <c r="E1340" s="48" t="s">
        <v>138</v>
      </c>
      <c r="F1340" s="48" t="s">
        <v>139</v>
      </c>
      <c r="G1340" s="49" t="s">
        <v>179</v>
      </c>
      <c r="H1340" s="48" t="s">
        <v>178</v>
      </c>
      <c r="I1340" s="48">
        <v>1</v>
      </c>
      <c r="J1340" s="48">
        <v>17</v>
      </c>
      <c r="K1340" s="48">
        <v>1</v>
      </c>
      <c r="N1340" s="48">
        <v>0</v>
      </c>
      <c r="R1340" s="49"/>
      <c r="S1340" s="49"/>
      <c r="T1340" s="49">
        <v>46446</v>
      </c>
      <c r="U1340" s="49">
        <v>46446</v>
      </c>
      <c r="V1340" s="49">
        <v>46446</v>
      </c>
      <c r="W1340" s="49">
        <v>46446</v>
      </c>
      <c r="X1340" s="48">
        <v>1</v>
      </c>
      <c r="Y1340" s="48">
        <v>1</v>
      </c>
      <c r="Z1340" s="48">
        <v>1</v>
      </c>
      <c r="AA1340" s="156">
        <v>1340851474.8467102</v>
      </c>
      <c r="AF1340" s="48">
        <v>0</v>
      </c>
      <c r="AG1340" s="49" t="s">
        <v>41</v>
      </c>
      <c r="AH1340" s="48">
        <v>1</v>
      </c>
      <c r="AI1340" s="48" t="s">
        <v>33</v>
      </c>
      <c r="AJ1340" s="48" t="s">
        <v>33</v>
      </c>
      <c r="AK1340" s="48" t="s">
        <v>33</v>
      </c>
      <c r="AL1340" s="48" t="s">
        <v>34</v>
      </c>
      <c r="AN1340" s="48">
        <v>0</v>
      </c>
      <c r="AO1340" s="48">
        <v>0</v>
      </c>
      <c r="AP1340" s="48">
        <v>0</v>
      </c>
      <c r="AQ1340" s="48">
        <v>0</v>
      </c>
      <c r="AR1340" s="48">
        <v>0</v>
      </c>
      <c r="AS1340" s="48">
        <v>0</v>
      </c>
      <c r="AT1340" s="48">
        <v>0</v>
      </c>
      <c r="AU1340" s="48">
        <v>0</v>
      </c>
      <c r="AV1340" s="48">
        <v>0</v>
      </c>
      <c r="AW1340" s="48">
        <v>0</v>
      </c>
      <c r="AX1340" s="48">
        <v>0</v>
      </c>
      <c r="AY1340" s="48">
        <v>0</v>
      </c>
      <c r="AZ1340" s="48">
        <v>0</v>
      </c>
      <c r="BA1340" s="48">
        <v>0</v>
      </c>
      <c r="BB1340" s="48">
        <v>0</v>
      </c>
    </row>
    <row r="1341" spans="1:54" x14ac:dyDescent="0.35">
      <c r="A1341" s="49">
        <v>45930</v>
      </c>
      <c r="B1341" s="48">
        <v>1</v>
      </c>
      <c r="C1341" s="50" t="s">
        <v>41</v>
      </c>
      <c r="D1341" s="48" t="s">
        <v>31</v>
      </c>
      <c r="E1341" s="48" t="s">
        <v>138</v>
      </c>
      <c r="F1341" s="48" t="s">
        <v>139</v>
      </c>
      <c r="G1341" s="49" t="s">
        <v>179</v>
      </c>
      <c r="H1341" s="48" t="s">
        <v>178</v>
      </c>
      <c r="I1341" s="48">
        <v>1</v>
      </c>
      <c r="J1341" s="48">
        <v>18</v>
      </c>
      <c r="K1341" s="48">
        <v>1</v>
      </c>
      <c r="N1341" s="48">
        <v>0</v>
      </c>
      <c r="R1341" s="49"/>
      <c r="S1341" s="49"/>
      <c r="T1341" s="49">
        <v>46477</v>
      </c>
      <c r="U1341" s="49">
        <v>46477</v>
      </c>
      <c r="V1341" s="49">
        <v>46477</v>
      </c>
      <c r="W1341" s="49">
        <v>46477</v>
      </c>
      <c r="X1341" s="48">
        <v>1</v>
      </c>
      <c r="Y1341" s="48">
        <v>1</v>
      </c>
      <c r="Z1341" s="48">
        <v>1</v>
      </c>
      <c r="AA1341" s="156">
        <v>1320228517.7908936</v>
      </c>
      <c r="AF1341" s="48">
        <v>0</v>
      </c>
      <c r="AG1341" s="49" t="s">
        <v>41</v>
      </c>
      <c r="AH1341" s="48">
        <v>1</v>
      </c>
      <c r="AI1341" s="48" t="s">
        <v>33</v>
      </c>
      <c r="AJ1341" s="48" t="s">
        <v>33</v>
      </c>
      <c r="AK1341" s="48" t="s">
        <v>33</v>
      </c>
      <c r="AL1341" s="48" t="s">
        <v>34</v>
      </c>
      <c r="AN1341" s="48">
        <v>0</v>
      </c>
      <c r="AO1341" s="48">
        <v>0</v>
      </c>
      <c r="AP1341" s="48">
        <v>0</v>
      </c>
      <c r="AQ1341" s="48">
        <v>0</v>
      </c>
      <c r="AR1341" s="48">
        <v>0</v>
      </c>
      <c r="AS1341" s="48">
        <v>0</v>
      </c>
      <c r="AT1341" s="48">
        <v>0</v>
      </c>
      <c r="AU1341" s="48">
        <v>0</v>
      </c>
      <c r="AV1341" s="48">
        <v>0</v>
      </c>
      <c r="AW1341" s="48">
        <v>0</v>
      </c>
      <c r="AX1341" s="48">
        <v>0</v>
      </c>
      <c r="AY1341" s="48">
        <v>0</v>
      </c>
      <c r="AZ1341" s="48">
        <v>0</v>
      </c>
      <c r="BA1341" s="48">
        <v>0</v>
      </c>
      <c r="BB1341" s="48">
        <v>0</v>
      </c>
    </row>
    <row r="1342" spans="1:54" x14ac:dyDescent="0.35">
      <c r="A1342" s="49">
        <v>45930</v>
      </c>
      <c r="B1342" s="48">
        <v>1</v>
      </c>
      <c r="C1342" s="50" t="s">
        <v>41</v>
      </c>
      <c r="D1342" s="48" t="s">
        <v>31</v>
      </c>
      <c r="E1342" s="48" t="s">
        <v>138</v>
      </c>
      <c r="F1342" s="48" t="s">
        <v>139</v>
      </c>
      <c r="G1342" s="49" t="s">
        <v>179</v>
      </c>
      <c r="H1342" s="48" t="s">
        <v>178</v>
      </c>
      <c r="I1342" s="48">
        <v>1</v>
      </c>
      <c r="J1342" s="48">
        <v>19</v>
      </c>
      <c r="K1342" s="48">
        <v>1</v>
      </c>
      <c r="N1342" s="48">
        <v>0</v>
      </c>
      <c r="R1342" s="49"/>
      <c r="S1342" s="49"/>
      <c r="T1342" s="49">
        <v>46507</v>
      </c>
      <c r="U1342" s="49">
        <v>46507</v>
      </c>
      <c r="V1342" s="49">
        <v>46507</v>
      </c>
      <c r="W1342" s="49">
        <v>46507</v>
      </c>
      <c r="X1342" s="48">
        <v>1</v>
      </c>
      <c r="Y1342" s="48">
        <v>1</v>
      </c>
      <c r="Z1342" s="48">
        <v>1</v>
      </c>
      <c r="AA1342" s="156">
        <v>1299922751.9868622</v>
      </c>
      <c r="AF1342" s="48">
        <v>0</v>
      </c>
      <c r="AG1342" s="49" t="s">
        <v>41</v>
      </c>
      <c r="AH1342" s="48">
        <v>1</v>
      </c>
      <c r="AI1342" s="48" t="s">
        <v>33</v>
      </c>
      <c r="AJ1342" s="48" t="s">
        <v>33</v>
      </c>
      <c r="AK1342" s="48" t="s">
        <v>33</v>
      </c>
      <c r="AL1342" s="48" t="s">
        <v>34</v>
      </c>
      <c r="AN1342" s="48">
        <v>0</v>
      </c>
      <c r="AO1342" s="48">
        <v>0</v>
      </c>
      <c r="AP1342" s="48">
        <v>0</v>
      </c>
      <c r="AQ1342" s="48">
        <v>0</v>
      </c>
      <c r="AR1342" s="48">
        <v>0</v>
      </c>
      <c r="AS1342" s="48">
        <v>0</v>
      </c>
      <c r="AT1342" s="48">
        <v>0</v>
      </c>
      <c r="AU1342" s="48">
        <v>0</v>
      </c>
      <c r="AV1342" s="48">
        <v>0</v>
      </c>
      <c r="AW1342" s="48">
        <v>0</v>
      </c>
      <c r="AX1342" s="48">
        <v>0</v>
      </c>
      <c r="AY1342" s="48">
        <v>0</v>
      </c>
      <c r="AZ1342" s="48">
        <v>0</v>
      </c>
      <c r="BA1342" s="48">
        <v>0</v>
      </c>
      <c r="BB1342" s="48">
        <v>0</v>
      </c>
    </row>
    <row r="1343" spans="1:54" x14ac:dyDescent="0.35">
      <c r="A1343" s="49">
        <v>45930</v>
      </c>
      <c r="B1343" s="48">
        <v>1</v>
      </c>
      <c r="C1343" s="50" t="s">
        <v>41</v>
      </c>
      <c r="D1343" s="48" t="s">
        <v>31</v>
      </c>
      <c r="E1343" s="48" t="s">
        <v>138</v>
      </c>
      <c r="F1343" s="48" t="s">
        <v>139</v>
      </c>
      <c r="G1343" s="49" t="s">
        <v>179</v>
      </c>
      <c r="H1343" s="48" t="s">
        <v>178</v>
      </c>
      <c r="I1343" s="48">
        <v>1</v>
      </c>
      <c r="J1343" s="48">
        <v>20</v>
      </c>
      <c r="K1343" s="48">
        <v>1</v>
      </c>
      <c r="N1343" s="48">
        <v>0</v>
      </c>
      <c r="R1343" s="49"/>
      <c r="S1343" s="49"/>
      <c r="T1343" s="49">
        <v>46538</v>
      </c>
      <c r="U1343" s="49">
        <v>46538</v>
      </c>
      <c r="V1343" s="49">
        <v>46538</v>
      </c>
      <c r="W1343" s="49">
        <v>46538</v>
      </c>
      <c r="X1343" s="48">
        <v>1</v>
      </c>
      <c r="Y1343" s="48">
        <v>1</v>
      </c>
      <c r="Z1343" s="48">
        <v>1</v>
      </c>
      <c r="AA1343" s="156">
        <v>1279929298.8766327</v>
      </c>
      <c r="AF1343" s="48">
        <v>0</v>
      </c>
      <c r="AG1343" s="49" t="s">
        <v>41</v>
      </c>
      <c r="AH1343" s="48">
        <v>1</v>
      </c>
      <c r="AI1343" s="48" t="s">
        <v>33</v>
      </c>
      <c r="AJ1343" s="48" t="s">
        <v>33</v>
      </c>
      <c r="AK1343" s="48" t="s">
        <v>33</v>
      </c>
      <c r="AL1343" s="48" t="s">
        <v>34</v>
      </c>
      <c r="AN1343" s="48">
        <v>0</v>
      </c>
      <c r="AO1343" s="48">
        <v>0</v>
      </c>
      <c r="AP1343" s="48">
        <v>0</v>
      </c>
      <c r="AQ1343" s="48">
        <v>0</v>
      </c>
      <c r="AR1343" s="48">
        <v>0</v>
      </c>
      <c r="AS1343" s="48">
        <v>0</v>
      </c>
      <c r="AT1343" s="48">
        <v>0</v>
      </c>
      <c r="AU1343" s="48">
        <v>0</v>
      </c>
      <c r="AV1343" s="48">
        <v>0</v>
      </c>
      <c r="AW1343" s="48">
        <v>0</v>
      </c>
      <c r="AX1343" s="48">
        <v>0</v>
      </c>
      <c r="AY1343" s="48">
        <v>0</v>
      </c>
      <c r="AZ1343" s="48">
        <v>0</v>
      </c>
      <c r="BA1343" s="48">
        <v>0</v>
      </c>
      <c r="BB1343" s="48">
        <v>0</v>
      </c>
    </row>
    <row r="1344" spans="1:54" x14ac:dyDescent="0.35">
      <c r="A1344" s="49">
        <v>45930</v>
      </c>
      <c r="B1344" s="48">
        <v>1</v>
      </c>
      <c r="C1344" s="50" t="s">
        <v>41</v>
      </c>
      <c r="D1344" s="48" t="s">
        <v>31</v>
      </c>
      <c r="E1344" s="48" t="s">
        <v>138</v>
      </c>
      <c r="F1344" s="48" t="s">
        <v>139</v>
      </c>
      <c r="G1344" s="49" t="s">
        <v>179</v>
      </c>
      <c r="H1344" s="48" t="s">
        <v>178</v>
      </c>
      <c r="I1344" s="48">
        <v>1</v>
      </c>
      <c r="J1344" s="48">
        <v>21</v>
      </c>
      <c r="K1344" s="48">
        <v>1</v>
      </c>
      <c r="N1344" s="48">
        <v>0</v>
      </c>
      <c r="R1344" s="49"/>
      <c r="S1344" s="49"/>
      <c r="T1344" s="49">
        <v>46568</v>
      </c>
      <c r="U1344" s="49">
        <v>46568</v>
      </c>
      <c r="V1344" s="49">
        <v>46568</v>
      </c>
      <c r="W1344" s="49">
        <v>46568</v>
      </c>
      <c r="X1344" s="48">
        <v>1</v>
      </c>
      <c r="Y1344" s="48">
        <v>1</v>
      </c>
      <c r="Z1344" s="48">
        <v>1</v>
      </c>
      <c r="AA1344" s="156">
        <v>1260243354.937027</v>
      </c>
      <c r="AF1344" s="48">
        <v>0</v>
      </c>
      <c r="AG1344" s="49" t="s">
        <v>41</v>
      </c>
      <c r="AH1344" s="48">
        <v>1</v>
      </c>
      <c r="AI1344" s="48" t="s">
        <v>33</v>
      </c>
      <c r="AJ1344" s="48" t="s">
        <v>33</v>
      </c>
      <c r="AK1344" s="48" t="s">
        <v>33</v>
      </c>
      <c r="AL1344" s="48" t="s">
        <v>34</v>
      </c>
      <c r="AN1344" s="48">
        <v>0</v>
      </c>
      <c r="AO1344" s="48">
        <v>0</v>
      </c>
      <c r="AP1344" s="48">
        <v>0</v>
      </c>
      <c r="AQ1344" s="48">
        <v>0</v>
      </c>
      <c r="AR1344" s="48">
        <v>0</v>
      </c>
      <c r="AS1344" s="48">
        <v>0</v>
      </c>
      <c r="AT1344" s="48">
        <v>0</v>
      </c>
      <c r="AU1344" s="48">
        <v>0</v>
      </c>
      <c r="AV1344" s="48">
        <v>0</v>
      </c>
      <c r="AW1344" s="48">
        <v>0</v>
      </c>
      <c r="AX1344" s="48">
        <v>0</v>
      </c>
      <c r="AY1344" s="48">
        <v>0</v>
      </c>
      <c r="AZ1344" s="48">
        <v>0</v>
      </c>
      <c r="BA1344" s="48">
        <v>0</v>
      </c>
      <c r="BB1344" s="48">
        <v>0</v>
      </c>
    </row>
    <row r="1345" spans="1:54" x14ac:dyDescent="0.35">
      <c r="A1345" s="49">
        <v>45930</v>
      </c>
      <c r="B1345" s="48">
        <v>1</v>
      </c>
      <c r="C1345" s="50" t="s">
        <v>41</v>
      </c>
      <c r="D1345" s="48" t="s">
        <v>31</v>
      </c>
      <c r="E1345" s="48" t="s">
        <v>138</v>
      </c>
      <c r="F1345" s="48" t="s">
        <v>139</v>
      </c>
      <c r="G1345" s="49" t="s">
        <v>179</v>
      </c>
      <c r="H1345" s="48" t="s">
        <v>178</v>
      </c>
      <c r="I1345" s="48">
        <v>1</v>
      </c>
      <c r="J1345" s="48">
        <v>22</v>
      </c>
      <c r="K1345" s="48">
        <v>1</v>
      </c>
      <c r="N1345" s="48">
        <v>0</v>
      </c>
      <c r="R1345" s="49"/>
      <c r="S1345" s="49"/>
      <c r="T1345" s="49">
        <v>46599</v>
      </c>
      <c r="U1345" s="49">
        <v>46599</v>
      </c>
      <c r="V1345" s="49">
        <v>46599</v>
      </c>
      <c r="W1345" s="49">
        <v>46599</v>
      </c>
      <c r="X1345" s="48">
        <v>1</v>
      </c>
      <c r="Y1345" s="48">
        <v>1</v>
      </c>
      <c r="Z1345" s="48">
        <v>1</v>
      </c>
      <c r="AA1345" s="156">
        <v>1240860190.5252228</v>
      </c>
      <c r="AF1345" s="48">
        <v>0</v>
      </c>
      <c r="AG1345" s="49" t="s">
        <v>41</v>
      </c>
      <c r="AH1345" s="48">
        <v>1</v>
      </c>
      <c r="AI1345" s="48" t="s">
        <v>33</v>
      </c>
      <c r="AJ1345" s="48" t="s">
        <v>33</v>
      </c>
      <c r="AK1345" s="48" t="s">
        <v>33</v>
      </c>
      <c r="AL1345" s="48" t="s">
        <v>34</v>
      </c>
      <c r="AN1345" s="48">
        <v>0</v>
      </c>
      <c r="AO1345" s="48">
        <v>0</v>
      </c>
      <c r="AP1345" s="48">
        <v>0</v>
      </c>
      <c r="AQ1345" s="48">
        <v>0</v>
      </c>
      <c r="AR1345" s="48">
        <v>0</v>
      </c>
      <c r="AS1345" s="48">
        <v>0</v>
      </c>
      <c r="AT1345" s="48">
        <v>0</v>
      </c>
      <c r="AU1345" s="48">
        <v>0</v>
      </c>
      <c r="AV1345" s="48">
        <v>0</v>
      </c>
      <c r="AW1345" s="48">
        <v>0</v>
      </c>
      <c r="AX1345" s="48">
        <v>0</v>
      </c>
      <c r="AY1345" s="48">
        <v>0</v>
      </c>
      <c r="AZ1345" s="48">
        <v>0</v>
      </c>
      <c r="BA1345" s="48">
        <v>0</v>
      </c>
      <c r="BB1345" s="48">
        <v>0</v>
      </c>
    </row>
    <row r="1346" spans="1:54" x14ac:dyDescent="0.35">
      <c r="A1346" s="49">
        <v>45930</v>
      </c>
      <c r="B1346" s="48">
        <v>1</v>
      </c>
      <c r="C1346" s="50" t="s">
        <v>41</v>
      </c>
      <c r="D1346" s="48" t="s">
        <v>31</v>
      </c>
      <c r="E1346" s="48" t="s">
        <v>138</v>
      </c>
      <c r="F1346" s="48" t="s">
        <v>139</v>
      </c>
      <c r="G1346" s="49" t="s">
        <v>179</v>
      </c>
      <c r="H1346" s="48" t="s">
        <v>178</v>
      </c>
      <c r="I1346" s="48">
        <v>1</v>
      </c>
      <c r="J1346" s="48">
        <v>23</v>
      </c>
      <c r="K1346" s="48">
        <v>1</v>
      </c>
      <c r="N1346" s="48">
        <v>0</v>
      </c>
      <c r="R1346" s="49"/>
      <c r="S1346" s="49"/>
      <c r="T1346" s="49">
        <v>46630</v>
      </c>
      <c r="U1346" s="49">
        <v>46630</v>
      </c>
      <c r="V1346" s="49">
        <v>46630</v>
      </c>
      <c r="W1346" s="49">
        <v>46630</v>
      </c>
      <c r="X1346" s="48">
        <v>1</v>
      </c>
      <c r="Y1346" s="48">
        <v>1</v>
      </c>
      <c r="Z1346" s="48">
        <v>1</v>
      </c>
      <c r="AA1346" s="156">
        <v>1221775148.7428131</v>
      </c>
      <c r="AF1346" s="48">
        <v>0</v>
      </c>
      <c r="AG1346" s="49" t="s">
        <v>41</v>
      </c>
      <c r="AH1346" s="48">
        <v>1</v>
      </c>
      <c r="AI1346" s="48" t="s">
        <v>33</v>
      </c>
      <c r="AJ1346" s="48" t="s">
        <v>33</v>
      </c>
      <c r="AK1346" s="48" t="s">
        <v>33</v>
      </c>
      <c r="AL1346" s="48" t="s">
        <v>34</v>
      </c>
      <c r="AN1346" s="48">
        <v>0</v>
      </c>
      <c r="AO1346" s="48">
        <v>0</v>
      </c>
      <c r="AP1346" s="48">
        <v>0</v>
      </c>
      <c r="AQ1346" s="48">
        <v>0</v>
      </c>
      <c r="AR1346" s="48">
        <v>0</v>
      </c>
      <c r="AS1346" s="48">
        <v>0</v>
      </c>
      <c r="AT1346" s="48">
        <v>0</v>
      </c>
      <c r="AU1346" s="48">
        <v>0</v>
      </c>
      <c r="AV1346" s="48">
        <v>0</v>
      </c>
      <c r="AW1346" s="48">
        <v>0</v>
      </c>
      <c r="AX1346" s="48">
        <v>0</v>
      </c>
      <c r="AY1346" s="48">
        <v>0</v>
      </c>
      <c r="AZ1346" s="48">
        <v>0</v>
      </c>
      <c r="BA1346" s="48">
        <v>0</v>
      </c>
      <c r="BB1346" s="48">
        <v>0</v>
      </c>
    </row>
    <row r="1347" spans="1:54" x14ac:dyDescent="0.35">
      <c r="A1347" s="49">
        <v>45930</v>
      </c>
      <c r="B1347" s="48">
        <v>1</v>
      </c>
      <c r="C1347" s="50" t="s">
        <v>41</v>
      </c>
      <c r="D1347" s="48" t="s">
        <v>31</v>
      </c>
      <c r="E1347" s="48" t="s">
        <v>138</v>
      </c>
      <c r="F1347" s="48" t="s">
        <v>139</v>
      </c>
      <c r="G1347" s="49" t="s">
        <v>179</v>
      </c>
      <c r="H1347" s="48" t="s">
        <v>178</v>
      </c>
      <c r="I1347" s="48">
        <v>1</v>
      </c>
      <c r="J1347" s="48">
        <v>24</v>
      </c>
      <c r="K1347" s="48">
        <v>1</v>
      </c>
      <c r="N1347" s="48">
        <v>0</v>
      </c>
      <c r="R1347" s="49"/>
      <c r="S1347" s="49"/>
      <c r="T1347" s="49">
        <v>46660</v>
      </c>
      <c r="U1347" s="49">
        <v>46660</v>
      </c>
      <c r="V1347" s="49">
        <v>46660</v>
      </c>
      <c r="W1347" s="49">
        <v>46660</v>
      </c>
      <c r="X1347" s="48">
        <v>1</v>
      </c>
      <c r="Y1347" s="48">
        <v>1</v>
      </c>
      <c r="Z1347" s="48">
        <v>1</v>
      </c>
      <c r="AA1347" s="156">
        <v>1202983644.3166809</v>
      </c>
      <c r="AF1347" s="48">
        <v>0</v>
      </c>
      <c r="AG1347" s="49" t="s">
        <v>41</v>
      </c>
      <c r="AH1347" s="48">
        <v>1</v>
      </c>
      <c r="AI1347" s="48" t="s">
        <v>33</v>
      </c>
      <c r="AJ1347" s="48" t="s">
        <v>33</v>
      </c>
      <c r="AK1347" s="48" t="s">
        <v>33</v>
      </c>
      <c r="AL1347" s="48" t="s">
        <v>34</v>
      </c>
      <c r="AN1347" s="48">
        <v>0</v>
      </c>
      <c r="AO1347" s="48">
        <v>0</v>
      </c>
      <c r="AP1347" s="48">
        <v>0</v>
      </c>
      <c r="AQ1347" s="48">
        <v>0</v>
      </c>
      <c r="AR1347" s="48">
        <v>0</v>
      </c>
      <c r="AS1347" s="48">
        <v>0</v>
      </c>
      <c r="AT1347" s="48">
        <v>0</v>
      </c>
      <c r="AU1347" s="48">
        <v>0</v>
      </c>
      <c r="AV1347" s="48">
        <v>0</v>
      </c>
      <c r="AW1347" s="48">
        <v>0</v>
      </c>
      <c r="AX1347" s="48">
        <v>0</v>
      </c>
      <c r="AY1347" s="48">
        <v>0</v>
      </c>
      <c r="AZ1347" s="48">
        <v>0</v>
      </c>
      <c r="BA1347" s="48">
        <v>0</v>
      </c>
      <c r="BB1347" s="48">
        <v>0</v>
      </c>
    </row>
    <row r="1348" spans="1:54" x14ac:dyDescent="0.35">
      <c r="A1348" s="49">
        <v>45930</v>
      </c>
      <c r="B1348" s="48">
        <v>1</v>
      </c>
      <c r="C1348" s="50" t="s">
        <v>41</v>
      </c>
      <c r="D1348" s="48" t="s">
        <v>31</v>
      </c>
      <c r="E1348" s="48" t="s">
        <v>138</v>
      </c>
      <c r="F1348" s="48" t="s">
        <v>139</v>
      </c>
      <c r="G1348" s="49" t="s">
        <v>179</v>
      </c>
      <c r="H1348" s="48" t="s">
        <v>178</v>
      </c>
      <c r="I1348" s="48">
        <v>1</v>
      </c>
      <c r="J1348" s="48">
        <v>25</v>
      </c>
      <c r="K1348" s="48">
        <v>1</v>
      </c>
      <c r="N1348" s="48">
        <v>0</v>
      </c>
      <c r="R1348" s="49"/>
      <c r="S1348" s="49"/>
      <c r="T1348" s="49">
        <v>46691</v>
      </c>
      <c r="U1348" s="49">
        <v>46691</v>
      </c>
      <c r="V1348" s="49">
        <v>46691</v>
      </c>
      <c r="W1348" s="49">
        <v>46691</v>
      </c>
      <c r="X1348" s="48">
        <v>1</v>
      </c>
      <c r="Y1348" s="48">
        <v>1</v>
      </c>
      <c r="Z1348" s="48">
        <v>1</v>
      </c>
      <c r="AA1348" s="156">
        <v>1184481162.4974976</v>
      </c>
      <c r="AF1348" s="48">
        <v>0</v>
      </c>
      <c r="AG1348" s="49" t="s">
        <v>41</v>
      </c>
      <c r="AH1348" s="48">
        <v>1</v>
      </c>
      <c r="AI1348" s="48" t="s">
        <v>33</v>
      </c>
      <c r="AJ1348" s="48" t="s">
        <v>33</v>
      </c>
      <c r="AK1348" s="48" t="s">
        <v>33</v>
      </c>
      <c r="AL1348" s="48" t="s">
        <v>34</v>
      </c>
      <c r="AN1348" s="48">
        <v>0</v>
      </c>
      <c r="AO1348" s="48">
        <v>0</v>
      </c>
      <c r="AP1348" s="48">
        <v>0</v>
      </c>
      <c r="AQ1348" s="48">
        <v>0</v>
      </c>
      <c r="AR1348" s="48">
        <v>0</v>
      </c>
      <c r="AS1348" s="48">
        <v>0</v>
      </c>
      <c r="AT1348" s="48">
        <v>0</v>
      </c>
      <c r="AU1348" s="48">
        <v>0</v>
      </c>
      <c r="AV1348" s="48">
        <v>0</v>
      </c>
      <c r="AW1348" s="48">
        <v>0</v>
      </c>
      <c r="AX1348" s="48">
        <v>0</v>
      </c>
      <c r="AY1348" s="48">
        <v>0</v>
      </c>
      <c r="AZ1348" s="48">
        <v>0</v>
      </c>
      <c r="BA1348" s="48">
        <v>0</v>
      </c>
      <c r="BB1348" s="48">
        <v>0</v>
      </c>
    </row>
    <row r="1349" spans="1:54" x14ac:dyDescent="0.35">
      <c r="A1349" s="49">
        <v>45930</v>
      </c>
      <c r="B1349" s="48">
        <v>1</v>
      </c>
      <c r="C1349" s="50" t="s">
        <v>41</v>
      </c>
      <c r="D1349" s="48" t="s">
        <v>31</v>
      </c>
      <c r="E1349" s="48" t="s">
        <v>138</v>
      </c>
      <c r="F1349" s="48" t="s">
        <v>139</v>
      </c>
      <c r="G1349" s="49" t="s">
        <v>179</v>
      </c>
      <c r="H1349" s="48" t="s">
        <v>178</v>
      </c>
      <c r="I1349" s="48">
        <v>1</v>
      </c>
      <c r="J1349" s="48">
        <v>26</v>
      </c>
      <c r="K1349" s="48">
        <v>1</v>
      </c>
      <c r="N1349" s="48">
        <v>0</v>
      </c>
      <c r="R1349" s="49"/>
      <c r="S1349" s="49"/>
      <c r="T1349" s="49">
        <v>46721</v>
      </c>
      <c r="U1349" s="49">
        <v>46721</v>
      </c>
      <c r="V1349" s="49">
        <v>46721</v>
      </c>
      <c r="W1349" s="49">
        <v>46721</v>
      </c>
      <c r="X1349" s="48">
        <v>1</v>
      </c>
      <c r="Y1349" s="48">
        <v>1</v>
      </c>
      <c r="Z1349" s="48">
        <v>1</v>
      </c>
      <c r="AA1349" s="156">
        <v>1166263257.9749908</v>
      </c>
      <c r="AF1349" s="48">
        <v>0</v>
      </c>
      <c r="AG1349" s="49" t="s">
        <v>41</v>
      </c>
      <c r="AH1349" s="48">
        <v>1</v>
      </c>
      <c r="AI1349" s="48" t="s">
        <v>33</v>
      </c>
      <c r="AJ1349" s="48" t="s">
        <v>33</v>
      </c>
      <c r="AK1349" s="48" t="s">
        <v>33</v>
      </c>
      <c r="AL1349" s="48" t="s">
        <v>34</v>
      </c>
      <c r="AN1349" s="48">
        <v>0</v>
      </c>
      <c r="AO1349" s="48">
        <v>0</v>
      </c>
      <c r="AP1349" s="48">
        <v>0</v>
      </c>
      <c r="AQ1349" s="48">
        <v>0</v>
      </c>
      <c r="AR1349" s="48">
        <v>0</v>
      </c>
      <c r="AS1349" s="48">
        <v>0</v>
      </c>
      <c r="AT1349" s="48">
        <v>0</v>
      </c>
      <c r="AU1349" s="48">
        <v>0</v>
      </c>
      <c r="AV1349" s="48">
        <v>0</v>
      </c>
      <c r="AW1349" s="48">
        <v>0</v>
      </c>
      <c r="AX1349" s="48">
        <v>0</v>
      </c>
      <c r="AY1349" s="48">
        <v>0</v>
      </c>
      <c r="AZ1349" s="48">
        <v>0</v>
      </c>
      <c r="BA1349" s="48">
        <v>0</v>
      </c>
      <c r="BB1349" s="48">
        <v>0</v>
      </c>
    </row>
    <row r="1350" spans="1:54" x14ac:dyDescent="0.35">
      <c r="A1350" s="49">
        <v>45930</v>
      </c>
      <c r="B1350" s="48">
        <v>1</v>
      </c>
      <c r="C1350" s="50" t="s">
        <v>41</v>
      </c>
      <c r="D1350" s="48" t="s">
        <v>31</v>
      </c>
      <c r="E1350" s="48" t="s">
        <v>138</v>
      </c>
      <c r="F1350" s="48" t="s">
        <v>139</v>
      </c>
      <c r="G1350" s="49" t="s">
        <v>179</v>
      </c>
      <c r="H1350" s="48" t="s">
        <v>178</v>
      </c>
      <c r="I1350" s="48">
        <v>1</v>
      </c>
      <c r="J1350" s="48">
        <v>27</v>
      </c>
      <c r="K1350" s="48">
        <v>1</v>
      </c>
      <c r="N1350" s="48">
        <v>0</v>
      </c>
      <c r="R1350" s="49"/>
      <c r="S1350" s="49"/>
      <c r="T1350" s="49">
        <v>46752</v>
      </c>
      <c r="U1350" s="49">
        <v>46752</v>
      </c>
      <c r="V1350" s="49">
        <v>46752</v>
      </c>
      <c r="W1350" s="49">
        <v>46752</v>
      </c>
      <c r="X1350" s="48">
        <v>1</v>
      </c>
      <c r="Y1350" s="48">
        <v>1</v>
      </c>
      <c r="Z1350" s="48">
        <v>1</v>
      </c>
      <c r="AA1350" s="156">
        <v>1148325553.8099976</v>
      </c>
      <c r="AF1350" s="48">
        <v>0</v>
      </c>
      <c r="AG1350" s="49" t="s">
        <v>41</v>
      </c>
      <c r="AH1350" s="48">
        <v>1</v>
      </c>
      <c r="AI1350" s="48" t="s">
        <v>33</v>
      </c>
      <c r="AJ1350" s="48" t="s">
        <v>33</v>
      </c>
      <c r="AK1350" s="48" t="s">
        <v>33</v>
      </c>
      <c r="AL1350" s="48" t="s">
        <v>34</v>
      </c>
      <c r="AN1350" s="48">
        <v>0</v>
      </c>
      <c r="AO1350" s="48">
        <v>0</v>
      </c>
      <c r="AP1350" s="48">
        <v>0</v>
      </c>
      <c r="AQ1350" s="48">
        <v>0</v>
      </c>
      <c r="AR1350" s="48">
        <v>0</v>
      </c>
      <c r="AS1350" s="48">
        <v>0</v>
      </c>
      <c r="AT1350" s="48">
        <v>0</v>
      </c>
      <c r="AU1350" s="48">
        <v>0</v>
      </c>
      <c r="AV1350" s="48">
        <v>0</v>
      </c>
      <c r="AW1350" s="48">
        <v>0</v>
      </c>
      <c r="AX1350" s="48">
        <v>0</v>
      </c>
      <c r="AY1350" s="48">
        <v>0</v>
      </c>
      <c r="AZ1350" s="48">
        <v>0</v>
      </c>
      <c r="BA1350" s="48">
        <v>0</v>
      </c>
      <c r="BB1350" s="48">
        <v>0</v>
      </c>
    </row>
    <row r="1351" spans="1:54" x14ac:dyDescent="0.35">
      <c r="A1351" s="49">
        <v>45930</v>
      </c>
      <c r="B1351" s="48">
        <v>1</v>
      </c>
      <c r="C1351" s="50" t="s">
        <v>41</v>
      </c>
      <c r="D1351" s="48" t="s">
        <v>31</v>
      </c>
      <c r="E1351" s="48" t="s">
        <v>138</v>
      </c>
      <c r="F1351" s="48" t="s">
        <v>139</v>
      </c>
      <c r="G1351" s="49" t="s">
        <v>179</v>
      </c>
      <c r="H1351" s="48" t="s">
        <v>178</v>
      </c>
      <c r="I1351" s="48">
        <v>1</v>
      </c>
      <c r="J1351" s="48">
        <v>28</v>
      </c>
      <c r="K1351" s="48">
        <v>1</v>
      </c>
      <c r="N1351" s="48">
        <v>0</v>
      </c>
      <c r="R1351" s="49"/>
      <c r="S1351" s="49"/>
      <c r="T1351" s="49">
        <v>46783</v>
      </c>
      <c r="U1351" s="49">
        <v>46783</v>
      </c>
      <c r="V1351" s="49">
        <v>46783</v>
      </c>
      <c r="W1351" s="49">
        <v>46783</v>
      </c>
      <c r="X1351" s="48">
        <v>1</v>
      </c>
      <c r="Y1351" s="48">
        <v>1</v>
      </c>
      <c r="Z1351" s="48">
        <v>1</v>
      </c>
      <c r="AA1351" s="156">
        <v>1130663740.3828278</v>
      </c>
      <c r="AF1351" s="48">
        <v>0</v>
      </c>
      <c r="AG1351" s="49" t="s">
        <v>41</v>
      </c>
      <c r="AH1351" s="48">
        <v>1</v>
      </c>
      <c r="AI1351" s="48" t="s">
        <v>33</v>
      </c>
      <c r="AJ1351" s="48" t="s">
        <v>33</v>
      </c>
      <c r="AK1351" s="48" t="s">
        <v>33</v>
      </c>
      <c r="AL1351" s="48" t="s">
        <v>34</v>
      </c>
      <c r="AN1351" s="48">
        <v>0</v>
      </c>
      <c r="AO1351" s="48">
        <v>0</v>
      </c>
      <c r="AP1351" s="48">
        <v>0</v>
      </c>
      <c r="AQ1351" s="48">
        <v>0</v>
      </c>
      <c r="AR1351" s="48">
        <v>0</v>
      </c>
      <c r="AS1351" s="48">
        <v>0</v>
      </c>
      <c r="AT1351" s="48">
        <v>0</v>
      </c>
      <c r="AU1351" s="48">
        <v>0</v>
      </c>
      <c r="AV1351" s="48">
        <v>0</v>
      </c>
      <c r="AW1351" s="48">
        <v>0</v>
      </c>
      <c r="AX1351" s="48">
        <v>0</v>
      </c>
      <c r="AY1351" s="48">
        <v>0</v>
      </c>
      <c r="AZ1351" s="48">
        <v>0</v>
      </c>
      <c r="BA1351" s="48">
        <v>0</v>
      </c>
      <c r="BB1351" s="48">
        <v>0</v>
      </c>
    </row>
    <row r="1352" spans="1:54" x14ac:dyDescent="0.35">
      <c r="A1352" s="49">
        <v>45930</v>
      </c>
      <c r="B1352" s="48">
        <v>1</v>
      </c>
      <c r="C1352" s="50" t="s">
        <v>41</v>
      </c>
      <c r="D1352" s="48" t="s">
        <v>31</v>
      </c>
      <c r="E1352" s="48" t="s">
        <v>138</v>
      </c>
      <c r="F1352" s="48" t="s">
        <v>139</v>
      </c>
      <c r="G1352" s="49" t="s">
        <v>179</v>
      </c>
      <c r="H1352" s="48" t="s">
        <v>178</v>
      </c>
      <c r="I1352" s="48">
        <v>1</v>
      </c>
      <c r="J1352" s="48">
        <v>29</v>
      </c>
      <c r="K1352" s="48">
        <v>1</v>
      </c>
      <c r="N1352" s="48">
        <v>0</v>
      </c>
      <c r="R1352" s="49"/>
      <c r="S1352" s="49"/>
      <c r="T1352" s="49">
        <v>46812</v>
      </c>
      <c r="U1352" s="49">
        <v>46812</v>
      </c>
      <c r="V1352" s="49">
        <v>46812</v>
      </c>
      <c r="W1352" s="49">
        <v>46812</v>
      </c>
      <c r="X1352" s="48">
        <v>1</v>
      </c>
      <c r="Y1352" s="48">
        <v>1</v>
      </c>
      <c r="Z1352" s="48">
        <v>1</v>
      </c>
      <c r="AA1352" s="156">
        <v>1113273574.3578033</v>
      </c>
      <c r="AF1352" s="48">
        <v>0</v>
      </c>
      <c r="AG1352" s="49" t="s">
        <v>41</v>
      </c>
      <c r="AH1352" s="48">
        <v>1</v>
      </c>
      <c r="AI1352" s="48" t="s">
        <v>33</v>
      </c>
      <c r="AJ1352" s="48" t="s">
        <v>33</v>
      </c>
      <c r="AK1352" s="48" t="s">
        <v>33</v>
      </c>
      <c r="AL1352" s="48" t="s">
        <v>34</v>
      </c>
      <c r="AN1352" s="48">
        <v>0</v>
      </c>
      <c r="AO1352" s="48">
        <v>0</v>
      </c>
      <c r="AP1352" s="48">
        <v>0</v>
      </c>
      <c r="AQ1352" s="48">
        <v>0</v>
      </c>
      <c r="AR1352" s="48">
        <v>0</v>
      </c>
      <c r="AS1352" s="48">
        <v>0</v>
      </c>
      <c r="AT1352" s="48">
        <v>0</v>
      </c>
      <c r="AU1352" s="48">
        <v>0</v>
      </c>
      <c r="AV1352" s="48">
        <v>0</v>
      </c>
      <c r="AW1352" s="48">
        <v>0</v>
      </c>
      <c r="AX1352" s="48">
        <v>0</v>
      </c>
      <c r="AY1352" s="48">
        <v>0</v>
      </c>
      <c r="AZ1352" s="48">
        <v>0</v>
      </c>
      <c r="BA1352" s="48">
        <v>0</v>
      </c>
      <c r="BB1352" s="48">
        <v>0</v>
      </c>
    </row>
    <row r="1353" spans="1:54" x14ac:dyDescent="0.35">
      <c r="A1353" s="49">
        <v>45930</v>
      </c>
      <c r="B1353" s="48">
        <v>1</v>
      </c>
      <c r="C1353" s="50" t="s">
        <v>41</v>
      </c>
      <c r="D1353" s="48" t="s">
        <v>31</v>
      </c>
      <c r="E1353" s="48" t="s">
        <v>138</v>
      </c>
      <c r="F1353" s="48" t="s">
        <v>139</v>
      </c>
      <c r="G1353" s="49" t="s">
        <v>179</v>
      </c>
      <c r="H1353" s="48" t="s">
        <v>178</v>
      </c>
      <c r="I1353" s="48">
        <v>1</v>
      </c>
      <c r="J1353" s="48">
        <v>30</v>
      </c>
      <c r="K1353" s="48">
        <v>1</v>
      </c>
      <c r="N1353" s="48">
        <v>0</v>
      </c>
      <c r="R1353" s="49"/>
      <c r="S1353" s="49"/>
      <c r="T1353" s="49">
        <v>46843</v>
      </c>
      <c r="U1353" s="49">
        <v>46843</v>
      </c>
      <c r="V1353" s="49">
        <v>46843</v>
      </c>
      <c r="W1353" s="49">
        <v>46843</v>
      </c>
      <c r="X1353" s="48">
        <v>1</v>
      </c>
      <c r="Y1353" s="48">
        <v>1</v>
      </c>
      <c r="Z1353" s="48">
        <v>1</v>
      </c>
      <c r="AA1353" s="156">
        <v>1096150877.6639252</v>
      </c>
      <c r="AF1353" s="48">
        <v>0</v>
      </c>
      <c r="AG1353" s="49" t="s">
        <v>41</v>
      </c>
      <c r="AH1353" s="48">
        <v>1</v>
      </c>
      <c r="AI1353" s="48" t="s">
        <v>33</v>
      </c>
      <c r="AJ1353" s="48" t="s">
        <v>33</v>
      </c>
      <c r="AK1353" s="48" t="s">
        <v>33</v>
      </c>
      <c r="AL1353" s="48" t="s">
        <v>34</v>
      </c>
      <c r="AN1353" s="48">
        <v>0</v>
      </c>
      <c r="AO1353" s="48">
        <v>0</v>
      </c>
      <c r="AP1353" s="48">
        <v>0</v>
      </c>
      <c r="AQ1353" s="48">
        <v>0</v>
      </c>
      <c r="AR1353" s="48">
        <v>0</v>
      </c>
      <c r="AS1353" s="48">
        <v>0</v>
      </c>
      <c r="AT1353" s="48">
        <v>0</v>
      </c>
      <c r="AU1353" s="48">
        <v>0</v>
      </c>
      <c r="AV1353" s="48">
        <v>0</v>
      </c>
      <c r="AW1353" s="48">
        <v>0</v>
      </c>
      <c r="AX1353" s="48">
        <v>0</v>
      </c>
      <c r="AY1353" s="48">
        <v>0</v>
      </c>
      <c r="AZ1353" s="48">
        <v>0</v>
      </c>
      <c r="BA1353" s="48">
        <v>0</v>
      </c>
      <c r="BB1353" s="48">
        <v>0</v>
      </c>
    </row>
    <row r="1354" spans="1:54" x14ac:dyDescent="0.35">
      <c r="A1354" s="49">
        <v>45930</v>
      </c>
      <c r="B1354" s="48">
        <v>1</v>
      </c>
      <c r="C1354" s="50" t="s">
        <v>41</v>
      </c>
      <c r="D1354" s="48" t="s">
        <v>31</v>
      </c>
      <c r="E1354" s="48" t="s">
        <v>138</v>
      </c>
      <c r="F1354" s="48" t="s">
        <v>139</v>
      </c>
      <c r="G1354" s="49" t="s">
        <v>179</v>
      </c>
      <c r="H1354" s="48" t="s">
        <v>178</v>
      </c>
      <c r="I1354" s="48">
        <v>1</v>
      </c>
      <c r="J1354" s="48">
        <v>31</v>
      </c>
      <c r="K1354" s="48">
        <v>1</v>
      </c>
      <c r="N1354" s="48">
        <v>0</v>
      </c>
      <c r="R1354" s="49"/>
      <c r="S1354" s="49"/>
      <c r="T1354" s="49">
        <v>46873</v>
      </c>
      <c r="U1354" s="49">
        <v>46873</v>
      </c>
      <c r="V1354" s="49">
        <v>46873</v>
      </c>
      <c r="W1354" s="49">
        <v>46873</v>
      </c>
      <c r="X1354" s="48">
        <v>1</v>
      </c>
      <c r="Y1354" s="48">
        <v>1</v>
      </c>
      <c r="Z1354" s="48">
        <v>1</v>
      </c>
      <c r="AA1354" s="156">
        <v>1079291536.4909363</v>
      </c>
      <c r="AF1354" s="48">
        <v>0</v>
      </c>
      <c r="AG1354" s="49" t="s">
        <v>41</v>
      </c>
      <c r="AH1354" s="48">
        <v>1</v>
      </c>
      <c r="AI1354" s="48" t="s">
        <v>33</v>
      </c>
      <c r="AJ1354" s="48" t="s">
        <v>33</v>
      </c>
      <c r="AK1354" s="48" t="s">
        <v>33</v>
      </c>
      <c r="AL1354" s="48" t="s">
        <v>34</v>
      </c>
      <c r="AN1354" s="48">
        <v>0</v>
      </c>
      <c r="AO1354" s="48">
        <v>0</v>
      </c>
      <c r="AP1354" s="48">
        <v>0</v>
      </c>
      <c r="AQ1354" s="48">
        <v>0</v>
      </c>
      <c r="AR1354" s="48">
        <v>0</v>
      </c>
      <c r="AS1354" s="48">
        <v>0</v>
      </c>
      <c r="AT1354" s="48">
        <v>0</v>
      </c>
      <c r="AU1354" s="48">
        <v>0</v>
      </c>
      <c r="AV1354" s="48">
        <v>0</v>
      </c>
      <c r="AW1354" s="48">
        <v>0</v>
      </c>
      <c r="AX1354" s="48">
        <v>0</v>
      </c>
      <c r="AY1354" s="48">
        <v>0</v>
      </c>
      <c r="AZ1354" s="48">
        <v>0</v>
      </c>
      <c r="BA1354" s="48">
        <v>0</v>
      </c>
      <c r="BB1354" s="48">
        <v>0</v>
      </c>
    </row>
    <row r="1355" spans="1:54" x14ac:dyDescent="0.35">
      <c r="A1355" s="49">
        <v>45930</v>
      </c>
      <c r="B1355" s="48">
        <v>1</v>
      </c>
      <c r="C1355" s="50" t="s">
        <v>41</v>
      </c>
      <c r="D1355" s="48" t="s">
        <v>31</v>
      </c>
      <c r="E1355" s="48" t="s">
        <v>138</v>
      </c>
      <c r="F1355" s="48" t="s">
        <v>139</v>
      </c>
      <c r="G1355" s="49" t="s">
        <v>179</v>
      </c>
      <c r="H1355" s="48" t="s">
        <v>178</v>
      </c>
      <c r="I1355" s="48">
        <v>1</v>
      </c>
      <c r="J1355" s="48">
        <v>32</v>
      </c>
      <c r="K1355" s="48">
        <v>1</v>
      </c>
      <c r="N1355" s="48">
        <v>0</v>
      </c>
      <c r="R1355" s="49"/>
      <c r="S1355" s="49"/>
      <c r="T1355" s="49">
        <v>46904</v>
      </c>
      <c r="U1355" s="49">
        <v>46904</v>
      </c>
      <c r="V1355" s="49">
        <v>46904</v>
      </c>
      <c r="W1355" s="49">
        <v>46904</v>
      </c>
      <c r="X1355" s="48">
        <v>1</v>
      </c>
      <c r="Y1355" s="48">
        <v>1</v>
      </c>
      <c r="Z1355" s="48">
        <v>1</v>
      </c>
      <c r="AA1355" s="156">
        <v>1062691500.3010101</v>
      </c>
      <c r="AF1355" s="48">
        <v>0</v>
      </c>
      <c r="AG1355" s="49" t="s">
        <v>41</v>
      </c>
      <c r="AH1355" s="48">
        <v>1</v>
      </c>
      <c r="AI1355" s="48" t="s">
        <v>33</v>
      </c>
      <c r="AJ1355" s="48" t="s">
        <v>33</v>
      </c>
      <c r="AK1355" s="48" t="s">
        <v>33</v>
      </c>
      <c r="AL1355" s="48" t="s">
        <v>34</v>
      </c>
      <c r="AN1355" s="48">
        <v>0</v>
      </c>
      <c r="AO1355" s="48">
        <v>0</v>
      </c>
      <c r="AP1355" s="48">
        <v>0</v>
      </c>
      <c r="AQ1355" s="48">
        <v>0</v>
      </c>
      <c r="AR1355" s="48">
        <v>0</v>
      </c>
      <c r="AS1355" s="48">
        <v>0</v>
      </c>
      <c r="AT1355" s="48">
        <v>0</v>
      </c>
      <c r="AU1355" s="48">
        <v>0</v>
      </c>
      <c r="AV1355" s="48">
        <v>0</v>
      </c>
      <c r="AW1355" s="48">
        <v>0</v>
      </c>
      <c r="AX1355" s="48">
        <v>0</v>
      </c>
      <c r="AY1355" s="48">
        <v>0</v>
      </c>
      <c r="AZ1355" s="48">
        <v>0</v>
      </c>
      <c r="BA1355" s="48">
        <v>0</v>
      </c>
      <c r="BB1355" s="48">
        <v>0</v>
      </c>
    </row>
    <row r="1356" spans="1:54" x14ac:dyDescent="0.35">
      <c r="A1356" s="49">
        <v>45930</v>
      </c>
      <c r="B1356" s="48">
        <v>1</v>
      </c>
      <c r="C1356" s="50" t="s">
        <v>41</v>
      </c>
      <c r="D1356" s="48" t="s">
        <v>31</v>
      </c>
      <c r="E1356" s="48" t="s">
        <v>138</v>
      </c>
      <c r="F1356" s="48" t="s">
        <v>139</v>
      </c>
      <c r="G1356" s="49" t="s">
        <v>179</v>
      </c>
      <c r="H1356" s="48" t="s">
        <v>178</v>
      </c>
      <c r="I1356" s="48">
        <v>1</v>
      </c>
      <c r="J1356" s="48">
        <v>33</v>
      </c>
      <c r="K1356" s="48">
        <v>1</v>
      </c>
      <c r="N1356" s="48">
        <v>0</v>
      </c>
      <c r="R1356" s="49"/>
      <c r="S1356" s="49"/>
      <c r="T1356" s="49">
        <v>46934</v>
      </c>
      <c r="U1356" s="49">
        <v>46934</v>
      </c>
      <c r="V1356" s="49">
        <v>46934</v>
      </c>
      <c r="W1356" s="49">
        <v>46934</v>
      </c>
      <c r="X1356" s="48">
        <v>1</v>
      </c>
      <c r="Y1356" s="48">
        <v>1</v>
      </c>
      <c r="Z1356" s="48">
        <v>1</v>
      </c>
      <c r="AA1356" s="156">
        <v>1046346780.8556442</v>
      </c>
      <c r="AF1356" s="48">
        <v>0</v>
      </c>
      <c r="AG1356" s="49" t="s">
        <v>41</v>
      </c>
      <c r="AH1356" s="48">
        <v>1</v>
      </c>
      <c r="AI1356" s="48" t="s">
        <v>33</v>
      </c>
      <c r="AJ1356" s="48" t="s">
        <v>33</v>
      </c>
      <c r="AK1356" s="48" t="s">
        <v>33</v>
      </c>
      <c r="AL1356" s="48" t="s">
        <v>34</v>
      </c>
      <c r="AN1356" s="48">
        <v>0</v>
      </c>
      <c r="AO1356" s="48">
        <v>0</v>
      </c>
      <c r="AP1356" s="48">
        <v>0</v>
      </c>
      <c r="AQ1356" s="48">
        <v>0</v>
      </c>
      <c r="AR1356" s="48">
        <v>0</v>
      </c>
      <c r="AS1356" s="48">
        <v>0</v>
      </c>
      <c r="AT1356" s="48">
        <v>0</v>
      </c>
      <c r="AU1356" s="48">
        <v>0</v>
      </c>
      <c r="AV1356" s="48">
        <v>0</v>
      </c>
      <c r="AW1356" s="48">
        <v>0</v>
      </c>
      <c r="AX1356" s="48">
        <v>0</v>
      </c>
      <c r="AY1356" s="48">
        <v>0</v>
      </c>
      <c r="AZ1356" s="48">
        <v>0</v>
      </c>
      <c r="BA1356" s="48">
        <v>0</v>
      </c>
      <c r="BB1356" s="48">
        <v>0</v>
      </c>
    </row>
    <row r="1357" spans="1:54" x14ac:dyDescent="0.35">
      <c r="A1357" s="49">
        <v>45930</v>
      </c>
      <c r="B1357" s="48">
        <v>1</v>
      </c>
      <c r="C1357" s="50" t="s">
        <v>41</v>
      </c>
      <c r="D1357" s="48" t="s">
        <v>31</v>
      </c>
      <c r="E1357" s="48" t="s">
        <v>138</v>
      </c>
      <c r="F1357" s="48" t="s">
        <v>139</v>
      </c>
      <c r="G1357" s="49" t="s">
        <v>179</v>
      </c>
      <c r="H1357" s="48" t="s">
        <v>178</v>
      </c>
      <c r="I1357" s="48">
        <v>1</v>
      </c>
      <c r="J1357" s="48">
        <v>34</v>
      </c>
      <c r="K1357" s="48">
        <v>1</v>
      </c>
      <c r="N1357" s="48">
        <v>0</v>
      </c>
      <c r="R1357" s="49"/>
      <c r="S1357" s="49"/>
      <c r="T1357" s="49">
        <v>46965</v>
      </c>
      <c r="U1357" s="49">
        <v>46965</v>
      </c>
      <c r="V1357" s="49">
        <v>46965</v>
      </c>
      <c r="W1357" s="49">
        <v>46965</v>
      </c>
      <c r="X1357" s="48">
        <v>1</v>
      </c>
      <c r="Y1357" s="48">
        <v>1</v>
      </c>
      <c r="Z1357" s="48">
        <v>1</v>
      </c>
      <c r="AA1357" s="156">
        <v>1030253451.2573624</v>
      </c>
      <c r="AF1357" s="48">
        <v>0</v>
      </c>
      <c r="AG1357" s="49" t="s">
        <v>41</v>
      </c>
      <c r="AH1357" s="48">
        <v>1</v>
      </c>
      <c r="AI1357" s="48" t="s">
        <v>33</v>
      </c>
      <c r="AJ1357" s="48" t="s">
        <v>33</v>
      </c>
      <c r="AK1357" s="48" t="s">
        <v>33</v>
      </c>
      <c r="AL1357" s="48" t="s">
        <v>34</v>
      </c>
      <c r="AN1357" s="48">
        <v>0</v>
      </c>
      <c r="AO1357" s="48">
        <v>0</v>
      </c>
      <c r="AP1357" s="48">
        <v>0</v>
      </c>
      <c r="AQ1357" s="48">
        <v>0</v>
      </c>
      <c r="AR1357" s="48">
        <v>0</v>
      </c>
      <c r="AS1357" s="48">
        <v>0</v>
      </c>
      <c r="AT1357" s="48">
        <v>0</v>
      </c>
      <c r="AU1357" s="48">
        <v>0</v>
      </c>
      <c r="AV1357" s="48">
        <v>0</v>
      </c>
      <c r="AW1357" s="48">
        <v>0</v>
      </c>
      <c r="AX1357" s="48">
        <v>0</v>
      </c>
      <c r="AY1357" s="48">
        <v>0</v>
      </c>
      <c r="AZ1357" s="48">
        <v>0</v>
      </c>
      <c r="BA1357" s="48">
        <v>0</v>
      </c>
      <c r="BB1357" s="48">
        <v>0</v>
      </c>
    </row>
    <row r="1358" spans="1:54" x14ac:dyDescent="0.35">
      <c r="A1358" s="49">
        <v>45930</v>
      </c>
      <c r="B1358" s="48">
        <v>1</v>
      </c>
      <c r="C1358" s="50" t="s">
        <v>41</v>
      </c>
      <c r="D1358" s="48" t="s">
        <v>31</v>
      </c>
      <c r="E1358" s="48" t="s">
        <v>138</v>
      </c>
      <c r="F1358" s="48" t="s">
        <v>139</v>
      </c>
      <c r="G1358" s="49" t="s">
        <v>179</v>
      </c>
      <c r="H1358" s="48" t="s">
        <v>178</v>
      </c>
      <c r="I1358" s="48">
        <v>1</v>
      </c>
      <c r="J1358" s="48">
        <v>35</v>
      </c>
      <c r="K1358" s="48">
        <v>1</v>
      </c>
      <c r="N1358" s="48">
        <v>0</v>
      </c>
      <c r="R1358" s="49"/>
      <c r="S1358" s="49"/>
      <c r="T1358" s="49">
        <v>46996</v>
      </c>
      <c r="U1358" s="49">
        <v>46996</v>
      </c>
      <c r="V1358" s="49">
        <v>46996</v>
      </c>
      <c r="W1358" s="49">
        <v>46996</v>
      </c>
      <c r="X1358" s="48">
        <v>1</v>
      </c>
      <c r="Y1358" s="48">
        <v>1</v>
      </c>
      <c r="Z1358" s="48">
        <v>1</v>
      </c>
      <c r="AA1358" s="156">
        <v>1014407645.0062714</v>
      </c>
      <c r="AF1358" s="48">
        <v>0</v>
      </c>
      <c r="AG1358" s="49" t="s">
        <v>41</v>
      </c>
      <c r="AH1358" s="48">
        <v>1</v>
      </c>
      <c r="AI1358" s="48" t="s">
        <v>33</v>
      </c>
      <c r="AJ1358" s="48" t="s">
        <v>33</v>
      </c>
      <c r="AK1358" s="48" t="s">
        <v>33</v>
      </c>
      <c r="AL1358" s="48" t="s">
        <v>34</v>
      </c>
      <c r="AN1358" s="48">
        <v>0</v>
      </c>
      <c r="AO1358" s="48">
        <v>0</v>
      </c>
      <c r="AP1358" s="48">
        <v>0</v>
      </c>
      <c r="AQ1358" s="48">
        <v>0</v>
      </c>
      <c r="AR1358" s="48">
        <v>0</v>
      </c>
      <c r="AS1358" s="48">
        <v>0</v>
      </c>
      <c r="AT1358" s="48">
        <v>0</v>
      </c>
      <c r="AU1358" s="48">
        <v>0</v>
      </c>
      <c r="AV1358" s="48">
        <v>0</v>
      </c>
      <c r="AW1358" s="48">
        <v>0</v>
      </c>
      <c r="AX1358" s="48">
        <v>0</v>
      </c>
      <c r="AY1358" s="48">
        <v>0</v>
      </c>
      <c r="AZ1358" s="48">
        <v>0</v>
      </c>
      <c r="BA1358" s="48">
        <v>0</v>
      </c>
      <c r="BB1358" s="48">
        <v>0</v>
      </c>
    </row>
    <row r="1359" spans="1:54" x14ac:dyDescent="0.35">
      <c r="A1359" s="49">
        <v>45930</v>
      </c>
      <c r="B1359" s="48">
        <v>1</v>
      </c>
      <c r="C1359" s="50" t="s">
        <v>41</v>
      </c>
      <c r="D1359" s="48" t="s">
        <v>31</v>
      </c>
      <c r="E1359" s="48" t="s">
        <v>138</v>
      </c>
      <c r="F1359" s="48" t="s">
        <v>139</v>
      </c>
      <c r="G1359" s="49" t="s">
        <v>179</v>
      </c>
      <c r="H1359" s="48" t="s">
        <v>178</v>
      </c>
      <c r="I1359" s="48">
        <v>1</v>
      </c>
      <c r="J1359" s="48">
        <v>36</v>
      </c>
      <c r="K1359" s="48">
        <v>1</v>
      </c>
      <c r="N1359" s="48">
        <v>0</v>
      </c>
      <c r="R1359" s="49"/>
      <c r="S1359" s="49"/>
      <c r="T1359" s="49">
        <v>47026</v>
      </c>
      <c r="U1359" s="49">
        <v>47026</v>
      </c>
      <c r="V1359" s="49">
        <v>47026</v>
      </c>
      <c r="W1359" s="49">
        <v>47026</v>
      </c>
      <c r="X1359" s="48">
        <v>1</v>
      </c>
      <c r="Y1359" s="48">
        <v>1</v>
      </c>
      <c r="Z1359" s="48">
        <v>1</v>
      </c>
      <c r="AA1359" s="156">
        <v>998805555.07128143</v>
      </c>
      <c r="AF1359" s="48">
        <v>0</v>
      </c>
      <c r="AG1359" s="49" t="s">
        <v>41</v>
      </c>
      <c r="AH1359" s="48">
        <v>1</v>
      </c>
      <c r="AI1359" s="48" t="s">
        <v>33</v>
      </c>
      <c r="AJ1359" s="48" t="s">
        <v>33</v>
      </c>
      <c r="AK1359" s="48" t="s">
        <v>33</v>
      </c>
      <c r="AL1359" s="48" t="s">
        <v>34</v>
      </c>
      <c r="AN1359" s="48">
        <v>0</v>
      </c>
      <c r="AO1359" s="48">
        <v>0</v>
      </c>
      <c r="AP1359" s="48">
        <v>0</v>
      </c>
      <c r="AQ1359" s="48">
        <v>0</v>
      </c>
      <c r="AR1359" s="48">
        <v>0</v>
      </c>
      <c r="AS1359" s="48">
        <v>0</v>
      </c>
      <c r="AT1359" s="48">
        <v>0</v>
      </c>
      <c r="AU1359" s="48">
        <v>0</v>
      </c>
      <c r="AV1359" s="48">
        <v>0</v>
      </c>
      <c r="AW1359" s="48">
        <v>0</v>
      </c>
      <c r="AX1359" s="48">
        <v>0</v>
      </c>
      <c r="AY1359" s="48">
        <v>0</v>
      </c>
      <c r="AZ1359" s="48">
        <v>0</v>
      </c>
      <c r="BA1359" s="48">
        <v>0</v>
      </c>
      <c r="BB1359" s="48">
        <v>0</v>
      </c>
    </row>
    <row r="1360" spans="1:54" x14ac:dyDescent="0.35">
      <c r="A1360" s="49">
        <v>45930</v>
      </c>
      <c r="B1360" s="48">
        <v>1</v>
      </c>
      <c r="C1360" s="50" t="s">
        <v>41</v>
      </c>
      <c r="D1360" s="48" t="s">
        <v>31</v>
      </c>
      <c r="E1360" s="48" t="s">
        <v>138</v>
      </c>
      <c r="F1360" s="48" t="s">
        <v>139</v>
      </c>
      <c r="G1360" s="49" t="s">
        <v>179</v>
      </c>
      <c r="H1360" s="48" t="s">
        <v>178</v>
      </c>
      <c r="I1360" s="48">
        <v>1</v>
      </c>
      <c r="J1360" s="48">
        <v>37</v>
      </c>
      <c r="K1360" s="48">
        <v>1</v>
      </c>
      <c r="N1360" s="48">
        <v>0</v>
      </c>
      <c r="R1360" s="49"/>
      <c r="S1360" s="49"/>
      <c r="T1360" s="49">
        <v>47057</v>
      </c>
      <c r="U1360" s="49">
        <v>47057</v>
      </c>
      <c r="V1360" s="49">
        <v>47057</v>
      </c>
      <c r="W1360" s="49">
        <v>47057</v>
      </c>
      <c r="X1360" s="48">
        <v>1</v>
      </c>
      <c r="Y1360" s="48">
        <v>1</v>
      </c>
      <c r="Z1360" s="48">
        <v>1</v>
      </c>
      <c r="AA1360" s="156">
        <v>983443432.97515869</v>
      </c>
      <c r="AF1360" s="48">
        <v>0</v>
      </c>
      <c r="AG1360" s="49" t="s">
        <v>41</v>
      </c>
      <c r="AH1360" s="48">
        <v>1</v>
      </c>
      <c r="AI1360" s="48" t="s">
        <v>33</v>
      </c>
      <c r="AJ1360" s="48" t="s">
        <v>33</v>
      </c>
      <c r="AK1360" s="48" t="s">
        <v>33</v>
      </c>
      <c r="AL1360" s="48" t="s">
        <v>34</v>
      </c>
      <c r="AN1360" s="48">
        <v>0</v>
      </c>
      <c r="AO1360" s="48">
        <v>0</v>
      </c>
      <c r="AP1360" s="48">
        <v>0</v>
      </c>
      <c r="AQ1360" s="48">
        <v>0</v>
      </c>
      <c r="AR1360" s="48">
        <v>0</v>
      </c>
      <c r="AS1360" s="48">
        <v>0</v>
      </c>
      <c r="AT1360" s="48">
        <v>0</v>
      </c>
      <c r="AU1360" s="48">
        <v>0</v>
      </c>
      <c r="AV1360" s="48">
        <v>0</v>
      </c>
      <c r="AW1360" s="48">
        <v>0</v>
      </c>
      <c r="AX1360" s="48">
        <v>0</v>
      </c>
      <c r="AY1360" s="48">
        <v>0</v>
      </c>
      <c r="AZ1360" s="48">
        <v>0</v>
      </c>
      <c r="BA1360" s="48">
        <v>0</v>
      </c>
      <c r="BB1360" s="48">
        <v>0</v>
      </c>
    </row>
    <row r="1361" spans="1:54" x14ac:dyDescent="0.35">
      <c r="A1361" s="49">
        <v>45930</v>
      </c>
      <c r="B1361" s="48">
        <v>1</v>
      </c>
      <c r="C1361" s="50" t="s">
        <v>41</v>
      </c>
      <c r="D1361" s="48" t="s">
        <v>31</v>
      </c>
      <c r="E1361" s="48" t="s">
        <v>138</v>
      </c>
      <c r="F1361" s="48" t="s">
        <v>139</v>
      </c>
      <c r="G1361" s="49" t="s">
        <v>179</v>
      </c>
      <c r="H1361" s="48" t="s">
        <v>178</v>
      </c>
      <c r="I1361" s="48">
        <v>1</v>
      </c>
      <c r="J1361" s="48">
        <v>38</v>
      </c>
      <c r="K1361" s="48">
        <v>1</v>
      </c>
      <c r="N1361" s="48">
        <v>0</v>
      </c>
      <c r="R1361" s="49"/>
      <c r="S1361" s="49"/>
      <c r="T1361" s="49">
        <v>47087</v>
      </c>
      <c r="U1361" s="49">
        <v>47087</v>
      </c>
      <c r="V1361" s="49">
        <v>47087</v>
      </c>
      <c r="W1361" s="49">
        <v>47087</v>
      </c>
      <c r="X1361" s="48">
        <v>1</v>
      </c>
      <c r="Y1361" s="48">
        <v>1</v>
      </c>
      <c r="Z1361" s="48">
        <v>1</v>
      </c>
      <c r="AA1361" s="156">
        <v>968317587.89424896</v>
      </c>
      <c r="AF1361" s="48">
        <v>0</v>
      </c>
      <c r="AG1361" s="49" t="s">
        <v>41</v>
      </c>
      <c r="AH1361" s="48">
        <v>1</v>
      </c>
      <c r="AI1361" s="48" t="s">
        <v>33</v>
      </c>
      <c r="AJ1361" s="48" t="s">
        <v>33</v>
      </c>
      <c r="AK1361" s="48" t="s">
        <v>33</v>
      </c>
      <c r="AL1361" s="48" t="s">
        <v>34</v>
      </c>
      <c r="AN1361" s="48">
        <v>0</v>
      </c>
      <c r="AO1361" s="48">
        <v>0</v>
      </c>
      <c r="AP1361" s="48">
        <v>0</v>
      </c>
      <c r="AQ1361" s="48">
        <v>0</v>
      </c>
      <c r="AR1361" s="48">
        <v>0</v>
      </c>
      <c r="AS1361" s="48">
        <v>0</v>
      </c>
      <c r="AT1361" s="48">
        <v>0</v>
      </c>
      <c r="AU1361" s="48">
        <v>0</v>
      </c>
      <c r="AV1361" s="48">
        <v>0</v>
      </c>
      <c r="AW1361" s="48">
        <v>0</v>
      </c>
      <c r="AX1361" s="48">
        <v>0</v>
      </c>
      <c r="AY1361" s="48">
        <v>0</v>
      </c>
      <c r="AZ1361" s="48">
        <v>0</v>
      </c>
      <c r="BA1361" s="48">
        <v>0</v>
      </c>
      <c r="BB1361" s="48">
        <v>0</v>
      </c>
    </row>
    <row r="1362" spans="1:54" x14ac:dyDescent="0.35">
      <c r="A1362" s="49">
        <v>45930</v>
      </c>
      <c r="B1362" s="48">
        <v>1</v>
      </c>
      <c r="C1362" s="50" t="s">
        <v>41</v>
      </c>
      <c r="D1362" s="48" t="s">
        <v>31</v>
      </c>
      <c r="E1362" s="48" t="s">
        <v>138</v>
      </c>
      <c r="F1362" s="48" t="s">
        <v>139</v>
      </c>
      <c r="G1362" s="49" t="s">
        <v>179</v>
      </c>
      <c r="H1362" s="48" t="s">
        <v>178</v>
      </c>
      <c r="I1362" s="48">
        <v>1</v>
      </c>
      <c r="J1362" s="48">
        <v>39</v>
      </c>
      <c r="K1362" s="48">
        <v>1</v>
      </c>
      <c r="N1362" s="48">
        <v>0</v>
      </c>
      <c r="R1362" s="49"/>
      <c r="S1362" s="49"/>
      <c r="T1362" s="49">
        <v>47118</v>
      </c>
      <c r="U1362" s="49">
        <v>47118</v>
      </c>
      <c r="V1362" s="49">
        <v>47118</v>
      </c>
      <c r="W1362" s="49">
        <v>47118</v>
      </c>
      <c r="X1362" s="48">
        <v>1</v>
      </c>
      <c r="Y1362" s="48">
        <v>1</v>
      </c>
      <c r="Z1362" s="48">
        <v>1</v>
      </c>
      <c r="AA1362" s="156">
        <v>953424385.77145386</v>
      </c>
      <c r="AF1362" s="48">
        <v>0</v>
      </c>
      <c r="AG1362" s="49" t="s">
        <v>41</v>
      </c>
      <c r="AH1362" s="48">
        <v>1</v>
      </c>
      <c r="AI1362" s="48" t="s">
        <v>33</v>
      </c>
      <c r="AJ1362" s="48" t="s">
        <v>33</v>
      </c>
      <c r="AK1362" s="48" t="s">
        <v>33</v>
      </c>
      <c r="AL1362" s="48" t="s">
        <v>34</v>
      </c>
      <c r="AN1362" s="48">
        <v>0</v>
      </c>
      <c r="AO1362" s="48">
        <v>0</v>
      </c>
      <c r="AP1362" s="48">
        <v>0</v>
      </c>
      <c r="AQ1362" s="48">
        <v>0</v>
      </c>
      <c r="AR1362" s="48">
        <v>0</v>
      </c>
      <c r="AS1362" s="48">
        <v>0</v>
      </c>
      <c r="AT1362" s="48">
        <v>0</v>
      </c>
      <c r="AU1362" s="48">
        <v>0</v>
      </c>
      <c r="AV1362" s="48">
        <v>0</v>
      </c>
      <c r="AW1362" s="48">
        <v>0</v>
      </c>
      <c r="AX1362" s="48">
        <v>0</v>
      </c>
      <c r="AY1362" s="48">
        <v>0</v>
      </c>
      <c r="AZ1362" s="48">
        <v>0</v>
      </c>
      <c r="BA1362" s="48">
        <v>0</v>
      </c>
      <c r="BB1362" s="48">
        <v>0</v>
      </c>
    </row>
    <row r="1363" spans="1:54" x14ac:dyDescent="0.35">
      <c r="A1363" s="49">
        <v>45930</v>
      </c>
      <c r="B1363" s="48">
        <v>1</v>
      </c>
      <c r="C1363" s="50" t="s">
        <v>41</v>
      </c>
      <c r="D1363" s="48" t="s">
        <v>31</v>
      </c>
      <c r="E1363" s="48" t="s">
        <v>138</v>
      </c>
      <c r="F1363" s="48" t="s">
        <v>139</v>
      </c>
      <c r="G1363" s="49" t="s">
        <v>179</v>
      </c>
      <c r="H1363" s="48" t="s">
        <v>178</v>
      </c>
      <c r="I1363" s="48">
        <v>1</v>
      </c>
      <c r="J1363" s="48">
        <v>40</v>
      </c>
      <c r="K1363" s="48">
        <v>1</v>
      </c>
      <c r="N1363" s="48">
        <v>0</v>
      </c>
      <c r="R1363" s="49"/>
      <c r="S1363" s="49"/>
      <c r="T1363" s="49">
        <v>47149</v>
      </c>
      <c r="U1363" s="49">
        <v>47149</v>
      </c>
      <c r="V1363" s="49">
        <v>47149</v>
      </c>
      <c r="W1363" s="49">
        <v>47149</v>
      </c>
      <c r="X1363" s="48">
        <v>1</v>
      </c>
      <c r="Y1363" s="48">
        <v>1</v>
      </c>
      <c r="Z1363" s="48">
        <v>1</v>
      </c>
      <c r="AA1363" s="156">
        <v>938760248.443367</v>
      </c>
      <c r="AF1363" s="48">
        <v>0</v>
      </c>
      <c r="AG1363" s="49" t="s">
        <v>41</v>
      </c>
      <c r="AH1363" s="48">
        <v>1</v>
      </c>
      <c r="AI1363" s="48" t="s">
        <v>33</v>
      </c>
      <c r="AJ1363" s="48" t="s">
        <v>33</v>
      </c>
      <c r="AK1363" s="48" t="s">
        <v>33</v>
      </c>
      <c r="AL1363" s="48" t="s">
        <v>34</v>
      </c>
      <c r="AN1363" s="48">
        <v>0</v>
      </c>
      <c r="AO1363" s="48">
        <v>0</v>
      </c>
      <c r="AP1363" s="48">
        <v>0</v>
      </c>
      <c r="AQ1363" s="48">
        <v>0</v>
      </c>
      <c r="AR1363" s="48">
        <v>0</v>
      </c>
      <c r="AS1363" s="48">
        <v>0</v>
      </c>
      <c r="AT1363" s="48">
        <v>0</v>
      </c>
      <c r="AU1363" s="48">
        <v>0</v>
      </c>
      <c r="AV1363" s="48">
        <v>0</v>
      </c>
      <c r="AW1363" s="48">
        <v>0</v>
      </c>
      <c r="AX1363" s="48">
        <v>0</v>
      </c>
      <c r="AY1363" s="48">
        <v>0</v>
      </c>
      <c r="AZ1363" s="48">
        <v>0</v>
      </c>
      <c r="BA1363" s="48">
        <v>0</v>
      </c>
      <c r="BB1363" s="48">
        <v>0</v>
      </c>
    </row>
    <row r="1364" spans="1:54" x14ac:dyDescent="0.35">
      <c r="A1364" s="49">
        <v>45930</v>
      </c>
      <c r="B1364" s="48">
        <v>1</v>
      </c>
      <c r="C1364" s="50" t="s">
        <v>41</v>
      </c>
      <c r="D1364" s="48" t="s">
        <v>31</v>
      </c>
      <c r="E1364" s="48" t="s">
        <v>138</v>
      </c>
      <c r="F1364" s="48" t="s">
        <v>139</v>
      </c>
      <c r="G1364" s="49" t="s">
        <v>179</v>
      </c>
      <c r="H1364" s="48" t="s">
        <v>178</v>
      </c>
      <c r="I1364" s="48">
        <v>1</v>
      </c>
      <c r="J1364" s="48">
        <v>41</v>
      </c>
      <c r="K1364" s="48">
        <v>1</v>
      </c>
      <c r="N1364" s="48">
        <v>0</v>
      </c>
      <c r="R1364" s="49"/>
      <c r="S1364" s="49"/>
      <c r="T1364" s="49">
        <v>47177</v>
      </c>
      <c r="U1364" s="49">
        <v>47177</v>
      </c>
      <c r="V1364" s="49">
        <v>47177</v>
      </c>
      <c r="W1364" s="49">
        <v>47177</v>
      </c>
      <c r="X1364" s="48">
        <v>1</v>
      </c>
      <c r="Y1364" s="48">
        <v>1</v>
      </c>
      <c r="Z1364" s="48">
        <v>1</v>
      </c>
      <c r="AA1364" s="156">
        <v>924321652.78044128</v>
      </c>
      <c r="AF1364" s="48">
        <v>0</v>
      </c>
      <c r="AG1364" s="49" t="s">
        <v>41</v>
      </c>
      <c r="AH1364" s="48">
        <v>1</v>
      </c>
      <c r="AI1364" s="48" t="s">
        <v>33</v>
      </c>
      <c r="AJ1364" s="48" t="s">
        <v>33</v>
      </c>
      <c r="AK1364" s="48" t="s">
        <v>33</v>
      </c>
      <c r="AL1364" s="48" t="s">
        <v>34</v>
      </c>
      <c r="AN1364" s="48">
        <v>0</v>
      </c>
      <c r="AO1364" s="48">
        <v>0</v>
      </c>
      <c r="AP1364" s="48">
        <v>0</v>
      </c>
      <c r="AQ1364" s="48">
        <v>0</v>
      </c>
      <c r="AR1364" s="48">
        <v>0</v>
      </c>
      <c r="AS1364" s="48">
        <v>0</v>
      </c>
      <c r="AT1364" s="48">
        <v>0</v>
      </c>
      <c r="AU1364" s="48">
        <v>0</v>
      </c>
      <c r="AV1364" s="48">
        <v>0</v>
      </c>
      <c r="AW1364" s="48">
        <v>0</v>
      </c>
      <c r="AX1364" s="48">
        <v>0</v>
      </c>
      <c r="AY1364" s="48">
        <v>0</v>
      </c>
      <c r="AZ1364" s="48">
        <v>0</v>
      </c>
      <c r="BA1364" s="48">
        <v>0</v>
      </c>
      <c r="BB1364" s="48">
        <v>0</v>
      </c>
    </row>
    <row r="1365" spans="1:54" x14ac:dyDescent="0.35">
      <c r="A1365" s="49">
        <v>45930</v>
      </c>
      <c r="B1365" s="48">
        <v>1</v>
      </c>
      <c r="C1365" s="50" t="s">
        <v>41</v>
      </c>
      <c r="D1365" s="48" t="s">
        <v>31</v>
      </c>
      <c r="E1365" s="48" t="s">
        <v>138</v>
      </c>
      <c r="F1365" s="48" t="s">
        <v>139</v>
      </c>
      <c r="G1365" s="49" t="s">
        <v>179</v>
      </c>
      <c r="H1365" s="48" t="s">
        <v>178</v>
      </c>
      <c r="I1365" s="48">
        <v>1</v>
      </c>
      <c r="J1365" s="48">
        <v>42</v>
      </c>
      <c r="K1365" s="48">
        <v>1</v>
      </c>
      <c r="N1365" s="48">
        <v>0</v>
      </c>
      <c r="R1365" s="49"/>
      <c r="S1365" s="49"/>
      <c r="T1365" s="49">
        <v>47208</v>
      </c>
      <c r="U1365" s="49">
        <v>47208</v>
      </c>
      <c r="V1365" s="49">
        <v>47208</v>
      </c>
      <c r="W1365" s="49">
        <v>47208</v>
      </c>
      <c r="X1365" s="48">
        <v>1</v>
      </c>
      <c r="Y1365" s="48">
        <v>1</v>
      </c>
      <c r="Z1365" s="48">
        <v>1</v>
      </c>
      <c r="AA1365" s="156">
        <v>910105129.84062195</v>
      </c>
      <c r="AF1365" s="48">
        <v>0</v>
      </c>
      <c r="AG1365" s="49" t="s">
        <v>41</v>
      </c>
      <c r="AH1365" s="48">
        <v>1</v>
      </c>
      <c r="AI1365" s="48" t="s">
        <v>33</v>
      </c>
      <c r="AJ1365" s="48" t="s">
        <v>33</v>
      </c>
      <c r="AK1365" s="48" t="s">
        <v>33</v>
      </c>
      <c r="AL1365" s="48" t="s">
        <v>34</v>
      </c>
      <c r="AN1365" s="48">
        <v>0</v>
      </c>
      <c r="AO1365" s="48">
        <v>0</v>
      </c>
      <c r="AP1365" s="48">
        <v>0</v>
      </c>
      <c r="AQ1365" s="48">
        <v>0</v>
      </c>
      <c r="AR1365" s="48">
        <v>0</v>
      </c>
      <c r="AS1365" s="48">
        <v>0</v>
      </c>
      <c r="AT1365" s="48">
        <v>0</v>
      </c>
      <c r="AU1365" s="48">
        <v>0</v>
      </c>
      <c r="AV1365" s="48">
        <v>0</v>
      </c>
      <c r="AW1365" s="48">
        <v>0</v>
      </c>
      <c r="AX1365" s="48">
        <v>0</v>
      </c>
      <c r="AY1365" s="48">
        <v>0</v>
      </c>
      <c r="AZ1365" s="48">
        <v>0</v>
      </c>
      <c r="BA1365" s="48">
        <v>0</v>
      </c>
      <c r="BB1365" s="48">
        <v>0</v>
      </c>
    </row>
    <row r="1366" spans="1:54" x14ac:dyDescent="0.35">
      <c r="A1366" s="49">
        <v>45930</v>
      </c>
      <c r="B1366" s="48">
        <v>1</v>
      </c>
      <c r="C1366" s="50" t="s">
        <v>41</v>
      </c>
      <c r="D1366" s="48" t="s">
        <v>31</v>
      </c>
      <c r="E1366" s="48" t="s">
        <v>138</v>
      </c>
      <c r="F1366" s="48" t="s">
        <v>139</v>
      </c>
      <c r="G1366" s="49" t="s">
        <v>179</v>
      </c>
      <c r="H1366" s="48" t="s">
        <v>178</v>
      </c>
      <c r="I1366" s="48">
        <v>1</v>
      </c>
      <c r="J1366" s="48">
        <v>43</v>
      </c>
      <c r="K1366" s="48">
        <v>1</v>
      </c>
      <c r="N1366" s="48">
        <v>0</v>
      </c>
      <c r="R1366" s="49"/>
      <c r="S1366" s="49"/>
      <c r="T1366" s="49">
        <v>47238</v>
      </c>
      <c r="U1366" s="49">
        <v>47238</v>
      </c>
      <c r="V1366" s="49">
        <v>47238</v>
      </c>
      <c r="W1366" s="49">
        <v>47238</v>
      </c>
      <c r="X1366" s="48">
        <v>1</v>
      </c>
      <c r="Y1366" s="48">
        <v>1</v>
      </c>
      <c r="Z1366" s="48">
        <v>1</v>
      </c>
      <c r="AA1366" s="156">
        <v>896107264.0358963</v>
      </c>
      <c r="AF1366" s="48">
        <v>0</v>
      </c>
      <c r="AG1366" s="49" t="s">
        <v>41</v>
      </c>
      <c r="AH1366" s="48">
        <v>1</v>
      </c>
      <c r="AI1366" s="48" t="s">
        <v>33</v>
      </c>
      <c r="AJ1366" s="48" t="s">
        <v>33</v>
      </c>
      <c r="AK1366" s="48" t="s">
        <v>33</v>
      </c>
      <c r="AL1366" s="48" t="s">
        <v>34</v>
      </c>
      <c r="AN1366" s="48">
        <v>0</v>
      </c>
      <c r="AO1366" s="48">
        <v>0</v>
      </c>
      <c r="AP1366" s="48">
        <v>0</v>
      </c>
      <c r="AQ1366" s="48">
        <v>0</v>
      </c>
      <c r="AR1366" s="48">
        <v>0</v>
      </c>
      <c r="AS1366" s="48">
        <v>0</v>
      </c>
      <c r="AT1366" s="48">
        <v>0</v>
      </c>
      <c r="AU1366" s="48">
        <v>0</v>
      </c>
      <c r="AV1366" s="48">
        <v>0</v>
      </c>
      <c r="AW1366" s="48">
        <v>0</v>
      </c>
      <c r="AX1366" s="48">
        <v>0</v>
      </c>
      <c r="AY1366" s="48">
        <v>0</v>
      </c>
      <c r="AZ1366" s="48">
        <v>0</v>
      </c>
      <c r="BA1366" s="48">
        <v>0</v>
      </c>
      <c r="BB1366" s="48">
        <v>0</v>
      </c>
    </row>
    <row r="1367" spans="1:54" x14ac:dyDescent="0.35">
      <c r="A1367" s="49">
        <v>45930</v>
      </c>
      <c r="B1367" s="48">
        <v>1</v>
      </c>
      <c r="C1367" s="50" t="s">
        <v>41</v>
      </c>
      <c r="D1367" s="48" t="s">
        <v>31</v>
      </c>
      <c r="E1367" s="48" t="s">
        <v>138</v>
      </c>
      <c r="F1367" s="48" t="s">
        <v>139</v>
      </c>
      <c r="G1367" s="49" t="s">
        <v>179</v>
      </c>
      <c r="H1367" s="48" t="s">
        <v>178</v>
      </c>
      <c r="I1367" s="48">
        <v>1</v>
      </c>
      <c r="J1367" s="48">
        <v>44</v>
      </c>
      <c r="K1367" s="48">
        <v>1</v>
      </c>
      <c r="N1367" s="48">
        <v>0</v>
      </c>
      <c r="R1367" s="49"/>
      <c r="S1367" s="49"/>
      <c r="T1367" s="49">
        <v>47269</v>
      </c>
      <c r="U1367" s="49">
        <v>47269</v>
      </c>
      <c r="V1367" s="49">
        <v>47269</v>
      </c>
      <c r="W1367" s="49">
        <v>47269</v>
      </c>
      <c r="X1367" s="48">
        <v>1</v>
      </c>
      <c r="Y1367" s="48">
        <v>1</v>
      </c>
      <c r="Z1367" s="48">
        <v>1</v>
      </c>
      <c r="AA1367" s="156">
        <v>882324692.3116684</v>
      </c>
      <c r="AF1367" s="48">
        <v>0</v>
      </c>
      <c r="AG1367" s="49" t="s">
        <v>41</v>
      </c>
      <c r="AH1367" s="48">
        <v>1</v>
      </c>
      <c r="AI1367" s="48" t="s">
        <v>33</v>
      </c>
      <c r="AJ1367" s="48" t="s">
        <v>33</v>
      </c>
      <c r="AK1367" s="48" t="s">
        <v>33</v>
      </c>
      <c r="AL1367" s="48" t="s">
        <v>34</v>
      </c>
      <c r="AN1367" s="48">
        <v>0</v>
      </c>
      <c r="AO1367" s="48">
        <v>0</v>
      </c>
      <c r="AP1367" s="48">
        <v>0</v>
      </c>
      <c r="AQ1367" s="48">
        <v>0</v>
      </c>
      <c r="AR1367" s="48">
        <v>0</v>
      </c>
      <c r="AS1367" s="48">
        <v>0</v>
      </c>
      <c r="AT1367" s="48">
        <v>0</v>
      </c>
      <c r="AU1367" s="48">
        <v>0</v>
      </c>
      <c r="AV1367" s="48">
        <v>0</v>
      </c>
      <c r="AW1367" s="48">
        <v>0</v>
      </c>
      <c r="AX1367" s="48">
        <v>0</v>
      </c>
      <c r="AY1367" s="48">
        <v>0</v>
      </c>
      <c r="AZ1367" s="48">
        <v>0</v>
      </c>
      <c r="BA1367" s="48">
        <v>0</v>
      </c>
      <c r="BB1367" s="48">
        <v>0</v>
      </c>
    </row>
    <row r="1368" spans="1:54" x14ac:dyDescent="0.35">
      <c r="A1368" s="49">
        <v>45930</v>
      </c>
      <c r="B1368" s="48">
        <v>1</v>
      </c>
      <c r="C1368" s="50" t="s">
        <v>41</v>
      </c>
      <c r="D1368" s="48" t="s">
        <v>31</v>
      </c>
      <c r="E1368" s="48" t="s">
        <v>138</v>
      </c>
      <c r="F1368" s="48" t="s">
        <v>139</v>
      </c>
      <c r="G1368" s="49" t="s">
        <v>179</v>
      </c>
      <c r="H1368" s="48" t="s">
        <v>178</v>
      </c>
      <c r="I1368" s="48">
        <v>1</v>
      </c>
      <c r="J1368" s="48">
        <v>45</v>
      </c>
      <c r="K1368" s="48">
        <v>1</v>
      </c>
      <c r="N1368" s="48">
        <v>0</v>
      </c>
      <c r="R1368" s="49"/>
      <c r="S1368" s="49"/>
      <c r="T1368" s="49">
        <v>47299</v>
      </c>
      <c r="U1368" s="49">
        <v>47299</v>
      </c>
      <c r="V1368" s="49">
        <v>47299</v>
      </c>
      <c r="W1368" s="49">
        <v>47299</v>
      </c>
      <c r="X1368" s="48">
        <v>1</v>
      </c>
      <c r="Y1368" s="48">
        <v>1</v>
      </c>
      <c r="Z1368" s="48">
        <v>1</v>
      </c>
      <c r="AA1368" s="156">
        <v>868754103.33879089</v>
      </c>
      <c r="AF1368" s="48">
        <v>0</v>
      </c>
      <c r="AG1368" s="49" t="s">
        <v>41</v>
      </c>
      <c r="AH1368" s="48">
        <v>1</v>
      </c>
      <c r="AI1368" s="48" t="s">
        <v>33</v>
      </c>
      <c r="AJ1368" s="48" t="s">
        <v>33</v>
      </c>
      <c r="AK1368" s="48" t="s">
        <v>33</v>
      </c>
      <c r="AL1368" s="48" t="s">
        <v>34</v>
      </c>
      <c r="AN1368" s="48">
        <v>0</v>
      </c>
      <c r="AO1368" s="48">
        <v>0</v>
      </c>
      <c r="AP1368" s="48">
        <v>0</v>
      </c>
      <c r="AQ1368" s="48">
        <v>0</v>
      </c>
      <c r="AR1368" s="48">
        <v>0</v>
      </c>
      <c r="AS1368" s="48">
        <v>0</v>
      </c>
      <c r="AT1368" s="48">
        <v>0</v>
      </c>
      <c r="AU1368" s="48">
        <v>0</v>
      </c>
      <c r="AV1368" s="48">
        <v>0</v>
      </c>
      <c r="AW1368" s="48">
        <v>0</v>
      </c>
      <c r="AX1368" s="48">
        <v>0</v>
      </c>
      <c r="AY1368" s="48">
        <v>0</v>
      </c>
      <c r="AZ1368" s="48">
        <v>0</v>
      </c>
      <c r="BA1368" s="48">
        <v>0</v>
      </c>
      <c r="BB1368" s="48">
        <v>0</v>
      </c>
    </row>
    <row r="1369" spans="1:54" x14ac:dyDescent="0.35">
      <c r="A1369" s="49">
        <v>45930</v>
      </c>
      <c r="B1369" s="48">
        <v>1</v>
      </c>
      <c r="C1369" s="50" t="s">
        <v>41</v>
      </c>
      <c r="D1369" s="48" t="s">
        <v>31</v>
      </c>
      <c r="E1369" s="48" t="s">
        <v>138</v>
      </c>
      <c r="F1369" s="48" t="s">
        <v>139</v>
      </c>
      <c r="G1369" s="49" t="s">
        <v>179</v>
      </c>
      <c r="H1369" s="48" t="s">
        <v>178</v>
      </c>
      <c r="I1369" s="48">
        <v>1</v>
      </c>
      <c r="J1369" s="48">
        <v>46</v>
      </c>
      <c r="K1369" s="48">
        <v>1</v>
      </c>
      <c r="N1369" s="48">
        <v>0</v>
      </c>
      <c r="R1369" s="49"/>
      <c r="S1369" s="49"/>
      <c r="T1369" s="49">
        <v>47330</v>
      </c>
      <c r="U1369" s="49">
        <v>47330</v>
      </c>
      <c r="V1369" s="49">
        <v>47330</v>
      </c>
      <c r="W1369" s="49">
        <v>47330</v>
      </c>
      <c r="X1369" s="48">
        <v>1</v>
      </c>
      <c r="Y1369" s="48">
        <v>1</v>
      </c>
      <c r="Z1369" s="48">
        <v>1</v>
      </c>
      <c r="AA1369" s="156">
        <v>855392236.71798706</v>
      </c>
      <c r="AF1369" s="48">
        <v>0</v>
      </c>
      <c r="AG1369" s="49" t="s">
        <v>41</v>
      </c>
      <c r="AH1369" s="48">
        <v>1</v>
      </c>
      <c r="AI1369" s="48" t="s">
        <v>33</v>
      </c>
      <c r="AJ1369" s="48" t="s">
        <v>33</v>
      </c>
      <c r="AK1369" s="48" t="s">
        <v>33</v>
      </c>
      <c r="AL1369" s="48" t="s">
        <v>34</v>
      </c>
      <c r="AN1369" s="48">
        <v>0</v>
      </c>
      <c r="AO1369" s="48">
        <v>0</v>
      </c>
      <c r="AP1369" s="48">
        <v>0</v>
      </c>
      <c r="AQ1369" s="48">
        <v>0</v>
      </c>
      <c r="AR1369" s="48">
        <v>0</v>
      </c>
      <c r="AS1369" s="48">
        <v>0</v>
      </c>
      <c r="AT1369" s="48">
        <v>0</v>
      </c>
      <c r="AU1369" s="48">
        <v>0</v>
      </c>
      <c r="AV1369" s="48">
        <v>0</v>
      </c>
      <c r="AW1369" s="48">
        <v>0</v>
      </c>
      <c r="AX1369" s="48">
        <v>0</v>
      </c>
      <c r="AY1369" s="48">
        <v>0</v>
      </c>
      <c r="AZ1369" s="48">
        <v>0</v>
      </c>
      <c r="BA1369" s="48">
        <v>0</v>
      </c>
      <c r="BB1369" s="48">
        <v>0</v>
      </c>
    </row>
    <row r="1370" spans="1:54" x14ac:dyDescent="0.35">
      <c r="A1370" s="49">
        <v>45930</v>
      </c>
      <c r="B1370" s="48">
        <v>1</v>
      </c>
      <c r="C1370" s="50" t="s">
        <v>41</v>
      </c>
      <c r="D1370" s="48" t="s">
        <v>31</v>
      </c>
      <c r="E1370" s="48" t="s">
        <v>138</v>
      </c>
      <c r="F1370" s="48" t="s">
        <v>139</v>
      </c>
      <c r="G1370" s="49" t="s">
        <v>179</v>
      </c>
      <c r="H1370" s="48" t="s">
        <v>178</v>
      </c>
      <c r="I1370" s="48">
        <v>1</v>
      </c>
      <c r="J1370" s="48">
        <v>47</v>
      </c>
      <c r="K1370" s="48">
        <v>1</v>
      </c>
      <c r="N1370" s="48">
        <v>0</v>
      </c>
      <c r="R1370" s="49"/>
      <c r="S1370" s="49"/>
      <c r="T1370" s="49">
        <v>47361</v>
      </c>
      <c r="U1370" s="49">
        <v>47361</v>
      </c>
      <c r="V1370" s="49">
        <v>47361</v>
      </c>
      <c r="W1370" s="49">
        <v>47361</v>
      </c>
      <c r="X1370" s="48">
        <v>1</v>
      </c>
      <c r="Y1370" s="48">
        <v>1</v>
      </c>
      <c r="Z1370" s="48">
        <v>1</v>
      </c>
      <c r="AA1370" s="156">
        <v>842235882.19652557</v>
      </c>
      <c r="AF1370" s="48">
        <v>0</v>
      </c>
      <c r="AG1370" s="49" t="s">
        <v>41</v>
      </c>
      <c r="AH1370" s="48">
        <v>1</v>
      </c>
      <c r="AI1370" s="48" t="s">
        <v>33</v>
      </c>
      <c r="AJ1370" s="48" t="s">
        <v>33</v>
      </c>
      <c r="AK1370" s="48" t="s">
        <v>33</v>
      </c>
      <c r="AL1370" s="48" t="s">
        <v>34</v>
      </c>
      <c r="AN1370" s="48">
        <v>0</v>
      </c>
      <c r="AO1370" s="48">
        <v>0</v>
      </c>
      <c r="AP1370" s="48">
        <v>0</v>
      </c>
      <c r="AQ1370" s="48">
        <v>0</v>
      </c>
      <c r="AR1370" s="48">
        <v>0</v>
      </c>
      <c r="AS1370" s="48">
        <v>0</v>
      </c>
      <c r="AT1370" s="48">
        <v>0</v>
      </c>
      <c r="AU1370" s="48">
        <v>0</v>
      </c>
      <c r="AV1370" s="48">
        <v>0</v>
      </c>
      <c r="AW1370" s="48">
        <v>0</v>
      </c>
      <c r="AX1370" s="48">
        <v>0</v>
      </c>
      <c r="AY1370" s="48">
        <v>0</v>
      </c>
      <c r="AZ1370" s="48">
        <v>0</v>
      </c>
      <c r="BA1370" s="48">
        <v>0</v>
      </c>
      <c r="BB1370" s="48">
        <v>0</v>
      </c>
    </row>
    <row r="1371" spans="1:54" x14ac:dyDescent="0.35">
      <c r="A1371" s="49">
        <v>45930</v>
      </c>
      <c r="B1371" s="48">
        <v>1</v>
      </c>
      <c r="C1371" s="50" t="s">
        <v>41</v>
      </c>
      <c r="D1371" s="48" t="s">
        <v>31</v>
      </c>
      <c r="E1371" s="48" t="s">
        <v>138</v>
      </c>
      <c r="F1371" s="48" t="s">
        <v>139</v>
      </c>
      <c r="G1371" s="49" t="s">
        <v>179</v>
      </c>
      <c r="H1371" s="48" t="s">
        <v>178</v>
      </c>
      <c r="I1371" s="48">
        <v>1</v>
      </c>
      <c r="J1371" s="48">
        <v>48</v>
      </c>
      <c r="K1371" s="48">
        <v>1</v>
      </c>
      <c r="N1371" s="48">
        <v>0</v>
      </c>
      <c r="R1371" s="49"/>
      <c r="S1371" s="49"/>
      <c r="T1371" s="49">
        <v>47391</v>
      </c>
      <c r="U1371" s="49">
        <v>47391</v>
      </c>
      <c r="V1371" s="49">
        <v>47391</v>
      </c>
      <c r="W1371" s="49">
        <v>47391</v>
      </c>
      <c r="X1371" s="48">
        <v>1</v>
      </c>
      <c r="Y1371" s="48">
        <v>1</v>
      </c>
      <c r="Z1371" s="48">
        <v>1</v>
      </c>
      <c r="AA1371" s="156">
        <v>829281878.89694977</v>
      </c>
      <c r="AF1371" s="48">
        <v>0</v>
      </c>
      <c r="AG1371" s="49" t="s">
        <v>41</v>
      </c>
      <c r="AH1371" s="48">
        <v>1</v>
      </c>
      <c r="AI1371" s="48" t="s">
        <v>33</v>
      </c>
      <c r="AJ1371" s="48" t="s">
        <v>33</v>
      </c>
      <c r="AK1371" s="48" t="s">
        <v>33</v>
      </c>
      <c r="AL1371" s="48" t="s">
        <v>34</v>
      </c>
      <c r="AN1371" s="48">
        <v>0</v>
      </c>
      <c r="AO1371" s="48">
        <v>0</v>
      </c>
      <c r="AP1371" s="48">
        <v>0</v>
      </c>
      <c r="AQ1371" s="48">
        <v>0</v>
      </c>
      <c r="AR1371" s="48">
        <v>0</v>
      </c>
      <c r="AS1371" s="48">
        <v>0</v>
      </c>
      <c r="AT1371" s="48">
        <v>0</v>
      </c>
      <c r="AU1371" s="48">
        <v>0</v>
      </c>
      <c r="AV1371" s="48">
        <v>0</v>
      </c>
      <c r="AW1371" s="48">
        <v>0</v>
      </c>
      <c r="AX1371" s="48">
        <v>0</v>
      </c>
      <c r="AY1371" s="48">
        <v>0</v>
      </c>
      <c r="AZ1371" s="48">
        <v>0</v>
      </c>
      <c r="BA1371" s="48">
        <v>0</v>
      </c>
      <c r="BB1371" s="48">
        <v>0</v>
      </c>
    </row>
    <row r="1372" spans="1:54" x14ac:dyDescent="0.35">
      <c r="A1372" s="49">
        <v>45930</v>
      </c>
      <c r="B1372" s="48">
        <v>1</v>
      </c>
      <c r="C1372" s="50" t="s">
        <v>41</v>
      </c>
      <c r="D1372" s="48" t="s">
        <v>31</v>
      </c>
      <c r="E1372" s="48" t="s">
        <v>138</v>
      </c>
      <c r="F1372" s="48" t="s">
        <v>139</v>
      </c>
      <c r="G1372" s="49" t="s">
        <v>179</v>
      </c>
      <c r="H1372" s="48" t="s">
        <v>178</v>
      </c>
      <c r="I1372" s="48">
        <v>1</v>
      </c>
      <c r="J1372" s="48">
        <v>49</v>
      </c>
      <c r="K1372" s="48">
        <v>1</v>
      </c>
      <c r="N1372" s="48">
        <v>0</v>
      </c>
      <c r="R1372" s="49"/>
      <c r="S1372" s="49"/>
      <c r="T1372" s="49">
        <v>47422</v>
      </c>
      <c r="U1372" s="49">
        <v>47422</v>
      </c>
      <c r="V1372" s="49">
        <v>47422</v>
      </c>
      <c r="W1372" s="49">
        <v>47422</v>
      </c>
      <c r="X1372" s="48">
        <v>1</v>
      </c>
      <c r="Y1372" s="48">
        <v>1</v>
      </c>
      <c r="Z1372" s="48">
        <v>1</v>
      </c>
      <c r="AA1372" s="156">
        <v>816527114.55766296</v>
      </c>
      <c r="AF1372" s="48">
        <v>0</v>
      </c>
      <c r="AG1372" s="49" t="s">
        <v>41</v>
      </c>
      <c r="AH1372" s="48">
        <v>1</v>
      </c>
      <c r="AI1372" s="48" t="s">
        <v>33</v>
      </c>
      <c r="AJ1372" s="48" t="s">
        <v>33</v>
      </c>
      <c r="AK1372" s="48" t="s">
        <v>33</v>
      </c>
      <c r="AL1372" s="48" t="s">
        <v>34</v>
      </c>
      <c r="AN1372" s="48">
        <v>0</v>
      </c>
      <c r="AO1372" s="48">
        <v>0</v>
      </c>
      <c r="AP1372" s="48">
        <v>0</v>
      </c>
      <c r="AQ1372" s="48">
        <v>0</v>
      </c>
      <c r="AR1372" s="48">
        <v>0</v>
      </c>
      <c r="AS1372" s="48">
        <v>0</v>
      </c>
      <c r="AT1372" s="48">
        <v>0</v>
      </c>
      <c r="AU1372" s="48">
        <v>0</v>
      </c>
      <c r="AV1372" s="48">
        <v>0</v>
      </c>
      <c r="AW1372" s="48">
        <v>0</v>
      </c>
      <c r="AX1372" s="48">
        <v>0</v>
      </c>
      <c r="AY1372" s="48">
        <v>0</v>
      </c>
      <c r="AZ1372" s="48">
        <v>0</v>
      </c>
      <c r="BA1372" s="48">
        <v>0</v>
      </c>
      <c r="BB1372" s="48">
        <v>0</v>
      </c>
    </row>
    <row r="1373" spans="1:54" x14ac:dyDescent="0.35">
      <c r="A1373" s="49">
        <v>45930</v>
      </c>
      <c r="B1373" s="48">
        <v>1</v>
      </c>
      <c r="C1373" s="50" t="s">
        <v>41</v>
      </c>
      <c r="D1373" s="48" t="s">
        <v>31</v>
      </c>
      <c r="E1373" s="48" t="s">
        <v>138</v>
      </c>
      <c r="F1373" s="48" t="s">
        <v>139</v>
      </c>
      <c r="G1373" s="49" t="s">
        <v>179</v>
      </c>
      <c r="H1373" s="48" t="s">
        <v>178</v>
      </c>
      <c r="I1373" s="48">
        <v>1</v>
      </c>
      <c r="J1373" s="48">
        <v>50</v>
      </c>
      <c r="K1373" s="48">
        <v>1</v>
      </c>
      <c r="N1373" s="48">
        <v>0</v>
      </c>
      <c r="R1373" s="49"/>
      <c r="S1373" s="49"/>
      <c r="T1373" s="49">
        <v>47452</v>
      </c>
      <c r="U1373" s="49">
        <v>47452</v>
      </c>
      <c r="V1373" s="49">
        <v>47452</v>
      </c>
      <c r="W1373" s="49">
        <v>47452</v>
      </c>
      <c r="X1373" s="48">
        <v>1</v>
      </c>
      <c r="Y1373" s="48">
        <v>1</v>
      </c>
      <c r="Z1373" s="48">
        <v>1</v>
      </c>
      <c r="AA1373" s="156">
        <v>803968524.78518677</v>
      </c>
      <c r="AF1373" s="48">
        <v>0</v>
      </c>
      <c r="AG1373" s="49" t="s">
        <v>41</v>
      </c>
      <c r="AH1373" s="48">
        <v>1</v>
      </c>
      <c r="AI1373" s="48" t="s">
        <v>33</v>
      </c>
      <c r="AJ1373" s="48" t="s">
        <v>33</v>
      </c>
      <c r="AK1373" s="48" t="s">
        <v>33</v>
      </c>
      <c r="AL1373" s="48" t="s">
        <v>34</v>
      </c>
      <c r="AN1373" s="48">
        <v>0</v>
      </c>
      <c r="AO1373" s="48">
        <v>0</v>
      </c>
      <c r="AP1373" s="48">
        <v>0</v>
      </c>
      <c r="AQ1373" s="48">
        <v>0</v>
      </c>
      <c r="AR1373" s="48">
        <v>0</v>
      </c>
      <c r="AS1373" s="48">
        <v>0</v>
      </c>
      <c r="AT1373" s="48">
        <v>0</v>
      </c>
      <c r="AU1373" s="48">
        <v>0</v>
      </c>
      <c r="AV1373" s="48">
        <v>0</v>
      </c>
      <c r="AW1373" s="48">
        <v>0</v>
      </c>
      <c r="AX1373" s="48">
        <v>0</v>
      </c>
      <c r="AY1373" s="48">
        <v>0</v>
      </c>
      <c r="AZ1373" s="48">
        <v>0</v>
      </c>
      <c r="BA1373" s="48">
        <v>0</v>
      </c>
      <c r="BB1373" s="48">
        <v>0</v>
      </c>
    </row>
    <row r="1374" spans="1:54" x14ac:dyDescent="0.35">
      <c r="A1374" s="49">
        <v>45930</v>
      </c>
      <c r="B1374" s="48">
        <v>1</v>
      </c>
      <c r="C1374" s="50" t="s">
        <v>41</v>
      </c>
      <c r="D1374" s="48" t="s">
        <v>31</v>
      </c>
      <c r="E1374" s="48" t="s">
        <v>138</v>
      </c>
      <c r="F1374" s="48" t="s">
        <v>139</v>
      </c>
      <c r="G1374" s="49" t="s">
        <v>179</v>
      </c>
      <c r="H1374" s="48" t="s">
        <v>178</v>
      </c>
      <c r="I1374" s="48">
        <v>1</v>
      </c>
      <c r="J1374" s="48">
        <v>51</v>
      </c>
      <c r="K1374" s="48">
        <v>1</v>
      </c>
      <c r="N1374" s="48">
        <v>0</v>
      </c>
      <c r="R1374" s="49"/>
      <c r="S1374" s="49"/>
      <c r="T1374" s="49">
        <v>47483</v>
      </c>
      <c r="U1374" s="49">
        <v>47483</v>
      </c>
      <c r="V1374" s="49">
        <v>47483</v>
      </c>
      <c r="W1374" s="49">
        <v>47483</v>
      </c>
      <c r="X1374" s="48">
        <v>1</v>
      </c>
      <c r="Y1374" s="48">
        <v>1</v>
      </c>
      <c r="Z1374" s="48">
        <v>1</v>
      </c>
      <c r="AA1374" s="156">
        <v>791603092.31790161</v>
      </c>
      <c r="AF1374" s="48">
        <v>0</v>
      </c>
      <c r="AG1374" s="49" t="s">
        <v>41</v>
      </c>
      <c r="AH1374" s="48">
        <v>1</v>
      </c>
      <c r="AI1374" s="48" t="s">
        <v>33</v>
      </c>
      <c r="AJ1374" s="48" t="s">
        <v>33</v>
      </c>
      <c r="AK1374" s="48" t="s">
        <v>33</v>
      </c>
      <c r="AL1374" s="48" t="s">
        <v>34</v>
      </c>
      <c r="AN1374" s="48">
        <v>0</v>
      </c>
      <c r="AO1374" s="48">
        <v>0</v>
      </c>
      <c r="AP1374" s="48">
        <v>0</v>
      </c>
      <c r="AQ1374" s="48">
        <v>0</v>
      </c>
      <c r="AR1374" s="48">
        <v>0</v>
      </c>
      <c r="AS1374" s="48">
        <v>0</v>
      </c>
      <c r="AT1374" s="48">
        <v>0</v>
      </c>
      <c r="AU1374" s="48">
        <v>0</v>
      </c>
      <c r="AV1374" s="48">
        <v>0</v>
      </c>
      <c r="AW1374" s="48">
        <v>0</v>
      </c>
      <c r="AX1374" s="48">
        <v>0</v>
      </c>
      <c r="AY1374" s="48">
        <v>0</v>
      </c>
      <c r="AZ1374" s="48">
        <v>0</v>
      </c>
      <c r="BA1374" s="48">
        <v>0</v>
      </c>
      <c r="BB1374" s="48">
        <v>0</v>
      </c>
    </row>
    <row r="1375" spans="1:54" x14ac:dyDescent="0.35">
      <c r="A1375" s="49">
        <v>45930</v>
      </c>
      <c r="B1375" s="48">
        <v>1</v>
      </c>
      <c r="C1375" s="50" t="s">
        <v>41</v>
      </c>
      <c r="D1375" s="48" t="s">
        <v>31</v>
      </c>
      <c r="E1375" s="48" t="s">
        <v>138</v>
      </c>
      <c r="F1375" s="48" t="s">
        <v>139</v>
      </c>
      <c r="G1375" s="49" t="s">
        <v>179</v>
      </c>
      <c r="H1375" s="48" t="s">
        <v>178</v>
      </c>
      <c r="I1375" s="48">
        <v>1</v>
      </c>
      <c r="J1375" s="48">
        <v>52</v>
      </c>
      <c r="K1375" s="48">
        <v>1</v>
      </c>
      <c r="N1375" s="48">
        <v>0</v>
      </c>
      <c r="R1375" s="49"/>
      <c r="S1375" s="49"/>
      <c r="T1375" s="49">
        <v>47514</v>
      </c>
      <c r="U1375" s="49">
        <v>47514</v>
      </c>
      <c r="V1375" s="49">
        <v>47514</v>
      </c>
      <c r="W1375" s="49">
        <v>47514</v>
      </c>
      <c r="X1375" s="48">
        <v>1</v>
      </c>
      <c r="Y1375" s="48">
        <v>1</v>
      </c>
      <c r="Z1375" s="48">
        <v>1</v>
      </c>
      <c r="AA1375" s="156">
        <v>779427846.3012085</v>
      </c>
      <c r="AF1375" s="48">
        <v>0</v>
      </c>
      <c r="AG1375" s="49" t="s">
        <v>41</v>
      </c>
      <c r="AH1375" s="48">
        <v>1</v>
      </c>
      <c r="AI1375" s="48" t="s">
        <v>33</v>
      </c>
      <c r="AJ1375" s="48" t="s">
        <v>33</v>
      </c>
      <c r="AK1375" s="48" t="s">
        <v>33</v>
      </c>
      <c r="AL1375" s="48" t="s">
        <v>34</v>
      </c>
      <c r="AN1375" s="48">
        <v>0</v>
      </c>
      <c r="AO1375" s="48">
        <v>0</v>
      </c>
      <c r="AP1375" s="48">
        <v>0</v>
      </c>
      <c r="AQ1375" s="48">
        <v>0</v>
      </c>
      <c r="AR1375" s="48">
        <v>0</v>
      </c>
      <c r="AS1375" s="48">
        <v>0</v>
      </c>
      <c r="AT1375" s="48">
        <v>0</v>
      </c>
      <c r="AU1375" s="48">
        <v>0</v>
      </c>
      <c r="AV1375" s="48">
        <v>0</v>
      </c>
      <c r="AW1375" s="48">
        <v>0</v>
      </c>
      <c r="AX1375" s="48">
        <v>0</v>
      </c>
      <c r="AY1375" s="48">
        <v>0</v>
      </c>
      <c r="AZ1375" s="48">
        <v>0</v>
      </c>
      <c r="BA1375" s="48">
        <v>0</v>
      </c>
      <c r="BB1375" s="48">
        <v>0</v>
      </c>
    </row>
    <row r="1376" spans="1:54" x14ac:dyDescent="0.35">
      <c r="A1376" s="49">
        <v>45930</v>
      </c>
      <c r="B1376" s="48">
        <v>1</v>
      </c>
      <c r="C1376" s="50" t="s">
        <v>41</v>
      </c>
      <c r="D1376" s="48" t="s">
        <v>31</v>
      </c>
      <c r="E1376" s="48" t="s">
        <v>138</v>
      </c>
      <c r="F1376" s="48" t="s">
        <v>139</v>
      </c>
      <c r="G1376" s="49" t="s">
        <v>179</v>
      </c>
      <c r="H1376" s="48" t="s">
        <v>178</v>
      </c>
      <c r="I1376" s="48">
        <v>1</v>
      </c>
      <c r="J1376" s="48">
        <v>53</v>
      </c>
      <c r="K1376" s="48">
        <v>1</v>
      </c>
      <c r="N1376" s="48">
        <v>0</v>
      </c>
      <c r="R1376" s="49"/>
      <c r="S1376" s="49"/>
      <c r="T1376" s="49">
        <v>47542</v>
      </c>
      <c r="U1376" s="49">
        <v>47542</v>
      </c>
      <c r="V1376" s="49">
        <v>47542</v>
      </c>
      <c r="W1376" s="49">
        <v>47542</v>
      </c>
      <c r="X1376" s="48">
        <v>1</v>
      </c>
      <c r="Y1376" s="48">
        <v>1</v>
      </c>
      <c r="Z1376" s="48">
        <v>1</v>
      </c>
      <c r="AA1376" s="156">
        <v>767439861.5736618</v>
      </c>
      <c r="AF1376" s="48">
        <v>0</v>
      </c>
      <c r="AG1376" s="49" t="s">
        <v>41</v>
      </c>
      <c r="AH1376" s="48">
        <v>1</v>
      </c>
      <c r="AI1376" s="48" t="s">
        <v>33</v>
      </c>
      <c r="AJ1376" s="48" t="s">
        <v>33</v>
      </c>
      <c r="AK1376" s="48" t="s">
        <v>33</v>
      </c>
      <c r="AL1376" s="48" t="s">
        <v>34</v>
      </c>
      <c r="AN1376" s="48">
        <v>0</v>
      </c>
      <c r="AO1376" s="48">
        <v>0</v>
      </c>
      <c r="AP1376" s="48">
        <v>0</v>
      </c>
      <c r="AQ1376" s="48">
        <v>0</v>
      </c>
      <c r="AR1376" s="48">
        <v>0</v>
      </c>
      <c r="AS1376" s="48">
        <v>0</v>
      </c>
      <c r="AT1376" s="48">
        <v>0</v>
      </c>
      <c r="AU1376" s="48">
        <v>0</v>
      </c>
      <c r="AV1376" s="48">
        <v>0</v>
      </c>
      <c r="AW1376" s="48">
        <v>0</v>
      </c>
      <c r="AX1376" s="48">
        <v>0</v>
      </c>
      <c r="AY1376" s="48">
        <v>0</v>
      </c>
      <c r="AZ1376" s="48">
        <v>0</v>
      </c>
      <c r="BA1376" s="48">
        <v>0</v>
      </c>
      <c r="BB1376" s="48">
        <v>0</v>
      </c>
    </row>
    <row r="1377" spans="1:54" x14ac:dyDescent="0.35">
      <c r="A1377" s="49">
        <v>45930</v>
      </c>
      <c r="B1377" s="48">
        <v>1</v>
      </c>
      <c r="C1377" s="50" t="s">
        <v>41</v>
      </c>
      <c r="D1377" s="48" t="s">
        <v>31</v>
      </c>
      <c r="E1377" s="48" t="s">
        <v>138</v>
      </c>
      <c r="F1377" s="48" t="s">
        <v>139</v>
      </c>
      <c r="G1377" s="49" t="s">
        <v>179</v>
      </c>
      <c r="H1377" s="48" t="s">
        <v>178</v>
      </c>
      <c r="I1377" s="48">
        <v>1</v>
      </c>
      <c r="J1377" s="48">
        <v>54</v>
      </c>
      <c r="K1377" s="48">
        <v>1</v>
      </c>
      <c r="N1377" s="48">
        <v>0</v>
      </c>
      <c r="R1377" s="49"/>
      <c r="S1377" s="49"/>
      <c r="T1377" s="49">
        <v>47573</v>
      </c>
      <c r="U1377" s="49">
        <v>47573</v>
      </c>
      <c r="V1377" s="49">
        <v>47573</v>
      </c>
      <c r="W1377" s="49">
        <v>47573</v>
      </c>
      <c r="X1377" s="48">
        <v>1</v>
      </c>
      <c r="Y1377" s="48">
        <v>1</v>
      </c>
      <c r="Z1377" s="48">
        <v>1</v>
      </c>
      <c r="AA1377" s="156">
        <v>755636257.96427155</v>
      </c>
      <c r="AF1377" s="48">
        <v>0</v>
      </c>
      <c r="AG1377" s="49" t="s">
        <v>41</v>
      </c>
      <c r="AH1377" s="48">
        <v>1</v>
      </c>
      <c r="AI1377" s="48" t="s">
        <v>33</v>
      </c>
      <c r="AJ1377" s="48" t="s">
        <v>33</v>
      </c>
      <c r="AK1377" s="48" t="s">
        <v>33</v>
      </c>
      <c r="AL1377" s="48" t="s">
        <v>34</v>
      </c>
      <c r="AN1377" s="48">
        <v>0</v>
      </c>
      <c r="AO1377" s="48">
        <v>0</v>
      </c>
      <c r="AP1377" s="48">
        <v>0</v>
      </c>
      <c r="AQ1377" s="48">
        <v>0</v>
      </c>
      <c r="AR1377" s="48">
        <v>0</v>
      </c>
      <c r="AS1377" s="48">
        <v>0</v>
      </c>
      <c r="AT1377" s="48">
        <v>0</v>
      </c>
      <c r="AU1377" s="48">
        <v>0</v>
      </c>
      <c r="AV1377" s="48">
        <v>0</v>
      </c>
      <c r="AW1377" s="48">
        <v>0</v>
      </c>
      <c r="AX1377" s="48">
        <v>0</v>
      </c>
      <c r="AY1377" s="48">
        <v>0</v>
      </c>
      <c r="AZ1377" s="48">
        <v>0</v>
      </c>
      <c r="BA1377" s="48">
        <v>0</v>
      </c>
      <c r="BB1377" s="48">
        <v>0</v>
      </c>
    </row>
    <row r="1378" spans="1:54" x14ac:dyDescent="0.35">
      <c r="A1378" s="49">
        <v>45930</v>
      </c>
      <c r="B1378" s="48">
        <v>1</v>
      </c>
      <c r="C1378" s="50" t="s">
        <v>41</v>
      </c>
      <c r="D1378" s="48" t="s">
        <v>31</v>
      </c>
      <c r="E1378" s="48" t="s">
        <v>138</v>
      </c>
      <c r="F1378" s="48" t="s">
        <v>139</v>
      </c>
      <c r="G1378" s="49" t="s">
        <v>179</v>
      </c>
      <c r="H1378" s="48" t="s">
        <v>178</v>
      </c>
      <c r="I1378" s="48">
        <v>1</v>
      </c>
      <c r="J1378" s="48">
        <v>55</v>
      </c>
      <c r="K1378" s="48">
        <v>1</v>
      </c>
      <c r="N1378" s="48">
        <v>0</v>
      </c>
      <c r="R1378" s="49"/>
      <c r="S1378" s="49"/>
      <c r="T1378" s="49">
        <v>47603</v>
      </c>
      <c r="U1378" s="49">
        <v>47603</v>
      </c>
      <c r="V1378" s="49">
        <v>47603</v>
      </c>
      <c r="W1378" s="49">
        <v>47603</v>
      </c>
      <c r="X1378" s="48">
        <v>1</v>
      </c>
      <c r="Y1378" s="48">
        <v>1</v>
      </c>
      <c r="Z1378" s="48">
        <v>1</v>
      </c>
      <c r="AA1378" s="156">
        <v>744014199.60050964</v>
      </c>
      <c r="AF1378" s="48">
        <v>0</v>
      </c>
      <c r="AG1378" s="49" t="s">
        <v>41</v>
      </c>
      <c r="AH1378" s="48">
        <v>1</v>
      </c>
      <c r="AI1378" s="48" t="s">
        <v>33</v>
      </c>
      <c r="AJ1378" s="48" t="s">
        <v>33</v>
      </c>
      <c r="AK1378" s="48" t="s">
        <v>33</v>
      </c>
      <c r="AL1378" s="48" t="s">
        <v>34</v>
      </c>
      <c r="AN1378" s="48">
        <v>0</v>
      </c>
      <c r="AO1378" s="48">
        <v>0</v>
      </c>
      <c r="AP1378" s="48">
        <v>0</v>
      </c>
      <c r="AQ1378" s="48">
        <v>0</v>
      </c>
      <c r="AR1378" s="48">
        <v>0</v>
      </c>
      <c r="AS1378" s="48">
        <v>0</v>
      </c>
      <c r="AT1378" s="48">
        <v>0</v>
      </c>
      <c r="AU1378" s="48">
        <v>0</v>
      </c>
      <c r="AV1378" s="48">
        <v>0</v>
      </c>
      <c r="AW1378" s="48">
        <v>0</v>
      </c>
      <c r="AX1378" s="48">
        <v>0</v>
      </c>
      <c r="AY1378" s="48">
        <v>0</v>
      </c>
      <c r="AZ1378" s="48">
        <v>0</v>
      </c>
      <c r="BA1378" s="48">
        <v>0</v>
      </c>
      <c r="BB1378" s="48">
        <v>0</v>
      </c>
    </row>
    <row r="1379" spans="1:54" x14ac:dyDescent="0.35">
      <c r="A1379" s="49">
        <v>45930</v>
      </c>
      <c r="B1379" s="48">
        <v>1</v>
      </c>
      <c r="C1379" s="50" t="s">
        <v>41</v>
      </c>
      <c r="D1379" s="48" t="s">
        <v>31</v>
      </c>
      <c r="E1379" s="48" t="s">
        <v>138</v>
      </c>
      <c r="F1379" s="48" t="s">
        <v>139</v>
      </c>
      <c r="G1379" s="49" t="s">
        <v>179</v>
      </c>
      <c r="H1379" s="48" t="s">
        <v>178</v>
      </c>
      <c r="I1379" s="48">
        <v>1</v>
      </c>
      <c r="J1379" s="48">
        <v>56</v>
      </c>
      <c r="K1379" s="48">
        <v>1</v>
      </c>
      <c r="N1379" s="48">
        <v>0</v>
      </c>
      <c r="R1379" s="49"/>
      <c r="S1379" s="49"/>
      <c r="T1379" s="49">
        <v>47634</v>
      </c>
      <c r="U1379" s="49">
        <v>47634</v>
      </c>
      <c r="V1379" s="49">
        <v>47634</v>
      </c>
      <c r="W1379" s="49">
        <v>47634</v>
      </c>
      <c r="X1379" s="48">
        <v>1</v>
      </c>
      <c r="Y1379" s="48">
        <v>1</v>
      </c>
      <c r="Z1379" s="48">
        <v>1</v>
      </c>
      <c r="AA1379" s="156">
        <v>732570894.22693634</v>
      </c>
      <c r="AF1379" s="48">
        <v>0</v>
      </c>
      <c r="AG1379" s="49" t="s">
        <v>41</v>
      </c>
      <c r="AH1379" s="48">
        <v>1</v>
      </c>
      <c r="AI1379" s="48" t="s">
        <v>33</v>
      </c>
      <c r="AJ1379" s="48" t="s">
        <v>33</v>
      </c>
      <c r="AK1379" s="48" t="s">
        <v>33</v>
      </c>
      <c r="AL1379" s="48" t="s">
        <v>34</v>
      </c>
      <c r="AN1379" s="48">
        <v>0</v>
      </c>
      <c r="AO1379" s="48">
        <v>0</v>
      </c>
      <c r="AP1379" s="48">
        <v>0</v>
      </c>
      <c r="AQ1379" s="48">
        <v>0</v>
      </c>
      <c r="AR1379" s="48">
        <v>0</v>
      </c>
      <c r="AS1379" s="48">
        <v>0</v>
      </c>
      <c r="AT1379" s="48">
        <v>0</v>
      </c>
      <c r="AU1379" s="48">
        <v>0</v>
      </c>
      <c r="AV1379" s="48">
        <v>0</v>
      </c>
      <c r="AW1379" s="48">
        <v>0</v>
      </c>
      <c r="AX1379" s="48">
        <v>0</v>
      </c>
      <c r="AY1379" s="48">
        <v>0</v>
      </c>
      <c r="AZ1379" s="48">
        <v>0</v>
      </c>
      <c r="BA1379" s="48">
        <v>0</v>
      </c>
      <c r="BB1379" s="48">
        <v>0</v>
      </c>
    </row>
    <row r="1380" spans="1:54" x14ac:dyDescent="0.35">
      <c r="A1380" s="49">
        <v>45930</v>
      </c>
      <c r="B1380" s="48">
        <v>1</v>
      </c>
      <c r="C1380" s="50" t="s">
        <v>41</v>
      </c>
      <c r="D1380" s="48" t="s">
        <v>31</v>
      </c>
      <c r="E1380" s="48" t="s">
        <v>138</v>
      </c>
      <c r="F1380" s="48" t="s">
        <v>139</v>
      </c>
      <c r="G1380" s="49" t="s">
        <v>179</v>
      </c>
      <c r="H1380" s="48" t="s">
        <v>178</v>
      </c>
      <c r="I1380" s="48">
        <v>1</v>
      </c>
      <c r="J1380" s="48">
        <v>57</v>
      </c>
      <c r="K1380" s="48">
        <v>1</v>
      </c>
      <c r="N1380" s="48">
        <v>0</v>
      </c>
      <c r="R1380" s="49"/>
      <c r="S1380" s="49"/>
      <c r="T1380" s="49">
        <v>47664</v>
      </c>
      <c r="U1380" s="49">
        <v>47664</v>
      </c>
      <c r="V1380" s="49">
        <v>47664</v>
      </c>
      <c r="W1380" s="49">
        <v>47664</v>
      </c>
      <c r="X1380" s="48">
        <v>1</v>
      </c>
      <c r="Y1380" s="48">
        <v>1</v>
      </c>
      <c r="Z1380" s="48">
        <v>1</v>
      </c>
      <c r="AA1380" s="156">
        <v>721303592.53440094</v>
      </c>
      <c r="AF1380" s="48">
        <v>0</v>
      </c>
      <c r="AG1380" s="49" t="s">
        <v>41</v>
      </c>
      <c r="AH1380" s="48">
        <v>1</v>
      </c>
      <c r="AI1380" s="48" t="s">
        <v>33</v>
      </c>
      <c r="AJ1380" s="48" t="s">
        <v>33</v>
      </c>
      <c r="AK1380" s="48" t="s">
        <v>33</v>
      </c>
      <c r="AL1380" s="48" t="s">
        <v>34</v>
      </c>
      <c r="AN1380" s="48">
        <v>0</v>
      </c>
      <c r="AO1380" s="48">
        <v>0</v>
      </c>
      <c r="AP1380" s="48">
        <v>0</v>
      </c>
      <c r="AQ1380" s="48">
        <v>0</v>
      </c>
      <c r="AR1380" s="48">
        <v>0</v>
      </c>
      <c r="AS1380" s="48">
        <v>0</v>
      </c>
      <c r="AT1380" s="48">
        <v>0</v>
      </c>
      <c r="AU1380" s="48">
        <v>0</v>
      </c>
      <c r="AV1380" s="48">
        <v>0</v>
      </c>
      <c r="AW1380" s="48">
        <v>0</v>
      </c>
      <c r="AX1380" s="48">
        <v>0</v>
      </c>
      <c r="AY1380" s="48">
        <v>0</v>
      </c>
      <c r="AZ1380" s="48">
        <v>0</v>
      </c>
      <c r="BA1380" s="48">
        <v>0</v>
      </c>
      <c r="BB1380" s="48">
        <v>0</v>
      </c>
    </row>
    <row r="1381" spans="1:54" x14ac:dyDescent="0.35">
      <c r="A1381" s="49">
        <v>45930</v>
      </c>
      <c r="B1381" s="48">
        <v>1</v>
      </c>
      <c r="C1381" s="50" t="s">
        <v>41</v>
      </c>
      <c r="D1381" s="48" t="s">
        <v>31</v>
      </c>
      <c r="E1381" s="48" t="s">
        <v>138</v>
      </c>
      <c r="F1381" s="48" t="s">
        <v>139</v>
      </c>
      <c r="G1381" s="49" t="s">
        <v>179</v>
      </c>
      <c r="H1381" s="48" t="s">
        <v>178</v>
      </c>
      <c r="I1381" s="48">
        <v>1</v>
      </c>
      <c r="J1381" s="48">
        <v>58</v>
      </c>
      <c r="K1381" s="48">
        <v>1</v>
      </c>
      <c r="N1381" s="48">
        <v>0</v>
      </c>
      <c r="R1381" s="49"/>
      <c r="S1381" s="49"/>
      <c r="T1381" s="49">
        <v>47695</v>
      </c>
      <c r="U1381" s="49">
        <v>47695</v>
      </c>
      <c r="V1381" s="49">
        <v>47695</v>
      </c>
      <c r="W1381" s="49">
        <v>47695</v>
      </c>
      <c r="X1381" s="48">
        <v>1</v>
      </c>
      <c r="Y1381" s="48">
        <v>1</v>
      </c>
      <c r="Z1381" s="48">
        <v>1</v>
      </c>
      <c r="AA1381" s="156">
        <v>710209587.4994812</v>
      </c>
      <c r="AF1381" s="48">
        <v>0</v>
      </c>
      <c r="AG1381" s="49" t="s">
        <v>41</v>
      </c>
      <c r="AH1381" s="48">
        <v>1</v>
      </c>
      <c r="AI1381" s="48" t="s">
        <v>33</v>
      </c>
      <c r="AJ1381" s="48" t="s">
        <v>33</v>
      </c>
      <c r="AK1381" s="48" t="s">
        <v>33</v>
      </c>
      <c r="AL1381" s="48" t="s">
        <v>34</v>
      </c>
      <c r="AN1381" s="48">
        <v>0</v>
      </c>
      <c r="AO1381" s="48">
        <v>0</v>
      </c>
      <c r="AP1381" s="48">
        <v>0</v>
      </c>
      <c r="AQ1381" s="48">
        <v>0</v>
      </c>
      <c r="AR1381" s="48">
        <v>0</v>
      </c>
      <c r="AS1381" s="48">
        <v>0</v>
      </c>
      <c r="AT1381" s="48">
        <v>0</v>
      </c>
      <c r="AU1381" s="48">
        <v>0</v>
      </c>
      <c r="AV1381" s="48">
        <v>0</v>
      </c>
      <c r="AW1381" s="48">
        <v>0</v>
      </c>
      <c r="AX1381" s="48">
        <v>0</v>
      </c>
      <c r="AY1381" s="48">
        <v>0</v>
      </c>
      <c r="AZ1381" s="48">
        <v>0</v>
      </c>
      <c r="BA1381" s="48">
        <v>0</v>
      </c>
      <c r="BB1381" s="48">
        <v>0</v>
      </c>
    </row>
    <row r="1382" spans="1:54" x14ac:dyDescent="0.35">
      <c r="A1382" s="49">
        <v>45930</v>
      </c>
      <c r="B1382" s="48">
        <v>1</v>
      </c>
      <c r="C1382" s="50" t="s">
        <v>41</v>
      </c>
      <c r="D1382" s="48" t="s">
        <v>31</v>
      </c>
      <c r="E1382" s="48" t="s">
        <v>138</v>
      </c>
      <c r="F1382" s="48" t="s">
        <v>139</v>
      </c>
      <c r="G1382" s="49" t="s">
        <v>179</v>
      </c>
      <c r="H1382" s="48" t="s">
        <v>178</v>
      </c>
      <c r="I1382" s="48">
        <v>1</v>
      </c>
      <c r="J1382" s="48">
        <v>59</v>
      </c>
      <c r="K1382" s="48">
        <v>1</v>
      </c>
      <c r="N1382" s="48">
        <v>0</v>
      </c>
      <c r="R1382" s="49"/>
      <c r="S1382" s="49"/>
      <c r="T1382" s="49">
        <v>47726</v>
      </c>
      <c r="U1382" s="49">
        <v>47726</v>
      </c>
      <c r="V1382" s="49">
        <v>47726</v>
      </c>
      <c r="W1382" s="49">
        <v>47726</v>
      </c>
      <c r="X1382" s="48">
        <v>1</v>
      </c>
      <c r="Y1382" s="48">
        <v>1</v>
      </c>
      <c r="Z1382" s="48">
        <v>1</v>
      </c>
      <c r="AA1382" s="156">
        <v>699286213.73408508</v>
      </c>
      <c r="AF1382" s="48">
        <v>0</v>
      </c>
      <c r="AG1382" s="49" t="s">
        <v>41</v>
      </c>
      <c r="AH1382" s="48">
        <v>1</v>
      </c>
      <c r="AI1382" s="48" t="s">
        <v>33</v>
      </c>
      <c r="AJ1382" s="48" t="s">
        <v>33</v>
      </c>
      <c r="AK1382" s="48" t="s">
        <v>33</v>
      </c>
      <c r="AL1382" s="48" t="s">
        <v>34</v>
      </c>
      <c r="AN1382" s="48">
        <v>0</v>
      </c>
      <c r="AO1382" s="48">
        <v>0</v>
      </c>
      <c r="AP1382" s="48">
        <v>0</v>
      </c>
      <c r="AQ1382" s="48">
        <v>0</v>
      </c>
      <c r="AR1382" s="48">
        <v>0</v>
      </c>
      <c r="AS1382" s="48">
        <v>0</v>
      </c>
      <c r="AT1382" s="48">
        <v>0</v>
      </c>
      <c r="AU1382" s="48">
        <v>0</v>
      </c>
      <c r="AV1382" s="48">
        <v>0</v>
      </c>
      <c r="AW1382" s="48">
        <v>0</v>
      </c>
      <c r="AX1382" s="48">
        <v>0</v>
      </c>
      <c r="AY1382" s="48">
        <v>0</v>
      </c>
      <c r="AZ1382" s="48">
        <v>0</v>
      </c>
      <c r="BA1382" s="48">
        <v>0</v>
      </c>
      <c r="BB1382" s="48">
        <v>0</v>
      </c>
    </row>
    <row r="1383" spans="1:54" x14ac:dyDescent="0.35">
      <c r="A1383" s="49">
        <v>45930</v>
      </c>
      <c r="B1383" s="48">
        <v>1</v>
      </c>
      <c r="C1383" s="50" t="s">
        <v>41</v>
      </c>
      <c r="D1383" s="48" t="s">
        <v>31</v>
      </c>
      <c r="E1383" s="48" t="s">
        <v>138</v>
      </c>
      <c r="F1383" s="48" t="s">
        <v>139</v>
      </c>
      <c r="G1383" s="49" t="s">
        <v>179</v>
      </c>
      <c r="H1383" s="48" t="s">
        <v>178</v>
      </c>
      <c r="I1383" s="48">
        <v>1</v>
      </c>
      <c r="J1383" s="48">
        <v>60</v>
      </c>
      <c r="K1383" s="48">
        <v>1</v>
      </c>
      <c r="N1383" s="48">
        <v>0</v>
      </c>
      <c r="R1383" s="49"/>
      <c r="S1383" s="49"/>
      <c r="T1383" s="49">
        <v>47756</v>
      </c>
      <c r="U1383" s="49">
        <v>47756</v>
      </c>
      <c r="V1383" s="49">
        <v>47756</v>
      </c>
      <c r="W1383" s="49">
        <v>47756</v>
      </c>
      <c r="X1383" s="48">
        <v>1</v>
      </c>
      <c r="Y1383" s="48">
        <v>1</v>
      </c>
      <c r="Z1383" s="48">
        <v>1</v>
      </c>
      <c r="AA1383" s="156">
        <v>688530846.84514618</v>
      </c>
      <c r="AF1383" s="48">
        <v>0</v>
      </c>
      <c r="AG1383" s="49" t="s">
        <v>41</v>
      </c>
      <c r="AH1383" s="48">
        <v>1</v>
      </c>
      <c r="AI1383" s="48" t="s">
        <v>33</v>
      </c>
      <c r="AJ1383" s="48" t="s">
        <v>33</v>
      </c>
      <c r="AK1383" s="48" t="s">
        <v>33</v>
      </c>
      <c r="AL1383" s="48" t="s">
        <v>34</v>
      </c>
      <c r="AN1383" s="48">
        <v>0</v>
      </c>
      <c r="AO1383" s="48">
        <v>0</v>
      </c>
      <c r="AP1383" s="48">
        <v>0</v>
      </c>
      <c r="AQ1383" s="48">
        <v>0</v>
      </c>
      <c r="AR1383" s="48">
        <v>0</v>
      </c>
      <c r="AS1383" s="48">
        <v>0</v>
      </c>
      <c r="AT1383" s="48">
        <v>0</v>
      </c>
      <c r="AU1383" s="48">
        <v>0</v>
      </c>
      <c r="AV1383" s="48">
        <v>0</v>
      </c>
      <c r="AW1383" s="48">
        <v>0</v>
      </c>
      <c r="AX1383" s="48">
        <v>0</v>
      </c>
      <c r="AY1383" s="48">
        <v>0</v>
      </c>
      <c r="AZ1383" s="48">
        <v>0</v>
      </c>
      <c r="BA1383" s="48">
        <v>0</v>
      </c>
      <c r="BB1383" s="48">
        <v>0</v>
      </c>
    </row>
    <row r="1384" spans="1:54" x14ac:dyDescent="0.35">
      <c r="A1384" s="49">
        <v>45930</v>
      </c>
      <c r="B1384" s="48">
        <v>1</v>
      </c>
      <c r="C1384" s="50" t="s">
        <v>41</v>
      </c>
      <c r="D1384" s="48" t="s">
        <v>31</v>
      </c>
      <c r="E1384" s="48" t="s">
        <v>138</v>
      </c>
      <c r="F1384" s="48" t="s">
        <v>139</v>
      </c>
      <c r="G1384" s="49" t="s">
        <v>179</v>
      </c>
      <c r="H1384" s="48" t="s">
        <v>178</v>
      </c>
      <c r="I1384" s="48">
        <v>1</v>
      </c>
      <c r="J1384" s="48">
        <v>61</v>
      </c>
      <c r="K1384" s="48">
        <v>1</v>
      </c>
      <c r="N1384" s="48">
        <v>0</v>
      </c>
      <c r="R1384" s="49"/>
      <c r="S1384" s="49"/>
      <c r="T1384" s="49">
        <v>47787</v>
      </c>
      <c r="U1384" s="49">
        <v>47787</v>
      </c>
      <c r="V1384" s="49">
        <v>47787</v>
      </c>
      <c r="W1384" s="49">
        <v>47787</v>
      </c>
      <c r="X1384" s="48">
        <v>1</v>
      </c>
      <c r="Y1384" s="48">
        <v>1</v>
      </c>
      <c r="Z1384" s="48">
        <v>1</v>
      </c>
      <c r="AA1384" s="156">
        <v>677940902.80401611</v>
      </c>
      <c r="AF1384" s="48">
        <v>0</v>
      </c>
      <c r="AG1384" s="49" t="s">
        <v>41</v>
      </c>
      <c r="AH1384" s="48">
        <v>1</v>
      </c>
      <c r="AI1384" s="48" t="s">
        <v>33</v>
      </c>
      <c r="AJ1384" s="48" t="s">
        <v>33</v>
      </c>
      <c r="AK1384" s="48" t="s">
        <v>33</v>
      </c>
      <c r="AL1384" s="48" t="s">
        <v>34</v>
      </c>
      <c r="AN1384" s="48">
        <v>0</v>
      </c>
      <c r="AO1384" s="48">
        <v>0</v>
      </c>
      <c r="AP1384" s="48">
        <v>0</v>
      </c>
      <c r="AQ1384" s="48">
        <v>0</v>
      </c>
      <c r="AR1384" s="48">
        <v>0</v>
      </c>
      <c r="AS1384" s="48">
        <v>0</v>
      </c>
      <c r="AT1384" s="48">
        <v>0</v>
      </c>
      <c r="AU1384" s="48">
        <v>0</v>
      </c>
      <c r="AV1384" s="48">
        <v>0</v>
      </c>
      <c r="AW1384" s="48">
        <v>0</v>
      </c>
      <c r="AX1384" s="48">
        <v>0</v>
      </c>
      <c r="AY1384" s="48">
        <v>0</v>
      </c>
      <c r="AZ1384" s="48">
        <v>0</v>
      </c>
      <c r="BA1384" s="48">
        <v>0</v>
      </c>
      <c r="BB1384" s="48">
        <v>0</v>
      </c>
    </row>
    <row r="1385" spans="1:54" x14ac:dyDescent="0.35">
      <c r="A1385" s="49">
        <v>45930</v>
      </c>
      <c r="B1385" s="48">
        <v>1</v>
      </c>
      <c r="C1385" s="50" t="s">
        <v>41</v>
      </c>
      <c r="D1385" s="48" t="s">
        <v>31</v>
      </c>
      <c r="E1385" s="48" t="s">
        <v>138</v>
      </c>
      <c r="F1385" s="48" t="s">
        <v>139</v>
      </c>
      <c r="G1385" s="49" t="s">
        <v>179</v>
      </c>
      <c r="H1385" s="48" t="s">
        <v>178</v>
      </c>
      <c r="I1385" s="48">
        <v>1</v>
      </c>
      <c r="J1385" s="48">
        <v>62</v>
      </c>
      <c r="K1385" s="48">
        <v>1</v>
      </c>
      <c r="N1385" s="48">
        <v>0</v>
      </c>
      <c r="R1385" s="49"/>
      <c r="S1385" s="49"/>
      <c r="T1385" s="49">
        <v>47817</v>
      </c>
      <c r="U1385" s="49">
        <v>47817</v>
      </c>
      <c r="V1385" s="49">
        <v>47817</v>
      </c>
      <c r="W1385" s="49">
        <v>47817</v>
      </c>
      <c r="X1385" s="48">
        <v>1</v>
      </c>
      <c r="Y1385" s="48">
        <v>1</v>
      </c>
      <c r="Z1385" s="48">
        <v>1</v>
      </c>
      <c r="AA1385" s="156">
        <v>667513837.32572174</v>
      </c>
      <c r="AF1385" s="48">
        <v>0</v>
      </c>
      <c r="AG1385" s="49" t="s">
        <v>41</v>
      </c>
      <c r="AH1385" s="48">
        <v>1</v>
      </c>
      <c r="AI1385" s="48" t="s">
        <v>33</v>
      </c>
      <c r="AJ1385" s="48" t="s">
        <v>33</v>
      </c>
      <c r="AK1385" s="48" t="s">
        <v>33</v>
      </c>
      <c r="AL1385" s="48" t="s">
        <v>34</v>
      </c>
      <c r="AN1385" s="48">
        <v>0</v>
      </c>
      <c r="AO1385" s="48">
        <v>0</v>
      </c>
      <c r="AP1385" s="48">
        <v>0</v>
      </c>
      <c r="AQ1385" s="48">
        <v>0</v>
      </c>
      <c r="AR1385" s="48">
        <v>0</v>
      </c>
      <c r="AS1385" s="48">
        <v>0</v>
      </c>
      <c r="AT1385" s="48">
        <v>0</v>
      </c>
      <c r="AU1385" s="48">
        <v>0</v>
      </c>
      <c r="AV1385" s="48">
        <v>0</v>
      </c>
      <c r="AW1385" s="48">
        <v>0</v>
      </c>
      <c r="AX1385" s="48">
        <v>0</v>
      </c>
      <c r="AY1385" s="48">
        <v>0</v>
      </c>
      <c r="AZ1385" s="48">
        <v>0</v>
      </c>
      <c r="BA1385" s="48">
        <v>0</v>
      </c>
      <c r="BB1385" s="48">
        <v>0</v>
      </c>
    </row>
    <row r="1386" spans="1:54" x14ac:dyDescent="0.35">
      <c r="A1386" s="49">
        <v>45930</v>
      </c>
      <c r="B1386" s="48">
        <v>1</v>
      </c>
      <c r="C1386" s="50" t="s">
        <v>41</v>
      </c>
      <c r="D1386" s="48" t="s">
        <v>31</v>
      </c>
      <c r="E1386" s="48" t="s">
        <v>138</v>
      </c>
      <c r="F1386" s="48" t="s">
        <v>139</v>
      </c>
      <c r="G1386" s="49" t="s">
        <v>179</v>
      </c>
      <c r="H1386" s="48" t="s">
        <v>178</v>
      </c>
      <c r="I1386" s="48">
        <v>1</v>
      </c>
      <c r="J1386" s="48">
        <v>63</v>
      </c>
      <c r="K1386" s="48">
        <v>1</v>
      </c>
      <c r="N1386" s="48">
        <v>0</v>
      </c>
      <c r="R1386" s="49"/>
      <c r="S1386" s="49"/>
      <c r="T1386" s="49">
        <v>47848</v>
      </c>
      <c r="U1386" s="49">
        <v>47848</v>
      </c>
      <c r="V1386" s="49">
        <v>47848</v>
      </c>
      <c r="W1386" s="49">
        <v>47848</v>
      </c>
      <c r="X1386" s="48">
        <v>1</v>
      </c>
      <c r="Y1386" s="48">
        <v>1</v>
      </c>
      <c r="Z1386" s="48">
        <v>1</v>
      </c>
      <c r="AA1386" s="156">
        <v>657247145.25759888</v>
      </c>
      <c r="AF1386" s="48">
        <v>0</v>
      </c>
      <c r="AG1386" s="49" t="s">
        <v>41</v>
      </c>
      <c r="AH1386" s="48">
        <v>1</v>
      </c>
      <c r="AI1386" s="48" t="s">
        <v>33</v>
      </c>
      <c r="AJ1386" s="48" t="s">
        <v>33</v>
      </c>
      <c r="AK1386" s="48" t="s">
        <v>33</v>
      </c>
      <c r="AL1386" s="48" t="s">
        <v>34</v>
      </c>
      <c r="AN1386" s="48">
        <v>0</v>
      </c>
      <c r="AO1386" s="48">
        <v>0</v>
      </c>
      <c r="AP1386" s="48">
        <v>0</v>
      </c>
      <c r="AQ1386" s="48">
        <v>0</v>
      </c>
      <c r="AR1386" s="48">
        <v>0</v>
      </c>
      <c r="AS1386" s="48">
        <v>0</v>
      </c>
      <c r="AT1386" s="48">
        <v>0</v>
      </c>
      <c r="AU1386" s="48">
        <v>0</v>
      </c>
      <c r="AV1386" s="48">
        <v>0</v>
      </c>
      <c r="AW1386" s="48">
        <v>0</v>
      </c>
      <c r="AX1386" s="48">
        <v>0</v>
      </c>
      <c r="AY1386" s="48">
        <v>0</v>
      </c>
      <c r="AZ1386" s="48">
        <v>0</v>
      </c>
      <c r="BA1386" s="48">
        <v>0</v>
      </c>
      <c r="BB1386" s="48">
        <v>0</v>
      </c>
    </row>
    <row r="1387" spans="1:54" x14ac:dyDescent="0.35">
      <c r="A1387" s="49">
        <v>45930</v>
      </c>
      <c r="B1387" s="48">
        <v>1</v>
      </c>
      <c r="C1387" s="50" t="s">
        <v>41</v>
      </c>
      <c r="D1387" s="48" t="s">
        <v>31</v>
      </c>
      <c r="E1387" s="48" t="s">
        <v>138</v>
      </c>
      <c r="F1387" s="48" t="s">
        <v>139</v>
      </c>
      <c r="G1387" s="49" t="s">
        <v>179</v>
      </c>
      <c r="H1387" s="48" t="s">
        <v>178</v>
      </c>
      <c r="I1387" s="48">
        <v>1</v>
      </c>
      <c r="J1387" s="48">
        <v>64</v>
      </c>
      <c r="K1387" s="48">
        <v>1</v>
      </c>
      <c r="N1387" s="48">
        <v>0</v>
      </c>
      <c r="R1387" s="49"/>
      <c r="S1387" s="49"/>
      <c r="T1387" s="49">
        <v>47879</v>
      </c>
      <c r="U1387" s="49">
        <v>47879</v>
      </c>
      <c r="V1387" s="49">
        <v>47879</v>
      </c>
      <c r="W1387" s="49">
        <v>47879</v>
      </c>
      <c r="X1387" s="48">
        <v>1</v>
      </c>
      <c r="Y1387" s="48">
        <v>1</v>
      </c>
      <c r="Z1387" s="48">
        <v>1</v>
      </c>
      <c r="AA1387" s="156">
        <v>647138359.97753143</v>
      </c>
      <c r="AF1387" s="48">
        <v>0</v>
      </c>
      <c r="AG1387" s="49" t="s">
        <v>41</v>
      </c>
      <c r="AH1387" s="48">
        <v>1</v>
      </c>
      <c r="AI1387" s="48" t="s">
        <v>33</v>
      </c>
      <c r="AJ1387" s="48" t="s">
        <v>33</v>
      </c>
      <c r="AK1387" s="48" t="s">
        <v>33</v>
      </c>
      <c r="AL1387" s="48" t="s">
        <v>34</v>
      </c>
      <c r="AN1387" s="48">
        <v>0</v>
      </c>
      <c r="AO1387" s="48">
        <v>0</v>
      </c>
      <c r="AP1387" s="48">
        <v>0</v>
      </c>
      <c r="AQ1387" s="48">
        <v>0</v>
      </c>
      <c r="AR1387" s="48">
        <v>0</v>
      </c>
      <c r="AS1387" s="48">
        <v>0</v>
      </c>
      <c r="AT1387" s="48">
        <v>0</v>
      </c>
      <c r="AU1387" s="48">
        <v>0</v>
      </c>
      <c r="AV1387" s="48">
        <v>0</v>
      </c>
      <c r="AW1387" s="48">
        <v>0</v>
      </c>
      <c r="AX1387" s="48">
        <v>0</v>
      </c>
      <c r="AY1387" s="48">
        <v>0</v>
      </c>
      <c r="AZ1387" s="48">
        <v>0</v>
      </c>
      <c r="BA1387" s="48">
        <v>0</v>
      </c>
      <c r="BB1387" s="48">
        <v>0</v>
      </c>
    </row>
    <row r="1388" spans="1:54" x14ac:dyDescent="0.35">
      <c r="A1388" s="49">
        <v>45930</v>
      </c>
      <c r="B1388" s="48">
        <v>1</v>
      </c>
      <c r="C1388" s="50" t="s">
        <v>41</v>
      </c>
      <c r="D1388" s="48" t="s">
        <v>31</v>
      </c>
      <c r="E1388" s="48" t="s">
        <v>138</v>
      </c>
      <c r="F1388" s="48" t="s">
        <v>139</v>
      </c>
      <c r="G1388" s="49" t="s">
        <v>179</v>
      </c>
      <c r="H1388" s="48" t="s">
        <v>178</v>
      </c>
      <c r="I1388" s="48">
        <v>1</v>
      </c>
      <c r="J1388" s="48">
        <v>65</v>
      </c>
      <c r="K1388" s="48">
        <v>1</v>
      </c>
      <c r="N1388" s="48">
        <v>0</v>
      </c>
      <c r="R1388" s="49"/>
      <c r="S1388" s="49"/>
      <c r="T1388" s="49">
        <v>47907</v>
      </c>
      <c r="U1388" s="49">
        <v>47907</v>
      </c>
      <c r="V1388" s="49">
        <v>47907</v>
      </c>
      <c r="W1388" s="49">
        <v>47907</v>
      </c>
      <c r="X1388" s="48">
        <v>1</v>
      </c>
      <c r="Y1388" s="48">
        <v>1</v>
      </c>
      <c r="Z1388" s="48">
        <v>1</v>
      </c>
      <c r="AA1388" s="156">
        <v>637185052.80119324</v>
      </c>
      <c r="AF1388" s="48">
        <v>0</v>
      </c>
      <c r="AG1388" s="49" t="s">
        <v>41</v>
      </c>
      <c r="AH1388" s="48">
        <v>1</v>
      </c>
      <c r="AI1388" s="48" t="s">
        <v>33</v>
      </c>
      <c r="AJ1388" s="48" t="s">
        <v>33</v>
      </c>
      <c r="AK1388" s="48" t="s">
        <v>33</v>
      </c>
      <c r="AL1388" s="48" t="s">
        <v>34</v>
      </c>
      <c r="AN1388" s="48">
        <v>0</v>
      </c>
      <c r="AO1388" s="48">
        <v>0</v>
      </c>
      <c r="AP1388" s="48">
        <v>0</v>
      </c>
      <c r="AQ1388" s="48">
        <v>0</v>
      </c>
      <c r="AR1388" s="48">
        <v>0</v>
      </c>
      <c r="AS1388" s="48">
        <v>0</v>
      </c>
      <c r="AT1388" s="48">
        <v>0</v>
      </c>
      <c r="AU1388" s="48">
        <v>0</v>
      </c>
      <c r="AV1388" s="48">
        <v>0</v>
      </c>
      <c r="AW1388" s="48">
        <v>0</v>
      </c>
      <c r="AX1388" s="48">
        <v>0</v>
      </c>
      <c r="AY1388" s="48">
        <v>0</v>
      </c>
      <c r="AZ1388" s="48">
        <v>0</v>
      </c>
      <c r="BA1388" s="48">
        <v>0</v>
      </c>
      <c r="BB1388" s="48">
        <v>0</v>
      </c>
    </row>
    <row r="1389" spans="1:54" x14ac:dyDescent="0.35">
      <c r="A1389" s="49">
        <v>45930</v>
      </c>
      <c r="B1389" s="48">
        <v>1</v>
      </c>
      <c r="C1389" s="50" t="s">
        <v>41</v>
      </c>
      <c r="D1389" s="48" t="s">
        <v>31</v>
      </c>
      <c r="E1389" s="48" t="s">
        <v>138</v>
      </c>
      <c r="F1389" s="48" t="s">
        <v>139</v>
      </c>
      <c r="G1389" s="49" t="s">
        <v>179</v>
      </c>
      <c r="H1389" s="48" t="s">
        <v>178</v>
      </c>
      <c r="I1389" s="48">
        <v>1</v>
      </c>
      <c r="J1389" s="48">
        <v>66</v>
      </c>
      <c r="K1389" s="48">
        <v>1</v>
      </c>
      <c r="N1389" s="48">
        <v>0</v>
      </c>
      <c r="R1389" s="49"/>
      <c r="S1389" s="49"/>
      <c r="T1389" s="49">
        <v>47938</v>
      </c>
      <c r="U1389" s="49">
        <v>47938</v>
      </c>
      <c r="V1389" s="49">
        <v>47938</v>
      </c>
      <c r="W1389" s="49">
        <v>47938</v>
      </c>
      <c r="X1389" s="48">
        <v>1</v>
      </c>
      <c r="Y1389" s="48">
        <v>1</v>
      </c>
      <c r="Z1389" s="48">
        <v>1</v>
      </c>
      <c r="AA1389" s="156">
        <v>627384832.39868927</v>
      </c>
      <c r="AF1389" s="48">
        <v>0</v>
      </c>
      <c r="AG1389" s="49" t="s">
        <v>41</v>
      </c>
      <c r="AH1389" s="48">
        <v>1</v>
      </c>
      <c r="AI1389" s="48" t="s">
        <v>33</v>
      </c>
      <c r="AJ1389" s="48" t="s">
        <v>33</v>
      </c>
      <c r="AK1389" s="48" t="s">
        <v>33</v>
      </c>
      <c r="AL1389" s="48" t="s">
        <v>34</v>
      </c>
      <c r="AN1389" s="48">
        <v>0</v>
      </c>
      <c r="AO1389" s="48">
        <v>0</v>
      </c>
      <c r="AP1389" s="48">
        <v>0</v>
      </c>
      <c r="AQ1389" s="48">
        <v>0</v>
      </c>
      <c r="AR1389" s="48">
        <v>0</v>
      </c>
      <c r="AS1389" s="48">
        <v>0</v>
      </c>
      <c r="AT1389" s="48">
        <v>0</v>
      </c>
      <c r="AU1389" s="48">
        <v>0</v>
      </c>
      <c r="AV1389" s="48">
        <v>0</v>
      </c>
      <c r="AW1389" s="48">
        <v>0</v>
      </c>
      <c r="AX1389" s="48">
        <v>0</v>
      </c>
      <c r="AY1389" s="48">
        <v>0</v>
      </c>
      <c r="AZ1389" s="48">
        <v>0</v>
      </c>
      <c r="BA1389" s="48">
        <v>0</v>
      </c>
      <c r="BB1389" s="48">
        <v>0</v>
      </c>
    </row>
    <row r="1390" spans="1:54" x14ac:dyDescent="0.35">
      <c r="A1390" s="49">
        <v>45930</v>
      </c>
      <c r="B1390" s="48">
        <v>1</v>
      </c>
      <c r="C1390" s="50" t="s">
        <v>41</v>
      </c>
      <c r="D1390" s="48" t="s">
        <v>31</v>
      </c>
      <c r="E1390" s="48" t="s">
        <v>138</v>
      </c>
      <c r="F1390" s="48" t="s">
        <v>139</v>
      </c>
      <c r="G1390" s="49" t="s">
        <v>179</v>
      </c>
      <c r="H1390" s="48" t="s">
        <v>178</v>
      </c>
      <c r="I1390" s="48">
        <v>1</v>
      </c>
      <c r="J1390" s="48">
        <v>67</v>
      </c>
      <c r="K1390" s="48">
        <v>1</v>
      </c>
      <c r="N1390" s="48">
        <v>0</v>
      </c>
      <c r="R1390" s="49"/>
      <c r="S1390" s="49"/>
      <c r="T1390" s="49">
        <v>47968</v>
      </c>
      <c r="U1390" s="49">
        <v>47968</v>
      </c>
      <c r="V1390" s="49">
        <v>47968</v>
      </c>
      <c r="W1390" s="49">
        <v>47968</v>
      </c>
      <c r="X1390" s="48">
        <v>1</v>
      </c>
      <c r="Y1390" s="48">
        <v>1</v>
      </c>
      <c r="Z1390" s="48">
        <v>1</v>
      </c>
      <c r="AA1390" s="156">
        <v>617735344.21992493</v>
      </c>
      <c r="AF1390" s="48">
        <v>0</v>
      </c>
      <c r="AG1390" s="49" t="s">
        <v>41</v>
      </c>
      <c r="AH1390" s="48">
        <v>1</v>
      </c>
      <c r="AI1390" s="48" t="s">
        <v>33</v>
      </c>
      <c r="AJ1390" s="48" t="s">
        <v>33</v>
      </c>
      <c r="AK1390" s="48" t="s">
        <v>33</v>
      </c>
      <c r="AL1390" s="48" t="s">
        <v>34</v>
      </c>
      <c r="AN1390" s="48">
        <v>0</v>
      </c>
      <c r="AO1390" s="48">
        <v>0</v>
      </c>
      <c r="AP1390" s="48">
        <v>0</v>
      </c>
      <c r="AQ1390" s="48">
        <v>0</v>
      </c>
      <c r="AR1390" s="48">
        <v>0</v>
      </c>
      <c r="AS1390" s="48">
        <v>0</v>
      </c>
      <c r="AT1390" s="48">
        <v>0</v>
      </c>
      <c r="AU1390" s="48">
        <v>0</v>
      </c>
      <c r="AV1390" s="48">
        <v>0</v>
      </c>
      <c r="AW1390" s="48">
        <v>0</v>
      </c>
      <c r="AX1390" s="48">
        <v>0</v>
      </c>
      <c r="AY1390" s="48">
        <v>0</v>
      </c>
      <c r="AZ1390" s="48">
        <v>0</v>
      </c>
      <c r="BA1390" s="48">
        <v>0</v>
      </c>
      <c r="BB1390" s="48">
        <v>0</v>
      </c>
    </row>
    <row r="1391" spans="1:54" x14ac:dyDescent="0.35">
      <c r="A1391" s="49">
        <v>45930</v>
      </c>
      <c r="B1391" s="48">
        <v>1</v>
      </c>
      <c r="C1391" s="50" t="s">
        <v>41</v>
      </c>
      <c r="D1391" s="48" t="s">
        <v>31</v>
      </c>
      <c r="E1391" s="48" t="s">
        <v>138</v>
      </c>
      <c r="F1391" s="48" t="s">
        <v>139</v>
      </c>
      <c r="G1391" s="49" t="s">
        <v>179</v>
      </c>
      <c r="H1391" s="48" t="s">
        <v>178</v>
      </c>
      <c r="I1391" s="48">
        <v>1</v>
      </c>
      <c r="J1391" s="48">
        <v>68</v>
      </c>
      <c r="K1391" s="48">
        <v>1</v>
      </c>
      <c r="N1391" s="48">
        <v>0</v>
      </c>
      <c r="R1391" s="49"/>
      <c r="S1391" s="49"/>
      <c r="T1391" s="49">
        <v>47999</v>
      </c>
      <c r="U1391" s="49">
        <v>47999</v>
      </c>
      <c r="V1391" s="49">
        <v>47999</v>
      </c>
      <c r="W1391" s="49">
        <v>47999</v>
      </c>
      <c r="X1391" s="48">
        <v>1</v>
      </c>
      <c r="Y1391" s="48">
        <v>1</v>
      </c>
      <c r="Z1391" s="48">
        <v>1</v>
      </c>
      <c r="AA1391" s="156">
        <v>608234269.92892456</v>
      </c>
      <c r="AF1391" s="48">
        <v>0</v>
      </c>
      <c r="AG1391" s="49" t="s">
        <v>41</v>
      </c>
      <c r="AH1391" s="48">
        <v>1</v>
      </c>
      <c r="AI1391" s="48" t="s">
        <v>33</v>
      </c>
      <c r="AJ1391" s="48" t="s">
        <v>33</v>
      </c>
      <c r="AK1391" s="48" t="s">
        <v>33</v>
      </c>
      <c r="AL1391" s="48" t="s">
        <v>34</v>
      </c>
      <c r="AN1391" s="48">
        <v>0</v>
      </c>
      <c r="AO1391" s="48">
        <v>0</v>
      </c>
      <c r="AP1391" s="48">
        <v>0</v>
      </c>
      <c r="AQ1391" s="48">
        <v>0</v>
      </c>
      <c r="AR1391" s="48">
        <v>0</v>
      </c>
      <c r="AS1391" s="48">
        <v>0</v>
      </c>
      <c r="AT1391" s="48">
        <v>0</v>
      </c>
      <c r="AU1391" s="48">
        <v>0</v>
      </c>
      <c r="AV1391" s="48">
        <v>0</v>
      </c>
      <c r="AW1391" s="48">
        <v>0</v>
      </c>
      <c r="AX1391" s="48">
        <v>0</v>
      </c>
      <c r="AY1391" s="48">
        <v>0</v>
      </c>
      <c r="AZ1391" s="48">
        <v>0</v>
      </c>
      <c r="BA1391" s="48">
        <v>0</v>
      </c>
      <c r="BB1391" s="48">
        <v>0</v>
      </c>
    </row>
    <row r="1392" spans="1:54" x14ac:dyDescent="0.35">
      <c r="A1392" s="49">
        <v>45930</v>
      </c>
      <c r="B1392" s="48">
        <v>1</v>
      </c>
      <c r="C1392" s="50" t="s">
        <v>41</v>
      </c>
      <c r="D1392" s="48" t="s">
        <v>31</v>
      </c>
      <c r="E1392" s="48" t="s">
        <v>138</v>
      </c>
      <c r="F1392" s="48" t="s">
        <v>139</v>
      </c>
      <c r="G1392" s="49" t="s">
        <v>179</v>
      </c>
      <c r="H1392" s="48" t="s">
        <v>178</v>
      </c>
      <c r="I1392" s="48">
        <v>1</v>
      </c>
      <c r="J1392" s="48">
        <v>69</v>
      </c>
      <c r="K1392" s="48">
        <v>1</v>
      </c>
      <c r="N1392" s="48">
        <v>0</v>
      </c>
      <c r="R1392" s="49"/>
      <c r="S1392" s="49"/>
      <c r="T1392" s="49">
        <v>48029</v>
      </c>
      <c r="U1392" s="49">
        <v>48029</v>
      </c>
      <c r="V1392" s="49">
        <v>48029</v>
      </c>
      <c r="W1392" s="49">
        <v>48029</v>
      </c>
      <c r="X1392" s="48">
        <v>1</v>
      </c>
      <c r="Y1392" s="48">
        <v>1</v>
      </c>
      <c r="Z1392" s="48">
        <v>1</v>
      </c>
      <c r="AA1392" s="156">
        <v>598879326.8469162</v>
      </c>
      <c r="AF1392" s="48">
        <v>0</v>
      </c>
      <c r="AG1392" s="49" t="s">
        <v>41</v>
      </c>
      <c r="AH1392" s="48">
        <v>1</v>
      </c>
      <c r="AI1392" s="48" t="s">
        <v>33</v>
      </c>
      <c r="AJ1392" s="48" t="s">
        <v>33</v>
      </c>
      <c r="AK1392" s="48" t="s">
        <v>33</v>
      </c>
      <c r="AL1392" s="48" t="s">
        <v>34</v>
      </c>
      <c r="AN1392" s="48">
        <v>0</v>
      </c>
      <c r="AO1392" s="48">
        <v>0</v>
      </c>
      <c r="AP1392" s="48">
        <v>0</v>
      </c>
      <c r="AQ1392" s="48">
        <v>0</v>
      </c>
      <c r="AR1392" s="48">
        <v>0</v>
      </c>
      <c r="AS1392" s="48">
        <v>0</v>
      </c>
      <c r="AT1392" s="48">
        <v>0</v>
      </c>
      <c r="AU1392" s="48">
        <v>0</v>
      </c>
      <c r="AV1392" s="48">
        <v>0</v>
      </c>
      <c r="AW1392" s="48">
        <v>0</v>
      </c>
      <c r="AX1392" s="48">
        <v>0</v>
      </c>
      <c r="AY1392" s="48">
        <v>0</v>
      </c>
      <c r="AZ1392" s="48">
        <v>0</v>
      </c>
      <c r="BA1392" s="48">
        <v>0</v>
      </c>
      <c r="BB1392" s="48">
        <v>0</v>
      </c>
    </row>
    <row r="1393" spans="1:54" x14ac:dyDescent="0.35">
      <c r="A1393" s="49">
        <v>45930</v>
      </c>
      <c r="B1393" s="48">
        <v>1</v>
      </c>
      <c r="C1393" s="50" t="s">
        <v>41</v>
      </c>
      <c r="D1393" s="48" t="s">
        <v>31</v>
      </c>
      <c r="E1393" s="48" t="s">
        <v>138</v>
      </c>
      <c r="F1393" s="48" t="s">
        <v>139</v>
      </c>
      <c r="G1393" s="49" t="s">
        <v>179</v>
      </c>
      <c r="H1393" s="48" t="s">
        <v>178</v>
      </c>
      <c r="I1393" s="48">
        <v>1</v>
      </c>
      <c r="J1393" s="48">
        <v>70</v>
      </c>
      <c r="K1393" s="48">
        <v>1</v>
      </c>
      <c r="N1393" s="48">
        <v>0</v>
      </c>
      <c r="R1393" s="49"/>
      <c r="S1393" s="49"/>
      <c r="T1393" s="49">
        <v>48060</v>
      </c>
      <c r="U1393" s="49">
        <v>48060</v>
      </c>
      <c r="V1393" s="49">
        <v>48060</v>
      </c>
      <c r="W1393" s="49">
        <v>48060</v>
      </c>
      <c r="X1393" s="48">
        <v>1</v>
      </c>
      <c r="Y1393" s="48">
        <v>1</v>
      </c>
      <c r="Z1393" s="48">
        <v>1</v>
      </c>
      <c r="AA1393" s="156">
        <v>589668267.40383148</v>
      </c>
      <c r="AF1393" s="48">
        <v>0</v>
      </c>
      <c r="AG1393" s="49" t="s">
        <v>41</v>
      </c>
      <c r="AH1393" s="48">
        <v>1</v>
      </c>
      <c r="AI1393" s="48" t="s">
        <v>33</v>
      </c>
      <c r="AJ1393" s="48" t="s">
        <v>33</v>
      </c>
      <c r="AK1393" s="48" t="s">
        <v>33</v>
      </c>
      <c r="AL1393" s="48" t="s">
        <v>34</v>
      </c>
      <c r="AN1393" s="48">
        <v>0</v>
      </c>
      <c r="AO1393" s="48">
        <v>0</v>
      </c>
      <c r="AP1393" s="48">
        <v>0</v>
      </c>
      <c r="AQ1393" s="48">
        <v>0</v>
      </c>
      <c r="AR1393" s="48">
        <v>0</v>
      </c>
      <c r="AS1393" s="48">
        <v>0</v>
      </c>
      <c r="AT1393" s="48">
        <v>0</v>
      </c>
      <c r="AU1393" s="48">
        <v>0</v>
      </c>
      <c r="AV1393" s="48">
        <v>0</v>
      </c>
      <c r="AW1393" s="48">
        <v>0</v>
      </c>
      <c r="AX1393" s="48">
        <v>0</v>
      </c>
      <c r="AY1393" s="48">
        <v>0</v>
      </c>
      <c r="AZ1393" s="48">
        <v>0</v>
      </c>
      <c r="BA1393" s="48">
        <v>0</v>
      </c>
      <c r="BB1393" s="48">
        <v>0</v>
      </c>
    </row>
    <row r="1394" spans="1:54" x14ac:dyDescent="0.35">
      <c r="A1394" s="49">
        <v>45930</v>
      </c>
      <c r="B1394" s="48">
        <v>1</v>
      </c>
      <c r="C1394" s="50" t="s">
        <v>41</v>
      </c>
      <c r="D1394" s="48" t="s">
        <v>31</v>
      </c>
      <c r="E1394" s="48" t="s">
        <v>138</v>
      </c>
      <c r="F1394" s="48" t="s">
        <v>139</v>
      </c>
      <c r="G1394" s="49" t="s">
        <v>179</v>
      </c>
      <c r="H1394" s="48" t="s">
        <v>178</v>
      </c>
      <c r="I1394" s="48">
        <v>1</v>
      </c>
      <c r="J1394" s="48">
        <v>71</v>
      </c>
      <c r="K1394" s="48">
        <v>1</v>
      </c>
      <c r="N1394" s="48">
        <v>0</v>
      </c>
      <c r="R1394" s="49"/>
      <c r="S1394" s="49"/>
      <c r="T1394" s="49">
        <v>48091</v>
      </c>
      <c r="U1394" s="49">
        <v>48091</v>
      </c>
      <c r="V1394" s="49">
        <v>48091</v>
      </c>
      <c r="W1394" s="49">
        <v>48091</v>
      </c>
      <c r="X1394" s="48">
        <v>1</v>
      </c>
      <c r="Y1394" s="48">
        <v>1</v>
      </c>
      <c r="Z1394" s="48">
        <v>1</v>
      </c>
      <c r="AA1394" s="156">
        <v>580598878.59831238</v>
      </c>
      <c r="AF1394" s="48">
        <v>0</v>
      </c>
      <c r="AG1394" s="49" t="s">
        <v>41</v>
      </c>
      <c r="AH1394" s="48">
        <v>1</v>
      </c>
      <c r="AI1394" s="48" t="s">
        <v>33</v>
      </c>
      <c r="AJ1394" s="48" t="s">
        <v>33</v>
      </c>
      <c r="AK1394" s="48" t="s">
        <v>33</v>
      </c>
      <c r="AL1394" s="48" t="s">
        <v>34</v>
      </c>
      <c r="AN1394" s="48">
        <v>0</v>
      </c>
      <c r="AO1394" s="48">
        <v>0</v>
      </c>
      <c r="AP1394" s="48">
        <v>0</v>
      </c>
      <c r="AQ1394" s="48">
        <v>0</v>
      </c>
      <c r="AR1394" s="48">
        <v>0</v>
      </c>
      <c r="AS1394" s="48">
        <v>0</v>
      </c>
      <c r="AT1394" s="48">
        <v>0</v>
      </c>
      <c r="AU1394" s="48">
        <v>0</v>
      </c>
      <c r="AV1394" s="48">
        <v>0</v>
      </c>
      <c r="AW1394" s="48">
        <v>0</v>
      </c>
      <c r="AX1394" s="48">
        <v>0</v>
      </c>
      <c r="AY1394" s="48">
        <v>0</v>
      </c>
      <c r="AZ1394" s="48">
        <v>0</v>
      </c>
      <c r="BA1394" s="48">
        <v>0</v>
      </c>
      <c r="BB1394" s="48">
        <v>0</v>
      </c>
    </row>
    <row r="1395" spans="1:54" x14ac:dyDescent="0.35">
      <c r="A1395" s="49">
        <v>45930</v>
      </c>
      <c r="B1395" s="48">
        <v>1</v>
      </c>
      <c r="C1395" s="50" t="s">
        <v>41</v>
      </c>
      <c r="D1395" s="48" t="s">
        <v>31</v>
      </c>
      <c r="E1395" s="48" t="s">
        <v>138</v>
      </c>
      <c r="F1395" s="48" t="s">
        <v>139</v>
      </c>
      <c r="G1395" s="49" t="s">
        <v>179</v>
      </c>
      <c r="H1395" s="48" t="s">
        <v>178</v>
      </c>
      <c r="I1395" s="48">
        <v>1</v>
      </c>
      <c r="J1395" s="48">
        <v>72</v>
      </c>
      <c r="K1395" s="48">
        <v>1</v>
      </c>
      <c r="N1395" s="48">
        <v>0</v>
      </c>
      <c r="R1395" s="49"/>
      <c r="S1395" s="49"/>
      <c r="T1395" s="49">
        <v>48121</v>
      </c>
      <c r="U1395" s="49">
        <v>48121</v>
      </c>
      <c r="V1395" s="49">
        <v>48121</v>
      </c>
      <c r="W1395" s="49">
        <v>48121</v>
      </c>
      <c r="X1395" s="48">
        <v>1</v>
      </c>
      <c r="Y1395" s="48">
        <v>1</v>
      </c>
      <c r="Z1395" s="48">
        <v>1</v>
      </c>
      <c r="AA1395" s="156">
        <v>571668981.46607208</v>
      </c>
      <c r="AF1395" s="48">
        <v>0</v>
      </c>
      <c r="AG1395" s="49" t="s">
        <v>41</v>
      </c>
      <c r="AH1395" s="48">
        <v>1</v>
      </c>
      <c r="AI1395" s="48" t="s">
        <v>33</v>
      </c>
      <c r="AJ1395" s="48" t="s">
        <v>33</v>
      </c>
      <c r="AK1395" s="48" t="s">
        <v>33</v>
      </c>
      <c r="AL1395" s="48" t="s">
        <v>34</v>
      </c>
      <c r="AN1395" s="48">
        <v>0</v>
      </c>
      <c r="AO1395" s="48">
        <v>0</v>
      </c>
      <c r="AP1395" s="48">
        <v>0</v>
      </c>
      <c r="AQ1395" s="48">
        <v>0</v>
      </c>
      <c r="AR1395" s="48">
        <v>0</v>
      </c>
      <c r="AS1395" s="48">
        <v>0</v>
      </c>
      <c r="AT1395" s="48">
        <v>0</v>
      </c>
      <c r="AU1395" s="48">
        <v>0</v>
      </c>
      <c r="AV1395" s="48">
        <v>0</v>
      </c>
      <c r="AW1395" s="48">
        <v>0</v>
      </c>
      <c r="AX1395" s="48">
        <v>0</v>
      </c>
      <c r="AY1395" s="48">
        <v>0</v>
      </c>
      <c r="AZ1395" s="48">
        <v>0</v>
      </c>
      <c r="BA1395" s="48">
        <v>0</v>
      </c>
      <c r="BB1395" s="48">
        <v>0</v>
      </c>
    </row>
    <row r="1396" spans="1:54" x14ac:dyDescent="0.35">
      <c r="A1396" s="49">
        <v>45930</v>
      </c>
      <c r="B1396" s="48">
        <v>1</v>
      </c>
      <c r="C1396" s="50" t="s">
        <v>41</v>
      </c>
      <c r="D1396" s="48" t="s">
        <v>31</v>
      </c>
      <c r="E1396" s="48" t="s">
        <v>138</v>
      </c>
      <c r="F1396" s="48" t="s">
        <v>139</v>
      </c>
      <c r="G1396" s="49" t="s">
        <v>179</v>
      </c>
      <c r="H1396" s="48" t="s">
        <v>178</v>
      </c>
      <c r="I1396" s="48">
        <v>1</v>
      </c>
      <c r="J1396" s="48">
        <v>73</v>
      </c>
      <c r="K1396" s="48">
        <v>1</v>
      </c>
      <c r="N1396" s="48">
        <v>0</v>
      </c>
      <c r="R1396" s="49"/>
      <c r="S1396" s="49"/>
      <c r="T1396" s="49">
        <v>48152</v>
      </c>
      <c r="U1396" s="49">
        <v>48152</v>
      </c>
      <c r="V1396" s="49">
        <v>48152</v>
      </c>
      <c r="W1396" s="49">
        <v>48152</v>
      </c>
      <c r="X1396" s="48">
        <v>1</v>
      </c>
      <c r="Y1396" s="48">
        <v>1</v>
      </c>
      <c r="Z1396" s="48">
        <v>1</v>
      </c>
      <c r="AA1396" s="156">
        <v>562876430.55638123</v>
      </c>
      <c r="AF1396" s="48">
        <v>0</v>
      </c>
      <c r="AG1396" s="49" t="s">
        <v>41</v>
      </c>
      <c r="AH1396" s="48">
        <v>1</v>
      </c>
      <c r="AI1396" s="48" t="s">
        <v>33</v>
      </c>
      <c r="AJ1396" s="48" t="s">
        <v>33</v>
      </c>
      <c r="AK1396" s="48" t="s">
        <v>33</v>
      </c>
      <c r="AL1396" s="48" t="s">
        <v>34</v>
      </c>
      <c r="AN1396" s="48">
        <v>0</v>
      </c>
      <c r="AO1396" s="48">
        <v>0</v>
      </c>
      <c r="AP1396" s="48">
        <v>0</v>
      </c>
      <c r="AQ1396" s="48">
        <v>0</v>
      </c>
      <c r="AR1396" s="48">
        <v>0</v>
      </c>
      <c r="AS1396" s="48">
        <v>0</v>
      </c>
      <c r="AT1396" s="48">
        <v>0</v>
      </c>
      <c r="AU1396" s="48">
        <v>0</v>
      </c>
      <c r="AV1396" s="48">
        <v>0</v>
      </c>
      <c r="AW1396" s="48">
        <v>0</v>
      </c>
      <c r="AX1396" s="48">
        <v>0</v>
      </c>
      <c r="AY1396" s="48">
        <v>0</v>
      </c>
      <c r="AZ1396" s="48">
        <v>0</v>
      </c>
      <c r="BA1396" s="48">
        <v>0</v>
      </c>
      <c r="BB1396" s="48">
        <v>0</v>
      </c>
    </row>
    <row r="1397" spans="1:54" x14ac:dyDescent="0.35">
      <c r="A1397" s="49">
        <v>45930</v>
      </c>
      <c r="B1397" s="48">
        <v>1</v>
      </c>
      <c r="C1397" s="50" t="s">
        <v>41</v>
      </c>
      <c r="D1397" s="48" t="s">
        <v>31</v>
      </c>
      <c r="E1397" s="48" t="s">
        <v>138</v>
      </c>
      <c r="F1397" s="48" t="s">
        <v>139</v>
      </c>
      <c r="G1397" s="49" t="s">
        <v>179</v>
      </c>
      <c r="H1397" s="48" t="s">
        <v>178</v>
      </c>
      <c r="I1397" s="48">
        <v>1</v>
      </c>
      <c r="J1397" s="48">
        <v>74</v>
      </c>
      <c r="K1397" s="48">
        <v>1</v>
      </c>
      <c r="N1397" s="48">
        <v>0</v>
      </c>
      <c r="R1397" s="49"/>
      <c r="S1397" s="49"/>
      <c r="T1397" s="49">
        <v>48182</v>
      </c>
      <c r="U1397" s="49">
        <v>48182</v>
      </c>
      <c r="V1397" s="49">
        <v>48182</v>
      </c>
      <c r="W1397" s="49">
        <v>48182</v>
      </c>
      <c r="X1397" s="48">
        <v>1</v>
      </c>
      <c r="Y1397" s="48">
        <v>1</v>
      </c>
      <c r="Z1397" s="48">
        <v>1</v>
      </c>
      <c r="AA1397" s="156">
        <v>554219113.41661072</v>
      </c>
      <c r="AF1397" s="48">
        <v>0</v>
      </c>
      <c r="AG1397" s="49" t="s">
        <v>41</v>
      </c>
      <c r="AH1397" s="48">
        <v>1</v>
      </c>
      <c r="AI1397" s="48" t="s">
        <v>33</v>
      </c>
      <c r="AJ1397" s="48" t="s">
        <v>33</v>
      </c>
      <c r="AK1397" s="48" t="s">
        <v>33</v>
      </c>
      <c r="AL1397" s="48" t="s">
        <v>34</v>
      </c>
      <c r="AN1397" s="48">
        <v>0</v>
      </c>
      <c r="AO1397" s="48">
        <v>0</v>
      </c>
      <c r="AP1397" s="48">
        <v>0</v>
      </c>
      <c r="AQ1397" s="48">
        <v>0</v>
      </c>
      <c r="AR1397" s="48">
        <v>0</v>
      </c>
      <c r="AS1397" s="48">
        <v>0</v>
      </c>
      <c r="AT1397" s="48">
        <v>0</v>
      </c>
      <c r="AU1397" s="48">
        <v>0</v>
      </c>
      <c r="AV1397" s="48">
        <v>0</v>
      </c>
      <c r="AW1397" s="48">
        <v>0</v>
      </c>
      <c r="AX1397" s="48">
        <v>0</v>
      </c>
      <c r="AY1397" s="48">
        <v>0</v>
      </c>
      <c r="AZ1397" s="48">
        <v>0</v>
      </c>
      <c r="BA1397" s="48">
        <v>0</v>
      </c>
      <c r="BB1397" s="48">
        <v>0</v>
      </c>
    </row>
    <row r="1398" spans="1:54" x14ac:dyDescent="0.35">
      <c r="A1398" s="49">
        <v>45930</v>
      </c>
      <c r="B1398" s="48">
        <v>1</v>
      </c>
      <c r="C1398" s="50" t="s">
        <v>41</v>
      </c>
      <c r="D1398" s="48" t="s">
        <v>31</v>
      </c>
      <c r="E1398" s="48" t="s">
        <v>138</v>
      </c>
      <c r="F1398" s="48" t="s">
        <v>139</v>
      </c>
      <c r="G1398" s="49" t="s">
        <v>179</v>
      </c>
      <c r="H1398" s="48" t="s">
        <v>178</v>
      </c>
      <c r="I1398" s="48">
        <v>1</v>
      </c>
      <c r="J1398" s="48">
        <v>75</v>
      </c>
      <c r="K1398" s="48">
        <v>1</v>
      </c>
      <c r="N1398" s="48">
        <v>0</v>
      </c>
      <c r="R1398" s="49"/>
      <c r="S1398" s="49"/>
      <c r="T1398" s="49">
        <v>48213</v>
      </c>
      <c r="U1398" s="49">
        <v>48213</v>
      </c>
      <c r="V1398" s="49">
        <v>48213</v>
      </c>
      <c r="W1398" s="49">
        <v>48213</v>
      </c>
      <c r="X1398" s="48">
        <v>1</v>
      </c>
      <c r="Y1398" s="48">
        <v>1</v>
      </c>
      <c r="Z1398" s="48">
        <v>1</v>
      </c>
      <c r="AA1398" s="156">
        <v>545694950.08464813</v>
      </c>
      <c r="AF1398" s="48">
        <v>0</v>
      </c>
      <c r="AG1398" s="49" t="s">
        <v>41</v>
      </c>
      <c r="AH1398" s="48">
        <v>1</v>
      </c>
      <c r="AI1398" s="48" t="s">
        <v>33</v>
      </c>
      <c r="AJ1398" s="48" t="s">
        <v>33</v>
      </c>
      <c r="AK1398" s="48" t="s">
        <v>33</v>
      </c>
      <c r="AL1398" s="48" t="s">
        <v>34</v>
      </c>
      <c r="AN1398" s="48">
        <v>0</v>
      </c>
      <c r="AO1398" s="48">
        <v>0</v>
      </c>
      <c r="AP1398" s="48">
        <v>0</v>
      </c>
      <c r="AQ1398" s="48">
        <v>0</v>
      </c>
      <c r="AR1398" s="48">
        <v>0</v>
      </c>
      <c r="AS1398" s="48">
        <v>0</v>
      </c>
      <c r="AT1398" s="48">
        <v>0</v>
      </c>
      <c r="AU1398" s="48">
        <v>0</v>
      </c>
      <c r="AV1398" s="48">
        <v>0</v>
      </c>
      <c r="AW1398" s="48">
        <v>0</v>
      </c>
      <c r="AX1398" s="48">
        <v>0</v>
      </c>
      <c r="AY1398" s="48">
        <v>0</v>
      </c>
      <c r="AZ1398" s="48">
        <v>0</v>
      </c>
      <c r="BA1398" s="48">
        <v>0</v>
      </c>
      <c r="BB1398" s="48">
        <v>0</v>
      </c>
    </row>
    <row r="1399" spans="1:54" x14ac:dyDescent="0.35">
      <c r="A1399" s="49">
        <v>45930</v>
      </c>
      <c r="B1399" s="48">
        <v>1</v>
      </c>
      <c r="C1399" s="50" t="s">
        <v>41</v>
      </c>
      <c r="D1399" s="48" t="s">
        <v>31</v>
      </c>
      <c r="E1399" s="48" t="s">
        <v>138</v>
      </c>
      <c r="F1399" s="48" t="s">
        <v>139</v>
      </c>
      <c r="G1399" s="49" t="s">
        <v>179</v>
      </c>
      <c r="H1399" s="48" t="s">
        <v>178</v>
      </c>
      <c r="I1399" s="48">
        <v>1</v>
      </c>
      <c r="J1399" s="48">
        <v>76</v>
      </c>
      <c r="K1399" s="48">
        <v>1</v>
      </c>
      <c r="N1399" s="48">
        <v>0</v>
      </c>
      <c r="R1399" s="49"/>
      <c r="S1399" s="49"/>
      <c r="T1399" s="49">
        <v>48244</v>
      </c>
      <c r="U1399" s="49">
        <v>48244</v>
      </c>
      <c r="V1399" s="49">
        <v>48244</v>
      </c>
      <c r="W1399" s="49">
        <v>48244</v>
      </c>
      <c r="X1399" s="48">
        <v>1</v>
      </c>
      <c r="Y1399" s="48">
        <v>1</v>
      </c>
      <c r="Z1399" s="48">
        <v>1</v>
      </c>
      <c r="AA1399" s="156">
        <v>537301892.58924866</v>
      </c>
      <c r="AF1399" s="48">
        <v>0</v>
      </c>
      <c r="AG1399" s="49" t="s">
        <v>41</v>
      </c>
      <c r="AH1399" s="48">
        <v>1</v>
      </c>
      <c r="AI1399" s="48" t="s">
        <v>33</v>
      </c>
      <c r="AJ1399" s="48" t="s">
        <v>33</v>
      </c>
      <c r="AK1399" s="48" t="s">
        <v>33</v>
      </c>
      <c r="AL1399" s="48" t="s">
        <v>34</v>
      </c>
      <c r="AN1399" s="48">
        <v>0</v>
      </c>
      <c r="AO1399" s="48">
        <v>0</v>
      </c>
      <c r="AP1399" s="48">
        <v>0</v>
      </c>
      <c r="AQ1399" s="48">
        <v>0</v>
      </c>
      <c r="AR1399" s="48">
        <v>0</v>
      </c>
      <c r="AS1399" s="48">
        <v>0</v>
      </c>
      <c r="AT1399" s="48">
        <v>0</v>
      </c>
      <c r="AU1399" s="48">
        <v>0</v>
      </c>
      <c r="AV1399" s="48">
        <v>0</v>
      </c>
      <c r="AW1399" s="48">
        <v>0</v>
      </c>
      <c r="AX1399" s="48">
        <v>0</v>
      </c>
      <c r="AY1399" s="48">
        <v>0</v>
      </c>
      <c r="AZ1399" s="48">
        <v>0</v>
      </c>
      <c r="BA1399" s="48">
        <v>0</v>
      </c>
      <c r="BB1399" s="48">
        <v>0</v>
      </c>
    </row>
    <row r="1400" spans="1:54" x14ac:dyDescent="0.35">
      <c r="A1400" s="49">
        <v>45930</v>
      </c>
      <c r="B1400" s="48">
        <v>1</v>
      </c>
      <c r="C1400" s="50" t="s">
        <v>41</v>
      </c>
      <c r="D1400" s="48" t="s">
        <v>31</v>
      </c>
      <c r="E1400" s="48" t="s">
        <v>138</v>
      </c>
      <c r="F1400" s="48" t="s">
        <v>139</v>
      </c>
      <c r="G1400" s="49" t="s">
        <v>179</v>
      </c>
      <c r="H1400" s="48" t="s">
        <v>178</v>
      </c>
      <c r="I1400" s="48">
        <v>1</v>
      </c>
      <c r="J1400" s="48">
        <v>77</v>
      </c>
      <c r="K1400" s="48">
        <v>1</v>
      </c>
      <c r="N1400" s="48">
        <v>0</v>
      </c>
      <c r="R1400" s="49"/>
      <c r="S1400" s="49"/>
      <c r="T1400" s="49">
        <v>48273</v>
      </c>
      <c r="U1400" s="49">
        <v>48273</v>
      </c>
      <c r="V1400" s="49">
        <v>48273</v>
      </c>
      <c r="W1400" s="49">
        <v>48273</v>
      </c>
      <c r="X1400" s="48">
        <v>1</v>
      </c>
      <c r="Y1400" s="48">
        <v>1</v>
      </c>
      <c r="Z1400" s="48">
        <v>1</v>
      </c>
      <c r="AA1400" s="156">
        <v>529037924.45800781</v>
      </c>
      <c r="AF1400" s="48">
        <v>0</v>
      </c>
      <c r="AG1400" s="49" t="s">
        <v>41</v>
      </c>
      <c r="AH1400" s="48">
        <v>1</v>
      </c>
      <c r="AI1400" s="48" t="s">
        <v>33</v>
      </c>
      <c r="AJ1400" s="48" t="s">
        <v>33</v>
      </c>
      <c r="AK1400" s="48" t="s">
        <v>33</v>
      </c>
      <c r="AL1400" s="48" t="s">
        <v>34</v>
      </c>
      <c r="AN1400" s="48">
        <v>0</v>
      </c>
      <c r="AO1400" s="48">
        <v>0</v>
      </c>
      <c r="AP1400" s="48">
        <v>0</v>
      </c>
      <c r="AQ1400" s="48">
        <v>0</v>
      </c>
      <c r="AR1400" s="48">
        <v>0</v>
      </c>
      <c r="AS1400" s="48">
        <v>0</v>
      </c>
      <c r="AT1400" s="48">
        <v>0</v>
      </c>
      <c r="AU1400" s="48">
        <v>0</v>
      </c>
      <c r="AV1400" s="48">
        <v>0</v>
      </c>
      <c r="AW1400" s="48">
        <v>0</v>
      </c>
      <c r="AX1400" s="48">
        <v>0</v>
      </c>
      <c r="AY1400" s="48">
        <v>0</v>
      </c>
      <c r="AZ1400" s="48">
        <v>0</v>
      </c>
      <c r="BA1400" s="48">
        <v>0</v>
      </c>
      <c r="BB1400" s="48">
        <v>0</v>
      </c>
    </row>
    <row r="1401" spans="1:54" x14ac:dyDescent="0.35">
      <c r="A1401" s="49">
        <v>45930</v>
      </c>
      <c r="B1401" s="48">
        <v>1</v>
      </c>
      <c r="C1401" s="50" t="s">
        <v>41</v>
      </c>
      <c r="D1401" s="48" t="s">
        <v>31</v>
      </c>
      <c r="E1401" s="48" t="s">
        <v>138</v>
      </c>
      <c r="F1401" s="48" t="s">
        <v>139</v>
      </c>
      <c r="G1401" s="49" t="s">
        <v>179</v>
      </c>
      <c r="H1401" s="48" t="s">
        <v>178</v>
      </c>
      <c r="I1401" s="48">
        <v>1</v>
      </c>
      <c r="J1401" s="48">
        <v>78</v>
      </c>
      <c r="K1401" s="48">
        <v>1</v>
      </c>
      <c r="N1401" s="48">
        <v>0</v>
      </c>
      <c r="R1401" s="49"/>
      <c r="S1401" s="49"/>
      <c r="T1401" s="49">
        <v>48304</v>
      </c>
      <c r="U1401" s="49">
        <v>48304</v>
      </c>
      <c r="V1401" s="49">
        <v>48304</v>
      </c>
      <c r="W1401" s="49">
        <v>48304</v>
      </c>
      <c r="X1401" s="48">
        <v>1</v>
      </c>
      <c r="Y1401" s="48">
        <v>1</v>
      </c>
      <c r="Z1401" s="48">
        <v>1</v>
      </c>
      <c r="AA1401" s="156">
        <v>520901060.23279953</v>
      </c>
      <c r="AF1401" s="48">
        <v>0</v>
      </c>
      <c r="AG1401" s="49" t="s">
        <v>41</v>
      </c>
      <c r="AH1401" s="48">
        <v>1</v>
      </c>
      <c r="AI1401" s="48" t="s">
        <v>33</v>
      </c>
      <c r="AJ1401" s="48" t="s">
        <v>33</v>
      </c>
      <c r="AK1401" s="48" t="s">
        <v>33</v>
      </c>
      <c r="AL1401" s="48" t="s">
        <v>34</v>
      </c>
      <c r="AN1401" s="48">
        <v>0</v>
      </c>
      <c r="AO1401" s="48">
        <v>0</v>
      </c>
      <c r="AP1401" s="48">
        <v>0</v>
      </c>
      <c r="AQ1401" s="48">
        <v>0</v>
      </c>
      <c r="AR1401" s="48">
        <v>0</v>
      </c>
      <c r="AS1401" s="48">
        <v>0</v>
      </c>
      <c r="AT1401" s="48">
        <v>0</v>
      </c>
      <c r="AU1401" s="48">
        <v>0</v>
      </c>
      <c r="AV1401" s="48">
        <v>0</v>
      </c>
      <c r="AW1401" s="48">
        <v>0</v>
      </c>
      <c r="AX1401" s="48">
        <v>0</v>
      </c>
      <c r="AY1401" s="48">
        <v>0</v>
      </c>
      <c r="AZ1401" s="48">
        <v>0</v>
      </c>
      <c r="BA1401" s="48">
        <v>0</v>
      </c>
      <c r="BB1401" s="48">
        <v>0</v>
      </c>
    </row>
    <row r="1402" spans="1:54" x14ac:dyDescent="0.35">
      <c r="A1402" s="49">
        <v>45930</v>
      </c>
      <c r="B1402" s="48">
        <v>1</v>
      </c>
      <c r="C1402" s="50" t="s">
        <v>41</v>
      </c>
      <c r="D1402" s="48" t="s">
        <v>31</v>
      </c>
      <c r="E1402" s="48" t="s">
        <v>138</v>
      </c>
      <c r="F1402" s="48" t="s">
        <v>139</v>
      </c>
      <c r="G1402" s="49" t="s">
        <v>179</v>
      </c>
      <c r="H1402" s="48" t="s">
        <v>178</v>
      </c>
      <c r="I1402" s="48">
        <v>1</v>
      </c>
      <c r="J1402" s="48">
        <v>79</v>
      </c>
      <c r="K1402" s="48">
        <v>1</v>
      </c>
      <c r="N1402" s="48">
        <v>0</v>
      </c>
      <c r="R1402" s="49"/>
      <c r="S1402" s="49"/>
      <c r="T1402" s="49">
        <v>48334</v>
      </c>
      <c r="U1402" s="49">
        <v>48334</v>
      </c>
      <c r="V1402" s="49">
        <v>48334</v>
      </c>
      <c r="W1402" s="49">
        <v>48334</v>
      </c>
      <c r="X1402" s="48">
        <v>1</v>
      </c>
      <c r="Y1402" s="48">
        <v>1</v>
      </c>
      <c r="Z1402" s="48">
        <v>1</v>
      </c>
      <c r="AA1402" s="156">
        <v>512889344.99286652</v>
      </c>
      <c r="AF1402" s="48">
        <v>0</v>
      </c>
      <c r="AG1402" s="49" t="s">
        <v>41</v>
      </c>
      <c r="AH1402" s="48">
        <v>1</v>
      </c>
      <c r="AI1402" s="48" t="s">
        <v>33</v>
      </c>
      <c r="AJ1402" s="48" t="s">
        <v>33</v>
      </c>
      <c r="AK1402" s="48" t="s">
        <v>33</v>
      </c>
      <c r="AL1402" s="48" t="s">
        <v>34</v>
      </c>
      <c r="AN1402" s="48">
        <v>0</v>
      </c>
      <c r="AO1402" s="48">
        <v>0</v>
      </c>
      <c r="AP1402" s="48">
        <v>0</v>
      </c>
      <c r="AQ1402" s="48">
        <v>0</v>
      </c>
      <c r="AR1402" s="48">
        <v>0</v>
      </c>
      <c r="AS1402" s="48">
        <v>0</v>
      </c>
      <c r="AT1402" s="48">
        <v>0</v>
      </c>
      <c r="AU1402" s="48">
        <v>0</v>
      </c>
      <c r="AV1402" s="48">
        <v>0</v>
      </c>
      <c r="AW1402" s="48">
        <v>0</v>
      </c>
      <c r="AX1402" s="48">
        <v>0</v>
      </c>
      <c r="AY1402" s="48">
        <v>0</v>
      </c>
      <c r="AZ1402" s="48">
        <v>0</v>
      </c>
      <c r="BA1402" s="48">
        <v>0</v>
      </c>
      <c r="BB1402" s="48">
        <v>0</v>
      </c>
    </row>
    <row r="1403" spans="1:54" x14ac:dyDescent="0.35">
      <c r="A1403" s="49">
        <v>45930</v>
      </c>
      <c r="B1403" s="48">
        <v>1</v>
      </c>
      <c r="C1403" s="50" t="s">
        <v>41</v>
      </c>
      <c r="D1403" s="48" t="s">
        <v>31</v>
      </c>
      <c r="E1403" s="48" t="s">
        <v>138</v>
      </c>
      <c r="F1403" s="48" t="s">
        <v>139</v>
      </c>
      <c r="G1403" s="49" t="s">
        <v>179</v>
      </c>
      <c r="H1403" s="48" t="s">
        <v>178</v>
      </c>
      <c r="I1403" s="48">
        <v>1</v>
      </c>
      <c r="J1403" s="48">
        <v>80</v>
      </c>
      <c r="K1403" s="48">
        <v>1</v>
      </c>
      <c r="N1403" s="48">
        <v>0</v>
      </c>
      <c r="R1403" s="49"/>
      <c r="S1403" s="49"/>
      <c r="T1403" s="49">
        <v>48365</v>
      </c>
      <c r="U1403" s="49">
        <v>48365</v>
      </c>
      <c r="V1403" s="49">
        <v>48365</v>
      </c>
      <c r="W1403" s="49">
        <v>48365</v>
      </c>
      <c r="X1403" s="48">
        <v>1</v>
      </c>
      <c r="Y1403" s="48">
        <v>1</v>
      </c>
      <c r="Z1403" s="48">
        <v>1</v>
      </c>
      <c r="AA1403" s="156">
        <v>505000853.88510895</v>
      </c>
      <c r="AF1403" s="48">
        <v>0</v>
      </c>
      <c r="AG1403" s="49" t="s">
        <v>41</v>
      </c>
      <c r="AH1403" s="48">
        <v>1</v>
      </c>
      <c r="AI1403" s="48" t="s">
        <v>33</v>
      </c>
      <c r="AJ1403" s="48" t="s">
        <v>33</v>
      </c>
      <c r="AK1403" s="48" t="s">
        <v>33</v>
      </c>
      <c r="AL1403" s="48" t="s">
        <v>34</v>
      </c>
      <c r="AN1403" s="48">
        <v>0</v>
      </c>
      <c r="AO1403" s="48">
        <v>0</v>
      </c>
      <c r="AP1403" s="48">
        <v>0</v>
      </c>
      <c r="AQ1403" s="48">
        <v>0</v>
      </c>
      <c r="AR1403" s="48">
        <v>0</v>
      </c>
      <c r="AS1403" s="48">
        <v>0</v>
      </c>
      <c r="AT1403" s="48">
        <v>0</v>
      </c>
      <c r="AU1403" s="48">
        <v>0</v>
      </c>
      <c r="AV1403" s="48">
        <v>0</v>
      </c>
      <c r="AW1403" s="48">
        <v>0</v>
      </c>
      <c r="AX1403" s="48">
        <v>0</v>
      </c>
      <c r="AY1403" s="48">
        <v>0</v>
      </c>
      <c r="AZ1403" s="48">
        <v>0</v>
      </c>
      <c r="BA1403" s="48">
        <v>0</v>
      </c>
      <c r="BB1403" s="48">
        <v>0</v>
      </c>
    </row>
    <row r="1404" spans="1:54" x14ac:dyDescent="0.35">
      <c r="A1404" s="49">
        <v>45930</v>
      </c>
      <c r="B1404" s="48">
        <v>1</v>
      </c>
      <c r="C1404" s="50" t="s">
        <v>41</v>
      </c>
      <c r="D1404" s="48" t="s">
        <v>31</v>
      </c>
      <c r="E1404" s="48" t="s">
        <v>138</v>
      </c>
      <c r="F1404" s="48" t="s">
        <v>139</v>
      </c>
      <c r="G1404" s="49" t="s">
        <v>179</v>
      </c>
      <c r="H1404" s="48" t="s">
        <v>178</v>
      </c>
      <c r="I1404" s="48">
        <v>1</v>
      </c>
      <c r="J1404" s="48">
        <v>81</v>
      </c>
      <c r="K1404" s="48">
        <v>1</v>
      </c>
      <c r="N1404" s="48">
        <v>0</v>
      </c>
      <c r="R1404" s="49"/>
      <c r="S1404" s="49"/>
      <c r="T1404" s="49">
        <v>48395</v>
      </c>
      <c r="U1404" s="49">
        <v>48395</v>
      </c>
      <c r="V1404" s="49">
        <v>48395</v>
      </c>
      <c r="W1404" s="49">
        <v>48395</v>
      </c>
      <c r="X1404" s="48">
        <v>1</v>
      </c>
      <c r="Y1404" s="48">
        <v>1</v>
      </c>
      <c r="Z1404" s="48">
        <v>1</v>
      </c>
      <c r="AA1404" s="156">
        <v>497233691.66155243</v>
      </c>
      <c r="AF1404" s="48">
        <v>0</v>
      </c>
      <c r="AG1404" s="49" t="s">
        <v>41</v>
      </c>
      <c r="AH1404" s="48">
        <v>1</v>
      </c>
      <c r="AI1404" s="48" t="s">
        <v>33</v>
      </c>
      <c r="AJ1404" s="48" t="s">
        <v>33</v>
      </c>
      <c r="AK1404" s="48" t="s">
        <v>33</v>
      </c>
      <c r="AL1404" s="48" t="s">
        <v>34</v>
      </c>
      <c r="AN1404" s="48">
        <v>0</v>
      </c>
      <c r="AO1404" s="48">
        <v>0</v>
      </c>
      <c r="AP1404" s="48">
        <v>0</v>
      </c>
      <c r="AQ1404" s="48">
        <v>0</v>
      </c>
      <c r="AR1404" s="48">
        <v>0</v>
      </c>
      <c r="AS1404" s="48">
        <v>0</v>
      </c>
      <c r="AT1404" s="48">
        <v>0</v>
      </c>
      <c r="AU1404" s="48">
        <v>0</v>
      </c>
      <c r="AV1404" s="48">
        <v>0</v>
      </c>
      <c r="AW1404" s="48">
        <v>0</v>
      </c>
      <c r="AX1404" s="48">
        <v>0</v>
      </c>
      <c r="AY1404" s="48">
        <v>0</v>
      </c>
      <c r="AZ1404" s="48">
        <v>0</v>
      </c>
      <c r="BA1404" s="48">
        <v>0</v>
      </c>
      <c r="BB1404" s="48">
        <v>0</v>
      </c>
    </row>
    <row r="1405" spans="1:54" x14ac:dyDescent="0.35">
      <c r="A1405" s="49">
        <v>45930</v>
      </c>
      <c r="B1405" s="48">
        <v>1</v>
      </c>
      <c r="C1405" s="50" t="s">
        <v>41</v>
      </c>
      <c r="D1405" s="48" t="s">
        <v>31</v>
      </c>
      <c r="E1405" s="48" t="s">
        <v>138</v>
      </c>
      <c r="F1405" s="48" t="s">
        <v>139</v>
      </c>
      <c r="G1405" s="49" t="s">
        <v>179</v>
      </c>
      <c r="H1405" s="48" t="s">
        <v>178</v>
      </c>
      <c r="I1405" s="48">
        <v>1</v>
      </c>
      <c r="J1405" s="48">
        <v>82</v>
      </c>
      <c r="K1405" s="48">
        <v>1</v>
      </c>
      <c r="N1405" s="48">
        <v>0</v>
      </c>
      <c r="R1405" s="49"/>
      <c r="S1405" s="49"/>
      <c r="T1405" s="49">
        <v>48426</v>
      </c>
      <c r="U1405" s="49">
        <v>48426</v>
      </c>
      <c r="V1405" s="49">
        <v>48426</v>
      </c>
      <c r="W1405" s="49">
        <v>48426</v>
      </c>
      <c r="X1405" s="48">
        <v>1</v>
      </c>
      <c r="Y1405" s="48">
        <v>1</v>
      </c>
      <c r="Z1405" s="48">
        <v>1</v>
      </c>
      <c r="AA1405" s="156">
        <v>489585992.22413635</v>
      </c>
      <c r="AF1405" s="48">
        <v>0</v>
      </c>
      <c r="AG1405" s="49" t="s">
        <v>41</v>
      </c>
      <c r="AH1405" s="48">
        <v>1</v>
      </c>
      <c r="AI1405" s="48" t="s">
        <v>33</v>
      </c>
      <c r="AJ1405" s="48" t="s">
        <v>33</v>
      </c>
      <c r="AK1405" s="48" t="s">
        <v>33</v>
      </c>
      <c r="AL1405" s="48" t="s">
        <v>34</v>
      </c>
      <c r="AN1405" s="48">
        <v>0</v>
      </c>
      <c r="AO1405" s="48">
        <v>0</v>
      </c>
      <c r="AP1405" s="48">
        <v>0</v>
      </c>
      <c r="AQ1405" s="48">
        <v>0</v>
      </c>
      <c r="AR1405" s="48">
        <v>0</v>
      </c>
      <c r="AS1405" s="48">
        <v>0</v>
      </c>
      <c r="AT1405" s="48">
        <v>0</v>
      </c>
      <c r="AU1405" s="48">
        <v>0</v>
      </c>
      <c r="AV1405" s="48">
        <v>0</v>
      </c>
      <c r="AW1405" s="48">
        <v>0</v>
      </c>
      <c r="AX1405" s="48">
        <v>0</v>
      </c>
      <c r="AY1405" s="48">
        <v>0</v>
      </c>
      <c r="AZ1405" s="48">
        <v>0</v>
      </c>
      <c r="BA1405" s="48">
        <v>0</v>
      </c>
      <c r="BB1405" s="48">
        <v>0</v>
      </c>
    </row>
    <row r="1406" spans="1:54" x14ac:dyDescent="0.35">
      <c r="A1406" s="49">
        <v>45930</v>
      </c>
      <c r="B1406" s="48">
        <v>1</v>
      </c>
      <c r="C1406" s="50" t="s">
        <v>41</v>
      </c>
      <c r="D1406" s="48" t="s">
        <v>31</v>
      </c>
      <c r="E1406" s="48" t="s">
        <v>138</v>
      </c>
      <c r="F1406" s="48" t="s">
        <v>139</v>
      </c>
      <c r="G1406" s="49" t="s">
        <v>179</v>
      </c>
      <c r="H1406" s="48" t="s">
        <v>178</v>
      </c>
      <c r="I1406" s="48">
        <v>1</v>
      </c>
      <c r="J1406" s="48">
        <v>83</v>
      </c>
      <c r="K1406" s="48">
        <v>1</v>
      </c>
      <c r="N1406" s="48">
        <v>0</v>
      </c>
      <c r="R1406" s="49"/>
      <c r="S1406" s="49"/>
      <c r="T1406" s="49">
        <v>48457</v>
      </c>
      <c r="U1406" s="49">
        <v>48457</v>
      </c>
      <c r="V1406" s="49">
        <v>48457</v>
      </c>
      <c r="W1406" s="49">
        <v>48457</v>
      </c>
      <c r="X1406" s="48">
        <v>1</v>
      </c>
      <c r="Y1406" s="48">
        <v>1</v>
      </c>
      <c r="Z1406" s="48">
        <v>1</v>
      </c>
      <c r="AA1406" s="156">
        <v>482055918.17629623</v>
      </c>
      <c r="AF1406" s="48">
        <v>0</v>
      </c>
      <c r="AG1406" s="49" t="s">
        <v>41</v>
      </c>
      <c r="AH1406" s="48">
        <v>1</v>
      </c>
      <c r="AI1406" s="48" t="s">
        <v>33</v>
      </c>
      <c r="AJ1406" s="48" t="s">
        <v>33</v>
      </c>
      <c r="AK1406" s="48" t="s">
        <v>33</v>
      </c>
      <c r="AL1406" s="48" t="s">
        <v>34</v>
      </c>
      <c r="AN1406" s="48">
        <v>0</v>
      </c>
      <c r="AO1406" s="48">
        <v>0</v>
      </c>
      <c r="AP1406" s="48">
        <v>0</v>
      </c>
      <c r="AQ1406" s="48">
        <v>0</v>
      </c>
      <c r="AR1406" s="48">
        <v>0</v>
      </c>
      <c r="AS1406" s="48">
        <v>0</v>
      </c>
      <c r="AT1406" s="48">
        <v>0</v>
      </c>
      <c r="AU1406" s="48">
        <v>0</v>
      </c>
      <c r="AV1406" s="48">
        <v>0</v>
      </c>
      <c r="AW1406" s="48">
        <v>0</v>
      </c>
      <c r="AX1406" s="48">
        <v>0</v>
      </c>
      <c r="AY1406" s="48">
        <v>0</v>
      </c>
      <c r="AZ1406" s="48">
        <v>0</v>
      </c>
      <c r="BA1406" s="48">
        <v>0</v>
      </c>
      <c r="BB1406" s="48">
        <v>0</v>
      </c>
    </row>
    <row r="1407" spans="1:54" x14ac:dyDescent="0.35">
      <c r="A1407" s="49">
        <v>45930</v>
      </c>
      <c r="B1407" s="48">
        <v>1</v>
      </c>
      <c r="C1407" s="50" t="s">
        <v>41</v>
      </c>
      <c r="D1407" s="48" t="s">
        <v>31</v>
      </c>
      <c r="E1407" s="48" t="s">
        <v>138</v>
      </c>
      <c r="F1407" s="48" t="s">
        <v>139</v>
      </c>
      <c r="G1407" s="49" t="s">
        <v>179</v>
      </c>
      <c r="H1407" s="48" t="s">
        <v>178</v>
      </c>
      <c r="I1407" s="48">
        <v>1</v>
      </c>
      <c r="J1407" s="48">
        <v>84</v>
      </c>
      <c r="K1407" s="48">
        <v>1</v>
      </c>
      <c r="N1407" s="48">
        <v>0</v>
      </c>
      <c r="R1407" s="49"/>
      <c r="S1407" s="49"/>
      <c r="T1407" s="49">
        <v>48487</v>
      </c>
      <c r="U1407" s="49">
        <v>48487</v>
      </c>
      <c r="V1407" s="49">
        <v>48487</v>
      </c>
      <c r="W1407" s="49">
        <v>48487</v>
      </c>
      <c r="X1407" s="48">
        <v>1</v>
      </c>
      <c r="Y1407" s="48">
        <v>1</v>
      </c>
      <c r="Z1407" s="48">
        <v>1</v>
      </c>
      <c r="AA1407" s="156">
        <v>474641660.38150024</v>
      </c>
      <c r="AF1407" s="48">
        <v>0</v>
      </c>
      <c r="AG1407" s="49" t="s">
        <v>41</v>
      </c>
      <c r="AH1407" s="48">
        <v>1</v>
      </c>
      <c r="AI1407" s="48" t="s">
        <v>33</v>
      </c>
      <c r="AJ1407" s="48" t="s">
        <v>33</v>
      </c>
      <c r="AK1407" s="48" t="s">
        <v>33</v>
      </c>
      <c r="AL1407" s="48" t="s">
        <v>34</v>
      </c>
      <c r="AN1407" s="48">
        <v>0</v>
      </c>
      <c r="AO1407" s="48">
        <v>0</v>
      </c>
      <c r="AP1407" s="48">
        <v>0</v>
      </c>
      <c r="AQ1407" s="48">
        <v>0</v>
      </c>
      <c r="AR1407" s="48">
        <v>0</v>
      </c>
      <c r="AS1407" s="48">
        <v>0</v>
      </c>
      <c r="AT1407" s="48">
        <v>0</v>
      </c>
      <c r="AU1407" s="48">
        <v>0</v>
      </c>
      <c r="AV1407" s="48">
        <v>0</v>
      </c>
      <c r="AW1407" s="48">
        <v>0</v>
      </c>
      <c r="AX1407" s="48">
        <v>0</v>
      </c>
      <c r="AY1407" s="48">
        <v>0</v>
      </c>
      <c r="AZ1407" s="48">
        <v>0</v>
      </c>
      <c r="BA1407" s="48">
        <v>0</v>
      </c>
      <c r="BB1407" s="48">
        <v>0</v>
      </c>
    </row>
    <row r="1408" spans="1:54" x14ac:dyDescent="0.35">
      <c r="A1408" s="49">
        <v>45930</v>
      </c>
      <c r="B1408" s="48">
        <v>1</v>
      </c>
      <c r="C1408" s="50" t="s">
        <v>41</v>
      </c>
      <c r="D1408" s="48" t="s">
        <v>31</v>
      </c>
      <c r="E1408" s="48" t="s">
        <v>138</v>
      </c>
      <c r="F1408" s="48" t="s">
        <v>139</v>
      </c>
      <c r="G1408" s="49" t="s">
        <v>179</v>
      </c>
      <c r="H1408" s="48" t="s">
        <v>178</v>
      </c>
      <c r="I1408" s="48">
        <v>1</v>
      </c>
      <c r="J1408" s="48">
        <v>85</v>
      </c>
      <c r="K1408" s="48">
        <v>1</v>
      </c>
      <c r="N1408" s="48">
        <v>0</v>
      </c>
      <c r="R1408" s="49"/>
      <c r="S1408" s="49"/>
      <c r="T1408" s="49">
        <v>48518</v>
      </c>
      <c r="U1408" s="49">
        <v>48518</v>
      </c>
      <c r="V1408" s="49">
        <v>48518</v>
      </c>
      <c r="W1408" s="49">
        <v>48518</v>
      </c>
      <c r="X1408" s="48">
        <v>1</v>
      </c>
      <c r="Y1408" s="48">
        <v>1</v>
      </c>
      <c r="Z1408" s="48">
        <v>1</v>
      </c>
      <c r="AA1408" s="156">
        <v>467341437.52864838</v>
      </c>
      <c r="AF1408" s="48">
        <v>0</v>
      </c>
      <c r="AG1408" s="49" t="s">
        <v>41</v>
      </c>
      <c r="AH1408" s="48">
        <v>1</v>
      </c>
      <c r="AI1408" s="48" t="s">
        <v>33</v>
      </c>
      <c r="AJ1408" s="48" t="s">
        <v>33</v>
      </c>
      <c r="AK1408" s="48" t="s">
        <v>33</v>
      </c>
      <c r="AL1408" s="48" t="s">
        <v>34</v>
      </c>
      <c r="AN1408" s="48">
        <v>0</v>
      </c>
      <c r="AO1408" s="48">
        <v>0</v>
      </c>
      <c r="AP1408" s="48">
        <v>0</v>
      </c>
      <c r="AQ1408" s="48">
        <v>0</v>
      </c>
      <c r="AR1408" s="48">
        <v>0</v>
      </c>
      <c r="AS1408" s="48">
        <v>0</v>
      </c>
      <c r="AT1408" s="48">
        <v>0</v>
      </c>
      <c r="AU1408" s="48">
        <v>0</v>
      </c>
      <c r="AV1408" s="48">
        <v>0</v>
      </c>
      <c r="AW1408" s="48">
        <v>0</v>
      </c>
      <c r="AX1408" s="48">
        <v>0</v>
      </c>
      <c r="AY1408" s="48">
        <v>0</v>
      </c>
      <c r="AZ1408" s="48">
        <v>0</v>
      </c>
      <c r="BA1408" s="48">
        <v>0</v>
      </c>
      <c r="BB1408" s="48">
        <v>0</v>
      </c>
    </row>
    <row r="1409" spans="1:54" x14ac:dyDescent="0.35">
      <c r="A1409" s="49">
        <v>45930</v>
      </c>
      <c r="B1409" s="48">
        <v>1</v>
      </c>
      <c r="C1409" s="50" t="s">
        <v>41</v>
      </c>
      <c r="D1409" s="48" t="s">
        <v>31</v>
      </c>
      <c r="E1409" s="48" t="s">
        <v>138</v>
      </c>
      <c r="F1409" s="48" t="s">
        <v>139</v>
      </c>
      <c r="G1409" s="49" t="s">
        <v>179</v>
      </c>
      <c r="H1409" s="48" t="s">
        <v>178</v>
      </c>
      <c r="I1409" s="48">
        <v>1</v>
      </c>
      <c r="J1409" s="48">
        <v>86</v>
      </c>
      <c r="K1409" s="48">
        <v>1</v>
      </c>
      <c r="N1409" s="48">
        <v>0</v>
      </c>
      <c r="R1409" s="49"/>
      <c r="S1409" s="49"/>
      <c r="T1409" s="49">
        <v>48548</v>
      </c>
      <c r="U1409" s="49">
        <v>48548</v>
      </c>
      <c r="V1409" s="49">
        <v>48548</v>
      </c>
      <c r="W1409" s="49">
        <v>48548</v>
      </c>
      <c r="X1409" s="48">
        <v>1</v>
      </c>
      <c r="Y1409" s="48">
        <v>1</v>
      </c>
      <c r="Z1409" s="48">
        <v>1</v>
      </c>
      <c r="AA1409" s="156">
        <v>460153495.70410156</v>
      </c>
      <c r="AF1409" s="48">
        <v>0</v>
      </c>
      <c r="AG1409" s="49" t="s">
        <v>41</v>
      </c>
      <c r="AH1409" s="48">
        <v>1</v>
      </c>
      <c r="AI1409" s="48" t="s">
        <v>33</v>
      </c>
      <c r="AJ1409" s="48" t="s">
        <v>33</v>
      </c>
      <c r="AK1409" s="48" t="s">
        <v>33</v>
      </c>
      <c r="AL1409" s="48" t="s">
        <v>34</v>
      </c>
      <c r="AN1409" s="48">
        <v>0</v>
      </c>
      <c r="AO1409" s="48">
        <v>0</v>
      </c>
      <c r="AP1409" s="48">
        <v>0</v>
      </c>
      <c r="AQ1409" s="48">
        <v>0</v>
      </c>
      <c r="AR1409" s="48">
        <v>0</v>
      </c>
      <c r="AS1409" s="48">
        <v>0</v>
      </c>
      <c r="AT1409" s="48">
        <v>0</v>
      </c>
      <c r="AU1409" s="48">
        <v>0</v>
      </c>
      <c r="AV1409" s="48">
        <v>0</v>
      </c>
      <c r="AW1409" s="48">
        <v>0</v>
      </c>
      <c r="AX1409" s="48">
        <v>0</v>
      </c>
      <c r="AY1409" s="48">
        <v>0</v>
      </c>
      <c r="AZ1409" s="48">
        <v>0</v>
      </c>
      <c r="BA1409" s="48">
        <v>0</v>
      </c>
      <c r="BB1409" s="48">
        <v>0</v>
      </c>
    </row>
    <row r="1410" spans="1:54" x14ac:dyDescent="0.35">
      <c r="A1410" s="49">
        <v>45930</v>
      </c>
      <c r="B1410" s="48">
        <v>1</v>
      </c>
      <c r="C1410" s="50" t="s">
        <v>41</v>
      </c>
      <c r="D1410" s="48" t="s">
        <v>31</v>
      </c>
      <c r="E1410" s="48" t="s">
        <v>138</v>
      </c>
      <c r="F1410" s="48" t="s">
        <v>139</v>
      </c>
      <c r="G1410" s="49" t="s">
        <v>179</v>
      </c>
      <c r="H1410" s="48" t="s">
        <v>178</v>
      </c>
      <c r="I1410" s="48">
        <v>1</v>
      </c>
      <c r="J1410" s="48">
        <v>87</v>
      </c>
      <c r="K1410" s="48">
        <v>1</v>
      </c>
      <c r="N1410" s="48">
        <v>0</v>
      </c>
      <c r="R1410" s="49"/>
      <c r="S1410" s="49"/>
      <c r="T1410" s="49">
        <v>48579</v>
      </c>
      <c r="U1410" s="49">
        <v>48579</v>
      </c>
      <c r="V1410" s="49">
        <v>48579</v>
      </c>
      <c r="W1410" s="49">
        <v>48579</v>
      </c>
      <c r="X1410" s="48">
        <v>1</v>
      </c>
      <c r="Y1410" s="48">
        <v>1</v>
      </c>
      <c r="Z1410" s="48">
        <v>1</v>
      </c>
      <c r="AA1410" s="156">
        <v>453076107.97026825</v>
      </c>
      <c r="AF1410" s="48">
        <v>0</v>
      </c>
      <c r="AG1410" s="49" t="s">
        <v>41</v>
      </c>
      <c r="AH1410" s="48">
        <v>1</v>
      </c>
      <c r="AI1410" s="48" t="s">
        <v>33</v>
      </c>
      <c r="AJ1410" s="48" t="s">
        <v>33</v>
      </c>
      <c r="AK1410" s="48" t="s">
        <v>33</v>
      </c>
      <c r="AL1410" s="48" t="s">
        <v>34</v>
      </c>
      <c r="AN1410" s="48">
        <v>0</v>
      </c>
      <c r="AO1410" s="48">
        <v>0</v>
      </c>
      <c r="AP1410" s="48">
        <v>0</v>
      </c>
      <c r="AQ1410" s="48">
        <v>0</v>
      </c>
      <c r="AR1410" s="48">
        <v>0</v>
      </c>
      <c r="AS1410" s="48">
        <v>0</v>
      </c>
      <c r="AT1410" s="48">
        <v>0</v>
      </c>
      <c r="AU1410" s="48">
        <v>0</v>
      </c>
      <c r="AV1410" s="48">
        <v>0</v>
      </c>
      <c r="AW1410" s="48">
        <v>0</v>
      </c>
      <c r="AX1410" s="48">
        <v>0</v>
      </c>
      <c r="AY1410" s="48">
        <v>0</v>
      </c>
      <c r="AZ1410" s="48">
        <v>0</v>
      </c>
      <c r="BA1410" s="48">
        <v>0</v>
      </c>
      <c r="BB1410" s="48">
        <v>0</v>
      </c>
    </row>
    <row r="1411" spans="1:54" x14ac:dyDescent="0.35">
      <c r="A1411" s="49">
        <v>45930</v>
      </c>
      <c r="B1411" s="48">
        <v>1</v>
      </c>
      <c r="C1411" s="50" t="s">
        <v>41</v>
      </c>
      <c r="D1411" s="48" t="s">
        <v>31</v>
      </c>
      <c r="E1411" s="48" t="s">
        <v>138</v>
      </c>
      <c r="F1411" s="48" t="s">
        <v>139</v>
      </c>
      <c r="G1411" s="49" t="s">
        <v>179</v>
      </c>
      <c r="H1411" s="48" t="s">
        <v>178</v>
      </c>
      <c r="I1411" s="48">
        <v>1</v>
      </c>
      <c r="J1411" s="48">
        <v>88</v>
      </c>
      <c r="K1411" s="48">
        <v>1</v>
      </c>
      <c r="N1411" s="48">
        <v>0</v>
      </c>
      <c r="R1411" s="49"/>
      <c r="S1411" s="49"/>
      <c r="T1411" s="49">
        <v>48610</v>
      </c>
      <c r="U1411" s="49">
        <v>48610</v>
      </c>
      <c r="V1411" s="49">
        <v>48610</v>
      </c>
      <c r="W1411" s="49">
        <v>48610</v>
      </c>
      <c r="X1411" s="48">
        <v>1</v>
      </c>
      <c r="Y1411" s="48">
        <v>1</v>
      </c>
      <c r="Z1411" s="48">
        <v>1</v>
      </c>
      <c r="AA1411" s="156">
        <v>446107573.95067215</v>
      </c>
      <c r="AF1411" s="48">
        <v>0</v>
      </c>
      <c r="AG1411" s="49" t="s">
        <v>41</v>
      </c>
      <c r="AH1411" s="48">
        <v>1</v>
      </c>
      <c r="AI1411" s="48" t="s">
        <v>33</v>
      </c>
      <c r="AJ1411" s="48" t="s">
        <v>33</v>
      </c>
      <c r="AK1411" s="48" t="s">
        <v>33</v>
      </c>
      <c r="AL1411" s="48" t="s">
        <v>34</v>
      </c>
      <c r="AN1411" s="48">
        <v>0</v>
      </c>
      <c r="AO1411" s="48">
        <v>0</v>
      </c>
      <c r="AP1411" s="48">
        <v>0</v>
      </c>
      <c r="AQ1411" s="48">
        <v>0</v>
      </c>
      <c r="AR1411" s="48">
        <v>0</v>
      </c>
      <c r="AS1411" s="48">
        <v>0</v>
      </c>
      <c r="AT1411" s="48">
        <v>0</v>
      </c>
      <c r="AU1411" s="48">
        <v>0</v>
      </c>
      <c r="AV1411" s="48">
        <v>0</v>
      </c>
      <c r="AW1411" s="48">
        <v>0</v>
      </c>
      <c r="AX1411" s="48">
        <v>0</v>
      </c>
      <c r="AY1411" s="48">
        <v>0</v>
      </c>
      <c r="AZ1411" s="48">
        <v>0</v>
      </c>
      <c r="BA1411" s="48">
        <v>0</v>
      </c>
      <c r="BB1411" s="48">
        <v>0</v>
      </c>
    </row>
    <row r="1412" spans="1:54" x14ac:dyDescent="0.35">
      <c r="A1412" s="49">
        <v>45930</v>
      </c>
      <c r="B1412" s="48">
        <v>1</v>
      </c>
      <c r="C1412" s="50" t="s">
        <v>41</v>
      </c>
      <c r="D1412" s="48" t="s">
        <v>31</v>
      </c>
      <c r="E1412" s="48" t="s">
        <v>138</v>
      </c>
      <c r="F1412" s="48" t="s">
        <v>139</v>
      </c>
      <c r="G1412" s="49" t="s">
        <v>179</v>
      </c>
      <c r="H1412" s="48" t="s">
        <v>178</v>
      </c>
      <c r="I1412" s="48">
        <v>1</v>
      </c>
      <c r="J1412" s="48">
        <v>89</v>
      </c>
      <c r="K1412" s="48">
        <v>1</v>
      </c>
      <c r="N1412" s="48">
        <v>0</v>
      </c>
      <c r="R1412" s="49"/>
      <c r="S1412" s="49"/>
      <c r="T1412" s="49">
        <v>48638</v>
      </c>
      <c r="U1412" s="49">
        <v>48638</v>
      </c>
      <c r="V1412" s="49">
        <v>48638</v>
      </c>
      <c r="W1412" s="49">
        <v>48638</v>
      </c>
      <c r="X1412" s="48">
        <v>1</v>
      </c>
      <c r="Y1412" s="48">
        <v>1</v>
      </c>
      <c r="Z1412" s="48">
        <v>1</v>
      </c>
      <c r="AA1412" s="156">
        <v>439246219.42152786</v>
      </c>
      <c r="AF1412" s="48">
        <v>0</v>
      </c>
      <c r="AG1412" s="49" t="s">
        <v>41</v>
      </c>
      <c r="AH1412" s="48">
        <v>1</v>
      </c>
      <c r="AI1412" s="48" t="s">
        <v>33</v>
      </c>
      <c r="AJ1412" s="48" t="s">
        <v>33</v>
      </c>
      <c r="AK1412" s="48" t="s">
        <v>33</v>
      </c>
      <c r="AL1412" s="48" t="s">
        <v>34</v>
      </c>
      <c r="AN1412" s="48">
        <v>0</v>
      </c>
      <c r="AO1412" s="48">
        <v>0</v>
      </c>
      <c r="AP1412" s="48">
        <v>0</v>
      </c>
      <c r="AQ1412" s="48">
        <v>0</v>
      </c>
      <c r="AR1412" s="48">
        <v>0</v>
      </c>
      <c r="AS1412" s="48">
        <v>0</v>
      </c>
      <c r="AT1412" s="48">
        <v>0</v>
      </c>
      <c r="AU1412" s="48">
        <v>0</v>
      </c>
      <c r="AV1412" s="48">
        <v>0</v>
      </c>
      <c r="AW1412" s="48">
        <v>0</v>
      </c>
      <c r="AX1412" s="48">
        <v>0</v>
      </c>
      <c r="AY1412" s="48">
        <v>0</v>
      </c>
      <c r="AZ1412" s="48">
        <v>0</v>
      </c>
      <c r="BA1412" s="48">
        <v>0</v>
      </c>
      <c r="BB1412" s="48">
        <v>0</v>
      </c>
    </row>
    <row r="1413" spans="1:54" x14ac:dyDescent="0.35">
      <c r="A1413" s="49">
        <v>45930</v>
      </c>
      <c r="B1413" s="48">
        <v>1</v>
      </c>
      <c r="C1413" s="50" t="s">
        <v>41</v>
      </c>
      <c r="D1413" s="48" t="s">
        <v>31</v>
      </c>
      <c r="E1413" s="48" t="s">
        <v>138</v>
      </c>
      <c r="F1413" s="48" t="s">
        <v>139</v>
      </c>
      <c r="G1413" s="49" t="s">
        <v>179</v>
      </c>
      <c r="H1413" s="48" t="s">
        <v>178</v>
      </c>
      <c r="I1413" s="48">
        <v>1</v>
      </c>
      <c r="J1413" s="48">
        <v>90</v>
      </c>
      <c r="K1413" s="48">
        <v>1</v>
      </c>
      <c r="N1413" s="48">
        <v>0</v>
      </c>
      <c r="R1413" s="49"/>
      <c r="S1413" s="49"/>
      <c r="T1413" s="49">
        <v>48669</v>
      </c>
      <c r="U1413" s="49">
        <v>48669</v>
      </c>
      <c r="V1413" s="49">
        <v>48669</v>
      </c>
      <c r="W1413" s="49">
        <v>48669</v>
      </c>
      <c r="X1413" s="48">
        <v>1</v>
      </c>
      <c r="Y1413" s="48">
        <v>1</v>
      </c>
      <c r="Z1413" s="48">
        <v>1</v>
      </c>
      <c r="AA1413" s="156">
        <v>432490395.9093895</v>
      </c>
      <c r="AF1413" s="48">
        <v>0</v>
      </c>
      <c r="AG1413" s="49" t="s">
        <v>41</v>
      </c>
      <c r="AH1413" s="48">
        <v>1</v>
      </c>
      <c r="AI1413" s="48" t="s">
        <v>33</v>
      </c>
      <c r="AJ1413" s="48" t="s">
        <v>33</v>
      </c>
      <c r="AK1413" s="48" t="s">
        <v>33</v>
      </c>
      <c r="AL1413" s="48" t="s">
        <v>34</v>
      </c>
      <c r="AN1413" s="48">
        <v>0</v>
      </c>
      <c r="AO1413" s="48">
        <v>0</v>
      </c>
      <c r="AP1413" s="48">
        <v>0</v>
      </c>
      <c r="AQ1413" s="48">
        <v>0</v>
      </c>
      <c r="AR1413" s="48">
        <v>0</v>
      </c>
      <c r="AS1413" s="48">
        <v>0</v>
      </c>
      <c r="AT1413" s="48">
        <v>0</v>
      </c>
      <c r="AU1413" s="48">
        <v>0</v>
      </c>
      <c r="AV1413" s="48">
        <v>0</v>
      </c>
      <c r="AW1413" s="48">
        <v>0</v>
      </c>
      <c r="AX1413" s="48">
        <v>0</v>
      </c>
      <c r="AY1413" s="48">
        <v>0</v>
      </c>
      <c r="AZ1413" s="48">
        <v>0</v>
      </c>
      <c r="BA1413" s="48">
        <v>0</v>
      </c>
      <c r="BB1413" s="48">
        <v>0</v>
      </c>
    </row>
    <row r="1414" spans="1:54" x14ac:dyDescent="0.35">
      <c r="A1414" s="49">
        <v>45930</v>
      </c>
      <c r="B1414" s="48">
        <v>1</v>
      </c>
      <c r="C1414" s="50" t="s">
        <v>41</v>
      </c>
      <c r="D1414" s="48" t="s">
        <v>31</v>
      </c>
      <c r="E1414" s="48" t="s">
        <v>138</v>
      </c>
      <c r="F1414" s="48" t="s">
        <v>139</v>
      </c>
      <c r="G1414" s="49" t="s">
        <v>179</v>
      </c>
      <c r="H1414" s="48" t="s">
        <v>178</v>
      </c>
      <c r="I1414" s="48">
        <v>1</v>
      </c>
      <c r="J1414" s="48">
        <v>91</v>
      </c>
      <c r="K1414" s="48">
        <v>1</v>
      </c>
      <c r="N1414" s="48">
        <v>0</v>
      </c>
      <c r="R1414" s="49"/>
      <c r="S1414" s="49"/>
      <c r="T1414" s="49">
        <v>48699</v>
      </c>
      <c r="U1414" s="49">
        <v>48699</v>
      </c>
      <c r="V1414" s="49">
        <v>48699</v>
      </c>
      <c r="W1414" s="49">
        <v>48699</v>
      </c>
      <c r="X1414" s="48">
        <v>1</v>
      </c>
      <c r="Y1414" s="48">
        <v>1</v>
      </c>
      <c r="Z1414" s="48">
        <v>1</v>
      </c>
      <c r="AA1414" s="156">
        <v>425838480.2951622</v>
      </c>
      <c r="AF1414" s="48">
        <v>0</v>
      </c>
      <c r="AG1414" s="49" t="s">
        <v>41</v>
      </c>
      <c r="AH1414" s="48">
        <v>1</v>
      </c>
      <c r="AI1414" s="48" t="s">
        <v>33</v>
      </c>
      <c r="AJ1414" s="48" t="s">
        <v>33</v>
      </c>
      <c r="AK1414" s="48" t="s">
        <v>33</v>
      </c>
      <c r="AL1414" s="48" t="s">
        <v>34</v>
      </c>
      <c r="AN1414" s="48">
        <v>0</v>
      </c>
      <c r="AO1414" s="48">
        <v>0</v>
      </c>
      <c r="AP1414" s="48">
        <v>0</v>
      </c>
      <c r="AQ1414" s="48">
        <v>0</v>
      </c>
      <c r="AR1414" s="48">
        <v>0</v>
      </c>
      <c r="AS1414" s="48">
        <v>0</v>
      </c>
      <c r="AT1414" s="48">
        <v>0</v>
      </c>
      <c r="AU1414" s="48">
        <v>0</v>
      </c>
      <c r="AV1414" s="48">
        <v>0</v>
      </c>
      <c r="AW1414" s="48">
        <v>0</v>
      </c>
      <c r="AX1414" s="48">
        <v>0</v>
      </c>
      <c r="AY1414" s="48">
        <v>0</v>
      </c>
      <c r="AZ1414" s="48">
        <v>0</v>
      </c>
      <c r="BA1414" s="48">
        <v>0</v>
      </c>
      <c r="BB1414" s="48">
        <v>0</v>
      </c>
    </row>
    <row r="1415" spans="1:54" x14ac:dyDescent="0.35">
      <c r="A1415" s="49">
        <v>45930</v>
      </c>
      <c r="B1415" s="48">
        <v>1</v>
      </c>
      <c r="C1415" s="50" t="s">
        <v>41</v>
      </c>
      <c r="D1415" s="48" t="s">
        <v>31</v>
      </c>
      <c r="E1415" s="48" t="s">
        <v>138</v>
      </c>
      <c r="F1415" s="48" t="s">
        <v>139</v>
      </c>
      <c r="G1415" s="49" t="s">
        <v>179</v>
      </c>
      <c r="H1415" s="48" t="s">
        <v>178</v>
      </c>
      <c r="I1415" s="48">
        <v>1</v>
      </c>
      <c r="J1415" s="48">
        <v>92</v>
      </c>
      <c r="K1415" s="48">
        <v>1</v>
      </c>
      <c r="N1415" s="48">
        <v>0</v>
      </c>
      <c r="R1415" s="49"/>
      <c r="S1415" s="49"/>
      <c r="T1415" s="49">
        <v>48730</v>
      </c>
      <c r="U1415" s="49">
        <v>48730</v>
      </c>
      <c r="V1415" s="49">
        <v>48730</v>
      </c>
      <c r="W1415" s="49">
        <v>48730</v>
      </c>
      <c r="X1415" s="48">
        <v>1</v>
      </c>
      <c r="Y1415" s="48">
        <v>1</v>
      </c>
      <c r="Z1415" s="48">
        <v>1</v>
      </c>
      <c r="AA1415" s="156">
        <v>419288874.42412567</v>
      </c>
      <c r="AF1415" s="48">
        <v>0</v>
      </c>
      <c r="AG1415" s="49" t="s">
        <v>41</v>
      </c>
      <c r="AH1415" s="48">
        <v>1</v>
      </c>
      <c r="AI1415" s="48" t="s">
        <v>33</v>
      </c>
      <c r="AJ1415" s="48" t="s">
        <v>33</v>
      </c>
      <c r="AK1415" s="48" t="s">
        <v>33</v>
      </c>
      <c r="AL1415" s="48" t="s">
        <v>34</v>
      </c>
      <c r="AN1415" s="48">
        <v>0</v>
      </c>
      <c r="AO1415" s="48">
        <v>0</v>
      </c>
      <c r="AP1415" s="48">
        <v>0</v>
      </c>
      <c r="AQ1415" s="48">
        <v>0</v>
      </c>
      <c r="AR1415" s="48">
        <v>0</v>
      </c>
      <c r="AS1415" s="48">
        <v>0</v>
      </c>
      <c r="AT1415" s="48">
        <v>0</v>
      </c>
      <c r="AU1415" s="48">
        <v>0</v>
      </c>
      <c r="AV1415" s="48">
        <v>0</v>
      </c>
      <c r="AW1415" s="48">
        <v>0</v>
      </c>
      <c r="AX1415" s="48">
        <v>0</v>
      </c>
      <c r="AY1415" s="48">
        <v>0</v>
      </c>
      <c r="AZ1415" s="48">
        <v>0</v>
      </c>
      <c r="BA1415" s="48">
        <v>0</v>
      </c>
      <c r="BB1415" s="48">
        <v>0</v>
      </c>
    </row>
    <row r="1416" spans="1:54" x14ac:dyDescent="0.35">
      <c r="A1416" s="49">
        <v>45930</v>
      </c>
      <c r="B1416" s="48">
        <v>1</v>
      </c>
      <c r="C1416" s="50" t="s">
        <v>41</v>
      </c>
      <c r="D1416" s="48" t="s">
        <v>31</v>
      </c>
      <c r="E1416" s="48" t="s">
        <v>138</v>
      </c>
      <c r="F1416" s="48" t="s">
        <v>139</v>
      </c>
      <c r="G1416" s="49" t="s">
        <v>179</v>
      </c>
      <c r="H1416" s="48" t="s">
        <v>178</v>
      </c>
      <c r="I1416" s="48">
        <v>1</v>
      </c>
      <c r="J1416" s="48">
        <v>93</v>
      </c>
      <c r="K1416" s="48">
        <v>1</v>
      </c>
      <c r="N1416" s="48">
        <v>0</v>
      </c>
      <c r="R1416" s="49"/>
      <c r="S1416" s="49"/>
      <c r="T1416" s="49">
        <v>48760</v>
      </c>
      <c r="U1416" s="49">
        <v>48760</v>
      </c>
      <c r="V1416" s="49">
        <v>48760</v>
      </c>
      <c r="W1416" s="49">
        <v>48760</v>
      </c>
      <c r="X1416" s="48">
        <v>1</v>
      </c>
      <c r="Y1416" s="48">
        <v>1</v>
      </c>
      <c r="Z1416" s="48">
        <v>1</v>
      </c>
      <c r="AA1416" s="156">
        <v>412840004.72198105</v>
      </c>
      <c r="AF1416" s="48">
        <v>0</v>
      </c>
      <c r="AG1416" s="49" t="s">
        <v>41</v>
      </c>
      <c r="AH1416" s="48">
        <v>1</v>
      </c>
      <c r="AI1416" s="48" t="s">
        <v>33</v>
      </c>
      <c r="AJ1416" s="48" t="s">
        <v>33</v>
      </c>
      <c r="AK1416" s="48" t="s">
        <v>33</v>
      </c>
      <c r="AL1416" s="48" t="s">
        <v>34</v>
      </c>
      <c r="AN1416" s="48">
        <v>0</v>
      </c>
      <c r="AO1416" s="48">
        <v>0</v>
      </c>
      <c r="AP1416" s="48">
        <v>0</v>
      </c>
      <c r="AQ1416" s="48">
        <v>0</v>
      </c>
      <c r="AR1416" s="48">
        <v>0</v>
      </c>
      <c r="AS1416" s="48">
        <v>0</v>
      </c>
      <c r="AT1416" s="48">
        <v>0</v>
      </c>
      <c r="AU1416" s="48">
        <v>0</v>
      </c>
      <c r="AV1416" s="48">
        <v>0</v>
      </c>
      <c r="AW1416" s="48">
        <v>0</v>
      </c>
      <c r="AX1416" s="48">
        <v>0</v>
      </c>
      <c r="AY1416" s="48">
        <v>0</v>
      </c>
      <c r="AZ1416" s="48">
        <v>0</v>
      </c>
      <c r="BA1416" s="48">
        <v>0</v>
      </c>
      <c r="BB1416" s="48">
        <v>0</v>
      </c>
    </row>
    <row r="1417" spans="1:54" x14ac:dyDescent="0.35">
      <c r="A1417" s="49">
        <v>45930</v>
      </c>
      <c r="B1417" s="48">
        <v>1</v>
      </c>
      <c r="C1417" s="50" t="s">
        <v>41</v>
      </c>
      <c r="D1417" s="48" t="s">
        <v>31</v>
      </c>
      <c r="E1417" s="48" t="s">
        <v>138</v>
      </c>
      <c r="F1417" s="48" t="s">
        <v>139</v>
      </c>
      <c r="G1417" s="49" t="s">
        <v>179</v>
      </c>
      <c r="H1417" s="48" t="s">
        <v>178</v>
      </c>
      <c r="I1417" s="48">
        <v>1</v>
      </c>
      <c r="J1417" s="48">
        <v>94</v>
      </c>
      <c r="K1417" s="48">
        <v>1</v>
      </c>
      <c r="N1417" s="48">
        <v>0</v>
      </c>
      <c r="R1417" s="49"/>
      <c r="S1417" s="49"/>
      <c r="T1417" s="49">
        <v>48791</v>
      </c>
      <c r="U1417" s="49">
        <v>48791</v>
      </c>
      <c r="V1417" s="49">
        <v>48791</v>
      </c>
      <c r="W1417" s="49">
        <v>48791</v>
      </c>
      <c r="X1417" s="48">
        <v>1</v>
      </c>
      <c r="Y1417" s="48">
        <v>1</v>
      </c>
      <c r="Z1417" s="48">
        <v>1</v>
      </c>
      <c r="AA1417" s="156">
        <v>406490321.81673431</v>
      </c>
      <c r="AF1417" s="48">
        <v>0</v>
      </c>
      <c r="AG1417" s="49" t="s">
        <v>41</v>
      </c>
      <c r="AH1417" s="48">
        <v>1</v>
      </c>
      <c r="AI1417" s="48" t="s">
        <v>33</v>
      </c>
      <c r="AJ1417" s="48" t="s">
        <v>33</v>
      </c>
      <c r="AK1417" s="48" t="s">
        <v>33</v>
      </c>
      <c r="AL1417" s="48" t="s">
        <v>34</v>
      </c>
      <c r="AN1417" s="48">
        <v>0</v>
      </c>
      <c r="AO1417" s="48">
        <v>0</v>
      </c>
      <c r="AP1417" s="48">
        <v>0</v>
      </c>
      <c r="AQ1417" s="48">
        <v>0</v>
      </c>
      <c r="AR1417" s="48">
        <v>0</v>
      </c>
      <c r="AS1417" s="48">
        <v>0</v>
      </c>
      <c r="AT1417" s="48">
        <v>0</v>
      </c>
      <c r="AU1417" s="48">
        <v>0</v>
      </c>
      <c r="AV1417" s="48">
        <v>0</v>
      </c>
      <c r="AW1417" s="48">
        <v>0</v>
      </c>
      <c r="AX1417" s="48">
        <v>0</v>
      </c>
      <c r="AY1417" s="48">
        <v>0</v>
      </c>
      <c r="AZ1417" s="48">
        <v>0</v>
      </c>
      <c r="BA1417" s="48">
        <v>0</v>
      </c>
      <c r="BB1417" s="48">
        <v>0</v>
      </c>
    </row>
    <row r="1418" spans="1:54" x14ac:dyDescent="0.35">
      <c r="A1418" s="49">
        <v>45930</v>
      </c>
      <c r="B1418" s="48">
        <v>1</v>
      </c>
      <c r="C1418" s="50" t="s">
        <v>41</v>
      </c>
      <c r="D1418" s="48" t="s">
        <v>31</v>
      </c>
      <c r="E1418" s="48" t="s">
        <v>138</v>
      </c>
      <c r="F1418" s="48" t="s">
        <v>139</v>
      </c>
      <c r="G1418" s="49" t="s">
        <v>179</v>
      </c>
      <c r="H1418" s="48" t="s">
        <v>178</v>
      </c>
      <c r="I1418" s="48">
        <v>1</v>
      </c>
      <c r="J1418" s="48">
        <v>95</v>
      </c>
      <c r="K1418" s="48">
        <v>1</v>
      </c>
      <c r="N1418" s="48">
        <v>0</v>
      </c>
      <c r="R1418" s="49"/>
      <c r="S1418" s="49"/>
      <c r="T1418" s="49">
        <v>48822</v>
      </c>
      <c r="U1418" s="49">
        <v>48822</v>
      </c>
      <c r="V1418" s="49">
        <v>48822</v>
      </c>
      <c r="W1418" s="49">
        <v>48822</v>
      </c>
      <c r="X1418" s="48">
        <v>1</v>
      </c>
      <c r="Y1418" s="48">
        <v>1</v>
      </c>
      <c r="Z1418" s="48">
        <v>1</v>
      </c>
      <c r="AA1418" s="156">
        <v>400238300.16654587</v>
      </c>
      <c r="AF1418" s="48">
        <v>0</v>
      </c>
      <c r="AG1418" s="49" t="s">
        <v>41</v>
      </c>
      <c r="AH1418" s="48">
        <v>1</v>
      </c>
      <c r="AI1418" s="48" t="s">
        <v>33</v>
      </c>
      <c r="AJ1418" s="48" t="s">
        <v>33</v>
      </c>
      <c r="AK1418" s="48" t="s">
        <v>33</v>
      </c>
      <c r="AL1418" s="48" t="s">
        <v>34</v>
      </c>
      <c r="AN1418" s="48">
        <v>0</v>
      </c>
      <c r="AO1418" s="48">
        <v>0</v>
      </c>
      <c r="AP1418" s="48">
        <v>0</v>
      </c>
      <c r="AQ1418" s="48">
        <v>0</v>
      </c>
      <c r="AR1418" s="48">
        <v>0</v>
      </c>
      <c r="AS1418" s="48">
        <v>0</v>
      </c>
      <c r="AT1418" s="48">
        <v>0</v>
      </c>
      <c r="AU1418" s="48">
        <v>0</v>
      </c>
      <c r="AV1418" s="48">
        <v>0</v>
      </c>
      <c r="AW1418" s="48">
        <v>0</v>
      </c>
      <c r="AX1418" s="48">
        <v>0</v>
      </c>
      <c r="AY1418" s="48">
        <v>0</v>
      </c>
      <c r="AZ1418" s="48">
        <v>0</v>
      </c>
      <c r="BA1418" s="48">
        <v>0</v>
      </c>
      <c r="BB1418" s="48">
        <v>0</v>
      </c>
    </row>
    <row r="1419" spans="1:54" x14ac:dyDescent="0.35">
      <c r="A1419" s="49">
        <v>45930</v>
      </c>
      <c r="B1419" s="48">
        <v>1</v>
      </c>
      <c r="C1419" s="50" t="s">
        <v>41</v>
      </c>
      <c r="D1419" s="48" t="s">
        <v>31</v>
      </c>
      <c r="E1419" s="48" t="s">
        <v>138</v>
      </c>
      <c r="F1419" s="48" t="s">
        <v>139</v>
      </c>
      <c r="G1419" s="49" t="s">
        <v>179</v>
      </c>
      <c r="H1419" s="48" t="s">
        <v>178</v>
      </c>
      <c r="I1419" s="48">
        <v>1</v>
      </c>
      <c r="J1419" s="48">
        <v>96</v>
      </c>
      <c r="K1419" s="48">
        <v>1</v>
      </c>
      <c r="N1419" s="48">
        <v>0</v>
      </c>
      <c r="R1419" s="49"/>
      <c r="S1419" s="49"/>
      <c r="T1419" s="49">
        <v>48852</v>
      </c>
      <c r="U1419" s="49">
        <v>48852</v>
      </c>
      <c r="V1419" s="49">
        <v>48852</v>
      </c>
      <c r="W1419" s="49">
        <v>48852</v>
      </c>
      <c r="X1419" s="48">
        <v>1</v>
      </c>
      <c r="Y1419" s="48">
        <v>1</v>
      </c>
      <c r="Z1419" s="48">
        <v>1</v>
      </c>
      <c r="AA1419" s="156">
        <v>394082437.69313812</v>
      </c>
      <c r="AF1419" s="48">
        <v>0</v>
      </c>
      <c r="AG1419" s="49" t="s">
        <v>41</v>
      </c>
      <c r="AH1419" s="48">
        <v>1</v>
      </c>
      <c r="AI1419" s="48" t="s">
        <v>33</v>
      </c>
      <c r="AJ1419" s="48" t="s">
        <v>33</v>
      </c>
      <c r="AK1419" s="48" t="s">
        <v>33</v>
      </c>
      <c r="AL1419" s="48" t="s">
        <v>34</v>
      </c>
      <c r="AN1419" s="48">
        <v>0</v>
      </c>
      <c r="AO1419" s="48">
        <v>0</v>
      </c>
      <c r="AP1419" s="48">
        <v>0</v>
      </c>
      <c r="AQ1419" s="48">
        <v>0</v>
      </c>
      <c r="AR1419" s="48">
        <v>0</v>
      </c>
      <c r="AS1419" s="48">
        <v>0</v>
      </c>
      <c r="AT1419" s="48">
        <v>0</v>
      </c>
      <c r="AU1419" s="48">
        <v>0</v>
      </c>
      <c r="AV1419" s="48">
        <v>0</v>
      </c>
      <c r="AW1419" s="48">
        <v>0</v>
      </c>
      <c r="AX1419" s="48">
        <v>0</v>
      </c>
      <c r="AY1419" s="48">
        <v>0</v>
      </c>
      <c r="AZ1419" s="48">
        <v>0</v>
      </c>
      <c r="BA1419" s="48">
        <v>0</v>
      </c>
      <c r="BB1419" s="48">
        <v>0</v>
      </c>
    </row>
    <row r="1420" spans="1:54" x14ac:dyDescent="0.35">
      <c r="A1420" s="49">
        <v>45930</v>
      </c>
      <c r="B1420" s="48">
        <v>1</v>
      </c>
      <c r="C1420" s="50" t="s">
        <v>41</v>
      </c>
      <c r="D1420" s="48" t="s">
        <v>31</v>
      </c>
      <c r="E1420" s="48" t="s">
        <v>138</v>
      </c>
      <c r="F1420" s="48" t="s">
        <v>139</v>
      </c>
      <c r="G1420" s="49" t="s">
        <v>179</v>
      </c>
      <c r="H1420" s="48" t="s">
        <v>178</v>
      </c>
      <c r="I1420" s="48">
        <v>1</v>
      </c>
      <c r="J1420" s="48">
        <v>97</v>
      </c>
      <c r="K1420" s="48">
        <v>1</v>
      </c>
      <c r="N1420" s="48">
        <v>0</v>
      </c>
      <c r="R1420" s="49"/>
      <c r="S1420" s="49"/>
      <c r="T1420" s="49">
        <v>48883</v>
      </c>
      <c r="U1420" s="49">
        <v>48883</v>
      </c>
      <c r="V1420" s="49">
        <v>48883</v>
      </c>
      <c r="W1420" s="49">
        <v>48883</v>
      </c>
      <c r="X1420" s="48">
        <v>1</v>
      </c>
      <c r="Y1420" s="48">
        <v>1</v>
      </c>
      <c r="Z1420" s="48">
        <v>1</v>
      </c>
      <c r="AA1420" s="156">
        <v>388021255.4209404</v>
      </c>
      <c r="AF1420" s="48">
        <v>0</v>
      </c>
      <c r="AG1420" s="49" t="s">
        <v>41</v>
      </c>
      <c r="AH1420" s="48">
        <v>1</v>
      </c>
      <c r="AI1420" s="48" t="s">
        <v>33</v>
      </c>
      <c r="AJ1420" s="48" t="s">
        <v>33</v>
      </c>
      <c r="AK1420" s="48" t="s">
        <v>33</v>
      </c>
      <c r="AL1420" s="48" t="s">
        <v>34</v>
      </c>
      <c r="AN1420" s="48">
        <v>0</v>
      </c>
      <c r="AO1420" s="48">
        <v>0</v>
      </c>
      <c r="AP1420" s="48">
        <v>0</v>
      </c>
      <c r="AQ1420" s="48">
        <v>0</v>
      </c>
      <c r="AR1420" s="48">
        <v>0</v>
      </c>
      <c r="AS1420" s="48">
        <v>0</v>
      </c>
      <c r="AT1420" s="48">
        <v>0</v>
      </c>
      <c r="AU1420" s="48">
        <v>0</v>
      </c>
      <c r="AV1420" s="48">
        <v>0</v>
      </c>
      <c r="AW1420" s="48">
        <v>0</v>
      </c>
      <c r="AX1420" s="48">
        <v>0</v>
      </c>
      <c r="AY1420" s="48">
        <v>0</v>
      </c>
      <c r="AZ1420" s="48">
        <v>0</v>
      </c>
      <c r="BA1420" s="48">
        <v>0</v>
      </c>
      <c r="BB1420" s="48">
        <v>0</v>
      </c>
    </row>
    <row r="1421" spans="1:54" x14ac:dyDescent="0.35">
      <c r="A1421" s="49">
        <v>45930</v>
      </c>
      <c r="B1421" s="48">
        <v>1</v>
      </c>
      <c r="C1421" s="50" t="s">
        <v>41</v>
      </c>
      <c r="D1421" s="48" t="s">
        <v>31</v>
      </c>
      <c r="E1421" s="48" t="s">
        <v>138</v>
      </c>
      <c r="F1421" s="48" t="s">
        <v>139</v>
      </c>
      <c r="G1421" s="49" t="s">
        <v>179</v>
      </c>
      <c r="H1421" s="48" t="s">
        <v>178</v>
      </c>
      <c r="I1421" s="48">
        <v>1</v>
      </c>
      <c r="J1421" s="48">
        <v>98</v>
      </c>
      <c r="K1421" s="48">
        <v>1</v>
      </c>
      <c r="N1421" s="48">
        <v>0</v>
      </c>
      <c r="R1421" s="49"/>
      <c r="S1421" s="49"/>
      <c r="T1421" s="49">
        <v>48913</v>
      </c>
      <c r="U1421" s="49">
        <v>48913</v>
      </c>
      <c r="V1421" s="49">
        <v>48913</v>
      </c>
      <c r="W1421" s="49">
        <v>48913</v>
      </c>
      <c r="X1421" s="48">
        <v>1</v>
      </c>
      <c r="Y1421" s="48">
        <v>1</v>
      </c>
      <c r="Z1421" s="48">
        <v>1</v>
      </c>
      <c r="AA1421" s="156">
        <v>382053297.12174606</v>
      </c>
      <c r="AF1421" s="48">
        <v>0</v>
      </c>
      <c r="AG1421" s="49" t="s">
        <v>41</v>
      </c>
      <c r="AH1421" s="48">
        <v>1</v>
      </c>
      <c r="AI1421" s="48" t="s">
        <v>33</v>
      </c>
      <c r="AJ1421" s="48" t="s">
        <v>33</v>
      </c>
      <c r="AK1421" s="48" t="s">
        <v>33</v>
      </c>
      <c r="AL1421" s="48" t="s">
        <v>34</v>
      </c>
      <c r="AN1421" s="48">
        <v>0</v>
      </c>
      <c r="AO1421" s="48">
        <v>0</v>
      </c>
      <c r="AP1421" s="48">
        <v>0</v>
      </c>
      <c r="AQ1421" s="48">
        <v>0</v>
      </c>
      <c r="AR1421" s="48">
        <v>0</v>
      </c>
      <c r="AS1421" s="48">
        <v>0</v>
      </c>
      <c r="AT1421" s="48">
        <v>0</v>
      </c>
      <c r="AU1421" s="48">
        <v>0</v>
      </c>
      <c r="AV1421" s="48">
        <v>0</v>
      </c>
      <c r="AW1421" s="48">
        <v>0</v>
      </c>
      <c r="AX1421" s="48">
        <v>0</v>
      </c>
      <c r="AY1421" s="48">
        <v>0</v>
      </c>
      <c r="AZ1421" s="48">
        <v>0</v>
      </c>
      <c r="BA1421" s="48">
        <v>0</v>
      </c>
      <c r="BB1421" s="48">
        <v>0</v>
      </c>
    </row>
    <row r="1422" spans="1:54" x14ac:dyDescent="0.35">
      <c r="A1422" s="49">
        <v>45930</v>
      </c>
      <c r="B1422" s="48">
        <v>1</v>
      </c>
      <c r="C1422" s="50" t="s">
        <v>41</v>
      </c>
      <c r="D1422" s="48" t="s">
        <v>31</v>
      </c>
      <c r="E1422" s="48" t="s">
        <v>138</v>
      </c>
      <c r="F1422" s="48" t="s">
        <v>139</v>
      </c>
      <c r="G1422" s="49" t="s">
        <v>179</v>
      </c>
      <c r="H1422" s="48" t="s">
        <v>178</v>
      </c>
      <c r="I1422" s="48">
        <v>1</v>
      </c>
      <c r="J1422" s="48">
        <v>99</v>
      </c>
      <c r="K1422" s="48">
        <v>1</v>
      </c>
      <c r="N1422" s="48">
        <v>0</v>
      </c>
      <c r="R1422" s="49"/>
      <c r="S1422" s="49"/>
      <c r="T1422" s="49">
        <v>48944</v>
      </c>
      <c r="U1422" s="49">
        <v>48944</v>
      </c>
      <c r="V1422" s="49">
        <v>48944</v>
      </c>
      <c r="W1422" s="49">
        <v>48944</v>
      </c>
      <c r="X1422" s="48">
        <v>1</v>
      </c>
      <c r="Y1422" s="48">
        <v>1</v>
      </c>
      <c r="Z1422" s="48">
        <v>1</v>
      </c>
      <c r="AA1422" s="156">
        <v>376177128.96489716</v>
      </c>
      <c r="AF1422" s="48">
        <v>0</v>
      </c>
      <c r="AG1422" s="49" t="s">
        <v>41</v>
      </c>
      <c r="AH1422" s="48">
        <v>1</v>
      </c>
      <c r="AI1422" s="48" t="s">
        <v>33</v>
      </c>
      <c r="AJ1422" s="48" t="s">
        <v>33</v>
      </c>
      <c r="AK1422" s="48" t="s">
        <v>33</v>
      </c>
      <c r="AL1422" s="48" t="s">
        <v>34</v>
      </c>
      <c r="AN1422" s="48">
        <v>0</v>
      </c>
      <c r="AO1422" s="48">
        <v>0</v>
      </c>
      <c r="AP1422" s="48">
        <v>0</v>
      </c>
      <c r="AQ1422" s="48">
        <v>0</v>
      </c>
      <c r="AR1422" s="48">
        <v>0</v>
      </c>
      <c r="AS1422" s="48">
        <v>0</v>
      </c>
      <c r="AT1422" s="48">
        <v>0</v>
      </c>
      <c r="AU1422" s="48">
        <v>0</v>
      </c>
      <c r="AV1422" s="48">
        <v>0</v>
      </c>
      <c r="AW1422" s="48">
        <v>0</v>
      </c>
      <c r="AX1422" s="48">
        <v>0</v>
      </c>
      <c r="AY1422" s="48">
        <v>0</v>
      </c>
      <c r="AZ1422" s="48">
        <v>0</v>
      </c>
      <c r="BA1422" s="48">
        <v>0</v>
      </c>
      <c r="BB1422" s="48">
        <v>0</v>
      </c>
    </row>
    <row r="1423" spans="1:54" x14ac:dyDescent="0.35">
      <c r="A1423" s="49">
        <v>45930</v>
      </c>
      <c r="B1423" s="48">
        <v>1</v>
      </c>
      <c r="C1423" s="50" t="s">
        <v>41</v>
      </c>
      <c r="D1423" s="48" t="s">
        <v>31</v>
      </c>
      <c r="E1423" s="48" t="s">
        <v>138</v>
      </c>
      <c r="F1423" s="48" t="s">
        <v>139</v>
      </c>
      <c r="G1423" s="49" t="s">
        <v>179</v>
      </c>
      <c r="H1423" s="48" t="s">
        <v>178</v>
      </c>
      <c r="I1423" s="48">
        <v>1</v>
      </c>
      <c r="J1423" s="48">
        <v>100</v>
      </c>
      <c r="K1423" s="48">
        <v>1</v>
      </c>
      <c r="N1423" s="48">
        <v>0</v>
      </c>
      <c r="R1423" s="49"/>
      <c r="S1423" s="49"/>
      <c r="T1423" s="49">
        <v>48975</v>
      </c>
      <c r="U1423" s="49">
        <v>48975</v>
      </c>
      <c r="V1423" s="49">
        <v>48975</v>
      </c>
      <c r="W1423" s="49">
        <v>48975</v>
      </c>
      <c r="X1423" s="48">
        <v>1</v>
      </c>
      <c r="Y1423" s="48">
        <v>1</v>
      </c>
      <c r="Z1423" s="48">
        <v>1</v>
      </c>
      <c r="AA1423" s="156">
        <v>370391339.17269516</v>
      </c>
      <c r="AF1423" s="48">
        <v>0</v>
      </c>
      <c r="AG1423" s="49" t="s">
        <v>41</v>
      </c>
      <c r="AH1423" s="48">
        <v>1</v>
      </c>
      <c r="AI1423" s="48" t="s">
        <v>33</v>
      </c>
      <c r="AJ1423" s="48" t="s">
        <v>33</v>
      </c>
      <c r="AK1423" s="48" t="s">
        <v>33</v>
      </c>
      <c r="AL1423" s="48" t="s">
        <v>34</v>
      </c>
      <c r="AN1423" s="48">
        <v>0</v>
      </c>
      <c r="AO1423" s="48">
        <v>0</v>
      </c>
      <c r="AP1423" s="48">
        <v>0</v>
      </c>
      <c r="AQ1423" s="48">
        <v>0</v>
      </c>
      <c r="AR1423" s="48">
        <v>0</v>
      </c>
      <c r="AS1423" s="48">
        <v>0</v>
      </c>
      <c r="AT1423" s="48">
        <v>0</v>
      </c>
      <c r="AU1423" s="48">
        <v>0</v>
      </c>
      <c r="AV1423" s="48">
        <v>0</v>
      </c>
      <c r="AW1423" s="48">
        <v>0</v>
      </c>
      <c r="AX1423" s="48">
        <v>0</v>
      </c>
      <c r="AY1423" s="48">
        <v>0</v>
      </c>
      <c r="AZ1423" s="48">
        <v>0</v>
      </c>
      <c r="BA1423" s="48">
        <v>0</v>
      </c>
      <c r="BB1423" s="48">
        <v>0</v>
      </c>
    </row>
    <row r="1424" spans="1:54" x14ac:dyDescent="0.35">
      <c r="A1424" s="49">
        <v>45930</v>
      </c>
      <c r="B1424" s="48">
        <v>1</v>
      </c>
      <c r="C1424" s="50" t="s">
        <v>41</v>
      </c>
      <c r="D1424" s="48" t="s">
        <v>31</v>
      </c>
      <c r="E1424" s="48" t="s">
        <v>138</v>
      </c>
      <c r="F1424" s="48" t="s">
        <v>139</v>
      </c>
      <c r="G1424" s="49" t="s">
        <v>179</v>
      </c>
      <c r="H1424" s="48" t="s">
        <v>178</v>
      </c>
      <c r="I1424" s="48">
        <v>1</v>
      </c>
      <c r="J1424" s="48">
        <v>101</v>
      </c>
      <c r="K1424" s="48">
        <v>1</v>
      </c>
      <c r="N1424" s="48">
        <v>0</v>
      </c>
      <c r="R1424" s="49"/>
      <c r="S1424" s="49"/>
      <c r="T1424" s="49">
        <v>49003</v>
      </c>
      <c r="U1424" s="49">
        <v>49003</v>
      </c>
      <c r="V1424" s="49">
        <v>49003</v>
      </c>
      <c r="W1424" s="49">
        <v>49003</v>
      </c>
      <c r="X1424" s="48">
        <v>1</v>
      </c>
      <c r="Y1424" s="48">
        <v>1</v>
      </c>
      <c r="Z1424" s="48">
        <v>1</v>
      </c>
      <c r="AA1424" s="156">
        <v>364694537.68133163</v>
      </c>
      <c r="AF1424" s="48">
        <v>0</v>
      </c>
      <c r="AG1424" s="49" t="s">
        <v>41</v>
      </c>
      <c r="AH1424" s="48">
        <v>1</v>
      </c>
      <c r="AI1424" s="48" t="s">
        <v>33</v>
      </c>
      <c r="AJ1424" s="48" t="s">
        <v>33</v>
      </c>
      <c r="AK1424" s="48" t="s">
        <v>33</v>
      </c>
      <c r="AL1424" s="48" t="s">
        <v>34</v>
      </c>
      <c r="AN1424" s="48">
        <v>0</v>
      </c>
      <c r="AO1424" s="48">
        <v>0</v>
      </c>
      <c r="AP1424" s="48">
        <v>0</v>
      </c>
      <c r="AQ1424" s="48">
        <v>0</v>
      </c>
      <c r="AR1424" s="48">
        <v>0</v>
      </c>
      <c r="AS1424" s="48">
        <v>0</v>
      </c>
      <c r="AT1424" s="48">
        <v>0</v>
      </c>
      <c r="AU1424" s="48">
        <v>0</v>
      </c>
      <c r="AV1424" s="48">
        <v>0</v>
      </c>
      <c r="AW1424" s="48">
        <v>0</v>
      </c>
      <c r="AX1424" s="48">
        <v>0</v>
      </c>
      <c r="AY1424" s="48">
        <v>0</v>
      </c>
      <c r="AZ1424" s="48">
        <v>0</v>
      </c>
      <c r="BA1424" s="48">
        <v>0</v>
      </c>
      <c r="BB1424" s="48">
        <v>0</v>
      </c>
    </row>
    <row r="1425" spans="1:54" x14ac:dyDescent="0.35">
      <c r="A1425" s="49">
        <v>45930</v>
      </c>
      <c r="B1425" s="48">
        <v>1</v>
      </c>
      <c r="C1425" s="50" t="s">
        <v>41</v>
      </c>
      <c r="D1425" s="48" t="s">
        <v>31</v>
      </c>
      <c r="E1425" s="48" t="s">
        <v>138</v>
      </c>
      <c r="F1425" s="48" t="s">
        <v>139</v>
      </c>
      <c r="G1425" s="49" t="s">
        <v>179</v>
      </c>
      <c r="H1425" s="48" t="s">
        <v>178</v>
      </c>
      <c r="I1425" s="48">
        <v>1</v>
      </c>
      <c r="J1425" s="48">
        <v>102</v>
      </c>
      <c r="K1425" s="48">
        <v>1</v>
      </c>
      <c r="N1425" s="48">
        <v>0</v>
      </c>
      <c r="R1425" s="49"/>
      <c r="S1425" s="49"/>
      <c r="T1425" s="49">
        <v>49034</v>
      </c>
      <c r="U1425" s="49">
        <v>49034</v>
      </c>
      <c r="V1425" s="49">
        <v>49034</v>
      </c>
      <c r="W1425" s="49">
        <v>49034</v>
      </c>
      <c r="X1425" s="48">
        <v>1</v>
      </c>
      <c r="Y1425" s="48">
        <v>1</v>
      </c>
      <c r="Z1425" s="48">
        <v>1</v>
      </c>
      <c r="AA1425" s="156">
        <v>359085355.80684662</v>
      </c>
      <c r="AF1425" s="48">
        <v>0</v>
      </c>
      <c r="AG1425" s="49" t="s">
        <v>41</v>
      </c>
      <c r="AH1425" s="48">
        <v>1</v>
      </c>
      <c r="AI1425" s="48" t="s">
        <v>33</v>
      </c>
      <c r="AJ1425" s="48" t="s">
        <v>33</v>
      </c>
      <c r="AK1425" s="48" t="s">
        <v>33</v>
      </c>
      <c r="AL1425" s="48" t="s">
        <v>34</v>
      </c>
      <c r="AN1425" s="48">
        <v>0</v>
      </c>
      <c r="AO1425" s="48">
        <v>0</v>
      </c>
      <c r="AP1425" s="48">
        <v>0</v>
      </c>
      <c r="AQ1425" s="48">
        <v>0</v>
      </c>
      <c r="AR1425" s="48">
        <v>0</v>
      </c>
      <c r="AS1425" s="48">
        <v>0</v>
      </c>
      <c r="AT1425" s="48">
        <v>0</v>
      </c>
      <c r="AU1425" s="48">
        <v>0</v>
      </c>
      <c r="AV1425" s="48">
        <v>0</v>
      </c>
      <c r="AW1425" s="48">
        <v>0</v>
      </c>
      <c r="AX1425" s="48">
        <v>0</v>
      </c>
      <c r="AY1425" s="48">
        <v>0</v>
      </c>
      <c r="AZ1425" s="48">
        <v>0</v>
      </c>
      <c r="BA1425" s="48">
        <v>0</v>
      </c>
      <c r="BB1425" s="48">
        <v>0</v>
      </c>
    </row>
    <row r="1426" spans="1:54" x14ac:dyDescent="0.35">
      <c r="A1426" s="49">
        <v>45930</v>
      </c>
      <c r="B1426" s="48">
        <v>1</v>
      </c>
      <c r="C1426" s="50" t="s">
        <v>41</v>
      </c>
      <c r="D1426" s="48" t="s">
        <v>31</v>
      </c>
      <c r="E1426" s="48" t="s">
        <v>138</v>
      </c>
      <c r="F1426" s="48" t="s">
        <v>139</v>
      </c>
      <c r="G1426" s="49" t="s">
        <v>179</v>
      </c>
      <c r="H1426" s="48" t="s">
        <v>178</v>
      </c>
      <c r="I1426" s="48">
        <v>1</v>
      </c>
      <c r="J1426" s="48">
        <v>103</v>
      </c>
      <c r="K1426" s="48">
        <v>1</v>
      </c>
      <c r="N1426" s="48">
        <v>0</v>
      </c>
      <c r="R1426" s="49"/>
      <c r="S1426" s="49"/>
      <c r="T1426" s="49">
        <v>49064</v>
      </c>
      <c r="U1426" s="49">
        <v>49064</v>
      </c>
      <c r="V1426" s="49">
        <v>49064</v>
      </c>
      <c r="W1426" s="49">
        <v>49064</v>
      </c>
      <c r="X1426" s="48">
        <v>1</v>
      </c>
      <c r="Y1426" s="48">
        <v>1</v>
      </c>
      <c r="Z1426" s="48">
        <v>1</v>
      </c>
      <c r="AA1426" s="156">
        <v>353562445.91630936</v>
      </c>
      <c r="AF1426" s="48">
        <v>0</v>
      </c>
      <c r="AG1426" s="49" t="s">
        <v>41</v>
      </c>
      <c r="AH1426" s="48">
        <v>1</v>
      </c>
      <c r="AI1426" s="48" t="s">
        <v>33</v>
      </c>
      <c r="AJ1426" s="48" t="s">
        <v>33</v>
      </c>
      <c r="AK1426" s="48" t="s">
        <v>33</v>
      </c>
      <c r="AL1426" s="48" t="s">
        <v>34</v>
      </c>
      <c r="AN1426" s="48">
        <v>0</v>
      </c>
      <c r="AO1426" s="48">
        <v>0</v>
      </c>
      <c r="AP1426" s="48">
        <v>0</v>
      </c>
      <c r="AQ1426" s="48">
        <v>0</v>
      </c>
      <c r="AR1426" s="48">
        <v>0</v>
      </c>
      <c r="AS1426" s="48">
        <v>0</v>
      </c>
      <c r="AT1426" s="48">
        <v>0</v>
      </c>
      <c r="AU1426" s="48">
        <v>0</v>
      </c>
      <c r="AV1426" s="48">
        <v>0</v>
      </c>
      <c r="AW1426" s="48">
        <v>0</v>
      </c>
      <c r="AX1426" s="48">
        <v>0</v>
      </c>
      <c r="AY1426" s="48">
        <v>0</v>
      </c>
      <c r="AZ1426" s="48">
        <v>0</v>
      </c>
      <c r="BA1426" s="48">
        <v>0</v>
      </c>
      <c r="BB1426" s="48">
        <v>0</v>
      </c>
    </row>
    <row r="1427" spans="1:54" x14ac:dyDescent="0.35">
      <c r="A1427" s="49">
        <v>45930</v>
      </c>
      <c r="B1427" s="48">
        <v>1</v>
      </c>
      <c r="C1427" s="50" t="s">
        <v>41</v>
      </c>
      <c r="D1427" s="48" t="s">
        <v>31</v>
      </c>
      <c r="E1427" s="48" t="s">
        <v>138</v>
      </c>
      <c r="F1427" s="48" t="s">
        <v>139</v>
      </c>
      <c r="G1427" s="49" t="s">
        <v>179</v>
      </c>
      <c r="H1427" s="48" t="s">
        <v>178</v>
      </c>
      <c r="I1427" s="48">
        <v>1</v>
      </c>
      <c r="J1427" s="48">
        <v>104</v>
      </c>
      <c r="K1427" s="48">
        <v>1</v>
      </c>
      <c r="N1427" s="48">
        <v>0</v>
      </c>
      <c r="R1427" s="49"/>
      <c r="S1427" s="49"/>
      <c r="T1427" s="49">
        <v>49095</v>
      </c>
      <c r="U1427" s="49">
        <v>49095</v>
      </c>
      <c r="V1427" s="49">
        <v>49095</v>
      </c>
      <c r="W1427" s="49">
        <v>49095</v>
      </c>
      <c r="X1427" s="48">
        <v>1</v>
      </c>
      <c r="Y1427" s="48">
        <v>1</v>
      </c>
      <c r="Z1427" s="48">
        <v>1</v>
      </c>
      <c r="AA1427" s="156">
        <v>348124481.10404968</v>
      </c>
      <c r="AF1427" s="48">
        <v>0</v>
      </c>
      <c r="AG1427" s="49" t="s">
        <v>41</v>
      </c>
      <c r="AH1427" s="48">
        <v>1</v>
      </c>
      <c r="AI1427" s="48" t="s">
        <v>33</v>
      </c>
      <c r="AJ1427" s="48" t="s">
        <v>33</v>
      </c>
      <c r="AK1427" s="48" t="s">
        <v>33</v>
      </c>
      <c r="AL1427" s="48" t="s">
        <v>34</v>
      </c>
      <c r="AN1427" s="48">
        <v>0</v>
      </c>
      <c r="AO1427" s="48">
        <v>0</v>
      </c>
      <c r="AP1427" s="48">
        <v>0</v>
      </c>
      <c r="AQ1427" s="48">
        <v>0</v>
      </c>
      <c r="AR1427" s="48">
        <v>0</v>
      </c>
      <c r="AS1427" s="48">
        <v>0</v>
      </c>
      <c r="AT1427" s="48">
        <v>0</v>
      </c>
      <c r="AU1427" s="48">
        <v>0</v>
      </c>
      <c r="AV1427" s="48">
        <v>0</v>
      </c>
      <c r="AW1427" s="48">
        <v>0</v>
      </c>
      <c r="AX1427" s="48">
        <v>0</v>
      </c>
      <c r="AY1427" s="48">
        <v>0</v>
      </c>
      <c r="AZ1427" s="48">
        <v>0</v>
      </c>
      <c r="BA1427" s="48">
        <v>0</v>
      </c>
      <c r="BB1427" s="48">
        <v>0</v>
      </c>
    </row>
    <row r="1428" spans="1:54" x14ac:dyDescent="0.35">
      <c r="A1428" s="49">
        <v>45930</v>
      </c>
      <c r="B1428" s="48">
        <v>1</v>
      </c>
      <c r="C1428" s="50" t="s">
        <v>41</v>
      </c>
      <c r="D1428" s="48" t="s">
        <v>31</v>
      </c>
      <c r="E1428" s="48" t="s">
        <v>138</v>
      </c>
      <c r="F1428" s="48" t="s">
        <v>139</v>
      </c>
      <c r="G1428" s="49" t="s">
        <v>179</v>
      </c>
      <c r="H1428" s="48" t="s">
        <v>178</v>
      </c>
      <c r="I1428" s="48">
        <v>1</v>
      </c>
      <c r="J1428" s="48">
        <v>105</v>
      </c>
      <c r="K1428" s="48">
        <v>1</v>
      </c>
      <c r="N1428" s="48">
        <v>0</v>
      </c>
      <c r="R1428" s="49"/>
      <c r="S1428" s="49"/>
      <c r="T1428" s="49">
        <v>49125</v>
      </c>
      <c r="U1428" s="49">
        <v>49125</v>
      </c>
      <c r="V1428" s="49">
        <v>49125</v>
      </c>
      <c r="W1428" s="49">
        <v>49125</v>
      </c>
      <c r="X1428" s="48">
        <v>1</v>
      </c>
      <c r="Y1428" s="48">
        <v>1</v>
      </c>
      <c r="Z1428" s="48">
        <v>1</v>
      </c>
      <c r="AA1428" s="156">
        <v>342770154.8728714</v>
      </c>
      <c r="AF1428" s="48">
        <v>0</v>
      </c>
      <c r="AG1428" s="49" t="s">
        <v>41</v>
      </c>
      <c r="AH1428" s="48">
        <v>1</v>
      </c>
      <c r="AI1428" s="48" t="s">
        <v>33</v>
      </c>
      <c r="AJ1428" s="48" t="s">
        <v>33</v>
      </c>
      <c r="AK1428" s="48" t="s">
        <v>33</v>
      </c>
      <c r="AL1428" s="48" t="s">
        <v>34</v>
      </c>
      <c r="AN1428" s="48">
        <v>0</v>
      </c>
      <c r="AO1428" s="48">
        <v>0</v>
      </c>
      <c r="AP1428" s="48">
        <v>0</v>
      </c>
      <c r="AQ1428" s="48">
        <v>0</v>
      </c>
      <c r="AR1428" s="48">
        <v>0</v>
      </c>
      <c r="AS1428" s="48">
        <v>0</v>
      </c>
      <c r="AT1428" s="48">
        <v>0</v>
      </c>
      <c r="AU1428" s="48">
        <v>0</v>
      </c>
      <c r="AV1428" s="48">
        <v>0</v>
      </c>
      <c r="AW1428" s="48">
        <v>0</v>
      </c>
      <c r="AX1428" s="48">
        <v>0</v>
      </c>
      <c r="AY1428" s="48">
        <v>0</v>
      </c>
      <c r="AZ1428" s="48">
        <v>0</v>
      </c>
      <c r="BA1428" s="48">
        <v>0</v>
      </c>
      <c r="BB1428" s="48">
        <v>0</v>
      </c>
    </row>
    <row r="1429" spans="1:54" x14ac:dyDescent="0.35">
      <c r="A1429" s="49">
        <v>45930</v>
      </c>
      <c r="B1429" s="48">
        <v>1</v>
      </c>
      <c r="C1429" s="50" t="s">
        <v>41</v>
      </c>
      <c r="D1429" s="48" t="s">
        <v>31</v>
      </c>
      <c r="E1429" s="48" t="s">
        <v>138</v>
      </c>
      <c r="F1429" s="48" t="s">
        <v>139</v>
      </c>
      <c r="G1429" s="49" t="s">
        <v>179</v>
      </c>
      <c r="H1429" s="48" t="s">
        <v>178</v>
      </c>
      <c r="I1429" s="48">
        <v>1</v>
      </c>
      <c r="J1429" s="48">
        <v>106</v>
      </c>
      <c r="K1429" s="48">
        <v>1</v>
      </c>
      <c r="N1429" s="48">
        <v>0</v>
      </c>
      <c r="R1429" s="49"/>
      <c r="S1429" s="49"/>
      <c r="T1429" s="49">
        <v>49156</v>
      </c>
      <c r="U1429" s="49">
        <v>49156</v>
      </c>
      <c r="V1429" s="49">
        <v>49156</v>
      </c>
      <c r="W1429" s="49">
        <v>49156</v>
      </c>
      <c r="X1429" s="48">
        <v>1</v>
      </c>
      <c r="Y1429" s="48">
        <v>1</v>
      </c>
      <c r="Z1429" s="48">
        <v>1</v>
      </c>
      <c r="AA1429" s="156">
        <v>337498180.82014465</v>
      </c>
      <c r="AF1429" s="48">
        <v>0</v>
      </c>
      <c r="AG1429" s="49" t="s">
        <v>41</v>
      </c>
      <c r="AH1429" s="48">
        <v>1</v>
      </c>
      <c r="AI1429" s="48" t="s">
        <v>33</v>
      </c>
      <c r="AJ1429" s="48" t="s">
        <v>33</v>
      </c>
      <c r="AK1429" s="48" t="s">
        <v>33</v>
      </c>
      <c r="AL1429" s="48" t="s">
        <v>34</v>
      </c>
      <c r="AN1429" s="48">
        <v>0</v>
      </c>
      <c r="AO1429" s="48">
        <v>0</v>
      </c>
      <c r="AP1429" s="48">
        <v>0</v>
      </c>
      <c r="AQ1429" s="48">
        <v>0</v>
      </c>
      <c r="AR1429" s="48">
        <v>0</v>
      </c>
      <c r="AS1429" s="48">
        <v>0</v>
      </c>
      <c r="AT1429" s="48">
        <v>0</v>
      </c>
      <c r="AU1429" s="48">
        <v>0</v>
      </c>
      <c r="AV1429" s="48">
        <v>0</v>
      </c>
      <c r="AW1429" s="48">
        <v>0</v>
      </c>
      <c r="AX1429" s="48">
        <v>0</v>
      </c>
      <c r="AY1429" s="48">
        <v>0</v>
      </c>
      <c r="AZ1429" s="48">
        <v>0</v>
      </c>
      <c r="BA1429" s="48">
        <v>0</v>
      </c>
      <c r="BB1429" s="48">
        <v>0</v>
      </c>
    </row>
    <row r="1430" spans="1:54" x14ac:dyDescent="0.35">
      <c r="A1430" s="49">
        <v>45930</v>
      </c>
      <c r="B1430" s="48">
        <v>1</v>
      </c>
      <c r="C1430" s="50" t="s">
        <v>41</v>
      </c>
      <c r="D1430" s="48" t="s">
        <v>31</v>
      </c>
      <c r="E1430" s="48" t="s">
        <v>138</v>
      </c>
      <c r="F1430" s="48" t="s">
        <v>139</v>
      </c>
      <c r="G1430" s="49" t="s">
        <v>179</v>
      </c>
      <c r="H1430" s="48" t="s">
        <v>178</v>
      </c>
      <c r="I1430" s="48">
        <v>1</v>
      </c>
      <c r="J1430" s="48">
        <v>107</v>
      </c>
      <c r="K1430" s="48">
        <v>1</v>
      </c>
      <c r="N1430" s="48">
        <v>0</v>
      </c>
      <c r="R1430" s="49"/>
      <c r="S1430" s="49"/>
      <c r="T1430" s="49">
        <v>49187</v>
      </c>
      <c r="U1430" s="49">
        <v>49187</v>
      </c>
      <c r="V1430" s="49">
        <v>49187</v>
      </c>
      <c r="W1430" s="49">
        <v>49187</v>
      </c>
      <c r="X1430" s="48">
        <v>1</v>
      </c>
      <c r="Y1430" s="48">
        <v>1</v>
      </c>
      <c r="Z1430" s="48">
        <v>1</v>
      </c>
      <c r="AA1430" s="156">
        <v>332307292.32873917</v>
      </c>
      <c r="AF1430" s="48">
        <v>0</v>
      </c>
      <c r="AG1430" s="49" t="s">
        <v>41</v>
      </c>
      <c r="AH1430" s="48">
        <v>1</v>
      </c>
      <c r="AI1430" s="48" t="s">
        <v>33</v>
      </c>
      <c r="AJ1430" s="48" t="s">
        <v>33</v>
      </c>
      <c r="AK1430" s="48" t="s">
        <v>33</v>
      </c>
      <c r="AL1430" s="48" t="s">
        <v>34</v>
      </c>
      <c r="AN1430" s="48">
        <v>0</v>
      </c>
      <c r="AO1430" s="48">
        <v>0</v>
      </c>
      <c r="AP1430" s="48">
        <v>0</v>
      </c>
      <c r="AQ1430" s="48">
        <v>0</v>
      </c>
      <c r="AR1430" s="48">
        <v>0</v>
      </c>
      <c r="AS1430" s="48">
        <v>0</v>
      </c>
      <c r="AT1430" s="48">
        <v>0</v>
      </c>
      <c r="AU1430" s="48">
        <v>0</v>
      </c>
      <c r="AV1430" s="48">
        <v>0</v>
      </c>
      <c r="AW1430" s="48">
        <v>0</v>
      </c>
      <c r="AX1430" s="48">
        <v>0</v>
      </c>
      <c r="AY1430" s="48">
        <v>0</v>
      </c>
      <c r="AZ1430" s="48">
        <v>0</v>
      </c>
      <c r="BA1430" s="48">
        <v>0</v>
      </c>
      <c r="BB1430" s="48">
        <v>0</v>
      </c>
    </row>
    <row r="1431" spans="1:54" x14ac:dyDescent="0.35">
      <c r="A1431" s="49">
        <v>45930</v>
      </c>
      <c r="B1431" s="48">
        <v>1</v>
      </c>
      <c r="C1431" s="50" t="s">
        <v>41</v>
      </c>
      <c r="D1431" s="48" t="s">
        <v>31</v>
      </c>
      <c r="E1431" s="48" t="s">
        <v>138</v>
      </c>
      <c r="F1431" s="48" t="s">
        <v>139</v>
      </c>
      <c r="G1431" s="49" t="s">
        <v>179</v>
      </c>
      <c r="H1431" s="48" t="s">
        <v>178</v>
      </c>
      <c r="I1431" s="48">
        <v>1</v>
      </c>
      <c r="J1431" s="48">
        <v>108</v>
      </c>
      <c r="K1431" s="48">
        <v>1</v>
      </c>
      <c r="N1431" s="48">
        <v>0</v>
      </c>
      <c r="R1431" s="49"/>
      <c r="S1431" s="49"/>
      <c r="T1431" s="49">
        <v>49217</v>
      </c>
      <c r="U1431" s="49">
        <v>49217</v>
      </c>
      <c r="V1431" s="49">
        <v>49217</v>
      </c>
      <c r="W1431" s="49">
        <v>49217</v>
      </c>
      <c r="X1431" s="48">
        <v>1</v>
      </c>
      <c r="Y1431" s="48">
        <v>1</v>
      </c>
      <c r="Z1431" s="48">
        <v>1</v>
      </c>
      <c r="AA1431" s="156">
        <v>21273455732.610615</v>
      </c>
      <c r="AF1431" s="48">
        <v>0</v>
      </c>
      <c r="AG1431" s="49" t="s">
        <v>41</v>
      </c>
      <c r="AH1431" s="48">
        <v>1</v>
      </c>
      <c r="AI1431" s="48" t="s">
        <v>33</v>
      </c>
      <c r="AJ1431" s="48" t="s">
        <v>33</v>
      </c>
      <c r="AK1431" s="48" t="s">
        <v>33</v>
      </c>
      <c r="AL1431" s="48" t="s">
        <v>34</v>
      </c>
      <c r="AN1431" s="48">
        <v>0</v>
      </c>
      <c r="AO1431" s="48">
        <v>0</v>
      </c>
      <c r="AP1431" s="48">
        <v>0</v>
      </c>
      <c r="AQ1431" s="48">
        <v>0</v>
      </c>
      <c r="AR1431" s="48">
        <v>0</v>
      </c>
      <c r="AS1431" s="48">
        <v>0</v>
      </c>
      <c r="AT1431" s="48">
        <v>0</v>
      </c>
      <c r="AU1431" s="48">
        <v>0</v>
      </c>
      <c r="AV1431" s="48">
        <v>0</v>
      </c>
      <c r="AW1431" s="48">
        <v>0</v>
      </c>
      <c r="AX1431" s="48">
        <v>0</v>
      </c>
      <c r="AY1431" s="48">
        <v>0</v>
      </c>
      <c r="AZ1431" s="48">
        <v>0</v>
      </c>
      <c r="BA1431" s="48">
        <v>0</v>
      </c>
      <c r="BB1431" s="48">
        <v>0</v>
      </c>
    </row>
    <row r="1432" spans="1:54" x14ac:dyDescent="0.35">
      <c r="A1432" s="49">
        <v>45930</v>
      </c>
      <c r="B1432" s="48">
        <v>1</v>
      </c>
      <c r="C1432" s="50" t="s">
        <v>32</v>
      </c>
      <c r="D1432" s="48" t="s">
        <v>31</v>
      </c>
      <c r="E1432" s="48" t="s">
        <v>138</v>
      </c>
      <c r="F1432" s="48" t="s">
        <v>139</v>
      </c>
      <c r="G1432" s="49" t="s">
        <v>172</v>
      </c>
      <c r="H1432" s="48" t="s">
        <v>176</v>
      </c>
      <c r="I1432" s="48">
        <v>1</v>
      </c>
      <c r="K1432" s="48">
        <v>1</v>
      </c>
      <c r="N1432" s="48">
        <v>0</v>
      </c>
      <c r="R1432" s="49"/>
      <c r="S1432" s="49"/>
      <c r="T1432" s="49">
        <v>45931</v>
      </c>
      <c r="U1432" s="49">
        <v>45931</v>
      </c>
      <c r="V1432" s="49">
        <v>45931</v>
      </c>
      <c r="W1432" s="49">
        <v>45931</v>
      </c>
      <c r="X1432" s="48">
        <v>1</v>
      </c>
      <c r="Y1432" s="48">
        <v>1</v>
      </c>
      <c r="Z1432" s="48">
        <v>1</v>
      </c>
      <c r="AA1432" s="156">
        <v>1357075</v>
      </c>
      <c r="AF1432" s="48">
        <v>0</v>
      </c>
      <c r="AG1432" s="49" t="s">
        <v>32</v>
      </c>
      <c r="AH1432" s="48">
        <v>1</v>
      </c>
      <c r="AI1432" s="48" t="s">
        <v>33</v>
      </c>
      <c r="AJ1432" s="48" t="s">
        <v>33</v>
      </c>
      <c r="AK1432" s="48" t="s">
        <v>33</v>
      </c>
      <c r="AL1432" s="48" t="s">
        <v>34</v>
      </c>
      <c r="AN1432" s="48">
        <v>0</v>
      </c>
      <c r="AO1432" s="48">
        <v>0</v>
      </c>
      <c r="AP1432" s="48">
        <v>0</v>
      </c>
      <c r="AQ1432" s="48">
        <v>0</v>
      </c>
      <c r="AR1432" s="48">
        <v>0</v>
      </c>
      <c r="AS1432" s="48">
        <v>0</v>
      </c>
      <c r="AT1432" s="48">
        <v>0</v>
      </c>
      <c r="AU1432" s="48">
        <v>0</v>
      </c>
      <c r="AV1432" s="48">
        <v>0</v>
      </c>
      <c r="AW1432" s="48">
        <v>0</v>
      </c>
      <c r="AX1432" s="48">
        <v>0</v>
      </c>
      <c r="AY1432" s="48">
        <v>0</v>
      </c>
      <c r="AZ1432" s="48">
        <v>0</v>
      </c>
      <c r="BA1432" s="48">
        <v>0</v>
      </c>
      <c r="BB1432" s="48">
        <v>0</v>
      </c>
    </row>
    <row r="1433" spans="1:54" x14ac:dyDescent="0.35">
      <c r="A1433" s="49">
        <v>45930</v>
      </c>
      <c r="B1433" s="48">
        <v>1</v>
      </c>
      <c r="C1433" s="50" t="s">
        <v>32</v>
      </c>
      <c r="D1433" s="48" t="s">
        <v>31</v>
      </c>
      <c r="E1433" s="48" t="s">
        <v>138</v>
      </c>
      <c r="F1433" s="48" t="s">
        <v>139</v>
      </c>
      <c r="G1433" s="49" t="s">
        <v>172</v>
      </c>
      <c r="H1433" s="48" t="s">
        <v>175</v>
      </c>
      <c r="I1433" s="48">
        <v>1</v>
      </c>
      <c r="J1433" s="48">
        <v>1</v>
      </c>
      <c r="K1433" s="48">
        <v>1</v>
      </c>
      <c r="N1433" s="48">
        <v>0</v>
      </c>
      <c r="R1433" s="49"/>
      <c r="S1433" s="49"/>
      <c r="T1433" s="49">
        <v>45961</v>
      </c>
      <c r="U1433" s="49">
        <v>45961</v>
      </c>
      <c r="V1433" s="49">
        <v>45961</v>
      </c>
      <c r="W1433" s="49">
        <v>45961</v>
      </c>
      <c r="X1433" s="48">
        <v>1</v>
      </c>
      <c r="Y1433" s="48">
        <v>1</v>
      </c>
      <c r="Z1433" s="48">
        <v>1</v>
      </c>
      <c r="AA1433" s="156">
        <v>27510.538496171124</v>
      </c>
      <c r="AF1433" s="48">
        <v>0</v>
      </c>
      <c r="AG1433" s="49" t="s">
        <v>32</v>
      </c>
      <c r="AH1433" s="48">
        <v>1</v>
      </c>
      <c r="AI1433" s="48" t="s">
        <v>33</v>
      </c>
      <c r="AJ1433" s="48" t="s">
        <v>33</v>
      </c>
      <c r="AK1433" s="48" t="s">
        <v>33</v>
      </c>
      <c r="AL1433" s="48" t="s">
        <v>34</v>
      </c>
      <c r="AN1433" s="48">
        <v>0</v>
      </c>
      <c r="AO1433" s="48">
        <v>0</v>
      </c>
      <c r="AP1433" s="48">
        <v>0</v>
      </c>
      <c r="AQ1433" s="48">
        <v>0</v>
      </c>
      <c r="AR1433" s="48">
        <v>0</v>
      </c>
      <c r="AS1433" s="48">
        <v>0</v>
      </c>
      <c r="AT1433" s="48">
        <v>0</v>
      </c>
      <c r="AU1433" s="48">
        <v>0</v>
      </c>
      <c r="AV1433" s="48">
        <v>0</v>
      </c>
      <c r="AW1433" s="48">
        <v>0</v>
      </c>
      <c r="AX1433" s="48">
        <v>0</v>
      </c>
      <c r="AY1433" s="48">
        <v>0</v>
      </c>
      <c r="AZ1433" s="48">
        <v>0</v>
      </c>
      <c r="BA1433" s="48">
        <v>0</v>
      </c>
      <c r="BB1433" s="48">
        <v>0</v>
      </c>
    </row>
    <row r="1434" spans="1:54" x14ac:dyDescent="0.35">
      <c r="A1434" s="49">
        <v>45930</v>
      </c>
      <c r="B1434" s="48">
        <v>1</v>
      </c>
      <c r="C1434" s="50" t="s">
        <v>32</v>
      </c>
      <c r="D1434" s="48" t="s">
        <v>31</v>
      </c>
      <c r="E1434" s="48" t="s">
        <v>138</v>
      </c>
      <c r="F1434" s="48" t="s">
        <v>139</v>
      </c>
      <c r="G1434" s="49" t="s">
        <v>172</v>
      </c>
      <c r="H1434" s="48" t="s">
        <v>175</v>
      </c>
      <c r="I1434" s="48">
        <v>1</v>
      </c>
      <c r="J1434" s="48">
        <v>2</v>
      </c>
      <c r="K1434" s="48">
        <v>1</v>
      </c>
      <c r="N1434" s="48">
        <v>0</v>
      </c>
      <c r="R1434" s="49"/>
      <c r="S1434" s="49"/>
      <c r="T1434" s="49">
        <v>45991</v>
      </c>
      <c r="U1434" s="49">
        <v>45991</v>
      </c>
      <c r="V1434" s="49">
        <v>45991</v>
      </c>
      <c r="W1434" s="49">
        <v>45991</v>
      </c>
      <c r="X1434" s="48">
        <v>1</v>
      </c>
      <c r="Y1434" s="48">
        <v>1</v>
      </c>
      <c r="Z1434" s="48">
        <v>1</v>
      </c>
      <c r="AA1434" s="156">
        <v>27269.507847706787</v>
      </c>
      <c r="AF1434" s="48">
        <v>0</v>
      </c>
      <c r="AG1434" s="49" t="s">
        <v>32</v>
      </c>
      <c r="AH1434" s="48">
        <v>1</v>
      </c>
      <c r="AI1434" s="48" t="s">
        <v>33</v>
      </c>
      <c r="AJ1434" s="48" t="s">
        <v>33</v>
      </c>
      <c r="AK1434" s="48" t="s">
        <v>33</v>
      </c>
      <c r="AL1434" s="48" t="s">
        <v>34</v>
      </c>
      <c r="AN1434" s="48">
        <v>0</v>
      </c>
      <c r="AO1434" s="48">
        <v>0</v>
      </c>
      <c r="AP1434" s="48">
        <v>0</v>
      </c>
      <c r="AQ1434" s="48">
        <v>0</v>
      </c>
      <c r="AR1434" s="48">
        <v>0</v>
      </c>
      <c r="AS1434" s="48">
        <v>0</v>
      </c>
      <c r="AT1434" s="48">
        <v>0</v>
      </c>
      <c r="AU1434" s="48">
        <v>0</v>
      </c>
      <c r="AV1434" s="48">
        <v>0</v>
      </c>
      <c r="AW1434" s="48">
        <v>0</v>
      </c>
      <c r="AX1434" s="48">
        <v>0</v>
      </c>
      <c r="AY1434" s="48">
        <v>0</v>
      </c>
      <c r="AZ1434" s="48">
        <v>0</v>
      </c>
      <c r="BA1434" s="48">
        <v>0</v>
      </c>
      <c r="BB1434" s="48">
        <v>0</v>
      </c>
    </row>
    <row r="1435" spans="1:54" x14ac:dyDescent="0.35">
      <c r="A1435" s="49">
        <v>45930</v>
      </c>
      <c r="B1435" s="48">
        <v>1</v>
      </c>
      <c r="C1435" s="50" t="s">
        <v>32</v>
      </c>
      <c r="D1435" s="48" t="s">
        <v>31</v>
      </c>
      <c r="E1435" s="48" t="s">
        <v>138</v>
      </c>
      <c r="F1435" s="48" t="s">
        <v>139</v>
      </c>
      <c r="G1435" s="49" t="s">
        <v>172</v>
      </c>
      <c r="H1435" s="48" t="s">
        <v>175</v>
      </c>
      <c r="I1435" s="48">
        <v>1</v>
      </c>
      <c r="J1435" s="48">
        <v>3</v>
      </c>
      <c r="K1435" s="48">
        <v>1</v>
      </c>
      <c r="N1435" s="48">
        <v>0</v>
      </c>
      <c r="R1435" s="49"/>
      <c r="S1435" s="49"/>
      <c r="T1435" s="49">
        <v>46022</v>
      </c>
      <c r="U1435" s="49">
        <v>46022</v>
      </c>
      <c r="V1435" s="49">
        <v>46022</v>
      </c>
      <c r="W1435" s="49">
        <v>46022</v>
      </c>
      <c r="X1435" s="48">
        <v>1</v>
      </c>
      <c r="Y1435" s="48">
        <v>1</v>
      </c>
      <c r="Z1435" s="48">
        <v>1</v>
      </c>
      <c r="AA1435" s="156">
        <v>27030.588963558432</v>
      </c>
      <c r="AF1435" s="48">
        <v>0</v>
      </c>
      <c r="AG1435" s="49" t="s">
        <v>32</v>
      </c>
      <c r="AH1435" s="48">
        <v>1</v>
      </c>
      <c r="AI1435" s="48" t="s">
        <v>33</v>
      </c>
      <c r="AJ1435" s="48" t="s">
        <v>33</v>
      </c>
      <c r="AK1435" s="48" t="s">
        <v>33</v>
      </c>
      <c r="AL1435" s="48" t="s">
        <v>34</v>
      </c>
      <c r="AN1435" s="48">
        <v>0</v>
      </c>
      <c r="AO1435" s="48">
        <v>0</v>
      </c>
      <c r="AP1435" s="48">
        <v>0</v>
      </c>
      <c r="AQ1435" s="48">
        <v>0</v>
      </c>
      <c r="AR1435" s="48">
        <v>0</v>
      </c>
      <c r="AS1435" s="48">
        <v>0</v>
      </c>
      <c r="AT1435" s="48">
        <v>0</v>
      </c>
      <c r="AU1435" s="48">
        <v>0</v>
      </c>
      <c r="AV1435" s="48">
        <v>0</v>
      </c>
      <c r="AW1435" s="48">
        <v>0</v>
      </c>
      <c r="AX1435" s="48">
        <v>0</v>
      </c>
      <c r="AY1435" s="48">
        <v>0</v>
      </c>
      <c r="AZ1435" s="48">
        <v>0</v>
      </c>
      <c r="BA1435" s="48">
        <v>0</v>
      </c>
      <c r="BB1435" s="48">
        <v>0</v>
      </c>
    </row>
    <row r="1436" spans="1:54" x14ac:dyDescent="0.35">
      <c r="A1436" s="49">
        <v>45930</v>
      </c>
      <c r="B1436" s="48">
        <v>1</v>
      </c>
      <c r="C1436" s="50" t="s">
        <v>32</v>
      </c>
      <c r="D1436" s="48" t="s">
        <v>31</v>
      </c>
      <c r="E1436" s="48" t="s">
        <v>138</v>
      </c>
      <c r="F1436" s="48" t="s">
        <v>139</v>
      </c>
      <c r="G1436" s="49" t="s">
        <v>172</v>
      </c>
      <c r="H1436" s="48" t="s">
        <v>175</v>
      </c>
      <c r="I1436" s="48">
        <v>1</v>
      </c>
      <c r="J1436" s="48">
        <v>4</v>
      </c>
      <c r="K1436" s="48">
        <v>1</v>
      </c>
      <c r="N1436" s="48">
        <v>0</v>
      </c>
      <c r="R1436" s="49"/>
      <c r="S1436" s="49"/>
      <c r="T1436" s="49">
        <v>46053</v>
      </c>
      <c r="U1436" s="49">
        <v>46053</v>
      </c>
      <c r="V1436" s="49">
        <v>46053</v>
      </c>
      <c r="W1436" s="49">
        <v>46053</v>
      </c>
      <c r="X1436" s="48">
        <v>1</v>
      </c>
      <c r="Y1436" s="48">
        <v>1</v>
      </c>
      <c r="Z1436" s="48">
        <v>1</v>
      </c>
      <c r="AA1436" s="156">
        <v>26793.763341728132</v>
      </c>
      <c r="AF1436" s="48">
        <v>0</v>
      </c>
      <c r="AG1436" s="49" t="s">
        <v>32</v>
      </c>
      <c r="AH1436" s="48">
        <v>1</v>
      </c>
      <c r="AI1436" s="48" t="s">
        <v>33</v>
      </c>
      <c r="AJ1436" s="48" t="s">
        <v>33</v>
      </c>
      <c r="AK1436" s="48" t="s">
        <v>33</v>
      </c>
      <c r="AL1436" s="48" t="s">
        <v>34</v>
      </c>
      <c r="AN1436" s="48">
        <v>0</v>
      </c>
      <c r="AO1436" s="48">
        <v>0</v>
      </c>
      <c r="AP1436" s="48">
        <v>0</v>
      </c>
      <c r="AQ1436" s="48">
        <v>0</v>
      </c>
      <c r="AR1436" s="48">
        <v>0</v>
      </c>
      <c r="AS1436" s="48">
        <v>0</v>
      </c>
      <c r="AT1436" s="48">
        <v>0</v>
      </c>
      <c r="AU1436" s="48">
        <v>0</v>
      </c>
      <c r="AV1436" s="48">
        <v>0</v>
      </c>
      <c r="AW1436" s="48">
        <v>0</v>
      </c>
      <c r="AX1436" s="48">
        <v>0</v>
      </c>
      <c r="AY1436" s="48">
        <v>0</v>
      </c>
      <c r="AZ1436" s="48">
        <v>0</v>
      </c>
      <c r="BA1436" s="48">
        <v>0</v>
      </c>
      <c r="BB1436" s="48">
        <v>0</v>
      </c>
    </row>
    <row r="1437" spans="1:54" x14ac:dyDescent="0.35">
      <c r="A1437" s="49">
        <v>45930</v>
      </c>
      <c r="B1437" s="48">
        <v>1</v>
      </c>
      <c r="C1437" s="50" t="s">
        <v>32</v>
      </c>
      <c r="D1437" s="48" t="s">
        <v>31</v>
      </c>
      <c r="E1437" s="48" t="s">
        <v>138</v>
      </c>
      <c r="F1437" s="48" t="s">
        <v>139</v>
      </c>
      <c r="G1437" s="49" t="s">
        <v>172</v>
      </c>
      <c r="H1437" s="48" t="s">
        <v>175</v>
      </c>
      <c r="I1437" s="48">
        <v>1</v>
      </c>
      <c r="J1437" s="48">
        <v>5</v>
      </c>
      <c r="K1437" s="48">
        <v>1</v>
      </c>
      <c r="N1437" s="48">
        <v>0</v>
      </c>
      <c r="R1437" s="49"/>
      <c r="S1437" s="49"/>
      <c r="T1437" s="49">
        <v>46081</v>
      </c>
      <c r="U1437" s="49">
        <v>46081</v>
      </c>
      <c r="V1437" s="49">
        <v>46081</v>
      </c>
      <c r="W1437" s="49">
        <v>46081</v>
      </c>
      <c r="X1437" s="48">
        <v>1</v>
      </c>
      <c r="Y1437" s="48">
        <v>1</v>
      </c>
      <c r="Z1437" s="48">
        <v>1</v>
      </c>
      <c r="AA1437" s="156">
        <v>26559.012642320711</v>
      </c>
      <c r="AF1437" s="48">
        <v>0</v>
      </c>
      <c r="AG1437" s="49" t="s">
        <v>32</v>
      </c>
      <c r="AH1437" s="48">
        <v>1</v>
      </c>
      <c r="AI1437" s="48" t="s">
        <v>33</v>
      </c>
      <c r="AJ1437" s="48" t="s">
        <v>33</v>
      </c>
      <c r="AK1437" s="48" t="s">
        <v>33</v>
      </c>
      <c r="AL1437" s="48" t="s">
        <v>34</v>
      </c>
      <c r="AN1437" s="48">
        <v>0</v>
      </c>
      <c r="AO1437" s="48">
        <v>0</v>
      </c>
      <c r="AP1437" s="48">
        <v>0</v>
      </c>
      <c r="AQ1437" s="48">
        <v>0</v>
      </c>
      <c r="AR1437" s="48">
        <v>0</v>
      </c>
      <c r="AS1437" s="48">
        <v>0</v>
      </c>
      <c r="AT1437" s="48">
        <v>0</v>
      </c>
      <c r="AU1437" s="48">
        <v>0</v>
      </c>
      <c r="AV1437" s="48">
        <v>0</v>
      </c>
      <c r="AW1437" s="48">
        <v>0</v>
      </c>
      <c r="AX1437" s="48">
        <v>0</v>
      </c>
      <c r="AY1437" s="48">
        <v>0</v>
      </c>
      <c r="AZ1437" s="48">
        <v>0</v>
      </c>
      <c r="BA1437" s="48">
        <v>0</v>
      </c>
      <c r="BB1437" s="48">
        <v>0</v>
      </c>
    </row>
    <row r="1438" spans="1:54" x14ac:dyDescent="0.35">
      <c r="A1438" s="49">
        <v>45930</v>
      </c>
      <c r="B1438" s="48">
        <v>1</v>
      </c>
      <c r="C1438" s="50" t="s">
        <v>32</v>
      </c>
      <c r="D1438" s="48" t="s">
        <v>31</v>
      </c>
      <c r="E1438" s="48" t="s">
        <v>138</v>
      </c>
      <c r="F1438" s="48" t="s">
        <v>139</v>
      </c>
      <c r="G1438" s="49" t="s">
        <v>172</v>
      </c>
      <c r="H1438" s="48" t="s">
        <v>175</v>
      </c>
      <c r="I1438" s="48">
        <v>1</v>
      </c>
      <c r="J1438" s="48">
        <v>6</v>
      </c>
      <c r="K1438" s="48">
        <v>1</v>
      </c>
      <c r="N1438" s="48">
        <v>0</v>
      </c>
      <c r="R1438" s="49"/>
      <c r="S1438" s="49"/>
      <c r="T1438" s="49">
        <v>46112</v>
      </c>
      <c r="U1438" s="49">
        <v>46112</v>
      </c>
      <c r="V1438" s="49">
        <v>46112</v>
      </c>
      <c r="W1438" s="49">
        <v>46112</v>
      </c>
      <c r="X1438" s="48">
        <v>1</v>
      </c>
      <c r="Y1438" s="48">
        <v>1</v>
      </c>
      <c r="Z1438" s="48">
        <v>1</v>
      </c>
      <c r="AA1438" s="156">
        <v>26326.318686125334</v>
      </c>
      <c r="AF1438" s="48">
        <v>0</v>
      </c>
      <c r="AG1438" s="49" t="s">
        <v>32</v>
      </c>
      <c r="AH1438" s="48">
        <v>1</v>
      </c>
      <c r="AI1438" s="48" t="s">
        <v>33</v>
      </c>
      <c r="AJ1438" s="48" t="s">
        <v>33</v>
      </c>
      <c r="AK1438" s="48" t="s">
        <v>33</v>
      </c>
      <c r="AL1438" s="48" t="s">
        <v>34</v>
      </c>
      <c r="AN1438" s="48">
        <v>0</v>
      </c>
      <c r="AO1438" s="48">
        <v>0</v>
      </c>
      <c r="AP1438" s="48">
        <v>0</v>
      </c>
      <c r="AQ1438" s="48">
        <v>0</v>
      </c>
      <c r="AR1438" s="48">
        <v>0</v>
      </c>
      <c r="AS1438" s="48">
        <v>0</v>
      </c>
      <c r="AT1438" s="48">
        <v>0</v>
      </c>
      <c r="AU1438" s="48">
        <v>0</v>
      </c>
      <c r="AV1438" s="48">
        <v>0</v>
      </c>
      <c r="AW1438" s="48">
        <v>0</v>
      </c>
      <c r="AX1438" s="48">
        <v>0</v>
      </c>
      <c r="AY1438" s="48">
        <v>0</v>
      </c>
      <c r="AZ1438" s="48">
        <v>0</v>
      </c>
      <c r="BA1438" s="48">
        <v>0</v>
      </c>
      <c r="BB1438" s="48">
        <v>0</v>
      </c>
    </row>
    <row r="1439" spans="1:54" x14ac:dyDescent="0.35">
      <c r="A1439" s="49">
        <v>45930</v>
      </c>
      <c r="B1439" s="48">
        <v>1</v>
      </c>
      <c r="C1439" s="50" t="s">
        <v>32</v>
      </c>
      <c r="D1439" s="48" t="s">
        <v>31</v>
      </c>
      <c r="E1439" s="48" t="s">
        <v>138</v>
      </c>
      <c r="F1439" s="48" t="s">
        <v>139</v>
      </c>
      <c r="G1439" s="49" t="s">
        <v>172</v>
      </c>
      <c r="H1439" s="48" t="s">
        <v>175</v>
      </c>
      <c r="I1439" s="48">
        <v>1</v>
      </c>
      <c r="J1439" s="48">
        <v>7</v>
      </c>
      <c r="K1439" s="48">
        <v>1</v>
      </c>
      <c r="N1439" s="48">
        <v>0</v>
      </c>
      <c r="R1439" s="49"/>
      <c r="S1439" s="49"/>
      <c r="T1439" s="49">
        <v>46142</v>
      </c>
      <c r="U1439" s="49">
        <v>46142</v>
      </c>
      <c r="V1439" s="49">
        <v>46142</v>
      </c>
      <c r="W1439" s="49">
        <v>46142</v>
      </c>
      <c r="X1439" s="48">
        <v>1</v>
      </c>
      <c r="Y1439" s="48">
        <v>1</v>
      </c>
      <c r="Z1439" s="48">
        <v>1</v>
      </c>
      <c r="AA1439" s="156">
        <v>26095.663453205489</v>
      </c>
      <c r="AF1439" s="48">
        <v>0</v>
      </c>
      <c r="AG1439" s="49" t="s">
        <v>32</v>
      </c>
      <c r="AH1439" s="48">
        <v>1</v>
      </c>
      <c r="AI1439" s="48" t="s">
        <v>33</v>
      </c>
      <c r="AJ1439" s="48" t="s">
        <v>33</v>
      </c>
      <c r="AK1439" s="48" t="s">
        <v>33</v>
      </c>
      <c r="AL1439" s="48" t="s">
        <v>34</v>
      </c>
      <c r="AN1439" s="48">
        <v>0</v>
      </c>
      <c r="AO1439" s="48">
        <v>0</v>
      </c>
      <c r="AP1439" s="48">
        <v>0</v>
      </c>
      <c r="AQ1439" s="48">
        <v>0</v>
      </c>
      <c r="AR1439" s="48">
        <v>0</v>
      </c>
      <c r="AS1439" s="48">
        <v>0</v>
      </c>
      <c r="AT1439" s="48">
        <v>0</v>
      </c>
      <c r="AU1439" s="48">
        <v>0</v>
      </c>
      <c r="AV1439" s="48">
        <v>0</v>
      </c>
      <c r="AW1439" s="48">
        <v>0</v>
      </c>
      <c r="AX1439" s="48">
        <v>0</v>
      </c>
      <c r="AY1439" s="48">
        <v>0</v>
      </c>
      <c r="AZ1439" s="48">
        <v>0</v>
      </c>
      <c r="BA1439" s="48">
        <v>0</v>
      </c>
      <c r="BB1439" s="48">
        <v>0</v>
      </c>
    </row>
    <row r="1440" spans="1:54" x14ac:dyDescent="0.35">
      <c r="A1440" s="49">
        <v>45930</v>
      </c>
      <c r="B1440" s="48">
        <v>1</v>
      </c>
      <c r="C1440" s="50" t="s">
        <v>32</v>
      </c>
      <c r="D1440" s="48" t="s">
        <v>31</v>
      </c>
      <c r="E1440" s="48" t="s">
        <v>138</v>
      </c>
      <c r="F1440" s="48" t="s">
        <v>139</v>
      </c>
      <c r="G1440" s="49" t="s">
        <v>172</v>
      </c>
      <c r="H1440" s="48" t="s">
        <v>175</v>
      </c>
      <c r="I1440" s="48">
        <v>1</v>
      </c>
      <c r="J1440" s="48">
        <v>8</v>
      </c>
      <c r="K1440" s="48">
        <v>1</v>
      </c>
      <c r="N1440" s="48">
        <v>0</v>
      </c>
      <c r="R1440" s="49"/>
      <c r="S1440" s="49"/>
      <c r="T1440" s="49">
        <v>46173</v>
      </c>
      <c r="U1440" s="49">
        <v>46173</v>
      </c>
      <c r="V1440" s="49">
        <v>46173</v>
      </c>
      <c r="W1440" s="49">
        <v>46173</v>
      </c>
      <c r="X1440" s="48">
        <v>1</v>
      </c>
      <c r="Y1440" s="48">
        <v>1</v>
      </c>
      <c r="Z1440" s="48">
        <v>1</v>
      </c>
      <c r="AA1440" s="156">
        <v>25867.029081504792</v>
      </c>
      <c r="AF1440" s="48">
        <v>0</v>
      </c>
      <c r="AG1440" s="49" t="s">
        <v>32</v>
      </c>
      <c r="AH1440" s="48">
        <v>1</v>
      </c>
      <c r="AI1440" s="48" t="s">
        <v>33</v>
      </c>
      <c r="AJ1440" s="48" t="s">
        <v>33</v>
      </c>
      <c r="AK1440" s="48" t="s">
        <v>33</v>
      </c>
      <c r="AL1440" s="48" t="s">
        <v>34</v>
      </c>
      <c r="AN1440" s="48">
        <v>0</v>
      </c>
      <c r="AO1440" s="48">
        <v>0</v>
      </c>
      <c r="AP1440" s="48">
        <v>0</v>
      </c>
      <c r="AQ1440" s="48">
        <v>0</v>
      </c>
      <c r="AR1440" s="48">
        <v>0</v>
      </c>
      <c r="AS1440" s="48">
        <v>0</v>
      </c>
      <c r="AT1440" s="48">
        <v>0</v>
      </c>
      <c r="AU1440" s="48">
        <v>0</v>
      </c>
      <c r="AV1440" s="48">
        <v>0</v>
      </c>
      <c r="AW1440" s="48">
        <v>0</v>
      </c>
      <c r="AX1440" s="48">
        <v>0</v>
      </c>
      <c r="AY1440" s="48">
        <v>0</v>
      </c>
      <c r="AZ1440" s="48">
        <v>0</v>
      </c>
      <c r="BA1440" s="48">
        <v>0</v>
      </c>
      <c r="BB1440" s="48">
        <v>0</v>
      </c>
    </row>
    <row r="1441" spans="1:54" x14ac:dyDescent="0.35">
      <c r="A1441" s="49">
        <v>45930</v>
      </c>
      <c r="B1441" s="48">
        <v>1</v>
      </c>
      <c r="C1441" s="50" t="s">
        <v>32</v>
      </c>
      <c r="D1441" s="48" t="s">
        <v>31</v>
      </c>
      <c r="E1441" s="48" t="s">
        <v>138</v>
      </c>
      <c r="F1441" s="48" t="s">
        <v>139</v>
      </c>
      <c r="G1441" s="49" t="s">
        <v>172</v>
      </c>
      <c r="H1441" s="48" t="s">
        <v>175</v>
      </c>
      <c r="I1441" s="48">
        <v>1</v>
      </c>
      <c r="J1441" s="48">
        <v>9</v>
      </c>
      <c r="K1441" s="48">
        <v>1</v>
      </c>
      <c r="N1441" s="48">
        <v>0</v>
      </c>
      <c r="R1441" s="49"/>
      <c r="S1441" s="49"/>
      <c r="T1441" s="49">
        <v>46203</v>
      </c>
      <c r="U1441" s="49">
        <v>46203</v>
      </c>
      <c r="V1441" s="49">
        <v>46203</v>
      </c>
      <c r="W1441" s="49">
        <v>46203</v>
      </c>
      <c r="X1441" s="48">
        <v>1</v>
      </c>
      <c r="Y1441" s="48">
        <v>1</v>
      </c>
      <c r="Z1441" s="48">
        <v>1</v>
      </c>
      <c r="AA1441" s="156">
        <v>25640.397865463048</v>
      </c>
      <c r="AF1441" s="48">
        <v>0</v>
      </c>
      <c r="AG1441" s="49" t="s">
        <v>32</v>
      </c>
      <c r="AH1441" s="48">
        <v>1</v>
      </c>
      <c r="AI1441" s="48" t="s">
        <v>33</v>
      </c>
      <c r="AJ1441" s="48" t="s">
        <v>33</v>
      </c>
      <c r="AK1441" s="48" t="s">
        <v>33</v>
      </c>
      <c r="AL1441" s="48" t="s">
        <v>34</v>
      </c>
      <c r="AN1441" s="48">
        <v>0</v>
      </c>
      <c r="AO1441" s="48">
        <v>0</v>
      </c>
      <c r="AP1441" s="48">
        <v>0</v>
      </c>
      <c r="AQ1441" s="48">
        <v>0</v>
      </c>
      <c r="AR1441" s="48">
        <v>0</v>
      </c>
      <c r="AS1441" s="48">
        <v>0</v>
      </c>
      <c r="AT1441" s="48">
        <v>0</v>
      </c>
      <c r="AU1441" s="48">
        <v>0</v>
      </c>
      <c r="AV1441" s="48">
        <v>0</v>
      </c>
      <c r="AW1441" s="48">
        <v>0</v>
      </c>
      <c r="AX1441" s="48">
        <v>0</v>
      </c>
      <c r="AY1441" s="48">
        <v>0</v>
      </c>
      <c r="AZ1441" s="48">
        <v>0</v>
      </c>
      <c r="BA1441" s="48">
        <v>0</v>
      </c>
      <c r="BB1441" s="48">
        <v>0</v>
      </c>
    </row>
    <row r="1442" spans="1:54" x14ac:dyDescent="0.35">
      <c r="A1442" s="49">
        <v>45930</v>
      </c>
      <c r="B1442" s="48">
        <v>1</v>
      </c>
      <c r="C1442" s="50" t="s">
        <v>32</v>
      </c>
      <c r="D1442" s="48" t="s">
        <v>31</v>
      </c>
      <c r="E1442" s="48" t="s">
        <v>138</v>
      </c>
      <c r="F1442" s="48" t="s">
        <v>139</v>
      </c>
      <c r="G1442" s="49" t="s">
        <v>172</v>
      </c>
      <c r="H1442" s="48" t="s">
        <v>175</v>
      </c>
      <c r="I1442" s="48">
        <v>1</v>
      </c>
      <c r="J1442" s="48">
        <v>10</v>
      </c>
      <c r="K1442" s="48">
        <v>1</v>
      </c>
      <c r="N1442" s="48">
        <v>0</v>
      </c>
      <c r="R1442" s="49"/>
      <c r="S1442" s="49"/>
      <c r="T1442" s="49">
        <v>46234</v>
      </c>
      <c r="U1442" s="49">
        <v>46234</v>
      </c>
      <c r="V1442" s="49">
        <v>46234</v>
      </c>
      <c r="W1442" s="49">
        <v>46234</v>
      </c>
      <c r="X1442" s="48">
        <v>1</v>
      </c>
      <c r="Y1442" s="48">
        <v>1</v>
      </c>
      <c r="Z1442" s="48">
        <v>1</v>
      </c>
      <c r="AA1442" s="156">
        <v>25415.75225464534</v>
      </c>
      <c r="AF1442" s="48">
        <v>0</v>
      </c>
      <c r="AG1442" s="49" t="s">
        <v>32</v>
      </c>
      <c r="AH1442" s="48">
        <v>1</v>
      </c>
      <c r="AI1442" s="48" t="s">
        <v>33</v>
      </c>
      <c r="AJ1442" s="48" t="s">
        <v>33</v>
      </c>
      <c r="AK1442" s="48" t="s">
        <v>33</v>
      </c>
      <c r="AL1442" s="48" t="s">
        <v>34</v>
      </c>
      <c r="AN1442" s="48">
        <v>0</v>
      </c>
      <c r="AO1442" s="48">
        <v>0</v>
      </c>
      <c r="AP1442" s="48">
        <v>0</v>
      </c>
      <c r="AQ1442" s="48">
        <v>0</v>
      </c>
      <c r="AR1442" s="48">
        <v>0</v>
      </c>
      <c r="AS1442" s="48">
        <v>0</v>
      </c>
      <c r="AT1442" s="48">
        <v>0</v>
      </c>
      <c r="AU1442" s="48">
        <v>0</v>
      </c>
      <c r="AV1442" s="48">
        <v>0</v>
      </c>
      <c r="AW1442" s="48">
        <v>0</v>
      </c>
      <c r="AX1442" s="48">
        <v>0</v>
      </c>
      <c r="AY1442" s="48">
        <v>0</v>
      </c>
      <c r="AZ1442" s="48">
        <v>0</v>
      </c>
      <c r="BA1442" s="48">
        <v>0</v>
      </c>
      <c r="BB1442" s="48">
        <v>0</v>
      </c>
    </row>
    <row r="1443" spans="1:54" x14ac:dyDescent="0.35">
      <c r="A1443" s="49">
        <v>45930</v>
      </c>
      <c r="B1443" s="48">
        <v>1</v>
      </c>
      <c r="C1443" s="50" t="s">
        <v>32</v>
      </c>
      <c r="D1443" s="48" t="s">
        <v>31</v>
      </c>
      <c r="E1443" s="48" t="s">
        <v>138</v>
      </c>
      <c r="F1443" s="48" t="s">
        <v>139</v>
      </c>
      <c r="G1443" s="49" t="s">
        <v>172</v>
      </c>
      <c r="H1443" s="48" t="s">
        <v>175</v>
      </c>
      <c r="I1443" s="48">
        <v>1</v>
      </c>
      <c r="J1443" s="48">
        <v>11</v>
      </c>
      <c r="K1443" s="48">
        <v>1</v>
      </c>
      <c r="N1443" s="48">
        <v>0</v>
      </c>
      <c r="R1443" s="49"/>
      <c r="S1443" s="49"/>
      <c r="T1443" s="49">
        <v>46265</v>
      </c>
      <c r="U1443" s="49">
        <v>46265</v>
      </c>
      <c r="V1443" s="49">
        <v>46265</v>
      </c>
      <c r="W1443" s="49">
        <v>46265</v>
      </c>
      <c r="X1443" s="48">
        <v>1</v>
      </c>
      <c r="Y1443" s="48">
        <v>1</v>
      </c>
      <c r="Z1443" s="48">
        <v>1</v>
      </c>
      <c r="AA1443" s="156">
        <v>25193.074852384161</v>
      </c>
      <c r="AF1443" s="48">
        <v>0</v>
      </c>
      <c r="AG1443" s="49" t="s">
        <v>32</v>
      </c>
      <c r="AH1443" s="48">
        <v>1</v>
      </c>
      <c r="AI1443" s="48" t="s">
        <v>33</v>
      </c>
      <c r="AJ1443" s="48" t="s">
        <v>33</v>
      </c>
      <c r="AK1443" s="48" t="s">
        <v>33</v>
      </c>
      <c r="AL1443" s="48" t="s">
        <v>34</v>
      </c>
      <c r="AN1443" s="48">
        <v>0</v>
      </c>
      <c r="AO1443" s="48">
        <v>0</v>
      </c>
      <c r="AP1443" s="48">
        <v>0</v>
      </c>
      <c r="AQ1443" s="48">
        <v>0</v>
      </c>
      <c r="AR1443" s="48">
        <v>0</v>
      </c>
      <c r="AS1443" s="48">
        <v>0</v>
      </c>
      <c r="AT1443" s="48">
        <v>0</v>
      </c>
      <c r="AU1443" s="48">
        <v>0</v>
      </c>
      <c r="AV1443" s="48">
        <v>0</v>
      </c>
      <c r="AW1443" s="48">
        <v>0</v>
      </c>
      <c r="AX1443" s="48">
        <v>0</v>
      </c>
      <c r="AY1443" s="48">
        <v>0</v>
      </c>
      <c r="AZ1443" s="48">
        <v>0</v>
      </c>
      <c r="BA1443" s="48">
        <v>0</v>
      </c>
      <c r="BB1443" s="48">
        <v>0</v>
      </c>
    </row>
    <row r="1444" spans="1:54" x14ac:dyDescent="0.35">
      <c r="A1444" s="49">
        <v>45930</v>
      </c>
      <c r="B1444" s="48">
        <v>1</v>
      </c>
      <c r="C1444" s="50" t="s">
        <v>32</v>
      </c>
      <c r="D1444" s="48" t="s">
        <v>31</v>
      </c>
      <c r="E1444" s="48" t="s">
        <v>138</v>
      </c>
      <c r="F1444" s="48" t="s">
        <v>139</v>
      </c>
      <c r="G1444" s="49" t="s">
        <v>172</v>
      </c>
      <c r="H1444" s="48" t="s">
        <v>175</v>
      </c>
      <c r="I1444" s="48">
        <v>1</v>
      </c>
      <c r="J1444" s="48">
        <v>12</v>
      </c>
      <c r="K1444" s="48">
        <v>1</v>
      </c>
      <c r="N1444" s="48">
        <v>0</v>
      </c>
      <c r="R1444" s="49"/>
      <c r="S1444" s="49"/>
      <c r="T1444" s="49">
        <v>46295</v>
      </c>
      <c r="U1444" s="49">
        <v>46295</v>
      </c>
      <c r="V1444" s="49">
        <v>46295</v>
      </c>
      <c r="W1444" s="49">
        <v>46295</v>
      </c>
      <c r="X1444" s="48">
        <v>1</v>
      </c>
      <c r="Y1444" s="48">
        <v>1</v>
      </c>
      <c r="Z1444" s="48">
        <v>1</v>
      </c>
      <c r="AA1444" s="156">
        <v>24972.348414429929</v>
      </c>
      <c r="AF1444" s="48">
        <v>0</v>
      </c>
      <c r="AG1444" s="49" t="s">
        <v>32</v>
      </c>
      <c r="AH1444" s="48">
        <v>1</v>
      </c>
      <c r="AI1444" s="48" t="s">
        <v>33</v>
      </c>
      <c r="AJ1444" s="48" t="s">
        <v>33</v>
      </c>
      <c r="AK1444" s="48" t="s">
        <v>33</v>
      </c>
      <c r="AL1444" s="48" t="s">
        <v>34</v>
      </c>
      <c r="AN1444" s="48">
        <v>0</v>
      </c>
      <c r="AO1444" s="48">
        <v>0</v>
      </c>
      <c r="AP1444" s="48">
        <v>0</v>
      </c>
      <c r="AQ1444" s="48">
        <v>0</v>
      </c>
      <c r="AR1444" s="48">
        <v>0</v>
      </c>
      <c r="AS1444" s="48">
        <v>0</v>
      </c>
      <c r="AT1444" s="48">
        <v>0</v>
      </c>
      <c r="AU1444" s="48">
        <v>0</v>
      </c>
      <c r="AV1444" s="48">
        <v>0</v>
      </c>
      <c r="AW1444" s="48">
        <v>0</v>
      </c>
      <c r="AX1444" s="48">
        <v>0</v>
      </c>
      <c r="AY1444" s="48">
        <v>0</v>
      </c>
      <c r="AZ1444" s="48">
        <v>0</v>
      </c>
      <c r="BA1444" s="48">
        <v>0</v>
      </c>
      <c r="BB1444" s="48">
        <v>0</v>
      </c>
    </row>
    <row r="1445" spans="1:54" x14ac:dyDescent="0.35">
      <c r="A1445" s="49">
        <v>45930</v>
      </c>
      <c r="B1445" s="48">
        <v>1</v>
      </c>
      <c r="C1445" s="50" t="s">
        <v>32</v>
      </c>
      <c r="D1445" s="48" t="s">
        <v>31</v>
      </c>
      <c r="E1445" s="48" t="s">
        <v>138</v>
      </c>
      <c r="F1445" s="48" t="s">
        <v>139</v>
      </c>
      <c r="G1445" s="49" t="s">
        <v>172</v>
      </c>
      <c r="H1445" s="48" t="s">
        <v>175</v>
      </c>
      <c r="I1445" s="48">
        <v>1</v>
      </c>
      <c r="J1445" s="48">
        <v>13</v>
      </c>
      <c r="K1445" s="48">
        <v>1</v>
      </c>
      <c r="N1445" s="48">
        <v>0</v>
      </c>
      <c r="R1445" s="49"/>
      <c r="S1445" s="49"/>
      <c r="T1445" s="49">
        <v>46326</v>
      </c>
      <c r="U1445" s="49">
        <v>46326</v>
      </c>
      <c r="V1445" s="49">
        <v>46326</v>
      </c>
      <c r="W1445" s="49">
        <v>46326</v>
      </c>
      <c r="X1445" s="48">
        <v>1</v>
      </c>
      <c r="Y1445" s="48">
        <v>1</v>
      </c>
      <c r="Z1445" s="48">
        <v>1</v>
      </c>
      <c r="AA1445" s="156">
        <v>24753.555847615935</v>
      </c>
      <c r="AF1445" s="48">
        <v>0</v>
      </c>
      <c r="AG1445" s="49" t="s">
        <v>32</v>
      </c>
      <c r="AH1445" s="48">
        <v>1</v>
      </c>
      <c r="AI1445" s="48" t="s">
        <v>33</v>
      </c>
      <c r="AJ1445" s="48" t="s">
        <v>33</v>
      </c>
      <c r="AK1445" s="48" t="s">
        <v>33</v>
      </c>
      <c r="AL1445" s="48" t="s">
        <v>34</v>
      </c>
      <c r="AN1445" s="48">
        <v>0</v>
      </c>
      <c r="AO1445" s="48">
        <v>0</v>
      </c>
      <c r="AP1445" s="48">
        <v>0</v>
      </c>
      <c r="AQ1445" s="48">
        <v>0</v>
      </c>
      <c r="AR1445" s="48">
        <v>0</v>
      </c>
      <c r="AS1445" s="48">
        <v>0</v>
      </c>
      <c r="AT1445" s="48">
        <v>0</v>
      </c>
      <c r="AU1445" s="48">
        <v>0</v>
      </c>
      <c r="AV1445" s="48">
        <v>0</v>
      </c>
      <c r="AW1445" s="48">
        <v>0</v>
      </c>
      <c r="AX1445" s="48">
        <v>0</v>
      </c>
      <c r="AY1445" s="48">
        <v>0</v>
      </c>
      <c r="AZ1445" s="48">
        <v>0</v>
      </c>
      <c r="BA1445" s="48">
        <v>0</v>
      </c>
      <c r="BB1445" s="48">
        <v>0</v>
      </c>
    </row>
    <row r="1446" spans="1:54" x14ac:dyDescent="0.35">
      <c r="A1446" s="49">
        <v>45930</v>
      </c>
      <c r="B1446" s="48">
        <v>1</v>
      </c>
      <c r="C1446" s="50" t="s">
        <v>32</v>
      </c>
      <c r="D1446" s="48" t="s">
        <v>31</v>
      </c>
      <c r="E1446" s="48" t="s">
        <v>138</v>
      </c>
      <c r="F1446" s="48" t="s">
        <v>139</v>
      </c>
      <c r="G1446" s="49" t="s">
        <v>172</v>
      </c>
      <c r="H1446" s="48" t="s">
        <v>175</v>
      </c>
      <c r="I1446" s="48">
        <v>1</v>
      </c>
      <c r="J1446" s="48">
        <v>14</v>
      </c>
      <c r="K1446" s="48">
        <v>1</v>
      </c>
      <c r="N1446" s="48">
        <v>0</v>
      </c>
      <c r="R1446" s="49"/>
      <c r="S1446" s="49"/>
      <c r="T1446" s="49">
        <v>46356</v>
      </c>
      <c r="U1446" s="49">
        <v>46356</v>
      </c>
      <c r="V1446" s="49">
        <v>46356</v>
      </c>
      <c r="W1446" s="49">
        <v>46356</v>
      </c>
      <c r="X1446" s="48">
        <v>1</v>
      </c>
      <c r="Y1446" s="48">
        <v>1</v>
      </c>
      <c r="Z1446" s="48">
        <v>1</v>
      </c>
      <c r="AA1446" s="156">
        <v>24536.680208538193</v>
      </c>
      <c r="AF1446" s="48">
        <v>0</v>
      </c>
      <c r="AG1446" s="49" t="s">
        <v>32</v>
      </c>
      <c r="AH1446" s="48">
        <v>1</v>
      </c>
      <c r="AI1446" s="48" t="s">
        <v>33</v>
      </c>
      <c r="AJ1446" s="48" t="s">
        <v>33</v>
      </c>
      <c r="AK1446" s="48" t="s">
        <v>33</v>
      </c>
      <c r="AL1446" s="48" t="s">
        <v>34</v>
      </c>
      <c r="AN1446" s="48">
        <v>0</v>
      </c>
      <c r="AO1446" s="48">
        <v>0</v>
      </c>
      <c r="AP1446" s="48">
        <v>0</v>
      </c>
      <c r="AQ1446" s="48">
        <v>0</v>
      </c>
      <c r="AR1446" s="48">
        <v>0</v>
      </c>
      <c r="AS1446" s="48">
        <v>0</v>
      </c>
      <c r="AT1446" s="48">
        <v>0</v>
      </c>
      <c r="AU1446" s="48">
        <v>0</v>
      </c>
      <c r="AV1446" s="48">
        <v>0</v>
      </c>
      <c r="AW1446" s="48">
        <v>0</v>
      </c>
      <c r="AX1446" s="48">
        <v>0</v>
      </c>
      <c r="AY1446" s="48">
        <v>0</v>
      </c>
      <c r="AZ1446" s="48">
        <v>0</v>
      </c>
      <c r="BA1446" s="48">
        <v>0</v>
      </c>
      <c r="BB1446" s="48">
        <v>0</v>
      </c>
    </row>
    <row r="1447" spans="1:54" x14ac:dyDescent="0.35">
      <c r="A1447" s="49">
        <v>45930</v>
      </c>
      <c r="B1447" s="48">
        <v>1</v>
      </c>
      <c r="C1447" s="50" t="s">
        <v>32</v>
      </c>
      <c r="D1447" s="48" t="s">
        <v>31</v>
      </c>
      <c r="E1447" s="48" t="s">
        <v>138</v>
      </c>
      <c r="F1447" s="48" t="s">
        <v>139</v>
      </c>
      <c r="G1447" s="49" t="s">
        <v>172</v>
      </c>
      <c r="H1447" s="48" t="s">
        <v>175</v>
      </c>
      <c r="I1447" s="48">
        <v>1</v>
      </c>
      <c r="J1447" s="48">
        <v>15</v>
      </c>
      <c r="K1447" s="48">
        <v>1</v>
      </c>
      <c r="N1447" s="48">
        <v>0</v>
      </c>
      <c r="R1447" s="49"/>
      <c r="S1447" s="49"/>
      <c r="T1447" s="49">
        <v>46387</v>
      </c>
      <c r="U1447" s="49">
        <v>46387</v>
      </c>
      <c r="V1447" s="49">
        <v>46387</v>
      </c>
      <c r="W1447" s="49">
        <v>46387</v>
      </c>
      <c r="X1447" s="48">
        <v>1</v>
      </c>
      <c r="Y1447" s="48">
        <v>1</v>
      </c>
      <c r="Z1447" s="48">
        <v>1</v>
      </c>
      <c r="AA1447" s="156">
        <v>24321.704702237621</v>
      </c>
      <c r="AF1447" s="48">
        <v>0</v>
      </c>
      <c r="AG1447" s="49" t="s">
        <v>32</v>
      </c>
      <c r="AH1447" s="48">
        <v>1</v>
      </c>
      <c r="AI1447" s="48" t="s">
        <v>33</v>
      </c>
      <c r="AJ1447" s="48" t="s">
        <v>33</v>
      </c>
      <c r="AK1447" s="48" t="s">
        <v>33</v>
      </c>
      <c r="AL1447" s="48" t="s">
        <v>34</v>
      </c>
      <c r="AN1447" s="48">
        <v>0</v>
      </c>
      <c r="AO1447" s="48">
        <v>0</v>
      </c>
      <c r="AP1447" s="48">
        <v>0</v>
      </c>
      <c r="AQ1447" s="48">
        <v>0</v>
      </c>
      <c r="AR1447" s="48">
        <v>0</v>
      </c>
      <c r="AS1447" s="48">
        <v>0</v>
      </c>
      <c r="AT1447" s="48">
        <v>0</v>
      </c>
      <c r="AU1447" s="48">
        <v>0</v>
      </c>
      <c r="AV1447" s="48">
        <v>0</v>
      </c>
      <c r="AW1447" s="48">
        <v>0</v>
      </c>
      <c r="AX1447" s="48">
        <v>0</v>
      </c>
      <c r="AY1447" s="48">
        <v>0</v>
      </c>
      <c r="AZ1447" s="48">
        <v>0</v>
      </c>
      <c r="BA1447" s="48">
        <v>0</v>
      </c>
      <c r="BB1447" s="48">
        <v>0</v>
      </c>
    </row>
    <row r="1448" spans="1:54" x14ac:dyDescent="0.35">
      <c r="A1448" s="49">
        <v>45930</v>
      </c>
      <c r="B1448" s="48">
        <v>1</v>
      </c>
      <c r="C1448" s="50" t="s">
        <v>32</v>
      </c>
      <c r="D1448" s="48" t="s">
        <v>31</v>
      </c>
      <c r="E1448" s="48" t="s">
        <v>138</v>
      </c>
      <c r="F1448" s="48" t="s">
        <v>139</v>
      </c>
      <c r="G1448" s="49" t="s">
        <v>172</v>
      </c>
      <c r="H1448" s="48" t="s">
        <v>175</v>
      </c>
      <c r="I1448" s="48">
        <v>1</v>
      </c>
      <c r="J1448" s="48">
        <v>16</v>
      </c>
      <c r="K1448" s="48">
        <v>1</v>
      </c>
      <c r="N1448" s="48">
        <v>0</v>
      </c>
      <c r="R1448" s="49"/>
      <c r="S1448" s="49"/>
      <c r="T1448" s="49">
        <v>46418</v>
      </c>
      <c r="U1448" s="49">
        <v>46418</v>
      </c>
      <c r="V1448" s="49">
        <v>46418</v>
      </c>
      <c r="W1448" s="49">
        <v>46418</v>
      </c>
      <c r="X1448" s="48">
        <v>1</v>
      </c>
      <c r="Y1448" s="48">
        <v>1</v>
      </c>
      <c r="Z1448" s="48">
        <v>1</v>
      </c>
      <c r="AA1448" s="156">
        <v>24108.612680904102</v>
      </c>
      <c r="AF1448" s="48">
        <v>0</v>
      </c>
      <c r="AG1448" s="49" t="s">
        <v>32</v>
      </c>
      <c r="AH1448" s="48">
        <v>1</v>
      </c>
      <c r="AI1448" s="48" t="s">
        <v>33</v>
      </c>
      <c r="AJ1448" s="48" t="s">
        <v>33</v>
      </c>
      <c r="AK1448" s="48" t="s">
        <v>33</v>
      </c>
      <c r="AL1448" s="48" t="s">
        <v>34</v>
      </c>
      <c r="AN1448" s="48">
        <v>0</v>
      </c>
      <c r="AO1448" s="48">
        <v>0</v>
      </c>
      <c r="AP1448" s="48">
        <v>0</v>
      </c>
      <c r="AQ1448" s="48">
        <v>0</v>
      </c>
      <c r="AR1448" s="48">
        <v>0</v>
      </c>
      <c r="AS1448" s="48">
        <v>0</v>
      </c>
      <c r="AT1448" s="48">
        <v>0</v>
      </c>
      <c r="AU1448" s="48">
        <v>0</v>
      </c>
      <c r="AV1448" s="48">
        <v>0</v>
      </c>
      <c r="AW1448" s="48">
        <v>0</v>
      </c>
      <c r="AX1448" s="48">
        <v>0</v>
      </c>
      <c r="AY1448" s="48">
        <v>0</v>
      </c>
      <c r="AZ1448" s="48">
        <v>0</v>
      </c>
      <c r="BA1448" s="48">
        <v>0</v>
      </c>
      <c r="BB1448" s="48">
        <v>0</v>
      </c>
    </row>
    <row r="1449" spans="1:54" x14ac:dyDescent="0.35">
      <c r="A1449" s="49">
        <v>45930</v>
      </c>
      <c r="B1449" s="48">
        <v>1</v>
      </c>
      <c r="C1449" s="50" t="s">
        <v>32</v>
      </c>
      <c r="D1449" s="48" t="s">
        <v>31</v>
      </c>
      <c r="E1449" s="48" t="s">
        <v>138</v>
      </c>
      <c r="F1449" s="48" t="s">
        <v>139</v>
      </c>
      <c r="G1449" s="49" t="s">
        <v>172</v>
      </c>
      <c r="H1449" s="48" t="s">
        <v>175</v>
      </c>
      <c r="I1449" s="48">
        <v>1</v>
      </c>
      <c r="J1449" s="48">
        <v>17</v>
      </c>
      <c r="K1449" s="48">
        <v>1</v>
      </c>
      <c r="N1449" s="48">
        <v>0</v>
      </c>
      <c r="R1449" s="49"/>
      <c r="S1449" s="49"/>
      <c r="T1449" s="49">
        <v>46446</v>
      </c>
      <c r="U1449" s="49">
        <v>46446</v>
      </c>
      <c r="V1449" s="49">
        <v>46446</v>
      </c>
      <c r="W1449" s="49">
        <v>46446</v>
      </c>
      <c r="X1449" s="48">
        <v>1</v>
      </c>
      <c r="Y1449" s="48">
        <v>1</v>
      </c>
      <c r="Z1449" s="48">
        <v>1</v>
      </c>
      <c r="AA1449" s="156">
        <v>23897.38764258381</v>
      </c>
      <c r="AF1449" s="48">
        <v>0</v>
      </c>
      <c r="AG1449" s="49" t="s">
        <v>32</v>
      </c>
      <c r="AH1449" s="48">
        <v>1</v>
      </c>
      <c r="AI1449" s="48" t="s">
        <v>33</v>
      </c>
      <c r="AJ1449" s="48" t="s">
        <v>33</v>
      </c>
      <c r="AK1449" s="48" t="s">
        <v>33</v>
      </c>
      <c r="AL1449" s="48" t="s">
        <v>34</v>
      </c>
      <c r="AN1449" s="48">
        <v>0</v>
      </c>
      <c r="AO1449" s="48">
        <v>0</v>
      </c>
      <c r="AP1449" s="48">
        <v>0</v>
      </c>
      <c r="AQ1449" s="48">
        <v>0</v>
      </c>
      <c r="AR1449" s="48">
        <v>0</v>
      </c>
      <c r="AS1449" s="48">
        <v>0</v>
      </c>
      <c r="AT1449" s="48">
        <v>0</v>
      </c>
      <c r="AU1449" s="48">
        <v>0</v>
      </c>
      <c r="AV1449" s="48">
        <v>0</v>
      </c>
      <c r="AW1449" s="48">
        <v>0</v>
      </c>
      <c r="AX1449" s="48">
        <v>0</v>
      </c>
      <c r="AY1449" s="48">
        <v>0</v>
      </c>
      <c r="AZ1449" s="48">
        <v>0</v>
      </c>
      <c r="BA1449" s="48">
        <v>0</v>
      </c>
      <c r="BB1449" s="48">
        <v>0</v>
      </c>
    </row>
    <row r="1450" spans="1:54" x14ac:dyDescent="0.35">
      <c r="A1450" s="49">
        <v>45930</v>
      </c>
      <c r="B1450" s="48">
        <v>1</v>
      </c>
      <c r="C1450" s="50" t="s">
        <v>32</v>
      </c>
      <c r="D1450" s="48" t="s">
        <v>31</v>
      </c>
      <c r="E1450" s="48" t="s">
        <v>138</v>
      </c>
      <c r="F1450" s="48" t="s">
        <v>139</v>
      </c>
      <c r="G1450" s="49" t="s">
        <v>172</v>
      </c>
      <c r="H1450" s="48" t="s">
        <v>175</v>
      </c>
      <c r="I1450" s="48">
        <v>1</v>
      </c>
      <c r="J1450" s="48">
        <v>18</v>
      </c>
      <c r="K1450" s="48">
        <v>1</v>
      </c>
      <c r="N1450" s="48">
        <v>0</v>
      </c>
      <c r="R1450" s="49"/>
      <c r="S1450" s="49"/>
      <c r="T1450" s="49">
        <v>46477</v>
      </c>
      <c r="U1450" s="49">
        <v>46477</v>
      </c>
      <c r="V1450" s="49">
        <v>46477</v>
      </c>
      <c r="W1450" s="49">
        <v>46477</v>
      </c>
      <c r="X1450" s="48">
        <v>1</v>
      </c>
      <c r="Y1450" s="48">
        <v>1</v>
      </c>
      <c r="Z1450" s="48">
        <v>1</v>
      </c>
      <c r="AA1450" s="156">
        <v>23688.013229906559</v>
      </c>
      <c r="AF1450" s="48">
        <v>0</v>
      </c>
      <c r="AG1450" s="49" t="s">
        <v>32</v>
      </c>
      <c r="AH1450" s="48">
        <v>1</v>
      </c>
      <c r="AI1450" s="48" t="s">
        <v>33</v>
      </c>
      <c r="AJ1450" s="48" t="s">
        <v>33</v>
      </c>
      <c r="AK1450" s="48" t="s">
        <v>33</v>
      </c>
      <c r="AL1450" s="48" t="s">
        <v>34</v>
      </c>
      <c r="AN1450" s="48">
        <v>0</v>
      </c>
      <c r="AO1450" s="48">
        <v>0</v>
      </c>
      <c r="AP1450" s="48">
        <v>0</v>
      </c>
      <c r="AQ1450" s="48">
        <v>0</v>
      </c>
      <c r="AR1450" s="48">
        <v>0</v>
      </c>
      <c r="AS1450" s="48">
        <v>0</v>
      </c>
      <c r="AT1450" s="48">
        <v>0</v>
      </c>
      <c r="AU1450" s="48">
        <v>0</v>
      </c>
      <c r="AV1450" s="48">
        <v>0</v>
      </c>
      <c r="AW1450" s="48">
        <v>0</v>
      </c>
      <c r="AX1450" s="48">
        <v>0</v>
      </c>
      <c r="AY1450" s="48">
        <v>0</v>
      </c>
      <c r="AZ1450" s="48">
        <v>0</v>
      </c>
      <c r="BA1450" s="48">
        <v>0</v>
      </c>
      <c r="BB1450" s="48">
        <v>0</v>
      </c>
    </row>
    <row r="1451" spans="1:54" x14ac:dyDescent="0.35">
      <c r="A1451" s="49">
        <v>45930</v>
      </c>
      <c r="B1451" s="48">
        <v>1</v>
      </c>
      <c r="C1451" s="50" t="s">
        <v>32</v>
      </c>
      <c r="D1451" s="48" t="s">
        <v>31</v>
      </c>
      <c r="E1451" s="48" t="s">
        <v>138</v>
      </c>
      <c r="F1451" s="48" t="s">
        <v>139</v>
      </c>
      <c r="G1451" s="49" t="s">
        <v>172</v>
      </c>
      <c r="H1451" s="48" t="s">
        <v>175</v>
      </c>
      <c r="I1451" s="48">
        <v>1</v>
      </c>
      <c r="J1451" s="48">
        <v>19</v>
      </c>
      <c r="K1451" s="48">
        <v>1</v>
      </c>
      <c r="N1451" s="48">
        <v>0</v>
      </c>
      <c r="R1451" s="49"/>
      <c r="S1451" s="49"/>
      <c r="T1451" s="49">
        <v>46507</v>
      </c>
      <c r="U1451" s="49">
        <v>46507</v>
      </c>
      <c r="V1451" s="49">
        <v>46507</v>
      </c>
      <c r="W1451" s="49">
        <v>46507</v>
      </c>
      <c r="X1451" s="48">
        <v>1</v>
      </c>
      <c r="Y1451" s="48">
        <v>1</v>
      </c>
      <c r="Z1451" s="48">
        <v>1</v>
      </c>
      <c r="AA1451" s="156">
        <v>23480.473228811286</v>
      </c>
      <c r="AF1451" s="48">
        <v>0</v>
      </c>
      <c r="AG1451" s="49" t="s">
        <v>32</v>
      </c>
      <c r="AH1451" s="48">
        <v>1</v>
      </c>
      <c r="AI1451" s="48" t="s">
        <v>33</v>
      </c>
      <c r="AJ1451" s="48" t="s">
        <v>33</v>
      </c>
      <c r="AK1451" s="48" t="s">
        <v>33</v>
      </c>
      <c r="AL1451" s="48" t="s">
        <v>34</v>
      </c>
      <c r="AN1451" s="48">
        <v>0</v>
      </c>
      <c r="AO1451" s="48">
        <v>0</v>
      </c>
      <c r="AP1451" s="48">
        <v>0</v>
      </c>
      <c r="AQ1451" s="48">
        <v>0</v>
      </c>
      <c r="AR1451" s="48">
        <v>0</v>
      </c>
      <c r="AS1451" s="48">
        <v>0</v>
      </c>
      <c r="AT1451" s="48">
        <v>0</v>
      </c>
      <c r="AU1451" s="48">
        <v>0</v>
      </c>
      <c r="AV1451" s="48">
        <v>0</v>
      </c>
      <c r="AW1451" s="48">
        <v>0</v>
      </c>
      <c r="AX1451" s="48">
        <v>0</v>
      </c>
      <c r="AY1451" s="48">
        <v>0</v>
      </c>
      <c r="AZ1451" s="48">
        <v>0</v>
      </c>
      <c r="BA1451" s="48">
        <v>0</v>
      </c>
      <c r="BB1451" s="48">
        <v>0</v>
      </c>
    </row>
    <row r="1452" spans="1:54" x14ac:dyDescent="0.35">
      <c r="A1452" s="49">
        <v>45930</v>
      </c>
      <c r="B1452" s="48">
        <v>1</v>
      </c>
      <c r="C1452" s="50" t="s">
        <v>32</v>
      </c>
      <c r="D1452" s="48" t="s">
        <v>31</v>
      </c>
      <c r="E1452" s="48" t="s">
        <v>138</v>
      </c>
      <c r="F1452" s="48" t="s">
        <v>139</v>
      </c>
      <c r="G1452" s="49" t="s">
        <v>172</v>
      </c>
      <c r="H1452" s="48" t="s">
        <v>175</v>
      </c>
      <c r="I1452" s="48">
        <v>1</v>
      </c>
      <c r="J1452" s="48">
        <v>20</v>
      </c>
      <c r="K1452" s="48">
        <v>1</v>
      </c>
      <c r="N1452" s="48">
        <v>0</v>
      </c>
      <c r="R1452" s="49"/>
      <c r="S1452" s="49"/>
      <c r="T1452" s="49">
        <v>46538</v>
      </c>
      <c r="U1452" s="49">
        <v>46538</v>
      </c>
      <c r="V1452" s="49">
        <v>46538</v>
      </c>
      <c r="W1452" s="49">
        <v>46538</v>
      </c>
      <c r="X1452" s="48">
        <v>1</v>
      </c>
      <c r="Y1452" s="48">
        <v>1</v>
      </c>
      <c r="Z1452" s="48">
        <v>1</v>
      </c>
      <c r="AA1452" s="156">
        <v>23274.751567297149</v>
      </c>
      <c r="AF1452" s="48">
        <v>0</v>
      </c>
      <c r="AG1452" s="49" t="s">
        <v>32</v>
      </c>
      <c r="AH1452" s="48">
        <v>1</v>
      </c>
      <c r="AI1452" s="48" t="s">
        <v>33</v>
      </c>
      <c r="AJ1452" s="48" t="s">
        <v>33</v>
      </c>
      <c r="AK1452" s="48" t="s">
        <v>33</v>
      </c>
      <c r="AL1452" s="48" t="s">
        <v>34</v>
      </c>
      <c r="AN1452" s="48">
        <v>0</v>
      </c>
      <c r="AO1452" s="48">
        <v>0</v>
      </c>
      <c r="AP1452" s="48">
        <v>0</v>
      </c>
      <c r="AQ1452" s="48">
        <v>0</v>
      </c>
      <c r="AR1452" s="48">
        <v>0</v>
      </c>
      <c r="AS1452" s="48">
        <v>0</v>
      </c>
      <c r="AT1452" s="48">
        <v>0</v>
      </c>
      <c r="AU1452" s="48">
        <v>0</v>
      </c>
      <c r="AV1452" s="48">
        <v>0</v>
      </c>
      <c r="AW1452" s="48">
        <v>0</v>
      </c>
      <c r="AX1452" s="48">
        <v>0</v>
      </c>
      <c r="AY1452" s="48">
        <v>0</v>
      </c>
      <c r="AZ1452" s="48">
        <v>0</v>
      </c>
      <c r="BA1452" s="48">
        <v>0</v>
      </c>
      <c r="BB1452" s="48">
        <v>0</v>
      </c>
    </row>
    <row r="1453" spans="1:54" x14ac:dyDescent="0.35">
      <c r="A1453" s="49">
        <v>45930</v>
      </c>
      <c r="B1453" s="48">
        <v>1</v>
      </c>
      <c r="C1453" s="50" t="s">
        <v>32</v>
      </c>
      <c r="D1453" s="48" t="s">
        <v>31</v>
      </c>
      <c r="E1453" s="48" t="s">
        <v>138</v>
      </c>
      <c r="F1453" s="48" t="s">
        <v>139</v>
      </c>
      <c r="G1453" s="49" t="s">
        <v>172</v>
      </c>
      <c r="H1453" s="48" t="s">
        <v>175</v>
      </c>
      <c r="I1453" s="48">
        <v>1</v>
      </c>
      <c r="J1453" s="48">
        <v>21</v>
      </c>
      <c r="K1453" s="48">
        <v>1</v>
      </c>
      <c r="N1453" s="48">
        <v>0</v>
      </c>
      <c r="R1453" s="49"/>
      <c r="S1453" s="49"/>
      <c r="T1453" s="49">
        <v>46568</v>
      </c>
      <c r="U1453" s="49">
        <v>46568</v>
      </c>
      <c r="V1453" s="49">
        <v>46568</v>
      </c>
      <c r="W1453" s="49">
        <v>46568</v>
      </c>
      <c r="X1453" s="48">
        <v>1</v>
      </c>
      <c r="Y1453" s="48">
        <v>1</v>
      </c>
      <c r="Z1453" s="48">
        <v>1</v>
      </c>
      <c r="AA1453" s="156">
        <v>23070.832314175554</v>
      </c>
      <c r="AF1453" s="48">
        <v>0</v>
      </c>
      <c r="AG1453" s="49" t="s">
        <v>32</v>
      </c>
      <c r="AH1453" s="48">
        <v>1</v>
      </c>
      <c r="AI1453" s="48" t="s">
        <v>33</v>
      </c>
      <c r="AJ1453" s="48" t="s">
        <v>33</v>
      </c>
      <c r="AK1453" s="48" t="s">
        <v>33</v>
      </c>
      <c r="AL1453" s="48" t="s">
        <v>34</v>
      </c>
      <c r="AN1453" s="48">
        <v>0</v>
      </c>
      <c r="AO1453" s="48">
        <v>0</v>
      </c>
      <c r="AP1453" s="48">
        <v>0</v>
      </c>
      <c r="AQ1453" s="48">
        <v>0</v>
      </c>
      <c r="AR1453" s="48">
        <v>0</v>
      </c>
      <c r="AS1453" s="48">
        <v>0</v>
      </c>
      <c r="AT1453" s="48">
        <v>0</v>
      </c>
      <c r="AU1453" s="48">
        <v>0</v>
      </c>
      <c r="AV1453" s="48">
        <v>0</v>
      </c>
      <c r="AW1453" s="48">
        <v>0</v>
      </c>
      <c r="AX1453" s="48">
        <v>0</v>
      </c>
      <c r="AY1453" s="48">
        <v>0</v>
      </c>
      <c r="AZ1453" s="48">
        <v>0</v>
      </c>
      <c r="BA1453" s="48">
        <v>0</v>
      </c>
      <c r="BB1453" s="48">
        <v>0</v>
      </c>
    </row>
    <row r="1454" spans="1:54" x14ac:dyDescent="0.35">
      <c r="A1454" s="49">
        <v>45930</v>
      </c>
      <c r="B1454" s="48">
        <v>1</v>
      </c>
      <c r="C1454" s="50" t="s">
        <v>32</v>
      </c>
      <c r="D1454" s="48" t="s">
        <v>31</v>
      </c>
      <c r="E1454" s="48" t="s">
        <v>138</v>
      </c>
      <c r="F1454" s="48" t="s">
        <v>139</v>
      </c>
      <c r="G1454" s="49" t="s">
        <v>172</v>
      </c>
      <c r="H1454" s="48" t="s">
        <v>175</v>
      </c>
      <c r="I1454" s="48">
        <v>1</v>
      </c>
      <c r="J1454" s="48">
        <v>22</v>
      </c>
      <c r="K1454" s="48">
        <v>1</v>
      </c>
      <c r="N1454" s="48">
        <v>0</v>
      </c>
      <c r="R1454" s="49"/>
      <c r="S1454" s="49"/>
      <c r="T1454" s="49">
        <v>46599</v>
      </c>
      <c r="U1454" s="49">
        <v>46599</v>
      </c>
      <c r="V1454" s="49">
        <v>46599</v>
      </c>
      <c r="W1454" s="49">
        <v>46599</v>
      </c>
      <c r="X1454" s="48">
        <v>1</v>
      </c>
      <c r="Y1454" s="48">
        <v>1</v>
      </c>
      <c r="Z1454" s="48">
        <v>1</v>
      </c>
      <c r="AA1454" s="156">
        <v>22868.699677838944</v>
      </c>
      <c r="AF1454" s="48">
        <v>0</v>
      </c>
      <c r="AG1454" s="49" t="s">
        <v>32</v>
      </c>
      <c r="AH1454" s="48">
        <v>1</v>
      </c>
      <c r="AI1454" s="48" t="s">
        <v>33</v>
      </c>
      <c r="AJ1454" s="48" t="s">
        <v>33</v>
      </c>
      <c r="AK1454" s="48" t="s">
        <v>33</v>
      </c>
      <c r="AL1454" s="48" t="s">
        <v>34</v>
      </c>
      <c r="AN1454" s="48">
        <v>0</v>
      </c>
      <c r="AO1454" s="48">
        <v>0</v>
      </c>
      <c r="AP1454" s="48">
        <v>0</v>
      </c>
      <c r="AQ1454" s="48">
        <v>0</v>
      </c>
      <c r="AR1454" s="48">
        <v>0</v>
      </c>
      <c r="AS1454" s="48">
        <v>0</v>
      </c>
      <c r="AT1454" s="48">
        <v>0</v>
      </c>
      <c r="AU1454" s="48">
        <v>0</v>
      </c>
      <c r="AV1454" s="48">
        <v>0</v>
      </c>
      <c r="AW1454" s="48">
        <v>0</v>
      </c>
      <c r="AX1454" s="48">
        <v>0</v>
      </c>
      <c r="AY1454" s="48">
        <v>0</v>
      </c>
      <c r="AZ1454" s="48">
        <v>0</v>
      </c>
      <c r="BA1454" s="48">
        <v>0</v>
      </c>
      <c r="BB1454" s="48">
        <v>0</v>
      </c>
    </row>
    <row r="1455" spans="1:54" x14ac:dyDescent="0.35">
      <c r="A1455" s="49">
        <v>45930</v>
      </c>
      <c r="B1455" s="48">
        <v>1</v>
      </c>
      <c r="C1455" s="50" t="s">
        <v>32</v>
      </c>
      <c r="D1455" s="48" t="s">
        <v>31</v>
      </c>
      <c r="E1455" s="48" t="s">
        <v>138</v>
      </c>
      <c r="F1455" s="48" t="s">
        <v>139</v>
      </c>
      <c r="G1455" s="49" t="s">
        <v>172</v>
      </c>
      <c r="H1455" s="48" t="s">
        <v>175</v>
      </c>
      <c r="I1455" s="48">
        <v>1</v>
      </c>
      <c r="J1455" s="48">
        <v>23</v>
      </c>
      <c r="K1455" s="48">
        <v>1</v>
      </c>
      <c r="N1455" s="48">
        <v>0</v>
      </c>
      <c r="R1455" s="49"/>
      <c r="S1455" s="49"/>
      <c r="T1455" s="49">
        <v>46630</v>
      </c>
      <c r="U1455" s="49">
        <v>46630</v>
      </c>
      <c r="V1455" s="49">
        <v>46630</v>
      </c>
      <c r="W1455" s="49">
        <v>46630</v>
      </c>
      <c r="X1455" s="48">
        <v>1</v>
      </c>
      <c r="Y1455" s="48">
        <v>1</v>
      </c>
      <c r="Z1455" s="48">
        <v>1</v>
      </c>
      <c r="AA1455" s="156">
        <v>22668.33800503239</v>
      </c>
      <c r="AF1455" s="48">
        <v>0</v>
      </c>
      <c r="AG1455" s="49" t="s">
        <v>32</v>
      </c>
      <c r="AH1455" s="48">
        <v>1</v>
      </c>
      <c r="AI1455" s="48" t="s">
        <v>33</v>
      </c>
      <c r="AJ1455" s="48" t="s">
        <v>33</v>
      </c>
      <c r="AK1455" s="48" t="s">
        <v>33</v>
      </c>
      <c r="AL1455" s="48" t="s">
        <v>34</v>
      </c>
      <c r="AN1455" s="48">
        <v>0</v>
      </c>
      <c r="AO1455" s="48">
        <v>0</v>
      </c>
      <c r="AP1455" s="48">
        <v>0</v>
      </c>
      <c r="AQ1455" s="48">
        <v>0</v>
      </c>
      <c r="AR1455" s="48">
        <v>0</v>
      </c>
      <c r="AS1455" s="48">
        <v>0</v>
      </c>
      <c r="AT1455" s="48">
        <v>0</v>
      </c>
      <c r="AU1455" s="48">
        <v>0</v>
      </c>
      <c r="AV1455" s="48">
        <v>0</v>
      </c>
      <c r="AW1455" s="48">
        <v>0</v>
      </c>
      <c r="AX1455" s="48">
        <v>0</v>
      </c>
      <c r="AY1455" s="48">
        <v>0</v>
      </c>
      <c r="AZ1455" s="48">
        <v>0</v>
      </c>
      <c r="BA1455" s="48">
        <v>0</v>
      </c>
      <c r="BB1455" s="48">
        <v>0</v>
      </c>
    </row>
    <row r="1456" spans="1:54" x14ac:dyDescent="0.35">
      <c r="A1456" s="49">
        <v>45930</v>
      </c>
      <c r="B1456" s="48">
        <v>1</v>
      </c>
      <c r="C1456" s="50" t="s">
        <v>32</v>
      </c>
      <c r="D1456" s="48" t="s">
        <v>31</v>
      </c>
      <c r="E1456" s="48" t="s">
        <v>138</v>
      </c>
      <c r="F1456" s="48" t="s">
        <v>139</v>
      </c>
      <c r="G1456" s="49" t="s">
        <v>172</v>
      </c>
      <c r="H1456" s="48" t="s">
        <v>175</v>
      </c>
      <c r="I1456" s="48">
        <v>1</v>
      </c>
      <c r="J1456" s="48">
        <v>24</v>
      </c>
      <c r="K1456" s="48">
        <v>1</v>
      </c>
      <c r="N1456" s="48">
        <v>0</v>
      </c>
      <c r="R1456" s="49"/>
      <c r="S1456" s="49"/>
      <c r="T1456" s="49">
        <v>46660</v>
      </c>
      <c r="U1456" s="49">
        <v>46660</v>
      </c>
      <c r="V1456" s="49">
        <v>46660</v>
      </c>
      <c r="W1456" s="49">
        <v>46660</v>
      </c>
      <c r="X1456" s="48">
        <v>1</v>
      </c>
      <c r="Y1456" s="48">
        <v>1</v>
      </c>
      <c r="Z1456" s="48">
        <v>1</v>
      </c>
      <c r="AA1456" s="156">
        <v>22469.731779650785</v>
      </c>
      <c r="AF1456" s="48">
        <v>0</v>
      </c>
      <c r="AG1456" s="49" t="s">
        <v>32</v>
      </c>
      <c r="AH1456" s="48">
        <v>1</v>
      </c>
      <c r="AI1456" s="48" t="s">
        <v>33</v>
      </c>
      <c r="AJ1456" s="48" t="s">
        <v>33</v>
      </c>
      <c r="AK1456" s="48" t="s">
        <v>33</v>
      </c>
      <c r="AL1456" s="48" t="s">
        <v>34</v>
      </c>
      <c r="AN1456" s="48">
        <v>0</v>
      </c>
      <c r="AO1456" s="48">
        <v>0</v>
      </c>
      <c r="AP1456" s="48">
        <v>0</v>
      </c>
      <c r="AQ1456" s="48">
        <v>0</v>
      </c>
      <c r="AR1456" s="48">
        <v>0</v>
      </c>
      <c r="AS1456" s="48">
        <v>0</v>
      </c>
      <c r="AT1456" s="48">
        <v>0</v>
      </c>
      <c r="AU1456" s="48">
        <v>0</v>
      </c>
      <c r="AV1456" s="48">
        <v>0</v>
      </c>
      <c r="AW1456" s="48">
        <v>0</v>
      </c>
      <c r="AX1456" s="48">
        <v>0</v>
      </c>
      <c r="AY1456" s="48">
        <v>0</v>
      </c>
      <c r="AZ1456" s="48">
        <v>0</v>
      </c>
      <c r="BA1456" s="48">
        <v>0</v>
      </c>
      <c r="BB1456" s="48">
        <v>0</v>
      </c>
    </row>
    <row r="1457" spans="1:54" x14ac:dyDescent="0.35">
      <c r="A1457" s="49">
        <v>45930</v>
      </c>
      <c r="B1457" s="48">
        <v>1</v>
      </c>
      <c r="C1457" s="50" t="s">
        <v>32</v>
      </c>
      <c r="D1457" s="48" t="s">
        <v>31</v>
      </c>
      <c r="E1457" s="48" t="s">
        <v>138</v>
      </c>
      <c r="F1457" s="48" t="s">
        <v>139</v>
      </c>
      <c r="G1457" s="49" t="s">
        <v>172</v>
      </c>
      <c r="H1457" s="48" t="s">
        <v>175</v>
      </c>
      <c r="I1457" s="48">
        <v>1</v>
      </c>
      <c r="J1457" s="48">
        <v>25</v>
      </c>
      <c r="K1457" s="48">
        <v>1</v>
      </c>
      <c r="N1457" s="48">
        <v>0</v>
      </c>
      <c r="R1457" s="49"/>
      <c r="S1457" s="49"/>
      <c r="T1457" s="49">
        <v>46691</v>
      </c>
      <c r="U1457" s="49">
        <v>46691</v>
      </c>
      <c r="V1457" s="49">
        <v>46691</v>
      </c>
      <c r="W1457" s="49">
        <v>46691</v>
      </c>
      <c r="X1457" s="48">
        <v>1</v>
      </c>
      <c r="Y1457" s="48">
        <v>1</v>
      </c>
      <c r="Z1457" s="48">
        <v>1</v>
      </c>
      <c r="AA1457" s="156">
        <v>22272.865621526726</v>
      </c>
      <c r="AF1457" s="48">
        <v>0</v>
      </c>
      <c r="AG1457" s="49" t="s">
        <v>32</v>
      </c>
      <c r="AH1457" s="48">
        <v>1</v>
      </c>
      <c r="AI1457" s="48" t="s">
        <v>33</v>
      </c>
      <c r="AJ1457" s="48" t="s">
        <v>33</v>
      </c>
      <c r="AK1457" s="48" t="s">
        <v>33</v>
      </c>
      <c r="AL1457" s="48" t="s">
        <v>34</v>
      </c>
      <c r="AN1457" s="48">
        <v>0</v>
      </c>
      <c r="AO1457" s="48">
        <v>0</v>
      </c>
      <c r="AP1457" s="48">
        <v>0</v>
      </c>
      <c r="AQ1457" s="48">
        <v>0</v>
      </c>
      <c r="AR1457" s="48">
        <v>0</v>
      </c>
      <c r="AS1457" s="48">
        <v>0</v>
      </c>
      <c r="AT1457" s="48">
        <v>0</v>
      </c>
      <c r="AU1457" s="48">
        <v>0</v>
      </c>
      <c r="AV1457" s="48">
        <v>0</v>
      </c>
      <c r="AW1457" s="48">
        <v>0</v>
      </c>
      <c r="AX1457" s="48">
        <v>0</v>
      </c>
      <c r="AY1457" s="48">
        <v>0</v>
      </c>
      <c r="AZ1457" s="48">
        <v>0</v>
      </c>
      <c r="BA1457" s="48">
        <v>0</v>
      </c>
      <c r="BB1457" s="48">
        <v>0</v>
      </c>
    </row>
    <row r="1458" spans="1:54" x14ac:dyDescent="0.35">
      <c r="A1458" s="49">
        <v>45930</v>
      </c>
      <c r="B1458" s="48">
        <v>1</v>
      </c>
      <c r="C1458" s="50" t="s">
        <v>32</v>
      </c>
      <c r="D1458" s="48" t="s">
        <v>31</v>
      </c>
      <c r="E1458" s="48" t="s">
        <v>138</v>
      </c>
      <c r="F1458" s="48" t="s">
        <v>139</v>
      </c>
      <c r="G1458" s="49" t="s">
        <v>172</v>
      </c>
      <c r="H1458" s="48" t="s">
        <v>175</v>
      </c>
      <c r="I1458" s="48">
        <v>1</v>
      </c>
      <c r="J1458" s="48">
        <v>26</v>
      </c>
      <c r="K1458" s="48">
        <v>1</v>
      </c>
      <c r="N1458" s="48">
        <v>0</v>
      </c>
      <c r="R1458" s="49"/>
      <c r="S1458" s="49"/>
      <c r="T1458" s="49">
        <v>46721</v>
      </c>
      <c r="U1458" s="49">
        <v>46721</v>
      </c>
      <c r="V1458" s="49">
        <v>46721</v>
      </c>
      <c r="W1458" s="49">
        <v>46721</v>
      </c>
      <c r="X1458" s="48">
        <v>1</v>
      </c>
      <c r="Y1458" s="48">
        <v>1</v>
      </c>
      <c r="Z1458" s="48">
        <v>1</v>
      </c>
      <c r="AA1458" s="156">
        <v>22077.724285247736</v>
      </c>
      <c r="AF1458" s="48">
        <v>0</v>
      </c>
      <c r="AG1458" s="49" t="s">
        <v>32</v>
      </c>
      <c r="AH1458" s="48">
        <v>1</v>
      </c>
      <c r="AI1458" s="48" t="s">
        <v>33</v>
      </c>
      <c r="AJ1458" s="48" t="s">
        <v>33</v>
      </c>
      <c r="AK1458" s="48" t="s">
        <v>33</v>
      </c>
      <c r="AL1458" s="48" t="s">
        <v>34</v>
      </c>
      <c r="AN1458" s="48">
        <v>0</v>
      </c>
      <c r="AO1458" s="48">
        <v>0</v>
      </c>
      <c r="AP1458" s="48">
        <v>0</v>
      </c>
      <c r="AQ1458" s="48">
        <v>0</v>
      </c>
      <c r="AR1458" s="48">
        <v>0</v>
      </c>
      <c r="AS1458" s="48">
        <v>0</v>
      </c>
      <c r="AT1458" s="48">
        <v>0</v>
      </c>
      <c r="AU1458" s="48">
        <v>0</v>
      </c>
      <c r="AV1458" s="48">
        <v>0</v>
      </c>
      <c r="AW1458" s="48">
        <v>0</v>
      </c>
      <c r="AX1458" s="48">
        <v>0</v>
      </c>
      <c r="AY1458" s="48">
        <v>0</v>
      </c>
      <c r="AZ1458" s="48">
        <v>0</v>
      </c>
      <c r="BA1458" s="48">
        <v>0</v>
      </c>
      <c r="BB1458" s="48">
        <v>0</v>
      </c>
    </row>
    <row r="1459" spans="1:54" x14ac:dyDescent="0.35">
      <c r="A1459" s="49">
        <v>45930</v>
      </c>
      <c r="B1459" s="48">
        <v>1</v>
      </c>
      <c r="C1459" s="50" t="s">
        <v>32</v>
      </c>
      <c r="D1459" s="48" t="s">
        <v>31</v>
      </c>
      <c r="E1459" s="48" t="s">
        <v>138</v>
      </c>
      <c r="F1459" s="48" t="s">
        <v>139</v>
      </c>
      <c r="G1459" s="49" t="s">
        <v>172</v>
      </c>
      <c r="H1459" s="48" t="s">
        <v>175</v>
      </c>
      <c r="I1459" s="48">
        <v>1</v>
      </c>
      <c r="J1459" s="48">
        <v>27</v>
      </c>
      <c r="K1459" s="48">
        <v>1</v>
      </c>
      <c r="N1459" s="48">
        <v>0</v>
      </c>
      <c r="R1459" s="49"/>
      <c r="S1459" s="49"/>
      <c r="T1459" s="49">
        <v>46752</v>
      </c>
      <c r="U1459" s="49">
        <v>46752</v>
      </c>
      <c r="V1459" s="49">
        <v>46752</v>
      </c>
      <c r="W1459" s="49">
        <v>46752</v>
      </c>
      <c r="X1459" s="48">
        <v>1</v>
      </c>
      <c r="Y1459" s="48">
        <v>1</v>
      </c>
      <c r="Z1459" s="48">
        <v>1</v>
      </c>
      <c r="AA1459" s="156">
        <v>21884.292658970226</v>
      </c>
      <c r="AF1459" s="48">
        <v>0</v>
      </c>
      <c r="AG1459" s="49" t="s">
        <v>32</v>
      </c>
      <c r="AH1459" s="48">
        <v>1</v>
      </c>
      <c r="AI1459" s="48" t="s">
        <v>33</v>
      </c>
      <c r="AJ1459" s="48" t="s">
        <v>33</v>
      </c>
      <c r="AK1459" s="48" t="s">
        <v>33</v>
      </c>
      <c r="AL1459" s="48" t="s">
        <v>34</v>
      </c>
      <c r="AN1459" s="48">
        <v>0</v>
      </c>
      <c r="AO1459" s="48">
        <v>0</v>
      </c>
      <c r="AP1459" s="48">
        <v>0</v>
      </c>
      <c r="AQ1459" s="48">
        <v>0</v>
      </c>
      <c r="AR1459" s="48">
        <v>0</v>
      </c>
      <c r="AS1459" s="48">
        <v>0</v>
      </c>
      <c r="AT1459" s="48">
        <v>0</v>
      </c>
      <c r="AU1459" s="48">
        <v>0</v>
      </c>
      <c r="AV1459" s="48">
        <v>0</v>
      </c>
      <c r="AW1459" s="48">
        <v>0</v>
      </c>
      <c r="AX1459" s="48">
        <v>0</v>
      </c>
      <c r="AY1459" s="48">
        <v>0</v>
      </c>
      <c r="AZ1459" s="48">
        <v>0</v>
      </c>
      <c r="BA1459" s="48">
        <v>0</v>
      </c>
      <c r="BB1459" s="48">
        <v>0</v>
      </c>
    </row>
    <row r="1460" spans="1:54" x14ac:dyDescent="0.35">
      <c r="A1460" s="49">
        <v>45930</v>
      </c>
      <c r="B1460" s="48">
        <v>1</v>
      </c>
      <c r="C1460" s="50" t="s">
        <v>32</v>
      </c>
      <c r="D1460" s="48" t="s">
        <v>31</v>
      </c>
      <c r="E1460" s="48" t="s">
        <v>138</v>
      </c>
      <c r="F1460" s="48" t="s">
        <v>139</v>
      </c>
      <c r="G1460" s="49" t="s">
        <v>172</v>
      </c>
      <c r="H1460" s="48" t="s">
        <v>175</v>
      </c>
      <c r="I1460" s="48">
        <v>1</v>
      </c>
      <c r="J1460" s="48">
        <v>28</v>
      </c>
      <c r="K1460" s="48">
        <v>1</v>
      </c>
      <c r="N1460" s="48">
        <v>0</v>
      </c>
      <c r="R1460" s="49"/>
      <c r="S1460" s="49"/>
      <c r="T1460" s="49">
        <v>46783</v>
      </c>
      <c r="U1460" s="49">
        <v>46783</v>
      </c>
      <c r="V1460" s="49">
        <v>46783</v>
      </c>
      <c r="W1460" s="49">
        <v>46783</v>
      </c>
      <c r="X1460" s="48">
        <v>1</v>
      </c>
      <c r="Y1460" s="48">
        <v>1</v>
      </c>
      <c r="Z1460" s="48">
        <v>1</v>
      </c>
      <c r="AA1460" s="156">
        <v>21692.555763253011</v>
      </c>
      <c r="AF1460" s="48">
        <v>0</v>
      </c>
      <c r="AG1460" s="49" t="s">
        <v>32</v>
      </c>
      <c r="AH1460" s="48">
        <v>1</v>
      </c>
      <c r="AI1460" s="48" t="s">
        <v>33</v>
      </c>
      <c r="AJ1460" s="48" t="s">
        <v>33</v>
      </c>
      <c r="AK1460" s="48" t="s">
        <v>33</v>
      </c>
      <c r="AL1460" s="48" t="s">
        <v>34</v>
      </c>
      <c r="AN1460" s="48">
        <v>0</v>
      </c>
      <c r="AO1460" s="48">
        <v>0</v>
      </c>
      <c r="AP1460" s="48">
        <v>0</v>
      </c>
      <c r="AQ1460" s="48">
        <v>0</v>
      </c>
      <c r="AR1460" s="48">
        <v>0</v>
      </c>
      <c r="AS1460" s="48">
        <v>0</v>
      </c>
      <c r="AT1460" s="48">
        <v>0</v>
      </c>
      <c r="AU1460" s="48">
        <v>0</v>
      </c>
      <c r="AV1460" s="48">
        <v>0</v>
      </c>
      <c r="AW1460" s="48">
        <v>0</v>
      </c>
      <c r="AX1460" s="48">
        <v>0</v>
      </c>
      <c r="AY1460" s="48">
        <v>0</v>
      </c>
      <c r="AZ1460" s="48">
        <v>0</v>
      </c>
      <c r="BA1460" s="48">
        <v>0</v>
      </c>
      <c r="BB1460" s="48">
        <v>0</v>
      </c>
    </row>
    <row r="1461" spans="1:54" x14ac:dyDescent="0.35">
      <c r="A1461" s="49">
        <v>45930</v>
      </c>
      <c r="B1461" s="48">
        <v>1</v>
      </c>
      <c r="C1461" s="50" t="s">
        <v>32</v>
      </c>
      <c r="D1461" s="48" t="s">
        <v>31</v>
      </c>
      <c r="E1461" s="48" t="s">
        <v>138</v>
      </c>
      <c r="F1461" s="48" t="s">
        <v>139</v>
      </c>
      <c r="G1461" s="49" t="s">
        <v>172</v>
      </c>
      <c r="H1461" s="48" t="s">
        <v>175</v>
      </c>
      <c r="I1461" s="48">
        <v>1</v>
      </c>
      <c r="J1461" s="48">
        <v>29</v>
      </c>
      <c r="K1461" s="48">
        <v>1</v>
      </c>
      <c r="N1461" s="48">
        <v>0</v>
      </c>
      <c r="R1461" s="49"/>
      <c r="S1461" s="49"/>
      <c r="T1461" s="49">
        <v>46812</v>
      </c>
      <c r="U1461" s="49">
        <v>46812</v>
      </c>
      <c r="V1461" s="49">
        <v>46812</v>
      </c>
      <c r="W1461" s="49">
        <v>46812</v>
      </c>
      <c r="X1461" s="48">
        <v>1</v>
      </c>
      <c r="Y1461" s="48">
        <v>1</v>
      </c>
      <c r="Z1461" s="48">
        <v>1</v>
      </c>
      <c r="AA1461" s="156">
        <v>21502.498749894556</v>
      </c>
      <c r="AF1461" s="48">
        <v>0</v>
      </c>
      <c r="AG1461" s="49" t="s">
        <v>32</v>
      </c>
      <c r="AH1461" s="48">
        <v>1</v>
      </c>
      <c r="AI1461" s="48" t="s">
        <v>33</v>
      </c>
      <c r="AJ1461" s="48" t="s">
        <v>33</v>
      </c>
      <c r="AK1461" s="48" t="s">
        <v>33</v>
      </c>
      <c r="AL1461" s="48" t="s">
        <v>34</v>
      </c>
      <c r="AN1461" s="48">
        <v>0</v>
      </c>
      <c r="AO1461" s="48">
        <v>0</v>
      </c>
      <c r="AP1461" s="48">
        <v>0</v>
      </c>
      <c r="AQ1461" s="48">
        <v>0</v>
      </c>
      <c r="AR1461" s="48">
        <v>0</v>
      </c>
      <c r="AS1461" s="48">
        <v>0</v>
      </c>
      <c r="AT1461" s="48">
        <v>0</v>
      </c>
      <c r="AU1461" s="48">
        <v>0</v>
      </c>
      <c r="AV1461" s="48">
        <v>0</v>
      </c>
      <c r="AW1461" s="48">
        <v>0</v>
      </c>
      <c r="AX1461" s="48">
        <v>0</v>
      </c>
      <c r="AY1461" s="48">
        <v>0</v>
      </c>
      <c r="AZ1461" s="48">
        <v>0</v>
      </c>
      <c r="BA1461" s="48">
        <v>0</v>
      </c>
      <c r="BB1461" s="48">
        <v>0</v>
      </c>
    </row>
    <row r="1462" spans="1:54" x14ac:dyDescent="0.35">
      <c r="A1462" s="49">
        <v>45930</v>
      </c>
      <c r="B1462" s="48">
        <v>1</v>
      </c>
      <c r="C1462" s="50" t="s">
        <v>32</v>
      </c>
      <c r="D1462" s="48" t="s">
        <v>31</v>
      </c>
      <c r="E1462" s="48" t="s">
        <v>138</v>
      </c>
      <c r="F1462" s="48" t="s">
        <v>139</v>
      </c>
      <c r="G1462" s="49" t="s">
        <v>172</v>
      </c>
      <c r="H1462" s="48" t="s">
        <v>175</v>
      </c>
      <c r="I1462" s="48">
        <v>1</v>
      </c>
      <c r="J1462" s="48">
        <v>30</v>
      </c>
      <c r="K1462" s="48">
        <v>1</v>
      </c>
      <c r="N1462" s="48">
        <v>0</v>
      </c>
      <c r="R1462" s="49"/>
      <c r="S1462" s="49"/>
      <c r="T1462" s="49">
        <v>46843</v>
      </c>
      <c r="U1462" s="49">
        <v>46843</v>
      </c>
      <c r="V1462" s="49">
        <v>46843</v>
      </c>
      <c r="W1462" s="49">
        <v>46843</v>
      </c>
      <c r="X1462" s="48">
        <v>1</v>
      </c>
      <c r="Y1462" s="48">
        <v>1</v>
      </c>
      <c r="Z1462" s="48">
        <v>1</v>
      </c>
      <c r="AA1462" s="156">
        <v>21314.106900785584</v>
      </c>
      <c r="AF1462" s="48">
        <v>0</v>
      </c>
      <c r="AG1462" s="49" t="s">
        <v>32</v>
      </c>
      <c r="AH1462" s="48">
        <v>1</v>
      </c>
      <c r="AI1462" s="48" t="s">
        <v>33</v>
      </c>
      <c r="AJ1462" s="48" t="s">
        <v>33</v>
      </c>
      <c r="AK1462" s="48" t="s">
        <v>33</v>
      </c>
      <c r="AL1462" s="48" t="s">
        <v>34</v>
      </c>
      <c r="AN1462" s="48">
        <v>0</v>
      </c>
      <c r="AO1462" s="48">
        <v>0</v>
      </c>
      <c r="AP1462" s="48">
        <v>0</v>
      </c>
      <c r="AQ1462" s="48">
        <v>0</v>
      </c>
      <c r="AR1462" s="48">
        <v>0</v>
      </c>
      <c r="AS1462" s="48">
        <v>0</v>
      </c>
      <c r="AT1462" s="48">
        <v>0</v>
      </c>
      <c r="AU1462" s="48">
        <v>0</v>
      </c>
      <c r="AV1462" s="48">
        <v>0</v>
      </c>
      <c r="AW1462" s="48">
        <v>0</v>
      </c>
      <c r="AX1462" s="48">
        <v>0</v>
      </c>
      <c r="AY1462" s="48">
        <v>0</v>
      </c>
      <c r="AZ1462" s="48">
        <v>0</v>
      </c>
      <c r="BA1462" s="48">
        <v>0</v>
      </c>
      <c r="BB1462" s="48">
        <v>0</v>
      </c>
    </row>
    <row r="1463" spans="1:54" x14ac:dyDescent="0.35">
      <c r="A1463" s="49">
        <v>45930</v>
      </c>
      <c r="B1463" s="48">
        <v>1</v>
      </c>
      <c r="C1463" s="50" t="s">
        <v>32</v>
      </c>
      <c r="D1463" s="48" t="s">
        <v>31</v>
      </c>
      <c r="E1463" s="48" t="s">
        <v>138</v>
      </c>
      <c r="F1463" s="48" t="s">
        <v>139</v>
      </c>
      <c r="G1463" s="49" t="s">
        <v>172</v>
      </c>
      <c r="H1463" s="48" t="s">
        <v>175</v>
      </c>
      <c r="I1463" s="48">
        <v>1</v>
      </c>
      <c r="J1463" s="48">
        <v>31</v>
      </c>
      <c r="K1463" s="48">
        <v>1</v>
      </c>
      <c r="N1463" s="48">
        <v>0</v>
      </c>
      <c r="R1463" s="49"/>
      <c r="S1463" s="49"/>
      <c r="T1463" s="49">
        <v>46873</v>
      </c>
      <c r="U1463" s="49">
        <v>46873</v>
      </c>
      <c r="V1463" s="49">
        <v>46873</v>
      </c>
      <c r="W1463" s="49">
        <v>46873</v>
      </c>
      <c r="X1463" s="48">
        <v>1</v>
      </c>
      <c r="Y1463" s="48">
        <v>1</v>
      </c>
      <c r="Z1463" s="48">
        <v>1</v>
      </c>
      <c r="AA1463" s="156">
        <v>21127.365626766346</v>
      </c>
      <c r="AF1463" s="48">
        <v>0</v>
      </c>
      <c r="AG1463" s="49" t="s">
        <v>32</v>
      </c>
      <c r="AH1463" s="48">
        <v>1</v>
      </c>
      <c r="AI1463" s="48" t="s">
        <v>33</v>
      </c>
      <c r="AJ1463" s="48" t="s">
        <v>33</v>
      </c>
      <c r="AK1463" s="48" t="s">
        <v>33</v>
      </c>
      <c r="AL1463" s="48" t="s">
        <v>34</v>
      </c>
      <c r="AN1463" s="48">
        <v>0</v>
      </c>
      <c r="AO1463" s="48">
        <v>0</v>
      </c>
      <c r="AP1463" s="48">
        <v>0</v>
      </c>
      <c r="AQ1463" s="48">
        <v>0</v>
      </c>
      <c r="AR1463" s="48">
        <v>0</v>
      </c>
      <c r="AS1463" s="48">
        <v>0</v>
      </c>
      <c r="AT1463" s="48">
        <v>0</v>
      </c>
      <c r="AU1463" s="48">
        <v>0</v>
      </c>
      <c r="AV1463" s="48">
        <v>0</v>
      </c>
      <c r="AW1463" s="48">
        <v>0</v>
      </c>
      <c r="AX1463" s="48">
        <v>0</v>
      </c>
      <c r="AY1463" s="48">
        <v>0</v>
      </c>
      <c r="AZ1463" s="48">
        <v>0</v>
      </c>
      <c r="BA1463" s="48">
        <v>0</v>
      </c>
      <c r="BB1463" s="48">
        <v>0</v>
      </c>
    </row>
    <row r="1464" spans="1:54" x14ac:dyDescent="0.35">
      <c r="A1464" s="49">
        <v>45930</v>
      </c>
      <c r="B1464" s="48">
        <v>1</v>
      </c>
      <c r="C1464" s="50" t="s">
        <v>32</v>
      </c>
      <c r="D1464" s="48" t="s">
        <v>31</v>
      </c>
      <c r="E1464" s="48" t="s">
        <v>138</v>
      </c>
      <c r="F1464" s="48" t="s">
        <v>139</v>
      </c>
      <c r="G1464" s="49" t="s">
        <v>172</v>
      </c>
      <c r="H1464" s="48" t="s">
        <v>175</v>
      </c>
      <c r="I1464" s="48">
        <v>1</v>
      </c>
      <c r="J1464" s="48">
        <v>32</v>
      </c>
      <c r="K1464" s="48">
        <v>1</v>
      </c>
      <c r="N1464" s="48">
        <v>0</v>
      </c>
      <c r="R1464" s="49"/>
      <c r="S1464" s="49"/>
      <c r="T1464" s="49">
        <v>46904</v>
      </c>
      <c r="U1464" s="49">
        <v>46904</v>
      </c>
      <c r="V1464" s="49">
        <v>46904</v>
      </c>
      <c r="W1464" s="49">
        <v>46904</v>
      </c>
      <c r="X1464" s="48">
        <v>1</v>
      </c>
      <c r="Y1464" s="48">
        <v>1</v>
      </c>
      <c r="Z1464" s="48">
        <v>1</v>
      </c>
      <c r="AA1464" s="156">
        <v>20942.260466500185</v>
      </c>
      <c r="AF1464" s="48">
        <v>0</v>
      </c>
      <c r="AG1464" s="49" t="s">
        <v>32</v>
      </c>
      <c r="AH1464" s="48">
        <v>1</v>
      </c>
      <c r="AI1464" s="48" t="s">
        <v>33</v>
      </c>
      <c r="AJ1464" s="48" t="s">
        <v>33</v>
      </c>
      <c r="AK1464" s="48" t="s">
        <v>33</v>
      </c>
      <c r="AL1464" s="48" t="s">
        <v>34</v>
      </c>
      <c r="AN1464" s="48">
        <v>0</v>
      </c>
      <c r="AO1464" s="48">
        <v>0</v>
      </c>
      <c r="AP1464" s="48">
        <v>0</v>
      </c>
      <c r="AQ1464" s="48">
        <v>0</v>
      </c>
      <c r="AR1464" s="48">
        <v>0</v>
      </c>
      <c r="AS1464" s="48">
        <v>0</v>
      </c>
      <c r="AT1464" s="48">
        <v>0</v>
      </c>
      <c r="AU1464" s="48">
        <v>0</v>
      </c>
      <c r="AV1464" s="48">
        <v>0</v>
      </c>
      <c r="AW1464" s="48">
        <v>0</v>
      </c>
      <c r="AX1464" s="48">
        <v>0</v>
      </c>
      <c r="AY1464" s="48">
        <v>0</v>
      </c>
      <c r="AZ1464" s="48">
        <v>0</v>
      </c>
      <c r="BA1464" s="48">
        <v>0</v>
      </c>
      <c r="BB1464" s="48">
        <v>0</v>
      </c>
    </row>
    <row r="1465" spans="1:54" x14ac:dyDescent="0.35">
      <c r="A1465" s="49">
        <v>45930</v>
      </c>
      <c r="B1465" s="48">
        <v>1</v>
      </c>
      <c r="C1465" s="50" t="s">
        <v>32</v>
      </c>
      <c r="D1465" s="48" t="s">
        <v>31</v>
      </c>
      <c r="E1465" s="48" t="s">
        <v>138</v>
      </c>
      <c r="F1465" s="48" t="s">
        <v>139</v>
      </c>
      <c r="G1465" s="49" t="s">
        <v>172</v>
      </c>
      <c r="H1465" s="48" t="s">
        <v>175</v>
      </c>
      <c r="I1465" s="48">
        <v>1</v>
      </c>
      <c r="J1465" s="48">
        <v>33</v>
      </c>
      <c r="K1465" s="48">
        <v>1</v>
      </c>
      <c r="N1465" s="48">
        <v>0</v>
      </c>
      <c r="R1465" s="49"/>
      <c r="S1465" s="49"/>
      <c r="T1465" s="49">
        <v>46934</v>
      </c>
      <c r="U1465" s="49">
        <v>46934</v>
      </c>
      <c r="V1465" s="49">
        <v>46934</v>
      </c>
      <c r="W1465" s="49">
        <v>46934</v>
      </c>
      <c r="X1465" s="48">
        <v>1</v>
      </c>
      <c r="Y1465" s="48">
        <v>1</v>
      </c>
      <c r="Z1465" s="48">
        <v>1</v>
      </c>
      <c r="AA1465" s="156">
        <v>20758.777085349429</v>
      </c>
      <c r="AF1465" s="48">
        <v>0</v>
      </c>
      <c r="AG1465" s="49" t="s">
        <v>32</v>
      </c>
      <c r="AH1465" s="48">
        <v>1</v>
      </c>
      <c r="AI1465" s="48" t="s">
        <v>33</v>
      </c>
      <c r="AJ1465" s="48" t="s">
        <v>33</v>
      </c>
      <c r="AK1465" s="48" t="s">
        <v>33</v>
      </c>
      <c r="AL1465" s="48" t="s">
        <v>34</v>
      </c>
      <c r="AN1465" s="48">
        <v>0</v>
      </c>
      <c r="AO1465" s="48">
        <v>0</v>
      </c>
      <c r="AP1465" s="48">
        <v>0</v>
      </c>
      <c r="AQ1465" s="48">
        <v>0</v>
      </c>
      <c r="AR1465" s="48">
        <v>0</v>
      </c>
      <c r="AS1465" s="48">
        <v>0</v>
      </c>
      <c r="AT1465" s="48">
        <v>0</v>
      </c>
      <c r="AU1465" s="48">
        <v>0</v>
      </c>
      <c r="AV1465" s="48">
        <v>0</v>
      </c>
      <c r="AW1465" s="48">
        <v>0</v>
      </c>
      <c r="AX1465" s="48">
        <v>0</v>
      </c>
      <c r="AY1465" s="48">
        <v>0</v>
      </c>
      <c r="AZ1465" s="48">
        <v>0</v>
      </c>
      <c r="BA1465" s="48">
        <v>0</v>
      </c>
      <c r="BB1465" s="48">
        <v>0</v>
      </c>
    </row>
    <row r="1466" spans="1:54" x14ac:dyDescent="0.35">
      <c r="A1466" s="49">
        <v>45930</v>
      </c>
      <c r="B1466" s="48">
        <v>1</v>
      </c>
      <c r="C1466" s="50" t="s">
        <v>32</v>
      </c>
      <c r="D1466" s="48" t="s">
        <v>31</v>
      </c>
      <c r="E1466" s="48" t="s">
        <v>138</v>
      </c>
      <c r="F1466" s="48" t="s">
        <v>139</v>
      </c>
      <c r="G1466" s="49" t="s">
        <v>172</v>
      </c>
      <c r="H1466" s="48" t="s">
        <v>175</v>
      </c>
      <c r="I1466" s="48">
        <v>1</v>
      </c>
      <c r="J1466" s="48">
        <v>34</v>
      </c>
      <c r="K1466" s="48">
        <v>1</v>
      </c>
      <c r="N1466" s="48">
        <v>0</v>
      </c>
      <c r="R1466" s="49"/>
      <c r="S1466" s="49"/>
      <c r="T1466" s="49">
        <v>46965</v>
      </c>
      <c r="U1466" s="49">
        <v>46965</v>
      </c>
      <c r="V1466" s="49">
        <v>46965</v>
      </c>
      <c r="W1466" s="49">
        <v>46965</v>
      </c>
      <c r="X1466" s="48">
        <v>1</v>
      </c>
      <c r="Y1466" s="48">
        <v>1</v>
      </c>
      <c r="Z1466" s="48">
        <v>1</v>
      </c>
      <c r="AA1466" s="156">
        <v>20576.901274270844</v>
      </c>
      <c r="AF1466" s="48">
        <v>0</v>
      </c>
      <c r="AG1466" s="49" t="s">
        <v>32</v>
      </c>
      <c r="AH1466" s="48">
        <v>1</v>
      </c>
      <c r="AI1466" s="48" t="s">
        <v>33</v>
      </c>
      <c r="AJ1466" s="48" t="s">
        <v>33</v>
      </c>
      <c r="AK1466" s="48" t="s">
        <v>33</v>
      </c>
      <c r="AL1466" s="48" t="s">
        <v>34</v>
      </c>
      <c r="AN1466" s="48">
        <v>0</v>
      </c>
      <c r="AO1466" s="48">
        <v>0</v>
      </c>
      <c r="AP1466" s="48">
        <v>0</v>
      </c>
      <c r="AQ1466" s="48">
        <v>0</v>
      </c>
      <c r="AR1466" s="48">
        <v>0</v>
      </c>
      <c r="AS1466" s="48">
        <v>0</v>
      </c>
      <c r="AT1466" s="48">
        <v>0</v>
      </c>
      <c r="AU1466" s="48">
        <v>0</v>
      </c>
      <c r="AV1466" s="48">
        <v>0</v>
      </c>
      <c r="AW1466" s="48">
        <v>0</v>
      </c>
      <c r="AX1466" s="48">
        <v>0</v>
      </c>
      <c r="AY1466" s="48">
        <v>0</v>
      </c>
      <c r="AZ1466" s="48">
        <v>0</v>
      </c>
      <c r="BA1466" s="48">
        <v>0</v>
      </c>
      <c r="BB1466" s="48">
        <v>0</v>
      </c>
    </row>
    <row r="1467" spans="1:54" x14ac:dyDescent="0.35">
      <c r="A1467" s="49">
        <v>45930</v>
      </c>
      <c r="B1467" s="48">
        <v>1</v>
      </c>
      <c r="C1467" s="50" t="s">
        <v>32</v>
      </c>
      <c r="D1467" s="48" t="s">
        <v>31</v>
      </c>
      <c r="E1467" s="48" t="s">
        <v>138</v>
      </c>
      <c r="F1467" s="48" t="s">
        <v>139</v>
      </c>
      <c r="G1467" s="49" t="s">
        <v>172</v>
      </c>
      <c r="H1467" s="48" t="s">
        <v>175</v>
      </c>
      <c r="I1467" s="48">
        <v>1</v>
      </c>
      <c r="J1467" s="48">
        <v>35</v>
      </c>
      <c r="K1467" s="48">
        <v>1</v>
      </c>
      <c r="N1467" s="48">
        <v>0</v>
      </c>
      <c r="R1467" s="49"/>
      <c r="S1467" s="49"/>
      <c r="T1467" s="49">
        <v>46996</v>
      </c>
      <c r="U1467" s="49">
        <v>46996</v>
      </c>
      <c r="V1467" s="49">
        <v>46996</v>
      </c>
      <c r="W1467" s="49">
        <v>46996</v>
      </c>
      <c r="X1467" s="48">
        <v>1</v>
      </c>
      <c r="Y1467" s="48">
        <v>1</v>
      </c>
      <c r="Z1467" s="48">
        <v>1</v>
      </c>
      <c r="AA1467" s="156">
        <v>20396.618948710151</v>
      </c>
      <c r="AF1467" s="48">
        <v>0</v>
      </c>
      <c r="AG1467" s="49" t="s">
        <v>32</v>
      </c>
      <c r="AH1467" s="48">
        <v>1</v>
      </c>
      <c r="AI1467" s="48" t="s">
        <v>33</v>
      </c>
      <c r="AJ1467" s="48" t="s">
        <v>33</v>
      </c>
      <c r="AK1467" s="48" t="s">
        <v>33</v>
      </c>
      <c r="AL1467" s="48" t="s">
        <v>34</v>
      </c>
      <c r="AN1467" s="48">
        <v>0</v>
      </c>
      <c r="AO1467" s="48">
        <v>0</v>
      </c>
      <c r="AP1467" s="48">
        <v>0</v>
      </c>
      <c r="AQ1467" s="48">
        <v>0</v>
      </c>
      <c r="AR1467" s="48">
        <v>0</v>
      </c>
      <c r="AS1467" s="48">
        <v>0</v>
      </c>
      <c r="AT1467" s="48">
        <v>0</v>
      </c>
      <c r="AU1467" s="48">
        <v>0</v>
      </c>
      <c r="AV1467" s="48">
        <v>0</v>
      </c>
      <c r="AW1467" s="48">
        <v>0</v>
      </c>
      <c r="AX1467" s="48">
        <v>0</v>
      </c>
      <c r="AY1467" s="48">
        <v>0</v>
      </c>
      <c r="AZ1467" s="48">
        <v>0</v>
      </c>
      <c r="BA1467" s="48">
        <v>0</v>
      </c>
      <c r="BB1467" s="48">
        <v>0</v>
      </c>
    </row>
    <row r="1468" spans="1:54" x14ac:dyDescent="0.35">
      <c r="A1468" s="49">
        <v>45930</v>
      </c>
      <c r="B1468" s="48">
        <v>1</v>
      </c>
      <c r="C1468" s="50" t="s">
        <v>32</v>
      </c>
      <c r="D1468" s="48" t="s">
        <v>31</v>
      </c>
      <c r="E1468" s="48" t="s">
        <v>138</v>
      </c>
      <c r="F1468" s="48" t="s">
        <v>139</v>
      </c>
      <c r="G1468" s="49" t="s">
        <v>172</v>
      </c>
      <c r="H1468" s="48" t="s">
        <v>175</v>
      </c>
      <c r="I1468" s="48">
        <v>1</v>
      </c>
      <c r="J1468" s="48">
        <v>36</v>
      </c>
      <c r="K1468" s="48">
        <v>1</v>
      </c>
      <c r="N1468" s="48">
        <v>0</v>
      </c>
      <c r="R1468" s="49"/>
      <c r="S1468" s="49"/>
      <c r="T1468" s="49">
        <v>47026</v>
      </c>
      <c r="U1468" s="49">
        <v>47026</v>
      </c>
      <c r="V1468" s="49">
        <v>47026</v>
      </c>
      <c r="W1468" s="49">
        <v>47026</v>
      </c>
      <c r="X1468" s="48">
        <v>1</v>
      </c>
      <c r="Y1468" s="48">
        <v>1</v>
      </c>
      <c r="Z1468" s="48">
        <v>1</v>
      </c>
      <c r="AA1468" s="156">
        <v>20217.916147514246</v>
      </c>
      <c r="AF1468" s="48">
        <v>0</v>
      </c>
      <c r="AG1468" s="49" t="s">
        <v>32</v>
      </c>
      <c r="AH1468" s="48">
        <v>1</v>
      </c>
      <c r="AI1468" s="48" t="s">
        <v>33</v>
      </c>
      <c r="AJ1468" s="48" t="s">
        <v>33</v>
      </c>
      <c r="AK1468" s="48" t="s">
        <v>33</v>
      </c>
      <c r="AL1468" s="48" t="s">
        <v>34</v>
      </c>
      <c r="AN1468" s="48">
        <v>0</v>
      </c>
      <c r="AO1468" s="48">
        <v>0</v>
      </c>
      <c r="AP1468" s="48">
        <v>0</v>
      </c>
      <c r="AQ1468" s="48">
        <v>0</v>
      </c>
      <c r="AR1468" s="48">
        <v>0</v>
      </c>
      <c r="AS1468" s="48">
        <v>0</v>
      </c>
      <c r="AT1468" s="48">
        <v>0</v>
      </c>
      <c r="AU1468" s="48">
        <v>0</v>
      </c>
      <c r="AV1468" s="48">
        <v>0</v>
      </c>
      <c r="AW1468" s="48">
        <v>0</v>
      </c>
      <c r="AX1468" s="48">
        <v>0</v>
      </c>
      <c r="AY1468" s="48">
        <v>0</v>
      </c>
      <c r="AZ1468" s="48">
        <v>0</v>
      </c>
      <c r="BA1468" s="48">
        <v>0</v>
      </c>
      <c r="BB1468" s="48">
        <v>0</v>
      </c>
    </row>
    <row r="1469" spans="1:54" x14ac:dyDescent="0.35">
      <c r="A1469" s="49">
        <v>45930</v>
      </c>
      <c r="B1469" s="48">
        <v>1</v>
      </c>
      <c r="C1469" s="50" t="s">
        <v>32</v>
      </c>
      <c r="D1469" s="48" t="s">
        <v>31</v>
      </c>
      <c r="E1469" s="48" t="s">
        <v>138</v>
      </c>
      <c r="F1469" s="48" t="s">
        <v>139</v>
      </c>
      <c r="G1469" s="49" t="s">
        <v>172</v>
      </c>
      <c r="H1469" s="48" t="s">
        <v>175</v>
      </c>
      <c r="I1469" s="48">
        <v>1</v>
      </c>
      <c r="J1469" s="48">
        <v>37</v>
      </c>
      <c r="K1469" s="48">
        <v>1</v>
      </c>
      <c r="N1469" s="48">
        <v>0</v>
      </c>
      <c r="R1469" s="49"/>
      <c r="S1469" s="49"/>
      <c r="T1469" s="49">
        <v>47057</v>
      </c>
      <c r="U1469" s="49">
        <v>47057</v>
      </c>
      <c r="V1469" s="49">
        <v>47057</v>
      </c>
      <c r="W1469" s="49">
        <v>47057</v>
      </c>
      <c r="X1469" s="48">
        <v>1</v>
      </c>
      <c r="Y1469" s="48">
        <v>1</v>
      </c>
      <c r="Z1469" s="48">
        <v>1</v>
      </c>
      <c r="AA1469" s="156">
        <v>20040.779031848535</v>
      </c>
      <c r="AF1469" s="48">
        <v>0</v>
      </c>
      <c r="AG1469" s="49" t="s">
        <v>32</v>
      </c>
      <c r="AH1469" s="48">
        <v>1</v>
      </c>
      <c r="AI1469" s="48" t="s">
        <v>33</v>
      </c>
      <c r="AJ1469" s="48" t="s">
        <v>33</v>
      </c>
      <c r="AK1469" s="48" t="s">
        <v>33</v>
      </c>
      <c r="AL1469" s="48" t="s">
        <v>34</v>
      </c>
      <c r="AN1469" s="48">
        <v>0</v>
      </c>
      <c r="AO1469" s="48">
        <v>0</v>
      </c>
      <c r="AP1469" s="48">
        <v>0</v>
      </c>
      <c r="AQ1469" s="48">
        <v>0</v>
      </c>
      <c r="AR1469" s="48">
        <v>0</v>
      </c>
      <c r="AS1469" s="48">
        <v>0</v>
      </c>
      <c r="AT1469" s="48">
        <v>0</v>
      </c>
      <c r="AU1469" s="48">
        <v>0</v>
      </c>
      <c r="AV1469" s="48">
        <v>0</v>
      </c>
      <c r="AW1469" s="48">
        <v>0</v>
      </c>
      <c r="AX1469" s="48">
        <v>0</v>
      </c>
      <c r="AY1469" s="48">
        <v>0</v>
      </c>
      <c r="AZ1469" s="48">
        <v>0</v>
      </c>
      <c r="BA1469" s="48">
        <v>0</v>
      </c>
      <c r="BB1469" s="48">
        <v>0</v>
      </c>
    </row>
    <row r="1470" spans="1:54" x14ac:dyDescent="0.35">
      <c r="A1470" s="49">
        <v>45930</v>
      </c>
      <c r="B1470" s="48">
        <v>1</v>
      </c>
      <c r="C1470" s="50" t="s">
        <v>32</v>
      </c>
      <c r="D1470" s="48" t="s">
        <v>31</v>
      </c>
      <c r="E1470" s="48" t="s">
        <v>138</v>
      </c>
      <c r="F1470" s="48" t="s">
        <v>139</v>
      </c>
      <c r="G1470" s="49" t="s">
        <v>172</v>
      </c>
      <c r="H1470" s="48" t="s">
        <v>175</v>
      </c>
      <c r="I1470" s="48">
        <v>1</v>
      </c>
      <c r="J1470" s="48">
        <v>38</v>
      </c>
      <c r="K1470" s="48">
        <v>1</v>
      </c>
      <c r="N1470" s="48">
        <v>0</v>
      </c>
      <c r="R1470" s="49"/>
      <c r="S1470" s="49"/>
      <c r="T1470" s="49">
        <v>47087</v>
      </c>
      <c r="U1470" s="49">
        <v>47087</v>
      </c>
      <c r="V1470" s="49">
        <v>47087</v>
      </c>
      <c r="W1470" s="49">
        <v>47087</v>
      </c>
      <c r="X1470" s="48">
        <v>1</v>
      </c>
      <c r="Y1470" s="48">
        <v>1</v>
      </c>
      <c r="Z1470" s="48">
        <v>1</v>
      </c>
      <c r="AA1470" s="156">
        <v>19865.193884125911</v>
      </c>
      <c r="AF1470" s="48">
        <v>0</v>
      </c>
      <c r="AG1470" s="49" t="s">
        <v>32</v>
      </c>
      <c r="AH1470" s="48">
        <v>1</v>
      </c>
      <c r="AI1470" s="48" t="s">
        <v>33</v>
      </c>
      <c r="AJ1470" s="48" t="s">
        <v>33</v>
      </c>
      <c r="AK1470" s="48" t="s">
        <v>33</v>
      </c>
      <c r="AL1470" s="48" t="s">
        <v>34</v>
      </c>
      <c r="AN1470" s="48">
        <v>0</v>
      </c>
      <c r="AO1470" s="48">
        <v>0</v>
      </c>
      <c r="AP1470" s="48">
        <v>0</v>
      </c>
      <c r="AQ1470" s="48">
        <v>0</v>
      </c>
      <c r="AR1470" s="48">
        <v>0</v>
      </c>
      <c r="AS1470" s="48">
        <v>0</v>
      </c>
      <c r="AT1470" s="48">
        <v>0</v>
      </c>
      <c r="AU1470" s="48">
        <v>0</v>
      </c>
      <c r="AV1470" s="48">
        <v>0</v>
      </c>
      <c r="AW1470" s="48">
        <v>0</v>
      </c>
      <c r="AX1470" s="48">
        <v>0</v>
      </c>
      <c r="AY1470" s="48">
        <v>0</v>
      </c>
      <c r="AZ1470" s="48">
        <v>0</v>
      </c>
      <c r="BA1470" s="48">
        <v>0</v>
      </c>
      <c r="BB1470" s="48">
        <v>0</v>
      </c>
    </row>
    <row r="1471" spans="1:54" x14ac:dyDescent="0.35">
      <c r="A1471" s="49">
        <v>45930</v>
      </c>
      <c r="B1471" s="48">
        <v>1</v>
      </c>
      <c r="C1471" s="50" t="s">
        <v>32</v>
      </c>
      <c r="D1471" s="48" t="s">
        <v>31</v>
      </c>
      <c r="E1471" s="48" t="s">
        <v>138</v>
      </c>
      <c r="F1471" s="48" t="s">
        <v>139</v>
      </c>
      <c r="G1471" s="49" t="s">
        <v>172</v>
      </c>
      <c r="H1471" s="48" t="s">
        <v>175</v>
      </c>
      <c r="I1471" s="48">
        <v>1</v>
      </c>
      <c r="J1471" s="48">
        <v>39</v>
      </c>
      <c r="K1471" s="48">
        <v>1</v>
      </c>
      <c r="N1471" s="48">
        <v>0</v>
      </c>
      <c r="R1471" s="49"/>
      <c r="S1471" s="49"/>
      <c r="T1471" s="49">
        <v>47118</v>
      </c>
      <c r="U1471" s="49">
        <v>47118</v>
      </c>
      <c r="V1471" s="49">
        <v>47118</v>
      </c>
      <c r="W1471" s="49">
        <v>47118</v>
      </c>
      <c r="X1471" s="48">
        <v>1</v>
      </c>
      <c r="Y1471" s="48">
        <v>1</v>
      </c>
      <c r="Z1471" s="48">
        <v>1</v>
      </c>
      <c r="AA1471" s="156">
        <v>19691.147106945515</v>
      </c>
      <c r="AF1471" s="48">
        <v>0</v>
      </c>
      <c r="AG1471" s="49" t="s">
        <v>32</v>
      </c>
      <c r="AH1471" s="48">
        <v>1</v>
      </c>
      <c r="AI1471" s="48" t="s">
        <v>33</v>
      </c>
      <c r="AJ1471" s="48" t="s">
        <v>33</v>
      </c>
      <c r="AK1471" s="48" t="s">
        <v>33</v>
      </c>
      <c r="AL1471" s="48" t="s">
        <v>34</v>
      </c>
      <c r="AN1471" s="48">
        <v>0</v>
      </c>
      <c r="AO1471" s="48">
        <v>0</v>
      </c>
      <c r="AP1471" s="48">
        <v>0</v>
      </c>
      <c r="AQ1471" s="48">
        <v>0</v>
      </c>
      <c r="AR1471" s="48">
        <v>0</v>
      </c>
      <c r="AS1471" s="48">
        <v>0</v>
      </c>
      <c r="AT1471" s="48">
        <v>0</v>
      </c>
      <c r="AU1471" s="48">
        <v>0</v>
      </c>
      <c r="AV1471" s="48">
        <v>0</v>
      </c>
      <c r="AW1471" s="48">
        <v>0</v>
      </c>
      <c r="AX1471" s="48">
        <v>0</v>
      </c>
      <c r="AY1471" s="48">
        <v>0</v>
      </c>
      <c r="AZ1471" s="48">
        <v>0</v>
      </c>
      <c r="BA1471" s="48">
        <v>0</v>
      </c>
      <c r="BB1471" s="48">
        <v>0</v>
      </c>
    </row>
    <row r="1472" spans="1:54" x14ac:dyDescent="0.35">
      <c r="A1472" s="49">
        <v>45930</v>
      </c>
      <c r="B1472" s="48">
        <v>1</v>
      </c>
      <c r="C1472" s="50" t="s">
        <v>32</v>
      </c>
      <c r="D1472" s="48" t="s">
        <v>31</v>
      </c>
      <c r="E1472" s="48" t="s">
        <v>138</v>
      </c>
      <c r="F1472" s="48" t="s">
        <v>139</v>
      </c>
      <c r="G1472" s="49" t="s">
        <v>172</v>
      </c>
      <c r="H1472" s="48" t="s">
        <v>175</v>
      </c>
      <c r="I1472" s="48">
        <v>1</v>
      </c>
      <c r="J1472" s="48">
        <v>40</v>
      </c>
      <c r="K1472" s="48">
        <v>1</v>
      </c>
      <c r="N1472" s="48">
        <v>0</v>
      </c>
      <c r="R1472" s="49"/>
      <c r="S1472" s="49"/>
      <c r="T1472" s="49">
        <v>47149</v>
      </c>
      <c r="U1472" s="49">
        <v>47149</v>
      </c>
      <c r="V1472" s="49">
        <v>47149</v>
      </c>
      <c r="W1472" s="49">
        <v>47149</v>
      </c>
      <c r="X1472" s="48">
        <v>1</v>
      </c>
      <c r="Y1472" s="48">
        <v>1</v>
      </c>
      <c r="Z1472" s="48">
        <v>1</v>
      </c>
      <c r="AA1472" s="156">
        <v>19518.625222038012</v>
      </c>
      <c r="AF1472" s="48">
        <v>0</v>
      </c>
      <c r="AG1472" s="49" t="s">
        <v>32</v>
      </c>
      <c r="AH1472" s="48">
        <v>1</v>
      </c>
      <c r="AI1472" s="48" t="s">
        <v>33</v>
      </c>
      <c r="AJ1472" s="48" t="s">
        <v>33</v>
      </c>
      <c r="AK1472" s="48" t="s">
        <v>33</v>
      </c>
      <c r="AL1472" s="48" t="s">
        <v>34</v>
      </c>
      <c r="AN1472" s="48">
        <v>0</v>
      </c>
      <c r="AO1472" s="48">
        <v>0</v>
      </c>
      <c r="AP1472" s="48">
        <v>0</v>
      </c>
      <c r="AQ1472" s="48">
        <v>0</v>
      </c>
      <c r="AR1472" s="48">
        <v>0</v>
      </c>
      <c r="AS1472" s="48">
        <v>0</v>
      </c>
      <c r="AT1472" s="48">
        <v>0</v>
      </c>
      <c r="AU1472" s="48">
        <v>0</v>
      </c>
      <c r="AV1472" s="48">
        <v>0</v>
      </c>
      <c r="AW1472" s="48">
        <v>0</v>
      </c>
      <c r="AX1472" s="48">
        <v>0</v>
      </c>
      <c r="AY1472" s="48">
        <v>0</v>
      </c>
      <c r="AZ1472" s="48">
        <v>0</v>
      </c>
      <c r="BA1472" s="48">
        <v>0</v>
      </c>
      <c r="BB1472" s="48">
        <v>0</v>
      </c>
    </row>
    <row r="1473" spans="1:54" x14ac:dyDescent="0.35">
      <c r="A1473" s="49">
        <v>45930</v>
      </c>
      <c r="B1473" s="48">
        <v>1</v>
      </c>
      <c r="C1473" s="50" t="s">
        <v>32</v>
      </c>
      <c r="D1473" s="48" t="s">
        <v>31</v>
      </c>
      <c r="E1473" s="48" t="s">
        <v>138</v>
      </c>
      <c r="F1473" s="48" t="s">
        <v>139</v>
      </c>
      <c r="G1473" s="49" t="s">
        <v>172</v>
      </c>
      <c r="H1473" s="48" t="s">
        <v>175</v>
      </c>
      <c r="I1473" s="48">
        <v>1</v>
      </c>
      <c r="J1473" s="48">
        <v>41</v>
      </c>
      <c r="K1473" s="48">
        <v>1</v>
      </c>
      <c r="N1473" s="48">
        <v>0</v>
      </c>
      <c r="R1473" s="49"/>
      <c r="S1473" s="49"/>
      <c r="T1473" s="49">
        <v>47177</v>
      </c>
      <c r="U1473" s="49">
        <v>47177</v>
      </c>
      <c r="V1473" s="49">
        <v>47177</v>
      </c>
      <c r="W1473" s="49">
        <v>47177</v>
      </c>
      <c r="X1473" s="48">
        <v>1</v>
      </c>
      <c r="Y1473" s="48">
        <v>1</v>
      </c>
      <c r="Z1473" s="48">
        <v>1</v>
      </c>
      <c r="AA1473" s="156">
        <v>19347.614869222511</v>
      </c>
      <c r="AF1473" s="48">
        <v>0</v>
      </c>
      <c r="AG1473" s="49" t="s">
        <v>32</v>
      </c>
      <c r="AH1473" s="48">
        <v>1</v>
      </c>
      <c r="AI1473" s="48" t="s">
        <v>33</v>
      </c>
      <c r="AJ1473" s="48" t="s">
        <v>33</v>
      </c>
      <c r="AK1473" s="48" t="s">
        <v>33</v>
      </c>
      <c r="AL1473" s="48" t="s">
        <v>34</v>
      </c>
      <c r="AN1473" s="48">
        <v>0</v>
      </c>
      <c r="AO1473" s="48">
        <v>0</v>
      </c>
      <c r="AP1473" s="48">
        <v>0</v>
      </c>
      <c r="AQ1473" s="48">
        <v>0</v>
      </c>
      <c r="AR1473" s="48">
        <v>0</v>
      </c>
      <c r="AS1473" s="48">
        <v>0</v>
      </c>
      <c r="AT1473" s="48">
        <v>0</v>
      </c>
      <c r="AU1473" s="48">
        <v>0</v>
      </c>
      <c r="AV1473" s="48">
        <v>0</v>
      </c>
      <c r="AW1473" s="48">
        <v>0</v>
      </c>
      <c r="AX1473" s="48">
        <v>0</v>
      </c>
      <c r="AY1473" s="48">
        <v>0</v>
      </c>
      <c r="AZ1473" s="48">
        <v>0</v>
      </c>
      <c r="BA1473" s="48">
        <v>0</v>
      </c>
      <c r="BB1473" s="48">
        <v>0</v>
      </c>
    </row>
    <row r="1474" spans="1:54" x14ac:dyDescent="0.35">
      <c r="A1474" s="49">
        <v>45930</v>
      </c>
      <c r="B1474" s="48">
        <v>1</v>
      </c>
      <c r="C1474" s="50" t="s">
        <v>32</v>
      </c>
      <c r="D1474" s="48" t="s">
        <v>31</v>
      </c>
      <c r="E1474" s="48" t="s">
        <v>138</v>
      </c>
      <c r="F1474" s="48" t="s">
        <v>139</v>
      </c>
      <c r="G1474" s="49" t="s">
        <v>172</v>
      </c>
      <c r="H1474" s="48" t="s">
        <v>175</v>
      </c>
      <c r="I1474" s="48">
        <v>1</v>
      </c>
      <c r="J1474" s="48">
        <v>42</v>
      </c>
      <c r="K1474" s="48">
        <v>1</v>
      </c>
      <c r="N1474" s="48">
        <v>0</v>
      </c>
      <c r="R1474" s="49"/>
      <c r="S1474" s="49"/>
      <c r="T1474" s="49">
        <v>47208</v>
      </c>
      <c r="U1474" s="49">
        <v>47208</v>
      </c>
      <c r="V1474" s="49">
        <v>47208</v>
      </c>
      <c r="W1474" s="49">
        <v>47208</v>
      </c>
      <c r="X1474" s="48">
        <v>1</v>
      </c>
      <c r="Y1474" s="48">
        <v>1</v>
      </c>
      <c r="Z1474" s="48">
        <v>1</v>
      </c>
      <c r="AA1474" s="156">
        <v>19178.102805369999</v>
      </c>
      <c r="AF1474" s="48">
        <v>0</v>
      </c>
      <c r="AG1474" s="49" t="s">
        <v>32</v>
      </c>
      <c r="AH1474" s="48">
        <v>1</v>
      </c>
      <c r="AI1474" s="48" t="s">
        <v>33</v>
      </c>
      <c r="AJ1474" s="48" t="s">
        <v>33</v>
      </c>
      <c r="AK1474" s="48" t="s">
        <v>33</v>
      </c>
      <c r="AL1474" s="48" t="s">
        <v>34</v>
      </c>
      <c r="AN1474" s="48">
        <v>0</v>
      </c>
      <c r="AO1474" s="48">
        <v>0</v>
      </c>
      <c r="AP1474" s="48">
        <v>0</v>
      </c>
      <c r="AQ1474" s="48">
        <v>0</v>
      </c>
      <c r="AR1474" s="48">
        <v>0</v>
      </c>
      <c r="AS1474" s="48">
        <v>0</v>
      </c>
      <c r="AT1474" s="48">
        <v>0</v>
      </c>
      <c r="AU1474" s="48">
        <v>0</v>
      </c>
      <c r="AV1474" s="48">
        <v>0</v>
      </c>
      <c r="AW1474" s="48">
        <v>0</v>
      </c>
      <c r="AX1474" s="48">
        <v>0</v>
      </c>
      <c r="AY1474" s="48">
        <v>0</v>
      </c>
      <c r="AZ1474" s="48">
        <v>0</v>
      </c>
      <c r="BA1474" s="48">
        <v>0</v>
      </c>
      <c r="BB1474" s="48">
        <v>0</v>
      </c>
    </row>
    <row r="1475" spans="1:54" x14ac:dyDescent="0.35">
      <c r="A1475" s="49">
        <v>45930</v>
      </c>
      <c r="B1475" s="48">
        <v>1</v>
      </c>
      <c r="C1475" s="50" t="s">
        <v>32</v>
      </c>
      <c r="D1475" s="48" t="s">
        <v>31</v>
      </c>
      <c r="E1475" s="48" t="s">
        <v>138</v>
      </c>
      <c r="F1475" s="48" t="s">
        <v>139</v>
      </c>
      <c r="G1475" s="49" t="s">
        <v>172</v>
      </c>
      <c r="H1475" s="48" t="s">
        <v>175</v>
      </c>
      <c r="I1475" s="48">
        <v>1</v>
      </c>
      <c r="J1475" s="48">
        <v>43</v>
      </c>
      <c r="K1475" s="48">
        <v>1</v>
      </c>
      <c r="N1475" s="48">
        <v>0</v>
      </c>
      <c r="R1475" s="49"/>
      <c r="S1475" s="49"/>
      <c r="T1475" s="49">
        <v>47238</v>
      </c>
      <c r="U1475" s="49">
        <v>47238</v>
      </c>
      <c r="V1475" s="49">
        <v>47238</v>
      </c>
      <c r="W1475" s="49">
        <v>47238</v>
      </c>
      <c r="X1475" s="48">
        <v>1</v>
      </c>
      <c r="Y1475" s="48">
        <v>1</v>
      </c>
      <c r="Z1475" s="48">
        <v>1</v>
      </c>
      <c r="AA1475" s="156">
        <v>19010.075903383549</v>
      </c>
      <c r="AF1475" s="48">
        <v>0</v>
      </c>
      <c r="AG1475" s="49" t="s">
        <v>32</v>
      </c>
      <c r="AH1475" s="48">
        <v>1</v>
      </c>
      <c r="AI1475" s="48" t="s">
        <v>33</v>
      </c>
      <c r="AJ1475" s="48" t="s">
        <v>33</v>
      </c>
      <c r="AK1475" s="48" t="s">
        <v>33</v>
      </c>
      <c r="AL1475" s="48" t="s">
        <v>34</v>
      </c>
      <c r="AN1475" s="48">
        <v>0</v>
      </c>
      <c r="AO1475" s="48">
        <v>0</v>
      </c>
      <c r="AP1475" s="48">
        <v>0</v>
      </c>
      <c r="AQ1475" s="48">
        <v>0</v>
      </c>
      <c r="AR1475" s="48">
        <v>0</v>
      </c>
      <c r="AS1475" s="48">
        <v>0</v>
      </c>
      <c r="AT1475" s="48">
        <v>0</v>
      </c>
      <c r="AU1475" s="48">
        <v>0</v>
      </c>
      <c r="AV1475" s="48">
        <v>0</v>
      </c>
      <c r="AW1475" s="48">
        <v>0</v>
      </c>
      <c r="AX1475" s="48">
        <v>0</v>
      </c>
      <c r="AY1475" s="48">
        <v>0</v>
      </c>
      <c r="AZ1475" s="48">
        <v>0</v>
      </c>
      <c r="BA1475" s="48">
        <v>0</v>
      </c>
      <c r="BB1475" s="48">
        <v>0</v>
      </c>
    </row>
    <row r="1476" spans="1:54" x14ac:dyDescent="0.35">
      <c r="A1476" s="49">
        <v>45930</v>
      </c>
      <c r="B1476" s="48">
        <v>1</v>
      </c>
      <c r="C1476" s="50" t="s">
        <v>32</v>
      </c>
      <c r="D1476" s="48" t="s">
        <v>31</v>
      </c>
      <c r="E1476" s="48" t="s">
        <v>138</v>
      </c>
      <c r="F1476" s="48" t="s">
        <v>139</v>
      </c>
      <c r="G1476" s="49" t="s">
        <v>172</v>
      </c>
      <c r="H1476" s="48" t="s">
        <v>175</v>
      </c>
      <c r="I1476" s="48">
        <v>1</v>
      </c>
      <c r="J1476" s="48">
        <v>44</v>
      </c>
      <c r="K1476" s="48">
        <v>1</v>
      </c>
      <c r="N1476" s="48">
        <v>0</v>
      </c>
      <c r="R1476" s="49"/>
      <c r="S1476" s="49"/>
      <c r="T1476" s="49">
        <v>47269</v>
      </c>
      <c r="U1476" s="49">
        <v>47269</v>
      </c>
      <c r="V1476" s="49">
        <v>47269</v>
      </c>
      <c r="W1476" s="49">
        <v>47269</v>
      </c>
      <c r="X1476" s="48">
        <v>1</v>
      </c>
      <c r="Y1476" s="48">
        <v>1</v>
      </c>
      <c r="Z1476" s="48">
        <v>1</v>
      </c>
      <c r="AA1476" s="156">
        <v>18843.521151175722</v>
      </c>
      <c r="AF1476" s="48">
        <v>0</v>
      </c>
      <c r="AG1476" s="49" t="s">
        <v>32</v>
      </c>
      <c r="AH1476" s="48">
        <v>1</v>
      </c>
      <c r="AI1476" s="48" t="s">
        <v>33</v>
      </c>
      <c r="AJ1476" s="48" t="s">
        <v>33</v>
      </c>
      <c r="AK1476" s="48" t="s">
        <v>33</v>
      </c>
      <c r="AL1476" s="48" t="s">
        <v>34</v>
      </c>
      <c r="AN1476" s="48">
        <v>0</v>
      </c>
      <c r="AO1476" s="48">
        <v>0</v>
      </c>
      <c r="AP1476" s="48">
        <v>0</v>
      </c>
      <c r="AQ1476" s="48">
        <v>0</v>
      </c>
      <c r="AR1476" s="48">
        <v>0</v>
      </c>
      <c r="AS1476" s="48">
        <v>0</v>
      </c>
      <c r="AT1476" s="48">
        <v>0</v>
      </c>
      <c r="AU1476" s="48">
        <v>0</v>
      </c>
      <c r="AV1476" s="48">
        <v>0</v>
      </c>
      <c r="AW1476" s="48">
        <v>0</v>
      </c>
      <c r="AX1476" s="48">
        <v>0</v>
      </c>
      <c r="AY1476" s="48">
        <v>0</v>
      </c>
      <c r="AZ1476" s="48">
        <v>0</v>
      </c>
      <c r="BA1476" s="48">
        <v>0</v>
      </c>
      <c r="BB1476" s="48">
        <v>0</v>
      </c>
    </row>
    <row r="1477" spans="1:54" x14ac:dyDescent="0.35">
      <c r="A1477" s="49">
        <v>45930</v>
      </c>
      <c r="B1477" s="48">
        <v>1</v>
      </c>
      <c r="C1477" s="50" t="s">
        <v>32</v>
      </c>
      <c r="D1477" s="48" t="s">
        <v>31</v>
      </c>
      <c r="E1477" s="48" t="s">
        <v>138</v>
      </c>
      <c r="F1477" s="48" t="s">
        <v>139</v>
      </c>
      <c r="G1477" s="49" t="s">
        <v>172</v>
      </c>
      <c r="H1477" s="48" t="s">
        <v>175</v>
      </c>
      <c r="I1477" s="48">
        <v>1</v>
      </c>
      <c r="J1477" s="48">
        <v>45</v>
      </c>
      <c r="K1477" s="48">
        <v>1</v>
      </c>
      <c r="N1477" s="48">
        <v>0</v>
      </c>
      <c r="R1477" s="49"/>
      <c r="S1477" s="49"/>
      <c r="T1477" s="49">
        <v>47299</v>
      </c>
      <c r="U1477" s="49">
        <v>47299</v>
      </c>
      <c r="V1477" s="49">
        <v>47299</v>
      </c>
      <c r="W1477" s="49">
        <v>47299</v>
      </c>
      <c r="X1477" s="48">
        <v>1</v>
      </c>
      <c r="Y1477" s="48">
        <v>1</v>
      </c>
      <c r="Z1477" s="48">
        <v>1</v>
      </c>
      <c r="AA1477" s="156">
        <v>18678.425650662743</v>
      </c>
      <c r="AF1477" s="48">
        <v>0</v>
      </c>
      <c r="AG1477" s="49" t="s">
        <v>32</v>
      </c>
      <c r="AH1477" s="48">
        <v>1</v>
      </c>
      <c r="AI1477" s="48" t="s">
        <v>33</v>
      </c>
      <c r="AJ1477" s="48" t="s">
        <v>33</v>
      </c>
      <c r="AK1477" s="48" t="s">
        <v>33</v>
      </c>
      <c r="AL1477" s="48" t="s">
        <v>34</v>
      </c>
      <c r="AN1477" s="48">
        <v>0</v>
      </c>
      <c r="AO1477" s="48">
        <v>0</v>
      </c>
      <c r="AP1477" s="48">
        <v>0</v>
      </c>
      <c r="AQ1477" s="48">
        <v>0</v>
      </c>
      <c r="AR1477" s="48">
        <v>0</v>
      </c>
      <c r="AS1477" s="48">
        <v>0</v>
      </c>
      <c r="AT1477" s="48">
        <v>0</v>
      </c>
      <c r="AU1477" s="48">
        <v>0</v>
      </c>
      <c r="AV1477" s="48">
        <v>0</v>
      </c>
      <c r="AW1477" s="48">
        <v>0</v>
      </c>
      <c r="AX1477" s="48">
        <v>0</v>
      </c>
      <c r="AY1477" s="48">
        <v>0</v>
      </c>
      <c r="AZ1477" s="48">
        <v>0</v>
      </c>
      <c r="BA1477" s="48">
        <v>0</v>
      </c>
      <c r="BB1477" s="48">
        <v>0</v>
      </c>
    </row>
    <row r="1478" spans="1:54" x14ac:dyDescent="0.35">
      <c r="A1478" s="49">
        <v>45930</v>
      </c>
      <c r="B1478" s="48">
        <v>1</v>
      </c>
      <c r="C1478" s="50" t="s">
        <v>32</v>
      </c>
      <c r="D1478" s="48" t="s">
        <v>31</v>
      </c>
      <c r="E1478" s="48" t="s">
        <v>138</v>
      </c>
      <c r="F1478" s="48" t="s">
        <v>139</v>
      </c>
      <c r="G1478" s="49" t="s">
        <v>172</v>
      </c>
      <c r="H1478" s="48" t="s">
        <v>175</v>
      </c>
      <c r="I1478" s="48">
        <v>1</v>
      </c>
      <c r="J1478" s="48">
        <v>46</v>
      </c>
      <c r="K1478" s="48">
        <v>1</v>
      </c>
      <c r="N1478" s="48">
        <v>0</v>
      </c>
      <c r="R1478" s="49"/>
      <c r="S1478" s="49"/>
      <c r="T1478" s="49">
        <v>47330</v>
      </c>
      <c r="U1478" s="49">
        <v>47330</v>
      </c>
      <c r="V1478" s="49">
        <v>47330</v>
      </c>
      <c r="W1478" s="49">
        <v>47330</v>
      </c>
      <c r="X1478" s="48">
        <v>1</v>
      </c>
      <c r="Y1478" s="48">
        <v>1</v>
      </c>
      <c r="Z1478" s="48">
        <v>1</v>
      </c>
      <c r="AA1478" s="156">
        <v>18514.776616766118</v>
      </c>
      <c r="AF1478" s="48">
        <v>0</v>
      </c>
      <c r="AG1478" s="49" t="s">
        <v>32</v>
      </c>
      <c r="AH1478" s="48">
        <v>1</v>
      </c>
      <c r="AI1478" s="48" t="s">
        <v>33</v>
      </c>
      <c r="AJ1478" s="48" t="s">
        <v>33</v>
      </c>
      <c r="AK1478" s="48" t="s">
        <v>33</v>
      </c>
      <c r="AL1478" s="48" t="s">
        <v>34</v>
      </c>
      <c r="AN1478" s="48">
        <v>0</v>
      </c>
      <c r="AO1478" s="48">
        <v>0</v>
      </c>
      <c r="AP1478" s="48">
        <v>0</v>
      </c>
      <c r="AQ1478" s="48">
        <v>0</v>
      </c>
      <c r="AR1478" s="48">
        <v>0</v>
      </c>
      <c r="AS1478" s="48">
        <v>0</v>
      </c>
      <c r="AT1478" s="48">
        <v>0</v>
      </c>
      <c r="AU1478" s="48">
        <v>0</v>
      </c>
      <c r="AV1478" s="48">
        <v>0</v>
      </c>
      <c r="AW1478" s="48">
        <v>0</v>
      </c>
      <c r="AX1478" s="48">
        <v>0</v>
      </c>
      <c r="AY1478" s="48">
        <v>0</v>
      </c>
      <c r="AZ1478" s="48">
        <v>0</v>
      </c>
      <c r="BA1478" s="48">
        <v>0</v>
      </c>
      <c r="BB1478" s="48">
        <v>0</v>
      </c>
    </row>
    <row r="1479" spans="1:54" x14ac:dyDescent="0.35">
      <c r="A1479" s="49">
        <v>45930</v>
      </c>
      <c r="B1479" s="48">
        <v>1</v>
      </c>
      <c r="C1479" s="50" t="s">
        <v>32</v>
      </c>
      <c r="D1479" s="48" t="s">
        <v>31</v>
      </c>
      <c r="E1479" s="48" t="s">
        <v>138</v>
      </c>
      <c r="F1479" s="48" t="s">
        <v>139</v>
      </c>
      <c r="G1479" s="49" t="s">
        <v>172</v>
      </c>
      <c r="H1479" s="48" t="s">
        <v>175</v>
      </c>
      <c r="I1479" s="48">
        <v>1</v>
      </c>
      <c r="J1479" s="48">
        <v>47</v>
      </c>
      <c r="K1479" s="48">
        <v>1</v>
      </c>
      <c r="N1479" s="48">
        <v>0</v>
      </c>
      <c r="R1479" s="49"/>
      <c r="S1479" s="49"/>
      <c r="T1479" s="49">
        <v>47361</v>
      </c>
      <c r="U1479" s="49">
        <v>47361</v>
      </c>
      <c r="V1479" s="49">
        <v>47361</v>
      </c>
      <c r="W1479" s="49">
        <v>47361</v>
      </c>
      <c r="X1479" s="48">
        <v>1</v>
      </c>
      <c r="Y1479" s="48">
        <v>1</v>
      </c>
      <c r="Z1479" s="48">
        <v>1</v>
      </c>
      <c r="AA1479" s="156">
        <v>18352.561376423808</v>
      </c>
      <c r="AF1479" s="48">
        <v>0</v>
      </c>
      <c r="AG1479" s="49" t="s">
        <v>32</v>
      </c>
      <c r="AH1479" s="48">
        <v>1</v>
      </c>
      <c r="AI1479" s="48" t="s">
        <v>33</v>
      </c>
      <c r="AJ1479" s="48" t="s">
        <v>33</v>
      </c>
      <c r="AK1479" s="48" t="s">
        <v>33</v>
      </c>
      <c r="AL1479" s="48" t="s">
        <v>34</v>
      </c>
      <c r="AN1479" s="48">
        <v>0</v>
      </c>
      <c r="AO1479" s="48">
        <v>0</v>
      </c>
      <c r="AP1479" s="48">
        <v>0</v>
      </c>
      <c r="AQ1479" s="48">
        <v>0</v>
      </c>
      <c r="AR1479" s="48">
        <v>0</v>
      </c>
      <c r="AS1479" s="48">
        <v>0</v>
      </c>
      <c r="AT1479" s="48">
        <v>0</v>
      </c>
      <c r="AU1479" s="48">
        <v>0</v>
      </c>
      <c r="AV1479" s="48">
        <v>0</v>
      </c>
      <c r="AW1479" s="48">
        <v>0</v>
      </c>
      <c r="AX1479" s="48">
        <v>0</v>
      </c>
      <c r="AY1479" s="48">
        <v>0</v>
      </c>
      <c r="AZ1479" s="48">
        <v>0</v>
      </c>
      <c r="BA1479" s="48">
        <v>0</v>
      </c>
      <c r="BB1479" s="48">
        <v>0</v>
      </c>
    </row>
    <row r="1480" spans="1:54" x14ac:dyDescent="0.35">
      <c r="A1480" s="49">
        <v>45930</v>
      </c>
      <c r="B1480" s="48">
        <v>1</v>
      </c>
      <c r="C1480" s="50" t="s">
        <v>32</v>
      </c>
      <c r="D1480" s="48" t="s">
        <v>31</v>
      </c>
      <c r="E1480" s="48" t="s">
        <v>138</v>
      </c>
      <c r="F1480" s="48" t="s">
        <v>139</v>
      </c>
      <c r="G1480" s="49" t="s">
        <v>172</v>
      </c>
      <c r="H1480" s="48" t="s">
        <v>175</v>
      </c>
      <c r="I1480" s="48">
        <v>1</v>
      </c>
      <c r="J1480" s="48">
        <v>48</v>
      </c>
      <c r="K1480" s="48">
        <v>1</v>
      </c>
      <c r="N1480" s="48">
        <v>0</v>
      </c>
      <c r="R1480" s="49"/>
      <c r="S1480" s="49"/>
      <c r="T1480" s="49">
        <v>47391</v>
      </c>
      <c r="U1480" s="49">
        <v>47391</v>
      </c>
      <c r="V1480" s="49">
        <v>47391</v>
      </c>
      <c r="W1480" s="49">
        <v>47391</v>
      </c>
      <c r="X1480" s="48">
        <v>1</v>
      </c>
      <c r="Y1480" s="48">
        <v>1</v>
      </c>
      <c r="Z1480" s="48">
        <v>1</v>
      </c>
      <c r="AA1480" s="156">
        <v>18191.767367606051</v>
      </c>
      <c r="AF1480" s="48">
        <v>0</v>
      </c>
      <c r="AG1480" s="49" t="s">
        <v>32</v>
      </c>
      <c r="AH1480" s="48">
        <v>1</v>
      </c>
      <c r="AI1480" s="48" t="s">
        <v>33</v>
      </c>
      <c r="AJ1480" s="48" t="s">
        <v>33</v>
      </c>
      <c r="AK1480" s="48" t="s">
        <v>33</v>
      </c>
      <c r="AL1480" s="48" t="s">
        <v>34</v>
      </c>
      <c r="AN1480" s="48">
        <v>0</v>
      </c>
      <c r="AO1480" s="48">
        <v>0</v>
      </c>
      <c r="AP1480" s="48">
        <v>0</v>
      </c>
      <c r="AQ1480" s="48">
        <v>0</v>
      </c>
      <c r="AR1480" s="48">
        <v>0</v>
      </c>
      <c r="AS1480" s="48">
        <v>0</v>
      </c>
      <c r="AT1480" s="48">
        <v>0</v>
      </c>
      <c r="AU1480" s="48">
        <v>0</v>
      </c>
      <c r="AV1480" s="48">
        <v>0</v>
      </c>
      <c r="AW1480" s="48">
        <v>0</v>
      </c>
      <c r="AX1480" s="48">
        <v>0</v>
      </c>
      <c r="AY1480" s="48">
        <v>0</v>
      </c>
      <c r="AZ1480" s="48">
        <v>0</v>
      </c>
      <c r="BA1480" s="48">
        <v>0</v>
      </c>
      <c r="BB1480" s="48">
        <v>0</v>
      </c>
    </row>
    <row r="1481" spans="1:54" x14ac:dyDescent="0.35">
      <c r="A1481" s="49">
        <v>45930</v>
      </c>
      <c r="B1481" s="48">
        <v>1</v>
      </c>
      <c r="C1481" s="50" t="s">
        <v>32</v>
      </c>
      <c r="D1481" s="48" t="s">
        <v>31</v>
      </c>
      <c r="E1481" s="48" t="s">
        <v>138</v>
      </c>
      <c r="F1481" s="48" t="s">
        <v>139</v>
      </c>
      <c r="G1481" s="49" t="s">
        <v>172</v>
      </c>
      <c r="H1481" s="48" t="s">
        <v>175</v>
      </c>
      <c r="I1481" s="48">
        <v>1</v>
      </c>
      <c r="J1481" s="48">
        <v>49</v>
      </c>
      <c r="K1481" s="48">
        <v>1</v>
      </c>
      <c r="N1481" s="48">
        <v>0</v>
      </c>
      <c r="R1481" s="49"/>
      <c r="S1481" s="49"/>
      <c r="T1481" s="49">
        <v>47422</v>
      </c>
      <c r="U1481" s="49">
        <v>47422</v>
      </c>
      <c r="V1481" s="49">
        <v>47422</v>
      </c>
      <c r="W1481" s="49">
        <v>47422</v>
      </c>
      <c r="X1481" s="48">
        <v>1</v>
      </c>
      <c r="Y1481" s="48">
        <v>1</v>
      </c>
      <c r="Z1481" s="48">
        <v>1</v>
      </c>
      <c r="AA1481" s="156">
        <v>18032.382138344692</v>
      </c>
      <c r="AF1481" s="48">
        <v>0</v>
      </c>
      <c r="AG1481" s="49" t="s">
        <v>32</v>
      </c>
      <c r="AH1481" s="48">
        <v>1</v>
      </c>
      <c r="AI1481" s="48" t="s">
        <v>33</v>
      </c>
      <c r="AJ1481" s="48" t="s">
        <v>33</v>
      </c>
      <c r="AK1481" s="48" t="s">
        <v>33</v>
      </c>
      <c r="AL1481" s="48" t="s">
        <v>34</v>
      </c>
      <c r="AN1481" s="48">
        <v>0</v>
      </c>
      <c r="AO1481" s="48">
        <v>0</v>
      </c>
      <c r="AP1481" s="48">
        <v>0</v>
      </c>
      <c r="AQ1481" s="48">
        <v>0</v>
      </c>
      <c r="AR1481" s="48">
        <v>0</v>
      </c>
      <c r="AS1481" s="48">
        <v>0</v>
      </c>
      <c r="AT1481" s="48">
        <v>0</v>
      </c>
      <c r="AU1481" s="48">
        <v>0</v>
      </c>
      <c r="AV1481" s="48">
        <v>0</v>
      </c>
      <c r="AW1481" s="48">
        <v>0</v>
      </c>
      <c r="AX1481" s="48">
        <v>0</v>
      </c>
      <c r="AY1481" s="48">
        <v>0</v>
      </c>
      <c r="AZ1481" s="48">
        <v>0</v>
      </c>
      <c r="BA1481" s="48">
        <v>0</v>
      </c>
      <c r="BB1481" s="48">
        <v>0</v>
      </c>
    </row>
    <row r="1482" spans="1:54" x14ac:dyDescent="0.35">
      <c r="A1482" s="49">
        <v>45930</v>
      </c>
      <c r="B1482" s="48">
        <v>1</v>
      </c>
      <c r="C1482" s="50" t="s">
        <v>32</v>
      </c>
      <c r="D1482" s="48" t="s">
        <v>31</v>
      </c>
      <c r="E1482" s="48" t="s">
        <v>138</v>
      </c>
      <c r="F1482" s="48" t="s">
        <v>139</v>
      </c>
      <c r="G1482" s="49" t="s">
        <v>172</v>
      </c>
      <c r="H1482" s="48" t="s">
        <v>175</v>
      </c>
      <c r="I1482" s="48">
        <v>1</v>
      </c>
      <c r="J1482" s="48">
        <v>50</v>
      </c>
      <c r="K1482" s="48">
        <v>1</v>
      </c>
      <c r="N1482" s="48">
        <v>0</v>
      </c>
      <c r="R1482" s="49"/>
      <c r="S1482" s="49"/>
      <c r="T1482" s="49">
        <v>47452</v>
      </c>
      <c r="U1482" s="49">
        <v>47452</v>
      </c>
      <c r="V1482" s="49">
        <v>47452</v>
      </c>
      <c r="W1482" s="49">
        <v>47452</v>
      </c>
      <c r="X1482" s="48">
        <v>1</v>
      </c>
      <c r="Y1482" s="48">
        <v>1</v>
      </c>
      <c r="Z1482" s="48">
        <v>1</v>
      </c>
      <c r="AA1482" s="156">
        <v>17874.393345767399</v>
      </c>
      <c r="AF1482" s="48">
        <v>0</v>
      </c>
      <c r="AG1482" s="49" t="s">
        <v>32</v>
      </c>
      <c r="AH1482" s="48">
        <v>1</v>
      </c>
      <c r="AI1482" s="48" t="s">
        <v>33</v>
      </c>
      <c r="AJ1482" s="48" t="s">
        <v>33</v>
      </c>
      <c r="AK1482" s="48" t="s">
        <v>33</v>
      </c>
      <c r="AL1482" s="48" t="s">
        <v>34</v>
      </c>
      <c r="AN1482" s="48">
        <v>0</v>
      </c>
      <c r="AO1482" s="48">
        <v>0</v>
      </c>
      <c r="AP1482" s="48">
        <v>0</v>
      </c>
      <c r="AQ1482" s="48">
        <v>0</v>
      </c>
      <c r="AR1482" s="48">
        <v>0</v>
      </c>
      <c r="AS1482" s="48">
        <v>0</v>
      </c>
      <c r="AT1482" s="48">
        <v>0</v>
      </c>
      <c r="AU1482" s="48">
        <v>0</v>
      </c>
      <c r="AV1482" s="48">
        <v>0</v>
      </c>
      <c r="AW1482" s="48">
        <v>0</v>
      </c>
      <c r="AX1482" s="48">
        <v>0</v>
      </c>
      <c r="AY1482" s="48">
        <v>0</v>
      </c>
      <c r="AZ1482" s="48">
        <v>0</v>
      </c>
      <c r="BA1482" s="48">
        <v>0</v>
      </c>
      <c r="BB1482" s="48">
        <v>0</v>
      </c>
    </row>
    <row r="1483" spans="1:54" x14ac:dyDescent="0.35">
      <c r="A1483" s="49">
        <v>45930</v>
      </c>
      <c r="B1483" s="48">
        <v>1</v>
      </c>
      <c r="C1483" s="50" t="s">
        <v>32</v>
      </c>
      <c r="D1483" s="48" t="s">
        <v>31</v>
      </c>
      <c r="E1483" s="48" t="s">
        <v>138</v>
      </c>
      <c r="F1483" s="48" t="s">
        <v>139</v>
      </c>
      <c r="G1483" s="49" t="s">
        <v>172</v>
      </c>
      <c r="H1483" s="48" t="s">
        <v>175</v>
      </c>
      <c r="I1483" s="48">
        <v>1</v>
      </c>
      <c r="J1483" s="48">
        <v>51</v>
      </c>
      <c r="K1483" s="48">
        <v>1</v>
      </c>
      <c r="N1483" s="48">
        <v>0</v>
      </c>
      <c r="R1483" s="49"/>
      <c r="S1483" s="49"/>
      <c r="T1483" s="49">
        <v>47483</v>
      </c>
      <c r="U1483" s="49">
        <v>47483</v>
      </c>
      <c r="V1483" s="49">
        <v>47483</v>
      </c>
      <c r="W1483" s="49">
        <v>47483</v>
      </c>
      <c r="X1483" s="48">
        <v>1</v>
      </c>
      <c r="Y1483" s="48">
        <v>1</v>
      </c>
      <c r="Z1483" s="48">
        <v>1</v>
      </c>
      <c r="AA1483" s="156">
        <v>17717.788755144225</v>
      </c>
      <c r="AF1483" s="48">
        <v>0</v>
      </c>
      <c r="AG1483" s="49" t="s">
        <v>32</v>
      </c>
      <c r="AH1483" s="48">
        <v>1</v>
      </c>
      <c r="AI1483" s="48" t="s">
        <v>33</v>
      </c>
      <c r="AJ1483" s="48" t="s">
        <v>33</v>
      </c>
      <c r="AK1483" s="48" t="s">
        <v>33</v>
      </c>
      <c r="AL1483" s="48" t="s">
        <v>34</v>
      </c>
      <c r="AN1483" s="48">
        <v>0</v>
      </c>
      <c r="AO1483" s="48">
        <v>0</v>
      </c>
      <c r="AP1483" s="48">
        <v>0</v>
      </c>
      <c r="AQ1483" s="48">
        <v>0</v>
      </c>
      <c r="AR1483" s="48">
        <v>0</v>
      </c>
      <c r="AS1483" s="48">
        <v>0</v>
      </c>
      <c r="AT1483" s="48">
        <v>0</v>
      </c>
      <c r="AU1483" s="48">
        <v>0</v>
      </c>
      <c r="AV1483" s="48">
        <v>0</v>
      </c>
      <c r="AW1483" s="48">
        <v>0</v>
      </c>
      <c r="AX1483" s="48">
        <v>0</v>
      </c>
      <c r="AY1483" s="48">
        <v>0</v>
      </c>
      <c r="AZ1483" s="48">
        <v>0</v>
      </c>
      <c r="BA1483" s="48">
        <v>0</v>
      </c>
      <c r="BB1483" s="48">
        <v>0</v>
      </c>
    </row>
    <row r="1484" spans="1:54" x14ac:dyDescent="0.35">
      <c r="A1484" s="49">
        <v>45930</v>
      </c>
      <c r="B1484" s="48">
        <v>1</v>
      </c>
      <c r="C1484" s="50" t="s">
        <v>32</v>
      </c>
      <c r="D1484" s="48" t="s">
        <v>31</v>
      </c>
      <c r="E1484" s="48" t="s">
        <v>138</v>
      </c>
      <c r="F1484" s="48" t="s">
        <v>139</v>
      </c>
      <c r="G1484" s="49" t="s">
        <v>172</v>
      </c>
      <c r="H1484" s="48" t="s">
        <v>175</v>
      </c>
      <c r="I1484" s="48">
        <v>1</v>
      </c>
      <c r="J1484" s="48">
        <v>52</v>
      </c>
      <c r="K1484" s="48">
        <v>1</v>
      </c>
      <c r="N1484" s="48">
        <v>0</v>
      </c>
      <c r="R1484" s="49"/>
      <c r="S1484" s="49"/>
      <c r="T1484" s="49">
        <v>47514</v>
      </c>
      <c r="U1484" s="49">
        <v>47514</v>
      </c>
      <c r="V1484" s="49">
        <v>47514</v>
      </c>
      <c r="W1484" s="49">
        <v>47514</v>
      </c>
      <c r="X1484" s="48">
        <v>1</v>
      </c>
      <c r="Y1484" s="48">
        <v>1</v>
      </c>
      <c r="Z1484" s="48">
        <v>1</v>
      </c>
      <c r="AA1484" s="156">
        <v>17562.556238935562</v>
      </c>
      <c r="AF1484" s="48">
        <v>0</v>
      </c>
      <c r="AG1484" s="49" t="s">
        <v>32</v>
      </c>
      <c r="AH1484" s="48">
        <v>1</v>
      </c>
      <c r="AI1484" s="48" t="s">
        <v>33</v>
      </c>
      <c r="AJ1484" s="48" t="s">
        <v>33</v>
      </c>
      <c r="AK1484" s="48" t="s">
        <v>33</v>
      </c>
      <c r="AL1484" s="48" t="s">
        <v>34</v>
      </c>
      <c r="AN1484" s="48">
        <v>0</v>
      </c>
      <c r="AO1484" s="48">
        <v>0</v>
      </c>
      <c r="AP1484" s="48">
        <v>0</v>
      </c>
      <c r="AQ1484" s="48">
        <v>0</v>
      </c>
      <c r="AR1484" s="48">
        <v>0</v>
      </c>
      <c r="AS1484" s="48">
        <v>0</v>
      </c>
      <c r="AT1484" s="48">
        <v>0</v>
      </c>
      <c r="AU1484" s="48">
        <v>0</v>
      </c>
      <c r="AV1484" s="48">
        <v>0</v>
      </c>
      <c r="AW1484" s="48">
        <v>0</v>
      </c>
      <c r="AX1484" s="48">
        <v>0</v>
      </c>
      <c r="AY1484" s="48">
        <v>0</v>
      </c>
      <c r="AZ1484" s="48">
        <v>0</v>
      </c>
      <c r="BA1484" s="48">
        <v>0</v>
      </c>
      <c r="BB1484" s="48">
        <v>0</v>
      </c>
    </row>
    <row r="1485" spans="1:54" x14ac:dyDescent="0.35">
      <c r="A1485" s="49">
        <v>45930</v>
      </c>
      <c r="B1485" s="48">
        <v>1</v>
      </c>
      <c r="C1485" s="50" t="s">
        <v>32</v>
      </c>
      <c r="D1485" s="48" t="s">
        <v>31</v>
      </c>
      <c r="E1485" s="48" t="s">
        <v>138</v>
      </c>
      <c r="F1485" s="48" t="s">
        <v>139</v>
      </c>
      <c r="G1485" s="49" t="s">
        <v>172</v>
      </c>
      <c r="H1485" s="48" t="s">
        <v>175</v>
      </c>
      <c r="I1485" s="48">
        <v>1</v>
      </c>
      <c r="J1485" s="48">
        <v>53</v>
      </c>
      <c r="K1485" s="48">
        <v>1</v>
      </c>
      <c r="N1485" s="48">
        <v>0</v>
      </c>
      <c r="R1485" s="49"/>
      <c r="S1485" s="49"/>
      <c r="T1485" s="49">
        <v>47542</v>
      </c>
      <c r="U1485" s="49">
        <v>47542</v>
      </c>
      <c r="V1485" s="49">
        <v>47542</v>
      </c>
      <c r="W1485" s="49">
        <v>47542</v>
      </c>
      <c r="X1485" s="48">
        <v>1</v>
      </c>
      <c r="Y1485" s="48">
        <v>1</v>
      </c>
      <c r="Z1485" s="48">
        <v>1</v>
      </c>
      <c r="AA1485" s="156">
        <v>17408.683775859652</v>
      </c>
      <c r="AF1485" s="48">
        <v>0</v>
      </c>
      <c r="AG1485" s="49" t="s">
        <v>32</v>
      </c>
      <c r="AH1485" s="48">
        <v>1</v>
      </c>
      <c r="AI1485" s="48" t="s">
        <v>33</v>
      </c>
      <c r="AJ1485" s="48" t="s">
        <v>33</v>
      </c>
      <c r="AK1485" s="48" t="s">
        <v>33</v>
      </c>
      <c r="AL1485" s="48" t="s">
        <v>34</v>
      </c>
      <c r="AN1485" s="48">
        <v>0</v>
      </c>
      <c r="AO1485" s="48">
        <v>0</v>
      </c>
      <c r="AP1485" s="48">
        <v>0</v>
      </c>
      <c r="AQ1485" s="48">
        <v>0</v>
      </c>
      <c r="AR1485" s="48">
        <v>0</v>
      </c>
      <c r="AS1485" s="48">
        <v>0</v>
      </c>
      <c r="AT1485" s="48">
        <v>0</v>
      </c>
      <c r="AU1485" s="48">
        <v>0</v>
      </c>
      <c r="AV1485" s="48">
        <v>0</v>
      </c>
      <c r="AW1485" s="48">
        <v>0</v>
      </c>
      <c r="AX1485" s="48">
        <v>0</v>
      </c>
      <c r="AY1485" s="48">
        <v>0</v>
      </c>
      <c r="AZ1485" s="48">
        <v>0</v>
      </c>
      <c r="BA1485" s="48">
        <v>0</v>
      </c>
      <c r="BB1485" s="48">
        <v>0</v>
      </c>
    </row>
    <row r="1486" spans="1:54" x14ac:dyDescent="0.35">
      <c r="A1486" s="49">
        <v>45930</v>
      </c>
      <c r="B1486" s="48">
        <v>1</v>
      </c>
      <c r="C1486" s="50" t="s">
        <v>32</v>
      </c>
      <c r="D1486" s="48" t="s">
        <v>31</v>
      </c>
      <c r="E1486" s="48" t="s">
        <v>138</v>
      </c>
      <c r="F1486" s="48" t="s">
        <v>139</v>
      </c>
      <c r="G1486" s="49" t="s">
        <v>172</v>
      </c>
      <c r="H1486" s="48" t="s">
        <v>175</v>
      </c>
      <c r="I1486" s="48">
        <v>1</v>
      </c>
      <c r="J1486" s="48">
        <v>54</v>
      </c>
      <c r="K1486" s="48">
        <v>1</v>
      </c>
      <c r="N1486" s="48">
        <v>0</v>
      </c>
      <c r="R1486" s="49"/>
      <c r="S1486" s="49"/>
      <c r="T1486" s="49">
        <v>47573</v>
      </c>
      <c r="U1486" s="49">
        <v>47573</v>
      </c>
      <c r="V1486" s="49">
        <v>47573</v>
      </c>
      <c r="W1486" s="49">
        <v>47573</v>
      </c>
      <c r="X1486" s="48">
        <v>1</v>
      </c>
      <c r="Y1486" s="48">
        <v>1</v>
      </c>
      <c r="Z1486" s="48">
        <v>1</v>
      </c>
      <c r="AA1486" s="156">
        <v>17256.159449955449</v>
      </c>
      <c r="AF1486" s="48">
        <v>0</v>
      </c>
      <c r="AG1486" s="49" t="s">
        <v>32</v>
      </c>
      <c r="AH1486" s="48">
        <v>1</v>
      </c>
      <c r="AI1486" s="48" t="s">
        <v>33</v>
      </c>
      <c r="AJ1486" s="48" t="s">
        <v>33</v>
      </c>
      <c r="AK1486" s="48" t="s">
        <v>33</v>
      </c>
      <c r="AL1486" s="48" t="s">
        <v>34</v>
      </c>
      <c r="AN1486" s="48">
        <v>0</v>
      </c>
      <c r="AO1486" s="48">
        <v>0</v>
      </c>
      <c r="AP1486" s="48">
        <v>0</v>
      </c>
      <c r="AQ1486" s="48">
        <v>0</v>
      </c>
      <c r="AR1486" s="48">
        <v>0</v>
      </c>
      <c r="AS1486" s="48">
        <v>0</v>
      </c>
      <c r="AT1486" s="48">
        <v>0</v>
      </c>
      <c r="AU1486" s="48">
        <v>0</v>
      </c>
      <c r="AV1486" s="48">
        <v>0</v>
      </c>
      <c r="AW1486" s="48">
        <v>0</v>
      </c>
      <c r="AX1486" s="48">
        <v>0</v>
      </c>
      <c r="AY1486" s="48">
        <v>0</v>
      </c>
      <c r="AZ1486" s="48">
        <v>0</v>
      </c>
      <c r="BA1486" s="48">
        <v>0</v>
      </c>
      <c r="BB1486" s="48">
        <v>0</v>
      </c>
    </row>
    <row r="1487" spans="1:54" x14ac:dyDescent="0.35">
      <c r="A1487" s="49">
        <v>45930</v>
      </c>
      <c r="B1487" s="48">
        <v>1</v>
      </c>
      <c r="C1487" s="50" t="s">
        <v>32</v>
      </c>
      <c r="D1487" s="48" t="s">
        <v>31</v>
      </c>
      <c r="E1487" s="48" t="s">
        <v>138</v>
      </c>
      <c r="F1487" s="48" t="s">
        <v>139</v>
      </c>
      <c r="G1487" s="49" t="s">
        <v>172</v>
      </c>
      <c r="H1487" s="48" t="s">
        <v>175</v>
      </c>
      <c r="I1487" s="48">
        <v>1</v>
      </c>
      <c r="J1487" s="48">
        <v>55</v>
      </c>
      <c r="K1487" s="48">
        <v>1</v>
      </c>
      <c r="N1487" s="48">
        <v>0</v>
      </c>
      <c r="R1487" s="49"/>
      <c r="S1487" s="49"/>
      <c r="T1487" s="49">
        <v>47603</v>
      </c>
      <c r="U1487" s="49">
        <v>47603</v>
      </c>
      <c r="V1487" s="49">
        <v>47603</v>
      </c>
      <c r="W1487" s="49">
        <v>47603</v>
      </c>
      <c r="X1487" s="48">
        <v>1</v>
      </c>
      <c r="Y1487" s="48">
        <v>1</v>
      </c>
      <c r="Z1487" s="48">
        <v>1</v>
      </c>
      <c r="AA1487" s="156">
        <v>17104.971449662</v>
      </c>
      <c r="AF1487" s="48">
        <v>0</v>
      </c>
      <c r="AG1487" s="49" t="s">
        <v>32</v>
      </c>
      <c r="AH1487" s="48">
        <v>1</v>
      </c>
      <c r="AI1487" s="48" t="s">
        <v>33</v>
      </c>
      <c r="AJ1487" s="48" t="s">
        <v>33</v>
      </c>
      <c r="AK1487" s="48" t="s">
        <v>33</v>
      </c>
      <c r="AL1487" s="48" t="s">
        <v>34</v>
      </c>
      <c r="AN1487" s="48">
        <v>0</v>
      </c>
      <c r="AO1487" s="48">
        <v>0</v>
      </c>
      <c r="AP1487" s="48">
        <v>0</v>
      </c>
      <c r="AQ1487" s="48">
        <v>0</v>
      </c>
      <c r="AR1487" s="48">
        <v>0</v>
      </c>
      <c r="AS1487" s="48">
        <v>0</v>
      </c>
      <c r="AT1487" s="48">
        <v>0</v>
      </c>
      <c r="AU1487" s="48">
        <v>0</v>
      </c>
      <c r="AV1487" s="48">
        <v>0</v>
      </c>
      <c r="AW1487" s="48">
        <v>0</v>
      </c>
      <c r="AX1487" s="48">
        <v>0</v>
      </c>
      <c r="AY1487" s="48">
        <v>0</v>
      </c>
      <c r="AZ1487" s="48">
        <v>0</v>
      </c>
      <c r="BA1487" s="48">
        <v>0</v>
      </c>
      <c r="BB1487" s="48">
        <v>0</v>
      </c>
    </row>
    <row r="1488" spans="1:54" x14ac:dyDescent="0.35">
      <c r="A1488" s="49">
        <v>45930</v>
      </c>
      <c r="B1488" s="48">
        <v>1</v>
      </c>
      <c r="C1488" s="50" t="s">
        <v>32</v>
      </c>
      <c r="D1488" s="48" t="s">
        <v>31</v>
      </c>
      <c r="E1488" s="48" t="s">
        <v>138</v>
      </c>
      <c r="F1488" s="48" t="s">
        <v>139</v>
      </c>
      <c r="G1488" s="49" t="s">
        <v>172</v>
      </c>
      <c r="H1488" s="48" t="s">
        <v>175</v>
      </c>
      <c r="I1488" s="48">
        <v>1</v>
      </c>
      <c r="J1488" s="48">
        <v>56</v>
      </c>
      <c r="K1488" s="48">
        <v>1</v>
      </c>
      <c r="N1488" s="48">
        <v>0</v>
      </c>
      <c r="R1488" s="49"/>
      <c r="S1488" s="49"/>
      <c r="T1488" s="49">
        <v>47634</v>
      </c>
      <c r="U1488" s="49">
        <v>47634</v>
      </c>
      <c r="V1488" s="49">
        <v>47634</v>
      </c>
      <c r="W1488" s="49">
        <v>47634</v>
      </c>
      <c r="X1488" s="48">
        <v>1</v>
      </c>
      <c r="Y1488" s="48">
        <v>1</v>
      </c>
      <c r="Z1488" s="48">
        <v>1</v>
      </c>
      <c r="AA1488" s="156">
        <v>16955.108066906454</v>
      </c>
      <c r="AF1488" s="48">
        <v>0</v>
      </c>
      <c r="AG1488" s="49" t="s">
        <v>32</v>
      </c>
      <c r="AH1488" s="48">
        <v>1</v>
      </c>
      <c r="AI1488" s="48" t="s">
        <v>33</v>
      </c>
      <c r="AJ1488" s="48" t="s">
        <v>33</v>
      </c>
      <c r="AK1488" s="48" t="s">
        <v>33</v>
      </c>
      <c r="AL1488" s="48" t="s">
        <v>34</v>
      </c>
      <c r="AN1488" s="48">
        <v>0</v>
      </c>
      <c r="AO1488" s="48">
        <v>0</v>
      </c>
      <c r="AP1488" s="48">
        <v>0</v>
      </c>
      <c r="AQ1488" s="48">
        <v>0</v>
      </c>
      <c r="AR1488" s="48">
        <v>0</v>
      </c>
      <c r="AS1488" s="48">
        <v>0</v>
      </c>
      <c r="AT1488" s="48">
        <v>0</v>
      </c>
      <c r="AU1488" s="48">
        <v>0</v>
      </c>
      <c r="AV1488" s="48">
        <v>0</v>
      </c>
      <c r="AW1488" s="48">
        <v>0</v>
      </c>
      <c r="AX1488" s="48">
        <v>0</v>
      </c>
      <c r="AY1488" s="48">
        <v>0</v>
      </c>
      <c r="AZ1488" s="48">
        <v>0</v>
      </c>
      <c r="BA1488" s="48">
        <v>0</v>
      </c>
      <c r="BB1488" s="48">
        <v>0</v>
      </c>
    </row>
    <row r="1489" spans="1:54" x14ac:dyDescent="0.35">
      <c r="A1489" s="49">
        <v>45930</v>
      </c>
      <c r="B1489" s="48">
        <v>1</v>
      </c>
      <c r="C1489" s="50" t="s">
        <v>32</v>
      </c>
      <c r="D1489" s="48" t="s">
        <v>31</v>
      </c>
      <c r="E1489" s="48" t="s">
        <v>138</v>
      </c>
      <c r="F1489" s="48" t="s">
        <v>139</v>
      </c>
      <c r="G1489" s="49" t="s">
        <v>172</v>
      </c>
      <c r="H1489" s="48" t="s">
        <v>175</v>
      </c>
      <c r="I1489" s="48">
        <v>1</v>
      </c>
      <c r="J1489" s="48">
        <v>57</v>
      </c>
      <c r="K1489" s="48">
        <v>1</v>
      </c>
      <c r="N1489" s="48">
        <v>0</v>
      </c>
      <c r="R1489" s="49"/>
      <c r="S1489" s="49"/>
      <c r="T1489" s="49">
        <v>47664</v>
      </c>
      <c r="U1489" s="49">
        <v>47664</v>
      </c>
      <c r="V1489" s="49">
        <v>47664</v>
      </c>
      <c r="W1489" s="49">
        <v>47664</v>
      </c>
      <c r="X1489" s="48">
        <v>1</v>
      </c>
      <c r="Y1489" s="48">
        <v>1</v>
      </c>
      <c r="Z1489" s="48">
        <v>1</v>
      </c>
      <c r="AA1489" s="156">
        <v>16806.557696192525</v>
      </c>
      <c r="AF1489" s="48">
        <v>0</v>
      </c>
      <c r="AG1489" s="49" t="s">
        <v>32</v>
      </c>
      <c r="AH1489" s="48">
        <v>1</v>
      </c>
      <c r="AI1489" s="48" t="s">
        <v>33</v>
      </c>
      <c r="AJ1489" s="48" t="s">
        <v>33</v>
      </c>
      <c r="AK1489" s="48" t="s">
        <v>33</v>
      </c>
      <c r="AL1489" s="48" t="s">
        <v>34</v>
      </c>
      <c r="AN1489" s="48">
        <v>0</v>
      </c>
      <c r="AO1489" s="48">
        <v>0</v>
      </c>
      <c r="AP1489" s="48">
        <v>0</v>
      </c>
      <c r="AQ1489" s="48">
        <v>0</v>
      </c>
      <c r="AR1489" s="48">
        <v>0</v>
      </c>
      <c r="AS1489" s="48">
        <v>0</v>
      </c>
      <c r="AT1489" s="48">
        <v>0</v>
      </c>
      <c r="AU1489" s="48">
        <v>0</v>
      </c>
      <c r="AV1489" s="48">
        <v>0</v>
      </c>
      <c r="AW1489" s="48">
        <v>0</v>
      </c>
      <c r="AX1489" s="48">
        <v>0</v>
      </c>
      <c r="AY1489" s="48">
        <v>0</v>
      </c>
      <c r="AZ1489" s="48">
        <v>0</v>
      </c>
      <c r="BA1489" s="48">
        <v>0</v>
      </c>
      <c r="BB1489" s="48">
        <v>0</v>
      </c>
    </row>
    <row r="1490" spans="1:54" x14ac:dyDescent="0.35">
      <c r="A1490" s="49">
        <v>45930</v>
      </c>
      <c r="B1490" s="48">
        <v>1</v>
      </c>
      <c r="C1490" s="50" t="s">
        <v>32</v>
      </c>
      <c r="D1490" s="48" t="s">
        <v>31</v>
      </c>
      <c r="E1490" s="48" t="s">
        <v>138</v>
      </c>
      <c r="F1490" s="48" t="s">
        <v>139</v>
      </c>
      <c r="G1490" s="49" t="s">
        <v>172</v>
      </c>
      <c r="H1490" s="48" t="s">
        <v>175</v>
      </c>
      <c r="I1490" s="48">
        <v>1</v>
      </c>
      <c r="J1490" s="48">
        <v>58</v>
      </c>
      <c r="K1490" s="48">
        <v>1</v>
      </c>
      <c r="N1490" s="48">
        <v>0</v>
      </c>
      <c r="R1490" s="49"/>
      <c r="S1490" s="49"/>
      <c r="T1490" s="49">
        <v>47695</v>
      </c>
      <c r="U1490" s="49">
        <v>47695</v>
      </c>
      <c r="V1490" s="49">
        <v>47695</v>
      </c>
      <c r="W1490" s="49">
        <v>47695</v>
      </c>
      <c r="X1490" s="48">
        <v>1</v>
      </c>
      <c r="Y1490" s="48">
        <v>1</v>
      </c>
      <c r="Z1490" s="48">
        <v>1</v>
      </c>
      <c r="AA1490" s="156">
        <v>16659.30883370596</v>
      </c>
      <c r="AF1490" s="48">
        <v>0</v>
      </c>
      <c r="AG1490" s="49" t="s">
        <v>32</v>
      </c>
      <c r="AH1490" s="48">
        <v>1</v>
      </c>
      <c r="AI1490" s="48" t="s">
        <v>33</v>
      </c>
      <c r="AJ1490" s="48" t="s">
        <v>33</v>
      </c>
      <c r="AK1490" s="48" t="s">
        <v>33</v>
      </c>
      <c r="AL1490" s="48" t="s">
        <v>34</v>
      </c>
      <c r="AN1490" s="48">
        <v>0</v>
      </c>
      <c r="AO1490" s="48">
        <v>0</v>
      </c>
      <c r="AP1490" s="48">
        <v>0</v>
      </c>
      <c r="AQ1490" s="48">
        <v>0</v>
      </c>
      <c r="AR1490" s="48">
        <v>0</v>
      </c>
      <c r="AS1490" s="48">
        <v>0</v>
      </c>
      <c r="AT1490" s="48">
        <v>0</v>
      </c>
      <c r="AU1490" s="48">
        <v>0</v>
      </c>
      <c r="AV1490" s="48">
        <v>0</v>
      </c>
      <c r="AW1490" s="48">
        <v>0</v>
      </c>
      <c r="AX1490" s="48">
        <v>0</v>
      </c>
      <c r="AY1490" s="48">
        <v>0</v>
      </c>
      <c r="AZ1490" s="48">
        <v>0</v>
      </c>
      <c r="BA1490" s="48">
        <v>0</v>
      </c>
      <c r="BB1490" s="48">
        <v>0</v>
      </c>
    </row>
    <row r="1491" spans="1:54" x14ac:dyDescent="0.35">
      <c r="A1491" s="49">
        <v>45930</v>
      </c>
      <c r="B1491" s="48">
        <v>1</v>
      </c>
      <c r="C1491" s="50" t="s">
        <v>32</v>
      </c>
      <c r="D1491" s="48" t="s">
        <v>31</v>
      </c>
      <c r="E1491" s="48" t="s">
        <v>138</v>
      </c>
      <c r="F1491" s="48" t="s">
        <v>139</v>
      </c>
      <c r="G1491" s="49" t="s">
        <v>172</v>
      </c>
      <c r="H1491" s="48" t="s">
        <v>175</v>
      </c>
      <c r="I1491" s="48">
        <v>1</v>
      </c>
      <c r="J1491" s="48">
        <v>59</v>
      </c>
      <c r="K1491" s="48">
        <v>1</v>
      </c>
      <c r="N1491" s="48">
        <v>0</v>
      </c>
      <c r="R1491" s="49"/>
      <c r="S1491" s="49"/>
      <c r="T1491" s="49">
        <v>47726</v>
      </c>
      <c r="U1491" s="49">
        <v>47726</v>
      </c>
      <c r="V1491" s="49">
        <v>47726</v>
      </c>
      <c r="W1491" s="49">
        <v>47726</v>
      </c>
      <c r="X1491" s="48">
        <v>1</v>
      </c>
      <c r="Y1491" s="48">
        <v>1</v>
      </c>
      <c r="Z1491" s="48">
        <v>1</v>
      </c>
      <c r="AA1491" s="156">
        <v>16513.350076420465</v>
      </c>
      <c r="AF1491" s="48">
        <v>0</v>
      </c>
      <c r="AG1491" s="49" t="s">
        <v>32</v>
      </c>
      <c r="AH1491" s="48">
        <v>1</v>
      </c>
      <c r="AI1491" s="48" t="s">
        <v>33</v>
      </c>
      <c r="AJ1491" s="48" t="s">
        <v>33</v>
      </c>
      <c r="AK1491" s="48" t="s">
        <v>33</v>
      </c>
      <c r="AL1491" s="48" t="s">
        <v>34</v>
      </c>
      <c r="AN1491" s="48">
        <v>0</v>
      </c>
      <c r="AO1491" s="48">
        <v>0</v>
      </c>
      <c r="AP1491" s="48">
        <v>0</v>
      </c>
      <c r="AQ1491" s="48">
        <v>0</v>
      </c>
      <c r="AR1491" s="48">
        <v>0</v>
      </c>
      <c r="AS1491" s="48">
        <v>0</v>
      </c>
      <c r="AT1491" s="48">
        <v>0</v>
      </c>
      <c r="AU1491" s="48">
        <v>0</v>
      </c>
      <c r="AV1491" s="48">
        <v>0</v>
      </c>
      <c r="AW1491" s="48">
        <v>0</v>
      </c>
      <c r="AX1491" s="48">
        <v>0</v>
      </c>
      <c r="AY1491" s="48">
        <v>0</v>
      </c>
      <c r="AZ1491" s="48">
        <v>0</v>
      </c>
      <c r="BA1491" s="48">
        <v>0</v>
      </c>
      <c r="BB1491" s="48">
        <v>0</v>
      </c>
    </row>
    <row r="1492" spans="1:54" x14ac:dyDescent="0.35">
      <c r="A1492" s="49">
        <v>45930</v>
      </c>
      <c r="B1492" s="48">
        <v>1</v>
      </c>
      <c r="C1492" s="50" t="s">
        <v>32</v>
      </c>
      <c r="D1492" s="48" t="s">
        <v>31</v>
      </c>
      <c r="E1492" s="48" t="s">
        <v>138</v>
      </c>
      <c r="F1492" s="48" t="s">
        <v>139</v>
      </c>
      <c r="G1492" s="49" t="s">
        <v>172</v>
      </c>
      <c r="H1492" s="48" t="s">
        <v>175</v>
      </c>
      <c r="I1492" s="48">
        <v>1</v>
      </c>
      <c r="J1492" s="48">
        <v>60</v>
      </c>
      <c r="K1492" s="48">
        <v>1</v>
      </c>
      <c r="N1492" s="48">
        <v>0</v>
      </c>
      <c r="R1492" s="49"/>
      <c r="S1492" s="49"/>
      <c r="T1492" s="49">
        <v>47756</v>
      </c>
      <c r="U1492" s="49">
        <v>47756</v>
      </c>
      <c r="V1492" s="49">
        <v>47756</v>
      </c>
      <c r="W1492" s="49">
        <v>47756</v>
      </c>
      <c r="X1492" s="48">
        <v>1</v>
      </c>
      <c r="Y1492" s="48">
        <v>1</v>
      </c>
      <c r="Z1492" s="48">
        <v>1</v>
      </c>
      <c r="AA1492" s="156">
        <v>16368.670121217845</v>
      </c>
      <c r="AF1492" s="48">
        <v>0</v>
      </c>
      <c r="AG1492" s="49" t="s">
        <v>32</v>
      </c>
      <c r="AH1492" s="48">
        <v>1</v>
      </c>
      <c r="AI1492" s="48" t="s">
        <v>33</v>
      </c>
      <c r="AJ1492" s="48" t="s">
        <v>33</v>
      </c>
      <c r="AK1492" s="48" t="s">
        <v>33</v>
      </c>
      <c r="AL1492" s="48" t="s">
        <v>34</v>
      </c>
      <c r="AN1492" s="48">
        <v>0</v>
      </c>
      <c r="AO1492" s="48">
        <v>0</v>
      </c>
      <c r="AP1492" s="48">
        <v>0</v>
      </c>
      <c r="AQ1492" s="48">
        <v>0</v>
      </c>
      <c r="AR1492" s="48">
        <v>0</v>
      </c>
      <c r="AS1492" s="48">
        <v>0</v>
      </c>
      <c r="AT1492" s="48">
        <v>0</v>
      </c>
      <c r="AU1492" s="48">
        <v>0</v>
      </c>
      <c r="AV1492" s="48">
        <v>0</v>
      </c>
      <c r="AW1492" s="48">
        <v>0</v>
      </c>
      <c r="AX1492" s="48">
        <v>0</v>
      </c>
      <c r="AY1492" s="48">
        <v>0</v>
      </c>
      <c r="AZ1492" s="48">
        <v>0</v>
      </c>
      <c r="BA1492" s="48">
        <v>0</v>
      </c>
      <c r="BB1492" s="48">
        <v>0</v>
      </c>
    </row>
    <row r="1493" spans="1:54" x14ac:dyDescent="0.35">
      <c r="A1493" s="49">
        <v>45930</v>
      </c>
      <c r="B1493" s="48">
        <v>1</v>
      </c>
      <c r="C1493" s="50" t="s">
        <v>32</v>
      </c>
      <c r="D1493" s="48" t="s">
        <v>31</v>
      </c>
      <c r="E1493" s="48" t="s">
        <v>138</v>
      </c>
      <c r="F1493" s="48" t="s">
        <v>139</v>
      </c>
      <c r="G1493" s="49" t="s">
        <v>172</v>
      </c>
      <c r="H1493" s="48" t="s">
        <v>175</v>
      </c>
      <c r="I1493" s="48">
        <v>1</v>
      </c>
      <c r="J1493" s="48">
        <v>61</v>
      </c>
      <c r="K1493" s="48">
        <v>1</v>
      </c>
      <c r="N1493" s="48">
        <v>0</v>
      </c>
      <c r="R1493" s="49"/>
      <c r="S1493" s="49"/>
      <c r="T1493" s="49">
        <v>47787</v>
      </c>
      <c r="U1493" s="49">
        <v>47787</v>
      </c>
      <c r="V1493" s="49">
        <v>47787</v>
      </c>
      <c r="W1493" s="49">
        <v>47787</v>
      </c>
      <c r="X1493" s="48">
        <v>1</v>
      </c>
      <c r="Y1493" s="48">
        <v>1</v>
      </c>
      <c r="Z1493" s="48">
        <v>1</v>
      </c>
      <c r="AA1493" s="156">
        <v>16225.25776400906</v>
      </c>
      <c r="AF1493" s="48">
        <v>0</v>
      </c>
      <c r="AG1493" s="49" t="s">
        <v>32</v>
      </c>
      <c r="AH1493" s="48">
        <v>1</v>
      </c>
      <c r="AI1493" s="48" t="s">
        <v>33</v>
      </c>
      <c r="AJ1493" s="48" t="s">
        <v>33</v>
      </c>
      <c r="AK1493" s="48" t="s">
        <v>33</v>
      </c>
      <c r="AL1493" s="48" t="s">
        <v>34</v>
      </c>
      <c r="AN1493" s="48">
        <v>0</v>
      </c>
      <c r="AO1493" s="48">
        <v>0</v>
      </c>
      <c r="AP1493" s="48">
        <v>0</v>
      </c>
      <c r="AQ1493" s="48">
        <v>0</v>
      </c>
      <c r="AR1493" s="48">
        <v>0</v>
      </c>
      <c r="AS1493" s="48">
        <v>0</v>
      </c>
      <c r="AT1493" s="48">
        <v>0</v>
      </c>
      <c r="AU1493" s="48">
        <v>0</v>
      </c>
      <c r="AV1493" s="48">
        <v>0</v>
      </c>
      <c r="AW1493" s="48">
        <v>0</v>
      </c>
      <c r="AX1493" s="48">
        <v>0</v>
      </c>
      <c r="AY1493" s="48">
        <v>0</v>
      </c>
      <c r="AZ1493" s="48">
        <v>0</v>
      </c>
      <c r="BA1493" s="48">
        <v>0</v>
      </c>
      <c r="BB1493" s="48">
        <v>0</v>
      </c>
    </row>
    <row r="1494" spans="1:54" x14ac:dyDescent="0.35">
      <c r="A1494" s="49">
        <v>45930</v>
      </c>
      <c r="B1494" s="48">
        <v>1</v>
      </c>
      <c r="C1494" s="50" t="s">
        <v>32</v>
      </c>
      <c r="D1494" s="48" t="s">
        <v>31</v>
      </c>
      <c r="E1494" s="48" t="s">
        <v>138</v>
      </c>
      <c r="F1494" s="48" t="s">
        <v>139</v>
      </c>
      <c r="G1494" s="49" t="s">
        <v>172</v>
      </c>
      <c r="H1494" s="48" t="s">
        <v>175</v>
      </c>
      <c r="I1494" s="48">
        <v>1</v>
      </c>
      <c r="J1494" s="48">
        <v>62</v>
      </c>
      <c r="K1494" s="48">
        <v>1</v>
      </c>
      <c r="N1494" s="48">
        <v>0</v>
      </c>
      <c r="R1494" s="49"/>
      <c r="S1494" s="49"/>
      <c r="T1494" s="49">
        <v>47817</v>
      </c>
      <c r="U1494" s="49">
        <v>47817</v>
      </c>
      <c r="V1494" s="49">
        <v>47817</v>
      </c>
      <c r="W1494" s="49">
        <v>47817</v>
      </c>
      <c r="X1494" s="48">
        <v>1</v>
      </c>
      <c r="Y1494" s="48">
        <v>1</v>
      </c>
      <c r="Z1494" s="48">
        <v>1</v>
      </c>
      <c r="AA1494" s="156">
        <v>16083.101898870664</v>
      </c>
      <c r="AF1494" s="48">
        <v>0</v>
      </c>
      <c r="AG1494" s="49" t="s">
        <v>32</v>
      </c>
      <c r="AH1494" s="48">
        <v>1</v>
      </c>
      <c r="AI1494" s="48" t="s">
        <v>33</v>
      </c>
      <c r="AJ1494" s="48" t="s">
        <v>33</v>
      </c>
      <c r="AK1494" s="48" t="s">
        <v>33</v>
      </c>
      <c r="AL1494" s="48" t="s">
        <v>34</v>
      </c>
      <c r="AN1494" s="48">
        <v>0</v>
      </c>
      <c r="AO1494" s="48">
        <v>0</v>
      </c>
      <c r="AP1494" s="48">
        <v>0</v>
      </c>
      <c r="AQ1494" s="48">
        <v>0</v>
      </c>
      <c r="AR1494" s="48">
        <v>0</v>
      </c>
      <c r="AS1494" s="48">
        <v>0</v>
      </c>
      <c r="AT1494" s="48">
        <v>0</v>
      </c>
      <c r="AU1494" s="48">
        <v>0</v>
      </c>
      <c r="AV1494" s="48">
        <v>0</v>
      </c>
      <c r="AW1494" s="48">
        <v>0</v>
      </c>
      <c r="AX1494" s="48">
        <v>0</v>
      </c>
      <c r="AY1494" s="48">
        <v>0</v>
      </c>
      <c r="AZ1494" s="48">
        <v>0</v>
      </c>
      <c r="BA1494" s="48">
        <v>0</v>
      </c>
      <c r="BB1494" s="48">
        <v>0</v>
      </c>
    </row>
    <row r="1495" spans="1:54" x14ac:dyDescent="0.35">
      <c r="A1495" s="49">
        <v>45930</v>
      </c>
      <c r="B1495" s="48">
        <v>1</v>
      </c>
      <c r="C1495" s="50" t="s">
        <v>32</v>
      </c>
      <c r="D1495" s="48" t="s">
        <v>31</v>
      </c>
      <c r="E1495" s="48" t="s">
        <v>138</v>
      </c>
      <c r="F1495" s="48" t="s">
        <v>139</v>
      </c>
      <c r="G1495" s="49" t="s">
        <v>172</v>
      </c>
      <c r="H1495" s="48" t="s">
        <v>175</v>
      </c>
      <c r="I1495" s="48">
        <v>1</v>
      </c>
      <c r="J1495" s="48">
        <v>63</v>
      </c>
      <c r="K1495" s="48">
        <v>1</v>
      </c>
      <c r="N1495" s="48">
        <v>0</v>
      </c>
      <c r="R1495" s="49"/>
      <c r="S1495" s="49"/>
      <c r="T1495" s="49">
        <v>47848</v>
      </c>
      <c r="U1495" s="49">
        <v>47848</v>
      </c>
      <c r="V1495" s="49">
        <v>47848</v>
      </c>
      <c r="W1495" s="49">
        <v>47848</v>
      </c>
      <c r="X1495" s="48">
        <v>1</v>
      </c>
      <c r="Y1495" s="48">
        <v>1</v>
      </c>
      <c r="Z1495" s="48">
        <v>1</v>
      </c>
      <c r="AA1495" s="156">
        <v>15942.191517180298</v>
      </c>
      <c r="AF1495" s="48">
        <v>0</v>
      </c>
      <c r="AG1495" s="49" t="s">
        <v>32</v>
      </c>
      <c r="AH1495" s="48">
        <v>1</v>
      </c>
      <c r="AI1495" s="48" t="s">
        <v>33</v>
      </c>
      <c r="AJ1495" s="48" t="s">
        <v>33</v>
      </c>
      <c r="AK1495" s="48" t="s">
        <v>33</v>
      </c>
      <c r="AL1495" s="48" t="s">
        <v>34</v>
      </c>
      <c r="AN1495" s="48">
        <v>0</v>
      </c>
      <c r="AO1495" s="48">
        <v>0</v>
      </c>
      <c r="AP1495" s="48">
        <v>0</v>
      </c>
      <c r="AQ1495" s="48">
        <v>0</v>
      </c>
      <c r="AR1495" s="48">
        <v>0</v>
      </c>
      <c r="AS1495" s="48">
        <v>0</v>
      </c>
      <c r="AT1495" s="48">
        <v>0</v>
      </c>
      <c r="AU1495" s="48">
        <v>0</v>
      </c>
      <c r="AV1495" s="48">
        <v>0</v>
      </c>
      <c r="AW1495" s="48">
        <v>0</v>
      </c>
      <c r="AX1495" s="48">
        <v>0</v>
      </c>
      <c r="AY1495" s="48">
        <v>0</v>
      </c>
      <c r="AZ1495" s="48">
        <v>0</v>
      </c>
      <c r="BA1495" s="48">
        <v>0</v>
      </c>
      <c r="BB1495" s="48">
        <v>0</v>
      </c>
    </row>
    <row r="1496" spans="1:54" x14ac:dyDescent="0.35">
      <c r="A1496" s="49">
        <v>45930</v>
      </c>
      <c r="B1496" s="48">
        <v>1</v>
      </c>
      <c r="C1496" s="50" t="s">
        <v>32</v>
      </c>
      <c r="D1496" s="48" t="s">
        <v>31</v>
      </c>
      <c r="E1496" s="48" t="s">
        <v>138</v>
      </c>
      <c r="F1496" s="48" t="s">
        <v>139</v>
      </c>
      <c r="G1496" s="49" t="s">
        <v>172</v>
      </c>
      <c r="H1496" s="48" t="s">
        <v>175</v>
      </c>
      <c r="I1496" s="48">
        <v>1</v>
      </c>
      <c r="J1496" s="48">
        <v>64</v>
      </c>
      <c r="K1496" s="48">
        <v>1</v>
      </c>
      <c r="N1496" s="48">
        <v>0</v>
      </c>
      <c r="R1496" s="49"/>
      <c r="S1496" s="49"/>
      <c r="T1496" s="49">
        <v>47879</v>
      </c>
      <c r="U1496" s="49">
        <v>47879</v>
      </c>
      <c r="V1496" s="49">
        <v>47879</v>
      </c>
      <c r="W1496" s="49">
        <v>47879</v>
      </c>
      <c r="X1496" s="48">
        <v>1</v>
      </c>
      <c r="Y1496" s="48">
        <v>1</v>
      </c>
      <c r="Z1496" s="48">
        <v>1</v>
      </c>
      <c r="AA1496" s="156">
        <v>15802.515706768725</v>
      </c>
      <c r="AF1496" s="48">
        <v>0</v>
      </c>
      <c r="AG1496" s="49" t="s">
        <v>32</v>
      </c>
      <c r="AH1496" s="48">
        <v>1</v>
      </c>
      <c r="AI1496" s="48" t="s">
        <v>33</v>
      </c>
      <c r="AJ1496" s="48" t="s">
        <v>33</v>
      </c>
      <c r="AK1496" s="48" t="s">
        <v>33</v>
      </c>
      <c r="AL1496" s="48" t="s">
        <v>34</v>
      </c>
      <c r="AN1496" s="48">
        <v>0</v>
      </c>
      <c r="AO1496" s="48">
        <v>0</v>
      </c>
      <c r="AP1496" s="48">
        <v>0</v>
      </c>
      <c r="AQ1496" s="48">
        <v>0</v>
      </c>
      <c r="AR1496" s="48">
        <v>0</v>
      </c>
      <c r="AS1496" s="48">
        <v>0</v>
      </c>
      <c r="AT1496" s="48">
        <v>0</v>
      </c>
      <c r="AU1496" s="48">
        <v>0</v>
      </c>
      <c r="AV1496" s="48">
        <v>0</v>
      </c>
      <c r="AW1496" s="48">
        <v>0</v>
      </c>
      <c r="AX1496" s="48">
        <v>0</v>
      </c>
      <c r="AY1496" s="48">
        <v>0</v>
      </c>
      <c r="AZ1496" s="48">
        <v>0</v>
      </c>
      <c r="BA1496" s="48">
        <v>0</v>
      </c>
      <c r="BB1496" s="48">
        <v>0</v>
      </c>
    </row>
    <row r="1497" spans="1:54" x14ac:dyDescent="0.35">
      <c r="A1497" s="49">
        <v>45930</v>
      </c>
      <c r="B1497" s="48">
        <v>1</v>
      </c>
      <c r="C1497" s="50" t="s">
        <v>32</v>
      </c>
      <c r="D1497" s="48" t="s">
        <v>31</v>
      </c>
      <c r="E1497" s="48" t="s">
        <v>138</v>
      </c>
      <c r="F1497" s="48" t="s">
        <v>139</v>
      </c>
      <c r="G1497" s="49" t="s">
        <v>172</v>
      </c>
      <c r="H1497" s="48" t="s">
        <v>175</v>
      </c>
      <c r="I1497" s="48">
        <v>1</v>
      </c>
      <c r="J1497" s="48">
        <v>65</v>
      </c>
      <c r="K1497" s="48">
        <v>1</v>
      </c>
      <c r="N1497" s="48">
        <v>0</v>
      </c>
      <c r="R1497" s="49"/>
      <c r="S1497" s="49"/>
      <c r="T1497" s="49">
        <v>47907</v>
      </c>
      <c r="U1497" s="49">
        <v>47907</v>
      </c>
      <c r="V1497" s="49">
        <v>47907</v>
      </c>
      <c r="W1497" s="49">
        <v>47907</v>
      </c>
      <c r="X1497" s="48">
        <v>1</v>
      </c>
      <c r="Y1497" s="48">
        <v>1</v>
      </c>
      <c r="Z1497" s="48">
        <v>1</v>
      </c>
      <c r="AA1497" s="156">
        <v>15664.063651069999</v>
      </c>
      <c r="AF1497" s="48">
        <v>0</v>
      </c>
      <c r="AG1497" s="49" t="s">
        <v>32</v>
      </c>
      <c r="AH1497" s="48">
        <v>1</v>
      </c>
      <c r="AI1497" s="48" t="s">
        <v>33</v>
      </c>
      <c r="AJ1497" s="48" t="s">
        <v>33</v>
      </c>
      <c r="AK1497" s="48" t="s">
        <v>33</v>
      </c>
      <c r="AL1497" s="48" t="s">
        <v>34</v>
      </c>
      <c r="AN1497" s="48">
        <v>0</v>
      </c>
      <c r="AO1497" s="48">
        <v>0</v>
      </c>
      <c r="AP1497" s="48">
        <v>0</v>
      </c>
      <c r="AQ1497" s="48">
        <v>0</v>
      </c>
      <c r="AR1497" s="48">
        <v>0</v>
      </c>
      <c r="AS1497" s="48">
        <v>0</v>
      </c>
      <c r="AT1497" s="48">
        <v>0</v>
      </c>
      <c r="AU1497" s="48">
        <v>0</v>
      </c>
      <c r="AV1497" s="48">
        <v>0</v>
      </c>
      <c r="AW1497" s="48">
        <v>0</v>
      </c>
      <c r="AX1497" s="48">
        <v>0</v>
      </c>
      <c r="AY1497" s="48">
        <v>0</v>
      </c>
      <c r="AZ1497" s="48">
        <v>0</v>
      </c>
      <c r="BA1497" s="48">
        <v>0</v>
      </c>
      <c r="BB1497" s="48">
        <v>0</v>
      </c>
    </row>
    <row r="1498" spans="1:54" x14ac:dyDescent="0.35">
      <c r="A1498" s="49">
        <v>45930</v>
      </c>
      <c r="B1498" s="48">
        <v>1</v>
      </c>
      <c r="C1498" s="50" t="s">
        <v>32</v>
      </c>
      <c r="D1498" s="48" t="s">
        <v>31</v>
      </c>
      <c r="E1498" s="48" t="s">
        <v>138</v>
      </c>
      <c r="F1498" s="48" t="s">
        <v>139</v>
      </c>
      <c r="G1498" s="49" t="s">
        <v>172</v>
      </c>
      <c r="H1498" s="48" t="s">
        <v>175</v>
      </c>
      <c r="I1498" s="48">
        <v>1</v>
      </c>
      <c r="J1498" s="48">
        <v>66</v>
      </c>
      <c r="K1498" s="48">
        <v>1</v>
      </c>
      <c r="N1498" s="48">
        <v>0</v>
      </c>
      <c r="R1498" s="49"/>
      <c r="S1498" s="49"/>
      <c r="T1498" s="49">
        <v>47938</v>
      </c>
      <c r="U1498" s="49">
        <v>47938</v>
      </c>
      <c r="V1498" s="49">
        <v>47938</v>
      </c>
      <c r="W1498" s="49">
        <v>47938</v>
      </c>
      <c r="X1498" s="48">
        <v>1</v>
      </c>
      <c r="Y1498" s="48">
        <v>1</v>
      </c>
      <c r="Z1498" s="48">
        <v>1</v>
      </c>
      <c r="AA1498" s="156">
        <v>15526.824628288858</v>
      </c>
      <c r="AF1498" s="48">
        <v>0</v>
      </c>
      <c r="AG1498" s="49" t="s">
        <v>32</v>
      </c>
      <c r="AH1498" s="48">
        <v>1</v>
      </c>
      <c r="AI1498" s="48" t="s">
        <v>33</v>
      </c>
      <c r="AJ1498" s="48" t="s">
        <v>33</v>
      </c>
      <c r="AK1498" s="48" t="s">
        <v>33</v>
      </c>
      <c r="AL1498" s="48" t="s">
        <v>34</v>
      </c>
      <c r="AN1498" s="48">
        <v>0</v>
      </c>
      <c r="AO1498" s="48">
        <v>0</v>
      </c>
      <c r="AP1498" s="48">
        <v>0</v>
      </c>
      <c r="AQ1498" s="48">
        <v>0</v>
      </c>
      <c r="AR1498" s="48">
        <v>0</v>
      </c>
      <c r="AS1498" s="48">
        <v>0</v>
      </c>
      <c r="AT1498" s="48">
        <v>0</v>
      </c>
      <c r="AU1498" s="48">
        <v>0</v>
      </c>
      <c r="AV1498" s="48">
        <v>0</v>
      </c>
      <c r="AW1498" s="48">
        <v>0</v>
      </c>
      <c r="AX1498" s="48">
        <v>0</v>
      </c>
      <c r="AY1498" s="48">
        <v>0</v>
      </c>
      <c r="AZ1498" s="48">
        <v>0</v>
      </c>
      <c r="BA1498" s="48">
        <v>0</v>
      </c>
      <c r="BB1498" s="48">
        <v>0</v>
      </c>
    </row>
    <row r="1499" spans="1:54" x14ac:dyDescent="0.35">
      <c r="A1499" s="49">
        <v>45930</v>
      </c>
      <c r="B1499" s="48">
        <v>1</v>
      </c>
      <c r="C1499" s="50" t="s">
        <v>32</v>
      </c>
      <c r="D1499" s="48" t="s">
        <v>31</v>
      </c>
      <c r="E1499" s="48" t="s">
        <v>138</v>
      </c>
      <c r="F1499" s="48" t="s">
        <v>139</v>
      </c>
      <c r="G1499" s="49" t="s">
        <v>172</v>
      </c>
      <c r="H1499" s="48" t="s">
        <v>175</v>
      </c>
      <c r="I1499" s="48">
        <v>1</v>
      </c>
      <c r="J1499" s="48">
        <v>67</v>
      </c>
      <c r="K1499" s="48">
        <v>1</v>
      </c>
      <c r="N1499" s="48">
        <v>0</v>
      </c>
      <c r="R1499" s="49"/>
      <c r="S1499" s="49"/>
      <c r="T1499" s="49">
        <v>47968</v>
      </c>
      <c r="U1499" s="49">
        <v>47968</v>
      </c>
      <c r="V1499" s="49">
        <v>47968</v>
      </c>
      <c r="W1499" s="49">
        <v>47968</v>
      </c>
      <c r="X1499" s="48">
        <v>1</v>
      </c>
      <c r="Y1499" s="48">
        <v>1</v>
      </c>
      <c r="Z1499" s="48">
        <v>1</v>
      </c>
      <c r="AA1499" s="156">
        <v>15390.788010566495</v>
      </c>
      <c r="AF1499" s="48">
        <v>0</v>
      </c>
      <c r="AG1499" s="49" t="s">
        <v>32</v>
      </c>
      <c r="AH1499" s="48">
        <v>1</v>
      </c>
      <c r="AI1499" s="48" t="s">
        <v>33</v>
      </c>
      <c r="AJ1499" s="48" t="s">
        <v>33</v>
      </c>
      <c r="AK1499" s="48" t="s">
        <v>33</v>
      </c>
      <c r="AL1499" s="48" t="s">
        <v>34</v>
      </c>
      <c r="AN1499" s="48">
        <v>0</v>
      </c>
      <c r="AO1499" s="48">
        <v>0</v>
      </c>
      <c r="AP1499" s="48">
        <v>0</v>
      </c>
      <c r="AQ1499" s="48">
        <v>0</v>
      </c>
      <c r="AR1499" s="48">
        <v>0</v>
      </c>
      <c r="AS1499" s="48">
        <v>0</v>
      </c>
      <c r="AT1499" s="48">
        <v>0</v>
      </c>
      <c r="AU1499" s="48">
        <v>0</v>
      </c>
      <c r="AV1499" s="48">
        <v>0</v>
      </c>
      <c r="AW1499" s="48">
        <v>0</v>
      </c>
      <c r="AX1499" s="48">
        <v>0</v>
      </c>
      <c r="AY1499" s="48">
        <v>0</v>
      </c>
      <c r="AZ1499" s="48">
        <v>0</v>
      </c>
      <c r="BA1499" s="48">
        <v>0</v>
      </c>
      <c r="BB1499" s="48">
        <v>0</v>
      </c>
    </row>
    <row r="1500" spans="1:54" x14ac:dyDescent="0.35">
      <c r="A1500" s="49">
        <v>45930</v>
      </c>
      <c r="B1500" s="48">
        <v>1</v>
      </c>
      <c r="C1500" s="50" t="s">
        <v>32</v>
      </c>
      <c r="D1500" s="48" t="s">
        <v>31</v>
      </c>
      <c r="E1500" s="48" t="s">
        <v>138</v>
      </c>
      <c r="F1500" s="48" t="s">
        <v>139</v>
      </c>
      <c r="G1500" s="49" t="s">
        <v>172</v>
      </c>
      <c r="H1500" s="48" t="s">
        <v>175</v>
      </c>
      <c r="I1500" s="48">
        <v>1</v>
      </c>
      <c r="J1500" s="48">
        <v>68</v>
      </c>
      <c r="K1500" s="48">
        <v>1</v>
      </c>
      <c r="N1500" s="48">
        <v>0</v>
      </c>
      <c r="R1500" s="49"/>
      <c r="S1500" s="49"/>
      <c r="T1500" s="49">
        <v>47999</v>
      </c>
      <c r="U1500" s="49">
        <v>47999</v>
      </c>
      <c r="V1500" s="49">
        <v>47999</v>
      </c>
      <c r="W1500" s="49">
        <v>47999</v>
      </c>
      <c r="X1500" s="48">
        <v>1</v>
      </c>
      <c r="Y1500" s="48">
        <v>1</v>
      </c>
      <c r="Z1500" s="48">
        <v>1</v>
      </c>
      <c r="AA1500" s="156">
        <v>15255.943263158901</v>
      </c>
      <c r="AF1500" s="48">
        <v>0</v>
      </c>
      <c r="AG1500" s="49" t="s">
        <v>32</v>
      </c>
      <c r="AH1500" s="48">
        <v>1</v>
      </c>
      <c r="AI1500" s="48" t="s">
        <v>33</v>
      </c>
      <c r="AJ1500" s="48" t="s">
        <v>33</v>
      </c>
      <c r="AK1500" s="48" t="s">
        <v>33</v>
      </c>
      <c r="AL1500" s="48" t="s">
        <v>34</v>
      </c>
      <c r="AN1500" s="48">
        <v>0</v>
      </c>
      <c r="AO1500" s="48">
        <v>0</v>
      </c>
      <c r="AP1500" s="48">
        <v>0</v>
      </c>
      <c r="AQ1500" s="48">
        <v>0</v>
      </c>
      <c r="AR1500" s="48">
        <v>0</v>
      </c>
      <c r="AS1500" s="48">
        <v>0</v>
      </c>
      <c r="AT1500" s="48">
        <v>0</v>
      </c>
      <c r="AU1500" s="48">
        <v>0</v>
      </c>
      <c r="AV1500" s="48">
        <v>0</v>
      </c>
      <c r="AW1500" s="48">
        <v>0</v>
      </c>
      <c r="AX1500" s="48">
        <v>0</v>
      </c>
      <c r="AY1500" s="48">
        <v>0</v>
      </c>
      <c r="AZ1500" s="48">
        <v>0</v>
      </c>
      <c r="BA1500" s="48">
        <v>0</v>
      </c>
      <c r="BB1500" s="48">
        <v>0</v>
      </c>
    </row>
    <row r="1501" spans="1:54" x14ac:dyDescent="0.35">
      <c r="A1501" s="49">
        <v>45930</v>
      </c>
      <c r="B1501" s="48">
        <v>1</v>
      </c>
      <c r="C1501" s="50" t="s">
        <v>32</v>
      </c>
      <c r="D1501" s="48" t="s">
        <v>31</v>
      </c>
      <c r="E1501" s="48" t="s">
        <v>138</v>
      </c>
      <c r="F1501" s="48" t="s">
        <v>139</v>
      </c>
      <c r="G1501" s="49" t="s">
        <v>172</v>
      </c>
      <c r="H1501" s="48" t="s">
        <v>175</v>
      </c>
      <c r="I1501" s="48">
        <v>1</v>
      </c>
      <c r="J1501" s="48">
        <v>69</v>
      </c>
      <c r="K1501" s="48">
        <v>1</v>
      </c>
      <c r="N1501" s="48">
        <v>0</v>
      </c>
      <c r="R1501" s="49"/>
      <c r="S1501" s="49"/>
      <c r="T1501" s="49">
        <v>48029</v>
      </c>
      <c r="U1501" s="49">
        <v>48029</v>
      </c>
      <c r="V1501" s="49">
        <v>48029</v>
      </c>
      <c r="W1501" s="49">
        <v>48029</v>
      </c>
      <c r="X1501" s="48">
        <v>1</v>
      </c>
      <c r="Y1501" s="48">
        <v>1</v>
      </c>
      <c r="Z1501" s="48">
        <v>1</v>
      </c>
      <c r="AA1501" s="156">
        <v>15122.279943622183</v>
      </c>
      <c r="AF1501" s="48">
        <v>0</v>
      </c>
      <c r="AG1501" s="49" t="s">
        <v>32</v>
      </c>
      <c r="AH1501" s="48">
        <v>1</v>
      </c>
      <c r="AI1501" s="48" t="s">
        <v>33</v>
      </c>
      <c r="AJ1501" s="48" t="s">
        <v>33</v>
      </c>
      <c r="AK1501" s="48" t="s">
        <v>33</v>
      </c>
      <c r="AL1501" s="48" t="s">
        <v>34</v>
      </c>
      <c r="AN1501" s="48">
        <v>0</v>
      </c>
      <c r="AO1501" s="48">
        <v>0</v>
      </c>
      <c r="AP1501" s="48">
        <v>0</v>
      </c>
      <c r="AQ1501" s="48">
        <v>0</v>
      </c>
      <c r="AR1501" s="48">
        <v>0</v>
      </c>
      <c r="AS1501" s="48">
        <v>0</v>
      </c>
      <c r="AT1501" s="48">
        <v>0</v>
      </c>
      <c r="AU1501" s="48">
        <v>0</v>
      </c>
      <c r="AV1501" s="48">
        <v>0</v>
      </c>
      <c r="AW1501" s="48">
        <v>0</v>
      </c>
      <c r="AX1501" s="48">
        <v>0</v>
      </c>
      <c r="AY1501" s="48">
        <v>0</v>
      </c>
      <c r="AZ1501" s="48">
        <v>0</v>
      </c>
      <c r="BA1501" s="48">
        <v>0</v>
      </c>
      <c r="BB1501" s="48">
        <v>0</v>
      </c>
    </row>
    <row r="1502" spans="1:54" x14ac:dyDescent="0.35">
      <c r="A1502" s="49">
        <v>45930</v>
      </c>
      <c r="B1502" s="48">
        <v>1</v>
      </c>
      <c r="C1502" s="50" t="s">
        <v>32</v>
      </c>
      <c r="D1502" s="48" t="s">
        <v>31</v>
      </c>
      <c r="E1502" s="48" t="s">
        <v>138</v>
      </c>
      <c r="F1502" s="48" t="s">
        <v>139</v>
      </c>
      <c r="G1502" s="49" t="s">
        <v>172</v>
      </c>
      <c r="H1502" s="48" t="s">
        <v>175</v>
      </c>
      <c r="I1502" s="48">
        <v>1</v>
      </c>
      <c r="J1502" s="48">
        <v>70</v>
      </c>
      <c r="K1502" s="48">
        <v>1</v>
      </c>
      <c r="N1502" s="48">
        <v>0</v>
      </c>
      <c r="R1502" s="49"/>
      <c r="S1502" s="49"/>
      <c r="T1502" s="49">
        <v>48060</v>
      </c>
      <c r="U1502" s="49">
        <v>48060</v>
      </c>
      <c r="V1502" s="49">
        <v>48060</v>
      </c>
      <c r="W1502" s="49">
        <v>48060</v>
      </c>
      <c r="X1502" s="48">
        <v>1</v>
      </c>
      <c r="Y1502" s="48">
        <v>1</v>
      </c>
      <c r="Z1502" s="48">
        <v>1</v>
      </c>
      <c r="AA1502" s="156">
        <v>1710890.8523701492</v>
      </c>
      <c r="AF1502" s="48">
        <v>0</v>
      </c>
      <c r="AG1502" s="49" t="s">
        <v>32</v>
      </c>
      <c r="AH1502" s="48">
        <v>1</v>
      </c>
      <c r="AI1502" s="48" t="s">
        <v>33</v>
      </c>
      <c r="AJ1502" s="48" t="s">
        <v>33</v>
      </c>
      <c r="AK1502" s="48" t="s">
        <v>33</v>
      </c>
      <c r="AL1502" s="48" t="s">
        <v>34</v>
      </c>
      <c r="AN1502" s="48">
        <v>0</v>
      </c>
      <c r="AO1502" s="48">
        <v>0</v>
      </c>
      <c r="AP1502" s="48">
        <v>0</v>
      </c>
      <c r="AQ1502" s="48">
        <v>0</v>
      </c>
      <c r="AR1502" s="48">
        <v>0</v>
      </c>
      <c r="AS1502" s="48">
        <v>0</v>
      </c>
      <c r="AT1502" s="48">
        <v>0</v>
      </c>
      <c r="AU1502" s="48">
        <v>0</v>
      </c>
      <c r="AV1502" s="48">
        <v>0</v>
      </c>
      <c r="AW1502" s="48">
        <v>0</v>
      </c>
      <c r="AX1502" s="48">
        <v>0</v>
      </c>
      <c r="AY1502" s="48">
        <v>0</v>
      </c>
      <c r="AZ1502" s="48">
        <v>0</v>
      </c>
      <c r="BA1502" s="48">
        <v>0</v>
      </c>
      <c r="BB1502" s="48">
        <v>0</v>
      </c>
    </row>
    <row r="1503" spans="1:54" x14ac:dyDescent="0.35">
      <c r="A1503" s="49">
        <v>45930</v>
      </c>
      <c r="B1503" s="48">
        <v>1</v>
      </c>
      <c r="C1503" s="50" t="s">
        <v>32</v>
      </c>
      <c r="D1503" s="48" t="s">
        <v>31</v>
      </c>
      <c r="E1503" s="48" t="s">
        <v>138</v>
      </c>
      <c r="F1503" s="48" t="s">
        <v>139</v>
      </c>
      <c r="G1503" s="49" t="s">
        <v>172</v>
      </c>
      <c r="H1503" s="48" t="s">
        <v>174</v>
      </c>
      <c r="I1503" s="48">
        <v>1</v>
      </c>
      <c r="K1503" s="48">
        <v>1</v>
      </c>
      <c r="N1503" s="48">
        <v>0</v>
      </c>
      <c r="R1503" s="49"/>
      <c r="S1503" s="49"/>
      <c r="T1503" s="49">
        <v>45931</v>
      </c>
      <c r="U1503" s="49">
        <v>45931</v>
      </c>
      <c r="V1503" s="49">
        <v>45931</v>
      </c>
      <c r="W1503" s="49">
        <v>45931</v>
      </c>
      <c r="X1503" s="48">
        <v>1</v>
      </c>
      <c r="Y1503" s="48">
        <v>1</v>
      </c>
      <c r="Z1503" s="48">
        <v>1</v>
      </c>
      <c r="AA1503" s="156">
        <v>330673</v>
      </c>
      <c r="AF1503" s="48">
        <v>0</v>
      </c>
      <c r="AG1503" s="49" t="s">
        <v>32</v>
      </c>
      <c r="AH1503" s="48">
        <v>1</v>
      </c>
      <c r="AI1503" s="48" t="s">
        <v>33</v>
      </c>
      <c r="AJ1503" s="48" t="s">
        <v>33</v>
      </c>
      <c r="AK1503" s="48" t="s">
        <v>33</v>
      </c>
      <c r="AL1503" s="48" t="s">
        <v>34</v>
      </c>
      <c r="AN1503" s="48">
        <v>0</v>
      </c>
      <c r="AO1503" s="48">
        <v>0</v>
      </c>
      <c r="AP1503" s="48">
        <v>0</v>
      </c>
      <c r="AQ1503" s="48">
        <v>0</v>
      </c>
      <c r="AR1503" s="48">
        <v>0</v>
      </c>
      <c r="AS1503" s="48">
        <v>0</v>
      </c>
      <c r="AT1503" s="48">
        <v>0</v>
      </c>
      <c r="AU1503" s="48">
        <v>0</v>
      </c>
      <c r="AV1503" s="48">
        <v>0</v>
      </c>
      <c r="AW1503" s="48">
        <v>0</v>
      </c>
      <c r="AX1503" s="48">
        <v>0</v>
      </c>
      <c r="AY1503" s="48">
        <v>0</v>
      </c>
      <c r="AZ1503" s="48">
        <v>0</v>
      </c>
      <c r="BA1503" s="48">
        <v>0</v>
      </c>
      <c r="BB1503" s="48">
        <v>0</v>
      </c>
    </row>
    <row r="1504" spans="1:54" x14ac:dyDescent="0.35">
      <c r="A1504" s="49">
        <v>45930</v>
      </c>
      <c r="B1504" s="48">
        <v>1</v>
      </c>
      <c r="C1504" s="50" t="s">
        <v>32</v>
      </c>
      <c r="D1504" s="48" t="s">
        <v>31</v>
      </c>
      <c r="E1504" s="48" t="s">
        <v>138</v>
      </c>
      <c r="F1504" s="48" t="s">
        <v>139</v>
      </c>
      <c r="G1504" s="49" t="s">
        <v>172</v>
      </c>
      <c r="H1504" s="48" t="s">
        <v>173</v>
      </c>
      <c r="I1504" s="48">
        <v>1</v>
      </c>
      <c r="J1504" s="48">
        <v>1</v>
      </c>
      <c r="K1504" s="48">
        <v>1</v>
      </c>
      <c r="N1504" s="48">
        <v>0</v>
      </c>
      <c r="R1504" s="49"/>
      <c r="S1504" s="49"/>
      <c r="T1504" s="49">
        <v>45961</v>
      </c>
      <c r="U1504" s="49">
        <v>45961</v>
      </c>
      <c r="V1504" s="49">
        <v>45961</v>
      </c>
      <c r="W1504" s="49">
        <v>45961</v>
      </c>
      <c r="X1504" s="48">
        <v>1</v>
      </c>
      <c r="Y1504" s="48">
        <v>1</v>
      </c>
      <c r="Z1504" s="48">
        <v>1</v>
      </c>
      <c r="AA1504" s="156">
        <v>6823.072887742077</v>
      </c>
      <c r="AF1504" s="48">
        <v>0</v>
      </c>
      <c r="AG1504" s="49" t="s">
        <v>32</v>
      </c>
      <c r="AH1504" s="48">
        <v>1</v>
      </c>
      <c r="AI1504" s="48" t="s">
        <v>33</v>
      </c>
      <c r="AJ1504" s="48" t="s">
        <v>33</v>
      </c>
      <c r="AK1504" s="48" t="s">
        <v>33</v>
      </c>
      <c r="AL1504" s="48" t="s">
        <v>34</v>
      </c>
      <c r="AN1504" s="48">
        <v>0</v>
      </c>
      <c r="AO1504" s="48">
        <v>0</v>
      </c>
      <c r="AP1504" s="48">
        <v>0</v>
      </c>
      <c r="AQ1504" s="48">
        <v>0</v>
      </c>
      <c r="AR1504" s="48">
        <v>0</v>
      </c>
      <c r="AS1504" s="48">
        <v>0</v>
      </c>
      <c r="AT1504" s="48">
        <v>0</v>
      </c>
      <c r="AU1504" s="48">
        <v>0</v>
      </c>
      <c r="AV1504" s="48">
        <v>0</v>
      </c>
      <c r="AW1504" s="48">
        <v>0</v>
      </c>
      <c r="AX1504" s="48">
        <v>0</v>
      </c>
      <c r="AY1504" s="48">
        <v>0</v>
      </c>
      <c r="AZ1504" s="48">
        <v>0</v>
      </c>
      <c r="BA1504" s="48">
        <v>0</v>
      </c>
      <c r="BB1504" s="48">
        <v>0</v>
      </c>
    </row>
    <row r="1505" spans="1:54" x14ac:dyDescent="0.35">
      <c r="A1505" s="49">
        <v>45930</v>
      </c>
      <c r="B1505" s="48">
        <v>1</v>
      </c>
      <c r="C1505" s="50" t="s">
        <v>32</v>
      </c>
      <c r="D1505" s="48" t="s">
        <v>31</v>
      </c>
      <c r="E1505" s="48" t="s">
        <v>138</v>
      </c>
      <c r="F1505" s="48" t="s">
        <v>139</v>
      </c>
      <c r="G1505" s="49" t="s">
        <v>172</v>
      </c>
      <c r="H1505" s="48" t="s">
        <v>173</v>
      </c>
      <c r="I1505" s="48">
        <v>1</v>
      </c>
      <c r="J1505" s="48">
        <v>2</v>
      </c>
      <c r="K1505" s="48">
        <v>1</v>
      </c>
      <c r="N1505" s="48">
        <v>0</v>
      </c>
      <c r="R1505" s="49"/>
      <c r="S1505" s="49"/>
      <c r="T1505" s="49">
        <v>45991</v>
      </c>
      <c r="U1505" s="49">
        <v>45991</v>
      </c>
      <c r="V1505" s="49">
        <v>45991</v>
      </c>
      <c r="W1505" s="49">
        <v>45991</v>
      </c>
      <c r="X1505" s="48">
        <v>1</v>
      </c>
      <c r="Y1505" s="48">
        <v>1</v>
      </c>
      <c r="Z1505" s="48">
        <v>1</v>
      </c>
      <c r="AA1505" s="156">
        <v>6762.6169669475639</v>
      </c>
      <c r="AF1505" s="48">
        <v>0</v>
      </c>
      <c r="AG1505" s="49" t="s">
        <v>32</v>
      </c>
      <c r="AH1505" s="48">
        <v>1</v>
      </c>
      <c r="AI1505" s="48" t="s">
        <v>33</v>
      </c>
      <c r="AJ1505" s="48" t="s">
        <v>33</v>
      </c>
      <c r="AK1505" s="48" t="s">
        <v>33</v>
      </c>
      <c r="AL1505" s="48" t="s">
        <v>34</v>
      </c>
      <c r="AN1505" s="48">
        <v>0</v>
      </c>
      <c r="AO1505" s="48">
        <v>0</v>
      </c>
      <c r="AP1505" s="48">
        <v>0</v>
      </c>
      <c r="AQ1505" s="48">
        <v>0</v>
      </c>
      <c r="AR1505" s="48">
        <v>0</v>
      </c>
      <c r="AS1505" s="48">
        <v>0</v>
      </c>
      <c r="AT1505" s="48">
        <v>0</v>
      </c>
      <c r="AU1505" s="48">
        <v>0</v>
      </c>
      <c r="AV1505" s="48">
        <v>0</v>
      </c>
      <c r="AW1505" s="48">
        <v>0</v>
      </c>
      <c r="AX1505" s="48">
        <v>0</v>
      </c>
      <c r="AY1505" s="48">
        <v>0</v>
      </c>
      <c r="AZ1505" s="48">
        <v>0</v>
      </c>
      <c r="BA1505" s="48">
        <v>0</v>
      </c>
      <c r="BB1505" s="48">
        <v>0</v>
      </c>
    </row>
    <row r="1506" spans="1:54" x14ac:dyDescent="0.35">
      <c r="A1506" s="49">
        <v>45930</v>
      </c>
      <c r="B1506" s="48">
        <v>1</v>
      </c>
      <c r="C1506" s="50" t="s">
        <v>32</v>
      </c>
      <c r="D1506" s="48" t="s">
        <v>31</v>
      </c>
      <c r="E1506" s="48" t="s">
        <v>138</v>
      </c>
      <c r="F1506" s="48" t="s">
        <v>139</v>
      </c>
      <c r="G1506" s="49" t="s">
        <v>172</v>
      </c>
      <c r="H1506" s="48" t="s">
        <v>173</v>
      </c>
      <c r="I1506" s="48">
        <v>1</v>
      </c>
      <c r="J1506" s="48">
        <v>3</v>
      </c>
      <c r="K1506" s="48">
        <v>1</v>
      </c>
      <c r="N1506" s="48">
        <v>0</v>
      </c>
      <c r="R1506" s="49"/>
      <c r="S1506" s="49"/>
      <c r="T1506" s="49">
        <v>46022</v>
      </c>
      <c r="U1506" s="49">
        <v>46022</v>
      </c>
      <c r="V1506" s="49">
        <v>46022</v>
      </c>
      <c r="W1506" s="49">
        <v>46022</v>
      </c>
      <c r="X1506" s="48">
        <v>1</v>
      </c>
      <c r="Y1506" s="48">
        <v>1</v>
      </c>
      <c r="Z1506" s="48">
        <v>1</v>
      </c>
      <c r="AA1506" s="156">
        <v>6702.6967165790265</v>
      </c>
      <c r="AF1506" s="48">
        <v>0</v>
      </c>
      <c r="AG1506" s="49" t="s">
        <v>32</v>
      </c>
      <c r="AH1506" s="48">
        <v>1</v>
      </c>
      <c r="AI1506" s="48" t="s">
        <v>33</v>
      </c>
      <c r="AJ1506" s="48" t="s">
        <v>33</v>
      </c>
      <c r="AK1506" s="48" t="s">
        <v>33</v>
      </c>
      <c r="AL1506" s="48" t="s">
        <v>34</v>
      </c>
      <c r="AN1506" s="48">
        <v>0</v>
      </c>
      <c r="AO1506" s="48">
        <v>0</v>
      </c>
      <c r="AP1506" s="48">
        <v>0</v>
      </c>
      <c r="AQ1506" s="48">
        <v>0</v>
      </c>
      <c r="AR1506" s="48">
        <v>0</v>
      </c>
      <c r="AS1506" s="48">
        <v>0</v>
      </c>
      <c r="AT1506" s="48">
        <v>0</v>
      </c>
      <c r="AU1506" s="48">
        <v>0</v>
      </c>
      <c r="AV1506" s="48">
        <v>0</v>
      </c>
      <c r="AW1506" s="48">
        <v>0</v>
      </c>
      <c r="AX1506" s="48">
        <v>0</v>
      </c>
      <c r="AY1506" s="48">
        <v>0</v>
      </c>
      <c r="AZ1506" s="48">
        <v>0</v>
      </c>
      <c r="BA1506" s="48">
        <v>0</v>
      </c>
      <c r="BB1506" s="48">
        <v>0</v>
      </c>
    </row>
    <row r="1507" spans="1:54" x14ac:dyDescent="0.35">
      <c r="A1507" s="49">
        <v>45930</v>
      </c>
      <c r="B1507" s="48">
        <v>1</v>
      </c>
      <c r="C1507" s="50" t="s">
        <v>32</v>
      </c>
      <c r="D1507" s="48" t="s">
        <v>31</v>
      </c>
      <c r="E1507" s="48" t="s">
        <v>138</v>
      </c>
      <c r="F1507" s="48" t="s">
        <v>139</v>
      </c>
      <c r="G1507" s="49" t="s">
        <v>172</v>
      </c>
      <c r="H1507" s="48" t="s">
        <v>173</v>
      </c>
      <c r="I1507" s="48">
        <v>1</v>
      </c>
      <c r="J1507" s="48">
        <v>4</v>
      </c>
      <c r="K1507" s="48">
        <v>1</v>
      </c>
      <c r="N1507" s="48">
        <v>0</v>
      </c>
      <c r="R1507" s="49"/>
      <c r="S1507" s="49"/>
      <c r="T1507" s="49">
        <v>46053</v>
      </c>
      <c r="U1507" s="49">
        <v>46053</v>
      </c>
      <c r="V1507" s="49">
        <v>46053</v>
      </c>
      <c r="W1507" s="49">
        <v>46053</v>
      </c>
      <c r="X1507" s="48">
        <v>1</v>
      </c>
      <c r="Y1507" s="48">
        <v>1</v>
      </c>
      <c r="Z1507" s="48">
        <v>1</v>
      </c>
      <c r="AA1507" s="156">
        <v>6643.3073903217446</v>
      </c>
      <c r="AF1507" s="48">
        <v>0</v>
      </c>
      <c r="AG1507" s="49" t="s">
        <v>32</v>
      </c>
      <c r="AH1507" s="48">
        <v>1</v>
      </c>
      <c r="AI1507" s="48" t="s">
        <v>33</v>
      </c>
      <c r="AJ1507" s="48" t="s">
        <v>33</v>
      </c>
      <c r="AK1507" s="48" t="s">
        <v>33</v>
      </c>
      <c r="AL1507" s="48" t="s">
        <v>34</v>
      </c>
      <c r="AN1507" s="48">
        <v>0</v>
      </c>
      <c r="AO1507" s="48">
        <v>0</v>
      </c>
      <c r="AP1507" s="48">
        <v>0</v>
      </c>
      <c r="AQ1507" s="48">
        <v>0</v>
      </c>
      <c r="AR1507" s="48">
        <v>0</v>
      </c>
      <c r="AS1507" s="48">
        <v>0</v>
      </c>
      <c r="AT1507" s="48">
        <v>0</v>
      </c>
      <c r="AU1507" s="48">
        <v>0</v>
      </c>
      <c r="AV1507" s="48">
        <v>0</v>
      </c>
      <c r="AW1507" s="48">
        <v>0</v>
      </c>
      <c r="AX1507" s="48">
        <v>0</v>
      </c>
      <c r="AY1507" s="48">
        <v>0</v>
      </c>
      <c r="AZ1507" s="48">
        <v>0</v>
      </c>
      <c r="BA1507" s="48">
        <v>0</v>
      </c>
      <c r="BB1507" s="48">
        <v>0</v>
      </c>
    </row>
    <row r="1508" spans="1:54" x14ac:dyDescent="0.35">
      <c r="A1508" s="49">
        <v>45930</v>
      </c>
      <c r="B1508" s="48">
        <v>1</v>
      </c>
      <c r="C1508" s="50" t="s">
        <v>32</v>
      </c>
      <c r="D1508" s="48" t="s">
        <v>31</v>
      </c>
      <c r="E1508" s="48" t="s">
        <v>138</v>
      </c>
      <c r="F1508" s="48" t="s">
        <v>139</v>
      </c>
      <c r="G1508" s="49" t="s">
        <v>172</v>
      </c>
      <c r="H1508" s="48" t="s">
        <v>173</v>
      </c>
      <c r="I1508" s="48">
        <v>1</v>
      </c>
      <c r="J1508" s="48">
        <v>5</v>
      </c>
      <c r="K1508" s="48">
        <v>1</v>
      </c>
      <c r="N1508" s="48">
        <v>0</v>
      </c>
      <c r="R1508" s="49"/>
      <c r="S1508" s="49"/>
      <c r="T1508" s="49">
        <v>46081</v>
      </c>
      <c r="U1508" s="49">
        <v>46081</v>
      </c>
      <c r="V1508" s="49">
        <v>46081</v>
      </c>
      <c r="W1508" s="49">
        <v>46081</v>
      </c>
      <c r="X1508" s="48">
        <v>1</v>
      </c>
      <c r="Y1508" s="48">
        <v>1</v>
      </c>
      <c r="Z1508" s="48">
        <v>1</v>
      </c>
      <c r="AA1508" s="156">
        <v>6584.4442839164985</v>
      </c>
      <c r="AF1508" s="48">
        <v>0</v>
      </c>
      <c r="AG1508" s="49" t="s">
        <v>32</v>
      </c>
      <c r="AH1508" s="48">
        <v>1</v>
      </c>
      <c r="AI1508" s="48" t="s">
        <v>33</v>
      </c>
      <c r="AJ1508" s="48" t="s">
        <v>33</v>
      </c>
      <c r="AK1508" s="48" t="s">
        <v>33</v>
      </c>
      <c r="AL1508" s="48" t="s">
        <v>34</v>
      </c>
      <c r="AN1508" s="48">
        <v>0</v>
      </c>
      <c r="AO1508" s="48">
        <v>0</v>
      </c>
      <c r="AP1508" s="48">
        <v>0</v>
      </c>
      <c r="AQ1508" s="48">
        <v>0</v>
      </c>
      <c r="AR1508" s="48">
        <v>0</v>
      </c>
      <c r="AS1508" s="48">
        <v>0</v>
      </c>
      <c r="AT1508" s="48">
        <v>0</v>
      </c>
      <c r="AU1508" s="48">
        <v>0</v>
      </c>
      <c r="AV1508" s="48">
        <v>0</v>
      </c>
      <c r="AW1508" s="48">
        <v>0</v>
      </c>
      <c r="AX1508" s="48">
        <v>0</v>
      </c>
      <c r="AY1508" s="48">
        <v>0</v>
      </c>
      <c r="AZ1508" s="48">
        <v>0</v>
      </c>
      <c r="BA1508" s="48">
        <v>0</v>
      </c>
      <c r="BB1508" s="48">
        <v>0</v>
      </c>
    </row>
    <row r="1509" spans="1:54" x14ac:dyDescent="0.35">
      <c r="A1509" s="49">
        <v>45930</v>
      </c>
      <c r="B1509" s="48">
        <v>1</v>
      </c>
      <c r="C1509" s="50" t="s">
        <v>32</v>
      </c>
      <c r="D1509" s="48" t="s">
        <v>31</v>
      </c>
      <c r="E1509" s="48" t="s">
        <v>138</v>
      </c>
      <c r="F1509" s="48" t="s">
        <v>139</v>
      </c>
      <c r="G1509" s="49" t="s">
        <v>172</v>
      </c>
      <c r="H1509" s="48" t="s">
        <v>173</v>
      </c>
      <c r="I1509" s="48">
        <v>1</v>
      </c>
      <c r="J1509" s="48">
        <v>6</v>
      </c>
      <c r="K1509" s="48">
        <v>1</v>
      </c>
      <c r="N1509" s="48">
        <v>0</v>
      </c>
      <c r="R1509" s="49"/>
      <c r="S1509" s="49"/>
      <c r="T1509" s="49">
        <v>46112</v>
      </c>
      <c r="U1509" s="49">
        <v>46112</v>
      </c>
      <c r="V1509" s="49">
        <v>46112</v>
      </c>
      <c r="W1509" s="49">
        <v>46112</v>
      </c>
      <c r="X1509" s="48">
        <v>1</v>
      </c>
      <c r="Y1509" s="48">
        <v>1</v>
      </c>
      <c r="Z1509" s="48">
        <v>1</v>
      </c>
      <c r="AA1509" s="156">
        <v>6526.1027347856434</v>
      </c>
      <c r="AF1509" s="48">
        <v>0</v>
      </c>
      <c r="AG1509" s="49" t="s">
        <v>32</v>
      </c>
      <c r="AH1509" s="48">
        <v>1</v>
      </c>
      <c r="AI1509" s="48" t="s">
        <v>33</v>
      </c>
      <c r="AJ1509" s="48" t="s">
        <v>33</v>
      </c>
      <c r="AK1509" s="48" t="s">
        <v>33</v>
      </c>
      <c r="AL1509" s="48" t="s">
        <v>34</v>
      </c>
      <c r="AN1509" s="48">
        <v>0</v>
      </c>
      <c r="AO1509" s="48">
        <v>0</v>
      </c>
      <c r="AP1509" s="48">
        <v>0</v>
      </c>
      <c r="AQ1509" s="48">
        <v>0</v>
      </c>
      <c r="AR1509" s="48">
        <v>0</v>
      </c>
      <c r="AS1509" s="48">
        <v>0</v>
      </c>
      <c r="AT1509" s="48">
        <v>0</v>
      </c>
      <c r="AU1509" s="48">
        <v>0</v>
      </c>
      <c r="AV1509" s="48">
        <v>0</v>
      </c>
      <c r="AW1509" s="48">
        <v>0</v>
      </c>
      <c r="AX1509" s="48">
        <v>0</v>
      </c>
      <c r="AY1509" s="48">
        <v>0</v>
      </c>
      <c r="AZ1509" s="48">
        <v>0</v>
      </c>
      <c r="BA1509" s="48">
        <v>0</v>
      </c>
      <c r="BB1509" s="48">
        <v>0</v>
      </c>
    </row>
    <row r="1510" spans="1:54" x14ac:dyDescent="0.35">
      <c r="A1510" s="49">
        <v>45930</v>
      </c>
      <c r="B1510" s="48">
        <v>1</v>
      </c>
      <c r="C1510" s="50" t="s">
        <v>32</v>
      </c>
      <c r="D1510" s="48" t="s">
        <v>31</v>
      </c>
      <c r="E1510" s="48" t="s">
        <v>138</v>
      </c>
      <c r="F1510" s="48" t="s">
        <v>139</v>
      </c>
      <c r="G1510" s="49" t="s">
        <v>172</v>
      </c>
      <c r="H1510" s="48" t="s">
        <v>173</v>
      </c>
      <c r="I1510" s="48">
        <v>1</v>
      </c>
      <c r="J1510" s="48">
        <v>7</v>
      </c>
      <c r="K1510" s="48">
        <v>1</v>
      </c>
      <c r="N1510" s="48">
        <v>0</v>
      </c>
      <c r="R1510" s="49"/>
      <c r="S1510" s="49"/>
      <c r="T1510" s="49">
        <v>46142</v>
      </c>
      <c r="U1510" s="49">
        <v>46142</v>
      </c>
      <c r="V1510" s="49">
        <v>46142</v>
      </c>
      <c r="W1510" s="49">
        <v>46142</v>
      </c>
      <c r="X1510" s="48">
        <v>1</v>
      </c>
      <c r="Y1510" s="48">
        <v>1</v>
      </c>
      <c r="Z1510" s="48">
        <v>1</v>
      </c>
      <c r="AA1510" s="156">
        <v>6468.2781216644216</v>
      </c>
      <c r="AF1510" s="48">
        <v>0</v>
      </c>
      <c r="AG1510" s="49" t="s">
        <v>32</v>
      </c>
      <c r="AH1510" s="48">
        <v>1</v>
      </c>
      <c r="AI1510" s="48" t="s">
        <v>33</v>
      </c>
      <c r="AJ1510" s="48" t="s">
        <v>33</v>
      </c>
      <c r="AK1510" s="48" t="s">
        <v>33</v>
      </c>
      <c r="AL1510" s="48" t="s">
        <v>34</v>
      </c>
      <c r="AN1510" s="48">
        <v>0</v>
      </c>
      <c r="AO1510" s="48">
        <v>0</v>
      </c>
      <c r="AP1510" s="48">
        <v>0</v>
      </c>
      <c r="AQ1510" s="48">
        <v>0</v>
      </c>
      <c r="AR1510" s="48">
        <v>0</v>
      </c>
      <c r="AS1510" s="48">
        <v>0</v>
      </c>
      <c r="AT1510" s="48">
        <v>0</v>
      </c>
      <c r="AU1510" s="48">
        <v>0</v>
      </c>
      <c r="AV1510" s="48">
        <v>0</v>
      </c>
      <c r="AW1510" s="48">
        <v>0</v>
      </c>
      <c r="AX1510" s="48">
        <v>0</v>
      </c>
      <c r="AY1510" s="48">
        <v>0</v>
      </c>
      <c r="AZ1510" s="48">
        <v>0</v>
      </c>
      <c r="BA1510" s="48">
        <v>0</v>
      </c>
      <c r="BB1510" s="48">
        <v>0</v>
      </c>
    </row>
    <row r="1511" spans="1:54" x14ac:dyDescent="0.35">
      <c r="A1511" s="49">
        <v>45930</v>
      </c>
      <c r="B1511" s="48">
        <v>1</v>
      </c>
      <c r="C1511" s="50" t="s">
        <v>32</v>
      </c>
      <c r="D1511" s="48" t="s">
        <v>31</v>
      </c>
      <c r="E1511" s="48" t="s">
        <v>138</v>
      </c>
      <c r="F1511" s="48" t="s">
        <v>139</v>
      </c>
      <c r="G1511" s="49" t="s">
        <v>172</v>
      </c>
      <c r="H1511" s="48" t="s">
        <v>173</v>
      </c>
      <c r="I1511" s="48">
        <v>1</v>
      </c>
      <c r="J1511" s="48">
        <v>8</v>
      </c>
      <c r="K1511" s="48">
        <v>1</v>
      </c>
      <c r="N1511" s="48">
        <v>0</v>
      </c>
      <c r="R1511" s="49"/>
      <c r="S1511" s="49"/>
      <c r="T1511" s="49">
        <v>46173</v>
      </c>
      <c r="U1511" s="49">
        <v>46173</v>
      </c>
      <c r="V1511" s="49">
        <v>46173</v>
      </c>
      <c r="W1511" s="49">
        <v>46173</v>
      </c>
      <c r="X1511" s="48">
        <v>1</v>
      </c>
      <c r="Y1511" s="48">
        <v>1</v>
      </c>
      <c r="Z1511" s="48">
        <v>1</v>
      </c>
      <c r="AA1511" s="156">
        <v>6410.9658642355353</v>
      </c>
      <c r="AF1511" s="48">
        <v>0</v>
      </c>
      <c r="AG1511" s="49" t="s">
        <v>32</v>
      </c>
      <c r="AH1511" s="48">
        <v>1</v>
      </c>
      <c r="AI1511" s="48" t="s">
        <v>33</v>
      </c>
      <c r="AJ1511" s="48" t="s">
        <v>33</v>
      </c>
      <c r="AK1511" s="48" t="s">
        <v>33</v>
      </c>
      <c r="AL1511" s="48" t="s">
        <v>34</v>
      </c>
      <c r="AN1511" s="48">
        <v>0</v>
      </c>
      <c r="AO1511" s="48">
        <v>0</v>
      </c>
      <c r="AP1511" s="48">
        <v>0</v>
      </c>
      <c r="AQ1511" s="48">
        <v>0</v>
      </c>
      <c r="AR1511" s="48">
        <v>0</v>
      </c>
      <c r="AS1511" s="48">
        <v>0</v>
      </c>
      <c r="AT1511" s="48">
        <v>0</v>
      </c>
      <c r="AU1511" s="48">
        <v>0</v>
      </c>
      <c r="AV1511" s="48">
        <v>0</v>
      </c>
      <c r="AW1511" s="48">
        <v>0</v>
      </c>
      <c r="AX1511" s="48">
        <v>0</v>
      </c>
      <c r="AY1511" s="48">
        <v>0</v>
      </c>
      <c r="AZ1511" s="48">
        <v>0</v>
      </c>
      <c r="BA1511" s="48">
        <v>0</v>
      </c>
      <c r="BB1511" s="48">
        <v>0</v>
      </c>
    </row>
    <row r="1512" spans="1:54" x14ac:dyDescent="0.35">
      <c r="A1512" s="49">
        <v>45930</v>
      </c>
      <c r="B1512" s="48">
        <v>1</v>
      </c>
      <c r="C1512" s="50" t="s">
        <v>32</v>
      </c>
      <c r="D1512" s="48" t="s">
        <v>31</v>
      </c>
      <c r="E1512" s="48" t="s">
        <v>138</v>
      </c>
      <c r="F1512" s="48" t="s">
        <v>139</v>
      </c>
      <c r="G1512" s="49" t="s">
        <v>172</v>
      </c>
      <c r="H1512" s="48" t="s">
        <v>173</v>
      </c>
      <c r="I1512" s="48">
        <v>1</v>
      </c>
      <c r="J1512" s="48">
        <v>9</v>
      </c>
      <c r="K1512" s="48">
        <v>1</v>
      </c>
      <c r="N1512" s="48">
        <v>0</v>
      </c>
      <c r="R1512" s="49"/>
      <c r="S1512" s="49"/>
      <c r="T1512" s="49">
        <v>46203</v>
      </c>
      <c r="U1512" s="49">
        <v>46203</v>
      </c>
      <c r="V1512" s="49">
        <v>46203</v>
      </c>
      <c r="W1512" s="49">
        <v>46203</v>
      </c>
      <c r="X1512" s="48">
        <v>1</v>
      </c>
      <c r="Y1512" s="48">
        <v>1</v>
      </c>
      <c r="Z1512" s="48">
        <v>1</v>
      </c>
      <c r="AA1512" s="156">
        <v>6354.1614227643004</v>
      </c>
      <c r="AF1512" s="48">
        <v>0</v>
      </c>
      <c r="AG1512" s="49" t="s">
        <v>32</v>
      </c>
      <c r="AH1512" s="48">
        <v>1</v>
      </c>
      <c r="AI1512" s="48" t="s">
        <v>33</v>
      </c>
      <c r="AJ1512" s="48" t="s">
        <v>33</v>
      </c>
      <c r="AK1512" s="48" t="s">
        <v>33</v>
      </c>
      <c r="AL1512" s="48" t="s">
        <v>34</v>
      </c>
      <c r="AN1512" s="48">
        <v>0</v>
      </c>
      <c r="AO1512" s="48">
        <v>0</v>
      </c>
      <c r="AP1512" s="48">
        <v>0</v>
      </c>
      <c r="AQ1512" s="48">
        <v>0</v>
      </c>
      <c r="AR1512" s="48">
        <v>0</v>
      </c>
      <c r="AS1512" s="48">
        <v>0</v>
      </c>
      <c r="AT1512" s="48">
        <v>0</v>
      </c>
      <c r="AU1512" s="48">
        <v>0</v>
      </c>
      <c r="AV1512" s="48">
        <v>0</v>
      </c>
      <c r="AW1512" s="48">
        <v>0</v>
      </c>
      <c r="AX1512" s="48">
        <v>0</v>
      </c>
      <c r="AY1512" s="48">
        <v>0</v>
      </c>
      <c r="AZ1512" s="48">
        <v>0</v>
      </c>
      <c r="BA1512" s="48">
        <v>0</v>
      </c>
      <c r="BB1512" s="48">
        <v>0</v>
      </c>
    </row>
    <row r="1513" spans="1:54" x14ac:dyDescent="0.35">
      <c r="A1513" s="49">
        <v>45930</v>
      </c>
      <c r="B1513" s="48">
        <v>1</v>
      </c>
      <c r="C1513" s="50" t="s">
        <v>32</v>
      </c>
      <c r="D1513" s="48" t="s">
        <v>31</v>
      </c>
      <c r="E1513" s="48" t="s">
        <v>138</v>
      </c>
      <c r="F1513" s="48" t="s">
        <v>139</v>
      </c>
      <c r="G1513" s="49" t="s">
        <v>172</v>
      </c>
      <c r="H1513" s="48" t="s">
        <v>173</v>
      </c>
      <c r="I1513" s="48">
        <v>1</v>
      </c>
      <c r="J1513" s="48">
        <v>10</v>
      </c>
      <c r="K1513" s="48">
        <v>1</v>
      </c>
      <c r="N1513" s="48">
        <v>0</v>
      </c>
      <c r="R1513" s="49"/>
      <c r="S1513" s="49"/>
      <c r="T1513" s="49">
        <v>46234</v>
      </c>
      <c r="U1513" s="49">
        <v>46234</v>
      </c>
      <c r="V1513" s="49">
        <v>46234</v>
      </c>
      <c r="W1513" s="49">
        <v>46234</v>
      </c>
      <c r="X1513" s="48">
        <v>1</v>
      </c>
      <c r="Y1513" s="48">
        <v>1</v>
      </c>
      <c r="Z1513" s="48">
        <v>1</v>
      </c>
      <c r="AA1513" s="156">
        <v>6297.8602977421833</v>
      </c>
      <c r="AF1513" s="48">
        <v>0</v>
      </c>
      <c r="AG1513" s="49" t="s">
        <v>32</v>
      </c>
      <c r="AH1513" s="48">
        <v>1</v>
      </c>
      <c r="AI1513" s="48" t="s">
        <v>33</v>
      </c>
      <c r="AJ1513" s="48" t="s">
        <v>33</v>
      </c>
      <c r="AK1513" s="48" t="s">
        <v>33</v>
      </c>
      <c r="AL1513" s="48" t="s">
        <v>34</v>
      </c>
      <c r="AN1513" s="48">
        <v>0</v>
      </c>
      <c r="AO1513" s="48">
        <v>0</v>
      </c>
      <c r="AP1513" s="48">
        <v>0</v>
      </c>
      <c r="AQ1513" s="48">
        <v>0</v>
      </c>
      <c r="AR1513" s="48">
        <v>0</v>
      </c>
      <c r="AS1513" s="48">
        <v>0</v>
      </c>
      <c r="AT1513" s="48">
        <v>0</v>
      </c>
      <c r="AU1513" s="48">
        <v>0</v>
      </c>
      <c r="AV1513" s="48">
        <v>0</v>
      </c>
      <c r="AW1513" s="48">
        <v>0</v>
      </c>
      <c r="AX1513" s="48">
        <v>0</v>
      </c>
      <c r="AY1513" s="48">
        <v>0</v>
      </c>
      <c r="AZ1513" s="48">
        <v>0</v>
      </c>
      <c r="BA1513" s="48">
        <v>0</v>
      </c>
      <c r="BB1513" s="48">
        <v>0</v>
      </c>
    </row>
    <row r="1514" spans="1:54" x14ac:dyDescent="0.35">
      <c r="A1514" s="49">
        <v>45930</v>
      </c>
      <c r="B1514" s="48">
        <v>1</v>
      </c>
      <c r="C1514" s="50" t="s">
        <v>32</v>
      </c>
      <c r="D1514" s="48" t="s">
        <v>31</v>
      </c>
      <c r="E1514" s="48" t="s">
        <v>138</v>
      </c>
      <c r="F1514" s="48" t="s">
        <v>139</v>
      </c>
      <c r="G1514" s="49" t="s">
        <v>172</v>
      </c>
      <c r="H1514" s="48" t="s">
        <v>173</v>
      </c>
      <c r="I1514" s="48">
        <v>1</v>
      </c>
      <c r="J1514" s="48">
        <v>11</v>
      </c>
      <c r="K1514" s="48">
        <v>1</v>
      </c>
      <c r="N1514" s="48">
        <v>0</v>
      </c>
      <c r="R1514" s="49"/>
      <c r="S1514" s="49"/>
      <c r="T1514" s="49">
        <v>46265</v>
      </c>
      <c r="U1514" s="49">
        <v>46265</v>
      </c>
      <c r="V1514" s="49">
        <v>46265</v>
      </c>
      <c r="W1514" s="49">
        <v>46265</v>
      </c>
      <c r="X1514" s="48">
        <v>1</v>
      </c>
      <c r="Y1514" s="48">
        <v>1</v>
      </c>
      <c r="Z1514" s="48">
        <v>1</v>
      </c>
      <c r="AA1514" s="156">
        <v>6242.0580295266118</v>
      </c>
      <c r="AF1514" s="48">
        <v>0</v>
      </c>
      <c r="AG1514" s="49" t="s">
        <v>32</v>
      </c>
      <c r="AH1514" s="48">
        <v>1</v>
      </c>
      <c r="AI1514" s="48" t="s">
        <v>33</v>
      </c>
      <c r="AJ1514" s="48" t="s">
        <v>33</v>
      </c>
      <c r="AK1514" s="48" t="s">
        <v>33</v>
      </c>
      <c r="AL1514" s="48" t="s">
        <v>34</v>
      </c>
      <c r="AN1514" s="48">
        <v>0</v>
      </c>
      <c r="AO1514" s="48">
        <v>0</v>
      </c>
      <c r="AP1514" s="48">
        <v>0</v>
      </c>
      <c r="AQ1514" s="48">
        <v>0</v>
      </c>
      <c r="AR1514" s="48">
        <v>0</v>
      </c>
      <c r="AS1514" s="48">
        <v>0</v>
      </c>
      <c r="AT1514" s="48">
        <v>0</v>
      </c>
      <c r="AU1514" s="48">
        <v>0</v>
      </c>
      <c r="AV1514" s="48">
        <v>0</v>
      </c>
      <c r="AW1514" s="48">
        <v>0</v>
      </c>
      <c r="AX1514" s="48">
        <v>0</v>
      </c>
      <c r="AY1514" s="48">
        <v>0</v>
      </c>
      <c r="AZ1514" s="48">
        <v>0</v>
      </c>
      <c r="BA1514" s="48">
        <v>0</v>
      </c>
      <c r="BB1514" s="48">
        <v>0</v>
      </c>
    </row>
    <row r="1515" spans="1:54" x14ac:dyDescent="0.35">
      <c r="A1515" s="49">
        <v>45930</v>
      </c>
      <c r="B1515" s="48">
        <v>1</v>
      </c>
      <c r="C1515" s="50" t="s">
        <v>32</v>
      </c>
      <c r="D1515" s="48" t="s">
        <v>31</v>
      </c>
      <c r="E1515" s="48" t="s">
        <v>138</v>
      </c>
      <c r="F1515" s="48" t="s">
        <v>139</v>
      </c>
      <c r="G1515" s="49" t="s">
        <v>172</v>
      </c>
      <c r="H1515" s="48" t="s">
        <v>173</v>
      </c>
      <c r="I1515" s="48">
        <v>1</v>
      </c>
      <c r="J1515" s="48">
        <v>12</v>
      </c>
      <c r="K1515" s="48">
        <v>1</v>
      </c>
      <c r="N1515" s="48">
        <v>0</v>
      </c>
      <c r="R1515" s="49"/>
      <c r="S1515" s="49"/>
      <c r="T1515" s="49">
        <v>46295</v>
      </c>
      <c r="U1515" s="49">
        <v>46295</v>
      </c>
      <c r="V1515" s="49">
        <v>46295</v>
      </c>
      <c r="W1515" s="49">
        <v>46295</v>
      </c>
      <c r="X1515" s="48">
        <v>1</v>
      </c>
      <c r="Y1515" s="48">
        <v>1</v>
      </c>
      <c r="Z1515" s="48">
        <v>1</v>
      </c>
      <c r="AA1515" s="156">
        <v>6186.750197991496</v>
      </c>
      <c r="AF1515" s="48">
        <v>0</v>
      </c>
      <c r="AG1515" s="49" t="s">
        <v>32</v>
      </c>
      <c r="AH1515" s="48">
        <v>1</v>
      </c>
      <c r="AI1515" s="48" t="s">
        <v>33</v>
      </c>
      <c r="AJ1515" s="48" t="s">
        <v>33</v>
      </c>
      <c r="AK1515" s="48" t="s">
        <v>33</v>
      </c>
      <c r="AL1515" s="48" t="s">
        <v>34</v>
      </c>
      <c r="AN1515" s="48">
        <v>0</v>
      </c>
      <c r="AO1515" s="48">
        <v>0</v>
      </c>
      <c r="AP1515" s="48">
        <v>0</v>
      </c>
      <c r="AQ1515" s="48">
        <v>0</v>
      </c>
      <c r="AR1515" s="48">
        <v>0</v>
      </c>
      <c r="AS1515" s="48">
        <v>0</v>
      </c>
      <c r="AT1515" s="48">
        <v>0</v>
      </c>
      <c r="AU1515" s="48">
        <v>0</v>
      </c>
      <c r="AV1515" s="48">
        <v>0</v>
      </c>
      <c r="AW1515" s="48">
        <v>0</v>
      </c>
      <c r="AX1515" s="48">
        <v>0</v>
      </c>
      <c r="AY1515" s="48">
        <v>0</v>
      </c>
      <c r="AZ1515" s="48">
        <v>0</v>
      </c>
      <c r="BA1515" s="48">
        <v>0</v>
      </c>
      <c r="BB1515" s="48">
        <v>0</v>
      </c>
    </row>
    <row r="1516" spans="1:54" x14ac:dyDescent="0.35">
      <c r="A1516" s="49">
        <v>45930</v>
      </c>
      <c r="B1516" s="48">
        <v>1</v>
      </c>
      <c r="C1516" s="50" t="s">
        <v>32</v>
      </c>
      <c r="D1516" s="48" t="s">
        <v>31</v>
      </c>
      <c r="E1516" s="48" t="s">
        <v>138</v>
      </c>
      <c r="F1516" s="48" t="s">
        <v>139</v>
      </c>
      <c r="G1516" s="49" t="s">
        <v>172</v>
      </c>
      <c r="H1516" s="48" t="s">
        <v>173</v>
      </c>
      <c r="I1516" s="48">
        <v>1</v>
      </c>
      <c r="J1516" s="48">
        <v>13</v>
      </c>
      <c r="K1516" s="48">
        <v>1</v>
      </c>
      <c r="N1516" s="48">
        <v>0</v>
      </c>
      <c r="R1516" s="49"/>
      <c r="S1516" s="49"/>
      <c r="T1516" s="49">
        <v>46326</v>
      </c>
      <c r="U1516" s="49">
        <v>46326</v>
      </c>
      <c r="V1516" s="49">
        <v>46326</v>
      </c>
      <c r="W1516" s="49">
        <v>46326</v>
      </c>
      <c r="X1516" s="48">
        <v>1</v>
      </c>
      <c r="Y1516" s="48">
        <v>1</v>
      </c>
      <c r="Z1516" s="48">
        <v>1</v>
      </c>
      <c r="AA1516" s="156">
        <v>6131.9324221743736</v>
      </c>
      <c r="AF1516" s="48">
        <v>0</v>
      </c>
      <c r="AG1516" s="49" t="s">
        <v>32</v>
      </c>
      <c r="AH1516" s="48">
        <v>1</v>
      </c>
      <c r="AI1516" s="48" t="s">
        <v>33</v>
      </c>
      <c r="AJ1516" s="48" t="s">
        <v>33</v>
      </c>
      <c r="AK1516" s="48" t="s">
        <v>33</v>
      </c>
      <c r="AL1516" s="48" t="s">
        <v>34</v>
      </c>
      <c r="AN1516" s="48">
        <v>0</v>
      </c>
      <c r="AO1516" s="48">
        <v>0</v>
      </c>
      <c r="AP1516" s="48">
        <v>0</v>
      </c>
      <c r="AQ1516" s="48">
        <v>0</v>
      </c>
      <c r="AR1516" s="48">
        <v>0</v>
      </c>
      <c r="AS1516" s="48">
        <v>0</v>
      </c>
      <c r="AT1516" s="48">
        <v>0</v>
      </c>
      <c r="AU1516" s="48">
        <v>0</v>
      </c>
      <c r="AV1516" s="48">
        <v>0</v>
      </c>
      <c r="AW1516" s="48">
        <v>0</v>
      </c>
      <c r="AX1516" s="48">
        <v>0</v>
      </c>
      <c r="AY1516" s="48">
        <v>0</v>
      </c>
      <c r="AZ1516" s="48">
        <v>0</v>
      </c>
      <c r="BA1516" s="48">
        <v>0</v>
      </c>
      <c r="BB1516" s="48">
        <v>0</v>
      </c>
    </row>
    <row r="1517" spans="1:54" x14ac:dyDescent="0.35">
      <c r="A1517" s="49">
        <v>45930</v>
      </c>
      <c r="B1517" s="48">
        <v>1</v>
      </c>
      <c r="C1517" s="50" t="s">
        <v>32</v>
      </c>
      <c r="D1517" s="48" t="s">
        <v>31</v>
      </c>
      <c r="E1517" s="48" t="s">
        <v>138</v>
      </c>
      <c r="F1517" s="48" t="s">
        <v>139</v>
      </c>
      <c r="G1517" s="49" t="s">
        <v>172</v>
      </c>
      <c r="H1517" s="48" t="s">
        <v>173</v>
      </c>
      <c r="I1517" s="48">
        <v>1</v>
      </c>
      <c r="J1517" s="48">
        <v>14</v>
      </c>
      <c r="K1517" s="48">
        <v>1</v>
      </c>
      <c r="N1517" s="48">
        <v>0</v>
      </c>
      <c r="R1517" s="49"/>
      <c r="S1517" s="49"/>
      <c r="T1517" s="49">
        <v>46356</v>
      </c>
      <c r="U1517" s="49">
        <v>46356</v>
      </c>
      <c r="V1517" s="49">
        <v>46356</v>
      </c>
      <c r="W1517" s="49">
        <v>46356</v>
      </c>
      <c r="X1517" s="48">
        <v>1</v>
      </c>
      <c r="Y1517" s="48">
        <v>1</v>
      </c>
      <c r="Z1517" s="48">
        <v>1</v>
      </c>
      <c r="AA1517" s="156">
        <v>6077.6003599303076</v>
      </c>
      <c r="AF1517" s="48">
        <v>0</v>
      </c>
      <c r="AG1517" s="49" t="s">
        <v>32</v>
      </c>
      <c r="AH1517" s="48">
        <v>1</v>
      </c>
      <c r="AI1517" s="48" t="s">
        <v>33</v>
      </c>
      <c r="AJ1517" s="48" t="s">
        <v>33</v>
      </c>
      <c r="AK1517" s="48" t="s">
        <v>33</v>
      </c>
      <c r="AL1517" s="48" t="s">
        <v>34</v>
      </c>
      <c r="AN1517" s="48">
        <v>0</v>
      </c>
      <c r="AO1517" s="48">
        <v>0</v>
      </c>
      <c r="AP1517" s="48">
        <v>0</v>
      </c>
      <c r="AQ1517" s="48">
        <v>0</v>
      </c>
      <c r="AR1517" s="48">
        <v>0</v>
      </c>
      <c r="AS1517" s="48">
        <v>0</v>
      </c>
      <c r="AT1517" s="48">
        <v>0</v>
      </c>
      <c r="AU1517" s="48">
        <v>0</v>
      </c>
      <c r="AV1517" s="48">
        <v>0</v>
      </c>
      <c r="AW1517" s="48">
        <v>0</v>
      </c>
      <c r="AX1517" s="48">
        <v>0</v>
      </c>
      <c r="AY1517" s="48">
        <v>0</v>
      </c>
      <c r="AZ1517" s="48">
        <v>0</v>
      </c>
      <c r="BA1517" s="48">
        <v>0</v>
      </c>
      <c r="BB1517" s="48">
        <v>0</v>
      </c>
    </row>
    <row r="1518" spans="1:54" x14ac:dyDescent="0.35">
      <c r="A1518" s="49">
        <v>45930</v>
      </c>
      <c r="B1518" s="48">
        <v>1</v>
      </c>
      <c r="C1518" s="50" t="s">
        <v>32</v>
      </c>
      <c r="D1518" s="48" t="s">
        <v>31</v>
      </c>
      <c r="E1518" s="48" t="s">
        <v>138</v>
      </c>
      <c r="F1518" s="48" t="s">
        <v>139</v>
      </c>
      <c r="G1518" s="49" t="s">
        <v>172</v>
      </c>
      <c r="H1518" s="48" t="s">
        <v>173</v>
      </c>
      <c r="I1518" s="48">
        <v>1</v>
      </c>
      <c r="J1518" s="48">
        <v>15</v>
      </c>
      <c r="K1518" s="48">
        <v>1</v>
      </c>
      <c r="N1518" s="48">
        <v>0</v>
      </c>
      <c r="R1518" s="49"/>
      <c r="S1518" s="49"/>
      <c r="T1518" s="49">
        <v>46387</v>
      </c>
      <c r="U1518" s="49">
        <v>46387</v>
      </c>
      <c r="V1518" s="49">
        <v>46387</v>
      </c>
      <c r="W1518" s="49">
        <v>46387</v>
      </c>
      <c r="X1518" s="48">
        <v>1</v>
      </c>
      <c r="Y1518" s="48">
        <v>1</v>
      </c>
      <c r="Z1518" s="48">
        <v>1</v>
      </c>
      <c r="AA1518" s="156">
        <v>6023.7497075885767</v>
      </c>
      <c r="AF1518" s="48">
        <v>0</v>
      </c>
      <c r="AG1518" s="49" t="s">
        <v>32</v>
      </c>
      <c r="AH1518" s="48">
        <v>1</v>
      </c>
      <c r="AI1518" s="48" t="s">
        <v>33</v>
      </c>
      <c r="AJ1518" s="48" t="s">
        <v>33</v>
      </c>
      <c r="AK1518" s="48" t="s">
        <v>33</v>
      </c>
      <c r="AL1518" s="48" t="s">
        <v>34</v>
      </c>
      <c r="AN1518" s="48">
        <v>0</v>
      </c>
      <c r="AO1518" s="48">
        <v>0</v>
      </c>
      <c r="AP1518" s="48">
        <v>0</v>
      </c>
      <c r="AQ1518" s="48">
        <v>0</v>
      </c>
      <c r="AR1518" s="48">
        <v>0</v>
      </c>
      <c r="AS1518" s="48">
        <v>0</v>
      </c>
      <c r="AT1518" s="48">
        <v>0</v>
      </c>
      <c r="AU1518" s="48">
        <v>0</v>
      </c>
      <c r="AV1518" s="48">
        <v>0</v>
      </c>
      <c r="AW1518" s="48">
        <v>0</v>
      </c>
      <c r="AX1518" s="48">
        <v>0</v>
      </c>
      <c r="AY1518" s="48">
        <v>0</v>
      </c>
      <c r="AZ1518" s="48">
        <v>0</v>
      </c>
      <c r="BA1518" s="48">
        <v>0</v>
      </c>
      <c r="BB1518" s="48">
        <v>0</v>
      </c>
    </row>
    <row r="1519" spans="1:54" x14ac:dyDescent="0.35">
      <c r="A1519" s="49">
        <v>45930</v>
      </c>
      <c r="B1519" s="48">
        <v>1</v>
      </c>
      <c r="C1519" s="50" t="s">
        <v>32</v>
      </c>
      <c r="D1519" s="48" t="s">
        <v>31</v>
      </c>
      <c r="E1519" s="48" t="s">
        <v>138</v>
      </c>
      <c r="F1519" s="48" t="s">
        <v>139</v>
      </c>
      <c r="G1519" s="49" t="s">
        <v>172</v>
      </c>
      <c r="H1519" s="48" t="s">
        <v>173</v>
      </c>
      <c r="I1519" s="48">
        <v>1</v>
      </c>
      <c r="J1519" s="48">
        <v>16</v>
      </c>
      <c r="K1519" s="48">
        <v>1</v>
      </c>
      <c r="N1519" s="48">
        <v>0</v>
      </c>
      <c r="R1519" s="49"/>
      <c r="S1519" s="49"/>
      <c r="T1519" s="49">
        <v>46418</v>
      </c>
      <c r="U1519" s="49">
        <v>46418</v>
      </c>
      <c r="V1519" s="49">
        <v>46418</v>
      </c>
      <c r="W1519" s="49">
        <v>46418</v>
      </c>
      <c r="X1519" s="48">
        <v>1</v>
      </c>
      <c r="Y1519" s="48">
        <v>1</v>
      </c>
      <c r="Z1519" s="48">
        <v>1</v>
      </c>
      <c r="AA1519" s="156">
        <v>5970.3761996107642</v>
      </c>
      <c r="AF1519" s="48">
        <v>0</v>
      </c>
      <c r="AG1519" s="49" t="s">
        <v>32</v>
      </c>
      <c r="AH1519" s="48">
        <v>1</v>
      </c>
      <c r="AI1519" s="48" t="s">
        <v>33</v>
      </c>
      <c r="AJ1519" s="48" t="s">
        <v>33</v>
      </c>
      <c r="AK1519" s="48" t="s">
        <v>33</v>
      </c>
      <c r="AL1519" s="48" t="s">
        <v>34</v>
      </c>
      <c r="AN1519" s="48">
        <v>0</v>
      </c>
      <c r="AO1519" s="48">
        <v>0</v>
      </c>
      <c r="AP1519" s="48">
        <v>0</v>
      </c>
      <c r="AQ1519" s="48">
        <v>0</v>
      </c>
      <c r="AR1519" s="48">
        <v>0</v>
      </c>
      <c r="AS1519" s="48">
        <v>0</v>
      </c>
      <c r="AT1519" s="48">
        <v>0</v>
      </c>
      <c r="AU1519" s="48">
        <v>0</v>
      </c>
      <c r="AV1519" s="48">
        <v>0</v>
      </c>
      <c r="AW1519" s="48">
        <v>0</v>
      </c>
      <c r="AX1519" s="48">
        <v>0</v>
      </c>
      <c r="AY1519" s="48">
        <v>0</v>
      </c>
      <c r="AZ1519" s="48">
        <v>0</v>
      </c>
      <c r="BA1519" s="48">
        <v>0</v>
      </c>
      <c r="BB1519" s="48">
        <v>0</v>
      </c>
    </row>
    <row r="1520" spans="1:54" x14ac:dyDescent="0.35">
      <c r="A1520" s="49">
        <v>45930</v>
      </c>
      <c r="B1520" s="48">
        <v>1</v>
      </c>
      <c r="C1520" s="50" t="s">
        <v>32</v>
      </c>
      <c r="D1520" s="48" t="s">
        <v>31</v>
      </c>
      <c r="E1520" s="48" t="s">
        <v>138</v>
      </c>
      <c r="F1520" s="48" t="s">
        <v>139</v>
      </c>
      <c r="G1520" s="49" t="s">
        <v>172</v>
      </c>
      <c r="H1520" s="48" t="s">
        <v>173</v>
      </c>
      <c r="I1520" s="48">
        <v>1</v>
      </c>
      <c r="J1520" s="48">
        <v>17</v>
      </c>
      <c r="K1520" s="48">
        <v>1</v>
      </c>
      <c r="N1520" s="48">
        <v>0</v>
      </c>
      <c r="R1520" s="49"/>
      <c r="S1520" s="49"/>
      <c r="T1520" s="49">
        <v>46446</v>
      </c>
      <c r="U1520" s="49">
        <v>46446</v>
      </c>
      <c r="V1520" s="49">
        <v>46446</v>
      </c>
      <c r="W1520" s="49">
        <v>46446</v>
      </c>
      <c r="X1520" s="48">
        <v>1</v>
      </c>
      <c r="Y1520" s="48">
        <v>1</v>
      </c>
      <c r="Z1520" s="48">
        <v>1</v>
      </c>
      <c r="AA1520" s="156">
        <v>5917.4756082532695</v>
      </c>
      <c r="AF1520" s="48">
        <v>0</v>
      </c>
      <c r="AG1520" s="49" t="s">
        <v>32</v>
      </c>
      <c r="AH1520" s="48">
        <v>1</v>
      </c>
      <c r="AI1520" s="48" t="s">
        <v>33</v>
      </c>
      <c r="AJ1520" s="48" t="s">
        <v>33</v>
      </c>
      <c r="AK1520" s="48" t="s">
        <v>33</v>
      </c>
      <c r="AL1520" s="48" t="s">
        <v>34</v>
      </c>
      <c r="AN1520" s="48">
        <v>0</v>
      </c>
      <c r="AO1520" s="48">
        <v>0</v>
      </c>
      <c r="AP1520" s="48">
        <v>0</v>
      </c>
      <c r="AQ1520" s="48">
        <v>0</v>
      </c>
      <c r="AR1520" s="48">
        <v>0</v>
      </c>
      <c r="AS1520" s="48">
        <v>0</v>
      </c>
      <c r="AT1520" s="48">
        <v>0</v>
      </c>
      <c r="AU1520" s="48">
        <v>0</v>
      </c>
      <c r="AV1520" s="48">
        <v>0</v>
      </c>
      <c r="AW1520" s="48">
        <v>0</v>
      </c>
      <c r="AX1520" s="48">
        <v>0</v>
      </c>
      <c r="AY1520" s="48">
        <v>0</v>
      </c>
      <c r="AZ1520" s="48">
        <v>0</v>
      </c>
      <c r="BA1520" s="48">
        <v>0</v>
      </c>
      <c r="BB1520" s="48">
        <v>0</v>
      </c>
    </row>
    <row r="1521" spans="1:54" x14ac:dyDescent="0.35">
      <c r="A1521" s="49">
        <v>45930</v>
      </c>
      <c r="B1521" s="48">
        <v>1</v>
      </c>
      <c r="C1521" s="50" t="s">
        <v>32</v>
      </c>
      <c r="D1521" s="48" t="s">
        <v>31</v>
      </c>
      <c r="E1521" s="48" t="s">
        <v>138</v>
      </c>
      <c r="F1521" s="48" t="s">
        <v>139</v>
      </c>
      <c r="G1521" s="49" t="s">
        <v>172</v>
      </c>
      <c r="H1521" s="48" t="s">
        <v>173</v>
      </c>
      <c r="I1521" s="48">
        <v>1</v>
      </c>
      <c r="J1521" s="48">
        <v>18</v>
      </c>
      <c r="K1521" s="48">
        <v>1</v>
      </c>
      <c r="N1521" s="48">
        <v>0</v>
      </c>
      <c r="R1521" s="49"/>
      <c r="S1521" s="49"/>
      <c r="T1521" s="49">
        <v>46477</v>
      </c>
      <c r="U1521" s="49">
        <v>46477</v>
      </c>
      <c r="V1521" s="49">
        <v>46477</v>
      </c>
      <c r="W1521" s="49">
        <v>46477</v>
      </c>
      <c r="X1521" s="48">
        <v>1</v>
      </c>
      <c r="Y1521" s="48">
        <v>1</v>
      </c>
      <c r="Z1521" s="48">
        <v>1</v>
      </c>
      <c r="AA1521" s="156">
        <v>5865.0437432326144</v>
      </c>
      <c r="AF1521" s="48">
        <v>0</v>
      </c>
      <c r="AG1521" s="49" t="s">
        <v>32</v>
      </c>
      <c r="AH1521" s="48">
        <v>1</v>
      </c>
      <c r="AI1521" s="48" t="s">
        <v>33</v>
      </c>
      <c r="AJ1521" s="48" t="s">
        <v>33</v>
      </c>
      <c r="AK1521" s="48" t="s">
        <v>33</v>
      </c>
      <c r="AL1521" s="48" t="s">
        <v>34</v>
      </c>
      <c r="AN1521" s="48">
        <v>0</v>
      </c>
      <c r="AO1521" s="48">
        <v>0</v>
      </c>
      <c r="AP1521" s="48">
        <v>0</v>
      </c>
      <c r="AQ1521" s="48">
        <v>0</v>
      </c>
      <c r="AR1521" s="48">
        <v>0</v>
      </c>
      <c r="AS1521" s="48">
        <v>0</v>
      </c>
      <c r="AT1521" s="48">
        <v>0</v>
      </c>
      <c r="AU1521" s="48">
        <v>0</v>
      </c>
      <c r="AV1521" s="48">
        <v>0</v>
      </c>
      <c r="AW1521" s="48">
        <v>0</v>
      </c>
      <c r="AX1521" s="48">
        <v>0</v>
      </c>
      <c r="AY1521" s="48">
        <v>0</v>
      </c>
      <c r="AZ1521" s="48">
        <v>0</v>
      </c>
      <c r="BA1521" s="48">
        <v>0</v>
      </c>
      <c r="BB1521" s="48">
        <v>0</v>
      </c>
    </row>
    <row r="1522" spans="1:54" x14ac:dyDescent="0.35">
      <c r="A1522" s="49">
        <v>45930</v>
      </c>
      <c r="B1522" s="48">
        <v>1</v>
      </c>
      <c r="C1522" s="50" t="s">
        <v>32</v>
      </c>
      <c r="D1522" s="48" t="s">
        <v>31</v>
      </c>
      <c r="E1522" s="48" t="s">
        <v>138</v>
      </c>
      <c r="F1522" s="48" t="s">
        <v>139</v>
      </c>
      <c r="G1522" s="49" t="s">
        <v>172</v>
      </c>
      <c r="H1522" s="48" t="s">
        <v>173</v>
      </c>
      <c r="I1522" s="48">
        <v>1</v>
      </c>
      <c r="J1522" s="48">
        <v>19</v>
      </c>
      <c r="K1522" s="48">
        <v>1</v>
      </c>
      <c r="N1522" s="48">
        <v>0</v>
      </c>
      <c r="R1522" s="49"/>
      <c r="S1522" s="49"/>
      <c r="T1522" s="49">
        <v>46507</v>
      </c>
      <c r="U1522" s="49">
        <v>46507</v>
      </c>
      <c r="V1522" s="49">
        <v>46507</v>
      </c>
      <c r="W1522" s="49">
        <v>46507</v>
      </c>
      <c r="X1522" s="48">
        <v>1</v>
      </c>
      <c r="Y1522" s="48">
        <v>1</v>
      </c>
      <c r="Z1522" s="48">
        <v>1</v>
      </c>
      <c r="AA1522" s="156">
        <v>5813.0764513935428</v>
      </c>
      <c r="AF1522" s="48">
        <v>0</v>
      </c>
      <c r="AG1522" s="49" t="s">
        <v>32</v>
      </c>
      <c r="AH1522" s="48">
        <v>1</v>
      </c>
      <c r="AI1522" s="48" t="s">
        <v>33</v>
      </c>
      <c r="AJ1522" s="48" t="s">
        <v>33</v>
      </c>
      <c r="AK1522" s="48" t="s">
        <v>33</v>
      </c>
      <c r="AL1522" s="48" t="s">
        <v>34</v>
      </c>
      <c r="AN1522" s="48">
        <v>0</v>
      </c>
      <c r="AO1522" s="48">
        <v>0</v>
      </c>
      <c r="AP1522" s="48">
        <v>0</v>
      </c>
      <c r="AQ1522" s="48">
        <v>0</v>
      </c>
      <c r="AR1522" s="48">
        <v>0</v>
      </c>
      <c r="AS1522" s="48">
        <v>0</v>
      </c>
      <c r="AT1522" s="48">
        <v>0</v>
      </c>
      <c r="AU1522" s="48">
        <v>0</v>
      </c>
      <c r="AV1522" s="48">
        <v>0</v>
      </c>
      <c r="AW1522" s="48">
        <v>0</v>
      </c>
      <c r="AX1522" s="48">
        <v>0</v>
      </c>
      <c r="AY1522" s="48">
        <v>0</v>
      </c>
      <c r="AZ1522" s="48">
        <v>0</v>
      </c>
      <c r="BA1522" s="48">
        <v>0</v>
      </c>
      <c r="BB1522" s="48">
        <v>0</v>
      </c>
    </row>
    <row r="1523" spans="1:54" x14ac:dyDescent="0.35">
      <c r="A1523" s="49">
        <v>45930</v>
      </c>
      <c r="B1523" s="48">
        <v>1</v>
      </c>
      <c r="C1523" s="50" t="s">
        <v>32</v>
      </c>
      <c r="D1523" s="48" t="s">
        <v>31</v>
      </c>
      <c r="E1523" s="48" t="s">
        <v>138</v>
      </c>
      <c r="F1523" s="48" t="s">
        <v>139</v>
      </c>
      <c r="G1523" s="49" t="s">
        <v>172</v>
      </c>
      <c r="H1523" s="48" t="s">
        <v>173</v>
      </c>
      <c r="I1523" s="48">
        <v>1</v>
      </c>
      <c r="J1523" s="48">
        <v>20</v>
      </c>
      <c r="K1523" s="48">
        <v>1</v>
      </c>
      <c r="N1523" s="48">
        <v>0</v>
      </c>
      <c r="R1523" s="49"/>
      <c r="S1523" s="49"/>
      <c r="T1523" s="49">
        <v>46538</v>
      </c>
      <c r="U1523" s="49">
        <v>46538</v>
      </c>
      <c r="V1523" s="49">
        <v>46538</v>
      </c>
      <c r="W1523" s="49">
        <v>46538</v>
      </c>
      <c r="X1523" s="48">
        <v>1</v>
      </c>
      <c r="Y1523" s="48">
        <v>1</v>
      </c>
      <c r="Z1523" s="48">
        <v>1</v>
      </c>
      <c r="AA1523" s="156">
        <v>5761.5696163795656</v>
      </c>
      <c r="AF1523" s="48">
        <v>0</v>
      </c>
      <c r="AG1523" s="49" t="s">
        <v>32</v>
      </c>
      <c r="AH1523" s="48">
        <v>1</v>
      </c>
      <c r="AI1523" s="48" t="s">
        <v>33</v>
      </c>
      <c r="AJ1523" s="48" t="s">
        <v>33</v>
      </c>
      <c r="AK1523" s="48" t="s">
        <v>33</v>
      </c>
      <c r="AL1523" s="48" t="s">
        <v>34</v>
      </c>
      <c r="AN1523" s="48">
        <v>0</v>
      </c>
      <c r="AO1523" s="48">
        <v>0</v>
      </c>
      <c r="AP1523" s="48">
        <v>0</v>
      </c>
      <c r="AQ1523" s="48">
        <v>0</v>
      </c>
      <c r="AR1523" s="48">
        <v>0</v>
      </c>
      <c r="AS1523" s="48">
        <v>0</v>
      </c>
      <c r="AT1523" s="48">
        <v>0</v>
      </c>
      <c r="AU1523" s="48">
        <v>0</v>
      </c>
      <c r="AV1523" s="48">
        <v>0</v>
      </c>
      <c r="AW1523" s="48">
        <v>0</v>
      </c>
      <c r="AX1523" s="48">
        <v>0</v>
      </c>
      <c r="AY1523" s="48">
        <v>0</v>
      </c>
      <c r="AZ1523" s="48">
        <v>0</v>
      </c>
      <c r="BA1523" s="48">
        <v>0</v>
      </c>
      <c r="BB1523" s="48">
        <v>0</v>
      </c>
    </row>
    <row r="1524" spans="1:54" x14ac:dyDescent="0.35">
      <c r="A1524" s="49">
        <v>45930</v>
      </c>
      <c r="B1524" s="48">
        <v>1</v>
      </c>
      <c r="C1524" s="50" t="s">
        <v>32</v>
      </c>
      <c r="D1524" s="48" t="s">
        <v>31</v>
      </c>
      <c r="E1524" s="48" t="s">
        <v>138</v>
      </c>
      <c r="F1524" s="48" t="s">
        <v>139</v>
      </c>
      <c r="G1524" s="49" t="s">
        <v>172</v>
      </c>
      <c r="H1524" s="48" t="s">
        <v>173</v>
      </c>
      <c r="I1524" s="48">
        <v>1</v>
      </c>
      <c r="J1524" s="48">
        <v>21</v>
      </c>
      <c r="K1524" s="48">
        <v>1</v>
      </c>
      <c r="N1524" s="48">
        <v>0</v>
      </c>
      <c r="R1524" s="49"/>
      <c r="S1524" s="49"/>
      <c r="T1524" s="49">
        <v>46568</v>
      </c>
      <c r="U1524" s="49">
        <v>46568</v>
      </c>
      <c r="V1524" s="49">
        <v>46568</v>
      </c>
      <c r="W1524" s="49">
        <v>46568</v>
      </c>
      <c r="X1524" s="48">
        <v>1</v>
      </c>
      <c r="Y1524" s="48">
        <v>1</v>
      </c>
      <c r="Z1524" s="48">
        <v>1</v>
      </c>
      <c r="AA1524" s="156">
        <v>5710.5191583074629</v>
      </c>
      <c r="AF1524" s="48">
        <v>0</v>
      </c>
      <c r="AG1524" s="49" t="s">
        <v>32</v>
      </c>
      <c r="AH1524" s="48">
        <v>1</v>
      </c>
      <c r="AI1524" s="48" t="s">
        <v>33</v>
      </c>
      <c r="AJ1524" s="48" t="s">
        <v>33</v>
      </c>
      <c r="AK1524" s="48" t="s">
        <v>33</v>
      </c>
      <c r="AL1524" s="48" t="s">
        <v>34</v>
      </c>
      <c r="AN1524" s="48">
        <v>0</v>
      </c>
      <c r="AO1524" s="48">
        <v>0</v>
      </c>
      <c r="AP1524" s="48">
        <v>0</v>
      </c>
      <c r="AQ1524" s="48">
        <v>0</v>
      </c>
      <c r="AR1524" s="48">
        <v>0</v>
      </c>
      <c r="AS1524" s="48">
        <v>0</v>
      </c>
      <c r="AT1524" s="48">
        <v>0</v>
      </c>
      <c r="AU1524" s="48">
        <v>0</v>
      </c>
      <c r="AV1524" s="48">
        <v>0</v>
      </c>
      <c r="AW1524" s="48">
        <v>0</v>
      </c>
      <c r="AX1524" s="48">
        <v>0</v>
      </c>
      <c r="AY1524" s="48">
        <v>0</v>
      </c>
      <c r="AZ1524" s="48">
        <v>0</v>
      </c>
      <c r="BA1524" s="48">
        <v>0</v>
      </c>
      <c r="BB1524" s="48">
        <v>0</v>
      </c>
    </row>
    <row r="1525" spans="1:54" x14ac:dyDescent="0.35">
      <c r="A1525" s="49">
        <v>45930</v>
      </c>
      <c r="B1525" s="48">
        <v>1</v>
      </c>
      <c r="C1525" s="50" t="s">
        <v>32</v>
      </c>
      <c r="D1525" s="48" t="s">
        <v>31</v>
      </c>
      <c r="E1525" s="48" t="s">
        <v>138</v>
      </c>
      <c r="F1525" s="48" t="s">
        <v>139</v>
      </c>
      <c r="G1525" s="49" t="s">
        <v>172</v>
      </c>
      <c r="H1525" s="48" t="s">
        <v>173</v>
      </c>
      <c r="I1525" s="48">
        <v>1</v>
      </c>
      <c r="J1525" s="48">
        <v>22</v>
      </c>
      <c r="K1525" s="48">
        <v>1</v>
      </c>
      <c r="N1525" s="48">
        <v>0</v>
      </c>
      <c r="R1525" s="49"/>
      <c r="S1525" s="49"/>
      <c r="T1525" s="49">
        <v>46599</v>
      </c>
      <c r="U1525" s="49">
        <v>46599</v>
      </c>
      <c r="V1525" s="49">
        <v>46599</v>
      </c>
      <c r="W1525" s="49">
        <v>46599</v>
      </c>
      <c r="X1525" s="48">
        <v>1</v>
      </c>
      <c r="Y1525" s="48">
        <v>1</v>
      </c>
      <c r="Z1525" s="48">
        <v>1</v>
      </c>
      <c r="AA1525" s="156">
        <v>5659.921033443301</v>
      </c>
      <c r="AF1525" s="48">
        <v>0</v>
      </c>
      <c r="AG1525" s="49" t="s">
        <v>32</v>
      </c>
      <c r="AH1525" s="48">
        <v>1</v>
      </c>
      <c r="AI1525" s="48" t="s">
        <v>33</v>
      </c>
      <c r="AJ1525" s="48" t="s">
        <v>33</v>
      </c>
      <c r="AK1525" s="48" t="s">
        <v>33</v>
      </c>
      <c r="AL1525" s="48" t="s">
        <v>34</v>
      </c>
      <c r="AN1525" s="48">
        <v>0</v>
      </c>
      <c r="AO1525" s="48">
        <v>0</v>
      </c>
      <c r="AP1525" s="48">
        <v>0</v>
      </c>
      <c r="AQ1525" s="48">
        <v>0</v>
      </c>
      <c r="AR1525" s="48">
        <v>0</v>
      </c>
      <c r="AS1525" s="48">
        <v>0</v>
      </c>
      <c r="AT1525" s="48">
        <v>0</v>
      </c>
      <c r="AU1525" s="48">
        <v>0</v>
      </c>
      <c r="AV1525" s="48">
        <v>0</v>
      </c>
      <c r="AW1525" s="48">
        <v>0</v>
      </c>
      <c r="AX1525" s="48">
        <v>0</v>
      </c>
      <c r="AY1525" s="48">
        <v>0</v>
      </c>
      <c r="AZ1525" s="48">
        <v>0</v>
      </c>
      <c r="BA1525" s="48">
        <v>0</v>
      </c>
      <c r="BB1525" s="48">
        <v>0</v>
      </c>
    </row>
    <row r="1526" spans="1:54" x14ac:dyDescent="0.35">
      <c r="A1526" s="49">
        <v>45930</v>
      </c>
      <c r="B1526" s="48">
        <v>1</v>
      </c>
      <c r="C1526" s="50" t="s">
        <v>32</v>
      </c>
      <c r="D1526" s="48" t="s">
        <v>31</v>
      </c>
      <c r="E1526" s="48" t="s">
        <v>138</v>
      </c>
      <c r="F1526" s="48" t="s">
        <v>139</v>
      </c>
      <c r="G1526" s="49" t="s">
        <v>172</v>
      </c>
      <c r="H1526" s="48" t="s">
        <v>173</v>
      </c>
      <c r="I1526" s="48">
        <v>1</v>
      </c>
      <c r="J1526" s="48">
        <v>23</v>
      </c>
      <c r="K1526" s="48">
        <v>1</v>
      </c>
      <c r="N1526" s="48">
        <v>0</v>
      </c>
      <c r="R1526" s="49"/>
      <c r="S1526" s="49"/>
      <c r="T1526" s="49">
        <v>46630</v>
      </c>
      <c r="U1526" s="49">
        <v>46630</v>
      </c>
      <c r="V1526" s="49">
        <v>46630</v>
      </c>
      <c r="W1526" s="49">
        <v>46630</v>
      </c>
      <c r="X1526" s="48">
        <v>1</v>
      </c>
      <c r="Y1526" s="48">
        <v>1</v>
      </c>
      <c r="Z1526" s="48">
        <v>1</v>
      </c>
      <c r="AA1526" s="156">
        <v>5609.7712338839192</v>
      </c>
      <c r="AF1526" s="48">
        <v>0</v>
      </c>
      <c r="AG1526" s="49" t="s">
        <v>32</v>
      </c>
      <c r="AH1526" s="48">
        <v>1</v>
      </c>
      <c r="AI1526" s="48" t="s">
        <v>33</v>
      </c>
      <c r="AJ1526" s="48" t="s">
        <v>33</v>
      </c>
      <c r="AK1526" s="48" t="s">
        <v>33</v>
      </c>
      <c r="AL1526" s="48" t="s">
        <v>34</v>
      </c>
      <c r="AN1526" s="48">
        <v>0</v>
      </c>
      <c r="AO1526" s="48">
        <v>0</v>
      </c>
      <c r="AP1526" s="48">
        <v>0</v>
      </c>
      <c r="AQ1526" s="48">
        <v>0</v>
      </c>
      <c r="AR1526" s="48">
        <v>0</v>
      </c>
      <c r="AS1526" s="48">
        <v>0</v>
      </c>
      <c r="AT1526" s="48">
        <v>0</v>
      </c>
      <c r="AU1526" s="48">
        <v>0</v>
      </c>
      <c r="AV1526" s="48">
        <v>0</v>
      </c>
      <c r="AW1526" s="48">
        <v>0</v>
      </c>
      <c r="AX1526" s="48">
        <v>0</v>
      </c>
      <c r="AY1526" s="48">
        <v>0</v>
      </c>
      <c r="AZ1526" s="48">
        <v>0</v>
      </c>
      <c r="BA1526" s="48">
        <v>0</v>
      </c>
      <c r="BB1526" s="48">
        <v>0</v>
      </c>
    </row>
    <row r="1527" spans="1:54" x14ac:dyDescent="0.35">
      <c r="A1527" s="49">
        <v>45930</v>
      </c>
      <c r="B1527" s="48">
        <v>1</v>
      </c>
      <c r="C1527" s="50" t="s">
        <v>32</v>
      </c>
      <c r="D1527" s="48" t="s">
        <v>31</v>
      </c>
      <c r="E1527" s="48" t="s">
        <v>138</v>
      </c>
      <c r="F1527" s="48" t="s">
        <v>139</v>
      </c>
      <c r="G1527" s="49" t="s">
        <v>172</v>
      </c>
      <c r="H1527" s="48" t="s">
        <v>173</v>
      </c>
      <c r="I1527" s="48">
        <v>1</v>
      </c>
      <c r="J1527" s="48">
        <v>24</v>
      </c>
      <c r="K1527" s="48">
        <v>1</v>
      </c>
      <c r="N1527" s="48">
        <v>0</v>
      </c>
      <c r="R1527" s="49"/>
      <c r="S1527" s="49"/>
      <c r="T1527" s="49">
        <v>46660</v>
      </c>
      <c r="U1527" s="49">
        <v>46660</v>
      </c>
      <c r="V1527" s="49">
        <v>46660</v>
      </c>
      <c r="W1527" s="49">
        <v>46660</v>
      </c>
      <c r="X1527" s="48">
        <v>1</v>
      </c>
      <c r="Y1527" s="48">
        <v>1</v>
      </c>
      <c r="Z1527" s="48">
        <v>1</v>
      </c>
      <c r="AA1527" s="156">
        <v>5560.0657872367883</v>
      </c>
      <c r="AF1527" s="48">
        <v>0</v>
      </c>
      <c r="AG1527" s="49" t="s">
        <v>32</v>
      </c>
      <c r="AH1527" s="48">
        <v>1</v>
      </c>
      <c r="AI1527" s="48" t="s">
        <v>33</v>
      </c>
      <c r="AJ1527" s="48" t="s">
        <v>33</v>
      </c>
      <c r="AK1527" s="48" t="s">
        <v>33</v>
      </c>
      <c r="AL1527" s="48" t="s">
        <v>34</v>
      </c>
      <c r="AN1527" s="48">
        <v>0</v>
      </c>
      <c r="AO1527" s="48">
        <v>0</v>
      </c>
      <c r="AP1527" s="48">
        <v>0</v>
      </c>
      <c r="AQ1527" s="48">
        <v>0</v>
      </c>
      <c r="AR1527" s="48">
        <v>0</v>
      </c>
      <c r="AS1527" s="48">
        <v>0</v>
      </c>
      <c r="AT1527" s="48">
        <v>0</v>
      </c>
      <c r="AU1527" s="48">
        <v>0</v>
      </c>
      <c r="AV1527" s="48">
        <v>0</v>
      </c>
      <c r="AW1527" s="48">
        <v>0</v>
      </c>
      <c r="AX1527" s="48">
        <v>0</v>
      </c>
      <c r="AY1527" s="48">
        <v>0</v>
      </c>
      <c r="AZ1527" s="48">
        <v>0</v>
      </c>
      <c r="BA1527" s="48">
        <v>0</v>
      </c>
      <c r="BB1527" s="48">
        <v>0</v>
      </c>
    </row>
    <row r="1528" spans="1:54" x14ac:dyDescent="0.35">
      <c r="A1528" s="49">
        <v>45930</v>
      </c>
      <c r="B1528" s="48">
        <v>1</v>
      </c>
      <c r="C1528" s="50" t="s">
        <v>32</v>
      </c>
      <c r="D1528" s="48" t="s">
        <v>31</v>
      </c>
      <c r="E1528" s="48" t="s">
        <v>138</v>
      </c>
      <c r="F1528" s="48" t="s">
        <v>139</v>
      </c>
      <c r="G1528" s="49" t="s">
        <v>172</v>
      </c>
      <c r="H1528" s="48" t="s">
        <v>173</v>
      </c>
      <c r="I1528" s="48">
        <v>1</v>
      </c>
      <c r="J1528" s="48">
        <v>25</v>
      </c>
      <c r="K1528" s="48">
        <v>1</v>
      </c>
      <c r="N1528" s="48">
        <v>0</v>
      </c>
      <c r="R1528" s="49"/>
      <c r="S1528" s="49"/>
      <c r="T1528" s="49">
        <v>46691</v>
      </c>
      <c r="U1528" s="49">
        <v>46691</v>
      </c>
      <c r="V1528" s="49">
        <v>46691</v>
      </c>
      <c r="W1528" s="49">
        <v>46691</v>
      </c>
      <c r="X1528" s="48">
        <v>1</v>
      </c>
      <c r="Y1528" s="48">
        <v>1</v>
      </c>
      <c r="Z1528" s="48">
        <v>1</v>
      </c>
      <c r="AA1528" s="156">
        <v>5510.8007563076681</v>
      </c>
      <c r="AF1528" s="48">
        <v>0</v>
      </c>
      <c r="AG1528" s="49" t="s">
        <v>32</v>
      </c>
      <c r="AH1528" s="48">
        <v>1</v>
      </c>
      <c r="AI1528" s="48" t="s">
        <v>33</v>
      </c>
      <c r="AJ1528" s="48" t="s">
        <v>33</v>
      </c>
      <c r="AK1528" s="48" t="s">
        <v>33</v>
      </c>
      <c r="AL1528" s="48" t="s">
        <v>34</v>
      </c>
      <c r="AN1528" s="48">
        <v>0</v>
      </c>
      <c r="AO1528" s="48">
        <v>0</v>
      </c>
      <c r="AP1528" s="48">
        <v>0</v>
      </c>
      <c r="AQ1528" s="48">
        <v>0</v>
      </c>
      <c r="AR1528" s="48">
        <v>0</v>
      </c>
      <c r="AS1528" s="48">
        <v>0</v>
      </c>
      <c r="AT1528" s="48">
        <v>0</v>
      </c>
      <c r="AU1528" s="48">
        <v>0</v>
      </c>
      <c r="AV1528" s="48">
        <v>0</v>
      </c>
      <c r="AW1528" s="48">
        <v>0</v>
      </c>
      <c r="AX1528" s="48">
        <v>0</v>
      </c>
      <c r="AY1528" s="48">
        <v>0</v>
      </c>
      <c r="AZ1528" s="48">
        <v>0</v>
      </c>
      <c r="BA1528" s="48">
        <v>0</v>
      </c>
      <c r="BB1528" s="48">
        <v>0</v>
      </c>
    </row>
    <row r="1529" spans="1:54" x14ac:dyDescent="0.35">
      <c r="A1529" s="49">
        <v>45930</v>
      </c>
      <c r="B1529" s="48">
        <v>1</v>
      </c>
      <c r="C1529" s="50" t="s">
        <v>32</v>
      </c>
      <c r="D1529" s="48" t="s">
        <v>31</v>
      </c>
      <c r="E1529" s="48" t="s">
        <v>138</v>
      </c>
      <c r="F1529" s="48" t="s">
        <v>139</v>
      </c>
      <c r="G1529" s="49" t="s">
        <v>172</v>
      </c>
      <c r="H1529" s="48" t="s">
        <v>173</v>
      </c>
      <c r="I1529" s="48">
        <v>1</v>
      </c>
      <c r="J1529" s="48">
        <v>26</v>
      </c>
      <c r="K1529" s="48">
        <v>1</v>
      </c>
      <c r="N1529" s="48">
        <v>0</v>
      </c>
      <c r="R1529" s="49"/>
      <c r="S1529" s="49"/>
      <c r="T1529" s="49">
        <v>46721</v>
      </c>
      <c r="U1529" s="49">
        <v>46721</v>
      </c>
      <c r="V1529" s="49">
        <v>46721</v>
      </c>
      <c r="W1529" s="49">
        <v>46721</v>
      </c>
      <c r="X1529" s="48">
        <v>1</v>
      </c>
      <c r="Y1529" s="48">
        <v>1</v>
      </c>
      <c r="Z1529" s="48">
        <v>1</v>
      </c>
      <c r="AA1529" s="156">
        <v>5461.9722387882648</v>
      </c>
      <c r="AF1529" s="48">
        <v>0</v>
      </c>
      <c r="AG1529" s="49" t="s">
        <v>32</v>
      </c>
      <c r="AH1529" s="48">
        <v>1</v>
      </c>
      <c r="AI1529" s="48" t="s">
        <v>33</v>
      </c>
      <c r="AJ1529" s="48" t="s">
        <v>33</v>
      </c>
      <c r="AK1529" s="48" t="s">
        <v>33</v>
      </c>
      <c r="AL1529" s="48" t="s">
        <v>34</v>
      </c>
      <c r="AN1529" s="48">
        <v>0</v>
      </c>
      <c r="AO1529" s="48">
        <v>0</v>
      </c>
      <c r="AP1529" s="48">
        <v>0</v>
      </c>
      <c r="AQ1529" s="48">
        <v>0</v>
      </c>
      <c r="AR1529" s="48">
        <v>0</v>
      </c>
      <c r="AS1529" s="48">
        <v>0</v>
      </c>
      <c r="AT1529" s="48">
        <v>0</v>
      </c>
      <c r="AU1529" s="48">
        <v>0</v>
      </c>
      <c r="AV1529" s="48">
        <v>0</v>
      </c>
      <c r="AW1529" s="48">
        <v>0</v>
      </c>
      <c r="AX1529" s="48">
        <v>0</v>
      </c>
      <c r="AY1529" s="48">
        <v>0</v>
      </c>
      <c r="AZ1529" s="48">
        <v>0</v>
      </c>
      <c r="BA1529" s="48">
        <v>0</v>
      </c>
      <c r="BB1529" s="48">
        <v>0</v>
      </c>
    </row>
    <row r="1530" spans="1:54" x14ac:dyDescent="0.35">
      <c r="A1530" s="49">
        <v>45930</v>
      </c>
      <c r="B1530" s="48">
        <v>1</v>
      </c>
      <c r="C1530" s="50" t="s">
        <v>32</v>
      </c>
      <c r="D1530" s="48" t="s">
        <v>31</v>
      </c>
      <c r="E1530" s="48" t="s">
        <v>138</v>
      </c>
      <c r="F1530" s="48" t="s">
        <v>139</v>
      </c>
      <c r="G1530" s="49" t="s">
        <v>172</v>
      </c>
      <c r="H1530" s="48" t="s">
        <v>173</v>
      </c>
      <c r="I1530" s="48">
        <v>1</v>
      </c>
      <c r="J1530" s="48">
        <v>27</v>
      </c>
      <c r="K1530" s="48">
        <v>1</v>
      </c>
      <c r="N1530" s="48">
        <v>0</v>
      </c>
      <c r="R1530" s="49"/>
      <c r="S1530" s="49"/>
      <c r="T1530" s="49">
        <v>46752</v>
      </c>
      <c r="U1530" s="49">
        <v>46752</v>
      </c>
      <c r="V1530" s="49">
        <v>46752</v>
      </c>
      <c r="W1530" s="49">
        <v>46752</v>
      </c>
      <c r="X1530" s="48">
        <v>1</v>
      </c>
      <c r="Y1530" s="48">
        <v>1</v>
      </c>
      <c r="Z1530" s="48">
        <v>1</v>
      </c>
      <c r="AA1530" s="156">
        <v>5413.5763669451699</v>
      </c>
      <c r="AF1530" s="48">
        <v>0</v>
      </c>
      <c r="AG1530" s="49" t="s">
        <v>32</v>
      </c>
      <c r="AH1530" s="48">
        <v>1</v>
      </c>
      <c r="AI1530" s="48" t="s">
        <v>33</v>
      </c>
      <c r="AJ1530" s="48" t="s">
        <v>33</v>
      </c>
      <c r="AK1530" s="48" t="s">
        <v>33</v>
      </c>
      <c r="AL1530" s="48" t="s">
        <v>34</v>
      </c>
      <c r="AN1530" s="48">
        <v>0</v>
      </c>
      <c r="AO1530" s="48">
        <v>0</v>
      </c>
      <c r="AP1530" s="48">
        <v>0</v>
      </c>
      <c r="AQ1530" s="48">
        <v>0</v>
      </c>
      <c r="AR1530" s="48">
        <v>0</v>
      </c>
      <c r="AS1530" s="48">
        <v>0</v>
      </c>
      <c r="AT1530" s="48">
        <v>0</v>
      </c>
      <c r="AU1530" s="48">
        <v>0</v>
      </c>
      <c r="AV1530" s="48">
        <v>0</v>
      </c>
      <c r="AW1530" s="48">
        <v>0</v>
      </c>
      <c r="AX1530" s="48">
        <v>0</v>
      </c>
      <c r="AY1530" s="48">
        <v>0</v>
      </c>
      <c r="AZ1530" s="48">
        <v>0</v>
      </c>
      <c r="BA1530" s="48">
        <v>0</v>
      </c>
      <c r="BB1530" s="48">
        <v>0</v>
      </c>
    </row>
    <row r="1531" spans="1:54" x14ac:dyDescent="0.35">
      <c r="A1531" s="49">
        <v>45930</v>
      </c>
      <c r="B1531" s="48">
        <v>1</v>
      </c>
      <c r="C1531" s="50" t="s">
        <v>32</v>
      </c>
      <c r="D1531" s="48" t="s">
        <v>31</v>
      </c>
      <c r="E1531" s="48" t="s">
        <v>138</v>
      </c>
      <c r="F1531" s="48" t="s">
        <v>139</v>
      </c>
      <c r="G1531" s="49" t="s">
        <v>172</v>
      </c>
      <c r="H1531" s="48" t="s">
        <v>173</v>
      </c>
      <c r="I1531" s="48">
        <v>1</v>
      </c>
      <c r="J1531" s="48">
        <v>28</v>
      </c>
      <c r="K1531" s="48">
        <v>1</v>
      </c>
      <c r="N1531" s="48">
        <v>0</v>
      </c>
      <c r="R1531" s="49"/>
      <c r="S1531" s="49"/>
      <c r="T1531" s="49">
        <v>46783</v>
      </c>
      <c r="U1531" s="49">
        <v>46783</v>
      </c>
      <c r="V1531" s="49">
        <v>46783</v>
      </c>
      <c r="W1531" s="49">
        <v>46783</v>
      </c>
      <c r="X1531" s="48">
        <v>1</v>
      </c>
      <c r="Y1531" s="48">
        <v>1</v>
      </c>
      <c r="Z1531" s="48">
        <v>1</v>
      </c>
      <c r="AA1531" s="156">
        <v>5365.6093073169468</v>
      </c>
      <c r="AF1531" s="48">
        <v>0</v>
      </c>
      <c r="AG1531" s="49" t="s">
        <v>32</v>
      </c>
      <c r="AH1531" s="48">
        <v>1</v>
      </c>
      <c r="AI1531" s="48" t="s">
        <v>33</v>
      </c>
      <c r="AJ1531" s="48" t="s">
        <v>33</v>
      </c>
      <c r="AK1531" s="48" t="s">
        <v>33</v>
      </c>
      <c r="AL1531" s="48" t="s">
        <v>34</v>
      </c>
      <c r="AN1531" s="48">
        <v>0</v>
      </c>
      <c r="AO1531" s="48">
        <v>0</v>
      </c>
      <c r="AP1531" s="48">
        <v>0</v>
      </c>
      <c r="AQ1531" s="48">
        <v>0</v>
      </c>
      <c r="AR1531" s="48">
        <v>0</v>
      </c>
      <c r="AS1531" s="48">
        <v>0</v>
      </c>
      <c r="AT1531" s="48">
        <v>0</v>
      </c>
      <c r="AU1531" s="48">
        <v>0</v>
      </c>
      <c r="AV1531" s="48">
        <v>0</v>
      </c>
      <c r="AW1531" s="48">
        <v>0</v>
      </c>
      <c r="AX1531" s="48">
        <v>0</v>
      </c>
      <c r="AY1531" s="48">
        <v>0</v>
      </c>
      <c r="AZ1531" s="48">
        <v>0</v>
      </c>
      <c r="BA1531" s="48">
        <v>0</v>
      </c>
      <c r="BB1531" s="48">
        <v>0</v>
      </c>
    </row>
    <row r="1532" spans="1:54" x14ac:dyDescent="0.35">
      <c r="A1532" s="49">
        <v>45930</v>
      </c>
      <c r="B1532" s="48">
        <v>1</v>
      </c>
      <c r="C1532" s="50" t="s">
        <v>32</v>
      </c>
      <c r="D1532" s="48" t="s">
        <v>31</v>
      </c>
      <c r="E1532" s="48" t="s">
        <v>138</v>
      </c>
      <c r="F1532" s="48" t="s">
        <v>139</v>
      </c>
      <c r="G1532" s="49" t="s">
        <v>172</v>
      </c>
      <c r="H1532" s="48" t="s">
        <v>173</v>
      </c>
      <c r="I1532" s="48">
        <v>1</v>
      </c>
      <c r="J1532" s="48">
        <v>29</v>
      </c>
      <c r="K1532" s="48">
        <v>1</v>
      </c>
      <c r="N1532" s="48">
        <v>0</v>
      </c>
      <c r="R1532" s="49"/>
      <c r="S1532" s="49"/>
      <c r="T1532" s="49">
        <v>46812</v>
      </c>
      <c r="U1532" s="49">
        <v>46812</v>
      </c>
      <c r="V1532" s="49">
        <v>46812</v>
      </c>
      <c r="W1532" s="49">
        <v>46812</v>
      </c>
      <c r="X1532" s="48">
        <v>1</v>
      </c>
      <c r="Y1532" s="48">
        <v>1</v>
      </c>
      <c r="Z1532" s="48">
        <v>1</v>
      </c>
      <c r="AA1532" s="156">
        <v>5318.067260407377</v>
      </c>
      <c r="AF1532" s="48">
        <v>0</v>
      </c>
      <c r="AG1532" s="49" t="s">
        <v>32</v>
      </c>
      <c r="AH1532" s="48">
        <v>1</v>
      </c>
      <c r="AI1532" s="48" t="s">
        <v>33</v>
      </c>
      <c r="AJ1532" s="48" t="s">
        <v>33</v>
      </c>
      <c r="AK1532" s="48" t="s">
        <v>33</v>
      </c>
      <c r="AL1532" s="48" t="s">
        <v>34</v>
      </c>
      <c r="AN1532" s="48">
        <v>0</v>
      </c>
      <c r="AO1532" s="48">
        <v>0</v>
      </c>
      <c r="AP1532" s="48">
        <v>0</v>
      </c>
      <c r="AQ1532" s="48">
        <v>0</v>
      </c>
      <c r="AR1532" s="48">
        <v>0</v>
      </c>
      <c r="AS1532" s="48">
        <v>0</v>
      </c>
      <c r="AT1532" s="48">
        <v>0</v>
      </c>
      <c r="AU1532" s="48">
        <v>0</v>
      </c>
      <c r="AV1532" s="48">
        <v>0</v>
      </c>
      <c r="AW1532" s="48">
        <v>0</v>
      </c>
      <c r="AX1532" s="48">
        <v>0</v>
      </c>
      <c r="AY1532" s="48">
        <v>0</v>
      </c>
      <c r="AZ1532" s="48">
        <v>0</v>
      </c>
      <c r="BA1532" s="48">
        <v>0</v>
      </c>
      <c r="BB1532" s="48">
        <v>0</v>
      </c>
    </row>
    <row r="1533" spans="1:54" x14ac:dyDescent="0.35">
      <c r="A1533" s="49">
        <v>45930</v>
      </c>
      <c r="B1533" s="48">
        <v>1</v>
      </c>
      <c r="C1533" s="50" t="s">
        <v>32</v>
      </c>
      <c r="D1533" s="48" t="s">
        <v>31</v>
      </c>
      <c r="E1533" s="48" t="s">
        <v>138</v>
      </c>
      <c r="F1533" s="48" t="s">
        <v>139</v>
      </c>
      <c r="G1533" s="49" t="s">
        <v>172</v>
      </c>
      <c r="H1533" s="48" t="s">
        <v>173</v>
      </c>
      <c r="I1533" s="48">
        <v>1</v>
      </c>
      <c r="J1533" s="48">
        <v>30</v>
      </c>
      <c r="K1533" s="48">
        <v>1</v>
      </c>
      <c r="N1533" s="48">
        <v>0</v>
      </c>
      <c r="R1533" s="49"/>
      <c r="S1533" s="49"/>
      <c r="T1533" s="49">
        <v>46843</v>
      </c>
      <c r="U1533" s="49">
        <v>46843</v>
      </c>
      <c r="V1533" s="49">
        <v>46843</v>
      </c>
      <c r="W1533" s="49">
        <v>46843</v>
      </c>
      <c r="X1533" s="48">
        <v>1</v>
      </c>
      <c r="Y1533" s="48">
        <v>1</v>
      </c>
      <c r="Z1533" s="48">
        <v>1</v>
      </c>
      <c r="AA1533" s="156">
        <v>5270.9464603859233</v>
      </c>
      <c r="AF1533" s="48">
        <v>0</v>
      </c>
      <c r="AG1533" s="49" t="s">
        <v>32</v>
      </c>
      <c r="AH1533" s="48">
        <v>1</v>
      </c>
      <c r="AI1533" s="48" t="s">
        <v>33</v>
      </c>
      <c r="AJ1533" s="48" t="s">
        <v>33</v>
      </c>
      <c r="AK1533" s="48" t="s">
        <v>33</v>
      </c>
      <c r="AL1533" s="48" t="s">
        <v>34</v>
      </c>
      <c r="AN1533" s="48">
        <v>0</v>
      </c>
      <c r="AO1533" s="48">
        <v>0</v>
      </c>
      <c r="AP1533" s="48">
        <v>0</v>
      </c>
      <c r="AQ1533" s="48">
        <v>0</v>
      </c>
      <c r="AR1533" s="48">
        <v>0</v>
      </c>
      <c r="AS1533" s="48">
        <v>0</v>
      </c>
      <c r="AT1533" s="48">
        <v>0</v>
      </c>
      <c r="AU1533" s="48">
        <v>0</v>
      </c>
      <c r="AV1533" s="48">
        <v>0</v>
      </c>
      <c r="AW1533" s="48">
        <v>0</v>
      </c>
      <c r="AX1533" s="48">
        <v>0</v>
      </c>
      <c r="AY1533" s="48">
        <v>0</v>
      </c>
      <c r="AZ1533" s="48">
        <v>0</v>
      </c>
      <c r="BA1533" s="48">
        <v>0</v>
      </c>
      <c r="BB1533" s="48">
        <v>0</v>
      </c>
    </row>
    <row r="1534" spans="1:54" x14ac:dyDescent="0.35">
      <c r="A1534" s="49">
        <v>45930</v>
      </c>
      <c r="B1534" s="48">
        <v>1</v>
      </c>
      <c r="C1534" s="50" t="s">
        <v>32</v>
      </c>
      <c r="D1534" s="48" t="s">
        <v>31</v>
      </c>
      <c r="E1534" s="48" t="s">
        <v>138</v>
      </c>
      <c r="F1534" s="48" t="s">
        <v>139</v>
      </c>
      <c r="G1534" s="49" t="s">
        <v>172</v>
      </c>
      <c r="H1534" s="48" t="s">
        <v>173</v>
      </c>
      <c r="I1534" s="48">
        <v>1</v>
      </c>
      <c r="J1534" s="48">
        <v>31</v>
      </c>
      <c r="K1534" s="48">
        <v>1</v>
      </c>
      <c r="N1534" s="48">
        <v>0</v>
      </c>
      <c r="R1534" s="49"/>
      <c r="S1534" s="49"/>
      <c r="T1534" s="49">
        <v>46873</v>
      </c>
      <c r="U1534" s="49">
        <v>46873</v>
      </c>
      <c r="V1534" s="49">
        <v>46873</v>
      </c>
      <c r="W1534" s="49">
        <v>46873</v>
      </c>
      <c r="X1534" s="48">
        <v>1</v>
      </c>
      <c r="Y1534" s="48">
        <v>1</v>
      </c>
      <c r="Z1534" s="48">
        <v>1</v>
      </c>
      <c r="AA1534" s="156">
        <v>5224.2431747895898</v>
      </c>
      <c r="AF1534" s="48">
        <v>0</v>
      </c>
      <c r="AG1534" s="49" t="s">
        <v>32</v>
      </c>
      <c r="AH1534" s="48">
        <v>1</v>
      </c>
      <c r="AI1534" s="48" t="s">
        <v>33</v>
      </c>
      <c r="AJ1534" s="48" t="s">
        <v>33</v>
      </c>
      <c r="AK1534" s="48" t="s">
        <v>33</v>
      </c>
      <c r="AL1534" s="48" t="s">
        <v>34</v>
      </c>
      <c r="AN1534" s="48">
        <v>0</v>
      </c>
      <c r="AO1534" s="48">
        <v>0</v>
      </c>
      <c r="AP1534" s="48">
        <v>0</v>
      </c>
      <c r="AQ1534" s="48">
        <v>0</v>
      </c>
      <c r="AR1534" s="48">
        <v>0</v>
      </c>
      <c r="AS1534" s="48">
        <v>0</v>
      </c>
      <c r="AT1534" s="48">
        <v>0</v>
      </c>
      <c r="AU1534" s="48">
        <v>0</v>
      </c>
      <c r="AV1534" s="48">
        <v>0</v>
      </c>
      <c r="AW1534" s="48">
        <v>0</v>
      </c>
      <c r="AX1534" s="48">
        <v>0</v>
      </c>
      <c r="AY1534" s="48">
        <v>0</v>
      </c>
      <c r="AZ1534" s="48">
        <v>0</v>
      </c>
      <c r="BA1534" s="48">
        <v>0</v>
      </c>
      <c r="BB1534" s="48">
        <v>0</v>
      </c>
    </row>
    <row r="1535" spans="1:54" x14ac:dyDescent="0.35">
      <c r="A1535" s="49">
        <v>45930</v>
      </c>
      <c r="B1535" s="48">
        <v>1</v>
      </c>
      <c r="C1535" s="50" t="s">
        <v>32</v>
      </c>
      <c r="D1535" s="48" t="s">
        <v>31</v>
      </c>
      <c r="E1535" s="48" t="s">
        <v>138</v>
      </c>
      <c r="F1535" s="48" t="s">
        <v>139</v>
      </c>
      <c r="G1535" s="49" t="s">
        <v>172</v>
      </c>
      <c r="H1535" s="48" t="s">
        <v>173</v>
      </c>
      <c r="I1535" s="48">
        <v>1</v>
      </c>
      <c r="J1535" s="48">
        <v>32</v>
      </c>
      <c r="K1535" s="48">
        <v>1</v>
      </c>
      <c r="N1535" s="48">
        <v>0</v>
      </c>
      <c r="R1535" s="49"/>
      <c r="S1535" s="49"/>
      <c r="T1535" s="49">
        <v>46904</v>
      </c>
      <c r="U1535" s="49">
        <v>46904</v>
      </c>
      <c r="V1535" s="49">
        <v>46904</v>
      </c>
      <c r="W1535" s="49">
        <v>46904</v>
      </c>
      <c r="X1535" s="48">
        <v>1</v>
      </c>
      <c r="Y1535" s="48">
        <v>1</v>
      </c>
      <c r="Z1535" s="48">
        <v>1</v>
      </c>
      <c r="AA1535" s="156">
        <v>5177.9537042265292</v>
      </c>
      <c r="AF1535" s="48">
        <v>0</v>
      </c>
      <c r="AG1535" s="49" t="s">
        <v>32</v>
      </c>
      <c r="AH1535" s="48">
        <v>1</v>
      </c>
      <c r="AI1535" s="48" t="s">
        <v>33</v>
      </c>
      <c r="AJ1535" s="48" t="s">
        <v>33</v>
      </c>
      <c r="AK1535" s="48" t="s">
        <v>33</v>
      </c>
      <c r="AL1535" s="48" t="s">
        <v>34</v>
      </c>
      <c r="AN1535" s="48">
        <v>0</v>
      </c>
      <c r="AO1535" s="48">
        <v>0</v>
      </c>
      <c r="AP1535" s="48">
        <v>0</v>
      </c>
      <c r="AQ1535" s="48">
        <v>0</v>
      </c>
      <c r="AR1535" s="48">
        <v>0</v>
      </c>
      <c r="AS1535" s="48">
        <v>0</v>
      </c>
      <c r="AT1535" s="48">
        <v>0</v>
      </c>
      <c r="AU1535" s="48">
        <v>0</v>
      </c>
      <c r="AV1535" s="48">
        <v>0</v>
      </c>
      <c r="AW1535" s="48">
        <v>0</v>
      </c>
      <c r="AX1535" s="48">
        <v>0</v>
      </c>
      <c r="AY1535" s="48">
        <v>0</v>
      </c>
      <c r="AZ1535" s="48">
        <v>0</v>
      </c>
      <c r="BA1535" s="48">
        <v>0</v>
      </c>
      <c r="BB1535" s="48">
        <v>0</v>
      </c>
    </row>
    <row r="1536" spans="1:54" x14ac:dyDescent="0.35">
      <c r="A1536" s="49">
        <v>45930</v>
      </c>
      <c r="B1536" s="48">
        <v>1</v>
      </c>
      <c r="C1536" s="50" t="s">
        <v>32</v>
      </c>
      <c r="D1536" s="48" t="s">
        <v>31</v>
      </c>
      <c r="E1536" s="48" t="s">
        <v>138</v>
      </c>
      <c r="F1536" s="48" t="s">
        <v>139</v>
      </c>
      <c r="G1536" s="49" t="s">
        <v>172</v>
      </c>
      <c r="H1536" s="48" t="s">
        <v>173</v>
      </c>
      <c r="I1536" s="48">
        <v>1</v>
      </c>
      <c r="J1536" s="48">
        <v>33</v>
      </c>
      <c r="K1536" s="48">
        <v>1</v>
      </c>
      <c r="N1536" s="48">
        <v>0</v>
      </c>
      <c r="R1536" s="49"/>
      <c r="S1536" s="49"/>
      <c r="T1536" s="49">
        <v>46934</v>
      </c>
      <c r="U1536" s="49">
        <v>46934</v>
      </c>
      <c r="V1536" s="49">
        <v>46934</v>
      </c>
      <c r="W1536" s="49">
        <v>46934</v>
      </c>
      <c r="X1536" s="48">
        <v>1</v>
      </c>
      <c r="Y1536" s="48">
        <v>1</v>
      </c>
      <c r="Z1536" s="48">
        <v>1</v>
      </c>
      <c r="AA1536" s="156">
        <v>5132.0743820840726</v>
      </c>
      <c r="AF1536" s="48">
        <v>0</v>
      </c>
      <c r="AG1536" s="49" t="s">
        <v>32</v>
      </c>
      <c r="AH1536" s="48">
        <v>1</v>
      </c>
      <c r="AI1536" s="48" t="s">
        <v>33</v>
      </c>
      <c r="AJ1536" s="48" t="s">
        <v>33</v>
      </c>
      <c r="AK1536" s="48" t="s">
        <v>33</v>
      </c>
      <c r="AL1536" s="48" t="s">
        <v>34</v>
      </c>
      <c r="AN1536" s="48">
        <v>0</v>
      </c>
      <c r="AO1536" s="48">
        <v>0</v>
      </c>
      <c r="AP1536" s="48">
        <v>0</v>
      </c>
      <c r="AQ1536" s="48">
        <v>0</v>
      </c>
      <c r="AR1536" s="48">
        <v>0</v>
      </c>
      <c r="AS1536" s="48">
        <v>0</v>
      </c>
      <c r="AT1536" s="48">
        <v>0</v>
      </c>
      <c r="AU1536" s="48">
        <v>0</v>
      </c>
      <c r="AV1536" s="48">
        <v>0</v>
      </c>
      <c r="AW1536" s="48">
        <v>0</v>
      </c>
      <c r="AX1536" s="48">
        <v>0</v>
      </c>
      <c r="AY1536" s="48">
        <v>0</v>
      </c>
      <c r="AZ1536" s="48">
        <v>0</v>
      </c>
      <c r="BA1536" s="48">
        <v>0</v>
      </c>
      <c r="BB1536" s="48">
        <v>0</v>
      </c>
    </row>
    <row r="1537" spans="1:54" x14ac:dyDescent="0.35">
      <c r="A1537" s="49">
        <v>45930</v>
      </c>
      <c r="B1537" s="48">
        <v>1</v>
      </c>
      <c r="C1537" s="50" t="s">
        <v>32</v>
      </c>
      <c r="D1537" s="48" t="s">
        <v>31</v>
      </c>
      <c r="E1537" s="48" t="s">
        <v>138</v>
      </c>
      <c r="F1537" s="48" t="s">
        <v>139</v>
      </c>
      <c r="G1537" s="49" t="s">
        <v>172</v>
      </c>
      <c r="H1537" s="48" t="s">
        <v>173</v>
      </c>
      <c r="I1537" s="48">
        <v>1</v>
      </c>
      <c r="J1537" s="48">
        <v>34</v>
      </c>
      <c r="K1537" s="48">
        <v>1</v>
      </c>
      <c r="N1537" s="48">
        <v>0</v>
      </c>
      <c r="R1537" s="49"/>
      <c r="S1537" s="49"/>
      <c r="T1537" s="49">
        <v>46965</v>
      </c>
      <c r="U1537" s="49">
        <v>46965</v>
      </c>
      <c r="V1537" s="49">
        <v>46965</v>
      </c>
      <c r="W1537" s="49">
        <v>46965</v>
      </c>
      <c r="X1537" s="48">
        <v>1</v>
      </c>
      <c r="Y1537" s="48">
        <v>1</v>
      </c>
      <c r="Z1537" s="48">
        <v>1</v>
      </c>
      <c r="AA1537" s="156">
        <v>5086.6015742361778</v>
      </c>
      <c r="AF1537" s="48">
        <v>0</v>
      </c>
      <c r="AG1537" s="49" t="s">
        <v>32</v>
      </c>
      <c r="AH1537" s="48">
        <v>1</v>
      </c>
      <c r="AI1537" s="48" t="s">
        <v>33</v>
      </c>
      <c r="AJ1537" s="48" t="s">
        <v>33</v>
      </c>
      <c r="AK1537" s="48" t="s">
        <v>33</v>
      </c>
      <c r="AL1537" s="48" t="s">
        <v>34</v>
      </c>
      <c r="AN1537" s="48">
        <v>0</v>
      </c>
      <c r="AO1537" s="48">
        <v>0</v>
      </c>
      <c r="AP1537" s="48">
        <v>0</v>
      </c>
      <c r="AQ1537" s="48">
        <v>0</v>
      </c>
      <c r="AR1537" s="48">
        <v>0</v>
      </c>
      <c r="AS1537" s="48">
        <v>0</v>
      </c>
      <c r="AT1537" s="48">
        <v>0</v>
      </c>
      <c r="AU1537" s="48">
        <v>0</v>
      </c>
      <c r="AV1537" s="48">
        <v>0</v>
      </c>
      <c r="AW1537" s="48">
        <v>0</v>
      </c>
      <c r="AX1537" s="48">
        <v>0</v>
      </c>
      <c r="AY1537" s="48">
        <v>0</v>
      </c>
      <c r="AZ1537" s="48">
        <v>0</v>
      </c>
      <c r="BA1537" s="48">
        <v>0</v>
      </c>
      <c r="BB1537" s="48">
        <v>0</v>
      </c>
    </row>
    <row r="1538" spans="1:54" x14ac:dyDescent="0.35">
      <c r="A1538" s="49">
        <v>45930</v>
      </c>
      <c r="B1538" s="48">
        <v>1</v>
      </c>
      <c r="C1538" s="50" t="s">
        <v>32</v>
      </c>
      <c r="D1538" s="48" t="s">
        <v>31</v>
      </c>
      <c r="E1538" s="48" t="s">
        <v>138</v>
      </c>
      <c r="F1538" s="48" t="s">
        <v>139</v>
      </c>
      <c r="G1538" s="49" t="s">
        <v>172</v>
      </c>
      <c r="H1538" s="48" t="s">
        <v>173</v>
      </c>
      <c r="I1538" s="48">
        <v>1</v>
      </c>
      <c r="J1538" s="48">
        <v>35</v>
      </c>
      <c r="K1538" s="48">
        <v>1</v>
      </c>
      <c r="N1538" s="48">
        <v>0</v>
      </c>
      <c r="R1538" s="49"/>
      <c r="S1538" s="49"/>
      <c r="T1538" s="49">
        <v>46996</v>
      </c>
      <c r="U1538" s="49">
        <v>46996</v>
      </c>
      <c r="V1538" s="49">
        <v>46996</v>
      </c>
      <c r="W1538" s="49">
        <v>46996</v>
      </c>
      <c r="X1538" s="48">
        <v>1</v>
      </c>
      <c r="Y1538" s="48">
        <v>1</v>
      </c>
      <c r="Z1538" s="48">
        <v>1</v>
      </c>
      <c r="AA1538" s="156">
        <v>5041.5316787590273</v>
      </c>
      <c r="AF1538" s="48">
        <v>0</v>
      </c>
      <c r="AG1538" s="49" t="s">
        <v>32</v>
      </c>
      <c r="AH1538" s="48">
        <v>1</v>
      </c>
      <c r="AI1538" s="48" t="s">
        <v>33</v>
      </c>
      <c r="AJ1538" s="48" t="s">
        <v>33</v>
      </c>
      <c r="AK1538" s="48" t="s">
        <v>33</v>
      </c>
      <c r="AL1538" s="48" t="s">
        <v>34</v>
      </c>
      <c r="AN1538" s="48">
        <v>0</v>
      </c>
      <c r="AO1538" s="48">
        <v>0</v>
      </c>
      <c r="AP1538" s="48">
        <v>0</v>
      </c>
      <c r="AQ1538" s="48">
        <v>0</v>
      </c>
      <c r="AR1538" s="48">
        <v>0</v>
      </c>
      <c r="AS1538" s="48">
        <v>0</v>
      </c>
      <c r="AT1538" s="48">
        <v>0</v>
      </c>
      <c r="AU1538" s="48">
        <v>0</v>
      </c>
      <c r="AV1538" s="48">
        <v>0</v>
      </c>
      <c r="AW1538" s="48">
        <v>0</v>
      </c>
      <c r="AX1538" s="48">
        <v>0</v>
      </c>
      <c r="AY1538" s="48">
        <v>0</v>
      </c>
      <c r="AZ1538" s="48">
        <v>0</v>
      </c>
      <c r="BA1538" s="48">
        <v>0</v>
      </c>
      <c r="BB1538" s="48">
        <v>0</v>
      </c>
    </row>
    <row r="1539" spans="1:54" x14ac:dyDescent="0.35">
      <c r="A1539" s="49">
        <v>45930</v>
      </c>
      <c r="B1539" s="48">
        <v>1</v>
      </c>
      <c r="C1539" s="50" t="s">
        <v>32</v>
      </c>
      <c r="D1539" s="48" t="s">
        <v>31</v>
      </c>
      <c r="E1539" s="48" t="s">
        <v>138</v>
      </c>
      <c r="F1539" s="48" t="s">
        <v>139</v>
      </c>
      <c r="G1539" s="49" t="s">
        <v>172</v>
      </c>
      <c r="H1539" s="48" t="s">
        <v>173</v>
      </c>
      <c r="I1539" s="48">
        <v>1</v>
      </c>
      <c r="J1539" s="48">
        <v>36</v>
      </c>
      <c r="K1539" s="48">
        <v>1</v>
      </c>
      <c r="N1539" s="48">
        <v>0</v>
      </c>
      <c r="R1539" s="49"/>
      <c r="S1539" s="49"/>
      <c r="T1539" s="49">
        <v>47026</v>
      </c>
      <c r="U1539" s="49">
        <v>47026</v>
      </c>
      <c r="V1539" s="49">
        <v>47026</v>
      </c>
      <c r="W1539" s="49">
        <v>47026</v>
      </c>
      <c r="X1539" s="48">
        <v>1</v>
      </c>
      <c r="Y1539" s="48">
        <v>1</v>
      </c>
      <c r="Z1539" s="48">
        <v>1</v>
      </c>
      <c r="AA1539" s="156">
        <v>4996.8611256418517</v>
      </c>
      <c r="AF1539" s="48">
        <v>0</v>
      </c>
      <c r="AG1539" s="49" t="s">
        <v>32</v>
      </c>
      <c r="AH1539" s="48">
        <v>1</v>
      </c>
      <c r="AI1539" s="48" t="s">
        <v>33</v>
      </c>
      <c r="AJ1539" s="48" t="s">
        <v>33</v>
      </c>
      <c r="AK1539" s="48" t="s">
        <v>33</v>
      </c>
      <c r="AL1539" s="48" t="s">
        <v>34</v>
      </c>
      <c r="AN1539" s="48">
        <v>0</v>
      </c>
      <c r="AO1539" s="48">
        <v>0</v>
      </c>
      <c r="AP1539" s="48">
        <v>0</v>
      </c>
      <c r="AQ1539" s="48">
        <v>0</v>
      </c>
      <c r="AR1539" s="48">
        <v>0</v>
      </c>
      <c r="AS1539" s="48">
        <v>0</v>
      </c>
      <c r="AT1539" s="48">
        <v>0</v>
      </c>
      <c r="AU1539" s="48">
        <v>0</v>
      </c>
      <c r="AV1539" s="48">
        <v>0</v>
      </c>
      <c r="AW1539" s="48">
        <v>0</v>
      </c>
      <c r="AX1539" s="48">
        <v>0</v>
      </c>
      <c r="AY1539" s="48">
        <v>0</v>
      </c>
      <c r="AZ1539" s="48">
        <v>0</v>
      </c>
      <c r="BA1539" s="48">
        <v>0</v>
      </c>
      <c r="BB1539" s="48">
        <v>0</v>
      </c>
    </row>
    <row r="1540" spans="1:54" x14ac:dyDescent="0.35">
      <c r="A1540" s="49">
        <v>45930</v>
      </c>
      <c r="B1540" s="48">
        <v>1</v>
      </c>
      <c r="C1540" s="50" t="s">
        <v>32</v>
      </c>
      <c r="D1540" s="48" t="s">
        <v>31</v>
      </c>
      <c r="E1540" s="48" t="s">
        <v>138</v>
      </c>
      <c r="F1540" s="48" t="s">
        <v>139</v>
      </c>
      <c r="G1540" s="49" t="s">
        <v>172</v>
      </c>
      <c r="H1540" s="48" t="s">
        <v>173</v>
      </c>
      <c r="I1540" s="48">
        <v>1</v>
      </c>
      <c r="J1540" s="48">
        <v>37</v>
      </c>
      <c r="K1540" s="48">
        <v>1</v>
      </c>
      <c r="N1540" s="48">
        <v>0</v>
      </c>
      <c r="R1540" s="49"/>
      <c r="S1540" s="49"/>
      <c r="T1540" s="49">
        <v>47057</v>
      </c>
      <c r="U1540" s="49">
        <v>47057</v>
      </c>
      <c r="V1540" s="49">
        <v>47057</v>
      </c>
      <c r="W1540" s="49">
        <v>47057</v>
      </c>
      <c r="X1540" s="48">
        <v>1</v>
      </c>
      <c r="Y1540" s="48">
        <v>1</v>
      </c>
      <c r="Z1540" s="48">
        <v>1</v>
      </c>
      <c r="AA1540" s="156">
        <v>4952.5863765071845</v>
      </c>
      <c r="AF1540" s="48">
        <v>0</v>
      </c>
      <c r="AG1540" s="49" t="s">
        <v>32</v>
      </c>
      <c r="AH1540" s="48">
        <v>1</v>
      </c>
      <c r="AI1540" s="48" t="s">
        <v>33</v>
      </c>
      <c r="AJ1540" s="48" t="s">
        <v>33</v>
      </c>
      <c r="AK1540" s="48" t="s">
        <v>33</v>
      </c>
      <c r="AL1540" s="48" t="s">
        <v>34</v>
      </c>
      <c r="AN1540" s="48">
        <v>0</v>
      </c>
      <c r="AO1540" s="48">
        <v>0</v>
      </c>
      <c r="AP1540" s="48">
        <v>0</v>
      </c>
      <c r="AQ1540" s="48">
        <v>0</v>
      </c>
      <c r="AR1540" s="48">
        <v>0</v>
      </c>
      <c r="AS1540" s="48">
        <v>0</v>
      </c>
      <c r="AT1540" s="48">
        <v>0</v>
      </c>
      <c r="AU1540" s="48">
        <v>0</v>
      </c>
      <c r="AV1540" s="48">
        <v>0</v>
      </c>
      <c r="AW1540" s="48">
        <v>0</v>
      </c>
      <c r="AX1540" s="48">
        <v>0</v>
      </c>
      <c r="AY1540" s="48">
        <v>0</v>
      </c>
      <c r="AZ1540" s="48">
        <v>0</v>
      </c>
      <c r="BA1540" s="48">
        <v>0</v>
      </c>
      <c r="BB1540" s="48">
        <v>0</v>
      </c>
    </row>
    <row r="1541" spans="1:54" x14ac:dyDescent="0.35">
      <c r="A1541" s="49">
        <v>45930</v>
      </c>
      <c r="B1541" s="48">
        <v>1</v>
      </c>
      <c r="C1541" s="50" t="s">
        <v>32</v>
      </c>
      <c r="D1541" s="48" t="s">
        <v>31</v>
      </c>
      <c r="E1541" s="48" t="s">
        <v>138</v>
      </c>
      <c r="F1541" s="48" t="s">
        <v>139</v>
      </c>
      <c r="G1541" s="49" t="s">
        <v>172</v>
      </c>
      <c r="H1541" s="48" t="s">
        <v>173</v>
      </c>
      <c r="I1541" s="48">
        <v>1</v>
      </c>
      <c r="J1541" s="48">
        <v>38</v>
      </c>
      <c r="K1541" s="48">
        <v>1</v>
      </c>
      <c r="N1541" s="48">
        <v>0</v>
      </c>
      <c r="R1541" s="49"/>
      <c r="S1541" s="49"/>
      <c r="T1541" s="49">
        <v>47087</v>
      </c>
      <c r="U1541" s="49">
        <v>47087</v>
      </c>
      <c r="V1541" s="49">
        <v>47087</v>
      </c>
      <c r="W1541" s="49">
        <v>47087</v>
      </c>
      <c r="X1541" s="48">
        <v>1</v>
      </c>
      <c r="Y1541" s="48">
        <v>1</v>
      </c>
      <c r="Z1541" s="48">
        <v>1</v>
      </c>
      <c r="AA1541" s="156">
        <v>4908.7039243287873</v>
      </c>
      <c r="AF1541" s="48">
        <v>0</v>
      </c>
      <c r="AG1541" s="49" t="s">
        <v>32</v>
      </c>
      <c r="AH1541" s="48">
        <v>1</v>
      </c>
      <c r="AI1541" s="48" t="s">
        <v>33</v>
      </c>
      <c r="AJ1541" s="48" t="s">
        <v>33</v>
      </c>
      <c r="AK1541" s="48" t="s">
        <v>33</v>
      </c>
      <c r="AL1541" s="48" t="s">
        <v>34</v>
      </c>
      <c r="AN1541" s="48">
        <v>0</v>
      </c>
      <c r="AO1541" s="48">
        <v>0</v>
      </c>
      <c r="AP1541" s="48">
        <v>0</v>
      </c>
      <c r="AQ1541" s="48">
        <v>0</v>
      </c>
      <c r="AR1541" s="48">
        <v>0</v>
      </c>
      <c r="AS1541" s="48">
        <v>0</v>
      </c>
      <c r="AT1541" s="48">
        <v>0</v>
      </c>
      <c r="AU1541" s="48">
        <v>0</v>
      </c>
      <c r="AV1541" s="48">
        <v>0</v>
      </c>
      <c r="AW1541" s="48">
        <v>0</v>
      </c>
      <c r="AX1541" s="48">
        <v>0</v>
      </c>
      <c r="AY1541" s="48">
        <v>0</v>
      </c>
      <c r="AZ1541" s="48">
        <v>0</v>
      </c>
      <c r="BA1541" s="48">
        <v>0</v>
      </c>
      <c r="BB1541" s="48">
        <v>0</v>
      </c>
    </row>
    <row r="1542" spans="1:54" x14ac:dyDescent="0.35">
      <c r="A1542" s="49">
        <v>45930</v>
      </c>
      <c r="B1542" s="48">
        <v>1</v>
      </c>
      <c r="C1542" s="50" t="s">
        <v>32</v>
      </c>
      <c r="D1542" s="48" t="s">
        <v>31</v>
      </c>
      <c r="E1542" s="48" t="s">
        <v>138</v>
      </c>
      <c r="F1542" s="48" t="s">
        <v>139</v>
      </c>
      <c r="G1542" s="49" t="s">
        <v>172</v>
      </c>
      <c r="H1542" s="48" t="s">
        <v>173</v>
      </c>
      <c r="I1542" s="48">
        <v>1</v>
      </c>
      <c r="J1542" s="48">
        <v>39</v>
      </c>
      <c r="K1542" s="48">
        <v>1</v>
      </c>
      <c r="N1542" s="48">
        <v>0</v>
      </c>
      <c r="R1542" s="49"/>
      <c r="S1542" s="49"/>
      <c r="T1542" s="49">
        <v>47118</v>
      </c>
      <c r="U1542" s="49">
        <v>47118</v>
      </c>
      <c r="V1542" s="49">
        <v>47118</v>
      </c>
      <c r="W1542" s="49">
        <v>47118</v>
      </c>
      <c r="X1542" s="48">
        <v>1</v>
      </c>
      <c r="Y1542" s="48">
        <v>1</v>
      </c>
      <c r="Z1542" s="48">
        <v>1</v>
      </c>
      <c r="AA1542" s="156">
        <v>4865.2102931548143</v>
      </c>
      <c r="AF1542" s="48">
        <v>0</v>
      </c>
      <c r="AG1542" s="49" t="s">
        <v>32</v>
      </c>
      <c r="AH1542" s="48">
        <v>1</v>
      </c>
      <c r="AI1542" s="48" t="s">
        <v>33</v>
      </c>
      <c r="AJ1542" s="48" t="s">
        <v>33</v>
      </c>
      <c r="AK1542" s="48" t="s">
        <v>33</v>
      </c>
      <c r="AL1542" s="48" t="s">
        <v>34</v>
      </c>
      <c r="AN1542" s="48">
        <v>0</v>
      </c>
      <c r="AO1542" s="48">
        <v>0</v>
      </c>
      <c r="AP1542" s="48">
        <v>0</v>
      </c>
      <c r="AQ1542" s="48">
        <v>0</v>
      </c>
      <c r="AR1542" s="48">
        <v>0</v>
      </c>
      <c r="AS1542" s="48">
        <v>0</v>
      </c>
      <c r="AT1542" s="48">
        <v>0</v>
      </c>
      <c r="AU1542" s="48">
        <v>0</v>
      </c>
      <c r="AV1542" s="48">
        <v>0</v>
      </c>
      <c r="AW1542" s="48">
        <v>0</v>
      </c>
      <c r="AX1542" s="48">
        <v>0</v>
      </c>
      <c r="AY1542" s="48">
        <v>0</v>
      </c>
      <c r="AZ1542" s="48">
        <v>0</v>
      </c>
      <c r="BA1542" s="48">
        <v>0</v>
      </c>
      <c r="BB1542" s="48">
        <v>0</v>
      </c>
    </row>
    <row r="1543" spans="1:54" x14ac:dyDescent="0.35">
      <c r="A1543" s="49">
        <v>45930</v>
      </c>
      <c r="B1543" s="48">
        <v>1</v>
      </c>
      <c r="C1543" s="50" t="s">
        <v>32</v>
      </c>
      <c r="D1543" s="48" t="s">
        <v>31</v>
      </c>
      <c r="E1543" s="48" t="s">
        <v>138</v>
      </c>
      <c r="F1543" s="48" t="s">
        <v>139</v>
      </c>
      <c r="G1543" s="49" t="s">
        <v>172</v>
      </c>
      <c r="H1543" s="48" t="s">
        <v>173</v>
      </c>
      <c r="I1543" s="48">
        <v>1</v>
      </c>
      <c r="J1543" s="48">
        <v>40</v>
      </c>
      <c r="K1543" s="48">
        <v>1</v>
      </c>
      <c r="N1543" s="48">
        <v>0</v>
      </c>
      <c r="R1543" s="49"/>
      <c r="S1543" s="49"/>
      <c r="T1543" s="49">
        <v>47149</v>
      </c>
      <c r="U1543" s="49">
        <v>47149</v>
      </c>
      <c r="V1543" s="49">
        <v>47149</v>
      </c>
      <c r="W1543" s="49">
        <v>47149</v>
      </c>
      <c r="X1543" s="48">
        <v>1</v>
      </c>
      <c r="Y1543" s="48">
        <v>1</v>
      </c>
      <c r="Z1543" s="48">
        <v>1</v>
      </c>
      <c r="AA1543" s="156">
        <v>4822.1020378320245</v>
      </c>
      <c r="AF1543" s="48">
        <v>0</v>
      </c>
      <c r="AG1543" s="49" t="s">
        <v>32</v>
      </c>
      <c r="AH1543" s="48">
        <v>1</v>
      </c>
      <c r="AI1543" s="48" t="s">
        <v>33</v>
      </c>
      <c r="AJ1543" s="48" t="s">
        <v>33</v>
      </c>
      <c r="AK1543" s="48" t="s">
        <v>33</v>
      </c>
      <c r="AL1543" s="48" t="s">
        <v>34</v>
      </c>
      <c r="AN1543" s="48">
        <v>0</v>
      </c>
      <c r="AO1543" s="48">
        <v>0</v>
      </c>
      <c r="AP1543" s="48">
        <v>0</v>
      </c>
      <c r="AQ1543" s="48">
        <v>0</v>
      </c>
      <c r="AR1543" s="48">
        <v>0</v>
      </c>
      <c r="AS1543" s="48">
        <v>0</v>
      </c>
      <c r="AT1543" s="48">
        <v>0</v>
      </c>
      <c r="AU1543" s="48">
        <v>0</v>
      </c>
      <c r="AV1543" s="48">
        <v>0</v>
      </c>
      <c r="AW1543" s="48">
        <v>0</v>
      </c>
      <c r="AX1543" s="48">
        <v>0</v>
      </c>
      <c r="AY1543" s="48">
        <v>0</v>
      </c>
      <c r="AZ1543" s="48">
        <v>0</v>
      </c>
      <c r="BA1543" s="48">
        <v>0</v>
      </c>
      <c r="BB1543" s="48">
        <v>0</v>
      </c>
    </row>
    <row r="1544" spans="1:54" x14ac:dyDescent="0.35">
      <c r="A1544" s="49">
        <v>45930</v>
      </c>
      <c r="B1544" s="48">
        <v>1</v>
      </c>
      <c r="C1544" s="50" t="s">
        <v>32</v>
      </c>
      <c r="D1544" s="48" t="s">
        <v>31</v>
      </c>
      <c r="E1544" s="48" t="s">
        <v>138</v>
      </c>
      <c r="F1544" s="48" t="s">
        <v>139</v>
      </c>
      <c r="G1544" s="49" t="s">
        <v>172</v>
      </c>
      <c r="H1544" s="48" t="s">
        <v>173</v>
      </c>
      <c r="I1544" s="48">
        <v>1</v>
      </c>
      <c r="J1544" s="48">
        <v>41</v>
      </c>
      <c r="K1544" s="48">
        <v>1</v>
      </c>
      <c r="N1544" s="48">
        <v>0</v>
      </c>
      <c r="R1544" s="49"/>
      <c r="S1544" s="49"/>
      <c r="T1544" s="49">
        <v>47177</v>
      </c>
      <c r="U1544" s="49">
        <v>47177</v>
      </c>
      <c r="V1544" s="49">
        <v>47177</v>
      </c>
      <c r="W1544" s="49">
        <v>47177</v>
      </c>
      <c r="X1544" s="48">
        <v>1</v>
      </c>
      <c r="Y1544" s="48">
        <v>1</v>
      </c>
      <c r="Z1544" s="48">
        <v>1</v>
      </c>
      <c r="AA1544" s="156">
        <v>4779.3757437326713</v>
      </c>
      <c r="AF1544" s="48">
        <v>0</v>
      </c>
      <c r="AG1544" s="49" t="s">
        <v>32</v>
      </c>
      <c r="AH1544" s="48">
        <v>1</v>
      </c>
      <c r="AI1544" s="48" t="s">
        <v>33</v>
      </c>
      <c r="AJ1544" s="48" t="s">
        <v>33</v>
      </c>
      <c r="AK1544" s="48" t="s">
        <v>33</v>
      </c>
      <c r="AL1544" s="48" t="s">
        <v>34</v>
      </c>
      <c r="AN1544" s="48">
        <v>0</v>
      </c>
      <c r="AO1544" s="48">
        <v>0</v>
      </c>
      <c r="AP1544" s="48">
        <v>0</v>
      </c>
      <c r="AQ1544" s="48">
        <v>0</v>
      </c>
      <c r="AR1544" s="48">
        <v>0</v>
      </c>
      <c r="AS1544" s="48">
        <v>0</v>
      </c>
      <c r="AT1544" s="48">
        <v>0</v>
      </c>
      <c r="AU1544" s="48">
        <v>0</v>
      </c>
      <c r="AV1544" s="48">
        <v>0</v>
      </c>
      <c r="AW1544" s="48">
        <v>0</v>
      </c>
      <c r="AX1544" s="48">
        <v>0</v>
      </c>
      <c r="AY1544" s="48">
        <v>0</v>
      </c>
      <c r="AZ1544" s="48">
        <v>0</v>
      </c>
      <c r="BA1544" s="48">
        <v>0</v>
      </c>
      <c r="BB1544" s="48">
        <v>0</v>
      </c>
    </row>
    <row r="1545" spans="1:54" x14ac:dyDescent="0.35">
      <c r="A1545" s="49">
        <v>45930</v>
      </c>
      <c r="B1545" s="48">
        <v>1</v>
      </c>
      <c r="C1545" s="50" t="s">
        <v>32</v>
      </c>
      <c r="D1545" s="48" t="s">
        <v>31</v>
      </c>
      <c r="E1545" s="48" t="s">
        <v>138</v>
      </c>
      <c r="F1545" s="48" t="s">
        <v>139</v>
      </c>
      <c r="G1545" s="49" t="s">
        <v>172</v>
      </c>
      <c r="H1545" s="48" t="s">
        <v>173</v>
      </c>
      <c r="I1545" s="48">
        <v>1</v>
      </c>
      <c r="J1545" s="48">
        <v>42</v>
      </c>
      <c r="K1545" s="48">
        <v>1</v>
      </c>
      <c r="N1545" s="48">
        <v>0</v>
      </c>
      <c r="R1545" s="49"/>
      <c r="S1545" s="49"/>
      <c r="T1545" s="49">
        <v>47208</v>
      </c>
      <c r="U1545" s="49">
        <v>47208</v>
      </c>
      <c r="V1545" s="49">
        <v>47208</v>
      </c>
      <c r="W1545" s="49">
        <v>47208</v>
      </c>
      <c r="X1545" s="48">
        <v>1</v>
      </c>
      <c r="Y1545" s="48">
        <v>1</v>
      </c>
      <c r="Z1545" s="48">
        <v>1</v>
      </c>
      <c r="AA1545" s="156">
        <v>4737.0280264852336</v>
      </c>
      <c r="AF1545" s="48">
        <v>0</v>
      </c>
      <c r="AG1545" s="49" t="s">
        <v>32</v>
      </c>
      <c r="AH1545" s="48">
        <v>1</v>
      </c>
      <c r="AI1545" s="48" t="s">
        <v>33</v>
      </c>
      <c r="AJ1545" s="48" t="s">
        <v>33</v>
      </c>
      <c r="AK1545" s="48" t="s">
        <v>33</v>
      </c>
      <c r="AL1545" s="48" t="s">
        <v>34</v>
      </c>
      <c r="AN1545" s="48">
        <v>0</v>
      </c>
      <c r="AO1545" s="48">
        <v>0</v>
      </c>
      <c r="AP1545" s="48">
        <v>0</v>
      </c>
      <c r="AQ1545" s="48">
        <v>0</v>
      </c>
      <c r="AR1545" s="48">
        <v>0</v>
      </c>
      <c r="AS1545" s="48">
        <v>0</v>
      </c>
      <c r="AT1545" s="48">
        <v>0</v>
      </c>
      <c r="AU1545" s="48">
        <v>0</v>
      </c>
      <c r="AV1545" s="48">
        <v>0</v>
      </c>
      <c r="AW1545" s="48">
        <v>0</v>
      </c>
      <c r="AX1545" s="48">
        <v>0</v>
      </c>
      <c r="AY1545" s="48">
        <v>0</v>
      </c>
      <c r="AZ1545" s="48">
        <v>0</v>
      </c>
      <c r="BA1545" s="48">
        <v>0</v>
      </c>
      <c r="BB1545" s="48">
        <v>0</v>
      </c>
    </row>
    <row r="1546" spans="1:54" x14ac:dyDescent="0.35">
      <c r="A1546" s="49">
        <v>45930</v>
      </c>
      <c r="B1546" s="48">
        <v>1</v>
      </c>
      <c r="C1546" s="50" t="s">
        <v>32</v>
      </c>
      <c r="D1546" s="48" t="s">
        <v>31</v>
      </c>
      <c r="E1546" s="48" t="s">
        <v>138</v>
      </c>
      <c r="F1546" s="48" t="s">
        <v>139</v>
      </c>
      <c r="G1546" s="49" t="s">
        <v>172</v>
      </c>
      <c r="H1546" s="48" t="s">
        <v>173</v>
      </c>
      <c r="I1546" s="48">
        <v>1</v>
      </c>
      <c r="J1546" s="48">
        <v>43</v>
      </c>
      <c r="K1546" s="48">
        <v>1</v>
      </c>
      <c r="N1546" s="48">
        <v>0</v>
      </c>
      <c r="R1546" s="49"/>
      <c r="S1546" s="49"/>
      <c r="T1546" s="49">
        <v>47238</v>
      </c>
      <c r="U1546" s="49">
        <v>47238</v>
      </c>
      <c r="V1546" s="49">
        <v>47238</v>
      </c>
      <c r="W1546" s="49">
        <v>47238</v>
      </c>
      <c r="X1546" s="48">
        <v>1</v>
      </c>
      <c r="Y1546" s="48">
        <v>1</v>
      </c>
      <c r="Z1546" s="48">
        <v>1</v>
      </c>
      <c r="AA1546" s="156">
        <v>4695.0555317043327</v>
      </c>
      <c r="AF1546" s="48">
        <v>0</v>
      </c>
      <c r="AG1546" s="49" t="s">
        <v>32</v>
      </c>
      <c r="AH1546" s="48">
        <v>1</v>
      </c>
      <c r="AI1546" s="48" t="s">
        <v>33</v>
      </c>
      <c r="AJ1546" s="48" t="s">
        <v>33</v>
      </c>
      <c r="AK1546" s="48" t="s">
        <v>33</v>
      </c>
      <c r="AL1546" s="48" t="s">
        <v>34</v>
      </c>
      <c r="AN1546" s="48">
        <v>0</v>
      </c>
      <c r="AO1546" s="48">
        <v>0</v>
      </c>
      <c r="AP1546" s="48">
        <v>0</v>
      </c>
      <c r="AQ1546" s="48">
        <v>0</v>
      </c>
      <c r="AR1546" s="48">
        <v>0</v>
      </c>
      <c r="AS1546" s="48">
        <v>0</v>
      </c>
      <c r="AT1546" s="48">
        <v>0</v>
      </c>
      <c r="AU1546" s="48">
        <v>0</v>
      </c>
      <c r="AV1546" s="48">
        <v>0</v>
      </c>
      <c r="AW1546" s="48">
        <v>0</v>
      </c>
      <c r="AX1546" s="48">
        <v>0</v>
      </c>
      <c r="AY1546" s="48">
        <v>0</v>
      </c>
      <c r="AZ1546" s="48">
        <v>0</v>
      </c>
      <c r="BA1546" s="48">
        <v>0</v>
      </c>
      <c r="BB1546" s="48">
        <v>0</v>
      </c>
    </row>
    <row r="1547" spans="1:54" x14ac:dyDescent="0.35">
      <c r="A1547" s="49">
        <v>45930</v>
      </c>
      <c r="B1547" s="48">
        <v>1</v>
      </c>
      <c r="C1547" s="50" t="s">
        <v>32</v>
      </c>
      <c r="D1547" s="48" t="s">
        <v>31</v>
      </c>
      <c r="E1547" s="48" t="s">
        <v>138</v>
      </c>
      <c r="F1547" s="48" t="s">
        <v>139</v>
      </c>
      <c r="G1547" s="49" t="s">
        <v>172</v>
      </c>
      <c r="H1547" s="48" t="s">
        <v>173</v>
      </c>
      <c r="I1547" s="48">
        <v>1</v>
      </c>
      <c r="J1547" s="48">
        <v>44</v>
      </c>
      <c r="K1547" s="48">
        <v>1</v>
      </c>
      <c r="N1547" s="48">
        <v>0</v>
      </c>
      <c r="R1547" s="49"/>
      <c r="S1547" s="49"/>
      <c r="T1547" s="49">
        <v>47269</v>
      </c>
      <c r="U1547" s="49">
        <v>47269</v>
      </c>
      <c r="V1547" s="49">
        <v>47269</v>
      </c>
      <c r="W1547" s="49">
        <v>47269</v>
      </c>
      <c r="X1547" s="48">
        <v>1</v>
      </c>
      <c r="Y1547" s="48">
        <v>1</v>
      </c>
      <c r="Z1547" s="48">
        <v>1</v>
      </c>
      <c r="AA1547" s="156">
        <v>4653.4549347269349</v>
      </c>
      <c r="AF1547" s="48">
        <v>0</v>
      </c>
      <c r="AG1547" s="49" t="s">
        <v>32</v>
      </c>
      <c r="AH1547" s="48">
        <v>1</v>
      </c>
      <c r="AI1547" s="48" t="s">
        <v>33</v>
      </c>
      <c r="AJ1547" s="48" t="s">
        <v>33</v>
      </c>
      <c r="AK1547" s="48" t="s">
        <v>33</v>
      </c>
      <c r="AL1547" s="48" t="s">
        <v>34</v>
      </c>
      <c r="AN1547" s="48">
        <v>0</v>
      </c>
      <c r="AO1547" s="48">
        <v>0</v>
      </c>
      <c r="AP1547" s="48">
        <v>0</v>
      </c>
      <c r="AQ1547" s="48">
        <v>0</v>
      </c>
      <c r="AR1547" s="48">
        <v>0</v>
      </c>
      <c r="AS1547" s="48">
        <v>0</v>
      </c>
      <c r="AT1547" s="48">
        <v>0</v>
      </c>
      <c r="AU1547" s="48">
        <v>0</v>
      </c>
      <c r="AV1547" s="48">
        <v>0</v>
      </c>
      <c r="AW1547" s="48">
        <v>0</v>
      </c>
      <c r="AX1547" s="48">
        <v>0</v>
      </c>
      <c r="AY1547" s="48">
        <v>0</v>
      </c>
      <c r="AZ1547" s="48">
        <v>0</v>
      </c>
      <c r="BA1547" s="48">
        <v>0</v>
      </c>
      <c r="BB1547" s="48">
        <v>0</v>
      </c>
    </row>
    <row r="1548" spans="1:54" x14ac:dyDescent="0.35">
      <c r="A1548" s="49">
        <v>45930</v>
      </c>
      <c r="B1548" s="48">
        <v>1</v>
      </c>
      <c r="C1548" s="50" t="s">
        <v>32</v>
      </c>
      <c r="D1548" s="48" t="s">
        <v>31</v>
      </c>
      <c r="E1548" s="48" t="s">
        <v>138</v>
      </c>
      <c r="F1548" s="48" t="s">
        <v>139</v>
      </c>
      <c r="G1548" s="49" t="s">
        <v>172</v>
      </c>
      <c r="H1548" s="48" t="s">
        <v>173</v>
      </c>
      <c r="I1548" s="48">
        <v>1</v>
      </c>
      <c r="J1548" s="48">
        <v>45</v>
      </c>
      <c r="K1548" s="48">
        <v>1</v>
      </c>
      <c r="N1548" s="48">
        <v>0</v>
      </c>
      <c r="R1548" s="49"/>
      <c r="S1548" s="49"/>
      <c r="T1548" s="49">
        <v>47299</v>
      </c>
      <c r="U1548" s="49">
        <v>47299</v>
      </c>
      <c r="V1548" s="49">
        <v>47299</v>
      </c>
      <c r="W1548" s="49">
        <v>47299</v>
      </c>
      <c r="X1548" s="48">
        <v>1</v>
      </c>
      <c r="Y1548" s="48">
        <v>1</v>
      </c>
      <c r="Z1548" s="48">
        <v>1</v>
      </c>
      <c r="AA1548" s="156">
        <v>4612.2229403479723</v>
      </c>
      <c r="AF1548" s="48">
        <v>0</v>
      </c>
      <c r="AG1548" s="49" t="s">
        <v>32</v>
      </c>
      <c r="AH1548" s="48">
        <v>1</v>
      </c>
      <c r="AI1548" s="48" t="s">
        <v>33</v>
      </c>
      <c r="AJ1548" s="48" t="s">
        <v>33</v>
      </c>
      <c r="AK1548" s="48" t="s">
        <v>33</v>
      </c>
      <c r="AL1548" s="48" t="s">
        <v>34</v>
      </c>
      <c r="AN1548" s="48">
        <v>0</v>
      </c>
      <c r="AO1548" s="48">
        <v>0</v>
      </c>
      <c r="AP1548" s="48">
        <v>0</v>
      </c>
      <c r="AQ1548" s="48">
        <v>0</v>
      </c>
      <c r="AR1548" s="48">
        <v>0</v>
      </c>
      <c r="AS1548" s="48">
        <v>0</v>
      </c>
      <c r="AT1548" s="48">
        <v>0</v>
      </c>
      <c r="AU1548" s="48">
        <v>0</v>
      </c>
      <c r="AV1548" s="48">
        <v>0</v>
      </c>
      <c r="AW1548" s="48">
        <v>0</v>
      </c>
      <c r="AX1548" s="48">
        <v>0</v>
      </c>
      <c r="AY1548" s="48">
        <v>0</v>
      </c>
      <c r="AZ1548" s="48">
        <v>0</v>
      </c>
      <c r="BA1548" s="48">
        <v>0</v>
      </c>
      <c r="BB1548" s="48">
        <v>0</v>
      </c>
    </row>
    <row r="1549" spans="1:54" x14ac:dyDescent="0.35">
      <c r="A1549" s="49">
        <v>45930</v>
      </c>
      <c r="B1549" s="48">
        <v>1</v>
      </c>
      <c r="C1549" s="50" t="s">
        <v>32</v>
      </c>
      <c r="D1549" s="48" t="s">
        <v>31</v>
      </c>
      <c r="E1549" s="48" t="s">
        <v>138</v>
      </c>
      <c r="F1549" s="48" t="s">
        <v>139</v>
      </c>
      <c r="G1549" s="49" t="s">
        <v>172</v>
      </c>
      <c r="H1549" s="48" t="s">
        <v>173</v>
      </c>
      <c r="I1549" s="48">
        <v>1</v>
      </c>
      <c r="J1549" s="48">
        <v>46</v>
      </c>
      <c r="K1549" s="48">
        <v>1</v>
      </c>
      <c r="N1549" s="48">
        <v>0</v>
      </c>
      <c r="R1549" s="49"/>
      <c r="S1549" s="49"/>
      <c r="T1549" s="49">
        <v>47330</v>
      </c>
      <c r="U1549" s="49">
        <v>47330</v>
      </c>
      <c r="V1549" s="49">
        <v>47330</v>
      </c>
      <c r="W1549" s="49">
        <v>47330</v>
      </c>
      <c r="X1549" s="48">
        <v>1</v>
      </c>
      <c r="Y1549" s="48">
        <v>1</v>
      </c>
      <c r="Z1549" s="48">
        <v>1</v>
      </c>
      <c r="AA1549" s="156">
        <v>4571.3562825596891</v>
      </c>
      <c r="AF1549" s="48">
        <v>0</v>
      </c>
      <c r="AG1549" s="49" t="s">
        <v>32</v>
      </c>
      <c r="AH1549" s="48">
        <v>1</v>
      </c>
      <c r="AI1549" s="48" t="s">
        <v>33</v>
      </c>
      <c r="AJ1549" s="48" t="s">
        <v>33</v>
      </c>
      <c r="AK1549" s="48" t="s">
        <v>33</v>
      </c>
      <c r="AL1549" s="48" t="s">
        <v>34</v>
      </c>
      <c r="AN1549" s="48">
        <v>0</v>
      </c>
      <c r="AO1549" s="48">
        <v>0</v>
      </c>
      <c r="AP1549" s="48">
        <v>0</v>
      </c>
      <c r="AQ1549" s="48">
        <v>0</v>
      </c>
      <c r="AR1549" s="48">
        <v>0</v>
      </c>
      <c r="AS1549" s="48">
        <v>0</v>
      </c>
      <c r="AT1549" s="48">
        <v>0</v>
      </c>
      <c r="AU1549" s="48">
        <v>0</v>
      </c>
      <c r="AV1549" s="48">
        <v>0</v>
      </c>
      <c r="AW1549" s="48">
        <v>0</v>
      </c>
      <c r="AX1549" s="48">
        <v>0</v>
      </c>
      <c r="AY1549" s="48">
        <v>0</v>
      </c>
      <c r="AZ1549" s="48">
        <v>0</v>
      </c>
      <c r="BA1549" s="48">
        <v>0</v>
      </c>
      <c r="BB1549" s="48">
        <v>0</v>
      </c>
    </row>
    <row r="1550" spans="1:54" x14ac:dyDescent="0.35">
      <c r="A1550" s="49">
        <v>45930</v>
      </c>
      <c r="B1550" s="48">
        <v>1</v>
      </c>
      <c r="C1550" s="50" t="s">
        <v>32</v>
      </c>
      <c r="D1550" s="48" t="s">
        <v>31</v>
      </c>
      <c r="E1550" s="48" t="s">
        <v>138</v>
      </c>
      <c r="F1550" s="48" t="s">
        <v>139</v>
      </c>
      <c r="G1550" s="49" t="s">
        <v>172</v>
      </c>
      <c r="H1550" s="48" t="s">
        <v>173</v>
      </c>
      <c r="I1550" s="48">
        <v>1</v>
      </c>
      <c r="J1550" s="48">
        <v>47</v>
      </c>
      <c r="K1550" s="48">
        <v>1</v>
      </c>
      <c r="N1550" s="48">
        <v>0</v>
      </c>
      <c r="R1550" s="49"/>
      <c r="S1550" s="49"/>
      <c r="T1550" s="49">
        <v>47361</v>
      </c>
      <c r="U1550" s="49">
        <v>47361</v>
      </c>
      <c r="V1550" s="49">
        <v>47361</v>
      </c>
      <c r="W1550" s="49">
        <v>47361</v>
      </c>
      <c r="X1550" s="48">
        <v>1</v>
      </c>
      <c r="Y1550" s="48">
        <v>1</v>
      </c>
      <c r="Z1550" s="48">
        <v>1</v>
      </c>
      <c r="AA1550" s="156">
        <v>4530.8517242927919</v>
      </c>
      <c r="AF1550" s="48">
        <v>0</v>
      </c>
      <c r="AG1550" s="49" t="s">
        <v>32</v>
      </c>
      <c r="AH1550" s="48">
        <v>1</v>
      </c>
      <c r="AI1550" s="48" t="s">
        <v>33</v>
      </c>
      <c r="AJ1550" s="48" t="s">
        <v>33</v>
      </c>
      <c r="AK1550" s="48" t="s">
        <v>33</v>
      </c>
      <c r="AL1550" s="48" t="s">
        <v>34</v>
      </c>
      <c r="AN1550" s="48">
        <v>0</v>
      </c>
      <c r="AO1550" s="48">
        <v>0</v>
      </c>
      <c r="AP1550" s="48">
        <v>0</v>
      </c>
      <c r="AQ1550" s="48">
        <v>0</v>
      </c>
      <c r="AR1550" s="48">
        <v>0</v>
      </c>
      <c r="AS1550" s="48">
        <v>0</v>
      </c>
      <c r="AT1550" s="48">
        <v>0</v>
      </c>
      <c r="AU1550" s="48">
        <v>0</v>
      </c>
      <c r="AV1550" s="48">
        <v>0</v>
      </c>
      <c r="AW1550" s="48">
        <v>0</v>
      </c>
      <c r="AX1550" s="48">
        <v>0</v>
      </c>
      <c r="AY1550" s="48">
        <v>0</v>
      </c>
      <c r="AZ1550" s="48">
        <v>0</v>
      </c>
      <c r="BA1550" s="48">
        <v>0</v>
      </c>
      <c r="BB1550" s="48">
        <v>0</v>
      </c>
    </row>
    <row r="1551" spans="1:54" x14ac:dyDescent="0.35">
      <c r="A1551" s="49">
        <v>45930</v>
      </c>
      <c r="B1551" s="48">
        <v>1</v>
      </c>
      <c r="C1551" s="50" t="s">
        <v>32</v>
      </c>
      <c r="D1551" s="48" t="s">
        <v>31</v>
      </c>
      <c r="E1551" s="48" t="s">
        <v>138</v>
      </c>
      <c r="F1551" s="48" t="s">
        <v>139</v>
      </c>
      <c r="G1551" s="49" t="s">
        <v>172</v>
      </c>
      <c r="H1551" s="48" t="s">
        <v>173</v>
      </c>
      <c r="I1551" s="48">
        <v>1</v>
      </c>
      <c r="J1551" s="48">
        <v>48</v>
      </c>
      <c r="K1551" s="48">
        <v>1</v>
      </c>
      <c r="N1551" s="48">
        <v>0</v>
      </c>
      <c r="R1551" s="49"/>
      <c r="S1551" s="49"/>
      <c r="T1551" s="49">
        <v>47391</v>
      </c>
      <c r="U1551" s="49">
        <v>47391</v>
      </c>
      <c r="V1551" s="49">
        <v>47391</v>
      </c>
      <c r="W1551" s="49">
        <v>47391</v>
      </c>
      <c r="X1551" s="48">
        <v>1</v>
      </c>
      <c r="Y1551" s="48">
        <v>1</v>
      </c>
      <c r="Z1551" s="48">
        <v>1</v>
      </c>
      <c r="AA1551" s="156">
        <v>4490.7060571596958</v>
      </c>
      <c r="AF1551" s="48">
        <v>0</v>
      </c>
      <c r="AG1551" s="49" t="s">
        <v>32</v>
      </c>
      <c r="AH1551" s="48">
        <v>1</v>
      </c>
      <c r="AI1551" s="48" t="s">
        <v>33</v>
      </c>
      <c r="AJ1551" s="48" t="s">
        <v>33</v>
      </c>
      <c r="AK1551" s="48" t="s">
        <v>33</v>
      </c>
      <c r="AL1551" s="48" t="s">
        <v>34</v>
      </c>
      <c r="AN1551" s="48">
        <v>0</v>
      </c>
      <c r="AO1551" s="48">
        <v>0</v>
      </c>
      <c r="AP1551" s="48">
        <v>0</v>
      </c>
      <c r="AQ1551" s="48">
        <v>0</v>
      </c>
      <c r="AR1551" s="48">
        <v>0</v>
      </c>
      <c r="AS1551" s="48">
        <v>0</v>
      </c>
      <c r="AT1551" s="48">
        <v>0</v>
      </c>
      <c r="AU1551" s="48">
        <v>0</v>
      </c>
      <c r="AV1551" s="48">
        <v>0</v>
      </c>
      <c r="AW1551" s="48">
        <v>0</v>
      </c>
      <c r="AX1551" s="48">
        <v>0</v>
      </c>
      <c r="AY1551" s="48">
        <v>0</v>
      </c>
      <c r="AZ1551" s="48">
        <v>0</v>
      </c>
      <c r="BA1551" s="48">
        <v>0</v>
      </c>
      <c r="BB1551" s="48">
        <v>0</v>
      </c>
    </row>
    <row r="1552" spans="1:54" x14ac:dyDescent="0.35">
      <c r="A1552" s="49">
        <v>45930</v>
      </c>
      <c r="B1552" s="48">
        <v>1</v>
      </c>
      <c r="C1552" s="50" t="s">
        <v>32</v>
      </c>
      <c r="D1552" s="48" t="s">
        <v>31</v>
      </c>
      <c r="E1552" s="48" t="s">
        <v>138</v>
      </c>
      <c r="F1552" s="48" t="s">
        <v>139</v>
      </c>
      <c r="G1552" s="49" t="s">
        <v>172</v>
      </c>
      <c r="H1552" s="48" t="s">
        <v>173</v>
      </c>
      <c r="I1552" s="48">
        <v>1</v>
      </c>
      <c r="J1552" s="48">
        <v>49</v>
      </c>
      <c r="K1552" s="48">
        <v>1</v>
      </c>
      <c r="N1552" s="48">
        <v>0</v>
      </c>
      <c r="R1552" s="49"/>
      <c r="S1552" s="49"/>
      <c r="T1552" s="49">
        <v>47422</v>
      </c>
      <c r="U1552" s="49">
        <v>47422</v>
      </c>
      <c r="V1552" s="49">
        <v>47422</v>
      </c>
      <c r="W1552" s="49">
        <v>47422</v>
      </c>
      <c r="X1552" s="48">
        <v>1</v>
      </c>
      <c r="Y1552" s="48">
        <v>1</v>
      </c>
      <c r="Z1552" s="48">
        <v>1</v>
      </c>
      <c r="AA1552" s="156">
        <v>4450.9161012015538</v>
      </c>
      <c r="AF1552" s="48">
        <v>0</v>
      </c>
      <c r="AG1552" s="49" t="s">
        <v>32</v>
      </c>
      <c r="AH1552" s="48">
        <v>1</v>
      </c>
      <c r="AI1552" s="48" t="s">
        <v>33</v>
      </c>
      <c r="AJ1552" s="48" t="s">
        <v>33</v>
      </c>
      <c r="AK1552" s="48" t="s">
        <v>33</v>
      </c>
      <c r="AL1552" s="48" t="s">
        <v>34</v>
      </c>
      <c r="AN1552" s="48">
        <v>0</v>
      </c>
      <c r="AO1552" s="48">
        <v>0</v>
      </c>
      <c r="AP1552" s="48">
        <v>0</v>
      </c>
      <c r="AQ1552" s="48">
        <v>0</v>
      </c>
      <c r="AR1552" s="48">
        <v>0</v>
      </c>
      <c r="AS1552" s="48">
        <v>0</v>
      </c>
      <c r="AT1552" s="48">
        <v>0</v>
      </c>
      <c r="AU1552" s="48">
        <v>0</v>
      </c>
      <c r="AV1552" s="48">
        <v>0</v>
      </c>
      <c r="AW1552" s="48">
        <v>0</v>
      </c>
      <c r="AX1552" s="48">
        <v>0</v>
      </c>
      <c r="AY1552" s="48">
        <v>0</v>
      </c>
      <c r="AZ1552" s="48">
        <v>0</v>
      </c>
      <c r="BA1552" s="48">
        <v>0</v>
      </c>
      <c r="BB1552" s="48">
        <v>0</v>
      </c>
    </row>
    <row r="1553" spans="1:54" x14ac:dyDescent="0.35">
      <c r="A1553" s="49">
        <v>45930</v>
      </c>
      <c r="B1553" s="48">
        <v>1</v>
      </c>
      <c r="C1553" s="50" t="s">
        <v>32</v>
      </c>
      <c r="D1553" s="48" t="s">
        <v>31</v>
      </c>
      <c r="E1553" s="48" t="s">
        <v>138</v>
      </c>
      <c r="F1553" s="48" t="s">
        <v>139</v>
      </c>
      <c r="G1553" s="49" t="s">
        <v>172</v>
      </c>
      <c r="H1553" s="48" t="s">
        <v>173</v>
      </c>
      <c r="I1553" s="48">
        <v>1</v>
      </c>
      <c r="J1553" s="48">
        <v>50</v>
      </c>
      <c r="K1553" s="48">
        <v>1</v>
      </c>
      <c r="N1553" s="48">
        <v>0</v>
      </c>
      <c r="R1553" s="49"/>
      <c r="S1553" s="49"/>
      <c r="T1553" s="49">
        <v>47452</v>
      </c>
      <c r="U1553" s="49">
        <v>47452</v>
      </c>
      <c r="V1553" s="49">
        <v>47452</v>
      </c>
      <c r="W1553" s="49">
        <v>47452</v>
      </c>
      <c r="X1553" s="48">
        <v>1</v>
      </c>
      <c r="Y1553" s="48">
        <v>1</v>
      </c>
      <c r="Z1553" s="48">
        <v>1</v>
      </c>
      <c r="AA1553" s="156">
        <v>4411.4787046349375</v>
      </c>
      <c r="AF1553" s="48">
        <v>0</v>
      </c>
      <c r="AG1553" s="49" t="s">
        <v>32</v>
      </c>
      <c r="AH1553" s="48">
        <v>1</v>
      </c>
      <c r="AI1553" s="48" t="s">
        <v>33</v>
      </c>
      <c r="AJ1553" s="48" t="s">
        <v>33</v>
      </c>
      <c r="AK1553" s="48" t="s">
        <v>33</v>
      </c>
      <c r="AL1553" s="48" t="s">
        <v>34</v>
      </c>
      <c r="AN1553" s="48">
        <v>0</v>
      </c>
      <c r="AO1553" s="48">
        <v>0</v>
      </c>
      <c r="AP1553" s="48">
        <v>0</v>
      </c>
      <c r="AQ1553" s="48">
        <v>0</v>
      </c>
      <c r="AR1553" s="48">
        <v>0</v>
      </c>
      <c r="AS1553" s="48">
        <v>0</v>
      </c>
      <c r="AT1553" s="48">
        <v>0</v>
      </c>
      <c r="AU1553" s="48">
        <v>0</v>
      </c>
      <c r="AV1553" s="48">
        <v>0</v>
      </c>
      <c r="AW1553" s="48">
        <v>0</v>
      </c>
      <c r="AX1553" s="48">
        <v>0</v>
      </c>
      <c r="AY1553" s="48">
        <v>0</v>
      </c>
      <c r="AZ1553" s="48">
        <v>0</v>
      </c>
      <c r="BA1553" s="48">
        <v>0</v>
      </c>
      <c r="BB1553" s="48">
        <v>0</v>
      </c>
    </row>
    <row r="1554" spans="1:54" x14ac:dyDescent="0.35">
      <c r="A1554" s="49">
        <v>45930</v>
      </c>
      <c r="B1554" s="48">
        <v>1</v>
      </c>
      <c r="C1554" s="50" t="s">
        <v>32</v>
      </c>
      <c r="D1554" s="48" t="s">
        <v>31</v>
      </c>
      <c r="E1554" s="48" t="s">
        <v>138</v>
      </c>
      <c r="F1554" s="48" t="s">
        <v>139</v>
      </c>
      <c r="G1554" s="49" t="s">
        <v>172</v>
      </c>
      <c r="H1554" s="48" t="s">
        <v>173</v>
      </c>
      <c r="I1554" s="48">
        <v>1</v>
      </c>
      <c r="J1554" s="48">
        <v>51</v>
      </c>
      <c r="K1554" s="48">
        <v>1</v>
      </c>
      <c r="N1554" s="48">
        <v>0</v>
      </c>
      <c r="R1554" s="49"/>
      <c r="S1554" s="49"/>
      <c r="T1554" s="49">
        <v>47483</v>
      </c>
      <c r="U1554" s="49">
        <v>47483</v>
      </c>
      <c r="V1554" s="49">
        <v>47483</v>
      </c>
      <c r="W1554" s="49">
        <v>47483</v>
      </c>
      <c r="X1554" s="48">
        <v>1</v>
      </c>
      <c r="Y1554" s="48">
        <v>1</v>
      </c>
      <c r="Z1554" s="48">
        <v>1</v>
      </c>
      <c r="AA1554" s="156">
        <v>4372.3907436029986</v>
      </c>
      <c r="AF1554" s="48">
        <v>0</v>
      </c>
      <c r="AG1554" s="49" t="s">
        <v>32</v>
      </c>
      <c r="AH1554" s="48">
        <v>1</v>
      </c>
      <c r="AI1554" s="48" t="s">
        <v>33</v>
      </c>
      <c r="AJ1554" s="48" t="s">
        <v>33</v>
      </c>
      <c r="AK1554" s="48" t="s">
        <v>33</v>
      </c>
      <c r="AL1554" s="48" t="s">
        <v>34</v>
      </c>
      <c r="AN1554" s="48">
        <v>0</v>
      </c>
      <c r="AO1554" s="48">
        <v>0</v>
      </c>
      <c r="AP1554" s="48">
        <v>0</v>
      </c>
      <c r="AQ1554" s="48">
        <v>0</v>
      </c>
      <c r="AR1554" s="48">
        <v>0</v>
      </c>
      <c r="AS1554" s="48">
        <v>0</v>
      </c>
      <c r="AT1554" s="48">
        <v>0</v>
      </c>
      <c r="AU1554" s="48">
        <v>0</v>
      </c>
      <c r="AV1554" s="48">
        <v>0</v>
      </c>
      <c r="AW1554" s="48">
        <v>0</v>
      </c>
      <c r="AX1554" s="48">
        <v>0</v>
      </c>
      <c r="AY1554" s="48">
        <v>0</v>
      </c>
      <c r="AZ1554" s="48">
        <v>0</v>
      </c>
      <c r="BA1554" s="48">
        <v>0</v>
      </c>
      <c r="BB1554" s="48">
        <v>0</v>
      </c>
    </row>
    <row r="1555" spans="1:54" x14ac:dyDescent="0.35">
      <c r="A1555" s="49">
        <v>45930</v>
      </c>
      <c r="B1555" s="48">
        <v>1</v>
      </c>
      <c r="C1555" s="50" t="s">
        <v>32</v>
      </c>
      <c r="D1555" s="48" t="s">
        <v>31</v>
      </c>
      <c r="E1555" s="48" t="s">
        <v>138</v>
      </c>
      <c r="F1555" s="48" t="s">
        <v>139</v>
      </c>
      <c r="G1555" s="49" t="s">
        <v>172</v>
      </c>
      <c r="H1555" s="48" t="s">
        <v>173</v>
      </c>
      <c r="I1555" s="48">
        <v>1</v>
      </c>
      <c r="J1555" s="48">
        <v>52</v>
      </c>
      <c r="K1555" s="48">
        <v>1</v>
      </c>
      <c r="N1555" s="48">
        <v>0</v>
      </c>
      <c r="R1555" s="49"/>
      <c r="S1555" s="49"/>
      <c r="T1555" s="49">
        <v>47514</v>
      </c>
      <c r="U1555" s="49">
        <v>47514</v>
      </c>
      <c r="V1555" s="49">
        <v>47514</v>
      </c>
      <c r="W1555" s="49">
        <v>47514</v>
      </c>
      <c r="X1555" s="48">
        <v>1</v>
      </c>
      <c r="Y1555" s="48">
        <v>1</v>
      </c>
      <c r="Z1555" s="48">
        <v>1</v>
      </c>
      <c r="AA1555" s="156">
        <v>4333.6491219281452</v>
      </c>
      <c r="AF1555" s="48">
        <v>0</v>
      </c>
      <c r="AG1555" s="49" t="s">
        <v>32</v>
      </c>
      <c r="AH1555" s="48">
        <v>1</v>
      </c>
      <c r="AI1555" s="48" t="s">
        <v>33</v>
      </c>
      <c r="AJ1555" s="48" t="s">
        <v>33</v>
      </c>
      <c r="AK1555" s="48" t="s">
        <v>33</v>
      </c>
      <c r="AL1555" s="48" t="s">
        <v>34</v>
      </c>
      <c r="AN1555" s="48">
        <v>0</v>
      </c>
      <c r="AO1555" s="48">
        <v>0</v>
      </c>
      <c r="AP1555" s="48">
        <v>0</v>
      </c>
      <c r="AQ1555" s="48">
        <v>0</v>
      </c>
      <c r="AR1555" s="48">
        <v>0</v>
      </c>
      <c r="AS1555" s="48">
        <v>0</v>
      </c>
      <c r="AT1555" s="48">
        <v>0</v>
      </c>
      <c r="AU1555" s="48">
        <v>0</v>
      </c>
      <c r="AV1555" s="48">
        <v>0</v>
      </c>
      <c r="AW1555" s="48">
        <v>0</v>
      </c>
      <c r="AX1555" s="48">
        <v>0</v>
      </c>
      <c r="AY1555" s="48">
        <v>0</v>
      </c>
      <c r="AZ1555" s="48">
        <v>0</v>
      </c>
      <c r="BA1555" s="48">
        <v>0</v>
      </c>
      <c r="BB1555" s="48">
        <v>0</v>
      </c>
    </row>
    <row r="1556" spans="1:54" x14ac:dyDescent="0.35">
      <c r="A1556" s="49">
        <v>45930</v>
      </c>
      <c r="B1556" s="48">
        <v>1</v>
      </c>
      <c r="C1556" s="50" t="s">
        <v>32</v>
      </c>
      <c r="D1556" s="48" t="s">
        <v>31</v>
      </c>
      <c r="E1556" s="48" t="s">
        <v>138</v>
      </c>
      <c r="F1556" s="48" t="s">
        <v>139</v>
      </c>
      <c r="G1556" s="49" t="s">
        <v>172</v>
      </c>
      <c r="H1556" s="48" t="s">
        <v>173</v>
      </c>
      <c r="I1556" s="48">
        <v>1</v>
      </c>
      <c r="J1556" s="48">
        <v>53</v>
      </c>
      <c r="K1556" s="48">
        <v>1</v>
      </c>
      <c r="N1556" s="48">
        <v>0</v>
      </c>
      <c r="R1556" s="49"/>
      <c r="S1556" s="49"/>
      <c r="T1556" s="49">
        <v>47542</v>
      </c>
      <c r="U1556" s="49">
        <v>47542</v>
      </c>
      <c r="V1556" s="49">
        <v>47542</v>
      </c>
      <c r="W1556" s="49">
        <v>47542</v>
      </c>
      <c r="X1556" s="48">
        <v>1</v>
      </c>
      <c r="Y1556" s="48">
        <v>1</v>
      </c>
      <c r="Z1556" s="48">
        <v>1</v>
      </c>
      <c r="AA1556" s="156">
        <v>4295.2507708658813</v>
      </c>
      <c r="AF1556" s="48">
        <v>0</v>
      </c>
      <c r="AG1556" s="49" t="s">
        <v>32</v>
      </c>
      <c r="AH1556" s="48">
        <v>1</v>
      </c>
      <c r="AI1556" s="48" t="s">
        <v>33</v>
      </c>
      <c r="AJ1556" s="48" t="s">
        <v>33</v>
      </c>
      <c r="AK1556" s="48" t="s">
        <v>33</v>
      </c>
      <c r="AL1556" s="48" t="s">
        <v>34</v>
      </c>
      <c r="AN1556" s="48">
        <v>0</v>
      </c>
      <c r="AO1556" s="48">
        <v>0</v>
      </c>
      <c r="AP1556" s="48">
        <v>0</v>
      </c>
      <c r="AQ1556" s="48">
        <v>0</v>
      </c>
      <c r="AR1556" s="48">
        <v>0</v>
      </c>
      <c r="AS1556" s="48">
        <v>0</v>
      </c>
      <c r="AT1556" s="48">
        <v>0</v>
      </c>
      <c r="AU1556" s="48">
        <v>0</v>
      </c>
      <c r="AV1556" s="48">
        <v>0</v>
      </c>
      <c r="AW1556" s="48">
        <v>0</v>
      </c>
      <c r="AX1556" s="48">
        <v>0</v>
      </c>
      <c r="AY1556" s="48">
        <v>0</v>
      </c>
      <c r="AZ1556" s="48">
        <v>0</v>
      </c>
      <c r="BA1556" s="48">
        <v>0</v>
      </c>
      <c r="BB1556" s="48">
        <v>0</v>
      </c>
    </row>
    <row r="1557" spans="1:54" x14ac:dyDescent="0.35">
      <c r="A1557" s="49">
        <v>45930</v>
      </c>
      <c r="B1557" s="48">
        <v>1</v>
      </c>
      <c r="C1557" s="50" t="s">
        <v>32</v>
      </c>
      <c r="D1557" s="48" t="s">
        <v>31</v>
      </c>
      <c r="E1557" s="48" t="s">
        <v>138</v>
      </c>
      <c r="F1557" s="48" t="s">
        <v>139</v>
      </c>
      <c r="G1557" s="49" t="s">
        <v>172</v>
      </c>
      <c r="H1557" s="48" t="s">
        <v>173</v>
      </c>
      <c r="I1557" s="48">
        <v>1</v>
      </c>
      <c r="J1557" s="48">
        <v>54</v>
      </c>
      <c r="K1557" s="48">
        <v>1</v>
      </c>
      <c r="N1557" s="48">
        <v>0</v>
      </c>
      <c r="R1557" s="49"/>
      <c r="S1557" s="49"/>
      <c r="T1557" s="49">
        <v>47573</v>
      </c>
      <c r="U1557" s="49">
        <v>47573</v>
      </c>
      <c r="V1557" s="49">
        <v>47573</v>
      </c>
      <c r="W1557" s="49">
        <v>47573</v>
      </c>
      <c r="X1557" s="48">
        <v>1</v>
      </c>
      <c r="Y1557" s="48">
        <v>1</v>
      </c>
      <c r="Z1557" s="48">
        <v>1</v>
      </c>
      <c r="AA1557" s="156">
        <v>4257.1926488631289</v>
      </c>
      <c r="AF1557" s="48">
        <v>0</v>
      </c>
      <c r="AG1557" s="49" t="s">
        <v>32</v>
      </c>
      <c r="AH1557" s="48">
        <v>1</v>
      </c>
      <c r="AI1557" s="48" t="s">
        <v>33</v>
      </c>
      <c r="AJ1557" s="48" t="s">
        <v>33</v>
      </c>
      <c r="AK1557" s="48" t="s">
        <v>33</v>
      </c>
      <c r="AL1557" s="48" t="s">
        <v>34</v>
      </c>
      <c r="AN1557" s="48">
        <v>0</v>
      </c>
      <c r="AO1557" s="48">
        <v>0</v>
      </c>
      <c r="AP1557" s="48">
        <v>0</v>
      </c>
      <c r="AQ1557" s="48">
        <v>0</v>
      </c>
      <c r="AR1557" s="48">
        <v>0</v>
      </c>
      <c r="AS1557" s="48">
        <v>0</v>
      </c>
      <c r="AT1557" s="48">
        <v>0</v>
      </c>
      <c r="AU1557" s="48">
        <v>0</v>
      </c>
      <c r="AV1557" s="48">
        <v>0</v>
      </c>
      <c r="AW1557" s="48">
        <v>0</v>
      </c>
      <c r="AX1557" s="48">
        <v>0</v>
      </c>
      <c r="AY1557" s="48">
        <v>0</v>
      </c>
      <c r="AZ1557" s="48">
        <v>0</v>
      </c>
      <c r="BA1557" s="48">
        <v>0</v>
      </c>
      <c r="BB1557" s="48">
        <v>0</v>
      </c>
    </row>
    <row r="1558" spans="1:54" x14ac:dyDescent="0.35">
      <c r="A1558" s="49">
        <v>45930</v>
      </c>
      <c r="B1558" s="48">
        <v>1</v>
      </c>
      <c r="C1558" s="50" t="s">
        <v>32</v>
      </c>
      <c r="D1558" s="48" t="s">
        <v>31</v>
      </c>
      <c r="E1558" s="48" t="s">
        <v>138</v>
      </c>
      <c r="F1558" s="48" t="s">
        <v>139</v>
      </c>
      <c r="G1558" s="49" t="s">
        <v>172</v>
      </c>
      <c r="H1558" s="48" t="s">
        <v>173</v>
      </c>
      <c r="I1558" s="48">
        <v>1</v>
      </c>
      <c r="J1558" s="48">
        <v>55</v>
      </c>
      <c r="K1558" s="48">
        <v>1</v>
      </c>
      <c r="N1558" s="48">
        <v>0</v>
      </c>
      <c r="R1558" s="49"/>
      <c r="S1558" s="49"/>
      <c r="T1558" s="49">
        <v>47603</v>
      </c>
      <c r="U1558" s="49">
        <v>47603</v>
      </c>
      <c r="V1558" s="49">
        <v>47603</v>
      </c>
      <c r="W1558" s="49">
        <v>47603</v>
      </c>
      <c r="X1558" s="48">
        <v>1</v>
      </c>
      <c r="Y1558" s="48">
        <v>1</v>
      </c>
      <c r="Z1558" s="48">
        <v>1</v>
      </c>
      <c r="AA1558" s="156">
        <v>4219.4717413159087</v>
      </c>
      <c r="AF1558" s="48">
        <v>0</v>
      </c>
      <c r="AG1558" s="49" t="s">
        <v>32</v>
      </c>
      <c r="AH1558" s="48">
        <v>1</v>
      </c>
      <c r="AI1558" s="48" t="s">
        <v>33</v>
      </c>
      <c r="AJ1558" s="48" t="s">
        <v>33</v>
      </c>
      <c r="AK1558" s="48" t="s">
        <v>33</v>
      </c>
      <c r="AL1558" s="48" t="s">
        <v>34</v>
      </c>
      <c r="AN1558" s="48">
        <v>0</v>
      </c>
      <c r="AO1558" s="48">
        <v>0</v>
      </c>
      <c r="AP1558" s="48">
        <v>0</v>
      </c>
      <c r="AQ1558" s="48">
        <v>0</v>
      </c>
      <c r="AR1558" s="48">
        <v>0</v>
      </c>
      <c r="AS1558" s="48">
        <v>0</v>
      </c>
      <c r="AT1558" s="48">
        <v>0</v>
      </c>
      <c r="AU1558" s="48">
        <v>0</v>
      </c>
      <c r="AV1558" s="48">
        <v>0</v>
      </c>
      <c r="AW1558" s="48">
        <v>0</v>
      </c>
      <c r="AX1558" s="48">
        <v>0</v>
      </c>
      <c r="AY1558" s="48">
        <v>0</v>
      </c>
      <c r="AZ1558" s="48">
        <v>0</v>
      </c>
      <c r="BA1558" s="48">
        <v>0</v>
      </c>
      <c r="BB1558" s="48">
        <v>0</v>
      </c>
    </row>
    <row r="1559" spans="1:54" x14ac:dyDescent="0.35">
      <c r="A1559" s="49">
        <v>45930</v>
      </c>
      <c r="B1559" s="48">
        <v>1</v>
      </c>
      <c r="C1559" s="50" t="s">
        <v>32</v>
      </c>
      <c r="D1559" s="48" t="s">
        <v>31</v>
      </c>
      <c r="E1559" s="48" t="s">
        <v>138</v>
      </c>
      <c r="F1559" s="48" t="s">
        <v>139</v>
      </c>
      <c r="G1559" s="49" t="s">
        <v>172</v>
      </c>
      <c r="H1559" s="48" t="s">
        <v>173</v>
      </c>
      <c r="I1559" s="48">
        <v>1</v>
      </c>
      <c r="J1559" s="48">
        <v>56</v>
      </c>
      <c r="K1559" s="48">
        <v>1</v>
      </c>
      <c r="N1559" s="48">
        <v>0</v>
      </c>
      <c r="R1559" s="49"/>
      <c r="S1559" s="49"/>
      <c r="T1559" s="49">
        <v>47634</v>
      </c>
      <c r="U1559" s="49">
        <v>47634</v>
      </c>
      <c r="V1559" s="49">
        <v>47634</v>
      </c>
      <c r="W1559" s="49">
        <v>47634</v>
      </c>
      <c r="X1559" s="48">
        <v>1</v>
      </c>
      <c r="Y1559" s="48">
        <v>1</v>
      </c>
      <c r="Z1559" s="48">
        <v>1</v>
      </c>
      <c r="AA1559" s="156">
        <v>4182.085060331563</v>
      </c>
      <c r="AF1559" s="48">
        <v>0</v>
      </c>
      <c r="AG1559" s="49" t="s">
        <v>32</v>
      </c>
      <c r="AH1559" s="48">
        <v>1</v>
      </c>
      <c r="AI1559" s="48" t="s">
        <v>33</v>
      </c>
      <c r="AJ1559" s="48" t="s">
        <v>33</v>
      </c>
      <c r="AK1559" s="48" t="s">
        <v>33</v>
      </c>
      <c r="AL1559" s="48" t="s">
        <v>34</v>
      </c>
      <c r="AN1559" s="48">
        <v>0</v>
      </c>
      <c r="AO1559" s="48">
        <v>0</v>
      </c>
      <c r="AP1559" s="48">
        <v>0</v>
      </c>
      <c r="AQ1559" s="48">
        <v>0</v>
      </c>
      <c r="AR1559" s="48">
        <v>0</v>
      </c>
      <c r="AS1559" s="48">
        <v>0</v>
      </c>
      <c r="AT1559" s="48">
        <v>0</v>
      </c>
      <c r="AU1559" s="48">
        <v>0</v>
      </c>
      <c r="AV1559" s="48">
        <v>0</v>
      </c>
      <c r="AW1559" s="48">
        <v>0</v>
      </c>
      <c r="AX1559" s="48">
        <v>0</v>
      </c>
      <c r="AY1559" s="48">
        <v>0</v>
      </c>
      <c r="AZ1559" s="48">
        <v>0</v>
      </c>
      <c r="BA1559" s="48">
        <v>0</v>
      </c>
      <c r="BB1559" s="48">
        <v>0</v>
      </c>
    </row>
    <row r="1560" spans="1:54" x14ac:dyDescent="0.35">
      <c r="A1560" s="49">
        <v>45930</v>
      </c>
      <c r="B1560" s="48">
        <v>1</v>
      </c>
      <c r="C1560" s="50" t="s">
        <v>32</v>
      </c>
      <c r="D1560" s="48" t="s">
        <v>31</v>
      </c>
      <c r="E1560" s="48" t="s">
        <v>138</v>
      </c>
      <c r="F1560" s="48" t="s">
        <v>139</v>
      </c>
      <c r="G1560" s="49" t="s">
        <v>172</v>
      </c>
      <c r="H1560" s="48" t="s">
        <v>173</v>
      </c>
      <c r="I1560" s="48">
        <v>1</v>
      </c>
      <c r="J1560" s="48">
        <v>57</v>
      </c>
      <c r="K1560" s="48">
        <v>1</v>
      </c>
      <c r="N1560" s="48">
        <v>0</v>
      </c>
      <c r="R1560" s="49"/>
      <c r="S1560" s="49"/>
      <c r="T1560" s="49">
        <v>47664</v>
      </c>
      <c r="U1560" s="49">
        <v>47664</v>
      </c>
      <c r="V1560" s="49">
        <v>47664</v>
      </c>
      <c r="W1560" s="49">
        <v>47664</v>
      </c>
      <c r="X1560" s="48">
        <v>1</v>
      </c>
      <c r="Y1560" s="48">
        <v>1</v>
      </c>
      <c r="Z1560" s="48">
        <v>1</v>
      </c>
      <c r="AA1560" s="156">
        <v>4145.0296444912674</v>
      </c>
      <c r="AF1560" s="48">
        <v>0</v>
      </c>
      <c r="AG1560" s="49" t="s">
        <v>32</v>
      </c>
      <c r="AH1560" s="48">
        <v>1</v>
      </c>
      <c r="AI1560" s="48" t="s">
        <v>33</v>
      </c>
      <c r="AJ1560" s="48" t="s">
        <v>33</v>
      </c>
      <c r="AK1560" s="48" t="s">
        <v>33</v>
      </c>
      <c r="AL1560" s="48" t="s">
        <v>34</v>
      </c>
      <c r="AN1560" s="48">
        <v>0</v>
      </c>
      <c r="AO1560" s="48">
        <v>0</v>
      </c>
      <c r="AP1560" s="48">
        <v>0</v>
      </c>
      <c r="AQ1560" s="48">
        <v>0</v>
      </c>
      <c r="AR1560" s="48">
        <v>0</v>
      </c>
      <c r="AS1560" s="48">
        <v>0</v>
      </c>
      <c r="AT1560" s="48">
        <v>0</v>
      </c>
      <c r="AU1560" s="48">
        <v>0</v>
      </c>
      <c r="AV1560" s="48">
        <v>0</v>
      </c>
      <c r="AW1560" s="48">
        <v>0</v>
      </c>
      <c r="AX1560" s="48">
        <v>0</v>
      </c>
      <c r="AY1560" s="48">
        <v>0</v>
      </c>
      <c r="AZ1560" s="48">
        <v>0</v>
      </c>
      <c r="BA1560" s="48">
        <v>0</v>
      </c>
      <c r="BB1560" s="48">
        <v>0</v>
      </c>
    </row>
    <row r="1561" spans="1:54" x14ac:dyDescent="0.35">
      <c r="A1561" s="49">
        <v>45930</v>
      </c>
      <c r="B1561" s="48">
        <v>1</v>
      </c>
      <c r="C1561" s="50" t="s">
        <v>32</v>
      </c>
      <c r="D1561" s="48" t="s">
        <v>31</v>
      </c>
      <c r="E1561" s="48" t="s">
        <v>138</v>
      </c>
      <c r="F1561" s="48" t="s">
        <v>139</v>
      </c>
      <c r="G1561" s="49" t="s">
        <v>172</v>
      </c>
      <c r="H1561" s="48" t="s">
        <v>173</v>
      </c>
      <c r="I1561" s="48">
        <v>1</v>
      </c>
      <c r="J1561" s="48">
        <v>58</v>
      </c>
      <c r="K1561" s="48">
        <v>1</v>
      </c>
      <c r="N1561" s="48">
        <v>0</v>
      </c>
      <c r="R1561" s="49"/>
      <c r="S1561" s="49"/>
      <c r="T1561" s="49">
        <v>47695</v>
      </c>
      <c r="U1561" s="49">
        <v>47695</v>
      </c>
      <c r="V1561" s="49">
        <v>47695</v>
      </c>
      <c r="W1561" s="49">
        <v>47695</v>
      </c>
      <c r="X1561" s="48">
        <v>1</v>
      </c>
      <c r="Y1561" s="48">
        <v>1</v>
      </c>
      <c r="Z1561" s="48">
        <v>1</v>
      </c>
      <c r="AA1561" s="156">
        <v>4108.3025586166186</v>
      </c>
      <c r="AF1561" s="48">
        <v>0</v>
      </c>
      <c r="AG1561" s="49" t="s">
        <v>32</v>
      </c>
      <c r="AH1561" s="48">
        <v>1</v>
      </c>
      <c r="AI1561" s="48" t="s">
        <v>33</v>
      </c>
      <c r="AJ1561" s="48" t="s">
        <v>33</v>
      </c>
      <c r="AK1561" s="48" t="s">
        <v>33</v>
      </c>
      <c r="AL1561" s="48" t="s">
        <v>34</v>
      </c>
      <c r="AN1561" s="48">
        <v>0</v>
      </c>
      <c r="AO1561" s="48">
        <v>0</v>
      </c>
      <c r="AP1561" s="48">
        <v>0</v>
      </c>
      <c r="AQ1561" s="48">
        <v>0</v>
      </c>
      <c r="AR1561" s="48">
        <v>0</v>
      </c>
      <c r="AS1561" s="48">
        <v>0</v>
      </c>
      <c r="AT1561" s="48">
        <v>0</v>
      </c>
      <c r="AU1561" s="48">
        <v>0</v>
      </c>
      <c r="AV1561" s="48">
        <v>0</v>
      </c>
      <c r="AW1561" s="48">
        <v>0</v>
      </c>
      <c r="AX1561" s="48">
        <v>0</v>
      </c>
      <c r="AY1561" s="48">
        <v>0</v>
      </c>
      <c r="AZ1561" s="48">
        <v>0</v>
      </c>
      <c r="BA1561" s="48">
        <v>0</v>
      </c>
      <c r="BB1561" s="48">
        <v>0</v>
      </c>
    </row>
    <row r="1562" spans="1:54" x14ac:dyDescent="0.35">
      <c r="A1562" s="49">
        <v>45930</v>
      </c>
      <c r="B1562" s="48">
        <v>1</v>
      </c>
      <c r="C1562" s="50" t="s">
        <v>32</v>
      </c>
      <c r="D1562" s="48" t="s">
        <v>31</v>
      </c>
      <c r="E1562" s="48" t="s">
        <v>138</v>
      </c>
      <c r="F1562" s="48" t="s">
        <v>139</v>
      </c>
      <c r="G1562" s="49" t="s">
        <v>172</v>
      </c>
      <c r="H1562" s="48" t="s">
        <v>173</v>
      </c>
      <c r="I1562" s="48">
        <v>1</v>
      </c>
      <c r="J1562" s="48">
        <v>59</v>
      </c>
      <c r="K1562" s="48">
        <v>1</v>
      </c>
      <c r="N1562" s="48">
        <v>0</v>
      </c>
      <c r="R1562" s="49"/>
      <c r="S1562" s="49"/>
      <c r="T1562" s="49">
        <v>47726</v>
      </c>
      <c r="U1562" s="49">
        <v>47726</v>
      </c>
      <c r="V1562" s="49">
        <v>47726</v>
      </c>
      <c r="W1562" s="49">
        <v>47726</v>
      </c>
      <c r="X1562" s="48">
        <v>1</v>
      </c>
      <c r="Y1562" s="48">
        <v>1</v>
      </c>
      <c r="Z1562" s="48">
        <v>1</v>
      </c>
      <c r="AA1562" s="156">
        <v>4071.900893535465</v>
      </c>
      <c r="AF1562" s="48">
        <v>0</v>
      </c>
      <c r="AG1562" s="49" t="s">
        <v>32</v>
      </c>
      <c r="AH1562" s="48">
        <v>1</v>
      </c>
      <c r="AI1562" s="48" t="s">
        <v>33</v>
      </c>
      <c r="AJ1562" s="48" t="s">
        <v>33</v>
      </c>
      <c r="AK1562" s="48" t="s">
        <v>33</v>
      </c>
      <c r="AL1562" s="48" t="s">
        <v>34</v>
      </c>
      <c r="AN1562" s="48">
        <v>0</v>
      </c>
      <c r="AO1562" s="48">
        <v>0</v>
      </c>
      <c r="AP1562" s="48">
        <v>0</v>
      </c>
      <c r="AQ1562" s="48">
        <v>0</v>
      </c>
      <c r="AR1562" s="48">
        <v>0</v>
      </c>
      <c r="AS1562" s="48">
        <v>0</v>
      </c>
      <c r="AT1562" s="48">
        <v>0</v>
      </c>
      <c r="AU1562" s="48">
        <v>0</v>
      </c>
      <c r="AV1562" s="48">
        <v>0</v>
      </c>
      <c r="AW1562" s="48">
        <v>0</v>
      </c>
      <c r="AX1562" s="48">
        <v>0</v>
      </c>
      <c r="AY1562" s="48">
        <v>0</v>
      </c>
      <c r="AZ1562" s="48">
        <v>0</v>
      </c>
      <c r="BA1562" s="48">
        <v>0</v>
      </c>
      <c r="BB1562" s="48">
        <v>0</v>
      </c>
    </row>
    <row r="1563" spans="1:54" x14ac:dyDescent="0.35">
      <c r="A1563" s="49">
        <v>45930</v>
      </c>
      <c r="B1563" s="48">
        <v>1</v>
      </c>
      <c r="C1563" s="50" t="s">
        <v>32</v>
      </c>
      <c r="D1563" s="48" t="s">
        <v>31</v>
      </c>
      <c r="E1563" s="48" t="s">
        <v>138</v>
      </c>
      <c r="F1563" s="48" t="s">
        <v>139</v>
      </c>
      <c r="G1563" s="49" t="s">
        <v>172</v>
      </c>
      <c r="H1563" s="48" t="s">
        <v>173</v>
      </c>
      <c r="I1563" s="48">
        <v>1</v>
      </c>
      <c r="J1563" s="48">
        <v>60</v>
      </c>
      <c r="K1563" s="48">
        <v>1</v>
      </c>
      <c r="N1563" s="48">
        <v>0</v>
      </c>
      <c r="R1563" s="49"/>
      <c r="S1563" s="49"/>
      <c r="T1563" s="49">
        <v>47756</v>
      </c>
      <c r="U1563" s="49">
        <v>47756</v>
      </c>
      <c r="V1563" s="49">
        <v>47756</v>
      </c>
      <c r="W1563" s="49">
        <v>47756</v>
      </c>
      <c r="X1563" s="48">
        <v>1</v>
      </c>
      <c r="Y1563" s="48">
        <v>1</v>
      </c>
      <c r="Z1563" s="48">
        <v>1</v>
      </c>
      <c r="AA1563" s="156">
        <v>4035.8217658532667</v>
      </c>
      <c r="AF1563" s="48">
        <v>0</v>
      </c>
      <c r="AG1563" s="49" t="s">
        <v>32</v>
      </c>
      <c r="AH1563" s="48">
        <v>1</v>
      </c>
      <c r="AI1563" s="48" t="s">
        <v>33</v>
      </c>
      <c r="AJ1563" s="48" t="s">
        <v>33</v>
      </c>
      <c r="AK1563" s="48" t="s">
        <v>33</v>
      </c>
      <c r="AL1563" s="48" t="s">
        <v>34</v>
      </c>
      <c r="AN1563" s="48">
        <v>0</v>
      </c>
      <c r="AO1563" s="48">
        <v>0</v>
      </c>
      <c r="AP1563" s="48">
        <v>0</v>
      </c>
      <c r="AQ1563" s="48">
        <v>0</v>
      </c>
      <c r="AR1563" s="48">
        <v>0</v>
      </c>
      <c r="AS1563" s="48">
        <v>0</v>
      </c>
      <c r="AT1563" s="48">
        <v>0</v>
      </c>
      <c r="AU1563" s="48">
        <v>0</v>
      </c>
      <c r="AV1563" s="48">
        <v>0</v>
      </c>
      <c r="AW1563" s="48">
        <v>0</v>
      </c>
      <c r="AX1563" s="48">
        <v>0</v>
      </c>
      <c r="AY1563" s="48">
        <v>0</v>
      </c>
      <c r="AZ1563" s="48">
        <v>0</v>
      </c>
      <c r="BA1563" s="48">
        <v>0</v>
      </c>
      <c r="BB1563" s="48">
        <v>0</v>
      </c>
    </row>
    <row r="1564" spans="1:54" x14ac:dyDescent="0.35">
      <c r="A1564" s="49">
        <v>45930</v>
      </c>
      <c r="B1564" s="48">
        <v>1</v>
      </c>
      <c r="C1564" s="50" t="s">
        <v>32</v>
      </c>
      <c r="D1564" s="48" t="s">
        <v>31</v>
      </c>
      <c r="E1564" s="48" t="s">
        <v>138</v>
      </c>
      <c r="F1564" s="48" t="s">
        <v>139</v>
      </c>
      <c r="G1564" s="49" t="s">
        <v>172</v>
      </c>
      <c r="H1564" s="48" t="s">
        <v>173</v>
      </c>
      <c r="I1564" s="48">
        <v>1</v>
      </c>
      <c r="J1564" s="48">
        <v>61</v>
      </c>
      <c r="K1564" s="48">
        <v>1</v>
      </c>
      <c r="N1564" s="48">
        <v>0</v>
      </c>
      <c r="R1564" s="49"/>
      <c r="S1564" s="49"/>
      <c r="T1564" s="49">
        <v>47787</v>
      </c>
      <c r="U1564" s="49">
        <v>47787</v>
      </c>
      <c r="V1564" s="49">
        <v>47787</v>
      </c>
      <c r="W1564" s="49">
        <v>47787</v>
      </c>
      <c r="X1564" s="48">
        <v>1</v>
      </c>
      <c r="Y1564" s="48">
        <v>1</v>
      </c>
      <c r="Z1564" s="48">
        <v>1</v>
      </c>
      <c r="AA1564" s="156">
        <v>4000.0623177231755</v>
      </c>
      <c r="AF1564" s="48">
        <v>0</v>
      </c>
      <c r="AG1564" s="49" t="s">
        <v>32</v>
      </c>
      <c r="AH1564" s="48">
        <v>1</v>
      </c>
      <c r="AI1564" s="48" t="s">
        <v>33</v>
      </c>
      <c r="AJ1564" s="48" t="s">
        <v>33</v>
      </c>
      <c r="AK1564" s="48" t="s">
        <v>33</v>
      </c>
      <c r="AL1564" s="48" t="s">
        <v>34</v>
      </c>
      <c r="AN1564" s="48">
        <v>0</v>
      </c>
      <c r="AO1564" s="48">
        <v>0</v>
      </c>
      <c r="AP1564" s="48">
        <v>0</v>
      </c>
      <c r="AQ1564" s="48">
        <v>0</v>
      </c>
      <c r="AR1564" s="48">
        <v>0</v>
      </c>
      <c r="AS1564" s="48">
        <v>0</v>
      </c>
      <c r="AT1564" s="48">
        <v>0</v>
      </c>
      <c r="AU1564" s="48">
        <v>0</v>
      </c>
      <c r="AV1564" s="48">
        <v>0</v>
      </c>
      <c r="AW1564" s="48">
        <v>0</v>
      </c>
      <c r="AX1564" s="48">
        <v>0</v>
      </c>
      <c r="AY1564" s="48">
        <v>0</v>
      </c>
      <c r="AZ1564" s="48">
        <v>0</v>
      </c>
      <c r="BA1564" s="48">
        <v>0</v>
      </c>
      <c r="BB1564" s="48">
        <v>0</v>
      </c>
    </row>
    <row r="1565" spans="1:54" x14ac:dyDescent="0.35">
      <c r="A1565" s="49">
        <v>45930</v>
      </c>
      <c r="B1565" s="48">
        <v>1</v>
      </c>
      <c r="C1565" s="50" t="s">
        <v>32</v>
      </c>
      <c r="D1565" s="48" t="s">
        <v>31</v>
      </c>
      <c r="E1565" s="48" t="s">
        <v>138</v>
      </c>
      <c r="F1565" s="48" t="s">
        <v>139</v>
      </c>
      <c r="G1565" s="49" t="s">
        <v>172</v>
      </c>
      <c r="H1565" s="48" t="s">
        <v>173</v>
      </c>
      <c r="I1565" s="48">
        <v>1</v>
      </c>
      <c r="J1565" s="48">
        <v>62</v>
      </c>
      <c r="K1565" s="48">
        <v>1</v>
      </c>
      <c r="N1565" s="48">
        <v>0</v>
      </c>
      <c r="R1565" s="49"/>
      <c r="S1565" s="49"/>
      <c r="T1565" s="49">
        <v>47817</v>
      </c>
      <c r="U1565" s="49">
        <v>47817</v>
      </c>
      <c r="V1565" s="49">
        <v>47817</v>
      </c>
      <c r="W1565" s="49">
        <v>47817</v>
      </c>
      <c r="X1565" s="48">
        <v>1</v>
      </c>
      <c r="Y1565" s="48">
        <v>1</v>
      </c>
      <c r="Z1565" s="48">
        <v>1</v>
      </c>
      <c r="AA1565" s="156">
        <v>3964.619716620713</v>
      </c>
      <c r="AF1565" s="48">
        <v>0</v>
      </c>
      <c r="AG1565" s="49" t="s">
        <v>32</v>
      </c>
      <c r="AH1565" s="48">
        <v>1</v>
      </c>
      <c r="AI1565" s="48" t="s">
        <v>33</v>
      </c>
      <c r="AJ1565" s="48" t="s">
        <v>33</v>
      </c>
      <c r="AK1565" s="48" t="s">
        <v>33</v>
      </c>
      <c r="AL1565" s="48" t="s">
        <v>34</v>
      </c>
      <c r="AN1565" s="48">
        <v>0</v>
      </c>
      <c r="AO1565" s="48">
        <v>0</v>
      </c>
      <c r="AP1565" s="48">
        <v>0</v>
      </c>
      <c r="AQ1565" s="48">
        <v>0</v>
      </c>
      <c r="AR1565" s="48">
        <v>0</v>
      </c>
      <c r="AS1565" s="48">
        <v>0</v>
      </c>
      <c r="AT1565" s="48">
        <v>0</v>
      </c>
      <c r="AU1565" s="48">
        <v>0</v>
      </c>
      <c r="AV1565" s="48">
        <v>0</v>
      </c>
      <c r="AW1565" s="48">
        <v>0</v>
      </c>
      <c r="AX1565" s="48">
        <v>0</v>
      </c>
      <c r="AY1565" s="48">
        <v>0</v>
      </c>
      <c r="AZ1565" s="48">
        <v>0</v>
      </c>
      <c r="BA1565" s="48">
        <v>0</v>
      </c>
      <c r="BB1565" s="48">
        <v>0</v>
      </c>
    </row>
    <row r="1566" spans="1:54" x14ac:dyDescent="0.35">
      <c r="A1566" s="49">
        <v>45930</v>
      </c>
      <c r="B1566" s="48">
        <v>1</v>
      </c>
      <c r="C1566" s="50" t="s">
        <v>32</v>
      </c>
      <c r="D1566" s="48" t="s">
        <v>31</v>
      </c>
      <c r="E1566" s="48" t="s">
        <v>138</v>
      </c>
      <c r="F1566" s="48" t="s">
        <v>139</v>
      </c>
      <c r="G1566" s="49" t="s">
        <v>172</v>
      </c>
      <c r="H1566" s="48" t="s">
        <v>173</v>
      </c>
      <c r="I1566" s="48">
        <v>1</v>
      </c>
      <c r="J1566" s="48">
        <v>63</v>
      </c>
      <c r="K1566" s="48">
        <v>1</v>
      </c>
      <c r="N1566" s="48">
        <v>0</v>
      </c>
      <c r="R1566" s="49"/>
      <c r="S1566" s="49"/>
      <c r="T1566" s="49">
        <v>47848</v>
      </c>
      <c r="U1566" s="49">
        <v>47848</v>
      </c>
      <c r="V1566" s="49">
        <v>47848</v>
      </c>
      <c r="W1566" s="49">
        <v>47848</v>
      </c>
      <c r="X1566" s="48">
        <v>1</v>
      </c>
      <c r="Y1566" s="48">
        <v>1</v>
      </c>
      <c r="Z1566" s="48">
        <v>1</v>
      </c>
      <c r="AA1566" s="156">
        <v>3929.4911551189143</v>
      </c>
      <c r="AF1566" s="48">
        <v>0</v>
      </c>
      <c r="AG1566" s="49" t="s">
        <v>32</v>
      </c>
      <c r="AH1566" s="48">
        <v>1</v>
      </c>
      <c r="AI1566" s="48" t="s">
        <v>33</v>
      </c>
      <c r="AJ1566" s="48" t="s">
        <v>33</v>
      </c>
      <c r="AK1566" s="48" t="s">
        <v>33</v>
      </c>
      <c r="AL1566" s="48" t="s">
        <v>34</v>
      </c>
      <c r="AN1566" s="48">
        <v>0</v>
      </c>
      <c r="AO1566" s="48">
        <v>0</v>
      </c>
      <c r="AP1566" s="48">
        <v>0</v>
      </c>
      <c r="AQ1566" s="48">
        <v>0</v>
      </c>
      <c r="AR1566" s="48">
        <v>0</v>
      </c>
      <c r="AS1566" s="48">
        <v>0</v>
      </c>
      <c r="AT1566" s="48">
        <v>0</v>
      </c>
      <c r="AU1566" s="48">
        <v>0</v>
      </c>
      <c r="AV1566" s="48">
        <v>0</v>
      </c>
      <c r="AW1566" s="48">
        <v>0</v>
      </c>
      <c r="AX1566" s="48">
        <v>0</v>
      </c>
      <c r="AY1566" s="48">
        <v>0</v>
      </c>
      <c r="AZ1566" s="48">
        <v>0</v>
      </c>
      <c r="BA1566" s="48">
        <v>0</v>
      </c>
      <c r="BB1566" s="48">
        <v>0</v>
      </c>
    </row>
    <row r="1567" spans="1:54" x14ac:dyDescent="0.35">
      <c r="A1567" s="49">
        <v>45930</v>
      </c>
      <c r="B1567" s="48">
        <v>1</v>
      </c>
      <c r="C1567" s="50" t="s">
        <v>32</v>
      </c>
      <c r="D1567" s="48" t="s">
        <v>31</v>
      </c>
      <c r="E1567" s="48" t="s">
        <v>138</v>
      </c>
      <c r="F1567" s="48" t="s">
        <v>139</v>
      </c>
      <c r="G1567" s="49" t="s">
        <v>172</v>
      </c>
      <c r="H1567" s="48" t="s">
        <v>173</v>
      </c>
      <c r="I1567" s="48">
        <v>1</v>
      </c>
      <c r="J1567" s="48">
        <v>64</v>
      </c>
      <c r="K1567" s="48">
        <v>1</v>
      </c>
      <c r="N1567" s="48">
        <v>0</v>
      </c>
      <c r="R1567" s="49"/>
      <c r="S1567" s="49"/>
      <c r="T1567" s="49">
        <v>47879</v>
      </c>
      <c r="U1567" s="49">
        <v>47879</v>
      </c>
      <c r="V1567" s="49">
        <v>47879</v>
      </c>
      <c r="W1567" s="49">
        <v>47879</v>
      </c>
      <c r="X1567" s="48">
        <v>1</v>
      </c>
      <c r="Y1567" s="48">
        <v>1</v>
      </c>
      <c r="Z1567" s="48">
        <v>1</v>
      </c>
      <c r="AA1567" s="156">
        <v>3894.6738506661495</v>
      </c>
      <c r="AF1567" s="48">
        <v>0</v>
      </c>
      <c r="AG1567" s="49" t="s">
        <v>32</v>
      </c>
      <c r="AH1567" s="48">
        <v>1</v>
      </c>
      <c r="AI1567" s="48" t="s">
        <v>33</v>
      </c>
      <c r="AJ1567" s="48" t="s">
        <v>33</v>
      </c>
      <c r="AK1567" s="48" t="s">
        <v>33</v>
      </c>
      <c r="AL1567" s="48" t="s">
        <v>34</v>
      </c>
      <c r="AN1567" s="48">
        <v>0</v>
      </c>
      <c r="AO1567" s="48">
        <v>0</v>
      </c>
      <c r="AP1567" s="48">
        <v>0</v>
      </c>
      <c r="AQ1567" s="48">
        <v>0</v>
      </c>
      <c r="AR1567" s="48">
        <v>0</v>
      </c>
      <c r="AS1567" s="48">
        <v>0</v>
      </c>
      <c r="AT1567" s="48">
        <v>0</v>
      </c>
      <c r="AU1567" s="48">
        <v>0</v>
      </c>
      <c r="AV1567" s="48">
        <v>0</v>
      </c>
      <c r="AW1567" s="48">
        <v>0</v>
      </c>
      <c r="AX1567" s="48">
        <v>0</v>
      </c>
      <c r="AY1567" s="48">
        <v>0</v>
      </c>
      <c r="AZ1567" s="48">
        <v>0</v>
      </c>
      <c r="BA1567" s="48">
        <v>0</v>
      </c>
      <c r="BB1567" s="48">
        <v>0</v>
      </c>
    </row>
    <row r="1568" spans="1:54" x14ac:dyDescent="0.35">
      <c r="A1568" s="49">
        <v>45930</v>
      </c>
      <c r="B1568" s="48">
        <v>1</v>
      </c>
      <c r="C1568" s="50" t="s">
        <v>32</v>
      </c>
      <c r="D1568" s="48" t="s">
        <v>31</v>
      </c>
      <c r="E1568" s="48" t="s">
        <v>138</v>
      </c>
      <c r="F1568" s="48" t="s">
        <v>139</v>
      </c>
      <c r="G1568" s="49" t="s">
        <v>172</v>
      </c>
      <c r="H1568" s="48" t="s">
        <v>173</v>
      </c>
      <c r="I1568" s="48">
        <v>1</v>
      </c>
      <c r="J1568" s="48">
        <v>65</v>
      </c>
      <c r="K1568" s="48">
        <v>1</v>
      </c>
      <c r="N1568" s="48">
        <v>0</v>
      </c>
      <c r="R1568" s="49"/>
      <c r="S1568" s="49"/>
      <c r="T1568" s="49">
        <v>47907</v>
      </c>
      <c r="U1568" s="49">
        <v>47907</v>
      </c>
      <c r="V1568" s="49">
        <v>47907</v>
      </c>
      <c r="W1568" s="49">
        <v>47907</v>
      </c>
      <c r="X1568" s="48">
        <v>1</v>
      </c>
      <c r="Y1568" s="48">
        <v>1</v>
      </c>
      <c r="Z1568" s="48">
        <v>1</v>
      </c>
      <c r="AA1568" s="156">
        <v>3860.1650453652837</v>
      </c>
      <c r="AF1568" s="48">
        <v>0</v>
      </c>
      <c r="AG1568" s="49" t="s">
        <v>32</v>
      </c>
      <c r="AH1568" s="48">
        <v>1</v>
      </c>
      <c r="AI1568" s="48" t="s">
        <v>33</v>
      </c>
      <c r="AJ1568" s="48" t="s">
        <v>33</v>
      </c>
      <c r="AK1568" s="48" t="s">
        <v>33</v>
      </c>
      <c r="AL1568" s="48" t="s">
        <v>34</v>
      </c>
      <c r="AN1568" s="48">
        <v>0</v>
      </c>
      <c r="AO1568" s="48">
        <v>0</v>
      </c>
      <c r="AP1568" s="48">
        <v>0</v>
      </c>
      <c r="AQ1568" s="48">
        <v>0</v>
      </c>
      <c r="AR1568" s="48">
        <v>0</v>
      </c>
      <c r="AS1568" s="48">
        <v>0</v>
      </c>
      <c r="AT1568" s="48">
        <v>0</v>
      </c>
      <c r="AU1568" s="48">
        <v>0</v>
      </c>
      <c r="AV1568" s="48">
        <v>0</v>
      </c>
      <c r="AW1568" s="48">
        <v>0</v>
      </c>
      <c r="AX1568" s="48">
        <v>0</v>
      </c>
      <c r="AY1568" s="48">
        <v>0</v>
      </c>
      <c r="AZ1568" s="48">
        <v>0</v>
      </c>
      <c r="BA1568" s="48">
        <v>0</v>
      </c>
      <c r="BB1568" s="48">
        <v>0</v>
      </c>
    </row>
    <row r="1569" spans="1:54" x14ac:dyDescent="0.35">
      <c r="A1569" s="49">
        <v>45930</v>
      </c>
      <c r="B1569" s="48">
        <v>1</v>
      </c>
      <c r="C1569" s="50" t="s">
        <v>32</v>
      </c>
      <c r="D1569" s="48" t="s">
        <v>31</v>
      </c>
      <c r="E1569" s="48" t="s">
        <v>138</v>
      </c>
      <c r="F1569" s="48" t="s">
        <v>139</v>
      </c>
      <c r="G1569" s="49" t="s">
        <v>172</v>
      </c>
      <c r="H1569" s="48" t="s">
        <v>173</v>
      </c>
      <c r="I1569" s="48">
        <v>1</v>
      </c>
      <c r="J1569" s="48">
        <v>66</v>
      </c>
      <c r="K1569" s="48">
        <v>1</v>
      </c>
      <c r="N1569" s="48">
        <v>0</v>
      </c>
      <c r="R1569" s="49"/>
      <c r="S1569" s="49"/>
      <c r="T1569" s="49">
        <v>47938</v>
      </c>
      <c r="U1569" s="49">
        <v>47938</v>
      </c>
      <c r="V1569" s="49">
        <v>47938</v>
      </c>
      <c r="W1569" s="49">
        <v>47938</v>
      </c>
      <c r="X1569" s="48">
        <v>1</v>
      </c>
      <c r="Y1569" s="48">
        <v>1</v>
      </c>
      <c r="Z1569" s="48">
        <v>1</v>
      </c>
      <c r="AA1569" s="156">
        <v>3825.9620057562133</v>
      </c>
      <c r="AF1569" s="48">
        <v>0</v>
      </c>
      <c r="AG1569" s="49" t="s">
        <v>32</v>
      </c>
      <c r="AH1569" s="48">
        <v>1</v>
      </c>
      <c r="AI1569" s="48" t="s">
        <v>33</v>
      </c>
      <c r="AJ1569" s="48" t="s">
        <v>33</v>
      </c>
      <c r="AK1569" s="48" t="s">
        <v>33</v>
      </c>
      <c r="AL1569" s="48" t="s">
        <v>34</v>
      </c>
      <c r="AN1569" s="48">
        <v>0</v>
      </c>
      <c r="AO1569" s="48">
        <v>0</v>
      </c>
      <c r="AP1569" s="48">
        <v>0</v>
      </c>
      <c r="AQ1569" s="48">
        <v>0</v>
      </c>
      <c r="AR1569" s="48">
        <v>0</v>
      </c>
      <c r="AS1569" s="48">
        <v>0</v>
      </c>
      <c r="AT1569" s="48">
        <v>0</v>
      </c>
      <c r="AU1569" s="48">
        <v>0</v>
      </c>
      <c r="AV1569" s="48">
        <v>0</v>
      </c>
      <c r="AW1569" s="48">
        <v>0</v>
      </c>
      <c r="AX1569" s="48">
        <v>0</v>
      </c>
      <c r="AY1569" s="48">
        <v>0</v>
      </c>
      <c r="AZ1569" s="48">
        <v>0</v>
      </c>
      <c r="BA1569" s="48">
        <v>0</v>
      </c>
      <c r="BB1569" s="48">
        <v>0</v>
      </c>
    </row>
    <row r="1570" spans="1:54" x14ac:dyDescent="0.35">
      <c r="A1570" s="49">
        <v>45930</v>
      </c>
      <c r="B1570" s="48">
        <v>1</v>
      </c>
      <c r="C1570" s="50" t="s">
        <v>32</v>
      </c>
      <c r="D1570" s="48" t="s">
        <v>31</v>
      </c>
      <c r="E1570" s="48" t="s">
        <v>138</v>
      </c>
      <c r="F1570" s="48" t="s">
        <v>139</v>
      </c>
      <c r="G1570" s="49" t="s">
        <v>172</v>
      </c>
      <c r="H1570" s="48" t="s">
        <v>173</v>
      </c>
      <c r="I1570" s="48">
        <v>1</v>
      </c>
      <c r="J1570" s="48">
        <v>67</v>
      </c>
      <c r="K1570" s="48">
        <v>1</v>
      </c>
      <c r="N1570" s="48">
        <v>0</v>
      </c>
      <c r="R1570" s="49"/>
      <c r="S1570" s="49"/>
      <c r="T1570" s="49">
        <v>47968</v>
      </c>
      <c r="U1570" s="49">
        <v>47968</v>
      </c>
      <c r="V1570" s="49">
        <v>47968</v>
      </c>
      <c r="W1570" s="49">
        <v>47968</v>
      </c>
      <c r="X1570" s="48">
        <v>1</v>
      </c>
      <c r="Y1570" s="48">
        <v>1</v>
      </c>
      <c r="Z1570" s="48">
        <v>1</v>
      </c>
      <c r="AA1570" s="156">
        <v>3792.0620225977618</v>
      </c>
      <c r="AF1570" s="48">
        <v>0</v>
      </c>
      <c r="AG1570" s="49" t="s">
        <v>32</v>
      </c>
      <c r="AH1570" s="48">
        <v>1</v>
      </c>
      <c r="AI1570" s="48" t="s">
        <v>33</v>
      </c>
      <c r="AJ1570" s="48" t="s">
        <v>33</v>
      </c>
      <c r="AK1570" s="48" t="s">
        <v>33</v>
      </c>
      <c r="AL1570" s="48" t="s">
        <v>34</v>
      </c>
      <c r="AN1570" s="48">
        <v>0</v>
      </c>
      <c r="AO1570" s="48">
        <v>0</v>
      </c>
      <c r="AP1570" s="48">
        <v>0</v>
      </c>
      <c r="AQ1570" s="48">
        <v>0</v>
      </c>
      <c r="AR1570" s="48">
        <v>0</v>
      </c>
      <c r="AS1570" s="48">
        <v>0</v>
      </c>
      <c r="AT1570" s="48">
        <v>0</v>
      </c>
      <c r="AU1570" s="48">
        <v>0</v>
      </c>
      <c r="AV1570" s="48">
        <v>0</v>
      </c>
      <c r="AW1570" s="48">
        <v>0</v>
      </c>
      <c r="AX1570" s="48">
        <v>0</v>
      </c>
      <c r="AY1570" s="48">
        <v>0</v>
      </c>
      <c r="AZ1570" s="48">
        <v>0</v>
      </c>
      <c r="BA1570" s="48">
        <v>0</v>
      </c>
      <c r="BB1570" s="48">
        <v>0</v>
      </c>
    </row>
    <row r="1571" spans="1:54" x14ac:dyDescent="0.35">
      <c r="A1571" s="49">
        <v>45930</v>
      </c>
      <c r="B1571" s="48">
        <v>1</v>
      </c>
      <c r="C1571" s="50" t="s">
        <v>32</v>
      </c>
      <c r="D1571" s="48" t="s">
        <v>31</v>
      </c>
      <c r="E1571" s="48" t="s">
        <v>138</v>
      </c>
      <c r="F1571" s="48" t="s">
        <v>139</v>
      </c>
      <c r="G1571" s="49" t="s">
        <v>172</v>
      </c>
      <c r="H1571" s="48" t="s">
        <v>173</v>
      </c>
      <c r="I1571" s="48">
        <v>1</v>
      </c>
      <c r="J1571" s="48">
        <v>68</v>
      </c>
      <c r="K1571" s="48">
        <v>1</v>
      </c>
      <c r="N1571" s="48">
        <v>0</v>
      </c>
      <c r="R1571" s="49"/>
      <c r="S1571" s="49"/>
      <c r="T1571" s="49">
        <v>47999</v>
      </c>
      <c r="U1571" s="49">
        <v>47999</v>
      </c>
      <c r="V1571" s="49">
        <v>47999</v>
      </c>
      <c r="W1571" s="49">
        <v>47999</v>
      </c>
      <c r="X1571" s="48">
        <v>1</v>
      </c>
      <c r="Y1571" s="48">
        <v>1</v>
      </c>
      <c r="Z1571" s="48">
        <v>1</v>
      </c>
      <c r="AA1571" s="156">
        <v>3758.4624106549891</v>
      </c>
      <c r="AF1571" s="48">
        <v>0</v>
      </c>
      <c r="AG1571" s="49" t="s">
        <v>32</v>
      </c>
      <c r="AH1571" s="48">
        <v>1</v>
      </c>
      <c r="AI1571" s="48" t="s">
        <v>33</v>
      </c>
      <c r="AJ1571" s="48" t="s">
        <v>33</v>
      </c>
      <c r="AK1571" s="48" t="s">
        <v>33</v>
      </c>
      <c r="AL1571" s="48" t="s">
        <v>34</v>
      </c>
      <c r="AN1571" s="48">
        <v>0</v>
      </c>
      <c r="AO1571" s="48">
        <v>0</v>
      </c>
      <c r="AP1571" s="48">
        <v>0</v>
      </c>
      <c r="AQ1571" s="48">
        <v>0</v>
      </c>
      <c r="AR1571" s="48">
        <v>0</v>
      </c>
      <c r="AS1571" s="48">
        <v>0</v>
      </c>
      <c r="AT1571" s="48">
        <v>0</v>
      </c>
      <c r="AU1571" s="48">
        <v>0</v>
      </c>
      <c r="AV1571" s="48">
        <v>0</v>
      </c>
      <c r="AW1571" s="48">
        <v>0</v>
      </c>
      <c r="AX1571" s="48">
        <v>0</v>
      </c>
      <c r="AY1571" s="48">
        <v>0</v>
      </c>
      <c r="AZ1571" s="48">
        <v>0</v>
      </c>
      <c r="BA1571" s="48">
        <v>0</v>
      </c>
      <c r="BB1571" s="48">
        <v>0</v>
      </c>
    </row>
    <row r="1572" spans="1:54" x14ac:dyDescent="0.35">
      <c r="A1572" s="49">
        <v>45930</v>
      </c>
      <c r="B1572" s="48">
        <v>1</v>
      </c>
      <c r="C1572" s="50" t="s">
        <v>32</v>
      </c>
      <c r="D1572" s="48" t="s">
        <v>31</v>
      </c>
      <c r="E1572" s="48" t="s">
        <v>138</v>
      </c>
      <c r="F1572" s="48" t="s">
        <v>139</v>
      </c>
      <c r="G1572" s="49" t="s">
        <v>172</v>
      </c>
      <c r="H1572" s="48" t="s">
        <v>173</v>
      </c>
      <c r="I1572" s="48">
        <v>1</v>
      </c>
      <c r="J1572" s="48">
        <v>69</v>
      </c>
      <c r="K1572" s="48">
        <v>1</v>
      </c>
      <c r="N1572" s="48">
        <v>0</v>
      </c>
      <c r="R1572" s="49"/>
      <c r="S1572" s="49"/>
      <c r="T1572" s="49">
        <v>48029</v>
      </c>
      <c r="U1572" s="49">
        <v>48029</v>
      </c>
      <c r="V1572" s="49">
        <v>48029</v>
      </c>
      <c r="W1572" s="49">
        <v>48029</v>
      </c>
      <c r="X1572" s="48">
        <v>1</v>
      </c>
      <c r="Y1572" s="48">
        <v>1</v>
      </c>
      <c r="Z1572" s="48">
        <v>1</v>
      </c>
      <c r="AA1572" s="156">
        <v>3725.1605084848125</v>
      </c>
      <c r="AF1572" s="48">
        <v>0</v>
      </c>
      <c r="AG1572" s="49" t="s">
        <v>32</v>
      </c>
      <c r="AH1572" s="48">
        <v>1</v>
      </c>
      <c r="AI1572" s="48" t="s">
        <v>33</v>
      </c>
      <c r="AJ1572" s="48" t="s">
        <v>33</v>
      </c>
      <c r="AK1572" s="48" t="s">
        <v>33</v>
      </c>
      <c r="AL1572" s="48" t="s">
        <v>34</v>
      </c>
      <c r="AN1572" s="48">
        <v>0</v>
      </c>
      <c r="AO1572" s="48">
        <v>0</v>
      </c>
      <c r="AP1572" s="48">
        <v>0</v>
      </c>
      <c r="AQ1572" s="48">
        <v>0</v>
      </c>
      <c r="AR1572" s="48">
        <v>0</v>
      </c>
      <c r="AS1572" s="48">
        <v>0</v>
      </c>
      <c r="AT1572" s="48">
        <v>0</v>
      </c>
      <c r="AU1572" s="48">
        <v>0</v>
      </c>
      <c r="AV1572" s="48">
        <v>0</v>
      </c>
      <c r="AW1572" s="48">
        <v>0</v>
      </c>
      <c r="AX1572" s="48">
        <v>0</v>
      </c>
      <c r="AY1572" s="48">
        <v>0</v>
      </c>
      <c r="AZ1572" s="48">
        <v>0</v>
      </c>
      <c r="BA1572" s="48">
        <v>0</v>
      </c>
      <c r="BB1572" s="48">
        <v>0</v>
      </c>
    </row>
    <row r="1573" spans="1:54" x14ac:dyDescent="0.35">
      <c r="A1573" s="49">
        <v>45930</v>
      </c>
      <c r="B1573" s="48">
        <v>1</v>
      </c>
      <c r="C1573" s="50" t="s">
        <v>32</v>
      </c>
      <c r="D1573" s="48" t="s">
        <v>31</v>
      </c>
      <c r="E1573" s="48" t="s">
        <v>138</v>
      </c>
      <c r="F1573" s="48" t="s">
        <v>139</v>
      </c>
      <c r="G1573" s="49" t="s">
        <v>172</v>
      </c>
      <c r="H1573" s="48" t="s">
        <v>173</v>
      </c>
      <c r="I1573" s="48">
        <v>1</v>
      </c>
      <c r="J1573" s="48">
        <v>70</v>
      </c>
      <c r="K1573" s="48">
        <v>1</v>
      </c>
      <c r="N1573" s="48">
        <v>0</v>
      </c>
      <c r="R1573" s="49"/>
      <c r="S1573" s="49"/>
      <c r="T1573" s="49">
        <v>48060</v>
      </c>
      <c r="U1573" s="49">
        <v>48060</v>
      </c>
      <c r="V1573" s="49">
        <v>48060</v>
      </c>
      <c r="W1573" s="49">
        <v>48060</v>
      </c>
      <c r="X1573" s="48">
        <v>1</v>
      </c>
      <c r="Y1573" s="48">
        <v>1</v>
      </c>
      <c r="Z1573" s="48">
        <v>1</v>
      </c>
      <c r="AA1573" s="156">
        <v>416697.54306968983</v>
      </c>
      <c r="AF1573" s="48">
        <v>0</v>
      </c>
      <c r="AG1573" s="49" t="s">
        <v>32</v>
      </c>
      <c r="AH1573" s="48">
        <v>1</v>
      </c>
      <c r="AI1573" s="48" t="s">
        <v>33</v>
      </c>
      <c r="AJ1573" s="48" t="s">
        <v>33</v>
      </c>
      <c r="AK1573" s="48" t="s">
        <v>33</v>
      </c>
      <c r="AL1573" s="48" t="s">
        <v>34</v>
      </c>
      <c r="AN1573" s="48">
        <v>0</v>
      </c>
      <c r="AO1573" s="48">
        <v>0</v>
      </c>
      <c r="AP1573" s="48">
        <v>0</v>
      </c>
      <c r="AQ1573" s="48">
        <v>0</v>
      </c>
      <c r="AR1573" s="48">
        <v>0</v>
      </c>
      <c r="AS1573" s="48">
        <v>0</v>
      </c>
      <c r="AT1573" s="48">
        <v>0</v>
      </c>
      <c r="AU1573" s="48">
        <v>0</v>
      </c>
      <c r="AV1573" s="48">
        <v>0</v>
      </c>
      <c r="AW1573" s="48">
        <v>0</v>
      </c>
      <c r="AX1573" s="48">
        <v>0</v>
      </c>
      <c r="AY1573" s="48">
        <v>0</v>
      </c>
      <c r="AZ1573" s="48">
        <v>0</v>
      </c>
      <c r="BA1573" s="48">
        <v>0</v>
      </c>
      <c r="BB1573" s="48">
        <v>0</v>
      </c>
    </row>
    <row r="1574" spans="1:54" x14ac:dyDescent="0.35">
      <c r="A1574" s="49">
        <v>45930</v>
      </c>
      <c r="B1574" s="48">
        <v>1</v>
      </c>
      <c r="C1574" s="50" t="s">
        <v>41</v>
      </c>
      <c r="D1574" s="48" t="s">
        <v>31</v>
      </c>
      <c r="E1574" s="48" t="s">
        <v>138</v>
      </c>
      <c r="F1574" s="48" t="s">
        <v>139</v>
      </c>
      <c r="G1574" s="49" t="s">
        <v>182</v>
      </c>
      <c r="H1574" s="48" t="s">
        <v>182</v>
      </c>
      <c r="I1574" s="48">
        <v>1</v>
      </c>
      <c r="K1574" s="48">
        <v>1</v>
      </c>
      <c r="N1574" s="48">
        <v>0</v>
      </c>
      <c r="R1574" s="49"/>
      <c r="S1574" s="49"/>
      <c r="T1574" s="49">
        <v>45931</v>
      </c>
      <c r="U1574" s="49">
        <v>45931</v>
      </c>
      <c r="V1574" s="49">
        <v>45931</v>
      </c>
      <c r="W1574" s="49">
        <v>45931</v>
      </c>
      <c r="X1574" s="48">
        <v>1</v>
      </c>
      <c r="Y1574" s="48">
        <v>1</v>
      </c>
      <c r="Z1574" s="48">
        <v>1</v>
      </c>
      <c r="AA1574" s="156">
        <v>462770337877</v>
      </c>
      <c r="AF1574" s="48">
        <v>0</v>
      </c>
      <c r="AG1574" s="49" t="s">
        <v>41</v>
      </c>
      <c r="AH1574" s="48">
        <v>1</v>
      </c>
      <c r="AI1574" s="48" t="s">
        <v>33</v>
      </c>
      <c r="AJ1574" s="48" t="s">
        <v>33</v>
      </c>
      <c r="AK1574" s="48" t="s">
        <v>33</v>
      </c>
      <c r="AL1574" s="48" t="s">
        <v>34</v>
      </c>
      <c r="AN1574" s="48">
        <v>0</v>
      </c>
      <c r="AO1574" s="48">
        <v>0</v>
      </c>
      <c r="AP1574" s="48">
        <v>0</v>
      </c>
      <c r="AQ1574" s="48">
        <v>0</v>
      </c>
      <c r="AR1574" s="48">
        <v>0</v>
      </c>
      <c r="AS1574" s="48">
        <v>0</v>
      </c>
      <c r="AT1574" s="48">
        <v>0</v>
      </c>
      <c r="AU1574" s="48">
        <v>0</v>
      </c>
      <c r="AV1574" s="48">
        <v>0</v>
      </c>
      <c r="AW1574" s="48">
        <v>0</v>
      </c>
      <c r="AX1574" s="48">
        <v>0</v>
      </c>
      <c r="AY1574" s="48">
        <v>0</v>
      </c>
      <c r="AZ1574" s="48">
        <v>0</v>
      </c>
      <c r="BA1574" s="48">
        <v>0</v>
      </c>
      <c r="BB1574" s="48">
        <v>0</v>
      </c>
    </row>
    <row r="1575" spans="1:54" x14ac:dyDescent="0.35">
      <c r="A1575" s="49">
        <v>45930</v>
      </c>
      <c r="B1575" s="48">
        <v>1</v>
      </c>
      <c r="C1575" s="50" t="s">
        <v>41</v>
      </c>
      <c r="D1575" s="48" t="s">
        <v>31</v>
      </c>
      <c r="E1575" s="48" t="s">
        <v>138</v>
      </c>
      <c r="F1575" s="48" t="s">
        <v>139</v>
      </c>
      <c r="G1575" s="49" t="s">
        <v>181</v>
      </c>
      <c r="H1575" s="48" t="s">
        <v>181</v>
      </c>
      <c r="I1575" s="48">
        <v>1</v>
      </c>
      <c r="K1575" s="48">
        <v>1</v>
      </c>
      <c r="N1575" s="48">
        <v>0</v>
      </c>
      <c r="R1575" s="49"/>
      <c r="S1575" s="49"/>
      <c r="T1575" s="49">
        <v>45931</v>
      </c>
      <c r="U1575" s="49">
        <v>45931</v>
      </c>
      <c r="V1575" s="49">
        <v>45931</v>
      </c>
      <c r="W1575" s="49">
        <v>45931</v>
      </c>
      <c r="X1575" s="48">
        <v>1</v>
      </c>
      <c r="Y1575" s="48">
        <v>1</v>
      </c>
      <c r="Z1575" s="48">
        <v>1</v>
      </c>
      <c r="AA1575" s="156">
        <v>955090648237.99866</v>
      </c>
      <c r="AF1575" s="48">
        <v>0</v>
      </c>
      <c r="AG1575" s="49" t="s">
        <v>41</v>
      </c>
      <c r="AH1575" s="48">
        <v>1</v>
      </c>
      <c r="AI1575" s="48" t="s">
        <v>33</v>
      </c>
      <c r="AJ1575" s="48" t="s">
        <v>33</v>
      </c>
      <c r="AK1575" s="48" t="s">
        <v>33</v>
      </c>
      <c r="AL1575" s="48" t="s">
        <v>34</v>
      </c>
      <c r="AN1575" s="48">
        <v>0</v>
      </c>
      <c r="AO1575" s="48">
        <v>0</v>
      </c>
      <c r="AP1575" s="48">
        <v>0</v>
      </c>
      <c r="AQ1575" s="48">
        <v>0</v>
      </c>
      <c r="AR1575" s="48">
        <v>0</v>
      </c>
      <c r="AS1575" s="48">
        <v>0</v>
      </c>
      <c r="AT1575" s="48">
        <v>0</v>
      </c>
      <c r="AU1575" s="48">
        <v>0</v>
      </c>
      <c r="AV1575" s="48">
        <v>0</v>
      </c>
      <c r="AW1575" s="48">
        <v>0</v>
      </c>
      <c r="AX1575" s="48">
        <v>0</v>
      </c>
      <c r="AY1575" s="48">
        <v>0</v>
      </c>
      <c r="AZ1575" s="48">
        <v>0</v>
      </c>
      <c r="BA1575" s="48">
        <v>0</v>
      </c>
      <c r="BB1575" s="48">
        <v>0</v>
      </c>
    </row>
    <row r="1576" spans="1:54" x14ac:dyDescent="0.35">
      <c r="A1576" s="49">
        <v>45930</v>
      </c>
      <c r="B1576" s="48">
        <v>1</v>
      </c>
      <c r="C1576" s="50" t="s">
        <v>41</v>
      </c>
      <c r="D1576" s="48" t="s">
        <v>31</v>
      </c>
      <c r="E1576" s="48" t="s">
        <v>138</v>
      </c>
      <c r="F1576" s="48" t="s">
        <v>139</v>
      </c>
      <c r="G1576" s="49" t="s">
        <v>177</v>
      </c>
      <c r="H1576" s="48" t="s">
        <v>177</v>
      </c>
      <c r="I1576" s="48">
        <v>1</v>
      </c>
      <c r="K1576" s="48">
        <v>1</v>
      </c>
      <c r="N1576" s="48">
        <v>0</v>
      </c>
      <c r="R1576" s="49"/>
      <c r="S1576" s="49"/>
      <c r="T1576" s="49">
        <v>45931</v>
      </c>
      <c r="U1576" s="49">
        <v>45931</v>
      </c>
      <c r="V1576" s="49">
        <v>45931</v>
      </c>
      <c r="W1576" s="49">
        <v>45931</v>
      </c>
      <c r="X1576" s="48">
        <v>1</v>
      </c>
      <c r="Y1576" s="48">
        <v>1</v>
      </c>
      <c r="Z1576" s="48">
        <v>1</v>
      </c>
      <c r="AA1576" s="156">
        <v>50974195938</v>
      </c>
      <c r="AF1576" s="48">
        <v>0</v>
      </c>
      <c r="AG1576" s="49" t="s">
        <v>41</v>
      </c>
      <c r="AH1576" s="48">
        <v>1</v>
      </c>
      <c r="AI1576" s="48" t="s">
        <v>33</v>
      </c>
      <c r="AJ1576" s="48" t="s">
        <v>33</v>
      </c>
      <c r="AK1576" s="48" t="s">
        <v>33</v>
      </c>
      <c r="AL1576" s="48" t="s">
        <v>34</v>
      </c>
      <c r="AN1576" s="48">
        <v>0</v>
      </c>
      <c r="AO1576" s="48">
        <v>0</v>
      </c>
      <c r="AP1576" s="48">
        <v>0</v>
      </c>
      <c r="AQ1576" s="48">
        <v>0</v>
      </c>
      <c r="AR1576" s="48">
        <v>0</v>
      </c>
      <c r="AS1576" s="48">
        <v>0</v>
      </c>
      <c r="AT1576" s="48">
        <v>0</v>
      </c>
      <c r="AU1576" s="48">
        <v>0</v>
      </c>
      <c r="AV1576" s="48">
        <v>0</v>
      </c>
      <c r="AW1576" s="48">
        <v>0</v>
      </c>
      <c r="AX1576" s="48">
        <v>0</v>
      </c>
      <c r="AY1576" s="48">
        <v>0</v>
      </c>
      <c r="AZ1576" s="48">
        <v>0</v>
      </c>
      <c r="BA1576" s="48">
        <v>0</v>
      </c>
      <c r="BB1576" s="48">
        <v>0</v>
      </c>
    </row>
    <row r="1577" spans="1:54" x14ac:dyDescent="0.35">
      <c r="A1577" s="49">
        <v>45930</v>
      </c>
      <c r="B1577" s="48">
        <v>1</v>
      </c>
      <c r="C1577" s="50" t="s">
        <v>41</v>
      </c>
      <c r="D1577" s="48" t="s">
        <v>31</v>
      </c>
      <c r="E1577" s="48" t="s">
        <v>138</v>
      </c>
      <c r="F1577" s="48" t="s">
        <v>139</v>
      </c>
      <c r="G1577" s="49" t="s">
        <v>178</v>
      </c>
      <c r="H1577" s="48" t="s">
        <v>178</v>
      </c>
      <c r="I1577" s="48">
        <v>1</v>
      </c>
      <c r="K1577" s="48">
        <v>1</v>
      </c>
      <c r="N1577" s="48">
        <v>0</v>
      </c>
      <c r="R1577" s="49"/>
      <c r="S1577" s="49"/>
      <c r="T1577" s="49">
        <v>45931</v>
      </c>
      <c r="U1577" s="49">
        <v>45931</v>
      </c>
      <c r="V1577" s="49">
        <v>45931</v>
      </c>
      <c r="W1577" s="49">
        <v>45931</v>
      </c>
      <c r="X1577" s="48">
        <v>1</v>
      </c>
      <c r="Y1577" s="48">
        <v>1</v>
      </c>
      <c r="Z1577" s="48">
        <v>1</v>
      </c>
      <c r="AA1577" s="156">
        <v>111716016665.00006</v>
      </c>
      <c r="AF1577" s="48">
        <v>0</v>
      </c>
      <c r="AG1577" s="49" t="s">
        <v>41</v>
      </c>
      <c r="AH1577" s="48">
        <v>1</v>
      </c>
      <c r="AI1577" s="48" t="s">
        <v>33</v>
      </c>
      <c r="AJ1577" s="48" t="s">
        <v>33</v>
      </c>
      <c r="AK1577" s="48" t="s">
        <v>33</v>
      </c>
      <c r="AL1577" s="48" t="s">
        <v>34</v>
      </c>
      <c r="AN1577" s="48">
        <v>0</v>
      </c>
      <c r="AO1577" s="48">
        <v>0</v>
      </c>
      <c r="AP1577" s="48">
        <v>0</v>
      </c>
      <c r="AQ1577" s="48">
        <v>0</v>
      </c>
      <c r="AR1577" s="48">
        <v>0</v>
      </c>
      <c r="AS1577" s="48">
        <v>0</v>
      </c>
      <c r="AT1577" s="48">
        <v>0</v>
      </c>
      <c r="AU1577" s="48">
        <v>0</v>
      </c>
      <c r="AV1577" s="48">
        <v>0</v>
      </c>
      <c r="AW1577" s="48">
        <v>0</v>
      </c>
      <c r="AX1577" s="48">
        <v>0</v>
      </c>
      <c r="AY1577" s="48">
        <v>0</v>
      </c>
      <c r="AZ1577" s="48">
        <v>0</v>
      </c>
      <c r="BA1577" s="48">
        <v>0</v>
      </c>
      <c r="BB1577" s="48">
        <v>0</v>
      </c>
    </row>
    <row r="1578" spans="1:54" x14ac:dyDescent="0.35">
      <c r="A1578" s="49">
        <v>45930</v>
      </c>
      <c r="B1578" s="48">
        <v>1</v>
      </c>
      <c r="C1578" s="50" t="s">
        <v>32</v>
      </c>
      <c r="D1578" s="48" t="s">
        <v>31</v>
      </c>
      <c r="E1578" s="48" t="s">
        <v>138</v>
      </c>
      <c r="F1578" s="48" t="s">
        <v>139</v>
      </c>
      <c r="G1578" s="49" t="s">
        <v>176</v>
      </c>
      <c r="H1578" s="48" t="s">
        <v>176</v>
      </c>
      <c r="I1578" s="48">
        <v>1</v>
      </c>
      <c r="K1578" s="48">
        <v>1</v>
      </c>
      <c r="N1578" s="48">
        <v>0</v>
      </c>
      <c r="R1578" s="49"/>
      <c r="S1578" s="49"/>
      <c r="T1578" s="49">
        <v>45931</v>
      </c>
      <c r="U1578" s="49">
        <v>45931</v>
      </c>
      <c r="V1578" s="49">
        <v>45931</v>
      </c>
      <c r="W1578" s="49">
        <v>45931</v>
      </c>
      <c r="X1578" s="48">
        <v>1</v>
      </c>
      <c r="Y1578" s="48">
        <v>1</v>
      </c>
      <c r="Z1578" s="48">
        <v>1</v>
      </c>
      <c r="AA1578" s="156">
        <v>1357075</v>
      </c>
      <c r="AF1578" s="48">
        <v>0</v>
      </c>
      <c r="AG1578" s="49" t="s">
        <v>32</v>
      </c>
      <c r="AH1578" s="48">
        <v>1</v>
      </c>
      <c r="AI1578" s="48" t="s">
        <v>33</v>
      </c>
      <c r="AJ1578" s="48" t="s">
        <v>33</v>
      </c>
      <c r="AK1578" s="48" t="s">
        <v>33</v>
      </c>
      <c r="AL1578" s="48" t="s">
        <v>34</v>
      </c>
      <c r="AN1578" s="48">
        <v>0</v>
      </c>
      <c r="AO1578" s="48">
        <v>0</v>
      </c>
      <c r="AP1578" s="48">
        <v>0</v>
      </c>
      <c r="AQ1578" s="48">
        <v>0</v>
      </c>
      <c r="AR1578" s="48">
        <v>0</v>
      </c>
      <c r="AS1578" s="48">
        <v>0</v>
      </c>
      <c r="AT1578" s="48">
        <v>0</v>
      </c>
      <c r="AU1578" s="48">
        <v>0</v>
      </c>
      <c r="AV1578" s="48">
        <v>0</v>
      </c>
      <c r="AW1578" s="48">
        <v>0</v>
      </c>
      <c r="AX1578" s="48">
        <v>0</v>
      </c>
      <c r="AY1578" s="48">
        <v>0</v>
      </c>
      <c r="AZ1578" s="48">
        <v>0</v>
      </c>
      <c r="BA1578" s="48">
        <v>0</v>
      </c>
      <c r="BB1578" s="48">
        <v>0</v>
      </c>
    </row>
    <row r="1579" spans="1:54" x14ac:dyDescent="0.35">
      <c r="A1579" s="49">
        <v>45930</v>
      </c>
      <c r="B1579" s="48">
        <v>1</v>
      </c>
      <c r="C1579" s="50" t="s">
        <v>32</v>
      </c>
      <c r="D1579" s="48" t="s">
        <v>31</v>
      </c>
      <c r="E1579" s="48" t="s">
        <v>138</v>
      </c>
      <c r="F1579" s="48" t="s">
        <v>139</v>
      </c>
      <c r="G1579" s="49" t="s">
        <v>175</v>
      </c>
      <c r="H1579" s="48" t="s">
        <v>175</v>
      </c>
      <c r="I1579" s="48">
        <v>1</v>
      </c>
      <c r="K1579" s="48">
        <v>1</v>
      </c>
      <c r="N1579" s="48">
        <v>0</v>
      </c>
      <c r="R1579" s="49"/>
      <c r="S1579" s="49"/>
      <c r="T1579" s="49">
        <v>45931</v>
      </c>
      <c r="U1579" s="49">
        <v>45931</v>
      </c>
      <c r="V1579" s="49">
        <v>45931</v>
      </c>
      <c r="W1579" s="49">
        <v>45931</v>
      </c>
      <c r="X1579" s="48">
        <v>1</v>
      </c>
      <c r="Y1579" s="48">
        <v>1</v>
      </c>
      <c r="Z1579" s="48">
        <v>1</v>
      </c>
      <c r="AA1579" s="156">
        <v>3139972.9999999898</v>
      </c>
      <c r="AF1579" s="48">
        <v>0</v>
      </c>
      <c r="AG1579" s="49" t="s">
        <v>32</v>
      </c>
      <c r="AH1579" s="48">
        <v>1</v>
      </c>
      <c r="AI1579" s="48" t="s">
        <v>33</v>
      </c>
      <c r="AJ1579" s="48" t="s">
        <v>33</v>
      </c>
      <c r="AK1579" s="48" t="s">
        <v>33</v>
      </c>
      <c r="AL1579" s="48" t="s">
        <v>34</v>
      </c>
      <c r="AN1579" s="48">
        <v>0</v>
      </c>
      <c r="AO1579" s="48">
        <v>0</v>
      </c>
      <c r="AP1579" s="48">
        <v>0</v>
      </c>
      <c r="AQ1579" s="48">
        <v>0</v>
      </c>
      <c r="AR1579" s="48">
        <v>0</v>
      </c>
      <c r="AS1579" s="48">
        <v>0</v>
      </c>
      <c r="AT1579" s="48">
        <v>0</v>
      </c>
      <c r="AU1579" s="48">
        <v>0</v>
      </c>
      <c r="AV1579" s="48">
        <v>0</v>
      </c>
      <c r="AW1579" s="48">
        <v>0</v>
      </c>
      <c r="AX1579" s="48">
        <v>0</v>
      </c>
      <c r="AY1579" s="48">
        <v>0</v>
      </c>
      <c r="AZ1579" s="48">
        <v>0</v>
      </c>
      <c r="BA1579" s="48">
        <v>0</v>
      </c>
      <c r="BB1579" s="48">
        <v>0</v>
      </c>
    </row>
    <row r="1580" spans="1:54" x14ac:dyDescent="0.35">
      <c r="A1580" s="49">
        <v>45930</v>
      </c>
      <c r="B1580" s="48">
        <v>1</v>
      </c>
      <c r="C1580" s="50" t="s">
        <v>32</v>
      </c>
      <c r="D1580" s="48" t="s">
        <v>31</v>
      </c>
      <c r="E1580" s="48" t="s">
        <v>138</v>
      </c>
      <c r="F1580" s="48" t="s">
        <v>139</v>
      </c>
      <c r="G1580" s="49" t="s">
        <v>174</v>
      </c>
      <c r="H1580" s="48" t="s">
        <v>174</v>
      </c>
      <c r="I1580" s="48">
        <v>1</v>
      </c>
      <c r="K1580" s="48">
        <v>1</v>
      </c>
      <c r="N1580" s="48">
        <v>0</v>
      </c>
      <c r="R1580" s="49"/>
      <c r="S1580" s="49"/>
      <c r="T1580" s="49">
        <v>45931</v>
      </c>
      <c r="U1580" s="49">
        <v>45931</v>
      </c>
      <c r="V1580" s="49">
        <v>45931</v>
      </c>
      <c r="W1580" s="49">
        <v>45931</v>
      </c>
      <c r="X1580" s="48">
        <v>1</v>
      </c>
      <c r="Y1580" s="48">
        <v>1</v>
      </c>
      <c r="Z1580" s="48">
        <v>1</v>
      </c>
      <c r="AA1580" s="156">
        <v>330673</v>
      </c>
      <c r="AF1580" s="48">
        <v>0</v>
      </c>
      <c r="AG1580" s="49" t="s">
        <v>32</v>
      </c>
      <c r="AH1580" s="48">
        <v>1</v>
      </c>
      <c r="AI1580" s="48" t="s">
        <v>33</v>
      </c>
      <c r="AJ1580" s="48" t="s">
        <v>33</v>
      </c>
      <c r="AK1580" s="48" t="s">
        <v>33</v>
      </c>
      <c r="AL1580" s="48" t="s">
        <v>34</v>
      </c>
      <c r="AN1580" s="48">
        <v>0</v>
      </c>
      <c r="AO1580" s="48">
        <v>0</v>
      </c>
      <c r="AP1580" s="48">
        <v>0</v>
      </c>
      <c r="AQ1580" s="48">
        <v>0</v>
      </c>
      <c r="AR1580" s="48">
        <v>0</v>
      </c>
      <c r="AS1580" s="48">
        <v>0</v>
      </c>
      <c r="AT1580" s="48">
        <v>0</v>
      </c>
      <c r="AU1580" s="48">
        <v>0</v>
      </c>
      <c r="AV1580" s="48">
        <v>0</v>
      </c>
      <c r="AW1580" s="48">
        <v>0</v>
      </c>
      <c r="AX1580" s="48">
        <v>0</v>
      </c>
      <c r="AY1580" s="48">
        <v>0</v>
      </c>
      <c r="AZ1580" s="48">
        <v>0</v>
      </c>
      <c r="BA1580" s="48">
        <v>0</v>
      </c>
      <c r="BB1580" s="48">
        <v>0</v>
      </c>
    </row>
    <row r="1581" spans="1:54" x14ac:dyDescent="0.35">
      <c r="A1581" s="49">
        <v>45930</v>
      </c>
      <c r="B1581" s="48">
        <v>1</v>
      </c>
      <c r="C1581" s="50" t="s">
        <v>32</v>
      </c>
      <c r="D1581" s="48" t="s">
        <v>31</v>
      </c>
      <c r="E1581" s="48" t="s">
        <v>138</v>
      </c>
      <c r="F1581" s="48" t="s">
        <v>139</v>
      </c>
      <c r="G1581" s="49" t="s">
        <v>173</v>
      </c>
      <c r="H1581" s="48" t="s">
        <v>173</v>
      </c>
      <c r="I1581" s="48">
        <v>1</v>
      </c>
      <c r="K1581" s="48">
        <v>1</v>
      </c>
      <c r="N1581" s="48">
        <v>0</v>
      </c>
      <c r="R1581" s="49"/>
      <c r="S1581" s="49"/>
      <c r="T1581" s="49">
        <v>45931</v>
      </c>
      <c r="U1581" s="49">
        <v>45931</v>
      </c>
      <c r="V1581" s="49">
        <v>45931</v>
      </c>
      <c r="W1581" s="49">
        <v>45931</v>
      </c>
      <c r="X1581" s="48">
        <v>1</v>
      </c>
      <c r="Y1581" s="48">
        <v>1</v>
      </c>
      <c r="Z1581" s="48">
        <v>1</v>
      </c>
      <c r="AA1581" s="156">
        <v>770053.99999629089</v>
      </c>
      <c r="AF1581" s="48">
        <v>0</v>
      </c>
      <c r="AG1581" s="49" t="s">
        <v>32</v>
      </c>
      <c r="AH1581" s="48">
        <v>1</v>
      </c>
      <c r="AI1581" s="48" t="s">
        <v>33</v>
      </c>
      <c r="AJ1581" s="48" t="s">
        <v>33</v>
      </c>
      <c r="AK1581" s="48" t="s">
        <v>33</v>
      </c>
      <c r="AL1581" s="48" t="s">
        <v>34</v>
      </c>
      <c r="AN1581" s="48">
        <v>0</v>
      </c>
      <c r="AO1581" s="48">
        <v>0</v>
      </c>
      <c r="AP1581" s="48">
        <v>0</v>
      </c>
      <c r="AQ1581" s="48">
        <v>0</v>
      </c>
      <c r="AR1581" s="48">
        <v>0</v>
      </c>
      <c r="AS1581" s="48">
        <v>0</v>
      </c>
      <c r="AT1581" s="48">
        <v>0</v>
      </c>
      <c r="AU1581" s="48">
        <v>0</v>
      </c>
      <c r="AV1581" s="48">
        <v>0</v>
      </c>
      <c r="AW1581" s="48">
        <v>0</v>
      </c>
      <c r="AX1581" s="48">
        <v>0</v>
      </c>
      <c r="AY1581" s="48">
        <v>0</v>
      </c>
      <c r="AZ1581" s="48">
        <v>0</v>
      </c>
      <c r="BA1581" s="48">
        <v>0</v>
      </c>
      <c r="BB1581" s="48">
        <v>0</v>
      </c>
    </row>
    <row r="1582" spans="1:54" x14ac:dyDescent="0.35">
      <c r="A1582" s="49"/>
      <c r="C1582" s="50"/>
      <c r="G1582" s="49"/>
      <c r="R1582" s="49"/>
      <c r="S1582" s="49"/>
      <c r="T1582" s="49"/>
      <c r="U1582" s="49"/>
      <c r="V1582" s="49"/>
      <c r="W1582" s="49"/>
      <c r="AA1582" s="156"/>
      <c r="AG1582" s="49"/>
    </row>
    <row r="1583" spans="1:54" x14ac:dyDescent="0.35">
      <c r="A1583" s="49"/>
      <c r="C1583" s="50"/>
      <c r="G1583" s="49"/>
      <c r="R1583" s="49"/>
      <c r="S1583" s="49"/>
      <c r="T1583" s="49"/>
      <c r="U1583" s="49"/>
      <c r="V1583" s="49"/>
      <c r="W1583" s="49"/>
      <c r="AA1583" s="156"/>
      <c r="AG1583" s="49"/>
    </row>
    <row r="1584" spans="1:54" x14ac:dyDescent="0.35">
      <c r="A1584" s="49"/>
      <c r="C1584" s="50"/>
      <c r="G1584" s="49"/>
      <c r="R1584" s="49"/>
      <c r="S1584" s="49"/>
      <c r="T1584" s="49"/>
      <c r="U1584" s="49"/>
      <c r="V1584" s="49"/>
      <c r="W1584" s="49"/>
      <c r="AA1584" s="156"/>
      <c r="AG1584" s="49"/>
    </row>
    <row r="1585" spans="1:33" x14ac:dyDescent="0.35">
      <c r="A1585" s="49"/>
      <c r="C1585" s="50"/>
      <c r="G1585" s="49"/>
      <c r="R1585" s="49"/>
      <c r="S1585" s="49"/>
      <c r="T1585" s="49"/>
      <c r="U1585" s="49"/>
      <c r="V1585" s="49"/>
      <c r="W1585" s="49"/>
      <c r="AA1585" s="156"/>
      <c r="AG1585" s="49"/>
    </row>
    <row r="1586" spans="1:33" x14ac:dyDescent="0.35">
      <c r="A1586" s="49"/>
      <c r="C1586" s="50"/>
      <c r="G1586" s="49"/>
      <c r="R1586" s="49"/>
      <c r="S1586" s="49"/>
      <c r="T1586" s="49"/>
      <c r="U1586" s="49"/>
      <c r="V1586" s="49"/>
      <c r="W1586" s="49"/>
      <c r="AA1586" s="156"/>
      <c r="AG1586" s="49"/>
    </row>
    <row r="1587" spans="1:33" x14ac:dyDescent="0.35">
      <c r="A1587" s="49"/>
      <c r="C1587" s="50"/>
      <c r="G1587" s="49"/>
      <c r="R1587" s="49"/>
      <c r="S1587" s="49"/>
      <c r="T1587" s="49"/>
      <c r="U1587" s="49"/>
      <c r="V1587" s="49"/>
      <c r="W1587" s="49"/>
      <c r="AA1587" s="156"/>
      <c r="AG1587" s="49"/>
    </row>
    <row r="1588" spans="1:33" x14ac:dyDescent="0.35">
      <c r="A1588" s="49"/>
      <c r="C1588" s="50"/>
      <c r="G1588" s="49"/>
      <c r="R1588" s="49"/>
      <c r="S1588" s="49"/>
      <c r="T1588" s="49"/>
      <c r="U1588" s="49"/>
      <c r="V1588" s="49"/>
      <c r="W1588" s="49"/>
      <c r="AA1588" s="156"/>
      <c r="AG1588" s="49"/>
    </row>
    <row r="1589" spans="1:33" x14ac:dyDescent="0.35">
      <c r="A1589" s="49"/>
      <c r="C1589" s="50"/>
      <c r="G1589" s="49"/>
      <c r="R1589" s="49"/>
      <c r="S1589" s="49"/>
      <c r="T1589" s="49"/>
      <c r="U1589" s="49"/>
      <c r="V1589" s="49"/>
      <c r="W1589" s="49"/>
      <c r="AA1589" s="156"/>
      <c r="AG1589" s="49"/>
    </row>
    <row r="1590" spans="1:33" x14ac:dyDescent="0.35">
      <c r="A1590" s="49"/>
      <c r="C1590" s="50"/>
      <c r="G1590" s="49"/>
      <c r="R1590" s="49"/>
      <c r="S1590" s="49"/>
      <c r="T1590" s="49"/>
      <c r="U1590" s="49"/>
      <c r="V1590" s="49"/>
      <c r="W1590" s="49"/>
      <c r="AA1590" s="156"/>
      <c r="AG1590" s="49"/>
    </row>
    <row r="1591" spans="1:33" x14ac:dyDescent="0.35">
      <c r="A1591" s="49"/>
      <c r="C1591" s="50"/>
      <c r="G1591" s="49"/>
      <c r="R1591" s="49"/>
      <c r="S1591" s="49"/>
      <c r="T1591" s="49"/>
      <c r="U1591" s="49"/>
      <c r="V1591" s="49"/>
      <c r="W1591" s="49"/>
      <c r="AA1591" s="156"/>
      <c r="AG1591" s="49"/>
    </row>
    <row r="1592" spans="1:33" x14ac:dyDescent="0.35">
      <c r="A1592" s="49"/>
      <c r="C1592" s="50"/>
      <c r="G1592" s="49"/>
      <c r="R1592" s="49"/>
      <c r="S1592" s="49"/>
      <c r="T1592" s="49"/>
      <c r="U1592" s="49"/>
      <c r="V1592" s="49"/>
      <c r="W1592" s="49"/>
      <c r="AA1592" s="156"/>
      <c r="AG1592" s="49"/>
    </row>
    <row r="1593" spans="1:33" x14ac:dyDescent="0.35">
      <c r="A1593" s="49"/>
      <c r="C1593" s="50"/>
      <c r="G1593" s="49"/>
      <c r="R1593" s="49"/>
      <c r="S1593" s="49"/>
      <c r="T1593" s="49"/>
      <c r="U1593" s="49"/>
      <c r="V1593" s="49"/>
      <c r="W1593" s="49"/>
      <c r="AA1593" s="156"/>
      <c r="AG1593" s="49"/>
    </row>
    <row r="1594" spans="1:33" x14ac:dyDescent="0.35">
      <c r="A1594" s="49"/>
      <c r="C1594" s="50"/>
      <c r="G1594" s="49"/>
      <c r="R1594" s="49"/>
      <c r="S1594" s="49"/>
      <c r="T1594" s="49"/>
      <c r="U1594" s="49"/>
      <c r="V1594" s="49"/>
      <c r="W1594" s="49"/>
      <c r="AA1594" s="156"/>
      <c r="AG1594" s="49"/>
    </row>
    <row r="1595" spans="1:33" x14ac:dyDescent="0.35">
      <c r="A1595" s="49"/>
      <c r="C1595" s="50"/>
      <c r="G1595" s="49"/>
      <c r="R1595" s="49"/>
      <c r="S1595" s="49"/>
      <c r="T1595" s="49"/>
      <c r="U1595" s="49"/>
      <c r="V1595" s="49"/>
      <c r="W1595" s="49"/>
      <c r="AA1595" s="156"/>
      <c r="AG1595" s="49"/>
    </row>
    <row r="1596" spans="1:33" x14ac:dyDescent="0.35">
      <c r="A1596" s="49"/>
      <c r="C1596" s="50"/>
      <c r="G1596" s="49"/>
      <c r="R1596" s="49"/>
      <c r="S1596" s="49"/>
      <c r="T1596" s="49"/>
      <c r="U1596" s="49"/>
      <c r="V1596" s="49"/>
      <c r="W1596" s="49"/>
      <c r="AA1596" s="156"/>
      <c r="AG1596" s="49"/>
    </row>
    <row r="1597" spans="1:33" x14ac:dyDescent="0.35">
      <c r="A1597" s="49"/>
      <c r="C1597" s="50"/>
      <c r="G1597" s="49"/>
      <c r="R1597" s="49"/>
      <c r="S1597" s="49"/>
      <c r="T1597" s="49"/>
      <c r="U1597" s="49"/>
      <c r="V1597" s="49"/>
      <c r="W1597" s="49"/>
      <c r="AA1597" s="156"/>
      <c r="AG1597" s="49"/>
    </row>
    <row r="1598" spans="1:33" x14ac:dyDescent="0.35">
      <c r="A1598" s="49"/>
      <c r="C1598" s="50"/>
      <c r="G1598" s="49"/>
      <c r="R1598" s="49"/>
      <c r="S1598" s="49"/>
      <c r="T1598" s="49"/>
      <c r="U1598" s="49"/>
      <c r="V1598" s="49"/>
      <c r="W1598" s="49"/>
      <c r="AA1598" s="156"/>
      <c r="AG1598" s="49"/>
    </row>
    <row r="1599" spans="1:33" x14ac:dyDescent="0.35">
      <c r="A1599" s="49"/>
      <c r="C1599" s="50"/>
      <c r="G1599" s="49"/>
      <c r="R1599" s="49"/>
      <c r="S1599" s="49"/>
      <c r="T1599" s="49"/>
      <c r="U1599" s="49"/>
      <c r="V1599" s="49"/>
      <c r="W1599" s="49"/>
      <c r="AA1599" s="156"/>
      <c r="AG1599" s="49"/>
    </row>
    <row r="1600" spans="1:33" x14ac:dyDescent="0.35">
      <c r="A1600" s="49"/>
      <c r="C1600" s="50"/>
      <c r="G1600" s="49"/>
      <c r="R1600" s="49"/>
      <c r="S1600" s="49"/>
      <c r="T1600" s="49"/>
      <c r="U1600" s="49"/>
      <c r="V1600" s="49"/>
      <c r="W1600" s="49"/>
      <c r="AA1600" s="156"/>
      <c r="AG1600" s="49"/>
    </row>
    <row r="1601" spans="1:33" x14ac:dyDescent="0.35">
      <c r="A1601" s="49"/>
      <c r="C1601" s="50"/>
      <c r="G1601" s="49"/>
      <c r="R1601" s="49"/>
      <c r="S1601" s="49"/>
      <c r="T1601" s="49"/>
      <c r="U1601" s="49"/>
      <c r="V1601" s="49"/>
      <c r="W1601" s="49"/>
      <c r="AA1601" s="156"/>
      <c r="AG1601" s="49"/>
    </row>
    <row r="1602" spans="1:33" x14ac:dyDescent="0.35">
      <c r="A1602" s="49"/>
      <c r="C1602" s="50"/>
      <c r="G1602" s="49"/>
      <c r="R1602" s="49"/>
      <c r="S1602" s="49"/>
      <c r="T1602" s="49"/>
      <c r="U1602" s="49"/>
      <c r="V1602" s="49"/>
      <c r="W1602" s="49"/>
      <c r="AA1602" s="156"/>
      <c r="AG1602" s="49"/>
    </row>
    <row r="1603" spans="1:33" x14ac:dyDescent="0.35">
      <c r="A1603" s="49"/>
      <c r="C1603" s="50"/>
      <c r="G1603" s="49"/>
      <c r="R1603" s="49"/>
      <c r="S1603" s="49"/>
      <c r="T1603" s="49"/>
      <c r="U1603" s="49"/>
      <c r="V1603" s="49"/>
      <c r="W1603" s="49"/>
      <c r="AA1603" s="156"/>
      <c r="AG1603" s="49"/>
    </row>
    <row r="1604" spans="1:33" x14ac:dyDescent="0.35">
      <c r="A1604" s="49"/>
      <c r="C1604" s="50"/>
      <c r="G1604" s="49"/>
      <c r="R1604" s="49"/>
      <c r="S1604" s="49"/>
      <c r="T1604" s="49"/>
      <c r="U1604" s="49"/>
      <c r="V1604" s="49"/>
      <c r="W1604" s="49"/>
      <c r="AA1604" s="156"/>
      <c r="AG1604" s="49"/>
    </row>
    <row r="1605" spans="1:33" x14ac:dyDescent="0.35">
      <c r="A1605" s="49"/>
      <c r="C1605" s="50"/>
      <c r="G1605" s="49"/>
      <c r="R1605" s="49"/>
      <c r="S1605" s="49"/>
      <c r="T1605" s="49"/>
      <c r="U1605" s="49"/>
      <c r="V1605" s="49"/>
      <c r="W1605" s="49"/>
      <c r="AA1605" s="156"/>
      <c r="AG1605" s="49"/>
    </row>
    <row r="1606" spans="1:33" x14ac:dyDescent="0.35">
      <c r="A1606" s="49"/>
      <c r="C1606" s="50"/>
      <c r="G1606" s="49"/>
      <c r="R1606" s="49"/>
      <c r="S1606" s="49"/>
      <c r="T1606" s="49"/>
      <c r="U1606" s="49"/>
      <c r="V1606" s="49"/>
      <c r="W1606" s="49"/>
      <c r="AA1606" s="156"/>
      <c r="AG1606" s="49"/>
    </row>
    <row r="1607" spans="1:33" x14ac:dyDescent="0.35">
      <c r="A1607" s="49"/>
      <c r="C1607" s="50"/>
      <c r="G1607" s="49"/>
      <c r="R1607" s="49"/>
      <c r="S1607" s="49"/>
      <c r="T1607" s="49"/>
      <c r="U1607" s="49"/>
      <c r="V1607" s="49"/>
      <c r="W1607" s="49"/>
      <c r="AA1607" s="156"/>
      <c r="AG1607" s="49"/>
    </row>
    <row r="1608" spans="1:33" x14ac:dyDescent="0.35">
      <c r="A1608" s="49"/>
      <c r="C1608" s="50"/>
      <c r="G1608" s="49"/>
      <c r="R1608" s="49"/>
      <c r="S1608" s="49"/>
      <c r="T1608" s="49"/>
      <c r="U1608" s="49"/>
      <c r="V1608" s="49"/>
      <c r="W1608" s="49"/>
      <c r="AA1608" s="156"/>
      <c r="AG1608" s="49"/>
    </row>
    <row r="1609" spans="1:33" x14ac:dyDescent="0.35">
      <c r="A1609" s="49"/>
      <c r="C1609" s="50"/>
      <c r="G1609" s="49"/>
      <c r="R1609" s="49"/>
      <c r="S1609" s="49"/>
      <c r="T1609" s="49"/>
      <c r="U1609" s="49"/>
      <c r="V1609" s="49"/>
      <c r="W1609" s="49"/>
      <c r="AA1609" s="156"/>
      <c r="AG1609" s="49"/>
    </row>
    <row r="1610" spans="1:33" x14ac:dyDescent="0.35">
      <c r="A1610" s="49"/>
      <c r="C1610" s="50"/>
      <c r="G1610" s="49"/>
      <c r="R1610" s="49"/>
      <c r="S1610" s="49"/>
      <c r="T1610" s="49"/>
      <c r="U1610" s="49"/>
      <c r="V1610" s="49"/>
      <c r="W1610" s="49"/>
      <c r="AA1610" s="156"/>
      <c r="AG1610" s="49"/>
    </row>
    <row r="1611" spans="1:33" x14ac:dyDescent="0.35">
      <c r="A1611" s="49"/>
      <c r="C1611" s="50"/>
      <c r="G1611" s="49"/>
      <c r="R1611" s="49"/>
      <c r="S1611" s="49"/>
      <c r="T1611" s="49"/>
      <c r="U1611" s="49"/>
      <c r="V1611" s="49"/>
      <c r="W1611" s="49"/>
      <c r="AA1611" s="156"/>
      <c r="AG1611" s="49"/>
    </row>
    <row r="1612" spans="1:33" x14ac:dyDescent="0.35">
      <c r="A1612" s="49"/>
      <c r="C1612" s="50"/>
      <c r="G1612" s="49"/>
      <c r="R1612" s="49"/>
      <c r="S1612" s="49"/>
      <c r="T1612" s="49"/>
      <c r="U1612" s="49"/>
      <c r="V1612" s="49"/>
      <c r="W1612" s="49"/>
      <c r="AA1612" s="156"/>
      <c r="AG1612" s="49"/>
    </row>
    <row r="1613" spans="1:33" x14ac:dyDescent="0.35">
      <c r="A1613" s="49"/>
      <c r="C1613" s="50"/>
      <c r="G1613" s="49"/>
      <c r="R1613" s="49"/>
      <c r="S1613" s="49"/>
      <c r="T1613" s="49"/>
      <c r="U1613" s="49"/>
      <c r="V1613" s="49"/>
      <c r="W1613" s="49"/>
      <c r="AA1613" s="156"/>
      <c r="AG1613" s="49"/>
    </row>
    <row r="1614" spans="1:33" x14ac:dyDescent="0.35">
      <c r="A1614" s="49"/>
      <c r="C1614" s="50"/>
      <c r="G1614" s="49"/>
      <c r="R1614" s="49"/>
      <c r="S1614" s="49"/>
      <c r="T1614" s="49"/>
      <c r="U1614" s="49"/>
      <c r="V1614" s="49"/>
      <c r="W1614" s="49"/>
      <c r="AA1614" s="156"/>
      <c r="AG1614" s="49"/>
    </row>
    <row r="1615" spans="1:33" x14ac:dyDescent="0.35">
      <c r="A1615" s="49"/>
      <c r="C1615" s="50"/>
      <c r="G1615" s="49"/>
      <c r="R1615" s="49"/>
      <c r="S1615" s="49"/>
      <c r="T1615" s="49"/>
      <c r="U1615" s="49"/>
      <c r="V1615" s="49"/>
      <c r="W1615" s="49"/>
      <c r="AA1615" s="156"/>
      <c r="AG1615" s="49"/>
    </row>
    <row r="1616" spans="1:33" x14ac:dyDescent="0.35">
      <c r="A1616" s="49"/>
      <c r="C1616" s="50"/>
      <c r="G1616" s="49"/>
      <c r="R1616" s="49"/>
      <c r="S1616" s="49"/>
      <c r="T1616" s="49"/>
      <c r="U1616" s="49"/>
      <c r="V1616" s="49"/>
      <c r="W1616" s="49"/>
      <c r="AA1616" s="156"/>
      <c r="AG1616" s="49"/>
    </row>
    <row r="1617" spans="1:33" x14ac:dyDescent="0.35">
      <c r="A1617" s="49"/>
      <c r="C1617" s="50"/>
      <c r="G1617" s="49"/>
      <c r="R1617" s="49"/>
      <c r="S1617" s="49"/>
      <c r="T1617" s="49"/>
      <c r="U1617" s="49"/>
      <c r="V1617" s="49"/>
      <c r="W1617" s="49"/>
      <c r="AA1617" s="156"/>
      <c r="AG1617" s="49"/>
    </row>
    <row r="1618" spans="1:33" x14ac:dyDescent="0.35">
      <c r="A1618" s="49"/>
      <c r="C1618" s="50"/>
      <c r="G1618" s="49"/>
      <c r="R1618" s="49"/>
      <c r="S1618" s="49"/>
      <c r="T1618" s="49"/>
      <c r="U1618" s="49"/>
      <c r="V1618" s="49"/>
      <c r="W1618" s="49"/>
      <c r="AA1618" s="156"/>
      <c r="AG1618" s="49"/>
    </row>
    <row r="1619" spans="1:33" x14ac:dyDescent="0.35">
      <c r="A1619" s="49"/>
      <c r="C1619" s="50"/>
      <c r="G1619" s="49"/>
      <c r="R1619" s="49"/>
      <c r="S1619" s="49"/>
      <c r="T1619" s="49"/>
      <c r="U1619" s="49"/>
      <c r="V1619" s="49"/>
      <c r="W1619" s="49"/>
      <c r="AA1619" s="156"/>
      <c r="AG1619" s="49"/>
    </row>
    <row r="1620" spans="1:33" x14ac:dyDescent="0.35">
      <c r="A1620" s="49"/>
      <c r="C1620" s="50"/>
      <c r="G1620" s="49"/>
      <c r="R1620" s="49"/>
      <c r="S1620" s="49"/>
      <c r="T1620" s="49"/>
      <c r="U1620" s="49"/>
      <c r="V1620" s="49"/>
      <c r="W1620" s="49"/>
      <c r="AA1620" s="156"/>
      <c r="AG1620" s="49"/>
    </row>
    <row r="1621" spans="1:33" x14ac:dyDescent="0.35">
      <c r="A1621" s="49"/>
      <c r="C1621" s="50"/>
      <c r="G1621" s="49"/>
      <c r="R1621" s="49"/>
      <c r="S1621" s="49"/>
      <c r="T1621" s="49"/>
      <c r="U1621" s="49"/>
      <c r="V1621" s="49"/>
      <c r="W1621" s="49"/>
      <c r="AA1621" s="156"/>
      <c r="AG1621" s="49"/>
    </row>
    <row r="1622" spans="1:33" x14ac:dyDescent="0.35">
      <c r="A1622" s="49"/>
      <c r="C1622" s="50"/>
      <c r="G1622" s="49"/>
      <c r="R1622" s="49"/>
      <c r="S1622" s="49"/>
      <c r="T1622" s="49"/>
      <c r="U1622" s="49"/>
      <c r="V1622" s="49"/>
      <c r="W1622" s="49"/>
      <c r="AA1622" s="156"/>
      <c r="AG1622" s="49"/>
    </row>
    <row r="1623" spans="1:33" x14ac:dyDescent="0.35">
      <c r="A1623" s="49"/>
      <c r="C1623" s="50"/>
      <c r="G1623" s="49"/>
      <c r="R1623" s="49"/>
      <c r="S1623" s="49"/>
      <c r="T1623" s="49"/>
      <c r="U1623" s="49"/>
      <c r="V1623" s="49"/>
      <c r="W1623" s="49"/>
      <c r="AA1623" s="156"/>
      <c r="AG1623" s="49"/>
    </row>
    <row r="1624" spans="1:33" x14ac:dyDescent="0.35">
      <c r="A1624" s="49"/>
      <c r="C1624" s="50"/>
      <c r="G1624" s="49"/>
      <c r="R1624" s="49"/>
      <c r="S1624" s="49"/>
      <c r="T1624" s="49"/>
      <c r="U1624" s="49"/>
      <c r="V1624" s="49"/>
      <c r="W1624" s="49"/>
      <c r="AA1624" s="156"/>
      <c r="AG1624" s="49"/>
    </row>
    <row r="1625" spans="1:33" x14ac:dyDescent="0.35">
      <c r="A1625" s="49"/>
      <c r="C1625" s="50"/>
      <c r="G1625" s="49"/>
      <c r="R1625" s="49"/>
      <c r="S1625" s="49"/>
      <c r="T1625" s="49"/>
      <c r="U1625" s="49"/>
      <c r="V1625" s="49"/>
      <c r="W1625" s="49"/>
      <c r="AA1625" s="156"/>
      <c r="AG1625" s="49"/>
    </row>
    <row r="1626" spans="1:33" x14ac:dyDescent="0.35">
      <c r="A1626" s="49"/>
      <c r="C1626" s="50"/>
      <c r="G1626" s="49"/>
      <c r="R1626" s="49"/>
      <c r="S1626" s="49"/>
      <c r="T1626" s="49"/>
      <c r="U1626" s="49"/>
      <c r="V1626" s="49"/>
      <c r="W1626" s="49"/>
      <c r="AA1626" s="156"/>
      <c r="AG1626" s="49"/>
    </row>
    <row r="1627" spans="1:33" x14ac:dyDescent="0.35">
      <c r="A1627" s="49"/>
      <c r="C1627" s="50"/>
      <c r="G1627" s="49"/>
      <c r="R1627" s="49"/>
      <c r="S1627" s="49"/>
      <c r="T1627" s="49"/>
      <c r="U1627" s="49"/>
      <c r="V1627" s="49"/>
      <c r="W1627" s="49"/>
      <c r="AA1627" s="156"/>
      <c r="AG1627" s="49"/>
    </row>
    <row r="1628" spans="1:33" x14ac:dyDescent="0.35">
      <c r="A1628" s="49"/>
      <c r="C1628" s="50"/>
      <c r="G1628" s="49"/>
      <c r="R1628" s="49"/>
      <c r="S1628" s="49"/>
      <c r="T1628" s="49"/>
      <c r="U1628" s="49"/>
      <c r="V1628" s="49"/>
      <c r="W1628" s="49"/>
      <c r="AA1628" s="156"/>
      <c r="AG1628" s="49"/>
    </row>
    <row r="1629" spans="1:33" x14ac:dyDescent="0.35">
      <c r="A1629" s="49"/>
      <c r="C1629" s="50"/>
      <c r="G1629" s="49"/>
      <c r="R1629" s="49"/>
      <c r="S1629" s="49"/>
      <c r="T1629" s="49"/>
      <c r="U1629" s="49"/>
      <c r="V1629" s="49"/>
      <c r="W1629" s="49"/>
      <c r="AA1629" s="156"/>
      <c r="AG1629" s="49"/>
    </row>
    <row r="1630" spans="1:33" x14ac:dyDescent="0.35">
      <c r="A1630" s="49"/>
      <c r="C1630" s="50"/>
      <c r="G1630" s="49"/>
      <c r="R1630" s="49"/>
      <c r="S1630" s="49"/>
      <c r="T1630" s="49"/>
      <c r="U1630" s="49"/>
      <c r="V1630" s="49"/>
      <c r="W1630" s="49"/>
      <c r="AA1630" s="156"/>
      <c r="AG1630" s="49"/>
    </row>
    <row r="1631" spans="1:33" x14ac:dyDescent="0.35">
      <c r="A1631" s="49"/>
      <c r="C1631" s="50"/>
      <c r="G1631" s="49"/>
      <c r="R1631" s="49"/>
      <c r="S1631" s="49"/>
      <c r="T1631" s="49"/>
      <c r="U1631" s="49"/>
      <c r="V1631" s="49"/>
      <c r="W1631" s="49"/>
      <c r="AA1631" s="156"/>
      <c r="AG1631" s="49"/>
    </row>
    <row r="1632" spans="1:33" x14ac:dyDescent="0.35">
      <c r="A1632" s="49"/>
      <c r="C1632" s="50"/>
      <c r="G1632" s="49"/>
      <c r="R1632" s="49"/>
      <c r="S1632" s="49"/>
      <c r="T1632" s="49"/>
      <c r="U1632" s="49"/>
      <c r="V1632" s="49"/>
      <c r="W1632" s="49"/>
      <c r="AA1632" s="156"/>
      <c r="AG1632" s="49"/>
    </row>
    <row r="1633" spans="1:33" x14ac:dyDescent="0.35">
      <c r="A1633" s="49"/>
      <c r="C1633" s="50"/>
      <c r="G1633" s="49"/>
      <c r="R1633" s="49"/>
      <c r="S1633" s="49"/>
      <c r="T1633" s="49"/>
      <c r="U1633" s="49"/>
      <c r="V1633" s="49"/>
      <c r="W1633" s="49"/>
      <c r="AA1633" s="156"/>
      <c r="AG1633" s="49"/>
    </row>
    <row r="1634" spans="1:33" x14ac:dyDescent="0.35">
      <c r="A1634" s="49"/>
      <c r="C1634" s="50"/>
      <c r="G1634" s="49"/>
      <c r="R1634" s="49"/>
      <c r="S1634" s="49"/>
      <c r="T1634" s="49"/>
      <c r="U1634" s="49"/>
      <c r="V1634" s="49"/>
      <c r="W1634" s="49"/>
      <c r="AA1634" s="156"/>
      <c r="AG1634" s="49"/>
    </row>
    <row r="1635" spans="1:33" x14ac:dyDescent="0.35">
      <c r="A1635" s="49"/>
      <c r="C1635" s="50"/>
      <c r="G1635" s="49"/>
      <c r="R1635" s="49"/>
      <c r="S1635" s="49"/>
      <c r="T1635" s="49"/>
      <c r="U1635" s="49"/>
      <c r="V1635" s="49"/>
      <c r="W1635" s="49"/>
      <c r="AA1635" s="156"/>
      <c r="AG1635" s="49"/>
    </row>
    <row r="1636" spans="1:33" x14ac:dyDescent="0.35">
      <c r="A1636" s="49"/>
      <c r="C1636" s="50"/>
      <c r="G1636" s="49"/>
      <c r="R1636" s="49"/>
      <c r="S1636" s="49"/>
      <c r="T1636" s="49"/>
      <c r="U1636" s="49"/>
      <c r="V1636" s="49"/>
      <c r="W1636" s="49"/>
      <c r="AA1636" s="156"/>
      <c r="AG1636" s="49"/>
    </row>
    <row r="1637" spans="1:33" x14ac:dyDescent="0.35">
      <c r="A1637" s="49"/>
      <c r="C1637" s="50"/>
      <c r="G1637" s="49"/>
      <c r="R1637" s="49"/>
      <c r="S1637" s="49"/>
      <c r="T1637" s="49"/>
      <c r="U1637" s="49"/>
      <c r="V1637" s="49"/>
      <c r="W1637" s="49"/>
      <c r="AA1637" s="156"/>
      <c r="AG1637" s="49"/>
    </row>
    <row r="1638" spans="1:33" x14ac:dyDescent="0.35">
      <c r="A1638" s="49"/>
      <c r="C1638" s="50"/>
      <c r="G1638" s="49"/>
      <c r="R1638" s="49"/>
      <c r="S1638" s="49"/>
      <c r="T1638" s="49"/>
      <c r="U1638" s="49"/>
      <c r="V1638" s="49"/>
      <c r="W1638" s="49"/>
      <c r="AA1638" s="156"/>
      <c r="AG1638" s="49"/>
    </row>
    <row r="1639" spans="1:33" x14ac:dyDescent="0.35">
      <c r="A1639" s="49"/>
      <c r="C1639" s="50"/>
      <c r="G1639" s="49"/>
      <c r="R1639" s="49"/>
      <c r="S1639" s="49"/>
      <c r="T1639" s="49"/>
      <c r="U1639" s="49"/>
      <c r="V1639" s="49"/>
      <c r="W1639" s="49"/>
      <c r="AA1639" s="156"/>
      <c r="AG1639" s="49"/>
    </row>
    <row r="1640" spans="1:33" x14ac:dyDescent="0.35">
      <c r="A1640" s="49"/>
      <c r="C1640" s="50"/>
      <c r="G1640" s="49"/>
      <c r="R1640" s="49"/>
      <c r="S1640" s="49"/>
      <c r="T1640" s="49"/>
      <c r="U1640" s="49"/>
      <c r="V1640" s="49"/>
      <c r="W1640" s="49"/>
      <c r="AA1640" s="156"/>
      <c r="AG1640" s="49"/>
    </row>
    <row r="1641" spans="1:33" x14ac:dyDescent="0.35">
      <c r="A1641" s="49"/>
      <c r="C1641" s="50"/>
      <c r="G1641" s="49"/>
      <c r="R1641" s="49"/>
      <c r="S1641" s="49"/>
      <c r="T1641" s="49"/>
      <c r="U1641" s="49"/>
      <c r="V1641" s="49"/>
      <c r="W1641" s="49"/>
      <c r="AA1641" s="156"/>
      <c r="AG1641" s="49"/>
    </row>
    <row r="1642" spans="1:33" x14ac:dyDescent="0.35">
      <c r="A1642" s="49"/>
      <c r="C1642" s="50"/>
      <c r="G1642" s="49"/>
      <c r="R1642" s="49"/>
      <c r="S1642" s="49"/>
      <c r="T1642" s="49"/>
      <c r="U1642" s="49"/>
      <c r="V1642" s="49"/>
      <c r="W1642" s="49"/>
      <c r="AA1642" s="156"/>
      <c r="AG1642" s="49"/>
    </row>
    <row r="1643" spans="1:33" x14ac:dyDescent="0.35">
      <c r="A1643" s="49"/>
      <c r="C1643" s="50"/>
      <c r="G1643" s="49"/>
      <c r="R1643" s="49"/>
      <c r="S1643" s="49"/>
      <c r="T1643" s="49"/>
      <c r="U1643" s="49"/>
      <c r="V1643" s="49"/>
      <c r="W1643" s="49"/>
      <c r="AA1643" s="156"/>
      <c r="AG1643" s="49"/>
    </row>
    <row r="1644" spans="1:33" x14ac:dyDescent="0.35">
      <c r="A1644" s="49"/>
      <c r="C1644" s="50"/>
      <c r="G1644" s="49"/>
      <c r="R1644" s="49"/>
      <c r="S1644" s="49"/>
      <c r="T1644" s="49"/>
      <c r="U1644" s="49"/>
      <c r="V1644" s="49"/>
      <c r="W1644" s="49"/>
      <c r="AA1644" s="156"/>
      <c r="AG1644" s="49"/>
    </row>
    <row r="1645" spans="1:33" x14ac:dyDescent="0.35">
      <c r="A1645" s="49"/>
      <c r="C1645" s="50"/>
      <c r="G1645" s="49"/>
      <c r="R1645" s="49"/>
      <c r="S1645" s="49"/>
      <c r="T1645" s="49"/>
      <c r="U1645" s="49"/>
      <c r="V1645" s="49"/>
      <c r="W1645" s="49"/>
      <c r="AA1645" s="156"/>
      <c r="AG1645" s="49"/>
    </row>
    <row r="1646" spans="1:33" x14ac:dyDescent="0.35">
      <c r="A1646" s="49"/>
      <c r="C1646" s="50"/>
      <c r="G1646" s="49"/>
      <c r="R1646" s="49"/>
      <c r="S1646" s="49"/>
      <c r="T1646" s="49"/>
      <c r="U1646" s="49"/>
      <c r="V1646" s="49"/>
      <c r="W1646" s="49"/>
      <c r="AA1646" s="156"/>
      <c r="AG1646" s="49"/>
    </row>
    <row r="1647" spans="1:33" x14ac:dyDescent="0.35">
      <c r="A1647" s="49"/>
      <c r="C1647" s="50"/>
      <c r="G1647" s="49"/>
      <c r="R1647" s="49"/>
      <c r="S1647" s="49"/>
      <c r="T1647" s="49"/>
      <c r="U1647" s="49"/>
      <c r="V1647" s="49"/>
      <c r="W1647" s="49"/>
      <c r="AA1647" s="156"/>
      <c r="AG1647" s="49"/>
    </row>
    <row r="1648" spans="1:33" x14ac:dyDescent="0.35">
      <c r="A1648" s="49"/>
      <c r="C1648" s="50"/>
      <c r="G1648" s="49"/>
      <c r="R1648" s="49"/>
      <c r="S1648" s="49"/>
      <c r="T1648" s="49"/>
      <c r="U1648" s="49"/>
      <c r="V1648" s="49"/>
      <c r="W1648" s="49"/>
      <c r="AA1648" s="156"/>
      <c r="AG1648" s="49"/>
    </row>
    <row r="1649" spans="1:33" x14ac:dyDescent="0.35">
      <c r="A1649" s="49"/>
      <c r="C1649" s="50"/>
      <c r="G1649" s="49"/>
      <c r="R1649" s="49"/>
      <c r="S1649" s="49"/>
      <c r="T1649" s="49"/>
      <c r="U1649" s="49"/>
      <c r="V1649" s="49"/>
      <c r="W1649" s="49"/>
      <c r="AA1649" s="156"/>
      <c r="AG1649" s="49"/>
    </row>
    <row r="1650" spans="1:33" x14ac:dyDescent="0.35">
      <c r="A1650" s="49"/>
      <c r="C1650" s="50"/>
      <c r="G1650" s="49"/>
      <c r="R1650" s="49"/>
      <c r="S1650" s="49"/>
      <c r="T1650" s="49"/>
      <c r="U1650" s="49"/>
      <c r="V1650" s="49"/>
      <c r="W1650" s="49"/>
      <c r="AA1650" s="156"/>
      <c r="AG1650" s="49"/>
    </row>
    <row r="1651" spans="1:33" x14ac:dyDescent="0.35">
      <c r="A1651" s="49"/>
      <c r="C1651" s="50"/>
      <c r="G1651" s="49"/>
      <c r="R1651" s="49"/>
      <c r="S1651" s="49"/>
      <c r="T1651" s="49"/>
      <c r="U1651" s="49"/>
      <c r="V1651" s="49"/>
      <c r="W1651" s="49"/>
      <c r="AA1651" s="156"/>
      <c r="AG1651" s="49"/>
    </row>
    <row r="1652" spans="1:33" x14ac:dyDescent="0.35">
      <c r="A1652" s="49"/>
      <c r="C1652" s="50"/>
      <c r="G1652" s="49"/>
      <c r="R1652" s="49"/>
      <c r="S1652" s="49"/>
      <c r="T1652" s="49"/>
      <c r="U1652" s="49"/>
      <c r="V1652" s="49"/>
      <c r="W1652" s="49"/>
      <c r="AA1652" s="156"/>
      <c r="AG1652" s="49"/>
    </row>
    <row r="1653" spans="1:33" x14ac:dyDescent="0.35">
      <c r="A1653" s="49"/>
      <c r="C1653" s="50"/>
      <c r="G1653" s="49"/>
      <c r="R1653" s="49"/>
      <c r="S1653" s="49"/>
      <c r="T1653" s="49"/>
      <c r="U1653" s="49"/>
      <c r="V1653" s="49"/>
      <c r="W1653" s="49"/>
      <c r="AA1653" s="156"/>
      <c r="AG1653" s="49"/>
    </row>
    <row r="1654" spans="1:33" x14ac:dyDescent="0.35">
      <c r="A1654" s="49"/>
      <c r="C1654" s="50"/>
      <c r="G1654" s="49"/>
      <c r="R1654" s="49"/>
      <c r="S1654" s="49"/>
      <c r="T1654" s="49"/>
      <c r="U1654" s="49"/>
      <c r="V1654" s="49"/>
      <c r="W1654" s="49"/>
      <c r="AA1654" s="156"/>
      <c r="AG1654" s="49"/>
    </row>
    <row r="1655" spans="1:33" x14ac:dyDescent="0.35">
      <c r="A1655" s="49"/>
      <c r="C1655" s="50"/>
      <c r="G1655" s="49"/>
      <c r="R1655" s="49"/>
      <c r="S1655" s="49"/>
      <c r="T1655" s="49"/>
      <c r="U1655" s="49"/>
      <c r="V1655" s="49"/>
      <c r="W1655" s="49"/>
      <c r="AA1655" s="156"/>
      <c r="AG1655" s="49"/>
    </row>
    <row r="1656" spans="1:33" x14ac:dyDescent="0.35">
      <c r="A1656" s="49"/>
      <c r="C1656" s="50"/>
      <c r="G1656" s="49"/>
      <c r="R1656" s="49"/>
      <c r="S1656" s="49"/>
      <c r="T1656" s="49"/>
      <c r="U1656" s="49"/>
      <c r="V1656" s="49"/>
      <c r="W1656" s="49"/>
      <c r="AA1656" s="156"/>
      <c r="AG1656" s="49"/>
    </row>
    <row r="1657" spans="1:33" x14ac:dyDescent="0.35">
      <c r="A1657" s="49"/>
      <c r="C1657" s="50"/>
      <c r="G1657" s="49"/>
      <c r="R1657" s="49"/>
      <c r="S1657" s="49"/>
      <c r="T1657" s="49"/>
      <c r="U1657" s="49"/>
      <c r="V1657" s="49"/>
      <c r="W1657" s="49"/>
      <c r="AA1657" s="156"/>
      <c r="AG1657" s="49"/>
    </row>
    <row r="1658" spans="1:33" x14ac:dyDescent="0.35">
      <c r="A1658" s="49"/>
      <c r="C1658" s="50"/>
      <c r="G1658" s="49"/>
      <c r="R1658" s="49"/>
      <c r="S1658" s="49"/>
      <c r="T1658" s="49"/>
      <c r="U1658" s="49"/>
      <c r="V1658" s="49"/>
      <c r="W1658" s="49"/>
      <c r="AA1658" s="156"/>
      <c r="AG1658" s="49"/>
    </row>
    <row r="1659" spans="1:33" x14ac:dyDescent="0.35">
      <c r="A1659" s="49"/>
      <c r="C1659" s="50"/>
      <c r="G1659" s="49"/>
      <c r="R1659" s="49"/>
      <c r="S1659" s="49"/>
      <c r="T1659" s="49"/>
      <c r="U1659" s="49"/>
      <c r="V1659" s="49"/>
      <c r="W1659" s="49"/>
      <c r="AA1659" s="156"/>
      <c r="AG1659" s="49"/>
    </row>
    <row r="1660" spans="1:33" x14ac:dyDescent="0.35">
      <c r="A1660" s="49"/>
      <c r="C1660" s="50"/>
      <c r="G1660" s="49"/>
      <c r="R1660" s="49"/>
      <c r="S1660" s="49"/>
      <c r="T1660" s="49"/>
      <c r="U1660" s="49"/>
      <c r="V1660" s="49"/>
      <c r="W1660" s="49"/>
      <c r="AA1660" s="156"/>
      <c r="AG1660" s="49"/>
    </row>
    <row r="1661" spans="1:33" x14ac:dyDescent="0.35">
      <c r="A1661" s="49"/>
      <c r="C1661" s="50"/>
      <c r="G1661" s="49"/>
      <c r="R1661" s="49"/>
      <c r="S1661" s="49"/>
      <c r="T1661" s="49"/>
      <c r="U1661" s="49"/>
      <c r="V1661" s="49"/>
      <c r="W1661" s="49"/>
      <c r="AA1661" s="156"/>
      <c r="AG1661" s="49"/>
    </row>
    <row r="1662" spans="1:33" x14ac:dyDescent="0.35">
      <c r="A1662" s="49"/>
      <c r="C1662" s="50"/>
      <c r="G1662" s="49"/>
      <c r="R1662" s="49"/>
      <c r="S1662" s="49"/>
      <c r="T1662" s="49"/>
      <c r="U1662" s="49"/>
      <c r="V1662" s="49"/>
      <c r="W1662" s="49"/>
      <c r="AA1662" s="156"/>
      <c r="AG1662" s="49"/>
    </row>
    <row r="1663" spans="1:33" x14ac:dyDescent="0.35">
      <c r="A1663" s="49"/>
      <c r="C1663" s="50"/>
      <c r="G1663" s="49"/>
      <c r="R1663" s="49"/>
      <c r="S1663" s="49"/>
      <c r="T1663" s="49"/>
      <c r="U1663" s="49"/>
      <c r="V1663" s="49"/>
      <c r="W1663" s="49"/>
      <c r="AA1663" s="156"/>
      <c r="AG1663" s="49"/>
    </row>
    <row r="1664" spans="1:33" x14ac:dyDescent="0.35">
      <c r="A1664" s="49"/>
      <c r="C1664" s="50"/>
      <c r="G1664" s="49"/>
      <c r="R1664" s="49"/>
      <c r="S1664" s="49"/>
      <c r="T1664" s="49"/>
      <c r="U1664" s="49"/>
      <c r="V1664" s="49"/>
      <c r="W1664" s="49"/>
      <c r="AA1664" s="156"/>
      <c r="AG1664" s="49"/>
    </row>
    <row r="1665" spans="1:33" x14ac:dyDescent="0.35">
      <c r="A1665" s="49"/>
      <c r="C1665" s="50"/>
      <c r="G1665" s="49"/>
      <c r="R1665" s="49"/>
      <c r="S1665" s="49"/>
      <c r="T1665" s="49"/>
      <c r="U1665" s="49"/>
      <c r="V1665" s="49"/>
      <c r="W1665" s="49"/>
      <c r="AA1665" s="156"/>
      <c r="AG1665" s="49"/>
    </row>
    <row r="1666" spans="1:33" x14ac:dyDescent="0.35">
      <c r="A1666" s="49"/>
      <c r="C1666" s="50"/>
      <c r="G1666" s="49"/>
      <c r="R1666" s="49"/>
      <c r="S1666" s="49"/>
      <c r="T1666" s="49"/>
      <c r="U1666" s="49"/>
      <c r="V1666" s="49"/>
      <c r="W1666" s="49"/>
      <c r="AA1666" s="156"/>
      <c r="AG1666" s="49"/>
    </row>
    <row r="1667" spans="1:33" x14ac:dyDescent="0.35">
      <c r="A1667" s="49"/>
      <c r="C1667" s="50"/>
      <c r="G1667" s="49"/>
      <c r="R1667" s="49"/>
      <c r="S1667" s="49"/>
      <c r="T1667" s="49"/>
      <c r="U1667" s="49"/>
      <c r="V1667" s="49"/>
      <c r="W1667" s="49"/>
      <c r="AA1667" s="156"/>
      <c r="AG1667" s="49"/>
    </row>
    <row r="1668" spans="1:33" x14ac:dyDescent="0.35">
      <c r="A1668" s="49"/>
      <c r="C1668" s="50"/>
      <c r="G1668" s="49"/>
      <c r="R1668" s="49"/>
      <c r="S1668" s="49"/>
      <c r="T1668" s="49"/>
      <c r="U1668" s="49"/>
      <c r="V1668" s="49"/>
      <c r="W1668" s="49"/>
      <c r="AA1668" s="156"/>
      <c r="AG1668" s="49"/>
    </row>
    <row r="1669" spans="1:33" x14ac:dyDescent="0.35">
      <c r="A1669" s="49"/>
      <c r="C1669" s="50"/>
      <c r="G1669" s="49"/>
      <c r="R1669" s="49"/>
      <c r="S1669" s="49"/>
      <c r="T1669" s="49"/>
      <c r="U1669" s="49"/>
      <c r="V1669" s="49"/>
      <c r="W1669" s="49"/>
      <c r="AA1669" s="156"/>
      <c r="AG1669" s="49"/>
    </row>
    <row r="1670" spans="1:33" x14ac:dyDescent="0.35">
      <c r="A1670" s="49"/>
      <c r="C1670" s="50"/>
      <c r="G1670" s="49"/>
      <c r="R1670" s="49"/>
      <c r="S1670" s="49"/>
      <c r="T1670" s="49"/>
      <c r="U1670" s="49"/>
      <c r="V1670" s="49"/>
      <c r="W1670" s="49"/>
      <c r="AA1670" s="156"/>
      <c r="AG1670" s="49"/>
    </row>
    <row r="1671" spans="1:33" x14ac:dyDescent="0.35">
      <c r="A1671" s="49"/>
      <c r="C1671" s="50"/>
      <c r="G1671" s="49"/>
      <c r="R1671" s="49"/>
      <c r="S1671" s="49"/>
      <c r="T1671" s="49"/>
      <c r="U1671" s="49"/>
      <c r="V1671" s="49"/>
      <c r="W1671" s="49"/>
      <c r="AA1671" s="156"/>
      <c r="AG1671" s="49"/>
    </row>
    <row r="1672" spans="1:33" x14ac:dyDescent="0.35">
      <c r="A1672" s="49"/>
      <c r="C1672" s="50"/>
      <c r="G1672" s="49"/>
      <c r="R1672" s="49"/>
      <c r="S1672" s="49"/>
      <c r="T1672" s="49"/>
      <c r="U1672" s="49"/>
      <c r="V1672" s="49"/>
      <c r="W1672" s="49"/>
      <c r="AA1672" s="156"/>
      <c r="AG1672" s="49"/>
    </row>
    <row r="1673" spans="1:33" x14ac:dyDescent="0.35">
      <c r="A1673" s="49"/>
      <c r="C1673" s="50"/>
      <c r="G1673" s="49"/>
      <c r="R1673" s="49"/>
      <c r="S1673" s="49"/>
      <c r="T1673" s="49"/>
      <c r="U1673" s="49"/>
      <c r="V1673" s="49"/>
      <c r="W1673" s="49"/>
      <c r="AA1673" s="156"/>
      <c r="AG1673" s="49"/>
    </row>
    <row r="1674" spans="1:33" x14ac:dyDescent="0.35">
      <c r="A1674" s="49"/>
      <c r="C1674" s="50"/>
      <c r="G1674" s="49"/>
      <c r="R1674" s="49"/>
      <c r="S1674" s="49"/>
      <c r="T1674" s="49"/>
      <c r="U1674" s="49"/>
      <c r="V1674" s="49"/>
      <c r="W1674" s="49"/>
      <c r="AA1674" s="156"/>
      <c r="AG1674" s="49"/>
    </row>
    <row r="1675" spans="1:33" x14ac:dyDescent="0.35">
      <c r="A1675" s="49"/>
      <c r="C1675" s="50"/>
      <c r="G1675" s="49"/>
      <c r="R1675" s="49"/>
      <c r="S1675" s="49"/>
      <c r="T1675" s="49"/>
      <c r="U1675" s="49"/>
      <c r="V1675" s="49"/>
      <c r="W1675" s="49"/>
      <c r="AA1675" s="156"/>
      <c r="AG1675" s="49"/>
    </row>
    <row r="1676" spans="1:33" x14ac:dyDescent="0.35">
      <c r="A1676" s="49"/>
      <c r="C1676" s="50"/>
      <c r="G1676" s="49"/>
      <c r="R1676" s="49"/>
      <c r="S1676" s="49"/>
      <c r="T1676" s="49"/>
      <c r="U1676" s="49"/>
      <c r="V1676" s="49"/>
      <c r="W1676" s="49"/>
      <c r="AA1676" s="156"/>
      <c r="AG1676" s="49"/>
    </row>
    <row r="1677" spans="1:33" x14ac:dyDescent="0.35">
      <c r="A1677" s="49"/>
      <c r="C1677" s="50"/>
      <c r="G1677" s="49"/>
      <c r="R1677" s="49"/>
      <c r="S1677" s="49"/>
      <c r="T1677" s="49"/>
      <c r="U1677" s="49"/>
      <c r="V1677" s="49"/>
      <c r="W1677" s="49"/>
      <c r="AA1677" s="156"/>
      <c r="AG1677" s="49"/>
    </row>
    <row r="1678" spans="1:33" x14ac:dyDescent="0.35">
      <c r="A1678" s="49"/>
      <c r="C1678" s="50"/>
      <c r="G1678" s="49"/>
      <c r="R1678" s="49"/>
      <c r="S1678" s="49"/>
      <c r="T1678" s="49"/>
      <c r="U1678" s="49"/>
      <c r="V1678" s="49"/>
      <c r="W1678" s="49"/>
      <c r="AA1678" s="156"/>
      <c r="AG1678" s="49"/>
    </row>
    <row r="1679" spans="1:33" x14ac:dyDescent="0.35">
      <c r="A1679" s="49"/>
      <c r="C1679" s="50"/>
      <c r="G1679" s="49"/>
      <c r="R1679" s="49"/>
      <c r="S1679" s="49"/>
      <c r="T1679" s="49"/>
      <c r="U1679" s="49"/>
      <c r="V1679" s="49"/>
      <c r="W1679" s="49"/>
      <c r="AA1679" s="156"/>
      <c r="AG1679" s="49"/>
    </row>
    <row r="1680" spans="1:33" x14ac:dyDescent="0.35">
      <c r="A1680" s="49"/>
      <c r="C1680" s="50"/>
      <c r="G1680" s="49"/>
      <c r="R1680" s="49"/>
      <c r="S1680" s="49"/>
      <c r="T1680" s="49"/>
      <c r="U1680" s="49"/>
      <c r="V1680" s="49"/>
      <c r="W1680" s="49"/>
      <c r="AA1680" s="156"/>
      <c r="AG1680" s="49"/>
    </row>
    <row r="1681" spans="1:33" x14ac:dyDescent="0.35">
      <c r="A1681" s="49"/>
      <c r="C1681" s="50"/>
      <c r="G1681" s="49"/>
      <c r="R1681" s="49"/>
      <c r="S1681" s="49"/>
      <c r="T1681" s="49"/>
      <c r="U1681" s="49"/>
      <c r="V1681" s="49"/>
      <c r="W1681" s="49"/>
      <c r="AA1681" s="156"/>
      <c r="AG1681" s="49"/>
    </row>
    <row r="1682" spans="1:33" x14ac:dyDescent="0.35">
      <c r="A1682" s="49"/>
      <c r="C1682" s="50"/>
      <c r="G1682" s="49"/>
      <c r="R1682" s="49"/>
      <c r="S1682" s="49"/>
      <c r="T1682" s="49"/>
      <c r="U1682" s="49"/>
      <c r="V1682" s="49"/>
      <c r="W1682" s="49"/>
      <c r="AA1682" s="156"/>
      <c r="AG1682" s="49"/>
    </row>
    <row r="1683" spans="1:33" x14ac:dyDescent="0.35">
      <c r="A1683" s="49"/>
      <c r="C1683" s="50"/>
      <c r="G1683" s="49"/>
      <c r="R1683" s="49"/>
      <c r="S1683" s="49"/>
      <c r="T1683" s="49"/>
      <c r="U1683" s="49"/>
      <c r="V1683" s="49"/>
      <c r="W1683" s="49"/>
      <c r="AA1683" s="156"/>
      <c r="AG1683" s="49"/>
    </row>
    <row r="1684" spans="1:33" x14ac:dyDescent="0.35">
      <c r="A1684" s="49"/>
      <c r="C1684" s="50"/>
      <c r="G1684" s="49"/>
      <c r="R1684" s="49"/>
      <c r="S1684" s="49"/>
      <c r="T1684" s="49"/>
      <c r="U1684" s="49"/>
      <c r="V1684" s="49"/>
      <c r="W1684" s="49"/>
      <c r="AA1684" s="156"/>
      <c r="AG1684" s="49"/>
    </row>
    <row r="1685" spans="1:33" x14ac:dyDescent="0.35">
      <c r="A1685" s="49"/>
      <c r="C1685" s="50"/>
      <c r="G1685" s="49"/>
      <c r="R1685" s="49"/>
      <c r="S1685" s="49"/>
      <c r="T1685" s="49"/>
      <c r="U1685" s="49"/>
      <c r="V1685" s="49"/>
      <c r="W1685" s="49"/>
      <c r="AA1685" s="156"/>
      <c r="AG1685" s="49"/>
    </row>
    <row r="1686" spans="1:33" x14ac:dyDescent="0.35">
      <c r="A1686" s="49"/>
      <c r="C1686" s="50"/>
      <c r="G1686" s="49"/>
      <c r="R1686" s="49"/>
      <c r="S1686" s="49"/>
      <c r="T1686" s="49"/>
      <c r="U1686" s="49"/>
      <c r="V1686" s="49"/>
      <c r="W1686" s="49"/>
      <c r="AA1686" s="156"/>
      <c r="AG1686" s="49"/>
    </row>
    <row r="1687" spans="1:33" x14ac:dyDescent="0.35">
      <c r="A1687" s="49"/>
      <c r="C1687" s="50"/>
      <c r="G1687" s="49"/>
      <c r="R1687" s="49"/>
      <c r="S1687" s="49"/>
      <c r="T1687" s="49"/>
      <c r="U1687" s="49"/>
      <c r="V1687" s="49"/>
      <c r="W1687" s="49"/>
      <c r="AA1687" s="156"/>
      <c r="AG1687" s="49"/>
    </row>
    <row r="1688" spans="1:33" x14ac:dyDescent="0.35">
      <c r="A1688" s="49"/>
      <c r="C1688" s="50"/>
      <c r="G1688" s="49"/>
      <c r="R1688" s="49"/>
      <c r="S1688" s="49"/>
      <c r="T1688" s="49"/>
      <c r="U1688" s="49"/>
      <c r="V1688" s="49"/>
      <c r="W1688" s="49"/>
      <c r="AA1688" s="156"/>
      <c r="AG1688" s="49"/>
    </row>
    <row r="1689" spans="1:33" x14ac:dyDescent="0.35">
      <c r="A1689" s="49"/>
      <c r="C1689" s="50"/>
      <c r="G1689" s="49"/>
      <c r="R1689" s="49"/>
      <c r="S1689" s="49"/>
      <c r="T1689" s="49"/>
      <c r="U1689" s="49"/>
      <c r="V1689" s="49"/>
      <c r="W1689" s="49"/>
      <c r="AA1689" s="156"/>
      <c r="AG1689" s="49"/>
    </row>
    <row r="1690" spans="1:33" x14ac:dyDescent="0.35">
      <c r="A1690" s="49"/>
      <c r="C1690" s="50"/>
      <c r="G1690" s="49"/>
      <c r="R1690" s="49"/>
      <c r="S1690" s="49"/>
      <c r="T1690" s="49"/>
      <c r="U1690" s="49"/>
      <c r="V1690" s="49"/>
      <c r="W1690" s="49"/>
      <c r="AA1690" s="156"/>
      <c r="AG1690" s="49"/>
    </row>
    <row r="1691" spans="1:33" x14ac:dyDescent="0.35">
      <c r="A1691" s="49"/>
      <c r="C1691" s="50"/>
      <c r="G1691" s="49"/>
      <c r="R1691" s="49"/>
      <c r="S1691" s="49"/>
      <c r="T1691" s="49"/>
      <c r="U1691" s="49"/>
      <c r="V1691" s="49"/>
      <c r="W1691" s="49"/>
      <c r="AA1691" s="156"/>
      <c r="AG1691" s="49"/>
    </row>
    <row r="1692" spans="1:33" x14ac:dyDescent="0.35">
      <c r="A1692" s="49"/>
      <c r="C1692" s="50"/>
      <c r="G1692" s="49"/>
      <c r="R1692" s="49"/>
      <c r="S1692" s="49"/>
      <c r="T1692" s="49"/>
      <c r="U1692" s="49"/>
      <c r="V1692" s="49"/>
      <c r="W1692" s="49"/>
      <c r="AA1692" s="156"/>
      <c r="AG1692" s="49"/>
    </row>
    <row r="1693" spans="1:33" x14ac:dyDescent="0.35">
      <c r="A1693" s="49"/>
      <c r="C1693" s="50"/>
      <c r="G1693" s="49"/>
      <c r="R1693" s="49"/>
      <c r="S1693" s="49"/>
      <c r="T1693" s="49"/>
      <c r="U1693" s="49"/>
      <c r="V1693" s="49"/>
      <c r="W1693" s="49"/>
      <c r="AA1693" s="156"/>
      <c r="AG1693" s="49"/>
    </row>
    <row r="1694" spans="1:33" x14ac:dyDescent="0.35">
      <c r="A1694" s="49"/>
      <c r="C1694" s="50"/>
      <c r="G1694" s="49"/>
      <c r="R1694" s="49"/>
      <c r="S1694" s="49"/>
      <c r="T1694" s="49"/>
      <c r="U1694" s="49"/>
      <c r="V1694" s="49"/>
      <c r="W1694" s="49"/>
      <c r="AA1694" s="156"/>
      <c r="AG1694" s="49"/>
    </row>
    <row r="1695" spans="1:33" x14ac:dyDescent="0.35">
      <c r="A1695" s="49"/>
      <c r="C1695" s="50"/>
      <c r="G1695" s="49"/>
      <c r="R1695" s="49"/>
      <c r="S1695" s="49"/>
      <c r="T1695" s="49"/>
      <c r="U1695" s="49"/>
      <c r="V1695" s="49"/>
      <c r="W1695" s="49"/>
      <c r="AA1695" s="156"/>
      <c r="AG1695" s="49"/>
    </row>
    <row r="1696" spans="1:33" x14ac:dyDescent="0.35">
      <c r="A1696" s="49"/>
      <c r="C1696" s="50"/>
      <c r="G1696" s="49"/>
      <c r="R1696" s="49"/>
      <c r="S1696" s="49"/>
      <c r="T1696" s="49"/>
      <c r="U1696" s="49"/>
      <c r="V1696" s="49"/>
      <c r="W1696" s="49"/>
      <c r="AA1696" s="156"/>
      <c r="AG1696" s="49"/>
    </row>
    <row r="1697" spans="1:33" x14ac:dyDescent="0.35">
      <c r="A1697" s="49"/>
      <c r="C1697" s="50"/>
      <c r="G1697" s="49"/>
      <c r="R1697" s="49"/>
      <c r="S1697" s="49"/>
      <c r="T1697" s="49"/>
      <c r="U1697" s="49"/>
      <c r="V1697" s="49"/>
      <c r="W1697" s="49"/>
      <c r="AA1697" s="156"/>
      <c r="AG1697" s="49"/>
    </row>
    <row r="1698" spans="1:33" x14ac:dyDescent="0.35">
      <c r="A1698" s="49"/>
      <c r="C1698" s="50"/>
      <c r="G1698" s="49"/>
      <c r="R1698" s="49"/>
      <c r="S1698" s="49"/>
      <c r="T1698" s="49"/>
      <c r="U1698" s="49"/>
      <c r="V1698" s="49"/>
      <c r="W1698" s="49"/>
      <c r="AA1698" s="156"/>
      <c r="AG1698" s="49"/>
    </row>
    <row r="1699" spans="1:33" x14ac:dyDescent="0.35">
      <c r="A1699" s="49"/>
      <c r="C1699" s="50"/>
      <c r="G1699" s="49"/>
      <c r="R1699" s="49"/>
      <c r="S1699" s="49"/>
      <c r="T1699" s="49"/>
      <c r="U1699" s="49"/>
      <c r="V1699" s="49"/>
      <c r="W1699" s="49"/>
      <c r="AA1699" s="156"/>
      <c r="AG1699" s="49"/>
    </row>
    <row r="1700" spans="1:33" x14ac:dyDescent="0.35">
      <c r="A1700" s="49"/>
      <c r="C1700" s="50"/>
      <c r="G1700" s="49"/>
      <c r="R1700" s="49"/>
      <c r="S1700" s="49"/>
      <c r="T1700" s="49"/>
      <c r="U1700" s="49"/>
      <c r="V1700" s="49"/>
      <c r="W1700" s="49"/>
      <c r="AA1700" s="156"/>
      <c r="AG1700" s="49"/>
    </row>
    <row r="1701" spans="1:33" x14ac:dyDescent="0.35">
      <c r="A1701" s="49"/>
      <c r="C1701" s="50"/>
      <c r="G1701" s="49"/>
      <c r="R1701" s="49"/>
      <c r="S1701" s="49"/>
      <c r="T1701" s="49"/>
      <c r="U1701" s="49"/>
      <c r="V1701" s="49"/>
      <c r="W1701" s="49"/>
      <c r="AA1701" s="156"/>
      <c r="AG1701" s="49"/>
    </row>
    <row r="1702" spans="1:33" x14ac:dyDescent="0.35">
      <c r="A1702" s="49"/>
      <c r="C1702" s="50"/>
      <c r="G1702" s="49"/>
      <c r="R1702" s="49"/>
      <c r="S1702" s="49"/>
      <c r="T1702" s="49"/>
      <c r="U1702" s="49"/>
      <c r="V1702" s="49"/>
      <c r="W1702" s="49"/>
      <c r="AA1702" s="156"/>
      <c r="AG1702" s="49"/>
    </row>
    <row r="1703" spans="1:33" x14ac:dyDescent="0.35">
      <c r="A1703" s="49"/>
      <c r="C1703" s="50"/>
      <c r="G1703" s="49"/>
      <c r="R1703" s="49"/>
      <c r="S1703" s="49"/>
      <c r="T1703" s="49"/>
      <c r="U1703" s="49"/>
      <c r="V1703" s="49"/>
      <c r="W1703" s="49"/>
      <c r="AA1703" s="156"/>
      <c r="AG1703" s="49"/>
    </row>
    <row r="1704" spans="1:33" x14ac:dyDescent="0.35">
      <c r="A1704" s="49"/>
      <c r="C1704" s="50"/>
      <c r="G1704" s="49"/>
      <c r="R1704" s="49"/>
      <c r="S1704" s="49"/>
      <c r="T1704" s="49"/>
      <c r="U1704" s="49"/>
      <c r="V1704" s="49"/>
      <c r="W1704" s="49"/>
      <c r="AA1704" s="156"/>
      <c r="AG1704" s="49"/>
    </row>
    <row r="1705" spans="1:33" x14ac:dyDescent="0.35">
      <c r="A1705" s="49"/>
      <c r="C1705" s="50"/>
      <c r="G1705" s="49"/>
      <c r="R1705" s="49"/>
      <c r="S1705" s="49"/>
      <c r="T1705" s="49"/>
      <c r="U1705" s="49"/>
      <c r="V1705" s="49"/>
      <c r="W1705" s="49"/>
      <c r="AA1705" s="156"/>
      <c r="AG1705" s="49"/>
    </row>
    <row r="1706" spans="1:33" x14ac:dyDescent="0.35">
      <c r="A1706" s="49"/>
      <c r="C1706" s="50"/>
      <c r="G1706" s="49"/>
      <c r="R1706" s="49"/>
      <c r="S1706" s="49"/>
      <c r="T1706" s="49"/>
      <c r="U1706" s="49"/>
      <c r="V1706" s="49"/>
      <c r="W1706" s="49"/>
      <c r="AA1706" s="156"/>
      <c r="AG1706" s="49"/>
    </row>
    <row r="1707" spans="1:33" x14ac:dyDescent="0.35">
      <c r="A1707" s="49"/>
      <c r="C1707" s="50"/>
      <c r="G1707" s="49"/>
      <c r="R1707" s="49"/>
      <c r="S1707" s="49"/>
      <c r="T1707" s="49"/>
      <c r="U1707" s="49"/>
      <c r="V1707" s="49"/>
      <c r="W1707" s="49"/>
      <c r="AA1707" s="156"/>
      <c r="AG1707" s="49"/>
    </row>
    <row r="1708" spans="1:33" x14ac:dyDescent="0.35">
      <c r="A1708" s="49"/>
      <c r="C1708" s="50"/>
      <c r="G1708" s="49"/>
      <c r="R1708" s="49"/>
      <c r="S1708" s="49"/>
      <c r="T1708" s="49"/>
      <c r="U1708" s="49"/>
      <c r="V1708" s="49"/>
      <c r="W1708" s="49"/>
      <c r="AA1708" s="156"/>
      <c r="AG1708" s="49"/>
    </row>
    <row r="1709" spans="1:33" x14ac:dyDescent="0.35">
      <c r="A1709" s="49"/>
      <c r="C1709" s="50"/>
      <c r="G1709" s="49"/>
      <c r="R1709" s="49"/>
      <c r="S1709" s="49"/>
      <c r="T1709" s="49"/>
      <c r="U1709" s="49"/>
      <c r="V1709" s="49"/>
      <c r="W1709" s="49"/>
      <c r="AA1709" s="156"/>
      <c r="AG1709" s="49"/>
    </row>
    <row r="1710" spans="1:33" x14ac:dyDescent="0.35">
      <c r="A1710" s="49"/>
      <c r="C1710" s="50"/>
      <c r="G1710" s="49"/>
      <c r="R1710" s="49"/>
      <c r="S1710" s="49"/>
      <c r="T1710" s="49"/>
      <c r="U1710" s="49"/>
      <c r="V1710" s="49"/>
      <c r="W1710" s="49"/>
      <c r="AA1710" s="156"/>
      <c r="AG1710" s="49"/>
    </row>
    <row r="1711" spans="1:33" x14ac:dyDescent="0.35">
      <c r="A1711" s="49"/>
      <c r="C1711" s="50"/>
      <c r="G1711" s="49"/>
      <c r="R1711" s="49"/>
      <c r="S1711" s="49"/>
      <c r="T1711" s="49"/>
      <c r="U1711" s="49"/>
      <c r="V1711" s="49"/>
      <c r="W1711" s="49"/>
      <c r="AA1711" s="156"/>
      <c r="AG1711" s="49"/>
    </row>
    <row r="1712" spans="1:33" x14ac:dyDescent="0.35">
      <c r="A1712" s="49"/>
      <c r="C1712" s="50"/>
      <c r="G1712" s="49"/>
      <c r="R1712" s="49"/>
      <c r="S1712" s="49"/>
      <c r="T1712" s="49"/>
      <c r="U1712" s="49"/>
      <c r="V1712" s="49"/>
      <c r="W1712" s="49"/>
      <c r="AA1712" s="156"/>
      <c r="AG1712" s="49"/>
    </row>
    <row r="1713" spans="1:33" x14ac:dyDescent="0.35">
      <c r="A1713" s="49"/>
      <c r="C1713" s="50"/>
      <c r="G1713" s="49"/>
      <c r="R1713" s="49"/>
      <c r="S1713" s="49"/>
      <c r="T1713" s="49"/>
      <c r="U1713" s="49"/>
      <c r="V1713" s="49"/>
      <c r="W1713" s="49"/>
      <c r="AA1713" s="156"/>
      <c r="AG1713" s="49"/>
    </row>
    <row r="1714" spans="1:33" x14ac:dyDescent="0.35">
      <c r="A1714" s="49"/>
      <c r="C1714" s="50"/>
      <c r="G1714" s="49"/>
      <c r="R1714" s="49"/>
      <c r="S1714" s="49"/>
      <c r="T1714" s="49"/>
      <c r="U1714" s="49"/>
      <c r="V1714" s="49"/>
      <c r="W1714" s="49"/>
      <c r="AA1714" s="156"/>
      <c r="AG1714" s="49"/>
    </row>
    <row r="1715" spans="1:33" x14ac:dyDescent="0.35">
      <c r="A1715" s="49"/>
      <c r="C1715" s="50"/>
      <c r="G1715" s="49"/>
      <c r="R1715" s="49"/>
      <c r="S1715" s="49"/>
      <c r="T1715" s="49"/>
      <c r="U1715" s="49"/>
      <c r="V1715" s="49"/>
      <c r="W1715" s="49"/>
      <c r="AA1715" s="156"/>
      <c r="AG1715" s="49"/>
    </row>
    <row r="1716" spans="1:33" x14ac:dyDescent="0.35">
      <c r="A1716" s="49"/>
      <c r="C1716" s="50"/>
      <c r="G1716" s="49"/>
      <c r="R1716" s="49"/>
      <c r="S1716" s="49"/>
      <c r="T1716" s="49"/>
      <c r="U1716" s="49"/>
      <c r="V1716" s="49"/>
      <c r="W1716" s="49"/>
      <c r="AA1716" s="156"/>
      <c r="AG1716" s="49"/>
    </row>
    <row r="1717" spans="1:33" x14ac:dyDescent="0.35">
      <c r="A1717" s="49"/>
      <c r="C1717" s="50"/>
      <c r="G1717" s="49"/>
      <c r="R1717" s="49"/>
      <c r="S1717" s="49"/>
      <c r="T1717" s="49"/>
      <c r="U1717" s="49"/>
      <c r="V1717" s="49"/>
      <c r="W1717" s="49"/>
      <c r="AA1717" s="156"/>
      <c r="AG1717" s="49"/>
    </row>
    <row r="1718" spans="1:33" x14ac:dyDescent="0.35">
      <c r="A1718" s="49"/>
      <c r="C1718" s="50"/>
      <c r="G1718" s="49"/>
      <c r="R1718" s="49"/>
      <c r="S1718" s="49"/>
      <c r="T1718" s="49"/>
      <c r="U1718" s="49"/>
      <c r="V1718" s="49"/>
      <c r="W1718" s="49"/>
      <c r="AA1718" s="156"/>
      <c r="AG1718" s="49"/>
    </row>
    <row r="1719" spans="1:33" x14ac:dyDescent="0.35">
      <c r="A1719" s="49"/>
      <c r="C1719" s="50"/>
      <c r="G1719" s="49"/>
      <c r="R1719" s="49"/>
      <c r="S1719" s="49"/>
      <c r="T1719" s="49"/>
      <c r="U1719" s="49"/>
      <c r="V1719" s="49"/>
      <c r="W1719" s="49"/>
      <c r="AA1719" s="156"/>
      <c r="AG1719" s="49"/>
    </row>
    <row r="1720" spans="1:33" x14ac:dyDescent="0.35">
      <c r="A1720" s="49"/>
      <c r="C1720" s="50"/>
      <c r="G1720" s="49"/>
      <c r="R1720" s="49"/>
      <c r="S1720" s="49"/>
      <c r="T1720" s="49"/>
      <c r="U1720" s="49"/>
      <c r="V1720" s="49"/>
      <c r="W1720" s="49"/>
      <c r="AA1720" s="156"/>
      <c r="AG1720" s="49"/>
    </row>
    <row r="1721" spans="1:33" x14ac:dyDescent="0.35">
      <c r="A1721" s="49"/>
      <c r="C1721" s="50"/>
      <c r="G1721" s="49"/>
      <c r="R1721" s="49"/>
      <c r="S1721" s="49"/>
      <c r="T1721" s="49"/>
      <c r="U1721" s="49"/>
      <c r="V1721" s="49"/>
      <c r="W1721" s="49"/>
      <c r="AA1721" s="156"/>
      <c r="AG1721" s="49"/>
    </row>
    <row r="1722" spans="1:33" x14ac:dyDescent="0.35">
      <c r="A1722" s="49"/>
      <c r="C1722" s="50"/>
      <c r="G1722" s="49"/>
      <c r="R1722" s="49"/>
      <c r="S1722" s="49"/>
      <c r="T1722" s="49"/>
      <c r="U1722" s="49"/>
      <c r="V1722" s="49"/>
      <c r="W1722" s="49"/>
      <c r="AA1722" s="156"/>
      <c r="AG1722" s="49"/>
    </row>
    <row r="1723" spans="1:33" x14ac:dyDescent="0.35">
      <c r="A1723" s="49"/>
      <c r="C1723" s="50"/>
      <c r="G1723" s="49"/>
      <c r="R1723" s="49"/>
      <c r="S1723" s="49"/>
      <c r="T1723" s="49"/>
      <c r="U1723" s="49"/>
      <c r="V1723" s="49"/>
      <c r="W1723" s="49"/>
      <c r="AA1723" s="156"/>
      <c r="AG1723" s="49"/>
    </row>
    <row r="1724" spans="1:33" x14ac:dyDescent="0.35">
      <c r="A1724" s="49"/>
      <c r="C1724" s="50"/>
      <c r="G1724" s="49"/>
      <c r="R1724" s="49"/>
      <c r="S1724" s="49"/>
      <c r="T1724" s="49"/>
      <c r="U1724" s="49"/>
      <c r="V1724" s="49"/>
      <c r="W1724" s="49"/>
      <c r="AA1724" s="156"/>
      <c r="AG1724" s="49"/>
    </row>
    <row r="1725" spans="1:33" x14ac:dyDescent="0.35">
      <c r="A1725" s="49"/>
      <c r="C1725" s="50"/>
      <c r="G1725" s="49"/>
      <c r="R1725" s="49"/>
      <c r="S1725" s="49"/>
      <c r="T1725" s="49"/>
      <c r="U1725" s="49"/>
      <c r="V1725" s="49"/>
      <c r="W1725" s="49"/>
      <c r="AA1725" s="156"/>
      <c r="AG1725" s="49"/>
    </row>
    <row r="1726" spans="1:33" x14ac:dyDescent="0.35">
      <c r="A1726" s="49"/>
      <c r="C1726" s="50"/>
      <c r="G1726" s="49"/>
      <c r="R1726" s="49"/>
      <c r="S1726" s="49"/>
      <c r="T1726" s="49"/>
      <c r="U1726" s="49"/>
      <c r="V1726" s="49"/>
      <c r="W1726" s="49"/>
      <c r="AA1726" s="156"/>
      <c r="AG1726" s="49"/>
    </row>
    <row r="1727" spans="1:33" x14ac:dyDescent="0.35">
      <c r="A1727" s="49"/>
      <c r="C1727" s="50"/>
      <c r="G1727" s="49"/>
      <c r="R1727" s="49"/>
      <c r="S1727" s="49"/>
      <c r="T1727" s="49"/>
      <c r="U1727" s="49"/>
      <c r="V1727" s="49"/>
      <c r="W1727" s="49"/>
      <c r="AA1727" s="156"/>
      <c r="AG1727" s="49"/>
    </row>
    <row r="1728" spans="1:33" x14ac:dyDescent="0.35">
      <c r="A1728" s="49"/>
      <c r="C1728" s="50"/>
      <c r="G1728" s="49"/>
      <c r="R1728" s="49"/>
      <c r="S1728" s="49"/>
      <c r="T1728" s="49"/>
      <c r="U1728" s="49"/>
      <c r="V1728" s="49"/>
      <c r="W1728" s="49"/>
      <c r="AA1728" s="156"/>
      <c r="AG1728" s="49"/>
    </row>
    <row r="1729" spans="1:33" x14ac:dyDescent="0.35">
      <c r="A1729" s="49"/>
      <c r="C1729" s="50"/>
      <c r="G1729" s="49"/>
      <c r="R1729" s="49"/>
      <c r="S1729" s="49"/>
      <c r="T1729" s="49"/>
      <c r="U1729" s="49"/>
      <c r="V1729" s="49"/>
      <c r="W1729" s="49"/>
      <c r="AA1729" s="156"/>
      <c r="AG1729" s="49"/>
    </row>
    <row r="1730" spans="1:33" x14ac:dyDescent="0.35">
      <c r="A1730" s="49"/>
      <c r="C1730" s="50"/>
      <c r="G1730" s="49"/>
      <c r="R1730" s="49"/>
      <c r="S1730" s="49"/>
      <c r="T1730" s="49"/>
      <c r="U1730" s="49"/>
      <c r="V1730" s="49"/>
      <c r="W1730" s="49"/>
      <c r="AA1730" s="156"/>
      <c r="AG1730" s="49"/>
    </row>
    <row r="1731" spans="1:33" x14ac:dyDescent="0.35">
      <c r="A1731" s="49"/>
      <c r="C1731" s="50"/>
      <c r="G1731" s="49"/>
      <c r="R1731" s="49"/>
      <c r="S1731" s="49"/>
      <c r="T1731" s="49"/>
      <c r="U1731" s="49"/>
      <c r="V1731" s="49"/>
      <c r="W1731" s="49"/>
      <c r="AA1731" s="156"/>
      <c r="AG1731" s="49"/>
    </row>
    <row r="1732" spans="1:33" x14ac:dyDescent="0.35">
      <c r="A1732" s="49"/>
      <c r="C1732" s="50"/>
      <c r="G1732" s="49"/>
      <c r="R1732" s="49"/>
      <c r="S1732" s="49"/>
      <c r="T1732" s="49"/>
      <c r="U1732" s="49"/>
      <c r="V1732" s="49"/>
      <c r="W1732" s="49"/>
      <c r="AA1732" s="156"/>
      <c r="AG1732" s="49"/>
    </row>
    <row r="1733" spans="1:33" x14ac:dyDescent="0.35">
      <c r="A1733" s="49"/>
      <c r="C1733" s="50"/>
      <c r="G1733" s="49"/>
      <c r="R1733" s="49"/>
      <c r="S1733" s="49"/>
      <c r="T1733" s="49"/>
      <c r="U1733" s="49"/>
      <c r="V1733" s="49"/>
      <c r="W1733" s="49"/>
      <c r="AA1733" s="156"/>
      <c r="AG1733" s="49"/>
    </row>
    <row r="1734" spans="1:33" x14ac:dyDescent="0.35">
      <c r="A1734" s="49"/>
      <c r="C1734" s="50"/>
      <c r="G1734" s="49"/>
      <c r="R1734" s="49"/>
      <c r="S1734" s="49"/>
      <c r="T1734" s="49"/>
      <c r="U1734" s="49"/>
      <c r="V1734" s="49"/>
      <c r="W1734" s="49"/>
      <c r="AA1734" s="156"/>
      <c r="AG1734" s="49"/>
    </row>
    <row r="1735" spans="1:33" x14ac:dyDescent="0.35">
      <c r="A1735" s="49"/>
      <c r="C1735" s="50"/>
      <c r="G1735" s="49"/>
      <c r="R1735" s="49"/>
      <c r="S1735" s="49"/>
      <c r="T1735" s="49"/>
      <c r="U1735" s="49"/>
      <c r="V1735" s="49"/>
      <c r="W1735" s="49"/>
      <c r="AA1735" s="156"/>
      <c r="AG1735" s="49"/>
    </row>
    <row r="1736" spans="1:33" x14ac:dyDescent="0.35">
      <c r="A1736" s="49"/>
      <c r="C1736" s="50"/>
      <c r="G1736" s="49"/>
      <c r="R1736" s="49"/>
      <c r="S1736" s="49"/>
      <c r="T1736" s="49"/>
      <c r="U1736" s="49"/>
      <c r="V1736" s="49"/>
      <c r="W1736" s="49"/>
      <c r="AA1736" s="156"/>
      <c r="AG1736" s="49"/>
    </row>
    <row r="1737" spans="1:33" x14ac:dyDescent="0.35">
      <c r="A1737" s="49"/>
      <c r="C1737" s="50"/>
      <c r="G1737" s="49"/>
      <c r="R1737" s="49"/>
      <c r="S1737" s="49"/>
      <c r="T1737" s="49"/>
      <c r="U1737" s="49"/>
      <c r="V1737" s="49"/>
      <c r="W1737" s="49"/>
      <c r="AA1737" s="156"/>
      <c r="AG1737" s="49"/>
    </row>
    <row r="1738" spans="1:33" x14ac:dyDescent="0.35">
      <c r="A1738" s="49"/>
      <c r="C1738" s="50"/>
      <c r="G1738" s="49"/>
      <c r="R1738" s="49"/>
      <c r="S1738" s="49"/>
      <c r="T1738" s="49"/>
      <c r="U1738" s="49"/>
      <c r="V1738" s="49"/>
      <c r="W1738" s="49"/>
      <c r="AA1738" s="156"/>
      <c r="AG1738" s="49"/>
    </row>
    <row r="1739" spans="1:33" x14ac:dyDescent="0.35">
      <c r="A1739" s="49"/>
      <c r="C1739" s="50"/>
      <c r="G1739" s="49"/>
      <c r="R1739" s="49"/>
      <c r="S1739" s="49"/>
      <c r="T1739" s="49"/>
      <c r="U1739" s="49"/>
      <c r="V1739" s="49"/>
      <c r="W1739" s="49"/>
      <c r="AA1739" s="156"/>
      <c r="AG1739" s="49"/>
    </row>
    <row r="1740" spans="1:33" x14ac:dyDescent="0.35">
      <c r="A1740" s="49"/>
      <c r="C1740" s="50"/>
      <c r="G1740" s="49"/>
      <c r="R1740" s="49"/>
      <c r="S1740" s="49"/>
      <c r="T1740" s="49"/>
      <c r="U1740" s="49"/>
      <c r="V1740" s="49"/>
      <c r="W1740" s="49"/>
      <c r="AA1740" s="156"/>
      <c r="AG1740" s="49"/>
    </row>
    <row r="1741" spans="1:33" x14ac:dyDescent="0.35">
      <c r="A1741" s="49"/>
      <c r="C1741" s="50"/>
      <c r="G1741" s="49"/>
      <c r="R1741" s="49"/>
      <c r="S1741" s="49"/>
      <c r="T1741" s="49"/>
      <c r="U1741" s="49"/>
      <c r="V1741" s="49"/>
      <c r="W1741" s="49"/>
      <c r="AA1741" s="156"/>
      <c r="AG1741" s="49"/>
    </row>
    <row r="1742" spans="1:33" x14ac:dyDescent="0.35">
      <c r="A1742" s="49"/>
      <c r="C1742" s="50"/>
      <c r="G1742" s="49"/>
      <c r="R1742" s="49"/>
      <c r="S1742" s="49"/>
      <c r="T1742" s="49"/>
      <c r="U1742" s="49"/>
      <c r="V1742" s="49"/>
      <c r="W1742" s="49"/>
      <c r="AA1742" s="156"/>
      <c r="AG1742" s="49"/>
    </row>
    <row r="1743" spans="1:33" x14ac:dyDescent="0.35">
      <c r="A1743" s="49"/>
      <c r="C1743" s="50"/>
      <c r="G1743" s="49"/>
      <c r="R1743" s="49"/>
      <c r="S1743" s="49"/>
      <c r="T1743" s="49"/>
      <c r="U1743" s="49"/>
      <c r="V1743" s="49"/>
      <c r="W1743" s="49"/>
      <c r="AA1743" s="156"/>
      <c r="AG1743" s="49"/>
    </row>
    <row r="1744" spans="1:33" x14ac:dyDescent="0.35">
      <c r="A1744" s="49"/>
      <c r="C1744" s="50"/>
      <c r="G1744" s="49"/>
      <c r="R1744" s="49"/>
      <c r="S1744" s="49"/>
      <c r="T1744" s="49"/>
      <c r="U1744" s="49"/>
      <c r="V1744" s="49"/>
      <c r="W1744" s="49"/>
      <c r="AA1744" s="156"/>
      <c r="AG1744" s="49"/>
    </row>
    <row r="1745" spans="1:33" x14ac:dyDescent="0.35">
      <c r="A1745" s="49"/>
      <c r="C1745" s="50"/>
      <c r="G1745" s="49"/>
      <c r="R1745" s="49"/>
      <c r="S1745" s="49"/>
      <c r="T1745" s="49"/>
      <c r="U1745" s="49"/>
      <c r="V1745" s="49"/>
      <c r="W1745" s="49"/>
      <c r="AA1745" s="156"/>
      <c r="AG1745" s="49"/>
    </row>
    <row r="1746" spans="1:33" x14ac:dyDescent="0.35">
      <c r="A1746" s="49"/>
      <c r="C1746" s="50"/>
      <c r="G1746" s="49"/>
      <c r="R1746" s="49"/>
      <c r="S1746" s="49"/>
      <c r="T1746" s="49"/>
      <c r="U1746" s="49"/>
      <c r="V1746" s="49"/>
      <c r="W1746" s="49"/>
      <c r="AA1746" s="156"/>
      <c r="AG1746" s="49"/>
    </row>
    <row r="1747" spans="1:33" x14ac:dyDescent="0.35">
      <c r="A1747" s="49"/>
      <c r="C1747" s="50"/>
      <c r="G1747" s="49"/>
      <c r="R1747" s="49"/>
      <c r="S1747" s="49"/>
      <c r="T1747" s="49"/>
      <c r="U1747" s="49"/>
      <c r="V1747" s="49"/>
      <c r="W1747" s="49"/>
      <c r="AA1747" s="156"/>
      <c r="AG1747" s="49"/>
    </row>
    <row r="1748" spans="1:33" x14ac:dyDescent="0.35">
      <c r="A1748" s="49"/>
      <c r="C1748" s="50"/>
      <c r="G1748" s="49"/>
      <c r="R1748" s="49"/>
      <c r="S1748" s="49"/>
      <c r="T1748" s="49"/>
      <c r="U1748" s="49"/>
      <c r="V1748" s="49"/>
      <c r="W1748" s="49"/>
      <c r="AA1748" s="156"/>
      <c r="AG1748" s="49"/>
    </row>
    <row r="1749" spans="1:33" x14ac:dyDescent="0.35">
      <c r="A1749" s="49"/>
      <c r="C1749" s="50"/>
      <c r="G1749" s="49"/>
      <c r="R1749" s="49"/>
      <c r="S1749" s="49"/>
      <c r="T1749" s="49"/>
      <c r="U1749" s="49"/>
      <c r="V1749" s="49"/>
      <c r="W1749" s="49"/>
      <c r="AA1749" s="156"/>
      <c r="AG1749" s="49"/>
    </row>
    <row r="1750" spans="1:33" x14ac:dyDescent="0.35">
      <c r="A1750" s="49"/>
      <c r="C1750" s="50"/>
      <c r="G1750" s="49"/>
      <c r="R1750" s="49"/>
      <c r="S1750" s="49"/>
      <c r="T1750" s="49"/>
      <c r="U1750" s="49"/>
      <c r="V1750" s="49"/>
      <c r="W1750" s="49"/>
      <c r="AA1750" s="156"/>
      <c r="AG1750" s="49"/>
    </row>
    <row r="1751" spans="1:33" x14ac:dyDescent="0.35">
      <c r="A1751" s="49"/>
      <c r="C1751" s="50"/>
      <c r="G1751" s="49"/>
      <c r="R1751" s="49"/>
      <c r="S1751" s="49"/>
      <c r="T1751" s="49"/>
      <c r="U1751" s="49"/>
      <c r="V1751" s="49"/>
      <c r="W1751" s="49"/>
      <c r="AA1751" s="156"/>
      <c r="AG1751" s="49"/>
    </row>
    <row r="1752" spans="1:33" x14ac:dyDescent="0.35">
      <c r="A1752" s="49"/>
      <c r="C1752" s="50"/>
      <c r="G1752" s="49"/>
      <c r="R1752" s="49"/>
      <c r="S1752" s="49"/>
      <c r="T1752" s="49"/>
      <c r="U1752" s="49"/>
      <c r="V1752" s="49"/>
      <c r="W1752" s="49"/>
      <c r="AA1752" s="156"/>
      <c r="AG1752" s="49"/>
    </row>
    <row r="1753" spans="1:33" x14ac:dyDescent="0.35">
      <c r="A1753" s="49"/>
      <c r="C1753" s="50"/>
      <c r="G1753" s="49"/>
      <c r="R1753" s="49"/>
      <c r="S1753" s="49"/>
      <c r="T1753" s="49"/>
      <c r="U1753" s="49"/>
      <c r="V1753" s="49"/>
      <c r="W1753" s="49"/>
      <c r="AA1753" s="156"/>
      <c r="AG1753" s="49"/>
    </row>
    <row r="1754" spans="1:33" x14ac:dyDescent="0.35">
      <c r="A1754" s="49"/>
      <c r="C1754" s="50"/>
      <c r="G1754" s="49"/>
      <c r="R1754" s="49"/>
      <c r="S1754" s="49"/>
      <c r="T1754" s="49"/>
      <c r="U1754" s="49"/>
      <c r="V1754" s="49"/>
      <c r="W1754" s="49"/>
      <c r="AA1754" s="156"/>
      <c r="AG1754" s="49"/>
    </row>
    <row r="1755" spans="1:33" x14ac:dyDescent="0.35">
      <c r="A1755" s="49"/>
      <c r="C1755" s="50"/>
      <c r="G1755" s="49"/>
      <c r="R1755" s="49"/>
      <c r="S1755" s="49"/>
      <c r="T1755" s="49"/>
      <c r="U1755" s="49"/>
      <c r="V1755" s="49"/>
      <c r="W1755" s="49"/>
      <c r="AA1755" s="156"/>
      <c r="AG1755" s="49"/>
    </row>
    <row r="1756" spans="1:33" x14ac:dyDescent="0.35">
      <c r="A1756" s="49"/>
      <c r="C1756" s="50"/>
      <c r="G1756" s="49"/>
      <c r="R1756" s="49"/>
      <c r="S1756" s="49"/>
      <c r="T1756" s="49"/>
      <c r="U1756" s="49"/>
      <c r="V1756" s="49"/>
      <c r="W1756" s="49"/>
      <c r="AA1756" s="156"/>
      <c r="AG1756" s="49"/>
    </row>
    <row r="1757" spans="1:33" x14ac:dyDescent="0.35">
      <c r="A1757" s="49"/>
      <c r="C1757" s="50"/>
      <c r="G1757" s="49"/>
      <c r="R1757" s="49"/>
      <c r="S1757" s="49"/>
      <c r="T1757" s="49"/>
      <c r="U1757" s="49"/>
      <c r="V1757" s="49"/>
      <c r="W1757" s="49"/>
      <c r="AA1757" s="156"/>
      <c r="AG1757" s="49"/>
    </row>
    <row r="1758" spans="1:33" x14ac:dyDescent="0.35">
      <c r="A1758" s="49"/>
      <c r="C1758" s="50"/>
      <c r="G1758" s="49"/>
      <c r="R1758" s="49"/>
      <c r="S1758" s="49"/>
      <c r="T1758" s="49"/>
      <c r="U1758" s="49"/>
      <c r="V1758" s="49"/>
      <c r="W1758" s="49"/>
      <c r="AA1758" s="156"/>
      <c r="AG1758" s="49"/>
    </row>
    <row r="1759" spans="1:33" x14ac:dyDescent="0.35">
      <c r="A1759" s="49"/>
      <c r="C1759" s="50"/>
      <c r="G1759" s="49"/>
      <c r="R1759" s="49"/>
      <c r="S1759" s="49"/>
      <c r="T1759" s="49"/>
      <c r="U1759" s="49"/>
      <c r="V1759" s="49"/>
      <c r="W1759" s="49"/>
      <c r="AA1759" s="156"/>
      <c r="AG1759" s="49"/>
    </row>
    <row r="1760" spans="1:33" x14ac:dyDescent="0.35">
      <c r="A1760" s="49"/>
      <c r="C1760" s="50"/>
      <c r="G1760" s="49"/>
      <c r="R1760" s="49"/>
      <c r="S1760" s="49"/>
      <c r="T1760" s="49"/>
      <c r="U1760" s="49"/>
      <c r="V1760" s="49"/>
      <c r="W1760" s="49"/>
      <c r="AA1760" s="156"/>
      <c r="AG1760" s="49"/>
    </row>
    <row r="1761" spans="1:33" x14ac:dyDescent="0.35">
      <c r="A1761" s="49"/>
      <c r="C1761" s="50"/>
      <c r="G1761" s="49"/>
      <c r="R1761" s="49"/>
      <c r="S1761" s="49"/>
      <c r="T1761" s="49"/>
      <c r="U1761" s="49"/>
      <c r="V1761" s="49"/>
      <c r="W1761" s="49"/>
      <c r="AA1761" s="156"/>
      <c r="AG1761" s="49"/>
    </row>
    <row r="1762" spans="1:33" x14ac:dyDescent="0.35">
      <c r="A1762" s="49"/>
      <c r="C1762" s="50"/>
      <c r="G1762" s="49"/>
      <c r="R1762" s="49"/>
      <c r="S1762" s="49"/>
      <c r="T1762" s="49"/>
      <c r="U1762" s="49"/>
      <c r="V1762" s="49"/>
      <c r="W1762" s="49"/>
      <c r="AA1762" s="156"/>
      <c r="AG1762" s="49"/>
    </row>
    <row r="1763" spans="1:33" x14ac:dyDescent="0.35">
      <c r="A1763" s="49"/>
      <c r="C1763" s="50"/>
      <c r="G1763" s="49"/>
      <c r="R1763" s="49"/>
      <c r="S1763" s="49"/>
      <c r="T1763" s="49"/>
      <c r="U1763" s="49"/>
      <c r="V1763" s="49"/>
      <c r="W1763" s="49"/>
      <c r="AA1763" s="156"/>
      <c r="AG1763" s="49"/>
    </row>
    <row r="1764" spans="1:33" x14ac:dyDescent="0.35">
      <c r="A1764" s="49"/>
      <c r="C1764" s="50"/>
      <c r="G1764" s="49"/>
      <c r="R1764" s="49"/>
      <c r="S1764" s="49"/>
      <c r="T1764" s="49"/>
      <c r="U1764" s="49"/>
      <c r="V1764" s="49"/>
      <c r="W1764" s="49"/>
      <c r="AA1764" s="156"/>
      <c r="AG1764" s="49"/>
    </row>
    <row r="1765" spans="1:33" x14ac:dyDescent="0.35">
      <c r="A1765" s="49"/>
      <c r="C1765" s="50"/>
      <c r="G1765" s="49"/>
      <c r="R1765" s="49"/>
      <c r="S1765" s="49"/>
      <c r="T1765" s="49"/>
      <c r="U1765" s="49"/>
      <c r="V1765" s="49"/>
      <c r="W1765" s="49"/>
      <c r="AA1765" s="156"/>
      <c r="AG1765" s="49"/>
    </row>
    <row r="1766" spans="1:33" x14ac:dyDescent="0.35">
      <c r="A1766" s="49"/>
      <c r="C1766" s="50"/>
      <c r="G1766" s="49"/>
      <c r="R1766" s="49"/>
      <c r="S1766" s="49"/>
      <c r="T1766" s="49"/>
      <c r="U1766" s="49"/>
      <c r="V1766" s="49"/>
      <c r="W1766" s="49"/>
      <c r="AA1766" s="156"/>
      <c r="AG1766" s="49"/>
    </row>
    <row r="1767" spans="1:33" x14ac:dyDescent="0.35">
      <c r="A1767" s="49"/>
      <c r="C1767" s="50"/>
      <c r="G1767" s="49"/>
      <c r="R1767" s="49"/>
      <c r="S1767" s="49"/>
      <c r="T1767" s="49"/>
      <c r="U1767" s="49"/>
      <c r="V1767" s="49"/>
      <c r="W1767" s="49"/>
      <c r="AA1767" s="156"/>
      <c r="AG1767" s="49"/>
    </row>
    <row r="1768" spans="1:33" x14ac:dyDescent="0.35">
      <c r="A1768" s="49"/>
      <c r="C1768" s="50"/>
      <c r="G1768" s="49"/>
      <c r="R1768" s="49"/>
      <c r="S1768" s="49"/>
      <c r="T1768" s="49"/>
      <c r="U1768" s="49"/>
      <c r="V1768" s="49"/>
      <c r="W1768" s="49"/>
      <c r="AA1768" s="156"/>
      <c r="AG1768" s="49"/>
    </row>
    <row r="1769" spans="1:33" x14ac:dyDescent="0.35">
      <c r="A1769" s="49"/>
      <c r="C1769" s="50"/>
      <c r="G1769" s="49"/>
      <c r="R1769" s="49"/>
      <c r="S1769" s="49"/>
      <c r="T1769" s="49"/>
      <c r="U1769" s="49"/>
      <c r="V1769" s="49"/>
      <c r="W1769" s="49"/>
      <c r="AA1769" s="156"/>
      <c r="AG1769" s="49"/>
    </row>
    <row r="1770" spans="1:33" x14ac:dyDescent="0.35">
      <c r="A1770" s="49"/>
      <c r="C1770" s="50"/>
      <c r="G1770" s="49"/>
      <c r="R1770" s="49"/>
      <c r="S1770" s="49"/>
      <c r="T1770" s="49"/>
      <c r="U1770" s="49"/>
      <c r="V1770" s="49"/>
      <c r="W1770" s="49"/>
      <c r="AA1770" s="156"/>
      <c r="AG1770" s="49"/>
    </row>
    <row r="1771" spans="1:33" x14ac:dyDescent="0.35">
      <c r="A1771" s="49"/>
      <c r="C1771" s="50"/>
      <c r="G1771" s="49"/>
      <c r="R1771" s="49"/>
      <c r="S1771" s="49"/>
      <c r="T1771" s="49"/>
      <c r="U1771" s="49"/>
      <c r="V1771" s="49"/>
      <c r="W1771" s="49"/>
      <c r="AA1771" s="156"/>
      <c r="AG1771" s="49"/>
    </row>
    <row r="1772" spans="1:33" x14ac:dyDescent="0.35">
      <c r="A1772" s="49"/>
      <c r="C1772" s="50"/>
      <c r="G1772" s="49"/>
      <c r="R1772" s="49"/>
      <c r="S1772" s="49"/>
      <c r="T1772" s="49"/>
      <c r="U1772" s="49"/>
      <c r="V1772" s="49"/>
      <c r="W1772" s="49"/>
      <c r="AA1772" s="156"/>
      <c r="AG1772" s="49"/>
    </row>
    <row r="1773" spans="1:33" x14ac:dyDescent="0.35">
      <c r="A1773" s="49"/>
      <c r="C1773" s="50"/>
      <c r="G1773" s="49"/>
      <c r="R1773" s="49"/>
      <c r="S1773" s="49"/>
      <c r="T1773" s="49"/>
      <c r="U1773" s="49"/>
      <c r="V1773" s="49"/>
      <c r="W1773" s="49"/>
      <c r="AA1773" s="156"/>
      <c r="AG1773" s="49"/>
    </row>
    <row r="1774" spans="1:33" x14ac:dyDescent="0.35">
      <c r="A1774" s="49"/>
      <c r="C1774" s="50"/>
      <c r="G1774" s="49"/>
      <c r="R1774" s="49"/>
      <c r="S1774" s="49"/>
      <c r="T1774" s="49"/>
      <c r="U1774" s="49"/>
      <c r="V1774" s="49"/>
      <c r="W1774" s="49"/>
      <c r="AA1774" s="156"/>
      <c r="AG1774" s="49"/>
    </row>
    <row r="1775" spans="1:33" x14ac:dyDescent="0.35">
      <c r="A1775" s="49"/>
      <c r="C1775" s="50"/>
      <c r="G1775" s="49"/>
      <c r="R1775" s="49"/>
      <c r="S1775" s="49"/>
      <c r="T1775" s="49"/>
      <c r="U1775" s="49"/>
      <c r="V1775" s="49"/>
      <c r="W1775" s="49"/>
      <c r="AA1775" s="156"/>
      <c r="AG1775" s="49"/>
    </row>
    <row r="1776" spans="1:33" x14ac:dyDescent="0.35">
      <c r="A1776" s="49"/>
      <c r="C1776" s="50"/>
      <c r="G1776" s="49"/>
      <c r="R1776" s="49"/>
      <c r="S1776" s="49"/>
      <c r="T1776" s="49"/>
      <c r="U1776" s="49"/>
      <c r="V1776" s="49"/>
      <c r="W1776" s="49"/>
      <c r="AA1776" s="156"/>
      <c r="AG1776" s="49"/>
    </row>
    <row r="1777" spans="1:33" x14ac:dyDescent="0.35">
      <c r="A1777" s="49"/>
      <c r="C1777" s="50"/>
      <c r="G1777" s="49"/>
      <c r="R1777" s="49"/>
      <c r="S1777" s="49"/>
      <c r="T1777" s="49"/>
      <c r="U1777" s="49"/>
      <c r="V1777" s="49"/>
      <c r="W1777" s="49"/>
      <c r="AA1777" s="156"/>
      <c r="AG1777" s="49"/>
    </row>
    <row r="1778" spans="1:33" x14ac:dyDescent="0.35">
      <c r="A1778" s="49"/>
      <c r="C1778" s="50"/>
      <c r="G1778" s="49"/>
      <c r="R1778" s="49"/>
      <c r="S1778" s="49"/>
      <c r="T1778" s="49"/>
      <c r="U1778" s="49"/>
      <c r="V1778" s="49"/>
      <c r="W1778" s="49"/>
      <c r="AA1778" s="156"/>
      <c r="AG1778" s="49"/>
    </row>
    <row r="1779" spans="1:33" x14ac:dyDescent="0.35">
      <c r="A1779" s="49"/>
      <c r="C1779" s="50"/>
      <c r="G1779" s="49"/>
      <c r="R1779" s="49"/>
      <c r="S1779" s="49"/>
      <c r="T1779" s="49"/>
      <c r="U1779" s="49"/>
      <c r="V1779" s="49"/>
      <c r="W1779" s="49"/>
      <c r="AA1779" s="156"/>
      <c r="AG1779" s="49"/>
    </row>
    <row r="1780" spans="1:33" x14ac:dyDescent="0.35">
      <c r="A1780" s="49"/>
      <c r="C1780" s="50"/>
      <c r="G1780" s="49"/>
      <c r="R1780" s="49"/>
      <c r="S1780" s="49"/>
      <c r="T1780" s="49"/>
      <c r="U1780" s="49"/>
      <c r="V1780" s="49"/>
      <c r="W1780" s="49"/>
      <c r="AA1780" s="156"/>
      <c r="AG1780" s="49"/>
    </row>
    <row r="1781" spans="1:33" x14ac:dyDescent="0.35">
      <c r="A1781" s="49"/>
      <c r="C1781" s="50"/>
      <c r="G1781" s="49"/>
      <c r="R1781" s="49"/>
      <c r="S1781" s="49"/>
      <c r="T1781" s="49"/>
      <c r="U1781" s="49"/>
      <c r="V1781" s="49"/>
      <c r="W1781" s="49"/>
      <c r="AA1781" s="156"/>
      <c r="AG1781" s="49"/>
    </row>
    <row r="1782" spans="1:33" x14ac:dyDescent="0.35">
      <c r="A1782" s="49"/>
      <c r="C1782" s="50"/>
      <c r="G1782" s="49"/>
      <c r="R1782" s="49"/>
      <c r="S1782" s="49"/>
      <c r="T1782" s="49"/>
      <c r="U1782" s="49"/>
      <c r="V1782" s="49"/>
      <c r="W1782" s="49"/>
      <c r="AA1782" s="156"/>
      <c r="AG1782" s="49"/>
    </row>
    <row r="1783" spans="1:33" x14ac:dyDescent="0.35">
      <c r="A1783" s="49"/>
      <c r="C1783" s="50"/>
      <c r="G1783" s="49"/>
      <c r="R1783" s="49"/>
      <c r="S1783" s="49"/>
      <c r="T1783" s="49"/>
      <c r="U1783" s="49"/>
      <c r="V1783" s="49"/>
      <c r="W1783" s="49"/>
      <c r="AA1783" s="156"/>
      <c r="AG1783" s="49"/>
    </row>
    <row r="1784" spans="1:33" x14ac:dyDescent="0.35">
      <c r="A1784" s="49"/>
      <c r="C1784" s="50"/>
      <c r="G1784" s="49"/>
      <c r="R1784" s="49"/>
      <c r="S1784" s="49"/>
      <c r="T1784" s="49"/>
      <c r="U1784" s="49"/>
      <c r="V1784" s="49"/>
      <c r="W1784" s="49"/>
      <c r="AA1784" s="156"/>
      <c r="AG1784" s="49"/>
    </row>
    <row r="1785" spans="1:33" x14ac:dyDescent="0.35">
      <c r="A1785" s="49"/>
      <c r="C1785" s="50"/>
      <c r="G1785" s="49"/>
      <c r="R1785" s="49"/>
      <c r="S1785" s="49"/>
      <c r="T1785" s="49"/>
      <c r="U1785" s="49"/>
      <c r="V1785" s="49"/>
      <c r="W1785" s="49"/>
      <c r="AA1785" s="156"/>
      <c r="AG1785" s="49"/>
    </row>
    <row r="1786" spans="1:33" x14ac:dyDescent="0.35">
      <c r="A1786" s="49"/>
      <c r="C1786" s="50"/>
      <c r="G1786" s="49"/>
      <c r="R1786" s="49"/>
      <c r="S1786" s="49"/>
      <c r="T1786" s="49"/>
      <c r="U1786" s="49"/>
      <c r="V1786" s="49"/>
      <c r="W1786" s="49"/>
      <c r="AA1786" s="156"/>
      <c r="AG1786" s="49"/>
    </row>
    <row r="1787" spans="1:33" x14ac:dyDescent="0.35">
      <c r="A1787" s="49"/>
      <c r="C1787" s="50"/>
      <c r="G1787" s="49"/>
      <c r="R1787" s="49"/>
      <c r="S1787" s="49"/>
      <c r="T1787" s="49"/>
      <c r="U1787" s="49"/>
      <c r="V1787" s="49"/>
      <c r="W1787" s="49"/>
      <c r="AA1787" s="156"/>
      <c r="AG1787" s="49"/>
    </row>
    <row r="1788" spans="1:33" x14ac:dyDescent="0.35">
      <c r="A1788" s="49"/>
      <c r="C1788" s="50"/>
      <c r="G1788" s="49"/>
      <c r="R1788" s="49"/>
      <c r="S1788" s="49"/>
      <c r="T1788" s="49"/>
      <c r="U1788" s="49"/>
      <c r="V1788" s="49"/>
      <c r="W1788" s="49"/>
      <c r="AA1788" s="156"/>
      <c r="AG1788" s="49"/>
    </row>
    <row r="1789" spans="1:33" x14ac:dyDescent="0.35">
      <c r="A1789" s="49"/>
      <c r="C1789" s="50"/>
      <c r="G1789" s="49"/>
      <c r="R1789" s="49"/>
      <c r="S1789" s="49"/>
      <c r="T1789" s="49"/>
      <c r="U1789" s="49"/>
      <c r="V1789" s="49"/>
      <c r="W1789" s="49"/>
      <c r="AA1789" s="156"/>
      <c r="AG1789" s="49"/>
    </row>
    <row r="1790" spans="1:33" x14ac:dyDescent="0.35">
      <c r="A1790" s="49"/>
      <c r="C1790" s="50"/>
      <c r="G1790" s="49"/>
      <c r="R1790" s="49"/>
      <c r="S1790" s="49"/>
      <c r="T1790" s="49"/>
      <c r="U1790" s="49"/>
      <c r="V1790" s="49"/>
      <c r="W1790" s="49"/>
      <c r="AA1790" s="156"/>
      <c r="AG1790" s="49"/>
    </row>
    <row r="1791" spans="1:33" x14ac:dyDescent="0.35">
      <c r="A1791" s="49"/>
      <c r="C1791" s="50"/>
      <c r="G1791" s="49"/>
      <c r="R1791" s="49"/>
      <c r="S1791" s="49"/>
      <c r="T1791" s="49"/>
      <c r="U1791" s="49"/>
      <c r="V1791" s="49"/>
      <c r="W1791" s="49"/>
      <c r="AA1791" s="156"/>
      <c r="AG1791" s="49"/>
    </row>
    <row r="1792" spans="1:33" x14ac:dyDescent="0.35">
      <c r="A1792" s="49"/>
      <c r="C1792" s="50"/>
      <c r="G1792" s="49"/>
      <c r="R1792" s="49"/>
      <c r="S1792" s="49"/>
      <c r="T1792" s="49"/>
      <c r="U1792" s="49"/>
      <c r="V1792" s="49"/>
      <c r="W1792" s="49"/>
      <c r="AA1792" s="156"/>
      <c r="AG1792" s="49"/>
    </row>
    <row r="1793" spans="1:33" x14ac:dyDescent="0.35">
      <c r="A1793" s="49"/>
      <c r="C1793" s="50"/>
      <c r="G1793" s="49"/>
      <c r="R1793" s="49"/>
      <c r="S1793" s="49"/>
      <c r="T1793" s="49"/>
      <c r="U1793" s="49"/>
      <c r="V1793" s="49"/>
      <c r="W1793" s="49"/>
      <c r="AA1793" s="156"/>
      <c r="AG1793" s="49"/>
    </row>
    <row r="1794" spans="1:33" x14ac:dyDescent="0.35">
      <c r="A1794" s="49"/>
      <c r="C1794" s="50"/>
      <c r="G1794" s="49"/>
      <c r="R1794" s="49"/>
      <c r="S1794" s="49"/>
      <c r="T1794" s="49"/>
      <c r="U1794" s="49"/>
      <c r="V1794" s="49"/>
      <c r="W1794" s="49"/>
      <c r="AA1794" s="156"/>
      <c r="AG1794" s="49"/>
    </row>
    <row r="1795" spans="1:33" x14ac:dyDescent="0.35">
      <c r="A1795" s="49"/>
      <c r="C1795" s="50"/>
      <c r="G1795" s="49"/>
      <c r="R1795" s="49"/>
      <c r="S1795" s="49"/>
      <c r="T1795" s="49"/>
      <c r="U1795" s="49"/>
      <c r="V1795" s="49"/>
      <c r="W1795" s="49"/>
      <c r="AA1795" s="156"/>
      <c r="AG1795" s="49"/>
    </row>
    <row r="1796" spans="1:33" x14ac:dyDescent="0.35">
      <c r="A1796" s="49"/>
      <c r="C1796" s="50"/>
      <c r="G1796" s="49"/>
      <c r="R1796" s="49"/>
      <c r="S1796" s="49"/>
      <c r="T1796" s="49"/>
      <c r="U1796" s="49"/>
      <c r="V1796" s="49"/>
      <c r="W1796" s="49"/>
      <c r="AA1796" s="156"/>
      <c r="AG1796" s="49"/>
    </row>
    <row r="1797" spans="1:33" x14ac:dyDescent="0.35">
      <c r="A1797" s="49"/>
      <c r="C1797" s="50"/>
      <c r="G1797" s="49"/>
      <c r="R1797" s="49"/>
      <c r="S1797" s="49"/>
      <c r="T1797" s="49"/>
      <c r="U1797" s="49"/>
      <c r="V1797" s="49"/>
      <c r="W1797" s="49"/>
      <c r="AA1797" s="156"/>
      <c r="AG1797" s="49"/>
    </row>
    <row r="1798" spans="1:33" x14ac:dyDescent="0.35">
      <c r="A1798" s="49"/>
      <c r="C1798" s="50"/>
      <c r="G1798" s="49"/>
      <c r="R1798" s="49"/>
      <c r="S1798" s="49"/>
      <c r="T1798" s="49"/>
      <c r="U1798" s="49"/>
      <c r="V1798" s="49"/>
      <c r="W1798" s="49"/>
      <c r="AA1798" s="156"/>
      <c r="AG1798" s="49"/>
    </row>
    <row r="1799" spans="1:33" x14ac:dyDescent="0.35">
      <c r="A1799" s="49"/>
      <c r="C1799" s="50"/>
      <c r="G1799" s="49"/>
      <c r="R1799" s="49"/>
      <c r="S1799" s="49"/>
      <c r="T1799" s="49"/>
      <c r="U1799" s="49"/>
      <c r="V1799" s="49"/>
      <c r="W1799" s="49"/>
      <c r="AA1799" s="156"/>
      <c r="AG1799" s="49"/>
    </row>
    <row r="1800" spans="1:33" x14ac:dyDescent="0.35">
      <c r="A1800" s="49"/>
      <c r="C1800" s="50"/>
      <c r="G1800" s="49"/>
      <c r="R1800" s="49"/>
      <c r="S1800" s="49"/>
      <c r="T1800" s="49"/>
      <c r="U1800" s="49"/>
      <c r="V1800" s="49"/>
      <c r="W1800" s="49"/>
      <c r="AA1800" s="156"/>
      <c r="AG1800" s="49"/>
    </row>
    <row r="1801" spans="1:33" x14ac:dyDescent="0.35">
      <c r="A1801" s="49"/>
      <c r="C1801" s="50"/>
      <c r="G1801" s="49"/>
      <c r="R1801" s="49"/>
      <c r="S1801" s="49"/>
      <c r="T1801" s="49"/>
      <c r="U1801" s="49"/>
      <c r="V1801" s="49"/>
      <c r="W1801" s="49"/>
      <c r="AA1801" s="156"/>
      <c r="AG1801" s="49"/>
    </row>
    <row r="1802" spans="1:33" x14ac:dyDescent="0.35">
      <c r="A1802" s="49"/>
      <c r="C1802" s="50"/>
      <c r="G1802" s="49"/>
      <c r="R1802" s="49"/>
      <c r="S1802" s="49"/>
      <c r="T1802" s="49"/>
      <c r="U1802" s="49"/>
      <c r="V1802" s="49"/>
      <c r="W1802" s="49"/>
      <c r="AA1802" s="156"/>
      <c r="AG1802" s="49"/>
    </row>
    <row r="1803" spans="1:33" x14ac:dyDescent="0.35">
      <c r="A1803" s="49"/>
      <c r="C1803" s="50"/>
      <c r="G1803" s="49"/>
      <c r="R1803" s="49"/>
      <c r="S1803" s="49"/>
      <c r="T1803" s="49"/>
      <c r="U1803" s="49"/>
      <c r="V1803" s="49"/>
      <c r="W1803" s="49"/>
      <c r="AA1803" s="156"/>
      <c r="AG1803" s="49"/>
    </row>
    <row r="1804" spans="1:33" x14ac:dyDescent="0.35">
      <c r="A1804" s="49"/>
      <c r="C1804" s="50"/>
      <c r="G1804" s="49"/>
      <c r="R1804" s="49"/>
      <c r="S1804" s="49"/>
      <c r="T1804" s="49"/>
      <c r="U1804" s="49"/>
      <c r="V1804" s="49"/>
      <c r="W1804" s="49"/>
      <c r="AA1804" s="156"/>
      <c r="AG1804" s="49"/>
    </row>
    <row r="1805" spans="1:33" x14ac:dyDescent="0.35">
      <c r="A1805" s="49"/>
      <c r="C1805" s="50"/>
      <c r="G1805" s="49"/>
      <c r="R1805" s="49"/>
      <c r="S1805" s="49"/>
      <c r="T1805" s="49"/>
      <c r="U1805" s="49"/>
      <c r="V1805" s="49"/>
      <c r="W1805" s="49"/>
      <c r="AA1805" s="156"/>
      <c r="AG1805" s="49"/>
    </row>
    <row r="1806" spans="1:33" x14ac:dyDescent="0.35">
      <c r="A1806" s="49"/>
      <c r="C1806" s="50"/>
      <c r="G1806" s="49"/>
      <c r="R1806" s="49"/>
      <c r="S1806" s="49"/>
      <c r="T1806" s="49"/>
      <c r="U1806" s="49"/>
      <c r="V1806" s="49"/>
      <c r="W1806" s="49"/>
      <c r="AA1806" s="156"/>
      <c r="AG1806" s="49"/>
    </row>
    <row r="1807" spans="1:33" x14ac:dyDescent="0.35">
      <c r="A1807" s="49"/>
      <c r="C1807" s="50"/>
      <c r="G1807" s="49"/>
      <c r="R1807" s="49"/>
      <c r="S1807" s="49"/>
      <c r="T1807" s="49"/>
      <c r="U1807" s="49"/>
      <c r="V1807" s="49"/>
      <c r="W1807" s="49"/>
      <c r="AA1807" s="156"/>
      <c r="AG1807" s="49"/>
    </row>
    <row r="1808" spans="1:33" x14ac:dyDescent="0.35">
      <c r="A1808" s="49"/>
      <c r="C1808" s="50"/>
      <c r="G1808" s="49"/>
      <c r="R1808" s="49"/>
      <c r="S1808" s="49"/>
      <c r="T1808" s="49"/>
      <c r="U1808" s="49"/>
      <c r="V1808" s="49"/>
      <c r="W1808" s="49"/>
      <c r="AA1808" s="156"/>
      <c r="AG1808" s="49"/>
    </row>
    <row r="1809" spans="1:33" x14ac:dyDescent="0.35">
      <c r="A1809" s="49"/>
      <c r="C1809" s="50"/>
      <c r="G1809" s="49"/>
      <c r="R1809" s="49"/>
      <c r="S1809" s="49"/>
      <c r="T1809" s="49"/>
      <c r="U1809" s="49"/>
      <c r="V1809" s="49"/>
      <c r="W1809" s="49"/>
      <c r="AA1809" s="156"/>
      <c r="AG1809" s="49"/>
    </row>
    <row r="1810" spans="1:33" x14ac:dyDescent="0.35">
      <c r="A1810" s="49"/>
      <c r="C1810" s="50"/>
      <c r="G1810" s="49"/>
      <c r="R1810" s="49"/>
      <c r="S1810" s="49"/>
      <c r="T1810" s="49"/>
      <c r="U1810" s="49"/>
      <c r="V1810" s="49"/>
      <c r="W1810" s="49"/>
      <c r="AA1810" s="156"/>
      <c r="AG1810" s="49"/>
    </row>
    <row r="1811" spans="1:33" x14ac:dyDescent="0.35">
      <c r="A1811" s="49"/>
      <c r="C1811" s="50"/>
      <c r="G1811" s="49"/>
      <c r="R1811" s="49"/>
      <c r="S1811" s="49"/>
      <c r="T1811" s="49"/>
      <c r="U1811" s="49"/>
      <c r="V1811" s="49"/>
      <c r="W1811" s="49"/>
      <c r="AA1811" s="156"/>
      <c r="AG1811" s="49"/>
    </row>
    <row r="1812" spans="1:33" x14ac:dyDescent="0.35">
      <c r="A1812" s="49"/>
      <c r="C1812" s="50"/>
      <c r="G1812" s="49"/>
      <c r="R1812" s="49"/>
      <c r="S1812" s="49"/>
      <c r="T1812" s="49"/>
      <c r="U1812" s="49"/>
      <c r="V1812" s="49"/>
      <c r="W1812" s="49"/>
      <c r="AA1812" s="156"/>
      <c r="AG1812" s="49"/>
    </row>
    <row r="1813" spans="1:33" x14ac:dyDescent="0.35">
      <c r="A1813" s="49"/>
      <c r="C1813" s="50"/>
      <c r="G1813" s="49"/>
      <c r="R1813" s="49"/>
      <c r="S1813" s="49"/>
      <c r="T1813" s="49"/>
      <c r="U1813" s="49"/>
      <c r="V1813" s="49"/>
      <c r="W1813" s="49"/>
      <c r="AA1813" s="156"/>
      <c r="AG1813" s="49"/>
    </row>
    <row r="1814" spans="1:33" x14ac:dyDescent="0.35">
      <c r="A1814" s="49"/>
      <c r="C1814" s="50"/>
      <c r="G1814" s="49"/>
      <c r="R1814" s="49"/>
      <c r="S1814" s="49"/>
      <c r="T1814" s="49"/>
      <c r="U1814" s="49"/>
      <c r="V1814" s="49"/>
      <c r="W1814" s="49"/>
      <c r="AA1814" s="156"/>
      <c r="AG1814" s="49"/>
    </row>
    <row r="1815" spans="1:33" x14ac:dyDescent="0.35">
      <c r="A1815" s="49"/>
      <c r="C1815" s="50"/>
      <c r="G1815" s="49"/>
      <c r="R1815" s="49"/>
      <c r="S1815" s="49"/>
      <c r="T1815" s="49"/>
      <c r="U1815" s="49"/>
      <c r="V1815" s="49"/>
      <c r="W1815" s="49"/>
      <c r="AA1815" s="156"/>
      <c r="AG1815" s="49"/>
    </row>
    <row r="1816" spans="1:33" x14ac:dyDescent="0.35">
      <c r="A1816" s="49"/>
      <c r="C1816" s="50"/>
      <c r="G1816" s="49"/>
      <c r="R1816" s="49"/>
      <c r="S1816" s="49"/>
      <c r="T1816" s="49"/>
      <c r="U1816" s="49"/>
      <c r="V1816" s="49"/>
      <c r="W1816" s="49"/>
      <c r="AA1816" s="156"/>
      <c r="AG1816" s="49"/>
    </row>
    <row r="1817" spans="1:33" x14ac:dyDescent="0.35">
      <c r="A1817" s="49"/>
      <c r="C1817" s="50"/>
      <c r="G1817" s="49"/>
      <c r="R1817" s="49"/>
      <c r="S1817" s="49"/>
      <c r="T1817" s="49"/>
      <c r="U1817" s="49"/>
      <c r="V1817" s="49"/>
      <c r="W1817" s="49"/>
      <c r="AA1817" s="156"/>
      <c r="AG1817" s="49"/>
    </row>
    <row r="1818" spans="1:33" x14ac:dyDescent="0.35">
      <c r="A1818" s="49"/>
      <c r="C1818" s="50"/>
      <c r="G1818" s="49"/>
      <c r="R1818" s="49"/>
      <c r="S1818" s="49"/>
      <c r="T1818" s="49"/>
      <c r="U1818" s="49"/>
      <c r="V1818" s="49"/>
      <c r="W1818" s="49"/>
      <c r="AA1818" s="156"/>
      <c r="AG1818" s="49"/>
    </row>
    <row r="1819" spans="1:33" x14ac:dyDescent="0.35">
      <c r="A1819" s="49"/>
      <c r="C1819" s="50"/>
      <c r="G1819" s="49"/>
      <c r="R1819" s="49"/>
      <c r="S1819" s="49"/>
      <c r="T1819" s="49"/>
      <c r="U1819" s="49"/>
      <c r="V1819" s="49"/>
      <c r="W1819" s="49"/>
      <c r="AA1819" s="156"/>
      <c r="AG1819" s="49"/>
    </row>
    <row r="1820" spans="1:33" x14ac:dyDescent="0.35">
      <c r="A1820" s="49"/>
      <c r="C1820" s="50"/>
      <c r="G1820" s="49"/>
      <c r="R1820" s="49"/>
      <c r="S1820" s="49"/>
      <c r="T1820" s="49"/>
      <c r="U1820" s="49"/>
      <c r="V1820" s="49"/>
      <c r="W1820" s="49"/>
      <c r="AA1820" s="156"/>
      <c r="AG1820" s="49"/>
    </row>
    <row r="1821" spans="1:33" x14ac:dyDescent="0.35">
      <c r="A1821" s="49"/>
      <c r="C1821" s="50"/>
      <c r="G1821" s="49"/>
      <c r="R1821" s="49"/>
      <c r="S1821" s="49"/>
      <c r="T1821" s="49"/>
      <c r="U1821" s="49"/>
      <c r="V1821" s="49"/>
      <c r="W1821" s="49"/>
      <c r="AA1821" s="156"/>
      <c r="AG1821" s="49"/>
    </row>
    <row r="1822" spans="1:33" x14ac:dyDescent="0.35">
      <c r="A1822" s="49"/>
      <c r="C1822" s="50"/>
      <c r="G1822" s="49"/>
      <c r="R1822" s="49"/>
      <c r="S1822" s="49"/>
      <c r="T1822" s="49"/>
      <c r="U1822" s="49"/>
      <c r="V1822" s="49"/>
      <c r="W1822" s="49"/>
      <c r="AA1822" s="156"/>
      <c r="AG1822" s="49"/>
    </row>
    <row r="1823" spans="1:33" x14ac:dyDescent="0.35">
      <c r="A1823" s="49"/>
      <c r="C1823" s="50"/>
      <c r="G1823" s="49"/>
      <c r="R1823" s="49"/>
      <c r="S1823" s="49"/>
      <c r="T1823" s="49"/>
      <c r="U1823" s="49"/>
      <c r="V1823" s="49"/>
      <c r="W1823" s="49"/>
      <c r="AA1823" s="156"/>
      <c r="AG1823" s="49"/>
    </row>
    <row r="1824" spans="1:33" x14ac:dyDescent="0.35">
      <c r="A1824" s="49"/>
      <c r="C1824" s="50"/>
      <c r="G1824" s="49"/>
      <c r="R1824" s="49"/>
      <c r="S1824" s="49"/>
      <c r="T1824" s="49"/>
      <c r="U1824" s="49"/>
      <c r="V1824" s="49"/>
      <c r="W1824" s="49"/>
      <c r="AA1824" s="156"/>
      <c r="AG1824" s="49"/>
    </row>
    <row r="1825" spans="1:33" x14ac:dyDescent="0.35">
      <c r="A1825" s="49"/>
      <c r="C1825" s="50"/>
      <c r="G1825" s="49"/>
      <c r="R1825" s="49"/>
      <c r="S1825" s="49"/>
      <c r="T1825" s="49"/>
      <c r="U1825" s="49"/>
      <c r="V1825" s="49"/>
      <c r="W1825" s="49"/>
      <c r="AA1825" s="156"/>
      <c r="AG1825" s="49"/>
    </row>
    <row r="1826" spans="1:33" x14ac:dyDescent="0.35">
      <c r="A1826" s="49"/>
      <c r="C1826" s="50"/>
      <c r="G1826" s="49"/>
      <c r="R1826" s="49"/>
      <c r="S1826" s="49"/>
      <c r="T1826" s="49"/>
      <c r="U1826" s="49"/>
      <c r="V1826" s="49"/>
      <c r="W1826" s="49"/>
      <c r="AA1826" s="156"/>
      <c r="AG1826" s="49"/>
    </row>
    <row r="1827" spans="1:33" x14ac:dyDescent="0.35">
      <c r="A1827" s="49"/>
      <c r="C1827" s="50"/>
      <c r="G1827" s="49"/>
      <c r="R1827" s="49"/>
      <c r="S1827" s="49"/>
      <c r="T1827" s="49"/>
      <c r="U1827" s="49"/>
      <c r="V1827" s="49"/>
      <c r="W1827" s="49"/>
      <c r="AA1827" s="156"/>
      <c r="AG1827" s="49"/>
    </row>
    <row r="1828" spans="1:33" x14ac:dyDescent="0.35">
      <c r="A1828" s="49"/>
      <c r="C1828" s="50"/>
      <c r="G1828" s="49"/>
      <c r="R1828" s="49"/>
      <c r="S1828" s="49"/>
      <c r="T1828" s="49"/>
      <c r="U1828" s="49"/>
      <c r="V1828" s="49"/>
      <c r="W1828" s="49"/>
      <c r="AA1828" s="156"/>
      <c r="AG1828" s="49"/>
    </row>
    <row r="1829" spans="1:33" x14ac:dyDescent="0.35">
      <c r="A1829" s="49"/>
      <c r="C1829" s="50"/>
      <c r="G1829" s="49"/>
      <c r="R1829" s="49"/>
      <c r="S1829" s="49"/>
      <c r="T1829" s="49"/>
      <c r="U1829" s="49"/>
      <c r="V1829" s="49"/>
      <c r="W1829" s="49"/>
      <c r="AA1829" s="156"/>
      <c r="AG1829" s="49"/>
    </row>
    <row r="1830" spans="1:33" x14ac:dyDescent="0.35">
      <c r="A1830" s="49"/>
      <c r="C1830" s="50"/>
      <c r="G1830" s="49"/>
      <c r="R1830" s="49"/>
      <c r="S1830" s="49"/>
      <c r="T1830" s="49"/>
      <c r="U1830" s="49"/>
      <c r="V1830" s="49"/>
      <c r="W1830" s="49"/>
      <c r="AA1830" s="156"/>
      <c r="AG1830" s="49"/>
    </row>
    <row r="1831" spans="1:33" x14ac:dyDescent="0.35">
      <c r="A1831" s="49"/>
      <c r="C1831" s="50"/>
      <c r="G1831" s="49"/>
      <c r="R1831" s="49"/>
      <c r="S1831" s="49"/>
      <c r="T1831" s="49"/>
      <c r="U1831" s="49"/>
      <c r="V1831" s="49"/>
      <c r="W1831" s="49"/>
      <c r="AA1831" s="156"/>
      <c r="AG1831" s="49"/>
    </row>
    <row r="1832" spans="1:33" x14ac:dyDescent="0.35">
      <c r="A1832" s="49"/>
      <c r="C1832" s="50"/>
      <c r="G1832" s="49"/>
      <c r="R1832" s="49"/>
      <c r="S1832" s="49"/>
      <c r="T1832" s="49"/>
      <c r="U1832" s="49"/>
      <c r="V1832" s="49"/>
      <c r="W1832" s="49"/>
      <c r="AA1832" s="156"/>
      <c r="AG1832" s="49"/>
    </row>
    <row r="1833" spans="1:33" x14ac:dyDescent="0.35">
      <c r="A1833" s="49"/>
      <c r="C1833" s="50"/>
      <c r="G1833" s="49"/>
      <c r="R1833" s="49"/>
      <c r="S1833" s="49"/>
      <c r="T1833" s="49"/>
      <c r="U1833" s="49"/>
      <c r="V1833" s="49"/>
      <c r="W1833" s="49"/>
      <c r="AA1833" s="156"/>
      <c r="AG1833" s="49"/>
    </row>
    <row r="1834" spans="1:33" x14ac:dyDescent="0.35">
      <c r="A1834" s="49"/>
      <c r="C1834" s="50"/>
      <c r="G1834" s="49"/>
      <c r="R1834" s="49"/>
      <c r="S1834" s="49"/>
      <c r="T1834" s="49"/>
      <c r="U1834" s="49"/>
      <c r="V1834" s="49"/>
      <c r="W1834" s="49"/>
      <c r="AA1834" s="156"/>
      <c r="AG1834" s="49"/>
    </row>
    <row r="1835" spans="1:33" x14ac:dyDescent="0.35">
      <c r="A1835" s="49"/>
      <c r="C1835" s="50"/>
      <c r="G1835" s="49"/>
      <c r="R1835" s="49"/>
      <c r="S1835" s="49"/>
      <c r="T1835" s="49"/>
      <c r="U1835" s="49"/>
      <c r="V1835" s="49"/>
      <c r="W1835" s="49"/>
      <c r="AA1835" s="156"/>
      <c r="AG1835" s="49"/>
    </row>
    <row r="1836" spans="1:33" x14ac:dyDescent="0.35">
      <c r="A1836" s="49"/>
      <c r="C1836" s="50"/>
      <c r="G1836" s="49"/>
      <c r="R1836" s="49"/>
      <c r="S1836" s="49"/>
      <c r="T1836" s="49"/>
      <c r="U1836" s="49"/>
      <c r="V1836" s="49"/>
      <c r="W1836" s="49"/>
      <c r="AA1836" s="156"/>
      <c r="AG1836" s="49"/>
    </row>
    <row r="1837" spans="1:33" x14ac:dyDescent="0.35">
      <c r="A1837" s="49"/>
      <c r="C1837" s="50"/>
      <c r="G1837" s="49"/>
      <c r="R1837" s="49"/>
      <c r="S1837" s="49"/>
      <c r="T1837" s="49"/>
      <c r="U1837" s="49"/>
      <c r="V1837" s="49"/>
      <c r="W1837" s="49"/>
      <c r="AA1837" s="156"/>
      <c r="AG1837" s="49"/>
    </row>
    <row r="1838" spans="1:33" x14ac:dyDescent="0.35">
      <c r="A1838" s="49"/>
      <c r="C1838" s="50"/>
      <c r="G1838" s="49"/>
      <c r="R1838" s="49"/>
      <c r="S1838" s="49"/>
      <c r="T1838" s="49"/>
      <c r="U1838" s="49"/>
      <c r="V1838" s="49"/>
      <c r="W1838" s="49"/>
      <c r="AA1838" s="156"/>
      <c r="AG1838" s="49"/>
    </row>
    <row r="1839" spans="1:33" x14ac:dyDescent="0.35">
      <c r="A1839" s="49"/>
      <c r="C1839" s="50"/>
      <c r="G1839" s="49"/>
      <c r="R1839" s="49"/>
      <c r="S1839" s="49"/>
      <c r="T1839" s="49"/>
      <c r="U1839" s="49"/>
      <c r="V1839" s="49"/>
      <c r="W1839" s="49"/>
      <c r="AA1839" s="156"/>
      <c r="AG1839" s="49"/>
    </row>
    <row r="1840" spans="1:33" x14ac:dyDescent="0.35">
      <c r="A1840" s="49"/>
      <c r="C1840" s="50"/>
      <c r="G1840" s="49"/>
      <c r="R1840" s="49"/>
      <c r="S1840" s="49"/>
      <c r="T1840" s="49"/>
      <c r="U1840" s="49"/>
      <c r="V1840" s="49"/>
      <c r="W1840" s="49"/>
      <c r="AA1840" s="156"/>
      <c r="AG1840" s="49"/>
    </row>
    <row r="1841" spans="1:33" x14ac:dyDescent="0.35">
      <c r="A1841" s="49"/>
      <c r="C1841" s="50"/>
      <c r="G1841" s="49"/>
      <c r="R1841" s="49"/>
      <c r="S1841" s="49"/>
      <c r="T1841" s="49"/>
      <c r="U1841" s="49"/>
      <c r="V1841" s="49"/>
      <c r="W1841" s="49"/>
      <c r="AA1841" s="156"/>
      <c r="AG1841" s="49"/>
    </row>
    <row r="1842" spans="1:33" x14ac:dyDescent="0.35">
      <c r="A1842" s="49"/>
      <c r="C1842" s="50"/>
      <c r="G1842" s="49"/>
      <c r="R1842" s="49"/>
      <c r="S1842" s="49"/>
      <c r="T1842" s="49"/>
      <c r="U1842" s="49"/>
      <c r="V1842" s="49"/>
      <c r="W1842" s="49"/>
      <c r="AA1842" s="156"/>
      <c r="AG1842" s="49"/>
    </row>
    <row r="1843" spans="1:33" x14ac:dyDescent="0.35">
      <c r="A1843" s="49"/>
      <c r="C1843" s="50"/>
      <c r="G1843" s="49"/>
      <c r="R1843" s="49"/>
      <c r="S1843" s="49"/>
      <c r="T1843" s="49"/>
      <c r="U1843" s="49"/>
      <c r="V1843" s="49"/>
      <c r="W1843" s="49"/>
      <c r="AA1843" s="156"/>
      <c r="AG1843" s="49"/>
    </row>
    <row r="1844" spans="1:33" x14ac:dyDescent="0.35">
      <c r="A1844" s="49"/>
      <c r="C1844" s="50"/>
      <c r="G1844" s="49"/>
      <c r="R1844" s="49"/>
      <c r="S1844" s="49"/>
      <c r="T1844" s="49"/>
      <c r="U1844" s="49"/>
      <c r="V1844" s="49"/>
      <c r="W1844" s="49"/>
      <c r="AA1844" s="156"/>
      <c r="AG1844" s="49"/>
    </row>
    <row r="1845" spans="1:33" x14ac:dyDescent="0.35">
      <c r="A1845" s="49"/>
      <c r="C1845" s="50"/>
      <c r="G1845" s="49"/>
      <c r="R1845" s="49"/>
      <c r="S1845" s="49"/>
      <c r="T1845" s="49"/>
      <c r="U1845" s="49"/>
      <c r="V1845" s="49"/>
      <c r="W1845" s="49"/>
      <c r="AA1845" s="156"/>
      <c r="AG1845" s="49"/>
    </row>
    <row r="1846" spans="1:33" x14ac:dyDescent="0.35">
      <c r="A1846" s="49"/>
      <c r="C1846" s="50"/>
      <c r="G1846" s="49"/>
      <c r="R1846" s="49"/>
      <c r="S1846" s="49"/>
      <c r="T1846" s="49"/>
      <c r="U1846" s="49"/>
      <c r="V1846" s="49"/>
      <c r="W1846" s="49"/>
      <c r="AA1846" s="156"/>
      <c r="AG1846" s="49"/>
    </row>
    <row r="1847" spans="1:33" x14ac:dyDescent="0.35">
      <c r="A1847" s="49"/>
      <c r="C1847" s="50"/>
      <c r="G1847" s="49"/>
      <c r="R1847" s="49"/>
      <c r="S1847" s="49"/>
      <c r="T1847" s="49"/>
      <c r="U1847" s="49"/>
      <c r="V1847" s="49"/>
      <c r="W1847" s="49"/>
      <c r="AA1847" s="156"/>
      <c r="AG1847" s="49"/>
    </row>
    <row r="1848" spans="1:33" x14ac:dyDescent="0.35">
      <c r="A1848" s="49"/>
      <c r="C1848" s="50"/>
      <c r="G1848" s="49"/>
      <c r="R1848" s="49"/>
      <c r="S1848" s="49"/>
      <c r="T1848" s="49"/>
      <c r="U1848" s="49"/>
      <c r="V1848" s="49"/>
      <c r="W1848" s="49"/>
      <c r="AA1848" s="156"/>
      <c r="AG1848" s="49"/>
    </row>
    <row r="1849" spans="1:33" x14ac:dyDescent="0.35">
      <c r="A1849" s="49"/>
      <c r="C1849" s="50"/>
      <c r="G1849" s="49"/>
      <c r="R1849" s="49"/>
      <c r="S1849" s="49"/>
      <c r="T1849" s="49"/>
      <c r="U1849" s="49"/>
      <c r="V1849" s="49"/>
      <c r="W1849" s="49"/>
      <c r="AA1849" s="156"/>
      <c r="AG1849" s="49"/>
    </row>
    <row r="1850" spans="1:33" x14ac:dyDescent="0.35">
      <c r="A1850" s="49"/>
      <c r="C1850" s="50"/>
      <c r="G1850" s="49"/>
      <c r="R1850" s="49"/>
      <c r="S1850" s="49"/>
      <c r="T1850" s="49"/>
      <c r="U1850" s="49"/>
      <c r="V1850" s="49"/>
      <c r="W1850" s="49"/>
      <c r="AA1850" s="156"/>
      <c r="AG1850" s="49"/>
    </row>
    <row r="1851" spans="1:33" x14ac:dyDescent="0.35">
      <c r="A1851" s="49"/>
      <c r="C1851" s="50"/>
      <c r="G1851" s="49"/>
      <c r="R1851" s="49"/>
      <c r="S1851" s="49"/>
      <c r="T1851" s="49"/>
      <c r="U1851" s="49"/>
      <c r="V1851" s="49"/>
      <c r="W1851" s="49"/>
      <c r="AA1851" s="156"/>
      <c r="AG1851" s="49"/>
    </row>
    <row r="1852" spans="1:33" x14ac:dyDescent="0.35">
      <c r="A1852" s="49"/>
      <c r="C1852" s="50"/>
      <c r="G1852" s="49"/>
      <c r="R1852" s="49"/>
      <c r="S1852" s="49"/>
      <c r="T1852" s="49"/>
      <c r="U1852" s="49"/>
      <c r="V1852" s="49"/>
      <c r="W1852" s="49"/>
      <c r="AA1852" s="156"/>
      <c r="AG1852" s="49"/>
    </row>
    <row r="1853" spans="1:33" x14ac:dyDescent="0.35">
      <c r="A1853" s="49"/>
      <c r="C1853" s="50"/>
      <c r="G1853" s="49"/>
      <c r="R1853" s="49"/>
      <c r="S1853" s="49"/>
      <c r="T1853" s="49"/>
      <c r="U1853" s="49"/>
      <c r="V1853" s="49"/>
      <c r="W1853" s="49"/>
      <c r="AA1853" s="156"/>
      <c r="AG1853" s="49"/>
    </row>
    <row r="1854" spans="1:33" x14ac:dyDescent="0.35">
      <c r="A1854" s="49"/>
      <c r="C1854" s="50"/>
      <c r="G1854" s="49"/>
      <c r="R1854" s="49"/>
      <c r="S1854" s="49"/>
      <c r="T1854" s="49"/>
      <c r="U1854" s="49"/>
      <c r="V1854" s="49"/>
      <c r="W1854" s="49"/>
      <c r="AA1854" s="156"/>
      <c r="AG1854" s="49"/>
    </row>
    <row r="1855" spans="1:33" x14ac:dyDescent="0.35">
      <c r="A1855" s="49"/>
      <c r="C1855" s="50"/>
      <c r="G1855" s="49"/>
      <c r="R1855" s="49"/>
      <c r="S1855" s="49"/>
      <c r="T1855" s="49"/>
      <c r="U1855" s="49"/>
      <c r="V1855" s="49"/>
      <c r="W1855" s="49"/>
      <c r="AA1855" s="156"/>
      <c r="AG1855" s="49"/>
    </row>
    <row r="1856" spans="1:33" x14ac:dyDescent="0.35">
      <c r="A1856" s="49"/>
      <c r="C1856" s="50"/>
      <c r="G1856" s="49"/>
      <c r="R1856" s="49"/>
      <c r="S1856" s="49"/>
      <c r="T1856" s="49"/>
      <c r="U1856" s="49"/>
      <c r="V1856" s="49"/>
      <c r="W1856" s="49"/>
      <c r="AA1856" s="156"/>
      <c r="AG1856" s="49"/>
    </row>
    <row r="1857" spans="1:33" x14ac:dyDescent="0.35">
      <c r="A1857" s="49"/>
      <c r="C1857" s="50"/>
      <c r="G1857" s="49"/>
      <c r="R1857" s="49"/>
      <c r="S1857" s="49"/>
      <c r="T1857" s="49"/>
      <c r="U1857" s="49"/>
      <c r="V1857" s="49"/>
      <c r="W1857" s="49"/>
      <c r="AA1857" s="156"/>
      <c r="AG1857" s="49"/>
    </row>
    <row r="1858" spans="1:33" x14ac:dyDescent="0.35">
      <c r="A1858" s="49"/>
      <c r="C1858" s="50"/>
      <c r="G1858" s="49"/>
      <c r="R1858" s="49"/>
      <c r="S1858" s="49"/>
      <c r="T1858" s="49"/>
      <c r="U1858" s="49"/>
      <c r="V1858" s="49"/>
      <c r="W1858" s="49"/>
      <c r="AA1858" s="156"/>
      <c r="AG1858" s="49"/>
    </row>
    <row r="1859" spans="1:33" x14ac:dyDescent="0.35">
      <c r="A1859" s="49"/>
      <c r="C1859" s="50"/>
      <c r="G1859" s="49"/>
      <c r="R1859" s="49"/>
      <c r="S1859" s="49"/>
      <c r="T1859" s="49"/>
      <c r="U1859" s="49"/>
      <c r="V1859" s="49"/>
      <c r="W1859" s="49"/>
      <c r="AA1859" s="156"/>
      <c r="AG1859" s="49"/>
    </row>
    <row r="1860" spans="1:33" x14ac:dyDescent="0.35">
      <c r="A1860" s="49"/>
      <c r="C1860" s="50"/>
      <c r="G1860" s="49"/>
      <c r="R1860" s="49"/>
      <c r="S1860" s="49"/>
      <c r="T1860" s="49"/>
      <c r="U1860" s="49"/>
      <c r="V1860" s="49"/>
      <c r="W1860" s="49"/>
      <c r="AA1860" s="156"/>
      <c r="AG1860" s="49"/>
    </row>
    <row r="1861" spans="1:33" x14ac:dyDescent="0.35">
      <c r="A1861" s="49"/>
      <c r="C1861" s="50"/>
      <c r="G1861" s="49"/>
      <c r="R1861" s="49"/>
      <c r="S1861" s="49"/>
      <c r="T1861" s="49"/>
      <c r="U1861" s="49"/>
      <c r="V1861" s="49"/>
      <c r="W1861" s="49"/>
      <c r="AA1861" s="156"/>
      <c r="AG1861" s="49"/>
    </row>
    <row r="1862" spans="1:33" x14ac:dyDescent="0.35">
      <c r="A1862" s="49"/>
      <c r="C1862" s="50"/>
      <c r="G1862" s="49"/>
      <c r="R1862" s="49"/>
      <c r="S1862" s="49"/>
      <c r="T1862" s="49"/>
      <c r="U1862" s="49"/>
      <c r="V1862" s="49"/>
      <c r="W1862" s="49"/>
      <c r="AA1862" s="156"/>
      <c r="AG1862" s="49"/>
    </row>
    <row r="1863" spans="1:33" x14ac:dyDescent="0.35">
      <c r="A1863" s="49"/>
      <c r="C1863" s="50"/>
      <c r="G1863" s="49"/>
      <c r="R1863" s="49"/>
      <c r="S1863" s="49"/>
      <c r="T1863" s="49"/>
      <c r="U1863" s="49"/>
      <c r="V1863" s="49"/>
      <c r="W1863" s="49"/>
      <c r="AA1863" s="156"/>
      <c r="AG1863" s="49"/>
    </row>
    <row r="1864" spans="1:33" x14ac:dyDescent="0.35">
      <c r="A1864" s="49"/>
      <c r="C1864" s="50"/>
      <c r="G1864" s="49"/>
      <c r="R1864" s="49"/>
      <c r="S1864" s="49"/>
      <c r="T1864" s="49"/>
      <c r="U1864" s="49"/>
      <c r="V1864" s="49"/>
      <c r="W1864" s="49"/>
      <c r="AA1864" s="156"/>
      <c r="AG1864" s="49"/>
    </row>
    <row r="1865" spans="1:33" x14ac:dyDescent="0.35">
      <c r="A1865" s="49"/>
      <c r="C1865" s="50"/>
      <c r="G1865" s="49"/>
      <c r="R1865" s="49"/>
      <c r="S1865" s="49"/>
      <c r="T1865" s="49"/>
      <c r="U1865" s="49"/>
      <c r="V1865" s="49"/>
      <c r="W1865" s="49"/>
      <c r="AA1865" s="156"/>
      <c r="AG1865" s="49"/>
    </row>
    <row r="1866" spans="1:33" x14ac:dyDescent="0.35">
      <c r="A1866" s="49"/>
      <c r="C1866" s="50"/>
      <c r="G1866" s="49"/>
      <c r="R1866" s="49"/>
      <c r="S1866" s="49"/>
      <c r="T1866" s="49"/>
      <c r="U1866" s="49"/>
      <c r="V1866" s="49"/>
      <c r="W1866" s="49"/>
      <c r="AA1866" s="156"/>
      <c r="AG1866" s="49"/>
    </row>
    <row r="1867" spans="1:33" x14ac:dyDescent="0.35">
      <c r="A1867" s="49"/>
      <c r="C1867" s="50"/>
      <c r="G1867" s="49"/>
      <c r="R1867" s="49"/>
      <c r="S1867" s="49"/>
      <c r="T1867" s="49"/>
      <c r="U1867" s="49"/>
      <c r="V1867" s="49"/>
      <c r="W1867" s="49"/>
      <c r="AA1867" s="156"/>
      <c r="AG1867" s="49"/>
    </row>
    <row r="1868" spans="1:33" x14ac:dyDescent="0.35">
      <c r="A1868" s="49"/>
      <c r="C1868" s="50"/>
      <c r="G1868" s="49"/>
      <c r="R1868" s="49"/>
      <c r="S1868" s="49"/>
      <c r="T1868" s="49"/>
      <c r="U1868" s="49"/>
      <c r="V1868" s="49"/>
      <c r="W1868" s="49"/>
      <c r="AA1868" s="156"/>
      <c r="AG1868" s="49"/>
    </row>
    <row r="1869" spans="1:33" x14ac:dyDescent="0.35">
      <c r="A1869" s="49"/>
      <c r="C1869" s="50"/>
      <c r="G1869" s="49"/>
      <c r="R1869" s="49"/>
      <c r="S1869" s="49"/>
      <c r="T1869" s="49"/>
      <c r="U1869" s="49"/>
      <c r="V1869" s="49"/>
      <c r="W1869" s="49"/>
      <c r="AA1869" s="156"/>
      <c r="AG1869" s="49"/>
    </row>
    <row r="1870" spans="1:33" x14ac:dyDescent="0.35">
      <c r="A1870" s="49"/>
      <c r="C1870" s="50"/>
      <c r="G1870" s="49"/>
      <c r="R1870" s="49"/>
      <c r="S1870" s="49"/>
      <c r="T1870" s="49"/>
      <c r="U1870" s="49"/>
      <c r="V1870" s="49"/>
      <c r="W1870" s="49"/>
      <c r="AA1870" s="156"/>
      <c r="AG1870" s="49"/>
    </row>
    <row r="1871" spans="1:33" x14ac:dyDescent="0.35">
      <c r="A1871" s="49"/>
      <c r="C1871" s="50"/>
      <c r="G1871" s="49"/>
      <c r="R1871" s="49"/>
      <c r="S1871" s="49"/>
      <c r="T1871" s="49"/>
      <c r="U1871" s="49"/>
      <c r="V1871" s="49"/>
      <c r="W1871" s="49"/>
      <c r="AA1871" s="156"/>
      <c r="AG1871" s="49"/>
    </row>
    <row r="1872" spans="1:33" x14ac:dyDescent="0.35">
      <c r="A1872" s="49"/>
      <c r="C1872" s="50"/>
      <c r="G1872" s="49"/>
      <c r="R1872" s="49"/>
      <c r="S1872" s="49"/>
      <c r="T1872" s="49"/>
      <c r="U1872" s="49"/>
      <c r="V1872" s="49"/>
      <c r="W1872" s="49"/>
      <c r="AA1872" s="156"/>
      <c r="AG1872" s="49"/>
    </row>
    <row r="1873" spans="1:33" x14ac:dyDescent="0.35">
      <c r="A1873" s="49"/>
      <c r="C1873" s="50"/>
      <c r="G1873" s="49"/>
      <c r="R1873" s="49"/>
      <c r="S1873" s="49"/>
      <c r="T1873" s="49"/>
      <c r="U1873" s="49"/>
      <c r="V1873" s="49"/>
      <c r="W1873" s="49"/>
      <c r="AA1873" s="156"/>
      <c r="AG1873" s="49"/>
    </row>
    <row r="1874" spans="1:33" x14ac:dyDescent="0.35">
      <c r="A1874" s="49"/>
      <c r="C1874" s="50"/>
      <c r="G1874" s="49"/>
      <c r="R1874" s="49"/>
      <c r="S1874" s="49"/>
      <c r="T1874" s="49"/>
      <c r="U1874" s="49"/>
      <c r="V1874" s="49"/>
      <c r="W1874" s="49"/>
      <c r="AA1874" s="156"/>
      <c r="AG1874" s="49"/>
    </row>
    <row r="1875" spans="1:33" x14ac:dyDescent="0.35">
      <c r="A1875" s="49"/>
      <c r="C1875" s="50"/>
      <c r="G1875" s="49"/>
      <c r="R1875" s="49"/>
      <c r="S1875" s="49"/>
      <c r="T1875" s="49"/>
      <c r="U1875" s="49"/>
      <c r="V1875" s="49"/>
      <c r="W1875" s="49"/>
      <c r="AA1875" s="156"/>
      <c r="AG1875" s="49"/>
    </row>
    <row r="1876" spans="1:33" x14ac:dyDescent="0.35">
      <c r="A1876" s="49"/>
      <c r="C1876" s="50"/>
      <c r="G1876" s="49"/>
      <c r="R1876" s="49"/>
      <c r="S1876" s="49"/>
      <c r="T1876" s="49"/>
      <c r="U1876" s="49"/>
      <c r="V1876" s="49"/>
      <c r="W1876" s="49"/>
      <c r="AA1876" s="156"/>
      <c r="AG1876" s="49"/>
    </row>
    <row r="1877" spans="1:33" x14ac:dyDescent="0.35">
      <c r="A1877" s="49"/>
      <c r="C1877" s="50"/>
      <c r="G1877" s="49"/>
      <c r="R1877" s="49"/>
      <c r="S1877" s="49"/>
      <c r="T1877" s="49"/>
      <c r="U1877" s="49"/>
      <c r="V1877" s="49"/>
      <c r="W1877" s="49"/>
      <c r="AA1877" s="156"/>
      <c r="AG1877" s="49"/>
    </row>
    <row r="1878" spans="1:33" x14ac:dyDescent="0.35">
      <c r="A1878" s="49"/>
      <c r="C1878" s="50"/>
      <c r="G1878" s="49"/>
      <c r="R1878" s="49"/>
      <c r="S1878" s="49"/>
      <c r="T1878" s="49"/>
      <c r="U1878" s="49"/>
      <c r="V1878" s="49"/>
      <c r="W1878" s="49"/>
      <c r="AA1878" s="156"/>
      <c r="AG1878" s="49"/>
    </row>
    <row r="1879" spans="1:33" x14ac:dyDescent="0.35">
      <c r="A1879" s="49"/>
      <c r="C1879" s="50"/>
      <c r="G1879" s="49"/>
      <c r="R1879" s="49"/>
      <c r="S1879" s="49"/>
      <c r="T1879" s="49"/>
      <c r="U1879" s="49"/>
      <c r="V1879" s="49"/>
      <c r="W1879" s="49"/>
      <c r="AA1879" s="156"/>
      <c r="AG1879" s="49"/>
    </row>
    <row r="1880" spans="1:33" x14ac:dyDescent="0.35">
      <c r="A1880" s="49"/>
      <c r="C1880" s="50"/>
      <c r="G1880" s="49"/>
      <c r="R1880" s="49"/>
      <c r="S1880" s="49"/>
      <c r="T1880" s="49"/>
      <c r="U1880" s="49"/>
      <c r="V1880" s="49"/>
      <c r="W1880" s="49"/>
      <c r="AA1880" s="156"/>
      <c r="AG1880" s="49"/>
    </row>
    <row r="1881" spans="1:33" x14ac:dyDescent="0.35">
      <c r="A1881" s="49"/>
      <c r="C1881" s="50"/>
      <c r="G1881" s="49"/>
      <c r="R1881" s="49"/>
      <c r="S1881" s="49"/>
      <c r="T1881" s="49"/>
      <c r="U1881" s="49"/>
      <c r="V1881" s="49"/>
      <c r="W1881" s="49"/>
      <c r="AA1881" s="156"/>
      <c r="AG1881" s="49"/>
    </row>
    <row r="1882" spans="1:33" x14ac:dyDescent="0.35">
      <c r="A1882" s="49"/>
      <c r="C1882" s="50"/>
      <c r="G1882" s="49"/>
      <c r="R1882" s="49"/>
      <c r="S1882" s="49"/>
      <c r="T1882" s="49"/>
      <c r="U1882" s="49"/>
      <c r="V1882" s="49"/>
      <c r="W1882" s="49"/>
      <c r="AA1882" s="156"/>
      <c r="AG1882" s="49"/>
    </row>
    <row r="1883" spans="1:33" x14ac:dyDescent="0.35">
      <c r="A1883" s="49"/>
      <c r="C1883" s="50"/>
      <c r="G1883" s="49"/>
      <c r="R1883" s="49"/>
      <c r="S1883" s="49"/>
      <c r="T1883" s="49"/>
      <c r="U1883" s="49"/>
      <c r="V1883" s="49"/>
      <c r="W1883" s="49"/>
      <c r="AA1883" s="156"/>
      <c r="AG1883" s="49"/>
    </row>
    <row r="1884" spans="1:33" x14ac:dyDescent="0.35">
      <c r="A1884" s="49"/>
      <c r="C1884" s="50"/>
      <c r="G1884" s="49"/>
      <c r="R1884" s="49"/>
      <c r="S1884" s="49"/>
      <c r="T1884" s="49"/>
      <c r="U1884" s="49"/>
      <c r="V1884" s="49"/>
      <c r="W1884" s="49"/>
      <c r="AA1884" s="156"/>
      <c r="AG1884" s="49"/>
    </row>
    <row r="1885" spans="1:33" x14ac:dyDescent="0.35">
      <c r="A1885" s="49"/>
      <c r="C1885" s="50"/>
      <c r="G1885" s="49"/>
      <c r="R1885" s="49"/>
      <c r="S1885" s="49"/>
      <c r="T1885" s="49"/>
      <c r="U1885" s="49"/>
      <c r="V1885" s="49"/>
      <c r="W1885" s="49"/>
      <c r="AA1885" s="156"/>
      <c r="AG1885" s="49"/>
    </row>
    <row r="1886" spans="1:33" x14ac:dyDescent="0.35">
      <c r="A1886" s="49"/>
      <c r="C1886" s="50"/>
      <c r="G1886" s="49"/>
      <c r="R1886" s="49"/>
      <c r="S1886" s="49"/>
      <c r="T1886" s="49"/>
      <c r="U1886" s="49"/>
      <c r="V1886" s="49"/>
      <c r="W1886" s="49"/>
      <c r="AA1886" s="156"/>
      <c r="AG1886" s="49"/>
    </row>
    <row r="1887" spans="1:33" x14ac:dyDescent="0.35">
      <c r="A1887" s="49"/>
      <c r="C1887" s="50"/>
      <c r="G1887" s="49"/>
      <c r="R1887" s="49"/>
      <c r="S1887" s="49"/>
      <c r="T1887" s="49"/>
      <c r="U1887" s="49"/>
      <c r="V1887" s="49"/>
      <c r="W1887" s="49"/>
      <c r="AA1887" s="156"/>
      <c r="AG1887" s="49"/>
    </row>
    <row r="1888" spans="1:33" x14ac:dyDescent="0.35">
      <c r="A1888" s="49"/>
      <c r="C1888" s="50"/>
      <c r="G1888" s="49"/>
      <c r="R1888" s="49"/>
      <c r="S1888" s="49"/>
      <c r="T1888" s="49"/>
      <c r="U1888" s="49"/>
      <c r="V1888" s="49"/>
      <c r="W1888" s="49"/>
      <c r="AA1888" s="156"/>
      <c r="AG1888" s="49"/>
    </row>
    <row r="1889" spans="1:33" x14ac:dyDescent="0.35">
      <c r="A1889" s="49"/>
      <c r="C1889" s="50"/>
      <c r="G1889" s="49"/>
      <c r="R1889" s="49"/>
      <c r="S1889" s="49"/>
      <c r="T1889" s="49"/>
      <c r="U1889" s="49"/>
      <c r="V1889" s="49"/>
      <c r="W1889" s="49"/>
      <c r="AA1889" s="156"/>
      <c r="AG1889" s="49"/>
    </row>
    <row r="1890" spans="1:33" x14ac:dyDescent="0.35">
      <c r="A1890" s="49"/>
      <c r="C1890" s="50"/>
      <c r="G1890" s="49"/>
      <c r="R1890" s="49"/>
      <c r="S1890" s="49"/>
      <c r="T1890" s="49"/>
      <c r="U1890" s="49"/>
      <c r="V1890" s="49"/>
      <c r="W1890" s="49"/>
      <c r="AA1890" s="156"/>
      <c r="AG1890" s="49"/>
    </row>
    <row r="1891" spans="1:33" x14ac:dyDescent="0.35">
      <c r="A1891" s="49"/>
      <c r="C1891" s="50"/>
      <c r="G1891" s="49"/>
      <c r="R1891" s="49"/>
      <c r="S1891" s="49"/>
      <c r="T1891" s="49"/>
      <c r="U1891" s="49"/>
      <c r="V1891" s="49"/>
      <c r="W1891" s="49"/>
      <c r="AA1891" s="156"/>
      <c r="AG1891" s="49"/>
    </row>
    <row r="1892" spans="1:33" x14ac:dyDescent="0.35">
      <c r="A1892" s="49"/>
      <c r="C1892" s="50"/>
      <c r="G1892" s="49"/>
      <c r="R1892" s="49"/>
      <c r="S1892" s="49"/>
      <c r="T1892" s="49"/>
      <c r="U1892" s="49"/>
      <c r="V1892" s="49"/>
      <c r="W1892" s="49"/>
      <c r="AA1892" s="156"/>
      <c r="AG1892" s="49"/>
    </row>
    <row r="1893" spans="1:33" x14ac:dyDescent="0.35">
      <c r="A1893" s="49"/>
      <c r="C1893" s="50"/>
      <c r="G1893" s="49"/>
      <c r="R1893" s="49"/>
      <c r="S1893" s="49"/>
      <c r="T1893" s="49"/>
      <c r="U1893" s="49"/>
      <c r="V1893" s="49"/>
      <c r="W1893" s="49"/>
      <c r="AA1893" s="156"/>
      <c r="AG1893" s="49"/>
    </row>
    <row r="1894" spans="1:33" x14ac:dyDescent="0.35">
      <c r="A1894" s="49"/>
      <c r="C1894" s="50"/>
      <c r="G1894" s="49"/>
      <c r="R1894" s="49"/>
      <c r="S1894" s="49"/>
      <c r="T1894" s="49"/>
      <c r="U1894" s="49"/>
      <c r="V1894" s="49"/>
      <c r="W1894" s="49"/>
      <c r="AA1894" s="156"/>
      <c r="AG1894" s="49"/>
    </row>
    <row r="1895" spans="1:33" x14ac:dyDescent="0.35">
      <c r="A1895" s="49"/>
      <c r="C1895" s="50"/>
      <c r="G1895" s="49"/>
      <c r="R1895" s="49"/>
      <c r="S1895" s="49"/>
      <c r="T1895" s="49"/>
      <c r="U1895" s="49"/>
      <c r="V1895" s="49"/>
      <c r="W1895" s="49"/>
      <c r="AA1895" s="156"/>
      <c r="AG1895" s="49"/>
    </row>
    <row r="1896" spans="1:33" x14ac:dyDescent="0.35">
      <c r="A1896" s="49"/>
      <c r="C1896" s="50"/>
      <c r="G1896" s="49"/>
      <c r="R1896" s="49"/>
      <c r="S1896" s="49"/>
      <c r="T1896" s="49"/>
      <c r="U1896" s="49"/>
      <c r="V1896" s="49"/>
      <c r="W1896" s="49"/>
      <c r="AA1896" s="156"/>
      <c r="AG1896" s="49"/>
    </row>
    <row r="1897" spans="1:33" x14ac:dyDescent="0.35">
      <c r="A1897" s="49"/>
      <c r="C1897" s="50"/>
      <c r="G1897" s="49"/>
      <c r="R1897" s="49"/>
      <c r="S1897" s="49"/>
      <c r="T1897" s="49"/>
      <c r="U1897" s="49"/>
      <c r="V1897" s="49"/>
      <c r="W1897" s="49"/>
      <c r="AA1897" s="156"/>
      <c r="AG1897" s="49"/>
    </row>
    <row r="1898" spans="1:33" x14ac:dyDescent="0.35">
      <c r="A1898" s="49"/>
      <c r="C1898" s="50"/>
      <c r="G1898" s="49"/>
      <c r="R1898" s="49"/>
      <c r="S1898" s="49"/>
      <c r="T1898" s="49"/>
      <c r="U1898" s="49"/>
      <c r="V1898" s="49"/>
      <c r="W1898" s="49"/>
      <c r="AA1898" s="156"/>
      <c r="AG1898" s="49"/>
    </row>
    <row r="1899" spans="1:33" x14ac:dyDescent="0.35">
      <c r="A1899" s="49"/>
      <c r="C1899" s="50"/>
      <c r="G1899" s="49"/>
      <c r="R1899" s="49"/>
      <c r="S1899" s="49"/>
      <c r="T1899" s="49"/>
      <c r="U1899" s="49"/>
      <c r="V1899" s="49"/>
      <c r="W1899" s="49"/>
      <c r="AA1899" s="156"/>
      <c r="AG1899" s="49"/>
    </row>
    <row r="1900" spans="1:33" x14ac:dyDescent="0.35">
      <c r="A1900" s="49"/>
      <c r="C1900" s="50"/>
      <c r="G1900" s="49"/>
      <c r="R1900" s="49"/>
      <c r="S1900" s="49"/>
      <c r="T1900" s="49"/>
      <c r="U1900" s="49"/>
      <c r="V1900" s="49"/>
      <c r="W1900" s="49"/>
      <c r="AA1900" s="156"/>
      <c r="AG1900" s="49"/>
    </row>
    <row r="1901" spans="1:33" x14ac:dyDescent="0.35">
      <c r="A1901" s="49"/>
      <c r="C1901" s="50"/>
      <c r="G1901" s="49"/>
      <c r="R1901" s="49"/>
      <c r="S1901" s="49"/>
      <c r="T1901" s="49"/>
      <c r="U1901" s="49"/>
      <c r="V1901" s="49"/>
      <c r="W1901" s="49"/>
      <c r="AA1901" s="156"/>
      <c r="AG1901" s="49"/>
    </row>
    <row r="1902" spans="1:33" x14ac:dyDescent="0.35">
      <c r="A1902" s="49"/>
      <c r="C1902" s="50"/>
      <c r="G1902" s="49"/>
      <c r="R1902" s="49"/>
      <c r="S1902" s="49"/>
      <c r="T1902" s="49"/>
      <c r="U1902" s="49"/>
      <c r="V1902" s="49"/>
      <c r="W1902" s="49"/>
      <c r="AA1902" s="156"/>
      <c r="AG1902" s="49"/>
    </row>
    <row r="1903" spans="1:33" x14ac:dyDescent="0.35">
      <c r="A1903" s="49"/>
      <c r="C1903" s="50"/>
      <c r="G1903" s="49"/>
      <c r="R1903" s="49"/>
      <c r="S1903" s="49"/>
      <c r="T1903" s="49"/>
      <c r="U1903" s="49"/>
      <c r="V1903" s="49"/>
      <c r="W1903" s="49"/>
      <c r="AA1903" s="156"/>
      <c r="AG1903" s="49"/>
    </row>
    <row r="1904" spans="1:33" x14ac:dyDescent="0.35">
      <c r="A1904" s="49"/>
      <c r="C1904" s="50"/>
      <c r="G1904" s="49"/>
      <c r="R1904" s="49"/>
      <c r="S1904" s="49"/>
      <c r="T1904" s="49"/>
      <c r="U1904" s="49"/>
      <c r="V1904" s="49"/>
      <c r="W1904" s="49"/>
      <c r="AA1904" s="156"/>
      <c r="AG1904" s="49"/>
    </row>
    <row r="1905" spans="1:33" x14ac:dyDescent="0.35">
      <c r="A1905" s="49"/>
      <c r="C1905" s="50"/>
      <c r="G1905" s="49"/>
      <c r="R1905" s="49"/>
      <c r="S1905" s="49"/>
      <c r="T1905" s="49"/>
      <c r="U1905" s="49"/>
      <c r="V1905" s="49"/>
      <c r="W1905" s="49"/>
      <c r="AA1905" s="156"/>
      <c r="AG1905" s="49"/>
    </row>
    <row r="1906" spans="1:33" x14ac:dyDescent="0.35">
      <c r="A1906" s="49"/>
      <c r="C1906" s="50"/>
      <c r="G1906" s="49"/>
      <c r="R1906" s="49"/>
      <c r="S1906" s="49"/>
      <c r="T1906" s="49"/>
      <c r="U1906" s="49"/>
      <c r="V1906" s="49"/>
      <c r="W1906" s="49"/>
      <c r="AA1906" s="156"/>
      <c r="AG1906" s="49"/>
    </row>
    <row r="1907" spans="1:33" x14ac:dyDescent="0.35">
      <c r="A1907" s="49"/>
      <c r="C1907" s="50"/>
      <c r="G1907" s="49"/>
      <c r="R1907" s="49"/>
      <c r="S1907" s="49"/>
      <c r="T1907" s="49"/>
      <c r="U1907" s="49"/>
      <c r="V1907" s="49"/>
      <c r="W1907" s="49"/>
      <c r="AA1907" s="156"/>
      <c r="AG1907" s="49"/>
    </row>
    <row r="1908" spans="1:33" x14ac:dyDescent="0.35">
      <c r="A1908" s="49"/>
      <c r="C1908" s="50"/>
      <c r="G1908" s="49"/>
      <c r="R1908" s="49"/>
      <c r="S1908" s="49"/>
      <c r="T1908" s="49"/>
      <c r="U1908" s="49"/>
      <c r="V1908" s="49"/>
      <c r="W1908" s="49"/>
      <c r="AA1908" s="156"/>
      <c r="AG1908" s="49"/>
    </row>
    <row r="1909" spans="1:33" x14ac:dyDescent="0.35">
      <c r="A1909" s="49"/>
      <c r="C1909" s="50"/>
      <c r="G1909" s="49"/>
      <c r="R1909" s="49"/>
      <c r="S1909" s="49"/>
      <c r="T1909" s="49"/>
      <c r="U1909" s="49"/>
      <c r="V1909" s="49"/>
      <c r="W1909" s="49"/>
      <c r="AA1909" s="156"/>
      <c r="AG1909" s="49"/>
    </row>
    <row r="1910" spans="1:33" x14ac:dyDescent="0.35">
      <c r="A1910" s="49"/>
      <c r="C1910" s="50"/>
      <c r="G1910" s="49"/>
      <c r="R1910" s="49"/>
      <c r="S1910" s="49"/>
      <c r="T1910" s="49"/>
      <c r="U1910" s="49"/>
      <c r="V1910" s="49"/>
      <c r="W1910" s="49"/>
      <c r="AA1910" s="156"/>
      <c r="AG1910" s="49"/>
    </row>
    <row r="1911" spans="1:33" x14ac:dyDescent="0.35">
      <c r="A1911" s="49"/>
      <c r="C1911" s="50"/>
      <c r="G1911" s="49"/>
      <c r="R1911" s="49"/>
      <c r="S1911" s="49"/>
      <c r="T1911" s="49"/>
      <c r="U1911" s="49"/>
      <c r="V1911" s="49"/>
      <c r="W1911" s="49"/>
      <c r="AA1911" s="156"/>
      <c r="AG1911" s="49"/>
    </row>
    <row r="1912" spans="1:33" x14ac:dyDescent="0.35">
      <c r="A1912" s="49"/>
      <c r="C1912" s="50"/>
      <c r="G1912" s="49"/>
      <c r="R1912" s="49"/>
      <c r="S1912" s="49"/>
      <c r="T1912" s="49"/>
      <c r="U1912" s="49"/>
      <c r="V1912" s="49"/>
      <c r="W1912" s="49"/>
      <c r="AA1912" s="156"/>
      <c r="AG1912" s="49"/>
    </row>
    <row r="1913" spans="1:33" x14ac:dyDescent="0.35">
      <c r="A1913" s="49"/>
      <c r="C1913" s="50"/>
      <c r="G1913" s="49"/>
      <c r="R1913" s="49"/>
      <c r="S1913" s="49"/>
      <c r="T1913" s="49"/>
      <c r="U1913" s="49"/>
      <c r="V1913" s="49"/>
      <c r="W1913" s="49"/>
      <c r="AA1913" s="156"/>
      <c r="AG1913" s="49"/>
    </row>
    <row r="1914" spans="1:33" x14ac:dyDescent="0.35">
      <c r="A1914" s="49"/>
      <c r="C1914" s="50"/>
      <c r="G1914" s="49"/>
      <c r="R1914" s="49"/>
      <c r="S1914" s="49"/>
      <c r="T1914" s="49"/>
      <c r="U1914" s="49"/>
      <c r="V1914" s="49"/>
      <c r="W1914" s="49"/>
      <c r="AA1914" s="156"/>
      <c r="AG1914" s="49"/>
    </row>
    <row r="1915" spans="1:33" x14ac:dyDescent="0.35">
      <c r="A1915" s="49"/>
      <c r="C1915" s="50"/>
      <c r="G1915" s="49"/>
      <c r="R1915" s="49"/>
      <c r="S1915" s="49"/>
      <c r="T1915" s="49"/>
      <c r="U1915" s="49"/>
      <c r="V1915" s="49"/>
      <c r="W1915" s="49"/>
      <c r="AA1915" s="156"/>
      <c r="AG1915" s="49"/>
    </row>
    <row r="1916" spans="1:33" x14ac:dyDescent="0.35">
      <c r="A1916" s="49"/>
      <c r="C1916" s="50"/>
      <c r="G1916" s="49"/>
      <c r="R1916" s="49"/>
      <c r="S1916" s="49"/>
      <c r="T1916" s="49"/>
      <c r="U1916" s="49"/>
      <c r="V1916" s="49"/>
      <c r="W1916" s="49"/>
      <c r="AA1916" s="156"/>
      <c r="AG1916" s="49"/>
    </row>
    <row r="1917" spans="1:33" x14ac:dyDescent="0.35">
      <c r="A1917" s="49"/>
      <c r="C1917" s="50"/>
      <c r="G1917" s="49"/>
      <c r="R1917" s="49"/>
      <c r="S1917" s="49"/>
      <c r="T1917" s="49"/>
      <c r="U1917" s="49"/>
      <c r="V1917" s="49"/>
      <c r="W1917" s="49"/>
      <c r="AA1917" s="156"/>
      <c r="AG1917" s="49"/>
    </row>
    <row r="1918" spans="1:33" x14ac:dyDescent="0.35">
      <c r="A1918" s="49"/>
      <c r="C1918" s="50"/>
      <c r="G1918" s="49"/>
      <c r="R1918" s="49"/>
      <c r="S1918" s="49"/>
      <c r="T1918" s="49"/>
      <c r="U1918" s="49"/>
      <c r="V1918" s="49"/>
      <c r="W1918" s="49"/>
      <c r="AA1918" s="156"/>
      <c r="AG1918" s="49"/>
    </row>
    <row r="1919" spans="1:33" x14ac:dyDescent="0.35">
      <c r="A1919" s="49"/>
      <c r="C1919" s="50"/>
      <c r="G1919" s="49"/>
      <c r="R1919" s="49"/>
      <c r="S1919" s="49"/>
      <c r="T1919" s="49"/>
      <c r="U1919" s="49"/>
      <c r="V1919" s="49"/>
      <c r="W1919" s="49"/>
      <c r="AA1919" s="156"/>
      <c r="AG1919" s="49"/>
    </row>
    <row r="1920" spans="1:33" x14ac:dyDescent="0.35">
      <c r="A1920" s="49"/>
      <c r="C1920" s="50"/>
      <c r="G1920" s="49"/>
      <c r="R1920" s="49"/>
      <c r="S1920" s="49"/>
      <c r="T1920" s="49"/>
      <c r="U1920" s="49"/>
      <c r="V1920" s="49"/>
      <c r="W1920" s="49"/>
      <c r="AA1920" s="156"/>
      <c r="AG1920" s="49"/>
    </row>
    <row r="1921" spans="1:33" x14ac:dyDescent="0.35">
      <c r="A1921" s="49"/>
      <c r="C1921" s="50"/>
      <c r="G1921" s="49"/>
      <c r="R1921" s="49"/>
      <c r="S1921" s="49"/>
      <c r="T1921" s="49"/>
      <c r="U1921" s="49"/>
      <c r="V1921" s="49"/>
      <c r="W1921" s="49"/>
      <c r="AA1921" s="156"/>
      <c r="AG1921" s="49"/>
    </row>
    <row r="1922" spans="1:33" x14ac:dyDescent="0.35">
      <c r="A1922" s="49"/>
      <c r="C1922" s="50"/>
      <c r="G1922" s="49"/>
      <c r="R1922" s="49"/>
      <c r="S1922" s="49"/>
      <c r="T1922" s="49"/>
      <c r="U1922" s="49"/>
      <c r="V1922" s="49"/>
      <c r="W1922" s="49"/>
      <c r="AA1922" s="156"/>
      <c r="AG1922" s="49"/>
    </row>
    <row r="1923" spans="1:33" x14ac:dyDescent="0.35">
      <c r="A1923" s="49"/>
      <c r="C1923" s="50"/>
      <c r="G1923" s="49"/>
      <c r="R1923" s="49"/>
      <c r="S1923" s="49"/>
      <c r="T1923" s="49"/>
      <c r="U1923" s="49"/>
      <c r="V1923" s="49"/>
      <c r="W1923" s="49"/>
      <c r="AA1923" s="156"/>
      <c r="AG1923" s="49"/>
    </row>
    <row r="1924" spans="1:33" x14ac:dyDescent="0.35">
      <c r="A1924" s="49"/>
      <c r="C1924" s="50"/>
      <c r="G1924" s="49"/>
      <c r="R1924" s="49"/>
      <c r="S1924" s="49"/>
      <c r="T1924" s="49"/>
      <c r="U1924" s="49"/>
      <c r="V1924" s="49"/>
      <c r="W1924" s="49"/>
      <c r="AA1924" s="156"/>
      <c r="AG1924" s="49"/>
    </row>
    <row r="1925" spans="1:33" x14ac:dyDescent="0.35">
      <c r="A1925" s="49"/>
      <c r="C1925" s="50"/>
      <c r="G1925" s="49"/>
      <c r="R1925" s="49"/>
      <c r="S1925" s="49"/>
      <c r="T1925" s="49"/>
      <c r="U1925" s="49"/>
      <c r="V1925" s="49"/>
      <c r="W1925" s="49"/>
      <c r="AA1925" s="156"/>
      <c r="AG1925" s="49"/>
    </row>
    <row r="1926" spans="1:33" x14ac:dyDescent="0.35">
      <c r="A1926" s="49"/>
      <c r="C1926" s="50"/>
      <c r="G1926" s="49"/>
      <c r="R1926" s="49"/>
      <c r="S1926" s="49"/>
      <c r="T1926" s="49"/>
      <c r="U1926" s="49"/>
      <c r="V1926" s="49"/>
      <c r="W1926" s="49"/>
      <c r="AA1926" s="156"/>
      <c r="AG1926" s="49"/>
    </row>
    <row r="1927" spans="1:33" x14ac:dyDescent="0.35">
      <c r="A1927" s="49"/>
      <c r="C1927" s="50"/>
      <c r="G1927" s="49"/>
      <c r="R1927" s="49"/>
      <c r="S1927" s="49"/>
      <c r="T1927" s="49"/>
      <c r="U1927" s="49"/>
      <c r="V1927" s="49"/>
      <c r="W1927" s="49"/>
      <c r="AA1927" s="156"/>
      <c r="AG1927" s="49"/>
    </row>
    <row r="1928" spans="1:33" x14ac:dyDescent="0.35">
      <c r="A1928" s="49"/>
      <c r="C1928" s="50"/>
      <c r="G1928" s="49"/>
      <c r="R1928" s="49"/>
      <c r="S1928" s="49"/>
      <c r="T1928" s="49"/>
      <c r="U1928" s="49"/>
      <c r="V1928" s="49"/>
      <c r="W1928" s="49"/>
      <c r="AA1928" s="156"/>
      <c r="AG1928" s="49"/>
    </row>
    <row r="1929" spans="1:33" x14ac:dyDescent="0.35">
      <c r="A1929" s="49"/>
      <c r="C1929" s="50"/>
      <c r="G1929" s="49"/>
      <c r="R1929" s="49"/>
      <c r="S1929" s="49"/>
      <c r="T1929" s="49"/>
      <c r="U1929" s="49"/>
      <c r="V1929" s="49"/>
      <c r="W1929" s="49"/>
      <c r="AA1929" s="156"/>
      <c r="AG1929" s="49"/>
    </row>
    <row r="1930" spans="1:33" x14ac:dyDescent="0.35">
      <c r="A1930" s="49"/>
      <c r="C1930" s="50"/>
      <c r="G1930" s="49"/>
      <c r="R1930" s="49"/>
      <c r="S1930" s="49"/>
      <c r="T1930" s="49"/>
      <c r="U1930" s="49"/>
      <c r="V1930" s="49"/>
      <c r="W1930" s="49"/>
      <c r="AA1930" s="156"/>
      <c r="AG1930" s="49"/>
    </row>
    <row r="1931" spans="1:33" x14ac:dyDescent="0.35">
      <c r="A1931" s="49"/>
      <c r="C1931" s="50"/>
      <c r="G1931" s="49"/>
      <c r="R1931" s="49"/>
      <c r="S1931" s="49"/>
      <c r="T1931" s="49"/>
      <c r="U1931" s="49"/>
      <c r="V1931" s="49"/>
      <c r="W1931" s="49"/>
      <c r="AA1931" s="156"/>
      <c r="AG1931" s="49"/>
    </row>
    <row r="1932" spans="1:33" x14ac:dyDescent="0.35">
      <c r="A1932" s="49"/>
      <c r="C1932" s="50"/>
      <c r="G1932" s="49"/>
      <c r="R1932" s="49"/>
      <c r="S1932" s="49"/>
      <c r="T1932" s="49"/>
      <c r="U1932" s="49"/>
      <c r="V1932" s="49"/>
      <c r="W1932" s="49"/>
      <c r="AA1932" s="156"/>
      <c r="AG1932" s="49"/>
    </row>
    <row r="1933" spans="1:33" x14ac:dyDescent="0.35">
      <c r="A1933" s="49"/>
      <c r="C1933" s="50"/>
      <c r="G1933" s="49"/>
      <c r="R1933" s="49"/>
      <c r="S1933" s="49"/>
      <c r="T1933" s="49"/>
      <c r="U1933" s="49"/>
      <c r="V1933" s="49"/>
      <c r="W1933" s="49"/>
      <c r="AA1933" s="156"/>
      <c r="AG1933" s="49"/>
    </row>
    <row r="1934" spans="1:33" x14ac:dyDescent="0.35">
      <c r="A1934" s="49"/>
      <c r="C1934" s="50"/>
      <c r="G1934" s="49"/>
      <c r="R1934" s="49"/>
      <c r="S1934" s="49"/>
      <c r="T1934" s="49"/>
      <c r="U1934" s="49"/>
      <c r="V1934" s="49"/>
      <c r="W1934" s="49"/>
      <c r="AA1934" s="156"/>
      <c r="AG1934" s="49"/>
    </row>
    <row r="1935" spans="1:33" x14ac:dyDescent="0.35">
      <c r="A1935" s="49"/>
      <c r="C1935" s="50"/>
      <c r="G1935" s="49"/>
      <c r="R1935" s="49"/>
      <c r="S1935" s="49"/>
      <c r="T1935" s="49"/>
      <c r="U1935" s="49"/>
      <c r="V1935" s="49"/>
      <c r="W1935" s="49"/>
      <c r="AA1935" s="156"/>
      <c r="AG1935" s="49"/>
    </row>
    <row r="1936" spans="1:33" x14ac:dyDescent="0.35">
      <c r="A1936" s="49"/>
      <c r="C1936" s="50"/>
      <c r="G1936" s="49"/>
      <c r="R1936" s="49"/>
      <c r="S1936" s="49"/>
      <c r="T1936" s="49"/>
      <c r="U1936" s="49"/>
      <c r="V1936" s="49"/>
      <c r="W1936" s="49"/>
      <c r="AA1936" s="156"/>
      <c r="AG1936" s="49"/>
    </row>
    <row r="1937" spans="1:33" x14ac:dyDescent="0.35">
      <c r="A1937" s="49"/>
      <c r="C1937" s="50"/>
      <c r="G1937" s="49"/>
      <c r="R1937" s="49"/>
      <c r="S1937" s="49"/>
      <c r="T1937" s="49"/>
      <c r="U1937" s="49"/>
      <c r="V1937" s="49"/>
      <c r="W1937" s="49"/>
      <c r="AA1937" s="156"/>
      <c r="AG1937" s="49"/>
    </row>
    <row r="1938" spans="1:33" x14ac:dyDescent="0.35">
      <c r="A1938" s="49"/>
      <c r="C1938" s="50"/>
      <c r="G1938" s="49"/>
      <c r="R1938" s="49"/>
      <c r="S1938" s="49"/>
      <c r="T1938" s="49"/>
      <c r="U1938" s="49"/>
      <c r="V1938" s="49"/>
      <c r="W1938" s="49"/>
      <c r="AA1938" s="156"/>
      <c r="AG1938" s="49"/>
    </row>
    <row r="1939" spans="1:33" x14ac:dyDescent="0.35">
      <c r="A1939" s="49"/>
      <c r="C1939" s="50"/>
      <c r="G1939" s="49"/>
      <c r="R1939" s="49"/>
      <c r="S1939" s="49"/>
      <c r="T1939" s="49"/>
      <c r="U1939" s="49"/>
      <c r="V1939" s="49"/>
      <c r="W1939" s="49"/>
      <c r="AA1939" s="156"/>
      <c r="AG1939" s="49"/>
    </row>
    <row r="1940" spans="1:33" x14ac:dyDescent="0.35">
      <c r="A1940" s="49"/>
      <c r="C1940" s="50"/>
      <c r="G1940" s="49"/>
      <c r="R1940" s="49"/>
      <c r="S1940" s="49"/>
      <c r="T1940" s="49"/>
      <c r="U1940" s="49"/>
      <c r="V1940" s="49"/>
      <c r="W1940" s="49"/>
      <c r="AA1940" s="156"/>
      <c r="AG1940" s="49"/>
    </row>
    <row r="1941" spans="1:33" x14ac:dyDescent="0.35">
      <c r="A1941" s="49"/>
      <c r="C1941" s="50"/>
      <c r="G1941" s="49"/>
      <c r="R1941" s="49"/>
      <c r="S1941" s="49"/>
      <c r="T1941" s="49"/>
      <c r="U1941" s="49"/>
      <c r="V1941" s="49"/>
      <c r="W1941" s="49"/>
      <c r="AA1941" s="156"/>
      <c r="AG1941" s="49"/>
    </row>
    <row r="1942" spans="1:33" x14ac:dyDescent="0.35">
      <c r="A1942" s="49"/>
      <c r="C1942" s="50"/>
      <c r="G1942" s="49"/>
      <c r="R1942" s="49"/>
      <c r="S1942" s="49"/>
      <c r="T1942" s="49"/>
      <c r="U1942" s="49"/>
      <c r="V1942" s="49"/>
      <c r="W1942" s="49"/>
      <c r="AA1942" s="156"/>
      <c r="AG1942" s="49"/>
    </row>
    <row r="1943" spans="1:33" x14ac:dyDescent="0.35">
      <c r="A1943" s="49"/>
      <c r="C1943" s="50"/>
      <c r="G1943" s="49"/>
      <c r="R1943" s="49"/>
      <c r="S1943" s="49"/>
      <c r="T1943" s="49"/>
      <c r="U1943" s="49"/>
      <c r="V1943" s="49"/>
      <c r="W1943" s="49"/>
      <c r="AA1943" s="156"/>
      <c r="AG1943" s="49"/>
    </row>
    <row r="1944" spans="1:33" x14ac:dyDescent="0.35">
      <c r="A1944" s="49"/>
      <c r="C1944" s="50"/>
      <c r="G1944" s="49"/>
      <c r="R1944" s="49"/>
      <c r="S1944" s="49"/>
      <c r="T1944" s="49"/>
      <c r="U1944" s="49"/>
      <c r="V1944" s="49"/>
      <c r="W1944" s="49"/>
      <c r="AA1944" s="156"/>
      <c r="AG1944" s="49"/>
    </row>
    <row r="1945" spans="1:33" x14ac:dyDescent="0.35">
      <c r="A1945" s="49"/>
      <c r="C1945" s="50"/>
      <c r="G1945" s="49"/>
      <c r="R1945" s="49"/>
      <c r="S1945" s="49"/>
      <c r="T1945" s="49"/>
      <c r="U1945" s="49"/>
      <c r="V1945" s="49"/>
      <c r="W1945" s="49"/>
      <c r="AA1945" s="156"/>
      <c r="AG1945" s="49"/>
    </row>
    <row r="1946" spans="1:33" x14ac:dyDescent="0.35">
      <c r="A1946" s="49"/>
      <c r="T1946" s="49"/>
      <c r="U1946" s="49"/>
      <c r="V1946" s="49"/>
      <c r="W1946" s="49"/>
    </row>
    <row r="1947" spans="1:33" x14ac:dyDescent="0.35">
      <c r="A1947" s="49"/>
      <c r="T1947" s="49"/>
      <c r="U1947" s="49"/>
      <c r="V1947" s="49"/>
      <c r="W1947" s="49"/>
    </row>
    <row r="1948" spans="1:33" x14ac:dyDescent="0.35">
      <c r="A1948" s="49"/>
      <c r="T1948" s="49"/>
      <c r="U1948" s="49"/>
      <c r="V1948" s="49"/>
      <c r="W1948" s="49"/>
    </row>
    <row r="1949" spans="1:33" x14ac:dyDescent="0.35">
      <c r="A1949" s="49"/>
      <c r="T1949" s="49"/>
      <c r="U1949" s="49"/>
      <c r="V1949" s="49"/>
      <c r="W1949" s="49"/>
    </row>
    <row r="1950" spans="1:33" x14ac:dyDescent="0.35">
      <c r="A1950" s="49"/>
      <c r="T1950" s="49"/>
      <c r="U1950" s="49"/>
      <c r="V1950" s="49"/>
      <c r="W1950" s="49"/>
    </row>
    <row r="1951" spans="1:33" x14ac:dyDescent="0.35">
      <c r="A1951" s="49"/>
      <c r="T1951" s="49"/>
      <c r="U1951" s="49"/>
      <c r="V1951" s="49"/>
      <c r="W1951" s="49"/>
    </row>
    <row r="1952" spans="1:33" x14ac:dyDescent="0.35">
      <c r="A1952" s="49"/>
      <c r="T1952" s="49"/>
      <c r="U1952" s="49"/>
      <c r="V1952" s="49"/>
      <c r="W1952" s="49"/>
    </row>
    <row r="1953" spans="1:23" x14ac:dyDescent="0.35">
      <c r="A1953" s="49"/>
      <c r="T1953" s="49"/>
      <c r="U1953" s="49"/>
      <c r="V1953" s="49"/>
      <c r="W1953" s="49"/>
    </row>
    <row r="1954" spans="1:23" x14ac:dyDescent="0.35">
      <c r="A1954" s="49"/>
      <c r="T1954" s="49"/>
      <c r="U1954" s="49"/>
      <c r="V1954" s="49"/>
      <c r="W1954" s="49"/>
    </row>
    <row r="1955" spans="1:23" x14ac:dyDescent="0.35">
      <c r="A1955" s="49"/>
      <c r="T1955" s="49"/>
      <c r="U1955" s="49"/>
      <c r="V1955" s="49"/>
      <c r="W1955" s="49"/>
    </row>
    <row r="1956" spans="1:23" x14ac:dyDescent="0.35">
      <c r="A1956" s="49"/>
      <c r="T1956" s="49"/>
      <c r="U1956" s="49"/>
      <c r="V1956" s="49"/>
      <c r="W1956" s="49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7"/>
  <dimension ref="A1:AR59"/>
  <sheetViews>
    <sheetView topLeftCell="G1" zoomScale="70" zoomScaleNormal="70" workbookViewId="0">
      <selection activeCell="N5" sqref="N5:AR12"/>
    </sheetView>
  </sheetViews>
  <sheetFormatPr baseColWidth="10" defaultRowHeight="14.5" x14ac:dyDescent="0.35"/>
  <cols>
    <col min="1" max="1" width="42.36328125" bestFit="1" customWidth="1"/>
    <col min="2" max="2" width="28.90625" bestFit="1" customWidth="1"/>
    <col min="3" max="3" width="21.453125" bestFit="1" customWidth="1"/>
    <col min="4" max="4" width="30" bestFit="1" customWidth="1"/>
    <col min="5" max="5" width="25" bestFit="1" customWidth="1"/>
    <col min="6" max="6" width="35.1796875" bestFit="1" customWidth="1"/>
    <col min="7" max="7" width="24.54296875" customWidth="1"/>
    <col min="8" max="8" width="22.453125" bestFit="1" customWidth="1"/>
    <col min="9" max="9" width="28.90625" bestFit="1" customWidth="1"/>
    <col min="10" max="10" width="28.54296875" bestFit="1" customWidth="1"/>
    <col min="11" max="11" width="25.81640625" bestFit="1" customWidth="1"/>
    <col min="12" max="12" width="16" bestFit="1" customWidth="1"/>
    <col min="13" max="13" width="7.81640625" customWidth="1"/>
    <col min="14" max="14" width="30.1796875" customWidth="1"/>
    <col min="15" max="15" width="17.81640625" customWidth="1"/>
    <col min="16" max="16" width="15.1796875" customWidth="1"/>
    <col min="17" max="17" width="17.81640625" customWidth="1"/>
    <col min="18" max="20" width="11.54296875" customWidth="1"/>
    <col min="21" max="22" width="51" bestFit="1" customWidth="1"/>
    <col min="23" max="25" width="11.54296875" customWidth="1"/>
    <col min="26" max="26" width="31.54296875" customWidth="1"/>
    <col min="27" max="27" width="14.54296875" customWidth="1"/>
    <col min="28" max="28" width="23.1796875" bestFit="1" customWidth="1"/>
    <col min="29" max="29" width="22.81640625" bestFit="1" customWidth="1"/>
    <col min="30" max="30" width="18.1796875" bestFit="1" customWidth="1"/>
    <col min="31" max="31" width="24" bestFit="1" customWidth="1"/>
    <col min="32" max="32" width="21" bestFit="1" customWidth="1"/>
    <col min="33" max="33" width="13.81640625" bestFit="1" customWidth="1"/>
    <col min="34" max="34" width="21.1796875" bestFit="1" customWidth="1"/>
    <col min="35" max="35" width="14.453125" bestFit="1" customWidth="1"/>
    <col min="36" max="36" width="18.1796875" bestFit="1" customWidth="1"/>
    <col min="37" max="37" width="22.453125" bestFit="1" customWidth="1"/>
    <col min="38" max="38" width="23.54296875" bestFit="1" customWidth="1"/>
    <col min="39" max="39" width="29.1796875" bestFit="1" customWidth="1"/>
  </cols>
  <sheetData>
    <row r="1" spans="1:44" x14ac:dyDescent="0.35">
      <c r="A1" s="30" t="s">
        <v>52</v>
      </c>
      <c r="B1" s="30" t="s">
        <v>55</v>
      </c>
      <c r="C1" s="30" t="s">
        <v>39</v>
      </c>
      <c r="D1" s="30" t="s">
        <v>53</v>
      </c>
      <c r="E1" s="30" t="s">
        <v>54</v>
      </c>
      <c r="F1" s="30" t="s">
        <v>201</v>
      </c>
      <c r="G1" s="30" t="s">
        <v>73</v>
      </c>
      <c r="H1" s="44" t="s">
        <v>193</v>
      </c>
    </row>
    <row r="2" spans="1:44" x14ac:dyDescent="0.35">
      <c r="A2" s="22" t="s">
        <v>43</v>
      </c>
      <c r="B2" s="24">
        <f>SUMIF(Data_Bce!N:N,Montos!A2,Data_Bce!M:M)*0</f>
        <v>0</v>
      </c>
      <c r="C2" s="25">
        <f>B2</f>
        <v>0</v>
      </c>
      <c r="D2" s="43"/>
      <c r="E2" s="24">
        <f>C2</f>
        <v>0</v>
      </c>
      <c r="G2" s="24">
        <f>SUM(G3:G4)</f>
        <v>1490026941206.0698</v>
      </c>
      <c r="H2" s="46" t="s">
        <v>171</v>
      </c>
      <c r="I2" s="46" t="s">
        <v>169</v>
      </c>
      <c r="J2" s="46" t="s">
        <v>170</v>
      </c>
      <c r="K2" s="46" t="s">
        <v>184</v>
      </c>
      <c r="L2" s="46" t="s">
        <v>69</v>
      </c>
      <c r="U2" s="149"/>
      <c r="V2" s="149"/>
    </row>
    <row r="3" spans="1:44" x14ac:dyDescent="0.35">
      <c r="A3" s="23" t="s">
        <v>42</v>
      </c>
      <c r="B3" s="24">
        <f>SUMIF(Data_Bce!S:S,Montos!A3,Data_Bce!W:W)+490000000*0</f>
        <v>1542567792922</v>
      </c>
      <c r="C3" s="25">
        <f>B3</f>
        <v>1542567792922</v>
      </c>
      <c r="D3" s="40">
        <v>1184757000000</v>
      </c>
      <c r="E3" s="83">
        <f>C8</f>
        <v>357810792922</v>
      </c>
      <c r="F3" s="24">
        <f t="shared" ref="F3:F5" si="0">C3-D3</f>
        <v>357810792922</v>
      </c>
      <c r="G3" s="40">
        <f>Salida_R!D3</f>
        <v>1073287855786.09</v>
      </c>
      <c r="H3" s="107">
        <f>ROUND(MAX(C3*0.3,C3-I3),0)</f>
        <v>462770337877</v>
      </c>
      <c r="I3" s="107">
        <f>ROUND(MIN(C3*0.7,D3),0)</f>
        <v>1079797455045</v>
      </c>
      <c r="J3" s="107">
        <f>ROUND(I3/C32,0)</f>
        <v>31758748678</v>
      </c>
      <c r="K3" s="107">
        <f>SUM(H3:I3)</f>
        <v>1542567792922</v>
      </c>
      <c r="L3" s="159">
        <f>B3-K3</f>
        <v>0</v>
      </c>
      <c r="M3" s="157">
        <f>B3-H3-J3*C42+K9</f>
        <v>0</v>
      </c>
    </row>
    <row r="4" spans="1:44" ht="15" thickBot="1" x14ac:dyDescent="0.4">
      <c r="A4" s="22" t="s">
        <v>44</v>
      </c>
      <c r="B4" s="24">
        <f>SUMIF(Data_Bce!S:S,Montos!A4,Data_Bce!W:W)-490000000*0</f>
        <v>169913986461</v>
      </c>
      <c r="C4" s="25">
        <f>B4</f>
        <v>169913986461</v>
      </c>
      <c r="D4" s="40">
        <v>125122000000</v>
      </c>
      <c r="E4" s="83">
        <f>C9</f>
        <v>44791986461</v>
      </c>
      <c r="F4" s="24">
        <f t="shared" si="0"/>
        <v>44791986461</v>
      </c>
      <c r="G4" s="40">
        <f>Salida_R!D4</f>
        <v>416739085419.97998</v>
      </c>
      <c r="H4" s="107">
        <f>ROUND(MAX(C4*0.3,C4-I4),0)</f>
        <v>50974195938</v>
      </c>
      <c r="I4" s="107">
        <f>ROUND(MIN(C4*0.7,D4),0)</f>
        <v>118939790523</v>
      </c>
      <c r="J4" s="107">
        <f>ROUND(I4/C33,0)</f>
        <v>3498229133</v>
      </c>
      <c r="K4" s="107">
        <f>SUM(H4:I4)</f>
        <v>169913986461</v>
      </c>
      <c r="L4" s="159">
        <f>B4-K4</f>
        <v>0</v>
      </c>
      <c r="M4" s="157">
        <f>B4-H4-J4*C43+K10</f>
        <v>0</v>
      </c>
      <c r="N4" s="117" t="s">
        <v>0</v>
      </c>
      <c r="O4" s="118" t="s">
        <v>1</v>
      </c>
      <c r="P4" s="118" t="s">
        <v>2</v>
      </c>
      <c r="Q4" s="119" t="s">
        <v>3</v>
      </c>
      <c r="R4" s="120" t="s">
        <v>4</v>
      </c>
      <c r="S4" s="121" t="s">
        <v>5</v>
      </c>
      <c r="T4" s="122" t="s">
        <v>6</v>
      </c>
      <c r="U4" s="117" t="s">
        <v>7</v>
      </c>
      <c r="V4" s="123" t="s">
        <v>8</v>
      </c>
      <c r="W4" s="124" t="s">
        <v>9</v>
      </c>
      <c r="X4" s="125" t="s">
        <v>10</v>
      </c>
      <c r="Y4" s="126" t="s">
        <v>11</v>
      </c>
      <c r="Z4" s="117" t="s">
        <v>12</v>
      </c>
      <c r="AA4" s="127" t="s">
        <v>13</v>
      </c>
      <c r="AB4" s="127" t="s">
        <v>14</v>
      </c>
      <c r="AC4" s="123" t="s">
        <v>15</v>
      </c>
      <c r="AD4" s="123" t="s">
        <v>16</v>
      </c>
      <c r="AE4" s="118" t="s">
        <v>17</v>
      </c>
      <c r="AF4" s="118" t="s">
        <v>18</v>
      </c>
      <c r="AG4" s="118" t="s">
        <v>19</v>
      </c>
      <c r="AH4" s="118" t="s">
        <v>20</v>
      </c>
      <c r="AI4" s="128" t="s">
        <v>21</v>
      </c>
      <c r="AJ4" s="128" t="s">
        <v>22</v>
      </c>
      <c r="AK4" s="118" t="s">
        <v>23</v>
      </c>
      <c r="AL4" s="128" t="s">
        <v>24</v>
      </c>
      <c r="AM4" s="118" t="s">
        <v>25</v>
      </c>
      <c r="AN4" s="118" t="s">
        <v>26</v>
      </c>
      <c r="AO4" s="118" t="s">
        <v>27</v>
      </c>
      <c r="AP4" s="120" t="s">
        <v>28</v>
      </c>
      <c r="AQ4" s="118" t="s">
        <v>29</v>
      </c>
      <c r="AR4" s="118" t="s">
        <v>30</v>
      </c>
    </row>
    <row r="5" spans="1:44" x14ac:dyDescent="0.35">
      <c r="A5" s="23" t="s">
        <v>46</v>
      </c>
      <c r="B5" s="24">
        <f>SUMIF(Data_Bce!N:N,Montos!A5,Data_Bce!M:M)</f>
        <v>178616585439</v>
      </c>
      <c r="C5" s="25">
        <f>ROUND(B5/Tabla_Consulta_desde_MS_Access_Database_2[Precio_Mid],0)</f>
        <v>4523582</v>
      </c>
      <c r="D5" s="40">
        <v>3549440</v>
      </c>
      <c r="E5" s="151">
        <f>(C5-D5)</f>
        <v>974142</v>
      </c>
      <c r="F5" s="24">
        <f t="shared" si="0"/>
        <v>974142</v>
      </c>
      <c r="G5" s="40">
        <f>Salida_R!D5</f>
        <v>3378909.61</v>
      </c>
      <c r="H5" s="107">
        <f>ROUND(MAX(C5*0.3,C5-I5),0)</f>
        <v>1357075</v>
      </c>
      <c r="I5" s="107">
        <f>ROUND(MIN(C5*0.7,D5),0)</f>
        <v>3166507</v>
      </c>
      <c r="J5" s="107">
        <f>ROUND(I5/C34,0)</f>
        <v>17398</v>
      </c>
      <c r="K5" s="165">
        <f>SUM(H5:I5)</f>
        <v>4523582</v>
      </c>
      <c r="L5" s="159">
        <f>C5-K5</f>
        <v>0</v>
      </c>
      <c r="M5" s="157">
        <f>B5/Tabla_Consulta_desde_MS_Access_Database_2[Precio_Mid]-H5-J5*C44+K11</f>
        <v>0.24922218546271324</v>
      </c>
      <c r="N5" s="129">
        <f>Tabla_Consulta_desde_MS_Access_Database_2[Fecha]</f>
        <v>45930</v>
      </c>
      <c r="O5" s="130">
        <v>1</v>
      </c>
      <c r="P5" s="130"/>
      <c r="Q5" s="130" t="s">
        <v>31</v>
      </c>
      <c r="R5" s="130" t="s">
        <v>41</v>
      </c>
      <c r="S5" s="130" t="s">
        <v>41</v>
      </c>
      <c r="T5" s="130"/>
      <c r="U5" s="130" t="s">
        <v>182</v>
      </c>
      <c r="V5" s="130" t="s">
        <v>182</v>
      </c>
      <c r="W5" s="130"/>
      <c r="X5" s="130"/>
      <c r="Y5" s="130"/>
      <c r="Z5" s="131">
        <f>Tabla_Consulta_desde_MS_Access_Database_2[Fecha]+1</f>
        <v>45931</v>
      </c>
      <c r="AA5" s="131">
        <f>Z5</f>
        <v>45931</v>
      </c>
      <c r="AB5" s="131">
        <f>AA5</f>
        <v>45931</v>
      </c>
      <c r="AC5" s="132">
        <f>H3</f>
        <v>462770337877</v>
      </c>
      <c r="AD5" s="133"/>
      <c r="AE5" s="134"/>
      <c r="AF5" s="134"/>
      <c r="AG5" s="134"/>
      <c r="AH5" s="134"/>
      <c r="AI5" s="134">
        <v>1</v>
      </c>
      <c r="AJ5" s="134" t="s">
        <v>33</v>
      </c>
      <c r="AK5" s="134"/>
      <c r="AL5" s="134" t="s">
        <v>33</v>
      </c>
      <c r="AM5" s="134" t="s">
        <v>34</v>
      </c>
      <c r="AN5" s="134">
        <v>1</v>
      </c>
      <c r="AO5" s="134"/>
      <c r="AP5" s="135"/>
      <c r="AQ5" s="130"/>
      <c r="AR5" s="136"/>
    </row>
    <row r="6" spans="1:44" x14ac:dyDescent="0.35">
      <c r="A6" s="22" t="s">
        <v>47</v>
      </c>
      <c r="B6" s="24">
        <f>SUMIF(Data_Bce!N:N,Montos!A6,Data_Bce!M:M)</f>
        <v>43522742493</v>
      </c>
      <c r="C6" s="25">
        <f>ROUND(B6/Tabla_Consulta_desde_MS_Access_Database_2[Precio_Mid],0)</f>
        <v>1102242</v>
      </c>
      <c r="D6" s="40">
        <v>1065518</v>
      </c>
      <c r="E6" s="24">
        <f>C6-D6</f>
        <v>36724</v>
      </c>
      <c r="F6" s="24">
        <f>C6-D6</f>
        <v>36724</v>
      </c>
      <c r="G6" s="40">
        <f>Salida_R!D6</f>
        <v>1618102.27</v>
      </c>
      <c r="H6" s="107">
        <f>ROUND(MAX(C6*0.3,C6-I6),0)</f>
        <v>330673</v>
      </c>
      <c r="I6" s="107">
        <f>ROUND(MIN(C6*0.7,D6),0)</f>
        <v>771569</v>
      </c>
      <c r="J6" s="107">
        <f>ROUND(I6/C35,0)</f>
        <v>4239</v>
      </c>
      <c r="K6" s="165">
        <f>SUM(H6:I6)</f>
        <v>1102242</v>
      </c>
      <c r="L6" s="159">
        <f>C6-K6</f>
        <v>0</v>
      </c>
      <c r="M6" s="157">
        <f>B6/Tabla_Consulta_desde_MS_Access_Database_2[Precio_Mid]-H6-J6*C45+K12</f>
        <v>1.6859289258718491E-2</v>
      </c>
      <c r="N6" s="137">
        <f>Tabla_Consulta_desde_MS_Access_Database_2[Fecha]</f>
        <v>45930</v>
      </c>
      <c r="O6">
        <v>1</v>
      </c>
      <c r="Q6" t="s">
        <v>31</v>
      </c>
      <c r="R6" t="s">
        <v>41</v>
      </c>
      <c r="S6" t="s">
        <v>41</v>
      </c>
      <c r="U6" t="s">
        <v>181</v>
      </c>
      <c r="V6" t="s">
        <v>181</v>
      </c>
      <c r="Z6" s="49">
        <f>Tabla_Consulta_desde_MS_Access_Database_2[Fecha]+1</f>
        <v>45931</v>
      </c>
      <c r="AA6" s="49">
        <f t="shared" ref="AA6:AB6" si="1">Z6</f>
        <v>45931</v>
      </c>
      <c r="AB6" s="49">
        <f t="shared" si="1"/>
        <v>45931</v>
      </c>
      <c r="AC6" s="138">
        <f>SUM('R13_Cta_Cte'!P4:P1000)</f>
        <v>1079797455044.9985</v>
      </c>
      <c r="AD6" s="139"/>
      <c r="AE6" s="48"/>
      <c r="AF6" s="48"/>
      <c r="AG6" s="48"/>
      <c r="AH6" s="48"/>
      <c r="AI6" s="48">
        <v>1</v>
      </c>
      <c r="AJ6" s="48" t="s">
        <v>33</v>
      </c>
      <c r="AK6" s="48"/>
      <c r="AL6" s="48" t="s">
        <v>33</v>
      </c>
      <c r="AM6" s="48" t="s">
        <v>34</v>
      </c>
      <c r="AN6" s="48">
        <v>1</v>
      </c>
      <c r="AO6" s="48"/>
      <c r="AP6" s="140"/>
      <c r="AR6" s="141"/>
    </row>
    <row r="7" spans="1:44" ht="18.5" x14ac:dyDescent="0.45">
      <c r="A7" s="25"/>
      <c r="B7" s="24"/>
      <c r="D7" s="97" t="s">
        <v>167</v>
      </c>
      <c r="E7" s="96"/>
      <c r="F7" s="24" t="str">
        <f>IF(OR(F3&lt;=0,F4&lt;=0,F5&lt;=0,F6&lt;=0),"Excede Saldo","OK")</f>
        <v>OK</v>
      </c>
      <c r="N7" s="137">
        <f>Tabla_Consulta_desde_MS_Access_Database_2[Fecha]</f>
        <v>45930</v>
      </c>
      <c r="O7">
        <v>1</v>
      </c>
      <c r="Q7" t="s">
        <v>31</v>
      </c>
      <c r="R7" t="s">
        <v>41</v>
      </c>
      <c r="S7" t="s">
        <v>41</v>
      </c>
      <c r="U7" t="s">
        <v>177</v>
      </c>
      <c r="V7" t="s">
        <v>177</v>
      </c>
      <c r="Z7" s="49">
        <f>Tabla_Consulta_desde_MS_Access_Database_2[Fecha]+1</f>
        <v>45931</v>
      </c>
      <c r="AA7" s="49">
        <f t="shared" ref="AA7:AB7" si="2">Z7</f>
        <v>45931</v>
      </c>
      <c r="AB7" s="49">
        <f t="shared" si="2"/>
        <v>45931</v>
      </c>
      <c r="AC7" s="138">
        <f>H4</f>
        <v>50974195938</v>
      </c>
      <c r="AD7" s="139"/>
      <c r="AE7" s="48"/>
      <c r="AF7" s="48"/>
      <c r="AG7" s="48"/>
      <c r="AH7" s="48"/>
      <c r="AI7" s="48">
        <v>1</v>
      </c>
      <c r="AJ7" s="48" t="s">
        <v>33</v>
      </c>
      <c r="AK7" s="48"/>
      <c r="AL7" s="48" t="s">
        <v>33</v>
      </c>
      <c r="AM7" s="48" t="s">
        <v>34</v>
      </c>
      <c r="AN7" s="48">
        <v>1</v>
      </c>
      <c r="AO7" s="48"/>
      <c r="AP7" s="140"/>
      <c r="AR7" s="141"/>
    </row>
    <row r="8" spans="1:44" x14ac:dyDescent="0.35">
      <c r="B8" s="83">
        <f>B4-D4-C9</f>
        <v>0</v>
      </c>
      <c r="C8" s="83">
        <f>IF(B3-D8+0&lt;0,0,B3-D8+0)</f>
        <v>357810792922</v>
      </c>
      <c r="D8" s="82">
        <f>D3</f>
        <v>1184757000000</v>
      </c>
      <c r="E8" s="25">
        <f>B3-D8</f>
        <v>357810792922</v>
      </c>
      <c r="F8" s="41" t="s">
        <v>72</v>
      </c>
      <c r="G8" s="40">
        <f>Salida_R!D2</f>
        <v>1491600688330.97</v>
      </c>
      <c r="H8" s="37" t="s">
        <v>66</v>
      </c>
      <c r="I8" t="s">
        <v>68</v>
      </c>
      <c r="J8" s="46" t="s">
        <v>69</v>
      </c>
      <c r="K8" s="46" t="s">
        <v>189</v>
      </c>
      <c r="N8" s="137">
        <f>Tabla_Consulta_desde_MS_Access_Database_2[Fecha]</f>
        <v>45930</v>
      </c>
      <c r="O8">
        <v>1</v>
      </c>
      <c r="Q8" t="s">
        <v>31</v>
      </c>
      <c r="R8" t="s">
        <v>41</v>
      </c>
      <c r="S8" t="s">
        <v>41</v>
      </c>
      <c r="U8" t="s">
        <v>178</v>
      </c>
      <c r="V8" t="s">
        <v>178</v>
      </c>
      <c r="Z8" s="49">
        <f>Tabla_Consulta_desde_MS_Access_Database_2[Fecha]+1</f>
        <v>45931</v>
      </c>
      <c r="AA8" s="49">
        <f t="shared" ref="AA8:AB8" si="3">Z8</f>
        <v>45931</v>
      </c>
      <c r="AB8" s="49">
        <f t="shared" si="3"/>
        <v>45931</v>
      </c>
      <c r="AC8" s="138">
        <f>SUM('R13_Cta_Vta'!P3:P1000)</f>
        <v>118939790522.99988</v>
      </c>
      <c r="AD8" s="139"/>
      <c r="AE8" s="48"/>
      <c r="AF8" s="48"/>
      <c r="AG8" s="48"/>
      <c r="AH8" s="48"/>
      <c r="AI8" s="48">
        <v>1</v>
      </c>
      <c r="AJ8" s="48" t="s">
        <v>33</v>
      </c>
      <c r="AK8" s="48"/>
      <c r="AL8" s="48" t="s">
        <v>33</v>
      </c>
      <c r="AM8" s="48" t="s">
        <v>34</v>
      </c>
      <c r="AN8" s="48">
        <v>1</v>
      </c>
      <c r="AO8" s="48"/>
      <c r="AP8" s="140"/>
      <c r="AR8" s="141"/>
    </row>
    <row r="9" spans="1:44" ht="21" x14ac:dyDescent="0.5">
      <c r="B9" s="83">
        <f>B3-D3-C8</f>
        <v>0</v>
      </c>
      <c r="C9" s="83">
        <f>IF((B4-D9)&lt;0,0,B4-D9)</f>
        <v>44791986461</v>
      </c>
      <c r="D9" s="82">
        <f>D4</f>
        <v>125122000000</v>
      </c>
      <c r="E9" s="25">
        <f>B4-D9</f>
        <v>44791986461</v>
      </c>
      <c r="G9" s="51">
        <v>1670020649460</v>
      </c>
      <c r="H9" s="38" t="s">
        <v>67</v>
      </c>
      <c r="I9" s="25"/>
      <c r="J9" s="116">
        <f>I9-SUM(K5:K6)</f>
        <v>-5625824</v>
      </c>
      <c r="K9" s="160">
        <f>ROUND(J3,0)*C42-I3</f>
        <v>7</v>
      </c>
      <c r="L9">
        <v>6</v>
      </c>
      <c r="M9" s="25"/>
      <c r="N9" s="137">
        <f>Tabla_Consulta_desde_MS_Access_Database_2[Fecha]</f>
        <v>45930</v>
      </c>
      <c r="O9">
        <v>1</v>
      </c>
      <c r="Q9" t="s">
        <v>31</v>
      </c>
      <c r="R9" t="s">
        <v>32</v>
      </c>
      <c r="S9" t="s">
        <v>32</v>
      </c>
      <c r="U9" t="s">
        <v>176</v>
      </c>
      <c r="V9" t="s">
        <v>176</v>
      </c>
      <c r="Z9" s="49">
        <f>Tabla_Consulta_desde_MS_Access_Database_2[Fecha]+1</f>
        <v>45931</v>
      </c>
      <c r="AA9" s="49">
        <f t="shared" ref="AA9:AB9" si="4">Z9</f>
        <v>45931</v>
      </c>
      <c r="AB9" s="49">
        <f t="shared" si="4"/>
        <v>45931</v>
      </c>
      <c r="AC9" s="138">
        <f>H5</f>
        <v>1357075</v>
      </c>
      <c r="AD9" s="139"/>
      <c r="AE9" s="48"/>
      <c r="AF9" s="48"/>
      <c r="AG9" s="48"/>
      <c r="AH9" s="48"/>
      <c r="AI9" s="48">
        <v>1</v>
      </c>
      <c r="AJ9" s="48" t="s">
        <v>33</v>
      </c>
      <c r="AK9" s="48"/>
      <c r="AL9" s="48" t="s">
        <v>33</v>
      </c>
      <c r="AM9" s="48" t="s">
        <v>34</v>
      </c>
      <c r="AN9" s="48">
        <v>1</v>
      </c>
      <c r="AO9" s="48"/>
      <c r="AP9" s="140"/>
      <c r="AR9" s="141"/>
    </row>
    <row r="10" spans="1:44" ht="21" x14ac:dyDescent="0.5">
      <c r="A10" s="37" t="s">
        <v>66</v>
      </c>
      <c r="B10" t="s">
        <v>68</v>
      </c>
      <c r="E10" s="25">
        <f>SUM(E8:E9)</f>
        <v>402602779383</v>
      </c>
      <c r="G10" s="25"/>
      <c r="J10" s="116">
        <f>I10-K3-E2</f>
        <v>-1542567792922</v>
      </c>
      <c r="K10" s="160">
        <f>ROUND(J4,0)*C43-I4</f>
        <v>-1</v>
      </c>
      <c r="L10">
        <v>7</v>
      </c>
      <c r="M10" s="25"/>
      <c r="N10" s="137">
        <f>Tabla_Consulta_desde_MS_Access_Database_2[Fecha]</f>
        <v>45930</v>
      </c>
      <c r="O10">
        <v>1</v>
      </c>
      <c r="Q10" t="s">
        <v>31</v>
      </c>
      <c r="R10" t="s">
        <v>32</v>
      </c>
      <c r="S10" t="s">
        <v>32</v>
      </c>
      <c r="U10" t="s">
        <v>175</v>
      </c>
      <c r="V10" t="s">
        <v>175</v>
      </c>
      <c r="Z10" s="49">
        <f>Tabla_Consulta_desde_MS_Access_Database_2[Fecha]+1</f>
        <v>45931</v>
      </c>
      <c r="AA10" s="49">
        <f t="shared" ref="AA10:AB10" si="5">Z10</f>
        <v>45931</v>
      </c>
      <c r="AB10" s="49">
        <f t="shared" si="5"/>
        <v>45931</v>
      </c>
      <c r="AC10" s="138">
        <f>SUM('R13_AGD'!P3:P1000)</f>
        <v>3166506.9999999907</v>
      </c>
      <c r="AD10" s="139"/>
      <c r="AE10" s="48"/>
      <c r="AF10" s="48"/>
      <c r="AG10" s="48"/>
      <c r="AH10" s="48"/>
      <c r="AI10" s="48">
        <v>1</v>
      </c>
      <c r="AJ10" s="48" t="s">
        <v>33</v>
      </c>
      <c r="AK10" s="48"/>
      <c r="AL10" s="48" t="s">
        <v>33</v>
      </c>
      <c r="AM10" s="48" t="s">
        <v>34</v>
      </c>
      <c r="AN10" s="48">
        <v>1</v>
      </c>
      <c r="AO10" s="48"/>
      <c r="AP10" s="140"/>
      <c r="AR10" s="141"/>
    </row>
    <row r="11" spans="1:44" ht="21" x14ac:dyDescent="0.5">
      <c r="A11" s="38" t="s">
        <v>60</v>
      </c>
      <c r="B11" s="86">
        <v>974142</v>
      </c>
      <c r="C11" s="15">
        <f>E3/C3</f>
        <v>0.23195790458208582</v>
      </c>
      <c r="D11">
        <f>SUM(D5:E5)*Tabla_Consulta_desde_MS_Access_Database_2[Precio_Mid]-B5</f>
        <v>-9840.6999816894531</v>
      </c>
      <c r="E11" s="25">
        <f>B11-C11</f>
        <v>974141.76804209547</v>
      </c>
      <c r="F11" s="24"/>
      <c r="G11" s="81">
        <v>0</v>
      </c>
      <c r="J11" s="116">
        <f>I11-K4</f>
        <v>-169913986461</v>
      </c>
      <c r="K11" s="160">
        <f>ROUND(J5,0)*C44-I5</f>
        <v>-939563</v>
      </c>
      <c r="L11">
        <v>53</v>
      </c>
      <c r="M11" s="25"/>
      <c r="N11" s="137">
        <f>Tabla_Consulta_desde_MS_Access_Database_2[Fecha]</f>
        <v>45930</v>
      </c>
      <c r="O11">
        <v>1</v>
      </c>
      <c r="Q11" t="s">
        <v>31</v>
      </c>
      <c r="R11" t="s">
        <v>32</v>
      </c>
      <c r="S11" t="s">
        <v>32</v>
      </c>
      <c r="U11" t="s">
        <v>174</v>
      </c>
      <c r="V11" t="s">
        <v>174</v>
      </c>
      <c r="Z11" s="49">
        <f>Tabla_Consulta_desde_MS_Access_Database_2[Fecha]+1</f>
        <v>45931</v>
      </c>
      <c r="AA11" s="49">
        <f t="shared" ref="AA11:AB12" si="6">Z11</f>
        <v>45931</v>
      </c>
      <c r="AB11" s="49">
        <f t="shared" si="6"/>
        <v>45931</v>
      </c>
      <c r="AC11" s="138">
        <f>H6</f>
        <v>330673</v>
      </c>
      <c r="AD11" s="139"/>
      <c r="AE11" s="48"/>
      <c r="AF11" s="48"/>
      <c r="AG11" s="48"/>
      <c r="AH11" s="48"/>
      <c r="AI11" s="48">
        <v>1</v>
      </c>
      <c r="AJ11" s="48" t="s">
        <v>33</v>
      </c>
      <c r="AK11" s="48"/>
      <c r="AL11" s="48" t="s">
        <v>33</v>
      </c>
      <c r="AM11" s="48" t="s">
        <v>34</v>
      </c>
      <c r="AN11" s="48">
        <v>1</v>
      </c>
      <c r="AO11" s="48"/>
      <c r="AP11" s="140"/>
      <c r="AR11" s="141"/>
    </row>
    <row r="12" spans="1:44" ht="15" thickBot="1" x14ac:dyDescent="0.4">
      <c r="A12" s="38" t="s">
        <v>61</v>
      </c>
      <c r="B12" s="86">
        <v>36724</v>
      </c>
      <c r="C12" s="15">
        <f>E4/C4</f>
        <v>0.263615652801372</v>
      </c>
      <c r="D12">
        <f>SUM(D6:E6)*Tabla_Consulta_desde_MS_Access_Database_2[Precio_Mid]-B6</f>
        <v>-665.69999694824219</v>
      </c>
      <c r="E12" s="25">
        <f t="shared" ref="E12:E20" si="7">B12-C12</f>
        <v>36723.736384347198</v>
      </c>
      <c r="K12" s="160">
        <f>ROUND(J6,0)*C45-I6</f>
        <v>-228977</v>
      </c>
      <c r="L12">
        <v>55</v>
      </c>
      <c r="M12" s="25"/>
      <c r="N12" s="142">
        <f>Tabla_Consulta_desde_MS_Access_Database_2[Fecha]</f>
        <v>45930</v>
      </c>
      <c r="O12" s="143">
        <v>1</v>
      </c>
      <c r="P12" s="143"/>
      <c r="Q12" s="143" t="s">
        <v>31</v>
      </c>
      <c r="R12" s="143" t="s">
        <v>32</v>
      </c>
      <c r="S12" s="143" t="s">
        <v>32</v>
      </c>
      <c r="T12" s="143"/>
      <c r="U12" s="143" t="s">
        <v>173</v>
      </c>
      <c r="V12" s="143" t="s">
        <v>173</v>
      </c>
      <c r="W12" s="143"/>
      <c r="X12" s="143"/>
      <c r="Y12" s="143"/>
      <c r="Z12" s="144">
        <f>Tabla_Consulta_desde_MS_Access_Database_2[Fecha]+1</f>
        <v>45931</v>
      </c>
      <c r="AA12" s="144">
        <f t="shared" si="6"/>
        <v>45931</v>
      </c>
      <c r="AB12" s="144">
        <f t="shared" si="6"/>
        <v>45931</v>
      </c>
      <c r="AC12" s="145">
        <f>SUM('R13_AGI'!P3:P1000)</f>
        <v>771568.99999628461</v>
      </c>
      <c r="AD12" s="143"/>
      <c r="AE12" s="143"/>
      <c r="AF12" s="143"/>
      <c r="AG12" s="143"/>
      <c r="AH12" s="143"/>
      <c r="AI12" s="146">
        <v>1</v>
      </c>
      <c r="AJ12" s="146" t="s">
        <v>33</v>
      </c>
      <c r="AK12" s="146"/>
      <c r="AL12" s="146" t="s">
        <v>33</v>
      </c>
      <c r="AM12" s="146" t="s">
        <v>34</v>
      </c>
      <c r="AN12" s="146">
        <v>1</v>
      </c>
      <c r="AO12" s="146"/>
      <c r="AP12" s="147"/>
      <c r="AQ12" s="143"/>
      <c r="AR12" s="148"/>
    </row>
    <row r="13" spans="1:44" x14ac:dyDescent="0.35">
      <c r="A13" s="38" t="s">
        <v>57</v>
      </c>
      <c r="B13" s="25">
        <v>357810792922</v>
      </c>
      <c r="C13" s="15">
        <f>E5/C5</f>
        <v>0.21534748347659002</v>
      </c>
      <c r="E13" s="25">
        <f>B13-C13</f>
        <v>357810792921.78467</v>
      </c>
    </row>
    <row r="14" spans="1:44" x14ac:dyDescent="0.35">
      <c r="A14" s="38" t="s">
        <v>44</v>
      </c>
      <c r="B14" s="25">
        <v>44791986461</v>
      </c>
      <c r="C14" s="15">
        <f>E6/C6</f>
        <v>3.3317547326267731E-2</v>
      </c>
      <c r="D14" s="46" t="s">
        <v>69</v>
      </c>
      <c r="E14" s="25">
        <f t="shared" si="7"/>
        <v>44791986460.966682</v>
      </c>
      <c r="AD14" s="166" t="s">
        <v>190</v>
      </c>
    </row>
    <row r="15" spans="1:44" x14ac:dyDescent="0.35">
      <c r="A15" s="38" t="s">
        <v>70</v>
      </c>
      <c r="B15" s="25">
        <v>0</v>
      </c>
      <c r="C15" s="24"/>
      <c r="D15" s="39">
        <f>B15-B25-B11-B24</f>
        <v>-1712488379348.9995</v>
      </c>
      <c r="E15" s="25">
        <f t="shared" si="7"/>
        <v>0</v>
      </c>
      <c r="Z15" s="24"/>
      <c r="AB15" s="157">
        <f>I3</f>
        <v>1079797455045</v>
      </c>
      <c r="AC15" s="157">
        <f>AC6</f>
        <v>1079797455044.9985</v>
      </c>
      <c r="AD15" s="158">
        <f>AB15-AC15</f>
        <v>1.46484375E-3</v>
      </c>
    </row>
    <row r="16" spans="1:44" x14ac:dyDescent="0.35">
      <c r="A16" s="38" t="s">
        <v>149</v>
      </c>
      <c r="B16" s="86">
        <v>1184756999999.9995</v>
      </c>
      <c r="C16" s="24"/>
      <c r="D16" s="40">
        <f>B16-B27-B12-B26</f>
        <v>1184756963275.9995</v>
      </c>
      <c r="E16" s="25">
        <f t="shared" si="7"/>
        <v>1184756999999.9995</v>
      </c>
      <c r="H16" s="24"/>
      <c r="Z16" s="24"/>
      <c r="AB16" s="157">
        <f t="shared" ref="AB16:AB18" si="8">I4</f>
        <v>118939790523</v>
      </c>
      <c r="AC16" s="157">
        <f>AC8</f>
        <v>118939790522.99988</v>
      </c>
      <c r="AD16" s="158">
        <f t="shared" ref="AD16:AD18" si="9">AB16-AC16</f>
        <v>1.220703125E-4</v>
      </c>
    </row>
    <row r="17" spans="1:30" x14ac:dyDescent="0.35">
      <c r="A17" s="38" t="s">
        <v>150</v>
      </c>
      <c r="B17" s="86">
        <v>0</v>
      </c>
      <c r="C17" s="24"/>
      <c r="D17" s="39">
        <f>-B13-B14-SUM(B20:B23)+B17+B19-B18</f>
        <v>-527729394341.00012</v>
      </c>
      <c r="E17" s="25">
        <f t="shared" si="7"/>
        <v>0</v>
      </c>
      <c r="G17" s="24">
        <v>1670020649460</v>
      </c>
      <c r="N17" s="25"/>
      <c r="Z17" s="24"/>
      <c r="AB17" s="157">
        <f t="shared" si="8"/>
        <v>3166507</v>
      </c>
      <c r="AC17" s="163">
        <f>AC10</f>
        <v>3166506.9999999907</v>
      </c>
      <c r="AD17" s="158">
        <f t="shared" si="9"/>
        <v>9.3132257461547852E-9</v>
      </c>
    </row>
    <row r="18" spans="1:30" x14ac:dyDescent="0.35">
      <c r="A18" s="38" t="s">
        <v>157</v>
      </c>
      <c r="B18" s="86">
        <v>125122000000.00012</v>
      </c>
      <c r="C18" s="24"/>
      <c r="D18" s="98">
        <f>SUM(D15:D17)</f>
        <v>-1055460810414.0001</v>
      </c>
      <c r="E18" s="25">
        <f t="shared" si="7"/>
        <v>125122000000.00012</v>
      </c>
      <c r="Z18" s="24"/>
      <c r="AB18" s="157">
        <f t="shared" si="8"/>
        <v>771569</v>
      </c>
      <c r="AC18" s="157">
        <f>AC12</f>
        <v>771568.99999628461</v>
      </c>
      <c r="AD18" s="158">
        <f t="shared" si="9"/>
        <v>3.7153949961066246E-6</v>
      </c>
    </row>
    <row r="19" spans="1:30" x14ac:dyDescent="0.35">
      <c r="A19" s="38" t="s">
        <v>156</v>
      </c>
      <c r="B19" s="86">
        <v>0</v>
      </c>
      <c r="E19" s="25">
        <f t="shared" si="7"/>
        <v>0</v>
      </c>
      <c r="G19" s="25">
        <f>G17-G9</f>
        <v>0</v>
      </c>
      <c r="Z19" s="24"/>
      <c r="AB19" s="25"/>
      <c r="AC19" s="161"/>
      <c r="AD19" s="162"/>
    </row>
    <row r="20" spans="1:30" ht="15" thickBot="1" x14ac:dyDescent="0.4">
      <c r="A20" s="38" t="s">
        <v>159</v>
      </c>
      <c r="B20" s="86">
        <v>3549440.0000000149</v>
      </c>
      <c r="E20" s="25">
        <f t="shared" si="7"/>
        <v>3549440.0000000149</v>
      </c>
      <c r="Z20" s="24"/>
      <c r="AC20" s="25"/>
    </row>
    <row r="21" spans="1:30" ht="15" thickBot="1" x14ac:dyDescent="0.4">
      <c r="A21" s="38" t="s">
        <v>158</v>
      </c>
      <c r="B21" s="86">
        <v>0</v>
      </c>
      <c r="C21" s="24"/>
      <c r="D21" s="25"/>
      <c r="H21" s="192" t="s">
        <v>186</v>
      </c>
      <c r="I21" s="192" t="s">
        <v>198</v>
      </c>
      <c r="J21" s="192" t="s">
        <v>199</v>
      </c>
      <c r="K21" s="192" t="s">
        <v>200</v>
      </c>
      <c r="Z21" s="24"/>
      <c r="AC21" s="25"/>
    </row>
    <row r="22" spans="1:30" x14ac:dyDescent="0.35">
      <c r="A22" s="38" t="s">
        <v>160</v>
      </c>
      <c r="B22" s="86">
        <v>1065517.9999999935</v>
      </c>
      <c r="D22" s="168">
        <v>1166765</v>
      </c>
      <c r="E22" s="168">
        <v>1106780000000</v>
      </c>
      <c r="F22" s="169">
        <f>D22-E22/1000000</f>
        <v>59985</v>
      </c>
      <c r="H22" s="182" t="s">
        <v>42</v>
      </c>
      <c r="I22" s="186">
        <v>1106780000000</v>
      </c>
      <c r="J22" s="186">
        <v>1089663000000</v>
      </c>
      <c r="K22" s="191">
        <v>1106780000000</v>
      </c>
      <c r="Z22" s="24"/>
      <c r="AC22" s="25"/>
    </row>
    <row r="23" spans="1:30" x14ac:dyDescent="0.35">
      <c r="A23" s="38" t="s">
        <v>161</v>
      </c>
      <c r="B23" s="86">
        <v>0</v>
      </c>
      <c r="D23" s="168">
        <v>125122</v>
      </c>
      <c r="E23" s="168">
        <v>121496800000</v>
      </c>
      <c r="F23" s="169">
        <f t="shared" ref="F23:F25" si="10">D23-E23/1000000</f>
        <v>3625.1999999999971</v>
      </c>
      <c r="H23" s="183" t="s">
        <v>44</v>
      </c>
      <c r="I23" s="187">
        <v>132000000000</v>
      </c>
      <c r="J23" s="189">
        <v>115044000000</v>
      </c>
      <c r="K23" s="189">
        <v>132000000000</v>
      </c>
      <c r="AC23" s="25"/>
    </row>
    <row r="24" spans="1:30" x14ac:dyDescent="0.35">
      <c r="A24" s="38" t="s">
        <v>67</v>
      </c>
      <c r="B24" s="25">
        <v>1712487405206.9995</v>
      </c>
      <c r="D24" s="168">
        <v>3344784</v>
      </c>
      <c r="E24" s="168">
        <v>3150138</v>
      </c>
      <c r="F24" s="169">
        <f t="shared" si="10"/>
        <v>3344780.849862</v>
      </c>
      <c r="H24" s="184" t="s">
        <v>46</v>
      </c>
      <c r="I24" s="187">
        <v>2800735</v>
      </c>
      <c r="J24" s="187">
        <v>2960416</v>
      </c>
      <c r="K24" s="189">
        <f t="shared" ref="K24" si="11">J24</f>
        <v>2960416</v>
      </c>
    </row>
    <row r="25" spans="1:30" ht="15" thickBot="1" x14ac:dyDescent="0.4">
      <c r="D25" s="168">
        <v>1055180</v>
      </c>
      <c r="E25" s="168">
        <v>1060648</v>
      </c>
      <c r="F25" s="169">
        <f t="shared" si="10"/>
        <v>1055178.9393519999</v>
      </c>
      <c r="H25" s="185" t="s">
        <v>47</v>
      </c>
      <c r="I25" s="188">
        <v>990000</v>
      </c>
      <c r="J25" s="190">
        <v>1061237</v>
      </c>
      <c r="K25" s="190">
        <v>990000</v>
      </c>
    </row>
    <row r="26" spans="1:30" x14ac:dyDescent="0.35">
      <c r="D26" s="168"/>
      <c r="E26" s="168"/>
      <c r="AC26" s="164"/>
    </row>
    <row r="27" spans="1:30" x14ac:dyDescent="0.35">
      <c r="D27" s="25"/>
      <c r="E27" s="25"/>
      <c r="AC27" s="164"/>
    </row>
    <row r="28" spans="1:30" x14ac:dyDescent="0.35">
      <c r="G28" s="96" t="s">
        <v>166</v>
      </c>
      <c r="H28" s="96"/>
      <c r="AC28" s="164"/>
    </row>
    <row r="29" spans="1:30" x14ac:dyDescent="0.35">
      <c r="D29" s="24"/>
      <c r="G29" t="s">
        <v>164</v>
      </c>
      <c r="H29" s="38">
        <v>5</v>
      </c>
      <c r="AC29" s="164"/>
    </row>
    <row r="30" spans="1:30" s="102" customFormat="1" ht="18.5" x14ac:dyDescent="0.45">
      <c r="A30" s="99" t="s">
        <v>151</v>
      </c>
      <c r="B30" s="100" t="s">
        <v>210</v>
      </c>
      <c r="C30" s="100" t="s">
        <v>162</v>
      </c>
      <c r="D30" s="100" t="s">
        <v>152</v>
      </c>
      <c r="E30" s="100" t="s">
        <v>153</v>
      </c>
      <c r="F30" s="100" t="s">
        <v>209</v>
      </c>
      <c r="G30" s="100" t="s">
        <v>154</v>
      </c>
      <c r="H30" s="100" t="s">
        <v>163</v>
      </c>
      <c r="I30" s="101" t="s">
        <v>165</v>
      </c>
      <c r="J30" s="101" t="s">
        <v>54</v>
      </c>
      <c r="AC30" s="164"/>
    </row>
    <row r="31" spans="1:30" s="102" customFormat="1" ht="6" customHeight="1" x14ac:dyDescent="0.45">
      <c r="A31" s="103"/>
      <c r="B31" s="112"/>
      <c r="C31" s="111"/>
      <c r="D31" s="114"/>
      <c r="E31" s="112"/>
      <c r="F31" s="111"/>
      <c r="G31" s="112"/>
      <c r="H31" s="110"/>
      <c r="I31" s="113"/>
      <c r="J31" s="113"/>
      <c r="AC31" s="164"/>
    </row>
    <row r="32" spans="1:30" s="102" customFormat="1" ht="18.5" x14ac:dyDescent="0.45">
      <c r="A32" s="103" t="s">
        <v>42</v>
      </c>
      <c r="B32" s="112">
        <f>Cta_Cte!Q4</f>
        <v>0</v>
      </c>
      <c r="C32" s="111">
        <v>34</v>
      </c>
      <c r="D32" s="112">
        <v>1166765000000</v>
      </c>
      <c r="E32" s="112">
        <f>B32-D32</f>
        <v>-1166765000000</v>
      </c>
      <c r="F32" s="195">
        <f>D3-D32</f>
        <v>17992000000</v>
      </c>
      <c r="G32" s="112">
        <f>F32/F42+B32/F42</f>
        <v>428380952.38095236</v>
      </c>
      <c r="H32" s="110">
        <f t="shared" ref="H32:H35" si="12">F32-$H$29</f>
        <v>17991999995</v>
      </c>
      <c r="I32" s="113">
        <f t="shared" ref="I32:I35" si="13">D32+G32*H32</f>
        <v>7.7074312598611896E+18</v>
      </c>
      <c r="J32" s="113">
        <f>B3-I32</f>
        <v>-7.707429717293397E+18</v>
      </c>
      <c r="K32" s="105"/>
      <c r="AC32" s="164"/>
    </row>
    <row r="33" spans="1:29" s="102" customFormat="1" ht="18.5" x14ac:dyDescent="0.45">
      <c r="A33" s="106" t="s">
        <v>44</v>
      </c>
      <c r="B33" s="112">
        <f>Cta_Vta!Q4</f>
        <v>0</v>
      </c>
      <c r="C33" s="111">
        <v>34</v>
      </c>
      <c r="D33" s="112">
        <v>125122000000</v>
      </c>
      <c r="E33" s="112">
        <f t="shared" ref="E33:E35" si="14">B33-D33</f>
        <v>-125122000000</v>
      </c>
      <c r="F33" s="195">
        <f>D4-D33</f>
        <v>0</v>
      </c>
      <c r="G33" s="112">
        <f t="shared" ref="G33:G35" si="15">F33/F43+B33/F43</f>
        <v>0</v>
      </c>
      <c r="H33" s="110">
        <f>F33-$H$29+3</f>
        <v>-2</v>
      </c>
      <c r="I33" s="113">
        <f t="shared" si="13"/>
        <v>125122000000</v>
      </c>
      <c r="J33" s="113">
        <f>B4-I33</f>
        <v>44791986461</v>
      </c>
      <c r="AC33" s="164"/>
    </row>
    <row r="34" spans="1:29" s="102" customFormat="1" ht="18.5" x14ac:dyDescent="0.45">
      <c r="A34" s="103" t="s">
        <v>46</v>
      </c>
      <c r="B34" s="112">
        <f>AGD!Q3</f>
        <v>0</v>
      </c>
      <c r="C34" s="111">
        <v>182</v>
      </c>
      <c r="D34" s="112">
        <v>3344784</v>
      </c>
      <c r="E34" s="112">
        <f t="shared" si="14"/>
        <v>-3344784</v>
      </c>
      <c r="F34" s="195">
        <f t="shared" ref="F34:F35" si="16">D5-D34</f>
        <v>204656</v>
      </c>
      <c r="G34" s="112">
        <f t="shared" si="15"/>
        <v>998.32195121951224</v>
      </c>
      <c r="H34" s="110">
        <f>F34-$H$29</f>
        <v>204651</v>
      </c>
      <c r="I34" s="113">
        <f t="shared" si="13"/>
        <v>207652369.63902441</v>
      </c>
      <c r="J34" s="113">
        <f>B5-I34*Tabla_Consulta_desde_MS_Access_Database_2[Precio_Mid]</f>
        <v>-8020672203798.1445</v>
      </c>
      <c r="AC34" s="164"/>
    </row>
    <row r="35" spans="1:29" s="102" customFormat="1" ht="18.5" x14ac:dyDescent="0.45">
      <c r="A35" s="106" t="s">
        <v>47</v>
      </c>
      <c r="B35" s="112">
        <f>AGI!Q3</f>
        <v>0</v>
      </c>
      <c r="C35" s="111">
        <v>182</v>
      </c>
      <c r="D35" s="112">
        <v>1055180</v>
      </c>
      <c r="E35" s="112">
        <f t="shared" si="14"/>
        <v>-1055180</v>
      </c>
      <c r="F35" s="195">
        <f t="shared" si="16"/>
        <v>10338</v>
      </c>
      <c r="G35" s="112">
        <f t="shared" si="15"/>
        <v>50.429268292682927</v>
      </c>
      <c r="H35" s="110">
        <f t="shared" si="12"/>
        <v>10333</v>
      </c>
      <c r="I35" s="113">
        <f t="shared" si="13"/>
        <v>1576265.6292682928</v>
      </c>
      <c r="J35" s="113">
        <f>B6-I35*Tabla_Consulta_desde_MS_Access_Database_2[Precio_Mid]</f>
        <v>-18717130451.317566</v>
      </c>
      <c r="AC35" s="164"/>
    </row>
    <row r="36" spans="1:29" ht="18.5" x14ac:dyDescent="0.45">
      <c r="B36" s="25">
        <v>202000000000</v>
      </c>
      <c r="C36">
        <f>C33</f>
        <v>34</v>
      </c>
      <c r="D36" s="24">
        <f>B36-3*G33</f>
        <v>202000000000</v>
      </c>
      <c r="E36" s="25">
        <f>B36-D36</f>
        <v>0</v>
      </c>
      <c r="F36">
        <v>3</v>
      </c>
      <c r="G36" s="25">
        <f>G33</f>
        <v>0</v>
      </c>
      <c r="H36">
        <f>F36+F33-H29</f>
        <v>-2</v>
      </c>
      <c r="I36" s="105">
        <f t="shared" ref="I36" si="17">D36+G36*H36</f>
        <v>202000000000</v>
      </c>
      <c r="J36" s="105">
        <f>B4-I36</f>
        <v>-32086013539</v>
      </c>
    </row>
    <row r="37" spans="1:29" x14ac:dyDescent="0.35">
      <c r="B37" s="25"/>
      <c r="C37" s="25">
        <f>B36-D37</f>
        <v>71383000000</v>
      </c>
      <c r="D37" s="24">
        <v>130617000000</v>
      </c>
      <c r="E37" s="24"/>
    </row>
    <row r="38" spans="1:29" x14ac:dyDescent="0.35">
      <c r="C38" s="25">
        <f>C37/3</f>
        <v>23794333333.333332</v>
      </c>
      <c r="D38" s="24"/>
      <c r="E38" s="24"/>
      <c r="F38" s="24"/>
      <c r="G38" s="24"/>
      <c r="H38" s="24"/>
    </row>
    <row r="39" spans="1:29" ht="28.5" x14ac:dyDescent="0.65">
      <c r="A39" s="169">
        <f>B39-E39</f>
        <v>657283792301.49219</v>
      </c>
      <c r="B39" s="168">
        <v>744128283898.13086</v>
      </c>
      <c r="C39" s="25">
        <f>SUM(D39:E39)</f>
        <v>981220422553.59302</v>
      </c>
      <c r="D39" s="24">
        <f>B42-E42</f>
        <v>894375930956.95435</v>
      </c>
      <c r="E39" s="24">
        <f>G42*H42</f>
        <v>86844491596.638657</v>
      </c>
      <c r="F39" s="25">
        <v>941268.06791012804</v>
      </c>
      <c r="G39" s="25"/>
      <c r="H39" s="150">
        <v>12</v>
      </c>
    </row>
    <row r="40" spans="1:29" ht="23.5" x14ac:dyDescent="0.55000000000000004">
      <c r="A40" s="99" t="s">
        <v>151</v>
      </c>
      <c r="B40" s="100" t="s">
        <v>168</v>
      </c>
      <c r="C40" s="100" t="s">
        <v>162</v>
      </c>
      <c r="D40" s="100" t="s">
        <v>152</v>
      </c>
      <c r="E40" s="100" t="s">
        <v>207</v>
      </c>
      <c r="F40" s="100" t="s">
        <v>206</v>
      </c>
      <c r="G40" s="100" t="s">
        <v>154</v>
      </c>
      <c r="H40" s="100" t="s">
        <v>208</v>
      </c>
      <c r="I40" s="179" t="s">
        <v>196</v>
      </c>
      <c r="J40" s="179" t="s">
        <v>197</v>
      </c>
    </row>
    <row r="41" spans="1:29" ht="18.5" x14ac:dyDescent="0.45">
      <c r="A41" s="103" t="s">
        <v>155</v>
      </c>
      <c r="B41" s="104"/>
      <c r="C41" s="103"/>
      <c r="D41" s="104"/>
      <c r="E41" s="104"/>
      <c r="F41" s="103"/>
      <c r="G41" s="104"/>
      <c r="H41" s="115"/>
      <c r="K41" s="103">
        <v>34</v>
      </c>
    </row>
    <row r="42" spans="1:29" ht="18.5" x14ac:dyDescent="0.45">
      <c r="A42" s="103" t="s">
        <v>42</v>
      </c>
      <c r="B42" s="104">
        <v>926928283898.13086</v>
      </c>
      <c r="C42" s="103">
        <v>34</v>
      </c>
      <c r="D42" s="104">
        <v>1106780000000</v>
      </c>
      <c r="E42" s="104">
        <f>D42/C42</f>
        <v>32552352941.176472</v>
      </c>
      <c r="F42" s="103">
        <v>42</v>
      </c>
      <c r="G42" s="104">
        <f>E42/F42+(D3-D42)/F42</f>
        <v>2631651260.5042019</v>
      </c>
      <c r="H42" s="167">
        <v>33</v>
      </c>
      <c r="I42" s="168">
        <v>929598000000</v>
      </c>
      <c r="J42" s="169">
        <v>185469716101.86902</v>
      </c>
      <c r="K42" s="103">
        <v>34</v>
      </c>
    </row>
    <row r="43" spans="1:29" ht="18.5" x14ac:dyDescent="0.45">
      <c r="A43" s="106" t="s">
        <v>44</v>
      </c>
      <c r="B43" s="104">
        <v>202000000000</v>
      </c>
      <c r="C43" s="103">
        <v>34</v>
      </c>
      <c r="D43" s="104">
        <v>121496800000</v>
      </c>
      <c r="E43" s="104">
        <f t="shared" ref="E43:E45" si="18">D43/C43</f>
        <v>3573435294.1176472</v>
      </c>
      <c r="F43" s="103">
        <v>42</v>
      </c>
      <c r="G43" s="104">
        <f t="shared" ref="G43:G45" si="19">E43/F43+(D4-D43)/F43</f>
        <v>171396078.43137255</v>
      </c>
      <c r="H43" s="115">
        <v>33</v>
      </c>
      <c r="K43" s="103">
        <v>34</v>
      </c>
    </row>
    <row r="44" spans="1:29" ht="18.5" x14ac:dyDescent="0.45">
      <c r="A44" s="103" t="s">
        <v>46</v>
      </c>
      <c r="B44" s="104">
        <f>3065276.14561642*0+3031184</f>
        <v>3031184</v>
      </c>
      <c r="C44" s="193">
        <v>128</v>
      </c>
      <c r="D44" s="104">
        <v>3150138</v>
      </c>
      <c r="E44" s="104">
        <f t="shared" si="18"/>
        <v>24610.453125</v>
      </c>
      <c r="F44" s="103">
        <v>205</v>
      </c>
      <c r="G44" s="104">
        <f t="shared" si="19"/>
        <v>2067.8656249999999</v>
      </c>
      <c r="H44" s="115">
        <v>127</v>
      </c>
      <c r="K44" s="103">
        <v>182</v>
      </c>
    </row>
    <row r="45" spans="1:29" ht="18.5" x14ac:dyDescent="0.45">
      <c r="A45" s="106" t="s">
        <v>47</v>
      </c>
      <c r="B45" s="104">
        <v>1396908.0679101276</v>
      </c>
      <c r="C45" s="193">
        <v>128</v>
      </c>
      <c r="D45" s="104">
        <v>1060648</v>
      </c>
      <c r="E45" s="104">
        <f t="shared" si="18"/>
        <v>8286.3125</v>
      </c>
      <c r="F45" s="103">
        <v>205</v>
      </c>
      <c r="G45" s="104">
        <f t="shared" si="19"/>
        <v>64.177134146341473</v>
      </c>
      <c r="H45" s="115">
        <v>127</v>
      </c>
      <c r="K45" s="103">
        <v>182</v>
      </c>
    </row>
    <row r="46" spans="1:29" x14ac:dyDescent="0.35">
      <c r="D46" s="25"/>
      <c r="E46" s="25"/>
      <c r="F46" s="25"/>
      <c r="G46" s="25"/>
      <c r="H46" s="25"/>
    </row>
    <row r="48" spans="1:29" x14ac:dyDescent="0.35">
      <c r="D48" s="25">
        <f>B44-G44</f>
        <v>3029116.1343749999</v>
      </c>
    </row>
    <row r="49" spans="1:8" x14ac:dyDescent="0.35">
      <c r="B49">
        <v>1914346</v>
      </c>
      <c r="E49">
        <v>202000</v>
      </c>
      <c r="F49" s="24">
        <v>132000</v>
      </c>
      <c r="H49" s="25">
        <f>E49-F49</f>
        <v>70000</v>
      </c>
    </row>
    <row r="50" spans="1:8" x14ac:dyDescent="0.35">
      <c r="F50" s="25">
        <f>(E49-F49)/F43</f>
        <v>1666.6666666666667</v>
      </c>
    </row>
    <row r="52" spans="1:8" x14ac:dyDescent="0.35">
      <c r="B52" s="25">
        <f>$B$44-C52*$G$44</f>
        <v>3029116.1343749999</v>
      </c>
      <c r="C52">
        <v>1</v>
      </c>
      <c r="E52" s="25">
        <f>D42/1000000</f>
        <v>1106780</v>
      </c>
      <c r="F52">
        <v>610000</v>
      </c>
      <c r="G52" s="25"/>
    </row>
    <row r="53" spans="1:8" x14ac:dyDescent="0.35">
      <c r="B53" s="25">
        <f t="shared" ref="B53:B58" si="20">$B$44-C53*$G$44</f>
        <v>3027048.2687499998</v>
      </c>
      <c r="C53">
        <f>C52+1</f>
        <v>2</v>
      </c>
      <c r="F53" s="24">
        <f>(E52-F52)/14</f>
        <v>35484.285714285717</v>
      </c>
    </row>
    <row r="54" spans="1:8" x14ac:dyDescent="0.35">
      <c r="B54" s="25">
        <f t="shared" si="20"/>
        <v>3024980.4031250002</v>
      </c>
      <c r="C54">
        <f t="shared" ref="C54:C58" si="21">C53+1</f>
        <v>3</v>
      </c>
    </row>
    <row r="55" spans="1:8" x14ac:dyDescent="0.35">
      <c r="A55" s="24">
        <v>3065276.3039028719</v>
      </c>
      <c r="B55" s="25">
        <f t="shared" si="20"/>
        <v>3022912.5375000001</v>
      </c>
      <c r="C55">
        <f t="shared" si="21"/>
        <v>4</v>
      </c>
    </row>
    <row r="56" spans="1:8" x14ac:dyDescent="0.35">
      <c r="B56" s="109">
        <f t="shared" si="20"/>
        <v>3020844.671875</v>
      </c>
      <c r="C56">
        <f t="shared" si="21"/>
        <v>5</v>
      </c>
      <c r="E56">
        <v>1914346</v>
      </c>
      <c r="F56">
        <v>1396908.0679101276</v>
      </c>
      <c r="G56">
        <v>941270</v>
      </c>
    </row>
    <row r="57" spans="1:8" x14ac:dyDescent="0.35">
      <c r="B57" s="25">
        <f t="shared" si="20"/>
        <v>3018776.8062499999</v>
      </c>
      <c r="C57">
        <f t="shared" si="21"/>
        <v>6</v>
      </c>
      <c r="E57" s="25">
        <f>A55-E56</f>
        <v>1150930.3039028719</v>
      </c>
      <c r="G57">
        <f>F56-G56</f>
        <v>455638.06791012757</v>
      </c>
    </row>
    <row r="58" spans="1:8" x14ac:dyDescent="0.35">
      <c r="B58" s="25">
        <f t="shared" si="20"/>
        <v>3016708.9406249998</v>
      </c>
      <c r="C58">
        <f t="shared" si="21"/>
        <v>7</v>
      </c>
      <c r="E58">
        <v>13</v>
      </c>
      <c r="G58">
        <v>12</v>
      </c>
    </row>
    <row r="59" spans="1:8" x14ac:dyDescent="0.35">
      <c r="E59" s="25">
        <f>E57/E58</f>
        <v>88533.100300220918</v>
      </c>
      <c r="G59" s="25">
        <f>G57/G58</f>
        <v>37969.838992510631</v>
      </c>
    </row>
  </sheetData>
  <hyperlinks>
    <hyperlink ref="H1" r:id="rId3" display="\\CDLV-ESTOCOLMO\Riesgo Financiero2\RF_PROCESOS\RF_Riesgo_Liq\RF_KRI\Input Indicador Resumen Liquidez" xr:uid="{00000000-0004-0000-0400-000000000000}"/>
  </hyperlinks>
  <pageMargins left="0.7" right="0.7" top="0.75" bottom="0.75" header="0.3" footer="0.3"/>
  <pageSetup orientation="portrait" r:id="rId4"/>
  <drawing r:id="rId5"/>
  <legacyDrawing r:id="rId6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13"/>
  <dimension ref="A1:I14"/>
  <sheetViews>
    <sheetView workbookViewId="0">
      <selection activeCell="F43" sqref="F43"/>
    </sheetView>
  </sheetViews>
  <sheetFormatPr baseColWidth="10" defaultRowHeight="14.5" x14ac:dyDescent="0.35"/>
  <cols>
    <col min="1" max="1" width="12.81640625" bestFit="1" customWidth="1"/>
    <col min="4" max="4" width="17.81640625" bestFit="1" customWidth="1"/>
    <col min="6" max="6" width="14.54296875" bestFit="1" customWidth="1"/>
    <col min="7" max="7" width="16.81640625" bestFit="1" customWidth="1"/>
    <col min="8" max="8" width="17.81640625" bestFit="1" customWidth="1"/>
    <col min="9" max="9" width="15.81640625" bestFit="1" customWidth="1"/>
  </cols>
  <sheetData>
    <row r="1" spans="1:9" x14ac:dyDescent="0.35">
      <c r="A1" t="s">
        <v>75</v>
      </c>
      <c r="B1" t="s">
        <v>76</v>
      </c>
      <c r="C1" t="s">
        <v>77</v>
      </c>
      <c r="D1" t="s">
        <v>78</v>
      </c>
      <c r="E1" t="s">
        <v>79</v>
      </c>
      <c r="F1" t="s">
        <v>80</v>
      </c>
      <c r="G1" t="s">
        <v>81</v>
      </c>
    </row>
    <row r="2" spans="1:9" x14ac:dyDescent="0.35">
      <c r="A2" t="s">
        <v>82</v>
      </c>
      <c r="B2" s="13">
        <v>43497</v>
      </c>
      <c r="C2" s="13">
        <v>44592</v>
      </c>
      <c r="D2" s="40">
        <v>1491600688330.97</v>
      </c>
      <c r="E2" s="45">
        <v>0.91239999999999999</v>
      </c>
      <c r="F2" s="24">
        <v>2306531990.3699999</v>
      </c>
      <c r="G2" s="24">
        <v>70289710920.380005</v>
      </c>
      <c r="H2" s="47">
        <v>5.317613844887329E-2</v>
      </c>
      <c r="I2" s="45"/>
    </row>
    <row r="3" spans="1:9" x14ac:dyDescent="0.35">
      <c r="A3" t="s">
        <v>83</v>
      </c>
      <c r="B3" s="13">
        <v>43497</v>
      </c>
      <c r="C3" s="13">
        <v>44592</v>
      </c>
      <c r="D3" s="40">
        <v>1073287855786.09</v>
      </c>
      <c r="E3" s="45">
        <v>0.91949999999999998</v>
      </c>
      <c r="F3" s="24">
        <v>1488868387.8900001</v>
      </c>
      <c r="G3" s="24">
        <v>117690803059.33</v>
      </c>
      <c r="H3" s="47">
        <v>5.5243571048253851E-2</v>
      </c>
      <c r="I3" s="45"/>
    </row>
    <row r="4" spans="1:9" x14ac:dyDescent="0.35">
      <c r="A4" t="s">
        <v>84</v>
      </c>
      <c r="B4" s="13">
        <v>43497</v>
      </c>
      <c r="C4" s="13">
        <v>44592</v>
      </c>
      <c r="D4" s="40">
        <v>416739085419.97998</v>
      </c>
      <c r="E4" s="45">
        <v>0.84099999999999997</v>
      </c>
      <c r="F4" s="24">
        <v>816910515.62</v>
      </c>
      <c r="G4" s="24">
        <v>-46953987246.199997</v>
      </c>
      <c r="H4" s="47">
        <v>4.7953095630510867E-2</v>
      </c>
      <c r="I4" s="45"/>
    </row>
    <row r="5" spans="1:9" x14ac:dyDescent="0.35">
      <c r="A5" t="s">
        <v>85</v>
      </c>
      <c r="B5" s="13">
        <v>43497</v>
      </c>
      <c r="C5" s="13">
        <v>44592</v>
      </c>
      <c r="D5" s="40">
        <v>3378909.61</v>
      </c>
      <c r="E5" s="45">
        <v>0.91290000000000004</v>
      </c>
      <c r="F5" s="24">
        <v>3920.93</v>
      </c>
      <c r="G5" s="24">
        <v>884958.8</v>
      </c>
      <c r="H5" s="47">
        <v>4.0557556308603818E-2</v>
      </c>
      <c r="I5" s="45"/>
    </row>
    <row r="6" spans="1:9" x14ac:dyDescent="0.35">
      <c r="A6" t="s">
        <v>86</v>
      </c>
      <c r="B6" s="13">
        <v>43497</v>
      </c>
      <c r="C6" s="13">
        <v>44592</v>
      </c>
      <c r="D6" s="40">
        <v>1618102.27</v>
      </c>
      <c r="E6" s="45">
        <v>0.9002</v>
      </c>
      <c r="F6" s="24">
        <v>1675.51</v>
      </c>
      <c r="G6" s="24">
        <v>557045.66</v>
      </c>
      <c r="H6" s="47">
        <v>3.8913553357892115E-2</v>
      </c>
      <c r="I6" s="45"/>
    </row>
    <row r="7" spans="1:9" x14ac:dyDescent="0.35">
      <c r="B7" s="13"/>
      <c r="C7" s="13"/>
      <c r="D7" s="24"/>
      <c r="E7" s="45"/>
      <c r="F7" s="24"/>
      <c r="G7" s="24"/>
    </row>
    <row r="9" spans="1:9" x14ac:dyDescent="0.35">
      <c r="A9" t="s">
        <v>75</v>
      </c>
      <c r="B9" t="s">
        <v>76</v>
      </c>
      <c r="C9" t="s">
        <v>77</v>
      </c>
      <c r="D9" t="s">
        <v>78</v>
      </c>
      <c r="E9" t="s">
        <v>79</v>
      </c>
      <c r="F9" t="s">
        <v>80</v>
      </c>
      <c r="G9" t="s">
        <v>81</v>
      </c>
    </row>
    <row r="10" spans="1:9" x14ac:dyDescent="0.35">
      <c r="A10" t="s">
        <v>82</v>
      </c>
      <c r="B10" s="13">
        <v>43587</v>
      </c>
      <c r="C10" s="13">
        <v>44680</v>
      </c>
      <c r="D10" s="24">
        <v>1537874727430.9199</v>
      </c>
      <c r="E10" s="45">
        <v>0.92210000000000003</v>
      </c>
      <c r="F10" s="24">
        <v>2350006544.48</v>
      </c>
      <c r="G10" s="24">
        <v>158833436299.62</v>
      </c>
      <c r="H10" s="45">
        <f>(D10-D2)/D2</f>
        <v>3.1023074380401632E-2</v>
      </c>
      <c r="I10" s="25">
        <f>D10-D2</f>
        <v>46274039099.949951</v>
      </c>
    </row>
    <row r="11" spans="1:9" x14ac:dyDescent="0.35">
      <c r="A11" t="s">
        <v>83</v>
      </c>
      <c r="B11" s="13">
        <v>43587</v>
      </c>
      <c r="C11" s="13">
        <v>44680</v>
      </c>
      <c r="D11" s="24">
        <v>1167387122734.72</v>
      </c>
      <c r="E11" s="45">
        <v>0.94540000000000002</v>
      </c>
      <c r="F11" s="24">
        <v>1583164956.1800001</v>
      </c>
      <c r="G11" s="24">
        <v>159390866690.67999</v>
      </c>
      <c r="H11" s="45">
        <f t="shared" ref="H11:H14" si="0">(D11-D3)/D3</f>
        <v>8.7673839260680425E-2</v>
      </c>
      <c r="I11" s="25">
        <f t="shared" ref="I11:I14" si="1">D11-D3</f>
        <v>94099266948.630005</v>
      </c>
    </row>
    <row r="12" spans="1:9" x14ac:dyDescent="0.35">
      <c r="A12" t="s">
        <v>84</v>
      </c>
      <c r="B12" s="13">
        <v>43587</v>
      </c>
      <c r="C12" s="13">
        <v>44680</v>
      </c>
      <c r="D12" s="24">
        <v>370486399489.71997</v>
      </c>
      <c r="E12" s="45">
        <v>0.78520000000000001</v>
      </c>
      <c r="F12" s="24">
        <v>766540286.67999995</v>
      </c>
      <c r="G12" s="24">
        <v>-190954961.06999999</v>
      </c>
      <c r="H12" s="45">
        <f t="shared" si="0"/>
        <v>-0.11098715610907392</v>
      </c>
      <c r="I12" s="25">
        <f t="shared" si="1"/>
        <v>-46252685930.26001</v>
      </c>
    </row>
    <row r="13" spans="1:9" x14ac:dyDescent="0.35">
      <c r="A13" t="s">
        <v>85</v>
      </c>
      <c r="B13" s="13">
        <v>43587</v>
      </c>
      <c r="C13" s="13">
        <v>44680</v>
      </c>
      <c r="D13" s="24">
        <v>3538454</v>
      </c>
      <c r="E13" s="45">
        <v>0.93059999999999998</v>
      </c>
      <c r="F13" s="24">
        <v>4046.77</v>
      </c>
      <c r="G13" s="24">
        <v>1021084.52</v>
      </c>
      <c r="H13" s="45">
        <f t="shared" si="0"/>
        <v>4.7217714711226065E-2</v>
      </c>
      <c r="I13" s="25">
        <f t="shared" si="1"/>
        <v>159544.39000000013</v>
      </c>
    </row>
    <row r="14" spans="1:9" x14ac:dyDescent="0.35">
      <c r="A14" t="s">
        <v>86</v>
      </c>
      <c r="B14" s="13">
        <v>43587</v>
      </c>
      <c r="C14" s="13">
        <v>44680</v>
      </c>
      <c r="D14" s="24">
        <v>1677841</v>
      </c>
      <c r="E14" s="45">
        <v>0.92090000000000005</v>
      </c>
      <c r="F14" s="24">
        <v>1734.97</v>
      </c>
      <c r="G14" s="24">
        <v>611370.80000000005</v>
      </c>
      <c r="H14" s="45">
        <f t="shared" si="0"/>
        <v>3.6919007597708879E-2</v>
      </c>
      <c r="I14" s="25">
        <f t="shared" si="1"/>
        <v>59738.729999999981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2"/>
  <dimension ref="A1:W14"/>
  <sheetViews>
    <sheetView zoomScale="80" zoomScaleNormal="80" workbookViewId="0">
      <selection activeCell="P1" sqref="P1"/>
    </sheetView>
  </sheetViews>
  <sheetFormatPr baseColWidth="10" defaultRowHeight="14.5" x14ac:dyDescent="0.35"/>
  <cols>
    <col min="1" max="1" width="10.81640625" bestFit="1" customWidth="1"/>
    <col min="2" max="2" width="17.26953125" bestFit="1" customWidth="1"/>
    <col min="3" max="3" width="15.81640625" bestFit="1" customWidth="1"/>
    <col min="4" max="4" width="11.54296875" bestFit="1" customWidth="1"/>
    <col min="5" max="5" width="14.453125" bestFit="1" customWidth="1"/>
    <col min="6" max="8" width="3.54296875" customWidth="1"/>
    <col min="9" max="9" width="18.36328125" bestFit="1" customWidth="1"/>
    <col min="10" max="10" width="15.81640625" bestFit="1" customWidth="1"/>
    <col min="11" max="11" width="16.08984375" bestFit="1" customWidth="1"/>
    <col min="12" max="12" width="11.54296875" bestFit="1" customWidth="1"/>
    <col min="13" max="13" width="23" bestFit="1" customWidth="1"/>
    <col min="14" max="14" width="28.26953125" bestFit="1" customWidth="1"/>
    <col min="16" max="16" width="10.81640625" bestFit="1" customWidth="1"/>
    <col min="17" max="17" width="11.453125" bestFit="1" customWidth="1"/>
    <col min="18" max="18" width="10.90625" bestFit="1" customWidth="1"/>
    <col min="19" max="19" width="17.6328125" bestFit="1" customWidth="1"/>
    <col min="20" max="20" width="28.54296875" bestFit="1" customWidth="1"/>
    <col min="21" max="21" width="18.08984375" bestFit="1" customWidth="1"/>
    <col min="22" max="22" width="16.36328125" bestFit="1" customWidth="1"/>
    <col min="23" max="23" width="18.08984375" bestFit="1" customWidth="1"/>
  </cols>
  <sheetData>
    <row r="1" spans="1:23" x14ac:dyDescent="0.35">
      <c r="A1" s="26" t="s">
        <v>48</v>
      </c>
      <c r="B1" s="26" t="s">
        <v>49</v>
      </c>
      <c r="C1" s="26" t="s">
        <v>50</v>
      </c>
      <c r="D1" s="26" t="s">
        <v>39</v>
      </c>
      <c r="E1" s="26" t="s">
        <v>51</v>
      </c>
      <c r="I1" s="26" t="s">
        <v>35</v>
      </c>
      <c r="J1" s="26" t="s">
        <v>36</v>
      </c>
      <c r="K1" s="26" t="s">
        <v>37</v>
      </c>
      <c r="L1" s="26" t="s">
        <v>39</v>
      </c>
      <c r="M1" s="27" t="s">
        <v>40</v>
      </c>
      <c r="N1" s="26" t="s">
        <v>38</v>
      </c>
      <c r="P1" t="s">
        <v>87</v>
      </c>
      <c r="Q1" t="s">
        <v>89</v>
      </c>
      <c r="R1" t="s">
        <v>39</v>
      </c>
      <c r="S1" t="s">
        <v>37</v>
      </c>
      <c r="T1" t="s">
        <v>38</v>
      </c>
      <c r="U1" t="s">
        <v>110</v>
      </c>
      <c r="V1" t="s">
        <v>111</v>
      </c>
      <c r="W1" t="s">
        <v>184</v>
      </c>
    </row>
    <row r="2" spans="1:23" x14ac:dyDescent="0.35">
      <c r="A2" s="28">
        <v>45930</v>
      </c>
      <c r="B2" s="26" t="s">
        <v>32</v>
      </c>
      <c r="C2" s="26" t="s">
        <v>74</v>
      </c>
      <c r="D2" s="26" t="s">
        <v>32</v>
      </c>
      <c r="E2" s="26">
        <v>39485.65</v>
      </c>
      <c r="I2" s="28">
        <v>45930</v>
      </c>
      <c r="J2" s="26" t="s">
        <v>31</v>
      </c>
      <c r="K2" s="26" t="s">
        <v>42</v>
      </c>
      <c r="L2" s="26" t="s">
        <v>41</v>
      </c>
      <c r="M2" s="29">
        <v>1538982894191</v>
      </c>
      <c r="N2" s="26" t="s">
        <v>42</v>
      </c>
      <c r="P2" s="28">
        <v>45930</v>
      </c>
      <c r="Q2" t="s">
        <v>187</v>
      </c>
      <c r="R2" t="s">
        <v>41</v>
      </c>
      <c r="S2" t="s">
        <v>188</v>
      </c>
      <c r="T2" t="s">
        <v>188</v>
      </c>
      <c r="U2" s="24">
        <v>71051027382</v>
      </c>
      <c r="V2" s="24">
        <v>0</v>
      </c>
      <c r="W2" s="25">
        <f>Tabla_Consulta_desde_MS_Access_Database[[#This Row],[Cap_Amort]]+Tabla_Consulta_desde_MS_Access_Database[[#This Row],[Int_Total_Cont]]</f>
        <v>71051027382</v>
      </c>
    </row>
    <row r="3" spans="1:23" x14ac:dyDescent="0.35">
      <c r="I3" s="28">
        <v>45930</v>
      </c>
      <c r="J3" s="26" t="s">
        <v>31</v>
      </c>
      <c r="K3" s="26" t="s">
        <v>44</v>
      </c>
      <c r="L3" s="26" t="s">
        <v>41</v>
      </c>
      <c r="M3" s="29">
        <v>169913986461</v>
      </c>
      <c r="N3" s="26" t="s">
        <v>44</v>
      </c>
      <c r="P3" s="28">
        <v>45930</v>
      </c>
      <c r="Q3" t="s">
        <v>31</v>
      </c>
      <c r="R3" t="s">
        <v>32</v>
      </c>
      <c r="S3" t="s">
        <v>45</v>
      </c>
      <c r="T3" t="s">
        <v>46</v>
      </c>
      <c r="U3" s="24">
        <v>4523582.2492221855</v>
      </c>
      <c r="V3" s="24">
        <v>0</v>
      </c>
      <c r="W3" s="25">
        <f>Tabla_Consulta_desde_MS_Access_Database[[#This Row],[Cap_Amort]]+Tabla_Consulta_desde_MS_Access_Database[[#This Row],[Int_Total_Cont]]</f>
        <v>4523582.2492221855</v>
      </c>
    </row>
    <row r="4" spans="1:23" x14ac:dyDescent="0.35">
      <c r="I4" s="28">
        <v>45930</v>
      </c>
      <c r="J4" s="26" t="s">
        <v>31</v>
      </c>
      <c r="K4" s="26" t="s">
        <v>44</v>
      </c>
      <c r="L4" s="26" t="s">
        <v>41</v>
      </c>
      <c r="M4" s="29">
        <v>228628217</v>
      </c>
      <c r="N4" s="26" t="s">
        <v>44</v>
      </c>
      <c r="P4" s="28">
        <v>45930</v>
      </c>
      <c r="Q4" t="s">
        <v>31</v>
      </c>
      <c r="R4" t="s">
        <v>32</v>
      </c>
      <c r="S4" t="s">
        <v>45</v>
      </c>
      <c r="T4" t="s">
        <v>47</v>
      </c>
      <c r="U4" s="24">
        <v>1102242.0168592893</v>
      </c>
      <c r="V4" s="24">
        <v>0</v>
      </c>
      <c r="W4" s="25">
        <f>Tabla_Consulta_desde_MS_Access_Database[[#This Row],[Cap_Amort]]+Tabla_Consulta_desde_MS_Access_Database[[#This Row],[Int_Total_Cont]]</f>
        <v>1102242.0168592893</v>
      </c>
    </row>
    <row r="5" spans="1:23" x14ac:dyDescent="0.35">
      <c r="I5" s="28">
        <v>45930</v>
      </c>
      <c r="J5" s="26" t="s">
        <v>31</v>
      </c>
      <c r="K5" s="26" t="s">
        <v>44</v>
      </c>
      <c r="L5" s="26" t="s">
        <v>41</v>
      </c>
      <c r="M5" s="29">
        <v>228628217</v>
      </c>
      <c r="N5" s="26" t="s">
        <v>44</v>
      </c>
      <c r="P5" s="28">
        <v>45930</v>
      </c>
      <c r="Q5" t="s">
        <v>31</v>
      </c>
      <c r="R5" t="s">
        <v>32</v>
      </c>
      <c r="S5" t="s">
        <v>185</v>
      </c>
      <c r="T5" t="s">
        <v>185</v>
      </c>
      <c r="U5" s="24">
        <v>754994.70935192355</v>
      </c>
      <c r="V5" s="24">
        <v>3890.9375999999997</v>
      </c>
      <c r="W5" s="25">
        <f>Tabla_Consulta_desde_MS_Access_Database[[#This Row],[Cap_Amort]]+Tabla_Consulta_desde_MS_Access_Database[[#This Row],[Int_Total_Cont]]</f>
        <v>758885.6469519235</v>
      </c>
    </row>
    <row r="6" spans="1:23" x14ac:dyDescent="0.35">
      <c r="I6" s="28">
        <v>45930</v>
      </c>
      <c r="J6" s="26" t="s">
        <v>31</v>
      </c>
      <c r="K6" s="26" t="s">
        <v>45</v>
      </c>
      <c r="L6" s="26" t="s">
        <v>32</v>
      </c>
      <c r="M6" s="29">
        <v>176771647227</v>
      </c>
      <c r="N6" s="26" t="s">
        <v>46</v>
      </c>
      <c r="P6" s="155">
        <v>45930</v>
      </c>
      <c r="Q6" t="s">
        <v>31</v>
      </c>
      <c r="R6" t="s">
        <v>41</v>
      </c>
      <c r="S6" t="s">
        <v>42</v>
      </c>
      <c r="T6" t="s">
        <v>42</v>
      </c>
      <c r="U6" s="24">
        <v>1542567792922</v>
      </c>
      <c r="V6" s="24">
        <v>0</v>
      </c>
      <c r="W6" s="25">
        <f>Tabla_Consulta_desde_MS_Access_Database[[#This Row],[Cap_Amort]]+Tabla_Consulta_desde_MS_Access_Database[[#This Row],[Int_Total_Cont]]</f>
        <v>1542567792922</v>
      </c>
    </row>
    <row r="7" spans="1:23" x14ac:dyDescent="0.35">
      <c r="I7" s="28">
        <v>45930</v>
      </c>
      <c r="J7" s="26" t="s">
        <v>31</v>
      </c>
      <c r="K7" s="26" t="s">
        <v>45</v>
      </c>
      <c r="L7" s="26" t="s">
        <v>32</v>
      </c>
      <c r="M7" s="29">
        <v>143017830</v>
      </c>
      <c r="N7" s="26" t="s">
        <v>46</v>
      </c>
      <c r="P7" s="155">
        <v>45930</v>
      </c>
      <c r="Q7" t="s">
        <v>31</v>
      </c>
      <c r="R7" t="s">
        <v>41</v>
      </c>
      <c r="S7" t="s">
        <v>44</v>
      </c>
      <c r="T7" t="s">
        <v>44</v>
      </c>
      <c r="U7" s="24">
        <v>169913986461</v>
      </c>
      <c r="V7" s="24">
        <v>0</v>
      </c>
      <c r="W7" s="25">
        <f>Tabla_Consulta_desde_MS_Access_Database[[#This Row],[Cap_Amort]]+Tabla_Consulta_desde_MS_Access_Database[[#This Row],[Int_Total_Cont]]</f>
        <v>169913986461</v>
      </c>
    </row>
    <row r="8" spans="1:23" x14ac:dyDescent="0.35">
      <c r="I8" s="28">
        <v>45930</v>
      </c>
      <c r="J8" s="26" t="s">
        <v>31</v>
      </c>
      <c r="K8" s="26" t="s">
        <v>45</v>
      </c>
      <c r="L8" s="26" t="s">
        <v>32</v>
      </c>
      <c r="M8" s="29">
        <v>1701920382</v>
      </c>
      <c r="N8" s="26" t="s">
        <v>46</v>
      </c>
      <c r="P8" s="155">
        <v>45930</v>
      </c>
      <c r="Q8" t="s">
        <v>31</v>
      </c>
      <c r="R8" t="s">
        <v>41</v>
      </c>
      <c r="S8" t="s">
        <v>185</v>
      </c>
      <c r="T8" t="s">
        <v>185</v>
      </c>
      <c r="U8" s="180">
        <v>1570604028195</v>
      </c>
      <c r="V8" s="180">
        <v>9498104477</v>
      </c>
      <c r="W8" s="25">
        <f>Tabla_Consulta_desde_MS_Access_Database[[#This Row],[Cap_Amort]]+Tabla_Consulta_desde_MS_Access_Database[[#This Row],[Int_Total_Cont]]</f>
        <v>1580102132672</v>
      </c>
    </row>
    <row r="9" spans="1:23" x14ac:dyDescent="0.35">
      <c r="I9" s="28">
        <v>45930</v>
      </c>
      <c r="J9" s="26" t="s">
        <v>31</v>
      </c>
      <c r="K9" s="26" t="s">
        <v>45</v>
      </c>
      <c r="L9" s="26" t="s">
        <v>32</v>
      </c>
      <c r="M9" s="29">
        <v>42861592301</v>
      </c>
      <c r="N9" s="26" t="s">
        <v>47</v>
      </c>
    </row>
    <row r="10" spans="1:23" x14ac:dyDescent="0.35">
      <c r="I10" s="28">
        <v>45930</v>
      </c>
      <c r="J10" s="26" t="s">
        <v>31</v>
      </c>
      <c r="K10" s="26" t="s">
        <v>45</v>
      </c>
      <c r="L10" s="26" t="s">
        <v>32</v>
      </c>
      <c r="M10" s="29">
        <v>37858124</v>
      </c>
      <c r="N10" s="26" t="s">
        <v>47</v>
      </c>
    </row>
    <row r="11" spans="1:23" x14ac:dyDescent="0.35">
      <c r="I11" s="28">
        <v>45930</v>
      </c>
      <c r="J11" s="26" t="s">
        <v>31</v>
      </c>
      <c r="K11" s="26" t="s">
        <v>45</v>
      </c>
      <c r="L11" s="26" t="s">
        <v>32</v>
      </c>
      <c r="M11" s="29">
        <v>623292068</v>
      </c>
      <c r="N11" s="26" t="s">
        <v>47</v>
      </c>
    </row>
    <row r="12" spans="1:23" x14ac:dyDescent="0.35">
      <c r="I12" s="28">
        <v>45930</v>
      </c>
      <c r="J12" s="26" t="s">
        <v>31</v>
      </c>
      <c r="K12" s="26" t="s">
        <v>44</v>
      </c>
      <c r="L12" s="26" t="s">
        <v>41</v>
      </c>
      <c r="M12" s="29">
        <v>-170371242895</v>
      </c>
      <c r="N12" s="26" t="s">
        <v>44</v>
      </c>
    </row>
    <row r="13" spans="1:23" x14ac:dyDescent="0.35">
      <c r="I13" s="28">
        <v>45930</v>
      </c>
      <c r="J13" s="26" t="s">
        <v>31</v>
      </c>
      <c r="K13" s="26" t="s">
        <v>44</v>
      </c>
      <c r="L13" s="26" t="s">
        <v>41</v>
      </c>
      <c r="M13" s="29">
        <v>170371242895</v>
      </c>
      <c r="N13" s="26" t="s">
        <v>44</v>
      </c>
    </row>
    <row r="14" spans="1:23" x14ac:dyDescent="0.35">
      <c r="I14" s="28">
        <v>45930</v>
      </c>
      <c r="J14" s="26" t="s">
        <v>31</v>
      </c>
      <c r="K14" s="26" t="s">
        <v>44</v>
      </c>
      <c r="L14" s="26" t="s">
        <v>41</v>
      </c>
      <c r="M14" s="29">
        <v>0</v>
      </c>
      <c r="N14" s="26" t="s">
        <v>44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16">
    <tabColor rgb="FFFFFF00"/>
  </sheetPr>
  <dimension ref="A1:AE77"/>
  <sheetViews>
    <sheetView zoomScale="70" zoomScaleNormal="70" workbookViewId="0">
      <selection activeCell="A2" sqref="A2:AE77"/>
    </sheetView>
  </sheetViews>
  <sheetFormatPr baseColWidth="10" defaultRowHeight="14.5" x14ac:dyDescent="0.35"/>
  <cols>
    <col min="1" max="1" width="18.81640625" customWidth="1"/>
    <col min="2" max="2" width="20.1796875" customWidth="1"/>
    <col min="3" max="3" width="13.54296875" customWidth="1"/>
    <col min="4" max="4" width="14.453125" bestFit="1" customWidth="1"/>
    <col min="5" max="5" width="17.1796875" bestFit="1" customWidth="1"/>
    <col min="6" max="6" width="25.1796875" bestFit="1" customWidth="1"/>
    <col min="7" max="7" width="17.1796875" bestFit="1" customWidth="1"/>
    <col min="8" max="8" width="23.453125" bestFit="1" customWidth="1"/>
    <col min="9" max="9" width="43.81640625" bestFit="1" customWidth="1"/>
    <col min="10" max="10" width="7.81640625" customWidth="1"/>
    <col min="11" max="11" width="16.1796875" bestFit="1" customWidth="1"/>
    <col min="12" max="12" width="7.54296875" customWidth="1"/>
    <col min="13" max="13" width="27.81640625" bestFit="1" customWidth="1"/>
    <col min="14" max="14" width="12.1796875" bestFit="1" customWidth="1"/>
    <col min="15" max="15" width="17.1796875" bestFit="1" customWidth="1"/>
    <col min="16" max="16" width="17.81640625" bestFit="1" customWidth="1"/>
    <col min="17" max="17" width="9.54296875" bestFit="1" customWidth="1"/>
    <col min="18" max="18" width="20.54296875" bestFit="1" customWidth="1"/>
    <col min="19" max="19" width="18.54296875" bestFit="1" customWidth="1"/>
    <col min="20" max="20" width="11.54296875" bestFit="1" customWidth="1"/>
    <col min="21" max="21" width="17.81640625" bestFit="1" customWidth="1"/>
    <col min="22" max="22" width="12.1796875" bestFit="1" customWidth="1"/>
    <col min="23" max="23" width="15.1796875" bestFit="1" customWidth="1"/>
    <col min="24" max="24" width="19.1796875" bestFit="1" customWidth="1"/>
    <col min="25" max="25" width="19.81640625" bestFit="1" customWidth="1"/>
    <col min="26" max="26" width="25" bestFit="1" customWidth="1"/>
    <col min="27" max="27" width="10.1796875" bestFit="1" customWidth="1"/>
    <col min="28" max="28" width="11.54296875" bestFit="1" customWidth="1"/>
    <col min="29" max="29" width="5.54296875" bestFit="1" customWidth="1"/>
    <col min="30" max="30" width="8.1796875" bestFit="1" customWidth="1"/>
    <col min="31" max="31" width="7.81640625" bestFit="1" customWidth="1"/>
  </cols>
  <sheetData>
    <row r="1" spans="1:31" x14ac:dyDescent="0.35">
      <c r="A1" s="1" t="s">
        <v>0</v>
      </c>
      <c r="B1" s="2" t="s">
        <v>1</v>
      </c>
      <c r="C1" s="2" t="s">
        <v>2</v>
      </c>
      <c r="D1" s="3" t="s">
        <v>3</v>
      </c>
      <c r="E1" s="4" t="s">
        <v>4</v>
      </c>
      <c r="F1" s="5" t="s">
        <v>5</v>
      </c>
      <c r="G1" s="6" t="s">
        <v>6</v>
      </c>
      <c r="H1" s="1" t="s">
        <v>7</v>
      </c>
      <c r="I1" s="7" t="s">
        <v>8</v>
      </c>
      <c r="J1" s="8" t="s">
        <v>9</v>
      </c>
      <c r="K1" s="9" t="s">
        <v>10</v>
      </c>
      <c r="L1" s="10" t="s">
        <v>11</v>
      </c>
      <c r="M1" s="1" t="s">
        <v>12</v>
      </c>
      <c r="N1" s="11" t="s">
        <v>13</v>
      </c>
      <c r="O1" s="11" t="s">
        <v>14</v>
      </c>
      <c r="P1" s="7" t="s">
        <v>15</v>
      </c>
      <c r="Q1" s="7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12" t="s">
        <v>21</v>
      </c>
      <c r="W1" s="12" t="s">
        <v>22</v>
      </c>
      <c r="X1" s="2" t="s">
        <v>23</v>
      </c>
      <c r="Y1" s="12" t="s">
        <v>24</v>
      </c>
      <c r="Z1" s="2" t="s">
        <v>25</v>
      </c>
      <c r="AA1" s="2" t="s">
        <v>26</v>
      </c>
      <c r="AB1" s="2" t="s">
        <v>27</v>
      </c>
      <c r="AC1" s="4" t="s">
        <v>28</v>
      </c>
      <c r="AD1" s="2" t="s">
        <v>29</v>
      </c>
      <c r="AE1" s="2" t="s">
        <v>30</v>
      </c>
    </row>
    <row r="2" spans="1:31" x14ac:dyDescent="0.35">
      <c r="A2" s="13">
        <f>Tabla_Consulta_desde_MS_Access_Database_1[[#This Row],[Fecha_Proceso]]</f>
        <v>45930</v>
      </c>
      <c r="B2">
        <v>1</v>
      </c>
      <c r="D2" s="14" t="s">
        <v>31</v>
      </c>
      <c r="E2" s="16" t="s">
        <v>41</v>
      </c>
      <c r="F2" s="16" t="s">
        <v>41</v>
      </c>
      <c r="G2" s="17"/>
      <c r="H2" s="31" t="s">
        <v>180</v>
      </c>
      <c r="I2" s="31" t="s">
        <v>183</v>
      </c>
      <c r="J2" s="19"/>
      <c r="K2" s="20"/>
      <c r="L2" s="21"/>
      <c r="M2" s="13">
        <f>A2+1</f>
        <v>45931</v>
      </c>
      <c r="N2" s="13">
        <f t="shared" ref="N2:O21" si="0">M2</f>
        <v>45931</v>
      </c>
      <c r="O2" s="13">
        <f t="shared" si="0"/>
        <v>45931</v>
      </c>
      <c r="P2" s="24">
        <f>Montos!E2</f>
        <v>0</v>
      </c>
      <c r="Q2" s="18"/>
      <c r="V2">
        <v>1</v>
      </c>
      <c r="W2" t="s">
        <v>33</v>
      </c>
      <c r="Y2" t="s">
        <v>33</v>
      </c>
      <c r="Z2" t="s">
        <v>34</v>
      </c>
      <c r="AA2">
        <v>1</v>
      </c>
      <c r="AC2" s="15"/>
    </row>
    <row r="3" spans="1:31" x14ac:dyDescent="0.35">
      <c r="A3" s="13">
        <f>Tabla_Consulta_desde_MS_Access_Database_1[[#This Row],[Fecha_Proceso]]</f>
        <v>45930</v>
      </c>
      <c r="B3">
        <v>1</v>
      </c>
      <c r="D3" s="14" t="s">
        <v>31</v>
      </c>
      <c r="E3" s="16" t="s">
        <v>41</v>
      </c>
      <c r="F3" s="16" t="s">
        <v>41</v>
      </c>
      <c r="G3" s="17"/>
      <c r="H3" s="31" t="s">
        <v>180</v>
      </c>
      <c r="I3" s="84" t="s">
        <v>182</v>
      </c>
      <c r="J3" s="19"/>
      <c r="K3" s="20"/>
      <c r="L3" s="21"/>
      <c r="M3" s="13">
        <f>A3+1</f>
        <v>45931</v>
      </c>
      <c r="N3" s="13">
        <f t="shared" si="0"/>
        <v>45931</v>
      </c>
      <c r="O3" s="13">
        <f t="shared" si="0"/>
        <v>45931</v>
      </c>
      <c r="P3" s="24">
        <f>Montos!H3</f>
        <v>462770337877</v>
      </c>
      <c r="Q3" s="18"/>
      <c r="R3" s="25"/>
      <c r="V3">
        <v>1</v>
      </c>
      <c r="W3" t="s">
        <v>33</v>
      </c>
      <c r="Y3" t="s">
        <v>33</v>
      </c>
      <c r="Z3" t="s">
        <v>34</v>
      </c>
      <c r="AA3">
        <v>1</v>
      </c>
      <c r="AC3" s="15"/>
    </row>
    <row r="4" spans="1:31" x14ac:dyDescent="0.35">
      <c r="A4" s="13">
        <f t="shared" ref="A4:A67" si="1">A3</f>
        <v>45930</v>
      </c>
      <c r="B4">
        <v>1</v>
      </c>
      <c r="D4" s="14" t="s">
        <v>31</v>
      </c>
      <c r="E4" s="16" t="s">
        <v>41</v>
      </c>
      <c r="F4" s="16" t="s">
        <v>41</v>
      </c>
      <c r="G4" s="17"/>
      <c r="H4" s="31" t="s">
        <v>180</v>
      </c>
      <c r="I4" s="84" t="s">
        <v>181</v>
      </c>
      <c r="J4" s="19"/>
      <c r="K4" s="20">
        <v>1</v>
      </c>
      <c r="L4" s="21"/>
      <c r="M4" s="42">
        <f>Cta_Cte!M4</f>
        <v>45961</v>
      </c>
      <c r="N4" s="13">
        <f t="shared" si="0"/>
        <v>45961</v>
      </c>
      <c r="O4" s="13">
        <f t="shared" si="0"/>
        <v>45961</v>
      </c>
      <c r="P4" s="24">
        <v>10423400095.45874</v>
      </c>
      <c r="Q4" s="18"/>
      <c r="V4">
        <v>1</v>
      </c>
      <c r="W4" t="s">
        <v>33</v>
      </c>
      <c r="Y4" t="s">
        <v>33</v>
      </c>
      <c r="Z4" t="s">
        <v>34</v>
      </c>
      <c r="AA4">
        <v>1</v>
      </c>
      <c r="AC4" s="15"/>
    </row>
    <row r="5" spans="1:31" x14ac:dyDescent="0.35">
      <c r="A5" s="13">
        <f t="shared" si="1"/>
        <v>45930</v>
      </c>
      <c r="B5">
        <v>1</v>
      </c>
      <c r="D5" s="14" t="s">
        <v>31</v>
      </c>
      <c r="E5" s="16" t="s">
        <v>41</v>
      </c>
      <c r="F5" s="16" t="s">
        <v>41</v>
      </c>
      <c r="G5" s="17"/>
      <c r="H5" s="31" t="s">
        <v>180</v>
      </c>
      <c r="I5" s="84" t="s">
        <v>181</v>
      </c>
      <c r="K5" s="20">
        <f t="shared" ref="K5:K68" si="2">K4+1</f>
        <v>2</v>
      </c>
      <c r="M5" s="13">
        <f t="shared" ref="M5:M68" si="3">EOMONTH(M4,1)</f>
        <v>45991</v>
      </c>
      <c r="N5" s="13">
        <f t="shared" si="0"/>
        <v>45991</v>
      </c>
      <c r="O5" s="13">
        <f t="shared" si="0"/>
        <v>45991</v>
      </c>
      <c r="P5" s="24">
        <v>10322781901.701904</v>
      </c>
      <c r="R5" s="194"/>
      <c r="V5">
        <v>1</v>
      </c>
      <c r="W5" t="s">
        <v>33</v>
      </c>
      <c r="Y5" t="s">
        <v>33</v>
      </c>
      <c r="Z5" t="s">
        <v>34</v>
      </c>
      <c r="AA5">
        <v>1</v>
      </c>
      <c r="AC5" s="15"/>
    </row>
    <row r="6" spans="1:31" x14ac:dyDescent="0.35">
      <c r="A6" s="13">
        <f t="shared" si="1"/>
        <v>45930</v>
      </c>
      <c r="B6">
        <v>1</v>
      </c>
      <c r="D6" s="14" t="s">
        <v>31</v>
      </c>
      <c r="E6" s="16" t="s">
        <v>41</v>
      </c>
      <c r="F6" s="16" t="s">
        <v>41</v>
      </c>
      <c r="G6" s="17"/>
      <c r="H6" s="31" t="s">
        <v>180</v>
      </c>
      <c r="I6" s="84" t="s">
        <v>181</v>
      </c>
      <c r="K6" s="20">
        <f t="shared" si="2"/>
        <v>3</v>
      </c>
      <c r="M6" s="13">
        <f t="shared" si="3"/>
        <v>46022</v>
      </c>
      <c r="N6" s="13">
        <f t="shared" si="0"/>
        <v>46022</v>
      </c>
      <c r="O6" s="13">
        <f t="shared" si="0"/>
        <v>46022</v>
      </c>
      <c r="P6" s="24">
        <v>10223134986.109375</v>
      </c>
      <c r="R6" s="25"/>
      <c r="V6">
        <v>1</v>
      </c>
      <c r="W6" t="s">
        <v>33</v>
      </c>
      <c r="Y6" t="s">
        <v>33</v>
      </c>
      <c r="Z6" t="s">
        <v>34</v>
      </c>
      <c r="AA6">
        <v>1</v>
      </c>
      <c r="AC6" s="15"/>
    </row>
    <row r="7" spans="1:31" x14ac:dyDescent="0.35">
      <c r="A7" s="13">
        <f t="shared" si="1"/>
        <v>45930</v>
      </c>
      <c r="B7">
        <v>1</v>
      </c>
      <c r="D7" s="14" t="s">
        <v>31</v>
      </c>
      <c r="E7" s="16" t="s">
        <v>41</v>
      </c>
      <c r="F7" s="16" t="s">
        <v>41</v>
      </c>
      <c r="G7" s="17"/>
      <c r="H7" s="31" t="s">
        <v>180</v>
      </c>
      <c r="I7" s="84" t="s">
        <v>181</v>
      </c>
      <c r="K7" s="20">
        <f t="shared" si="2"/>
        <v>4</v>
      </c>
      <c r="M7" s="13">
        <f t="shared" si="3"/>
        <v>46053</v>
      </c>
      <c r="N7" s="13">
        <f t="shared" si="0"/>
        <v>46053</v>
      </c>
      <c r="O7" s="13">
        <f t="shared" si="0"/>
        <v>46053</v>
      </c>
      <c r="P7" s="24">
        <v>10124449972.830322</v>
      </c>
      <c r="V7">
        <v>1</v>
      </c>
      <c r="W7" t="s">
        <v>33</v>
      </c>
      <c r="Y7" t="s">
        <v>33</v>
      </c>
      <c r="Z7" t="s">
        <v>34</v>
      </c>
      <c r="AA7">
        <v>1</v>
      </c>
      <c r="AC7" s="15"/>
    </row>
    <row r="8" spans="1:31" x14ac:dyDescent="0.35">
      <c r="A8" s="13">
        <f t="shared" si="1"/>
        <v>45930</v>
      </c>
      <c r="B8">
        <v>1</v>
      </c>
      <c r="D8" s="14" t="s">
        <v>31</v>
      </c>
      <c r="E8" s="16" t="s">
        <v>41</v>
      </c>
      <c r="F8" s="16" t="s">
        <v>41</v>
      </c>
      <c r="G8" s="17"/>
      <c r="H8" s="31" t="s">
        <v>180</v>
      </c>
      <c r="I8" s="84" t="s">
        <v>181</v>
      </c>
      <c r="K8" s="20">
        <f t="shared" si="2"/>
        <v>5</v>
      </c>
      <c r="M8" s="13">
        <f t="shared" si="3"/>
        <v>46081</v>
      </c>
      <c r="N8" s="13">
        <f t="shared" si="0"/>
        <v>46081</v>
      </c>
      <c r="O8" s="13">
        <f t="shared" si="0"/>
        <v>46081</v>
      </c>
      <c r="P8" s="24">
        <v>10026717576.518188</v>
      </c>
      <c r="V8">
        <v>1</v>
      </c>
      <c r="W8" t="s">
        <v>33</v>
      </c>
      <c r="Y8" t="s">
        <v>33</v>
      </c>
      <c r="Z8" t="s">
        <v>34</v>
      </c>
      <c r="AA8">
        <v>1</v>
      </c>
      <c r="AC8" s="15"/>
    </row>
    <row r="9" spans="1:31" x14ac:dyDescent="0.35">
      <c r="A9" s="13">
        <f t="shared" si="1"/>
        <v>45930</v>
      </c>
      <c r="B9">
        <v>1</v>
      </c>
      <c r="D9" s="14" t="s">
        <v>31</v>
      </c>
      <c r="E9" s="16" t="s">
        <v>41</v>
      </c>
      <c r="F9" s="16" t="s">
        <v>41</v>
      </c>
      <c r="G9" s="17"/>
      <c r="H9" s="31" t="s">
        <v>180</v>
      </c>
      <c r="I9" s="84" t="s">
        <v>181</v>
      </c>
      <c r="K9" s="20">
        <f t="shared" si="2"/>
        <v>6</v>
      </c>
      <c r="M9" s="13">
        <f t="shared" si="3"/>
        <v>46112</v>
      </c>
      <c r="N9" s="13">
        <f t="shared" si="0"/>
        <v>46112</v>
      </c>
      <c r="O9" s="13">
        <f t="shared" si="0"/>
        <v>46112</v>
      </c>
      <c r="P9" s="24">
        <v>9929928601.4598389</v>
      </c>
      <c r="V9">
        <v>1</v>
      </c>
      <c r="W9" t="s">
        <v>33</v>
      </c>
      <c r="Y9" t="s">
        <v>33</v>
      </c>
      <c r="Z9" t="s">
        <v>34</v>
      </c>
      <c r="AA9">
        <v>1</v>
      </c>
      <c r="AC9" s="15"/>
    </row>
    <row r="10" spans="1:31" x14ac:dyDescent="0.35">
      <c r="A10" s="13">
        <f t="shared" si="1"/>
        <v>45930</v>
      </c>
      <c r="B10">
        <v>1</v>
      </c>
      <c r="D10" s="14" t="s">
        <v>31</v>
      </c>
      <c r="E10" s="16" t="s">
        <v>41</v>
      </c>
      <c r="F10" s="16" t="s">
        <v>41</v>
      </c>
      <c r="G10" s="17"/>
      <c r="H10" s="31" t="s">
        <v>180</v>
      </c>
      <c r="I10" s="84" t="s">
        <v>181</v>
      </c>
      <c r="K10" s="20">
        <f t="shared" si="2"/>
        <v>7</v>
      </c>
      <c r="M10" s="13">
        <f t="shared" si="3"/>
        <v>46142</v>
      </c>
      <c r="N10" s="13">
        <f t="shared" si="0"/>
        <v>46142</v>
      </c>
      <c r="O10" s="13">
        <f t="shared" si="0"/>
        <v>46142</v>
      </c>
      <c r="P10" s="24">
        <v>9834073940.7095947</v>
      </c>
      <c r="V10">
        <v>1</v>
      </c>
      <c r="W10" t="s">
        <v>33</v>
      </c>
      <c r="Y10" t="s">
        <v>33</v>
      </c>
      <c r="Z10" t="s">
        <v>34</v>
      </c>
      <c r="AA10">
        <v>1</v>
      </c>
      <c r="AC10" s="15"/>
    </row>
    <row r="11" spans="1:31" x14ac:dyDescent="0.35">
      <c r="A11" s="13">
        <f t="shared" si="1"/>
        <v>45930</v>
      </c>
      <c r="B11">
        <v>1</v>
      </c>
      <c r="D11" s="14" t="s">
        <v>31</v>
      </c>
      <c r="E11" s="16" t="s">
        <v>41</v>
      </c>
      <c r="F11" s="16" t="s">
        <v>41</v>
      </c>
      <c r="G11" s="17"/>
      <c r="H11" s="31" t="s">
        <v>180</v>
      </c>
      <c r="I11" s="84" t="s">
        <v>181</v>
      </c>
      <c r="K11" s="20">
        <f t="shared" si="2"/>
        <v>8</v>
      </c>
      <c r="M11" s="13">
        <f t="shared" si="3"/>
        <v>46173</v>
      </c>
      <c r="N11" s="13">
        <f t="shared" si="0"/>
        <v>46173</v>
      </c>
      <c r="O11" s="13">
        <f t="shared" si="0"/>
        <v>46173</v>
      </c>
      <c r="P11" s="24">
        <v>9739144575.2315674</v>
      </c>
      <c r="V11">
        <v>1</v>
      </c>
      <c r="W11" t="s">
        <v>33</v>
      </c>
      <c r="Y11" t="s">
        <v>33</v>
      </c>
      <c r="Z11" t="s">
        <v>34</v>
      </c>
      <c r="AA11">
        <v>1</v>
      </c>
      <c r="AC11" s="15"/>
    </row>
    <row r="12" spans="1:31" x14ac:dyDescent="0.35">
      <c r="A12" s="13">
        <f t="shared" si="1"/>
        <v>45930</v>
      </c>
      <c r="B12">
        <v>1</v>
      </c>
      <c r="D12" s="14" t="s">
        <v>31</v>
      </c>
      <c r="E12" s="16" t="s">
        <v>41</v>
      </c>
      <c r="F12" s="16" t="s">
        <v>41</v>
      </c>
      <c r="G12" s="17"/>
      <c r="H12" s="31" t="s">
        <v>180</v>
      </c>
      <c r="I12" s="84" t="s">
        <v>181</v>
      </c>
      <c r="K12" s="20">
        <f t="shared" si="2"/>
        <v>9</v>
      </c>
      <c r="M12" s="13">
        <f t="shared" si="3"/>
        <v>46203</v>
      </c>
      <c r="N12" s="13">
        <f t="shared" si="0"/>
        <v>46203</v>
      </c>
      <c r="O12" s="13">
        <f t="shared" si="0"/>
        <v>46203</v>
      </c>
      <c r="P12" s="24">
        <v>9645131573.0513916</v>
      </c>
      <c r="V12">
        <v>1</v>
      </c>
      <c r="W12" t="s">
        <v>33</v>
      </c>
      <c r="Y12" t="s">
        <v>33</v>
      </c>
      <c r="Z12" t="s">
        <v>34</v>
      </c>
      <c r="AA12">
        <v>1</v>
      </c>
      <c r="AC12" s="15"/>
    </row>
    <row r="13" spans="1:31" x14ac:dyDescent="0.35">
      <c r="A13" s="13">
        <f t="shared" si="1"/>
        <v>45930</v>
      </c>
      <c r="B13">
        <v>1</v>
      </c>
      <c r="D13" s="14" t="s">
        <v>31</v>
      </c>
      <c r="E13" s="16" t="s">
        <v>41</v>
      </c>
      <c r="F13" s="16" t="s">
        <v>41</v>
      </c>
      <c r="G13" s="17"/>
      <c r="H13" s="31" t="s">
        <v>180</v>
      </c>
      <c r="I13" s="84" t="s">
        <v>181</v>
      </c>
      <c r="K13" s="20">
        <f t="shared" si="2"/>
        <v>10</v>
      </c>
      <c r="M13" s="13">
        <f t="shared" si="3"/>
        <v>46234</v>
      </c>
      <c r="N13" s="13">
        <f t="shared" si="0"/>
        <v>46234</v>
      </c>
      <c r="O13" s="13">
        <f t="shared" si="0"/>
        <v>46234</v>
      </c>
      <c r="P13" s="24">
        <v>9552026088.416748</v>
      </c>
      <c r="V13">
        <v>1</v>
      </c>
      <c r="W13" t="s">
        <v>33</v>
      </c>
      <c r="Y13" t="s">
        <v>33</v>
      </c>
      <c r="Z13" t="s">
        <v>34</v>
      </c>
      <c r="AA13">
        <v>1</v>
      </c>
      <c r="AC13" s="15"/>
    </row>
    <row r="14" spans="1:31" x14ac:dyDescent="0.35">
      <c r="A14" s="13">
        <f t="shared" si="1"/>
        <v>45930</v>
      </c>
      <c r="B14">
        <v>1</v>
      </c>
      <c r="D14" s="14" t="s">
        <v>31</v>
      </c>
      <c r="E14" s="16" t="s">
        <v>41</v>
      </c>
      <c r="F14" s="16" t="s">
        <v>41</v>
      </c>
      <c r="G14" s="17"/>
      <c r="H14" s="31" t="s">
        <v>180</v>
      </c>
      <c r="I14" s="84" t="s">
        <v>181</v>
      </c>
      <c r="K14" s="20">
        <f t="shared" si="2"/>
        <v>11</v>
      </c>
      <c r="M14" s="13">
        <f t="shared" si="3"/>
        <v>46265</v>
      </c>
      <c r="N14" s="13">
        <f t="shared" si="0"/>
        <v>46265</v>
      </c>
      <c r="O14" s="13">
        <f t="shared" si="0"/>
        <v>46265</v>
      </c>
      <c r="P14" s="24">
        <v>9459819360.9638672</v>
      </c>
      <c r="V14">
        <v>1</v>
      </c>
      <c r="W14" t="s">
        <v>33</v>
      </c>
      <c r="Y14" t="s">
        <v>33</v>
      </c>
      <c r="Z14" t="s">
        <v>34</v>
      </c>
      <c r="AA14">
        <v>1</v>
      </c>
      <c r="AC14" s="15"/>
    </row>
    <row r="15" spans="1:31" x14ac:dyDescent="0.35">
      <c r="A15" s="13">
        <f t="shared" si="1"/>
        <v>45930</v>
      </c>
      <c r="B15">
        <v>1</v>
      </c>
      <c r="D15" s="14" t="s">
        <v>31</v>
      </c>
      <c r="E15" s="16" t="s">
        <v>41</v>
      </c>
      <c r="F15" s="16" t="s">
        <v>41</v>
      </c>
      <c r="G15" s="17"/>
      <c r="H15" s="31" t="s">
        <v>180</v>
      </c>
      <c r="I15" s="84" t="s">
        <v>181</v>
      </c>
      <c r="K15" s="20">
        <f t="shared" si="2"/>
        <v>12</v>
      </c>
      <c r="M15" s="13">
        <f t="shared" si="3"/>
        <v>46295</v>
      </c>
      <c r="N15" s="13">
        <f t="shared" si="0"/>
        <v>46295</v>
      </c>
      <c r="O15" s="13">
        <f t="shared" si="0"/>
        <v>46295</v>
      </c>
      <c r="P15" s="24">
        <v>9368502714.8933105</v>
      </c>
      <c r="V15">
        <v>1</v>
      </c>
      <c r="W15" t="s">
        <v>33</v>
      </c>
      <c r="Y15" t="s">
        <v>33</v>
      </c>
      <c r="Z15" t="s">
        <v>34</v>
      </c>
      <c r="AA15">
        <v>1</v>
      </c>
      <c r="AC15" s="15"/>
    </row>
    <row r="16" spans="1:31" x14ac:dyDescent="0.35">
      <c r="A16" s="13">
        <f t="shared" si="1"/>
        <v>45930</v>
      </c>
      <c r="B16">
        <v>1</v>
      </c>
      <c r="D16" s="14" t="s">
        <v>31</v>
      </c>
      <c r="E16" s="16" t="s">
        <v>41</v>
      </c>
      <c r="F16" s="16" t="s">
        <v>41</v>
      </c>
      <c r="G16" s="17"/>
      <c r="H16" s="31" t="s">
        <v>180</v>
      </c>
      <c r="I16" s="84" t="s">
        <v>181</v>
      </c>
      <c r="K16" s="20">
        <f t="shared" si="2"/>
        <v>13</v>
      </c>
      <c r="M16" s="13">
        <f t="shared" si="3"/>
        <v>46326</v>
      </c>
      <c r="N16" s="13">
        <f t="shared" si="0"/>
        <v>46326</v>
      </c>
      <c r="O16" s="13">
        <f t="shared" si="0"/>
        <v>46326</v>
      </c>
      <c r="P16" s="24">
        <v>9278067558.1549072</v>
      </c>
      <c r="V16">
        <v>1</v>
      </c>
      <c r="W16" t="s">
        <v>33</v>
      </c>
      <c r="Y16" t="s">
        <v>33</v>
      </c>
      <c r="Z16" t="s">
        <v>34</v>
      </c>
      <c r="AA16">
        <v>1</v>
      </c>
      <c r="AC16" s="15"/>
    </row>
    <row r="17" spans="1:29" x14ac:dyDescent="0.35">
      <c r="A17" s="13">
        <f t="shared" si="1"/>
        <v>45930</v>
      </c>
      <c r="B17">
        <v>1</v>
      </c>
      <c r="D17" s="14" t="s">
        <v>31</v>
      </c>
      <c r="E17" s="16" t="s">
        <v>41</v>
      </c>
      <c r="F17" s="16" t="s">
        <v>41</v>
      </c>
      <c r="G17" s="17"/>
      <c r="H17" s="31" t="s">
        <v>180</v>
      </c>
      <c r="I17" s="84" t="s">
        <v>181</v>
      </c>
      <c r="K17" s="20">
        <f t="shared" si="2"/>
        <v>14</v>
      </c>
      <c r="M17" s="13">
        <f t="shared" si="3"/>
        <v>46356</v>
      </c>
      <c r="N17" s="13">
        <f t="shared" si="0"/>
        <v>46356</v>
      </c>
      <c r="O17" s="13">
        <f t="shared" si="0"/>
        <v>46356</v>
      </c>
      <c r="P17" s="24">
        <v>9188505381.6379395</v>
      </c>
      <c r="V17">
        <v>1</v>
      </c>
      <c r="W17" t="s">
        <v>33</v>
      </c>
      <c r="Y17" t="s">
        <v>33</v>
      </c>
      <c r="Z17" t="s">
        <v>34</v>
      </c>
      <c r="AA17">
        <v>1</v>
      </c>
      <c r="AC17" s="15"/>
    </row>
    <row r="18" spans="1:29" x14ac:dyDescent="0.35">
      <c r="A18" s="13">
        <f t="shared" si="1"/>
        <v>45930</v>
      </c>
      <c r="B18">
        <v>1</v>
      </c>
      <c r="D18" s="14" t="s">
        <v>31</v>
      </c>
      <c r="E18" s="16" t="s">
        <v>41</v>
      </c>
      <c r="F18" s="16" t="s">
        <v>41</v>
      </c>
      <c r="G18" s="17"/>
      <c r="H18" s="31" t="s">
        <v>180</v>
      </c>
      <c r="I18" s="84" t="s">
        <v>181</v>
      </c>
      <c r="K18" s="20">
        <f t="shared" si="2"/>
        <v>15</v>
      </c>
      <c r="M18" s="13">
        <f t="shared" si="3"/>
        <v>46387</v>
      </c>
      <c r="N18" s="13">
        <f t="shared" si="0"/>
        <v>46387</v>
      </c>
      <c r="O18" s="13">
        <f t="shared" si="0"/>
        <v>46387</v>
      </c>
      <c r="P18" s="24">
        <v>9099807758.3709717</v>
      </c>
      <c r="V18">
        <v>1</v>
      </c>
      <c r="W18" t="s">
        <v>33</v>
      </c>
      <c r="Y18" t="s">
        <v>33</v>
      </c>
      <c r="Z18" t="s">
        <v>34</v>
      </c>
      <c r="AA18">
        <v>1</v>
      </c>
      <c r="AC18" s="15"/>
    </row>
    <row r="19" spans="1:29" x14ac:dyDescent="0.35">
      <c r="A19" s="13">
        <f t="shared" si="1"/>
        <v>45930</v>
      </c>
      <c r="B19">
        <v>1</v>
      </c>
      <c r="D19" s="14" t="s">
        <v>31</v>
      </c>
      <c r="E19" s="16" t="s">
        <v>41</v>
      </c>
      <c r="F19" s="16" t="s">
        <v>41</v>
      </c>
      <c r="G19" s="17"/>
      <c r="H19" s="31" t="s">
        <v>180</v>
      </c>
      <c r="I19" s="84" t="s">
        <v>181</v>
      </c>
      <c r="K19" s="20">
        <f t="shared" si="2"/>
        <v>16</v>
      </c>
      <c r="M19" s="13">
        <f t="shared" si="3"/>
        <v>46418</v>
      </c>
      <c r="N19" s="13">
        <f t="shared" si="0"/>
        <v>46418</v>
      </c>
      <c r="O19" s="13">
        <f t="shared" si="0"/>
        <v>46418</v>
      </c>
      <c r="P19" s="24">
        <v>9011966342.7294922</v>
      </c>
      <c r="V19">
        <v>1</v>
      </c>
      <c r="W19" t="s">
        <v>33</v>
      </c>
      <c r="Y19" t="s">
        <v>33</v>
      </c>
      <c r="Z19" t="s">
        <v>34</v>
      </c>
      <c r="AA19">
        <v>1</v>
      </c>
      <c r="AC19" s="15"/>
    </row>
    <row r="20" spans="1:29" x14ac:dyDescent="0.35">
      <c r="A20" s="13">
        <f t="shared" si="1"/>
        <v>45930</v>
      </c>
      <c r="B20">
        <v>1</v>
      </c>
      <c r="D20" s="14" t="s">
        <v>31</v>
      </c>
      <c r="E20" s="16" t="s">
        <v>41</v>
      </c>
      <c r="F20" s="16" t="s">
        <v>41</v>
      </c>
      <c r="G20" s="17"/>
      <c r="H20" s="31" t="s">
        <v>180</v>
      </c>
      <c r="I20" s="84" t="s">
        <v>181</v>
      </c>
      <c r="K20" s="20">
        <f t="shared" si="2"/>
        <v>17</v>
      </c>
      <c r="M20" s="13">
        <f t="shared" si="3"/>
        <v>46446</v>
      </c>
      <c r="N20" s="13">
        <f t="shared" si="0"/>
        <v>46446</v>
      </c>
      <c r="O20" s="13">
        <f t="shared" si="0"/>
        <v>46446</v>
      </c>
      <c r="P20" s="24">
        <v>8924972869.6499023</v>
      </c>
      <c r="V20">
        <v>1</v>
      </c>
      <c r="W20" t="s">
        <v>33</v>
      </c>
      <c r="Y20" t="s">
        <v>33</v>
      </c>
      <c r="Z20" t="s">
        <v>34</v>
      </c>
      <c r="AA20">
        <v>1</v>
      </c>
      <c r="AC20" s="15"/>
    </row>
    <row r="21" spans="1:29" x14ac:dyDescent="0.35">
      <c r="A21" s="13">
        <f t="shared" si="1"/>
        <v>45930</v>
      </c>
      <c r="B21">
        <v>1</v>
      </c>
      <c r="D21" s="14" t="s">
        <v>31</v>
      </c>
      <c r="E21" s="16" t="s">
        <v>41</v>
      </c>
      <c r="F21" s="16" t="s">
        <v>41</v>
      </c>
      <c r="G21" s="17"/>
      <c r="H21" s="31" t="s">
        <v>180</v>
      </c>
      <c r="I21" s="84" t="s">
        <v>181</v>
      </c>
      <c r="K21" s="20">
        <f t="shared" si="2"/>
        <v>18</v>
      </c>
      <c r="M21" s="13">
        <f t="shared" si="3"/>
        <v>46477</v>
      </c>
      <c r="N21" s="13">
        <f t="shared" si="0"/>
        <v>46477</v>
      </c>
      <c r="O21" s="13">
        <f t="shared" si="0"/>
        <v>46477</v>
      </c>
      <c r="P21" s="24">
        <v>8838819153.8515625</v>
      </c>
      <c r="V21">
        <v>1</v>
      </c>
      <c r="W21" t="s">
        <v>33</v>
      </c>
      <c r="Y21" t="s">
        <v>33</v>
      </c>
      <c r="Z21" t="s">
        <v>34</v>
      </c>
      <c r="AA21">
        <v>1</v>
      </c>
    </row>
    <row r="22" spans="1:29" x14ac:dyDescent="0.35">
      <c r="A22" s="13">
        <f t="shared" si="1"/>
        <v>45930</v>
      </c>
      <c r="B22">
        <v>1</v>
      </c>
      <c r="D22" s="14" t="s">
        <v>31</v>
      </c>
      <c r="E22" s="16" t="s">
        <v>41</v>
      </c>
      <c r="F22" s="16" t="s">
        <v>41</v>
      </c>
      <c r="G22" s="17"/>
      <c r="H22" s="31" t="s">
        <v>180</v>
      </c>
      <c r="I22" s="84" t="s">
        <v>181</v>
      </c>
      <c r="K22" s="20">
        <f t="shared" si="2"/>
        <v>19</v>
      </c>
      <c r="M22" s="13">
        <f t="shared" si="3"/>
        <v>46507</v>
      </c>
      <c r="N22" s="13">
        <f t="shared" ref="N22:O36" si="4">M22</f>
        <v>46507</v>
      </c>
      <c r="O22" s="13">
        <f t="shared" si="4"/>
        <v>46507</v>
      </c>
      <c r="P22" s="24">
        <v>8753497089.0684814</v>
      </c>
      <c r="V22">
        <v>1</v>
      </c>
      <c r="W22" t="s">
        <v>33</v>
      </c>
      <c r="Y22" t="s">
        <v>33</v>
      </c>
      <c r="Z22" t="s">
        <v>34</v>
      </c>
      <c r="AA22">
        <v>1</v>
      </c>
    </row>
    <row r="23" spans="1:29" x14ac:dyDescent="0.35">
      <c r="A23" s="13">
        <f t="shared" si="1"/>
        <v>45930</v>
      </c>
      <c r="B23">
        <v>1</v>
      </c>
      <c r="D23" s="14" t="s">
        <v>31</v>
      </c>
      <c r="E23" s="16" t="s">
        <v>41</v>
      </c>
      <c r="F23" s="16" t="s">
        <v>41</v>
      </c>
      <c r="G23" s="17"/>
      <c r="H23" s="31" t="s">
        <v>180</v>
      </c>
      <c r="I23" s="84" t="s">
        <v>181</v>
      </c>
      <c r="K23" s="20">
        <f t="shared" si="2"/>
        <v>20</v>
      </c>
      <c r="M23" s="13">
        <f t="shared" si="3"/>
        <v>46538</v>
      </c>
      <c r="N23" s="13">
        <f t="shared" si="4"/>
        <v>46538</v>
      </c>
      <c r="O23" s="13">
        <f t="shared" si="4"/>
        <v>46538</v>
      </c>
      <c r="P23" s="24">
        <v>8668998647.2843018</v>
      </c>
      <c r="V23">
        <v>1</v>
      </c>
      <c r="W23" t="s">
        <v>33</v>
      </c>
      <c r="Y23" t="s">
        <v>33</v>
      </c>
      <c r="Z23" t="s">
        <v>34</v>
      </c>
      <c r="AA23">
        <v>1</v>
      </c>
    </row>
    <row r="24" spans="1:29" x14ac:dyDescent="0.35">
      <c r="A24" s="13">
        <f t="shared" si="1"/>
        <v>45930</v>
      </c>
      <c r="B24">
        <v>1</v>
      </c>
      <c r="D24" s="14" t="s">
        <v>31</v>
      </c>
      <c r="E24" s="16" t="s">
        <v>41</v>
      </c>
      <c r="F24" s="16" t="s">
        <v>41</v>
      </c>
      <c r="G24" s="17"/>
      <c r="H24" s="31" t="s">
        <v>180</v>
      </c>
      <c r="I24" s="84" t="s">
        <v>181</v>
      </c>
      <c r="K24" s="20">
        <f t="shared" si="2"/>
        <v>21</v>
      </c>
      <c r="M24" s="13">
        <f t="shared" si="3"/>
        <v>46568</v>
      </c>
      <c r="N24" s="13">
        <f t="shared" si="4"/>
        <v>46568</v>
      </c>
      <c r="O24" s="13">
        <f t="shared" si="4"/>
        <v>46568</v>
      </c>
      <c r="P24" s="24">
        <v>8585315877.9785156</v>
      </c>
      <c r="V24">
        <v>1</v>
      </c>
      <c r="W24" t="s">
        <v>33</v>
      </c>
      <c r="Y24" t="s">
        <v>33</v>
      </c>
      <c r="Z24" t="s">
        <v>34</v>
      </c>
      <c r="AA24">
        <v>1</v>
      </c>
    </row>
    <row r="25" spans="1:29" x14ac:dyDescent="0.35">
      <c r="A25" s="13">
        <f t="shared" si="1"/>
        <v>45930</v>
      </c>
      <c r="B25">
        <v>1</v>
      </c>
      <c r="D25" s="14" t="s">
        <v>31</v>
      </c>
      <c r="E25" s="16" t="s">
        <v>41</v>
      </c>
      <c r="F25" s="16" t="s">
        <v>41</v>
      </c>
      <c r="G25" s="17"/>
      <c r="H25" s="31" t="s">
        <v>180</v>
      </c>
      <c r="I25" s="84" t="s">
        <v>181</v>
      </c>
      <c r="K25" s="20">
        <f t="shared" si="2"/>
        <v>22</v>
      </c>
      <c r="M25" s="13">
        <f t="shared" si="3"/>
        <v>46599</v>
      </c>
      <c r="N25" s="13">
        <f t="shared" si="4"/>
        <v>46599</v>
      </c>
      <c r="O25" s="13">
        <f t="shared" si="4"/>
        <v>46599</v>
      </c>
      <c r="P25" s="24">
        <v>8502440907.3773193</v>
      </c>
      <c r="V25">
        <v>1</v>
      </c>
      <c r="W25" t="s">
        <v>33</v>
      </c>
      <c r="Y25" t="s">
        <v>33</v>
      </c>
      <c r="Z25" t="s">
        <v>34</v>
      </c>
      <c r="AA25">
        <v>1</v>
      </c>
    </row>
    <row r="26" spans="1:29" x14ac:dyDescent="0.35">
      <c r="A26" s="13">
        <f t="shared" si="1"/>
        <v>45930</v>
      </c>
      <c r="B26">
        <v>1</v>
      </c>
      <c r="D26" s="14" t="s">
        <v>31</v>
      </c>
      <c r="E26" s="16" t="s">
        <v>41</v>
      </c>
      <c r="F26" s="16" t="s">
        <v>41</v>
      </c>
      <c r="G26" s="17"/>
      <c r="H26" s="31" t="s">
        <v>180</v>
      </c>
      <c r="I26" s="84" t="s">
        <v>181</v>
      </c>
      <c r="K26" s="20">
        <f t="shared" si="2"/>
        <v>23</v>
      </c>
      <c r="M26" s="13">
        <f t="shared" si="3"/>
        <v>46630</v>
      </c>
      <c r="N26" s="13">
        <f t="shared" si="4"/>
        <v>46630</v>
      </c>
      <c r="O26" s="13">
        <f t="shared" si="4"/>
        <v>46630</v>
      </c>
      <c r="P26" s="24">
        <v>8420365937.7137451</v>
      </c>
      <c r="V26">
        <v>1</v>
      </c>
      <c r="W26" t="s">
        <v>33</v>
      </c>
      <c r="Y26" t="s">
        <v>33</v>
      </c>
      <c r="Z26" t="s">
        <v>34</v>
      </c>
      <c r="AA26">
        <v>1</v>
      </c>
    </row>
    <row r="27" spans="1:29" x14ac:dyDescent="0.35">
      <c r="A27" s="13">
        <f t="shared" si="1"/>
        <v>45930</v>
      </c>
      <c r="B27">
        <v>1</v>
      </c>
      <c r="D27" s="14" t="s">
        <v>31</v>
      </c>
      <c r="E27" s="16" t="s">
        <v>41</v>
      </c>
      <c r="F27" s="16" t="s">
        <v>41</v>
      </c>
      <c r="G27" s="17"/>
      <c r="H27" s="31" t="s">
        <v>180</v>
      </c>
      <c r="I27" s="84" t="s">
        <v>181</v>
      </c>
      <c r="K27" s="20">
        <f t="shared" si="2"/>
        <v>24</v>
      </c>
      <c r="M27" s="13">
        <f t="shared" si="3"/>
        <v>46660</v>
      </c>
      <c r="N27" s="13">
        <f t="shared" si="4"/>
        <v>46660</v>
      </c>
      <c r="O27" s="13">
        <f t="shared" si="4"/>
        <v>46660</v>
      </c>
      <c r="P27" s="24">
        <v>8339083246.4934082</v>
      </c>
      <c r="V27">
        <v>1</v>
      </c>
      <c r="W27" t="s">
        <v>33</v>
      </c>
      <c r="Y27" t="s">
        <v>33</v>
      </c>
      <c r="Z27" t="s">
        <v>34</v>
      </c>
      <c r="AA27">
        <v>1</v>
      </c>
    </row>
    <row r="28" spans="1:29" x14ac:dyDescent="0.35">
      <c r="A28" s="13">
        <f t="shared" si="1"/>
        <v>45930</v>
      </c>
      <c r="B28">
        <v>1</v>
      </c>
      <c r="D28" s="14" t="s">
        <v>31</v>
      </c>
      <c r="E28" s="16" t="s">
        <v>41</v>
      </c>
      <c r="F28" s="16" t="s">
        <v>41</v>
      </c>
      <c r="G28" s="17"/>
      <c r="H28" s="31" t="s">
        <v>180</v>
      </c>
      <c r="I28" s="84" t="s">
        <v>181</v>
      </c>
      <c r="K28" s="20">
        <f t="shared" si="2"/>
        <v>25</v>
      </c>
      <c r="M28" s="13">
        <f t="shared" si="3"/>
        <v>46691</v>
      </c>
      <c r="N28" s="13">
        <f t="shared" si="4"/>
        <v>46691</v>
      </c>
      <c r="O28" s="13">
        <f t="shared" si="4"/>
        <v>46691</v>
      </c>
      <c r="P28" s="24">
        <v>8258585185.7678223</v>
      </c>
      <c r="V28">
        <v>1</v>
      </c>
      <c r="W28" t="s">
        <v>33</v>
      </c>
      <c r="Y28" t="s">
        <v>33</v>
      </c>
      <c r="Z28" t="s">
        <v>34</v>
      </c>
      <c r="AA28">
        <v>1</v>
      </c>
    </row>
    <row r="29" spans="1:29" x14ac:dyDescent="0.35">
      <c r="A29" s="13">
        <f t="shared" si="1"/>
        <v>45930</v>
      </c>
      <c r="B29">
        <v>1</v>
      </c>
      <c r="D29" s="14" t="s">
        <v>31</v>
      </c>
      <c r="E29" s="16" t="s">
        <v>41</v>
      </c>
      <c r="F29" s="16" t="s">
        <v>41</v>
      </c>
      <c r="G29" s="17"/>
      <c r="H29" s="31" t="s">
        <v>180</v>
      </c>
      <c r="I29" s="84" t="s">
        <v>181</v>
      </c>
      <c r="K29" s="20">
        <f t="shared" si="2"/>
        <v>26</v>
      </c>
      <c r="M29" s="13">
        <f t="shared" si="3"/>
        <v>46721</v>
      </c>
      <c r="N29" s="13">
        <f t="shared" si="4"/>
        <v>46721</v>
      </c>
      <c r="O29" s="13">
        <f t="shared" si="4"/>
        <v>46721</v>
      </c>
      <c r="P29" s="24">
        <v>8178864181.4150391</v>
      </c>
      <c r="V29">
        <v>1</v>
      </c>
      <c r="W29" t="s">
        <v>33</v>
      </c>
      <c r="Y29" t="s">
        <v>33</v>
      </c>
      <c r="Z29" t="s">
        <v>34</v>
      </c>
      <c r="AA29">
        <v>1</v>
      </c>
    </row>
    <row r="30" spans="1:29" x14ac:dyDescent="0.35">
      <c r="A30" s="13">
        <f t="shared" si="1"/>
        <v>45930</v>
      </c>
      <c r="B30">
        <v>1</v>
      </c>
      <c r="D30" s="14" t="s">
        <v>31</v>
      </c>
      <c r="E30" s="16" t="s">
        <v>41</v>
      </c>
      <c r="F30" s="16" t="s">
        <v>41</v>
      </c>
      <c r="G30" s="17"/>
      <c r="H30" s="31" t="s">
        <v>180</v>
      </c>
      <c r="I30" s="84" t="s">
        <v>181</v>
      </c>
      <c r="K30" s="20">
        <f t="shared" si="2"/>
        <v>27</v>
      </c>
      <c r="M30" s="13">
        <f t="shared" si="3"/>
        <v>46752</v>
      </c>
      <c r="N30" s="13">
        <f t="shared" si="4"/>
        <v>46752</v>
      </c>
      <c r="O30" s="13">
        <f t="shared" si="4"/>
        <v>46752</v>
      </c>
      <c r="P30" s="24">
        <v>8099912732.427124</v>
      </c>
      <c r="V30">
        <v>1</v>
      </c>
      <c r="W30" t="s">
        <v>33</v>
      </c>
      <c r="Y30" t="s">
        <v>33</v>
      </c>
      <c r="Z30" t="s">
        <v>34</v>
      </c>
      <c r="AA30">
        <v>1</v>
      </c>
    </row>
    <row r="31" spans="1:29" x14ac:dyDescent="0.35">
      <c r="A31" s="13">
        <f t="shared" si="1"/>
        <v>45930</v>
      </c>
      <c r="B31">
        <v>1</v>
      </c>
      <c r="D31" s="14" t="s">
        <v>31</v>
      </c>
      <c r="E31" s="16" t="s">
        <v>41</v>
      </c>
      <c r="F31" s="16" t="s">
        <v>41</v>
      </c>
      <c r="G31" s="17"/>
      <c r="H31" s="31" t="s">
        <v>180</v>
      </c>
      <c r="I31" s="84" t="s">
        <v>181</v>
      </c>
      <c r="K31" s="20">
        <f t="shared" si="2"/>
        <v>28</v>
      </c>
      <c r="M31" s="13">
        <f t="shared" si="3"/>
        <v>46783</v>
      </c>
      <c r="N31" s="13">
        <f t="shared" si="4"/>
        <v>46783</v>
      </c>
      <c r="O31" s="13">
        <f t="shared" si="4"/>
        <v>46783</v>
      </c>
      <c r="P31" s="24">
        <v>8021723410.2039795</v>
      </c>
      <c r="V31">
        <v>1</v>
      </c>
      <c r="W31" t="s">
        <v>33</v>
      </c>
      <c r="Y31" t="s">
        <v>33</v>
      </c>
      <c r="Z31" t="s">
        <v>34</v>
      </c>
      <c r="AA31">
        <v>1</v>
      </c>
    </row>
    <row r="32" spans="1:29" x14ac:dyDescent="0.35">
      <c r="A32" s="13">
        <f t="shared" si="1"/>
        <v>45930</v>
      </c>
      <c r="B32">
        <v>1</v>
      </c>
      <c r="D32" s="14" t="s">
        <v>31</v>
      </c>
      <c r="E32" s="16" t="s">
        <v>41</v>
      </c>
      <c r="F32" s="16" t="s">
        <v>41</v>
      </c>
      <c r="G32" s="17"/>
      <c r="H32" s="31" t="s">
        <v>180</v>
      </c>
      <c r="I32" s="84" t="s">
        <v>181</v>
      </c>
      <c r="K32" s="20">
        <f t="shared" si="2"/>
        <v>29</v>
      </c>
      <c r="M32" s="13">
        <f t="shared" si="3"/>
        <v>46812</v>
      </c>
      <c r="N32" s="13">
        <f t="shared" si="4"/>
        <v>46812</v>
      </c>
      <c r="O32" s="13">
        <f t="shared" si="4"/>
        <v>46812</v>
      </c>
      <c r="P32" s="24">
        <v>7944288857.854248</v>
      </c>
      <c r="V32">
        <v>1</v>
      </c>
      <c r="W32" t="s">
        <v>33</v>
      </c>
      <c r="Y32" t="s">
        <v>33</v>
      </c>
      <c r="Z32" t="s">
        <v>34</v>
      </c>
      <c r="AA32">
        <v>1</v>
      </c>
    </row>
    <row r="33" spans="1:27" x14ac:dyDescent="0.35">
      <c r="A33" s="13">
        <f t="shared" si="1"/>
        <v>45930</v>
      </c>
      <c r="B33">
        <v>1</v>
      </c>
      <c r="D33" s="14" t="s">
        <v>31</v>
      </c>
      <c r="E33" s="16" t="s">
        <v>41</v>
      </c>
      <c r="F33" s="16" t="s">
        <v>41</v>
      </c>
      <c r="G33" s="17"/>
      <c r="H33" s="31" t="s">
        <v>180</v>
      </c>
      <c r="I33" s="84" t="s">
        <v>181</v>
      </c>
      <c r="K33" s="20">
        <f t="shared" si="2"/>
        <v>30</v>
      </c>
      <c r="M33" s="13">
        <f t="shared" si="3"/>
        <v>46843</v>
      </c>
      <c r="N33" s="13">
        <f t="shared" si="4"/>
        <v>46843</v>
      </c>
      <c r="O33" s="13">
        <f t="shared" si="4"/>
        <v>46843</v>
      </c>
      <c r="P33" s="24">
        <v>7867601789.5041504</v>
      </c>
      <c r="V33">
        <v>1</v>
      </c>
      <c r="W33" t="s">
        <v>33</v>
      </c>
      <c r="Y33" t="s">
        <v>33</v>
      </c>
      <c r="Z33" t="s">
        <v>34</v>
      </c>
      <c r="AA33">
        <v>1</v>
      </c>
    </row>
    <row r="34" spans="1:27" x14ac:dyDescent="0.35">
      <c r="A34" s="13">
        <f t="shared" si="1"/>
        <v>45930</v>
      </c>
      <c r="B34">
        <v>1</v>
      </c>
      <c r="D34" s="14" t="s">
        <v>31</v>
      </c>
      <c r="E34" s="16" t="s">
        <v>41</v>
      </c>
      <c r="F34" s="16" t="s">
        <v>41</v>
      </c>
      <c r="G34" s="17"/>
      <c r="H34" s="31" t="s">
        <v>180</v>
      </c>
      <c r="I34" s="84" t="s">
        <v>181</v>
      </c>
      <c r="K34" s="20">
        <f t="shared" si="2"/>
        <v>31</v>
      </c>
      <c r="M34" s="13">
        <f t="shared" si="3"/>
        <v>46873</v>
      </c>
      <c r="N34" s="13">
        <f t="shared" si="4"/>
        <v>46873</v>
      </c>
      <c r="O34" s="13">
        <f t="shared" si="4"/>
        <v>46873</v>
      </c>
      <c r="P34" s="24">
        <v>7791654989.6107178</v>
      </c>
      <c r="V34">
        <v>1</v>
      </c>
      <c r="W34" t="s">
        <v>33</v>
      </c>
      <c r="Y34" t="s">
        <v>33</v>
      </c>
      <c r="Z34" t="s">
        <v>34</v>
      </c>
      <c r="AA34">
        <v>1</v>
      </c>
    </row>
    <row r="35" spans="1:27" x14ac:dyDescent="0.35">
      <c r="A35" s="13">
        <f t="shared" si="1"/>
        <v>45930</v>
      </c>
      <c r="B35">
        <v>1</v>
      </c>
      <c r="D35" s="14" t="s">
        <v>31</v>
      </c>
      <c r="E35" s="16" t="s">
        <v>41</v>
      </c>
      <c r="F35" s="16" t="s">
        <v>41</v>
      </c>
      <c r="G35" s="17"/>
      <c r="H35" s="31" t="s">
        <v>180</v>
      </c>
      <c r="I35" s="84" t="s">
        <v>181</v>
      </c>
      <c r="K35" s="20">
        <f t="shared" si="2"/>
        <v>32</v>
      </c>
      <c r="M35" s="13">
        <f t="shared" si="3"/>
        <v>46904</v>
      </c>
      <c r="N35" s="13">
        <f t="shared" si="4"/>
        <v>46904</v>
      </c>
      <c r="O35" s="13">
        <f t="shared" si="4"/>
        <v>46904</v>
      </c>
      <c r="P35" s="24">
        <v>7716441312.2834473</v>
      </c>
      <c r="V35">
        <v>1</v>
      </c>
      <c r="W35" t="s">
        <v>33</v>
      </c>
      <c r="Y35" t="s">
        <v>33</v>
      </c>
      <c r="Z35" t="s">
        <v>34</v>
      </c>
      <c r="AA35">
        <v>1</v>
      </c>
    </row>
    <row r="36" spans="1:27" x14ac:dyDescent="0.35">
      <c r="A36" s="13">
        <f t="shared" ref="A36:A76" si="5">A35</f>
        <v>45930</v>
      </c>
      <c r="B36">
        <v>1</v>
      </c>
      <c r="D36" s="14" t="s">
        <v>31</v>
      </c>
      <c r="E36" s="16" t="s">
        <v>41</v>
      </c>
      <c r="F36" s="16" t="s">
        <v>41</v>
      </c>
      <c r="G36" s="17"/>
      <c r="H36" s="31" t="s">
        <v>180</v>
      </c>
      <c r="I36" s="84" t="s">
        <v>181</v>
      </c>
      <c r="K36" s="20">
        <f t="shared" si="2"/>
        <v>33</v>
      </c>
      <c r="M36" s="13">
        <f t="shared" si="3"/>
        <v>46934</v>
      </c>
      <c r="N36" s="13">
        <f t="shared" si="4"/>
        <v>46934</v>
      </c>
      <c r="O36" s="13">
        <f t="shared" si="4"/>
        <v>46934</v>
      </c>
      <c r="P36" s="24">
        <v>7641953680.6120605</v>
      </c>
      <c r="V36">
        <v>1</v>
      </c>
      <c r="W36" t="s">
        <v>33</v>
      </c>
      <c r="Y36" t="s">
        <v>33</v>
      </c>
      <c r="Z36" t="s">
        <v>34</v>
      </c>
      <c r="AA36">
        <v>1</v>
      </c>
    </row>
    <row r="37" spans="1:27" x14ac:dyDescent="0.35">
      <c r="A37" s="13">
        <f t="shared" si="1"/>
        <v>45930</v>
      </c>
      <c r="B37">
        <v>1</v>
      </c>
      <c r="D37" s="14" t="s">
        <v>31</v>
      </c>
      <c r="E37" s="16" t="s">
        <v>41</v>
      </c>
      <c r="F37" s="16" t="s">
        <v>41</v>
      </c>
      <c r="G37" s="17"/>
      <c r="H37" s="31" t="s">
        <v>180</v>
      </c>
      <c r="I37" s="84" t="s">
        <v>181</v>
      </c>
      <c r="K37" s="20">
        <f t="shared" si="2"/>
        <v>34</v>
      </c>
      <c r="M37" s="13">
        <f t="shared" si="3"/>
        <v>46965</v>
      </c>
      <c r="N37" s="13">
        <f t="shared" ref="N37:N77" si="6">M37</f>
        <v>46965</v>
      </c>
      <c r="O37" s="13">
        <f t="shared" ref="O37:O77" si="7">N37</f>
        <v>46965</v>
      </c>
      <c r="P37" s="24">
        <v>7568185086.0003662</v>
      </c>
      <c r="V37">
        <v>1</v>
      </c>
      <c r="W37" t="s">
        <v>33</v>
      </c>
      <c r="Y37" t="s">
        <v>33</v>
      </c>
      <c r="Z37" t="s">
        <v>34</v>
      </c>
      <c r="AA37">
        <v>1</v>
      </c>
    </row>
    <row r="38" spans="1:27" x14ac:dyDescent="0.35">
      <c r="A38" s="13">
        <f t="shared" si="1"/>
        <v>45930</v>
      </c>
      <c r="B38">
        <v>1</v>
      </c>
      <c r="D38" s="14" t="s">
        <v>31</v>
      </c>
      <c r="E38" s="16" t="s">
        <v>41</v>
      </c>
      <c r="F38" s="16" t="s">
        <v>41</v>
      </c>
      <c r="G38" s="17"/>
      <c r="H38" s="31" t="s">
        <v>180</v>
      </c>
      <c r="I38" s="84" t="s">
        <v>181</v>
      </c>
      <c r="K38" s="20">
        <f t="shared" si="2"/>
        <v>35</v>
      </c>
      <c r="M38" s="13">
        <f t="shared" si="3"/>
        <v>46996</v>
      </c>
      <c r="N38" s="13">
        <f t="shared" si="6"/>
        <v>46996</v>
      </c>
      <c r="O38" s="13">
        <f t="shared" si="7"/>
        <v>46996</v>
      </c>
      <c r="P38" s="24">
        <v>7495128587.506958</v>
      </c>
      <c r="Q38" s="24"/>
      <c r="V38">
        <v>1</v>
      </c>
      <c r="W38" t="s">
        <v>33</v>
      </c>
      <c r="Y38" t="s">
        <v>33</v>
      </c>
      <c r="Z38" t="s">
        <v>34</v>
      </c>
      <c r="AA38">
        <v>1</v>
      </c>
    </row>
    <row r="39" spans="1:27" x14ac:dyDescent="0.35">
      <c r="A39" s="13">
        <f t="shared" si="1"/>
        <v>45930</v>
      </c>
      <c r="B39">
        <v>1</v>
      </c>
      <c r="D39" s="14" t="s">
        <v>31</v>
      </c>
      <c r="E39" s="16" t="s">
        <v>41</v>
      </c>
      <c r="F39" s="16" t="s">
        <v>41</v>
      </c>
      <c r="G39" s="17"/>
      <c r="H39" s="31" t="s">
        <v>180</v>
      </c>
      <c r="I39" s="84" t="s">
        <v>181</v>
      </c>
      <c r="K39" s="20">
        <f t="shared" si="2"/>
        <v>36</v>
      </c>
      <c r="M39" s="13">
        <f t="shared" si="3"/>
        <v>47026</v>
      </c>
      <c r="N39" s="13">
        <f t="shared" si="6"/>
        <v>47026</v>
      </c>
      <c r="O39" s="13">
        <f t="shared" si="7"/>
        <v>47026</v>
      </c>
      <c r="P39" s="24">
        <v>7422777311.1915283</v>
      </c>
      <c r="Q39" s="24"/>
      <c r="V39">
        <v>1</v>
      </c>
      <c r="W39" t="s">
        <v>33</v>
      </c>
      <c r="Y39" t="s">
        <v>33</v>
      </c>
      <c r="Z39" t="s">
        <v>34</v>
      </c>
      <c r="AA39">
        <v>1</v>
      </c>
    </row>
    <row r="40" spans="1:27" x14ac:dyDescent="0.35">
      <c r="A40" s="13">
        <f t="shared" si="1"/>
        <v>45930</v>
      </c>
      <c r="B40">
        <v>1</v>
      </c>
      <c r="D40" s="14" t="s">
        <v>31</v>
      </c>
      <c r="E40" s="16" t="s">
        <v>41</v>
      </c>
      <c r="F40" s="16" t="s">
        <v>41</v>
      </c>
      <c r="G40" s="17"/>
      <c r="H40" s="31" t="s">
        <v>180</v>
      </c>
      <c r="I40" s="84" t="s">
        <v>181</v>
      </c>
      <c r="K40" s="20">
        <f t="shared" si="2"/>
        <v>37</v>
      </c>
      <c r="M40" s="13">
        <f t="shared" si="3"/>
        <v>47057</v>
      </c>
      <c r="N40" s="13">
        <f t="shared" si="6"/>
        <v>47057</v>
      </c>
      <c r="O40" s="13">
        <f t="shared" si="7"/>
        <v>47057</v>
      </c>
      <c r="P40" s="24">
        <v>7351124449.4696045</v>
      </c>
      <c r="Q40" s="24"/>
      <c r="V40">
        <v>1</v>
      </c>
      <c r="W40" t="s">
        <v>33</v>
      </c>
      <c r="Y40" t="s">
        <v>33</v>
      </c>
      <c r="Z40" t="s">
        <v>34</v>
      </c>
      <c r="AA40">
        <v>1</v>
      </c>
    </row>
    <row r="41" spans="1:27" x14ac:dyDescent="0.35">
      <c r="A41" s="13">
        <f t="shared" si="5"/>
        <v>45930</v>
      </c>
      <c r="B41">
        <v>1</v>
      </c>
      <c r="D41" s="14" t="s">
        <v>31</v>
      </c>
      <c r="E41" s="16" t="s">
        <v>41</v>
      </c>
      <c r="F41" s="16" t="s">
        <v>41</v>
      </c>
      <c r="G41" s="17"/>
      <c r="H41" s="31" t="s">
        <v>180</v>
      </c>
      <c r="I41" s="84" t="s">
        <v>181</v>
      </c>
      <c r="K41" s="20">
        <f t="shared" si="2"/>
        <v>38</v>
      </c>
      <c r="M41" s="13">
        <f t="shared" si="3"/>
        <v>47087</v>
      </c>
      <c r="N41" s="13">
        <f t="shared" si="6"/>
        <v>47087</v>
      </c>
      <c r="O41" s="13">
        <f t="shared" si="7"/>
        <v>47087</v>
      </c>
      <c r="P41" s="24">
        <v>7280163260.470459</v>
      </c>
      <c r="Q41" s="24"/>
      <c r="V41">
        <v>1</v>
      </c>
      <c r="W41" t="s">
        <v>33</v>
      </c>
      <c r="Y41" t="s">
        <v>33</v>
      </c>
      <c r="Z41" t="s">
        <v>34</v>
      </c>
      <c r="AA41">
        <v>1</v>
      </c>
    </row>
    <row r="42" spans="1:27" x14ac:dyDescent="0.35">
      <c r="A42" s="13">
        <f t="shared" si="1"/>
        <v>45930</v>
      </c>
      <c r="B42">
        <v>1</v>
      </c>
      <c r="D42" s="14" t="s">
        <v>31</v>
      </c>
      <c r="E42" s="16" t="s">
        <v>41</v>
      </c>
      <c r="F42" s="16" t="s">
        <v>41</v>
      </c>
      <c r="G42" s="17"/>
      <c r="H42" s="31" t="s">
        <v>180</v>
      </c>
      <c r="I42" s="84" t="s">
        <v>181</v>
      </c>
      <c r="K42" s="20">
        <f t="shared" si="2"/>
        <v>39</v>
      </c>
      <c r="M42" s="13">
        <f t="shared" si="3"/>
        <v>47118</v>
      </c>
      <c r="N42" s="13">
        <f t="shared" si="6"/>
        <v>47118</v>
      </c>
      <c r="O42" s="13">
        <f t="shared" si="7"/>
        <v>47118</v>
      </c>
      <c r="P42" s="24">
        <v>7209887067.4031982</v>
      </c>
      <c r="Q42" s="24"/>
      <c r="V42">
        <v>1</v>
      </c>
      <c r="W42" t="s">
        <v>33</v>
      </c>
      <c r="Y42" t="s">
        <v>33</v>
      </c>
      <c r="Z42" t="s">
        <v>34</v>
      </c>
      <c r="AA42">
        <v>1</v>
      </c>
    </row>
    <row r="43" spans="1:27" x14ac:dyDescent="0.35">
      <c r="A43" s="13">
        <f t="shared" si="1"/>
        <v>45930</v>
      </c>
      <c r="B43">
        <v>1</v>
      </c>
      <c r="D43" s="14" t="s">
        <v>31</v>
      </c>
      <c r="E43" s="16" t="s">
        <v>41</v>
      </c>
      <c r="F43" s="16" t="s">
        <v>41</v>
      </c>
      <c r="G43" s="17"/>
      <c r="H43" s="31" t="s">
        <v>180</v>
      </c>
      <c r="I43" s="84" t="s">
        <v>181</v>
      </c>
      <c r="K43" s="20">
        <f t="shared" si="2"/>
        <v>40</v>
      </c>
      <c r="M43" s="13">
        <f t="shared" si="3"/>
        <v>47149</v>
      </c>
      <c r="N43" s="13">
        <f t="shared" si="6"/>
        <v>47149</v>
      </c>
      <c r="O43" s="13">
        <f t="shared" si="7"/>
        <v>47149</v>
      </c>
      <c r="P43" s="24">
        <v>7140289257.9294434</v>
      </c>
      <c r="Q43" s="24"/>
      <c r="V43">
        <v>1</v>
      </c>
      <c r="W43" t="s">
        <v>33</v>
      </c>
      <c r="Y43" t="s">
        <v>33</v>
      </c>
      <c r="Z43" t="s">
        <v>34</v>
      </c>
      <c r="AA43">
        <v>1</v>
      </c>
    </row>
    <row r="44" spans="1:27" x14ac:dyDescent="0.35">
      <c r="A44" s="13">
        <f t="shared" si="1"/>
        <v>45930</v>
      </c>
      <c r="B44">
        <v>1</v>
      </c>
      <c r="D44" s="14" t="s">
        <v>31</v>
      </c>
      <c r="E44" s="16" t="s">
        <v>41</v>
      </c>
      <c r="F44" s="16" t="s">
        <v>41</v>
      </c>
      <c r="G44" s="17"/>
      <c r="H44" s="31" t="s">
        <v>180</v>
      </c>
      <c r="I44" s="84" t="s">
        <v>181</v>
      </c>
      <c r="K44" s="20">
        <f t="shared" si="2"/>
        <v>41</v>
      </c>
      <c r="M44" s="13">
        <f t="shared" si="3"/>
        <v>47177</v>
      </c>
      <c r="N44" s="13">
        <f t="shared" si="6"/>
        <v>47177</v>
      </c>
      <c r="O44" s="13">
        <f t="shared" si="7"/>
        <v>47177</v>
      </c>
      <c r="P44" s="24">
        <v>7071363283.5394287</v>
      </c>
      <c r="Q44" s="24"/>
      <c r="V44">
        <v>1</v>
      </c>
      <c r="W44" t="s">
        <v>33</v>
      </c>
      <c r="Y44" t="s">
        <v>33</v>
      </c>
      <c r="Z44" t="s">
        <v>34</v>
      </c>
      <c r="AA44">
        <v>1</v>
      </c>
    </row>
    <row r="45" spans="1:27" x14ac:dyDescent="0.35">
      <c r="A45" s="13">
        <f t="shared" si="1"/>
        <v>45930</v>
      </c>
      <c r="B45">
        <v>1</v>
      </c>
      <c r="D45" s="14" t="s">
        <v>31</v>
      </c>
      <c r="E45" s="16" t="s">
        <v>41</v>
      </c>
      <c r="F45" s="16" t="s">
        <v>41</v>
      </c>
      <c r="G45" s="17"/>
      <c r="H45" s="31" t="s">
        <v>180</v>
      </c>
      <c r="I45" s="84" t="s">
        <v>181</v>
      </c>
      <c r="K45" s="20">
        <f t="shared" si="2"/>
        <v>42</v>
      </c>
      <c r="M45" s="13">
        <f t="shared" si="3"/>
        <v>47208</v>
      </c>
      <c r="N45" s="13">
        <f t="shared" si="6"/>
        <v>47208</v>
      </c>
      <c r="O45" s="13">
        <f t="shared" si="7"/>
        <v>47208</v>
      </c>
      <c r="P45" s="24">
        <v>7003102658.9377441</v>
      </c>
      <c r="Q45" s="24"/>
      <c r="V45">
        <v>1</v>
      </c>
      <c r="W45" t="s">
        <v>33</v>
      </c>
      <c r="Y45" t="s">
        <v>33</v>
      </c>
      <c r="Z45" t="s">
        <v>34</v>
      </c>
      <c r="AA45">
        <v>1</v>
      </c>
    </row>
    <row r="46" spans="1:27" x14ac:dyDescent="0.35">
      <c r="A46" s="13">
        <f t="shared" si="5"/>
        <v>45930</v>
      </c>
      <c r="B46">
        <v>1</v>
      </c>
      <c r="D46" s="14" t="s">
        <v>31</v>
      </c>
      <c r="E46" s="16" t="s">
        <v>41</v>
      </c>
      <c r="F46" s="16" t="s">
        <v>41</v>
      </c>
      <c r="G46" s="17"/>
      <c r="H46" s="31" t="s">
        <v>180</v>
      </c>
      <c r="I46" s="84" t="s">
        <v>181</v>
      </c>
      <c r="K46" s="20">
        <f t="shared" si="2"/>
        <v>43</v>
      </c>
      <c r="M46" s="13">
        <f t="shared" si="3"/>
        <v>47238</v>
      </c>
      <c r="N46" s="13">
        <f t="shared" si="6"/>
        <v>47238</v>
      </c>
      <c r="O46" s="13">
        <f t="shared" si="7"/>
        <v>47238</v>
      </c>
      <c r="P46" s="24">
        <v>6935500961.4318848</v>
      </c>
      <c r="Q46" s="24"/>
      <c r="V46">
        <v>1</v>
      </c>
      <c r="W46" t="s">
        <v>33</v>
      </c>
      <c r="Y46" t="s">
        <v>33</v>
      </c>
      <c r="Z46" t="s">
        <v>34</v>
      </c>
      <c r="AA46">
        <v>1</v>
      </c>
    </row>
    <row r="47" spans="1:27" x14ac:dyDescent="0.35">
      <c r="A47" s="13">
        <f t="shared" si="1"/>
        <v>45930</v>
      </c>
      <c r="B47">
        <v>1</v>
      </c>
      <c r="D47" s="14" t="s">
        <v>31</v>
      </c>
      <c r="E47" s="16" t="s">
        <v>41</v>
      </c>
      <c r="F47" s="16" t="s">
        <v>41</v>
      </c>
      <c r="G47" s="17"/>
      <c r="H47" s="31" t="s">
        <v>180</v>
      </c>
      <c r="I47" s="84" t="s">
        <v>181</v>
      </c>
      <c r="K47" s="20">
        <f t="shared" si="2"/>
        <v>44</v>
      </c>
      <c r="M47" s="13">
        <f t="shared" si="3"/>
        <v>47269</v>
      </c>
      <c r="N47" s="13">
        <f t="shared" si="6"/>
        <v>47269</v>
      </c>
      <c r="O47" s="13">
        <f t="shared" si="7"/>
        <v>47269</v>
      </c>
      <c r="P47" s="24">
        <v>6868551830.3280029</v>
      </c>
      <c r="Q47" s="24"/>
      <c r="V47">
        <v>1</v>
      </c>
      <c r="W47" t="s">
        <v>33</v>
      </c>
      <c r="Y47" t="s">
        <v>33</v>
      </c>
      <c r="Z47" t="s">
        <v>34</v>
      </c>
      <c r="AA47">
        <v>1</v>
      </c>
    </row>
    <row r="48" spans="1:27" x14ac:dyDescent="0.35">
      <c r="A48" s="13">
        <f t="shared" si="1"/>
        <v>45930</v>
      </c>
      <c r="B48">
        <v>1</v>
      </c>
      <c r="D48" s="14" t="s">
        <v>31</v>
      </c>
      <c r="E48" s="16" t="s">
        <v>41</v>
      </c>
      <c r="F48" s="16" t="s">
        <v>41</v>
      </c>
      <c r="G48" s="17"/>
      <c r="H48" s="31" t="s">
        <v>180</v>
      </c>
      <c r="I48" s="84" t="s">
        <v>181</v>
      </c>
      <c r="K48" s="20">
        <f t="shared" si="2"/>
        <v>45</v>
      </c>
      <c r="M48" s="13">
        <f t="shared" si="3"/>
        <v>47299</v>
      </c>
      <c r="N48" s="13">
        <f t="shared" si="6"/>
        <v>47299</v>
      </c>
      <c r="O48" s="13">
        <f t="shared" si="7"/>
        <v>47299</v>
      </c>
      <c r="P48" s="24">
        <v>6802248966.3328857</v>
      </c>
      <c r="Q48" s="24"/>
      <c r="V48">
        <v>1</v>
      </c>
      <c r="W48" t="s">
        <v>33</v>
      </c>
      <c r="Y48" t="s">
        <v>33</v>
      </c>
      <c r="Z48" t="s">
        <v>34</v>
      </c>
      <c r="AA48">
        <v>1</v>
      </c>
    </row>
    <row r="49" spans="1:27" x14ac:dyDescent="0.35">
      <c r="A49" s="13">
        <f t="shared" si="1"/>
        <v>45930</v>
      </c>
      <c r="B49">
        <v>1</v>
      </c>
      <c r="D49" s="14" t="s">
        <v>31</v>
      </c>
      <c r="E49" s="16" t="s">
        <v>41</v>
      </c>
      <c r="F49" s="16" t="s">
        <v>41</v>
      </c>
      <c r="G49" s="17"/>
      <c r="H49" s="31" t="s">
        <v>180</v>
      </c>
      <c r="I49" s="84" t="s">
        <v>181</v>
      </c>
      <c r="K49" s="20">
        <f t="shared" si="2"/>
        <v>46</v>
      </c>
      <c r="M49" s="13">
        <f t="shared" si="3"/>
        <v>47330</v>
      </c>
      <c r="N49" s="13">
        <f t="shared" si="6"/>
        <v>47330</v>
      </c>
      <c r="O49" s="13">
        <f t="shared" si="7"/>
        <v>47330</v>
      </c>
      <c r="P49" s="24">
        <v>6736586130.9616699</v>
      </c>
      <c r="Q49" s="24"/>
      <c r="V49">
        <v>1</v>
      </c>
      <c r="W49" t="s">
        <v>33</v>
      </c>
      <c r="Y49" t="s">
        <v>33</v>
      </c>
      <c r="Z49" t="s">
        <v>34</v>
      </c>
      <c r="AA49">
        <v>1</v>
      </c>
    </row>
    <row r="50" spans="1:27" x14ac:dyDescent="0.35">
      <c r="A50" s="13">
        <f t="shared" si="1"/>
        <v>45930</v>
      </c>
      <c r="B50">
        <v>1</v>
      </c>
      <c r="D50" s="14" t="s">
        <v>31</v>
      </c>
      <c r="E50" s="16" t="s">
        <v>41</v>
      </c>
      <c r="F50" s="16" t="s">
        <v>41</v>
      </c>
      <c r="G50" s="17"/>
      <c r="H50" s="31" t="s">
        <v>180</v>
      </c>
      <c r="I50" s="84" t="s">
        <v>181</v>
      </c>
      <c r="K50" s="20">
        <f t="shared" si="2"/>
        <v>47</v>
      </c>
      <c r="M50" s="13">
        <f t="shared" si="3"/>
        <v>47361</v>
      </c>
      <c r="N50" s="13">
        <f t="shared" si="6"/>
        <v>47361</v>
      </c>
      <c r="O50" s="13">
        <f t="shared" si="7"/>
        <v>47361</v>
      </c>
      <c r="P50" s="24">
        <v>6671557145.9493408</v>
      </c>
      <c r="Q50" s="24"/>
      <c r="V50">
        <v>1</v>
      </c>
      <c r="W50" t="s">
        <v>33</v>
      </c>
      <c r="Y50" t="s">
        <v>33</v>
      </c>
      <c r="Z50" t="s">
        <v>34</v>
      </c>
      <c r="AA50">
        <v>1</v>
      </c>
    </row>
    <row r="51" spans="1:27" x14ac:dyDescent="0.35">
      <c r="A51" s="13">
        <f t="shared" si="5"/>
        <v>45930</v>
      </c>
      <c r="B51">
        <v>1</v>
      </c>
      <c r="D51" s="14" t="s">
        <v>31</v>
      </c>
      <c r="E51" s="16" t="s">
        <v>41</v>
      </c>
      <c r="F51" s="16" t="s">
        <v>41</v>
      </c>
      <c r="G51" s="17"/>
      <c r="H51" s="31" t="s">
        <v>180</v>
      </c>
      <c r="I51" s="84" t="s">
        <v>181</v>
      </c>
      <c r="K51" s="20">
        <f t="shared" si="2"/>
        <v>48</v>
      </c>
      <c r="M51" s="13">
        <f t="shared" si="3"/>
        <v>47391</v>
      </c>
      <c r="N51" s="13">
        <f t="shared" si="6"/>
        <v>47391</v>
      </c>
      <c r="O51" s="13">
        <f t="shared" si="7"/>
        <v>47391</v>
      </c>
      <c r="P51" s="24">
        <v>6607155892.6707764</v>
      </c>
      <c r="Q51" s="24"/>
      <c r="V51">
        <v>1</v>
      </c>
      <c r="W51" t="s">
        <v>33</v>
      </c>
      <c r="Y51" t="s">
        <v>33</v>
      </c>
      <c r="Z51" t="s">
        <v>34</v>
      </c>
      <c r="AA51">
        <v>1</v>
      </c>
    </row>
    <row r="52" spans="1:27" x14ac:dyDescent="0.35">
      <c r="A52" s="13">
        <f t="shared" si="1"/>
        <v>45930</v>
      </c>
      <c r="B52">
        <v>1</v>
      </c>
      <c r="D52" s="14" t="s">
        <v>31</v>
      </c>
      <c r="E52" s="16" t="s">
        <v>41</v>
      </c>
      <c r="F52" s="16" t="s">
        <v>41</v>
      </c>
      <c r="G52" s="17"/>
      <c r="H52" s="31" t="s">
        <v>180</v>
      </c>
      <c r="I52" s="84" t="s">
        <v>181</v>
      </c>
      <c r="K52" s="20">
        <f t="shared" si="2"/>
        <v>49</v>
      </c>
      <c r="M52" s="13">
        <f t="shared" si="3"/>
        <v>47422</v>
      </c>
      <c r="N52" s="13">
        <f t="shared" si="6"/>
        <v>47422</v>
      </c>
      <c r="O52" s="13">
        <f t="shared" si="7"/>
        <v>47422</v>
      </c>
      <c r="P52" s="24">
        <v>6543376311.5643311</v>
      </c>
      <c r="Q52" s="24"/>
      <c r="V52">
        <v>1</v>
      </c>
      <c r="W52" t="s">
        <v>33</v>
      </c>
      <c r="Y52" t="s">
        <v>33</v>
      </c>
      <c r="Z52" t="s">
        <v>34</v>
      </c>
      <c r="AA52">
        <v>1</v>
      </c>
    </row>
    <row r="53" spans="1:27" x14ac:dyDescent="0.35">
      <c r="A53" s="13">
        <f t="shared" si="1"/>
        <v>45930</v>
      </c>
      <c r="B53">
        <v>1</v>
      </c>
      <c r="D53" s="14" t="s">
        <v>31</v>
      </c>
      <c r="E53" s="16" t="s">
        <v>41</v>
      </c>
      <c r="F53" s="16" t="s">
        <v>41</v>
      </c>
      <c r="G53" s="17"/>
      <c r="H53" s="31" t="s">
        <v>180</v>
      </c>
      <c r="I53" s="84" t="s">
        <v>181</v>
      </c>
      <c r="K53" s="20">
        <f t="shared" si="2"/>
        <v>50</v>
      </c>
      <c r="M53" s="13">
        <f t="shared" si="3"/>
        <v>47452</v>
      </c>
      <c r="N53" s="13">
        <f t="shared" si="6"/>
        <v>47452</v>
      </c>
      <c r="O53" s="13">
        <f t="shared" si="7"/>
        <v>47452</v>
      </c>
      <c r="P53" s="24">
        <v>6480212401.5627441</v>
      </c>
      <c r="Q53" s="24"/>
      <c r="V53">
        <v>1</v>
      </c>
      <c r="W53" t="s">
        <v>33</v>
      </c>
      <c r="Y53" t="s">
        <v>33</v>
      </c>
      <c r="Z53" t="s">
        <v>34</v>
      </c>
      <c r="AA53">
        <v>1</v>
      </c>
    </row>
    <row r="54" spans="1:27" x14ac:dyDescent="0.35">
      <c r="A54" s="13">
        <f t="shared" si="1"/>
        <v>45930</v>
      </c>
      <c r="B54">
        <v>1</v>
      </c>
      <c r="D54" s="14" t="s">
        <v>31</v>
      </c>
      <c r="E54" s="16" t="s">
        <v>41</v>
      </c>
      <c r="F54" s="16" t="s">
        <v>41</v>
      </c>
      <c r="G54" s="17"/>
      <c r="H54" s="31" t="s">
        <v>180</v>
      </c>
      <c r="I54" s="84" t="s">
        <v>181</v>
      </c>
      <c r="K54" s="20">
        <f t="shared" si="2"/>
        <v>51</v>
      </c>
      <c r="M54" s="13">
        <f t="shared" si="3"/>
        <v>47483</v>
      </c>
      <c r="N54" s="13">
        <f t="shared" si="6"/>
        <v>47483</v>
      </c>
      <c r="O54" s="13">
        <f t="shared" si="7"/>
        <v>47483</v>
      </c>
      <c r="P54" s="24">
        <v>6417658219.5264893</v>
      </c>
      <c r="Q54" s="24"/>
      <c r="V54">
        <v>1</v>
      </c>
      <c r="W54" t="s">
        <v>33</v>
      </c>
      <c r="Y54" t="s">
        <v>33</v>
      </c>
      <c r="Z54" t="s">
        <v>34</v>
      </c>
      <c r="AA54">
        <v>1</v>
      </c>
    </row>
    <row r="55" spans="1:27" x14ac:dyDescent="0.35">
      <c r="A55" s="13">
        <f t="shared" si="1"/>
        <v>45930</v>
      </c>
      <c r="B55">
        <v>1</v>
      </c>
      <c r="D55" s="14" t="s">
        <v>31</v>
      </c>
      <c r="E55" s="16" t="s">
        <v>41</v>
      </c>
      <c r="F55" s="16" t="s">
        <v>41</v>
      </c>
      <c r="G55" s="17"/>
      <c r="H55" s="31" t="s">
        <v>180</v>
      </c>
      <c r="I55" s="84" t="s">
        <v>181</v>
      </c>
      <c r="K55" s="20">
        <f t="shared" si="2"/>
        <v>52</v>
      </c>
      <c r="M55" s="13">
        <f t="shared" si="3"/>
        <v>47514</v>
      </c>
      <c r="N55" s="13">
        <f t="shared" si="6"/>
        <v>47514</v>
      </c>
      <c r="O55" s="13">
        <f t="shared" si="7"/>
        <v>47514</v>
      </c>
      <c r="P55" s="24">
        <v>6355707879.6870117</v>
      </c>
      <c r="Q55" s="24"/>
      <c r="V55">
        <v>1</v>
      </c>
      <c r="W55" t="s">
        <v>33</v>
      </c>
      <c r="Y55" t="s">
        <v>33</v>
      </c>
      <c r="Z55" t="s">
        <v>34</v>
      </c>
      <c r="AA55">
        <v>1</v>
      </c>
    </row>
    <row r="56" spans="1:27" x14ac:dyDescent="0.35">
      <c r="A56" s="13">
        <f t="shared" si="5"/>
        <v>45930</v>
      </c>
      <c r="B56">
        <v>1</v>
      </c>
      <c r="D56" s="14" t="s">
        <v>31</v>
      </c>
      <c r="E56" s="16" t="s">
        <v>41</v>
      </c>
      <c r="F56" s="16" t="s">
        <v>41</v>
      </c>
      <c r="G56" s="17"/>
      <c r="H56" s="31" t="s">
        <v>180</v>
      </c>
      <c r="I56" s="84" t="s">
        <v>181</v>
      </c>
      <c r="K56" s="20">
        <f t="shared" si="2"/>
        <v>53</v>
      </c>
      <c r="M56" s="13">
        <f t="shared" si="3"/>
        <v>47542</v>
      </c>
      <c r="N56" s="13">
        <f t="shared" si="6"/>
        <v>47542</v>
      </c>
      <c r="O56" s="13">
        <f t="shared" si="7"/>
        <v>47542</v>
      </c>
      <c r="P56" s="24">
        <v>6294355553.0904541</v>
      </c>
      <c r="Q56" s="24"/>
      <c r="V56">
        <v>1</v>
      </c>
      <c r="W56" t="s">
        <v>33</v>
      </c>
      <c r="Y56" t="s">
        <v>33</v>
      </c>
      <c r="Z56" t="s">
        <v>34</v>
      </c>
      <c r="AA56">
        <v>1</v>
      </c>
    </row>
    <row r="57" spans="1:27" x14ac:dyDescent="0.35">
      <c r="A57" s="13">
        <f t="shared" si="1"/>
        <v>45930</v>
      </c>
      <c r="B57">
        <v>1</v>
      </c>
      <c r="D57" s="14" t="s">
        <v>31</v>
      </c>
      <c r="E57" s="16" t="s">
        <v>41</v>
      </c>
      <c r="F57" s="16" t="s">
        <v>41</v>
      </c>
      <c r="G57" s="17"/>
      <c r="H57" s="31" t="s">
        <v>180</v>
      </c>
      <c r="I57" s="84" t="s">
        <v>181</v>
      </c>
      <c r="K57" s="20">
        <f t="shared" si="2"/>
        <v>54</v>
      </c>
      <c r="M57" s="13">
        <f t="shared" si="3"/>
        <v>47573</v>
      </c>
      <c r="N57" s="13">
        <f t="shared" si="6"/>
        <v>47573</v>
      </c>
      <c r="O57" s="13">
        <f t="shared" si="7"/>
        <v>47573</v>
      </c>
      <c r="P57" s="24">
        <v>6233595467.0518799</v>
      </c>
      <c r="V57">
        <v>1</v>
      </c>
      <c r="W57" t="s">
        <v>33</v>
      </c>
      <c r="Y57" t="s">
        <v>33</v>
      </c>
      <c r="Z57" t="s">
        <v>34</v>
      </c>
      <c r="AA57">
        <v>1</v>
      </c>
    </row>
    <row r="58" spans="1:27" x14ac:dyDescent="0.35">
      <c r="A58" s="13">
        <f t="shared" si="1"/>
        <v>45930</v>
      </c>
      <c r="B58">
        <v>1</v>
      </c>
      <c r="D58" s="14" t="s">
        <v>31</v>
      </c>
      <c r="E58" s="16" t="s">
        <v>41</v>
      </c>
      <c r="F58" s="16" t="s">
        <v>41</v>
      </c>
      <c r="G58" s="17"/>
      <c r="H58" s="31" t="s">
        <v>180</v>
      </c>
      <c r="I58" s="84" t="s">
        <v>181</v>
      </c>
      <c r="K58" s="20">
        <f t="shared" si="2"/>
        <v>55</v>
      </c>
      <c r="M58" s="13">
        <f t="shared" si="3"/>
        <v>47603</v>
      </c>
      <c r="N58" s="13">
        <f t="shared" si="6"/>
        <v>47603</v>
      </c>
      <c r="O58" s="13">
        <f t="shared" si="7"/>
        <v>47603</v>
      </c>
      <c r="P58" s="24">
        <v>6173421904.6092529</v>
      </c>
      <c r="V58">
        <v>1</v>
      </c>
      <c r="W58" t="s">
        <v>33</v>
      </c>
      <c r="Y58" t="s">
        <v>33</v>
      </c>
      <c r="Z58" t="s">
        <v>34</v>
      </c>
      <c r="AA58">
        <v>1</v>
      </c>
    </row>
    <row r="59" spans="1:27" x14ac:dyDescent="0.35">
      <c r="A59" s="13">
        <f t="shared" si="1"/>
        <v>45930</v>
      </c>
      <c r="B59">
        <v>1</v>
      </c>
      <c r="D59" s="14" t="s">
        <v>31</v>
      </c>
      <c r="E59" s="16" t="s">
        <v>41</v>
      </c>
      <c r="F59" s="16" t="s">
        <v>41</v>
      </c>
      <c r="G59" s="17"/>
      <c r="H59" s="31" t="s">
        <v>180</v>
      </c>
      <c r="I59" s="84" t="s">
        <v>181</v>
      </c>
      <c r="K59" s="20">
        <f t="shared" si="2"/>
        <v>56</v>
      </c>
      <c r="M59" s="13">
        <f t="shared" si="3"/>
        <v>47634</v>
      </c>
      <c r="N59" s="13">
        <f t="shared" si="6"/>
        <v>47634</v>
      </c>
      <c r="O59" s="13">
        <f t="shared" si="7"/>
        <v>47634</v>
      </c>
      <c r="P59" s="24">
        <v>6113829203.9884033</v>
      </c>
      <c r="V59">
        <v>1</v>
      </c>
      <c r="W59" t="s">
        <v>33</v>
      </c>
      <c r="Y59" t="s">
        <v>33</v>
      </c>
      <c r="Z59" t="s">
        <v>34</v>
      </c>
      <c r="AA59">
        <v>1</v>
      </c>
    </row>
    <row r="60" spans="1:27" x14ac:dyDescent="0.35">
      <c r="A60" s="13">
        <f t="shared" si="1"/>
        <v>45930</v>
      </c>
      <c r="B60">
        <v>1</v>
      </c>
      <c r="D60" s="14" t="s">
        <v>31</v>
      </c>
      <c r="E60" s="16" t="s">
        <v>41</v>
      </c>
      <c r="F60" s="16" t="s">
        <v>41</v>
      </c>
      <c r="G60" s="17"/>
      <c r="H60" s="31" t="s">
        <v>180</v>
      </c>
      <c r="I60" s="84" t="s">
        <v>181</v>
      </c>
      <c r="K60" s="20">
        <f t="shared" si="2"/>
        <v>57</v>
      </c>
      <c r="M60" s="13">
        <f t="shared" si="3"/>
        <v>47664</v>
      </c>
      <c r="N60" s="13">
        <f t="shared" si="6"/>
        <v>47664</v>
      </c>
      <c r="O60" s="13">
        <f t="shared" si="7"/>
        <v>47664</v>
      </c>
      <c r="P60" s="24">
        <v>6054811758.067749</v>
      </c>
      <c r="V60">
        <v>1</v>
      </c>
      <c r="W60" t="s">
        <v>33</v>
      </c>
      <c r="Y60" t="s">
        <v>33</v>
      </c>
      <c r="Z60" t="s">
        <v>34</v>
      </c>
      <c r="AA60">
        <v>1</v>
      </c>
    </row>
    <row r="61" spans="1:27" x14ac:dyDescent="0.35">
      <c r="A61" s="13">
        <f t="shared" si="5"/>
        <v>45930</v>
      </c>
      <c r="B61">
        <v>1</v>
      </c>
      <c r="D61" s="14" t="s">
        <v>31</v>
      </c>
      <c r="E61" s="16" t="s">
        <v>41</v>
      </c>
      <c r="F61" s="16" t="s">
        <v>41</v>
      </c>
      <c r="G61" s="17"/>
      <c r="H61" s="31" t="s">
        <v>180</v>
      </c>
      <c r="I61" s="84" t="s">
        <v>181</v>
      </c>
      <c r="K61" s="20">
        <f t="shared" si="2"/>
        <v>58</v>
      </c>
      <c r="M61" s="13">
        <f t="shared" si="3"/>
        <v>47695</v>
      </c>
      <c r="N61" s="13">
        <f t="shared" si="6"/>
        <v>47695</v>
      </c>
      <c r="O61" s="13">
        <f t="shared" si="7"/>
        <v>47695</v>
      </c>
      <c r="P61" s="24">
        <v>5996364013.8520508</v>
      </c>
      <c r="V61">
        <v>1</v>
      </c>
      <c r="W61" t="s">
        <v>33</v>
      </c>
      <c r="Y61" t="s">
        <v>33</v>
      </c>
      <c r="Z61" t="s">
        <v>34</v>
      </c>
      <c r="AA61">
        <v>1</v>
      </c>
    </row>
    <row r="62" spans="1:27" x14ac:dyDescent="0.35">
      <c r="A62" s="13">
        <f t="shared" si="1"/>
        <v>45930</v>
      </c>
      <c r="B62">
        <v>1</v>
      </c>
      <c r="D62" s="14" t="s">
        <v>31</v>
      </c>
      <c r="E62" s="16" t="s">
        <v>41</v>
      </c>
      <c r="F62" s="16" t="s">
        <v>41</v>
      </c>
      <c r="G62" s="17"/>
      <c r="H62" s="31" t="s">
        <v>180</v>
      </c>
      <c r="I62" s="84" t="s">
        <v>181</v>
      </c>
      <c r="K62" s="20">
        <f t="shared" si="2"/>
        <v>59</v>
      </c>
      <c r="M62" s="13">
        <f t="shared" si="3"/>
        <v>47726</v>
      </c>
      <c r="N62" s="13">
        <f t="shared" si="6"/>
        <v>47726</v>
      </c>
      <c r="O62" s="13">
        <f t="shared" si="7"/>
        <v>47726</v>
      </c>
      <c r="P62" s="24">
        <v>5938480471.9504395</v>
      </c>
      <c r="V62">
        <v>1</v>
      </c>
      <c r="W62" t="s">
        <v>33</v>
      </c>
      <c r="Y62" t="s">
        <v>33</v>
      </c>
      <c r="Z62" t="s">
        <v>34</v>
      </c>
      <c r="AA62">
        <v>1</v>
      </c>
    </row>
    <row r="63" spans="1:27" x14ac:dyDescent="0.35">
      <c r="A63" s="13">
        <f t="shared" si="1"/>
        <v>45930</v>
      </c>
      <c r="B63">
        <v>1</v>
      </c>
      <c r="D63" s="14" t="s">
        <v>31</v>
      </c>
      <c r="E63" s="16" t="s">
        <v>41</v>
      </c>
      <c r="F63" s="16" t="s">
        <v>41</v>
      </c>
      <c r="G63" s="17"/>
      <c r="H63" s="31" t="s">
        <v>180</v>
      </c>
      <c r="I63" s="84" t="s">
        <v>181</v>
      </c>
      <c r="K63" s="20">
        <f t="shared" si="2"/>
        <v>60</v>
      </c>
      <c r="M63" s="13">
        <f t="shared" si="3"/>
        <v>47756</v>
      </c>
      <c r="N63" s="13">
        <f t="shared" si="6"/>
        <v>47756</v>
      </c>
      <c r="O63" s="13">
        <f t="shared" si="7"/>
        <v>47756</v>
      </c>
      <c r="P63" s="24">
        <v>5881155686.0576172</v>
      </c>
      <c r="V63">
        <v>1</v>
      </c>
      <c r="W63" t="s">
        <v>33</v>
      </c>
      <c r="Y63" t="s">
        <v>33</v>
      </c>
      <c r="Z63" t="s">
        <v>34</v>
      </c>
      <c r="AA63">
        <v>1</v>
      </c>
    </row>
    <row r="64" spans="1:27" x14ac:dyDescent="0.35">
      <c r="A64" s="13">
        <f t="shared" si="1"/>
        <v>45930</v>
      </c>
      <c r="B64">
        <v>1</v>
      </c>
      <c r="D64" s="14" t="s">
        <v>31</v>
      </c>
      <c r="E64" s="16" t="s">
        <v>41</v>
      </c>
      <c r="F64" s="16" t="s">
        <v>41</v>
      </c>
      <c r="G64" s="17"/>
      <c r="H64" s="31" t="s">
        <v>180</v>
      </c>
      <c r="I64" s="84" t="s">
        <v>181</v>
      </c>
      <c r="K64" s="20">
        <f t="shared" si="2"/>
        <v>61</v>
      </c>
      <c r="M64" s="13">
        <f t="shared" si="3"/>
        <v>47787</v>
      </c>
      <c r="N64" s="13">
        <f t="shared" si="6"/>
        <v>47787</v>
      </c>
      <c r="O64" s="13">
        <f t="shared" si="7"/>
        <v>47787</v>
      </c>
      <c r="P64">
        <v>5824384262.4418945</v>
      </c>
      <c r="V64">
        <v>1</v>
      </c>
      <c r="W64" t="s">
        <v>33</v>
      </c>
      <c r="Y64" t="s">
        <v>33</v>
      </c>
      <c r="Z64" t="s">
        <v>34</v>
      </c>
      <c r="AA64">
        <v>1</v>
      </c>
    </row>
    <row r="65" spans="1:27" x14ac:dyDescent="0.35">
      <c r="A65" s="13">
        <f t="shared" si="1"/>
        <v>45930</v>
      </c>
      <c r="B65">
        <v>1</v>
      </c>
      <c r="D65" s="14" t="s">
        <v>31</v>
      </c>
      <c r="E65" s="16" t="s">
        <v>41</v>
      </c>
      <c r="F65" s="16" t="s">
        <v>41</v>
      </c>
      <c r="G65" s="17"/>
      <c r="H65" s="31" t="s">
        <v>180</v>
      </c>
      <c r="I65" s="84" t="s">
        <v>181</v>
      </c>
      <c r="K65" s="20">
        <f t="shared" si="2"/>
        <v>62</v>
      </c>
      <c r="M65" s="13">
        <f t="shared" si="3"/>
        <v>47817</v>
      </c>
      <c r="N65" s="13">
        <f t="shared" si="6"/>
        <v>47817</v>
      </c>
      <c r="O65" s="13">
        <f t="shared" si="7"/>
        <v>47817</v>
      </c>
      <c r="P65">
        <v>5768160859.4383545</v>
      </c>
      <c r="V65">
        <v>1</v>
      </c>
      <c r="W65" t="s">
        <v>33</v>
      </c>
      <c r="Y65" t="s">
        <v>33</v>
      </c>
      <c r="Z65" t="s">
        <v>34</v>
      </c>
      <c r="AA65">
        <v>1</v>
      </c>
    </row>
    <row r="66" spans="1:27" x14ac:dyDescent="0.35">
      <c r="A66" s="13">
        <f t="shared" si="5"/>
        <v>45930</v>
      </c>
      <c r="B66">
        <v>1</v>
      </c>
      <c r="D66" s="14" t="s">
        <v>31</v>
      </c>
      <c r="E66" s="16" t="s">
        <v>41</v>
      </c>
      <c r="F66" s="16" t="s">
        <v>41</v>
      </c>
      <c r="G66" s="17"/>
      <c r="H66" s="31" t="s">
        <v>180</v>
      </c>
      <c r="I66" s="84" t="s">
        <v>181</v>
      </c>
      <c r="K66" s="20">
        <f t="shared" si="2"/>
        <v>63</v>
      </c>
      <c r="M66" s="13">
        <f t="shared" si="3"/>
        <v>47848</v>
      </c>
      <c r="N66" s="13">
        <f t="shared" si="6"/>
        <v>47848</v>
      </c>
      <c r="O66" s="13">
        <f t="shared" si="7"/>
        <v>47848</v>
      </c>
      <c r="P66">
        <v>5712480186.9456787</v>
      </c>
      <c r="V66">
        <v>1</v>
      </c>
      <c r="W66" t="s">
        <v>33</v>
      </c>
      <c r="Y66" t="s">
        <v>33</v>
      </c>
      <c r="Z66" t="s">
        <v>34</v>
      </c>
      <c r="AA66">
        <v>1</v>
      </c>
    </row>
    <row r="67" spans="1:27" x14ac:dyDescent="0.35">
      <c r="A67" s="13">
        <f t="shared" si="1"/>
        <v>45930</v>
      </c>
      <c r="B67">
        <v>1</v>
      </c>
      <c r="D67" s="14" t="s">
        <v>31</v>
      </c>
      <c r="E67" s="16" t="s">
        <v>41</v>
      </c>
      <c r="F67" s="16" t="s">
        <v>41</v>
      </c>
      <c r="G67" s="17"/>
      <c r="H67" s="31" t="s">
        <v>180</v>
      </c>
      <c r="I67" s="84" t="s">
        <v>181</v>
      </c>
      <c r="K67" s="20">
        <f t="shared" si="2"/>
        <v>64</v>
      </c>
      <c r="M67" s="13">
        <f t="shared" si="3"/>
        <v>47879</v>
      </c>
      <c r="N67" s="13">
        <f t="shared" si="6"/>
        <v>47879</v>
      </c>
      <c r="O67" s="13">
        <f t="shared" si="7"/>
        <v>47879</v>
      </c>
      <c r="P67">
        <v>5657337005.9279785</v>
      </c>
      <c r="V67">
        <v>1</v>
      </c>
      <c r="W67" t="s">
        <v>33</v>
      </c>
      <c r="Y67" t="s">
        <v>33</v>
      </c>
      <c r="Z67" t="s">
        <v>34</v>
      </c>
      <c r="AA67">
        <v>1</v>
      </c>
    </row>
    <row r="68" spans="1:27" x14ac:dyDescent="0.35">
      <c r="A68" s="13">
        <f t="shared" ref="A68:A77" si="8">A67</f>
        <v>45930</v>
      </c>
      <c r="B68">
        <v>1</v>
      </c>
      <c r="D68" s="14" t="s">
        <v>31</v>
      </c>
      <c r="E68" s="16" t="s">
        <v>41</v>
      </c>
      <c r="F68" s="16" t="s">
        <v>41</v>
      </c>
      <c r="G68" s="17"/>
      <c r="H68" s="31" t="s">
        <v>180</v>
      </c>
      <c r="I68" s="84" t="s">
        <v>181</v>
      </c>
      <c r="K68" s="20">
        <f t="shared" si="2"/>
        <v>65</v>
      </c>
      <c r="M68" s="13">
        <f t="shared" si="3"/>
        <v>47907</v>
      </c>
      <c r="N68" s="13">
        <f t="shared" si="6"/>
        <v>47907</v>
      </c>
      <c r="O68" s="13">
        <f t="shared" si="7"/>
        <v>47907</v>
      </c>
      <c r="P68">
        <v>5602726127.9229736</v>
      </c>
      <c r="V68">
        <v>1</v>
      </c>
      <c r="W68" t="s">
        <v>33</v>
      </c>
      <c r="Y68" t="s">
        <v>33</v>
      </c>
      <c r="Z68" t="s">
        <v>34</v>
      </c>
      <c r="AA68">
        <v>1</v>
      </c>
    </row>
    <row r="69" spans="1:27" x14ac:dyDescent="0.35">
      <c r="A69" s="13">
        <f t="shared" si="8"/>
        <v>45930</v>
      </c>
      <c r="B69">
        <v>1</v>
      </c>
      <c r="D69" s="14" t="s">
        <v>31</v>
      </c>
      <c r="E69" s="16" t="s">
        <v>41</v>
      </c>
      <c r="F69" s="16" t="s">
        <v>41</v>
      </c>
      <c r="G69" s="17"/>
      <c r="H69" s="31" t="s">
        <v>180</v>
      </c>
      <c r="I69" s="84" t="s">
        <v>181</v>
      </c>
      <c r="K69" s="20">
        <f t="shared" ref="K69:K77" si="9">K68+1</f>
        <v>66</v>
      </c>
      <c r="M69" s="13">
        <f t="shared" ref="M69:M77" si="10">EOMONTH(M68,1)</f>
        <v>47938</v>
      </c>
      <c r="N69" s="13">
        <f t="shared" si="6"/>
        <v>47938</v>
      </c>
      <c r="O69" s="13">
        <f t="shared" si="7"/>
        <v>47938</v>
      </c>
      <c r="P69">
        <v>5548642414.5526123</v>
      </c>
      <c r="V69">
        <v>1</v>
      </c>
      <c r="W69" t="s">
        <v>33</v>
      </c>
      <c r="Y69" t="s">
        <v>33</v>
      </c>
      <c r="Z69" t="s">
        <v>34</v>
      </c>
      <c r="AA69">
        <v>1</v>
      </c>
    </row>
    <row r="70" spans="1:27" x14ac:dyDescent="0.35">
      <c r="A70" s="13">
        <f t="shared" si="8"/>
        <v>45930</v>
      </c>
      <c r="B70">
        <v>1</v>
      </c>
      <c r="D70" s="14" t="s">
        <v>31</v>
      </c>
      <c r="E70" s="16" t="s">
        <v>41</v>
      </c>
      <c r="F70" s="16" t="s">
        <v>41</v>
      </c>
      <c r="G70" s="17"/>
      <c r="H70" s="31" t="s">
        <v>180</v>
      </c>
      <c r="I70" s="84" t="s">
        <v>181</v>
      </c>
      <c r="K70" s="20">
        <f t="shared" si="9"/>
        <v>67</v>
      </c>
      <c r="M70" s="13">
        <f t="shared" si="10"/>
        <v>47968</v>
      </c>
      <c r="N70" s="13">
        <f t="shared" si="6"/>
        <v>47968</v>
      </c>
      <c r="O70" s="13">
        <f t="shared" si="7"/>
        <v>47968</v>
      </c>
      <c r="P70">
        <v>5495080777.0407715</v>
      </c>
      <c r="V70">
        <v>1</v>
      </c>
      <c r="W70" t="s">
        <v>33</v>
      </c>
      <c r="Y70" t="s">
        <v>33</v>
      </c>
      <c r="Z70" t="s">
        <v>34</v>
      </c>
      <c r="AA70">
        <v>1</v>
      </c>
    </row>
    <row r="71" spans="1:27" x14ac:dyDescent="0.35">
      <c r="A71" s="13">
        <f t="shared" si="5"/>
        <v>45930</v>
      </c>
      <c r="B71">
        <v>1</v>
      </c>
      <c r="D71" s="14" t="s">
        <v>31</v>
      </c>
      <c r="E71" s="16" t="s">
        <v>41</v>
      </c>
      <c r="F71" s="16" t="s">
        <v>41</v>
      </c>
      <c r="G71" s="17"/>
      <c r="H71" s="31" t="s">
        <v>180</v>
      </c>
      <c r="I71" s="84" t="s">
        <v>181</v>
      </c>
      <c r="K71" s="20">
        <f t="shared" si="9"/>
        <v>68</v>
      </c>
      <c r="M71" s="13">
        <f t="shared" si="10"/>
        <v>47999</v>
      </c>
      <c r="N71" s="13">
        <f t="shared" si="6"/>
        <v>47999</v>
      </c>
      <c r="O71" s="13">
        <f t="shared" si="7"/>
        <v>47999</v>
      </c>
      <c r="P71">
        <v>5442036175.7327881</v>
      </c>
      <c r="V71">
        <v>1</v>
      </c>
      <c r="W71" t="s">
        <v>33</v>
      </c>
      <c r="Y71" t="s">
        <v>33</v>
      </c>
      <c r="Z71" t="s">
        <v>34</v>
      </c>
      <c r="AA71">
        <v>1</v>
      </c>
    </row>
    <row r="72" spans="1:27" x14ac:dyDescent="0.35">
      <c r="A72" s="13">
        <f t="shared" si="8"/>
        <v>45930</v>
      </c>
      <c r="B72">
        <v>1</v>
      </c>
      <c r="D72" s="14" t="s">
        <v>31</v>
      </c>
      <c r="E72" s="16" t="s">
        <v>41</v>
      </c>
      <c r="F72" s="16" t="s">
        <v>41</v>
      </c>
      <c r="G72" s="17"/>
      <c r="H72" s="31" t="s">
        <v>180</v>
      </c>
      <c r="I72" s="84" t="s">
        <v>181</v>
      </c>
      <c r="K72" s="20">
        <f t="shared" si="9"/>
        <v>69</v>
      </c>
      <c r="M72" s="13">
        <f t="shared" si="10"/>
        <v>48029</v>
      </c>
      <c r="N72" s="13">
        <f t="shared" si="6"/>
        <v>48029</v>
      </c>
      <c r="O72" s="13">
        <f t="shared" si="7"/>
        <v>48029</v>
      </c>
      <c r="P72">
        <v>5389503619.6239014</v>
      </c>
      <c r="V72">
        <v>1</v>
      </c>
      <c r="W72" t="s">
        <v>33</v>
      </c>
      <c r="Y72" t="s">
        <v>33</v>
      </c>
      <c r="Z72" t="s">
        <v>34</v>
      </c>
      <c r="AA72">
        <v>1</v>
      </c>
    </row>
    <row r="73" spans="1:27" x14ac:dyDescent="0.35">
      <c r="A73" s="13">
        <f t="shared" si="8"/>
        <v>45930</v>
      </c>
      <c r="B73">
        <v>1</v>
      </c>
      <c r="D73" s="14" t="s">
        <v>31</v>
      </c>
      <c r="E73" s="16" t="s">
        <v>41</v>
      </c>
      <c r="F73" s="16" t="s">
        <v>41</v>
      </c>
      <c r="G73" s="17"/>
      <c r="H73" s="31" t="s">
        <v>180</v>
      </c>
      <c r="I73" s="84" t="s">
        <v>181</v>
      </c>
      <c r="K73" s="20">
        <f t="shared" si="9"/>
        <v>70</v>
      </c>
      <c r="M73" s="13">
        <f t="shared" si="10"/>
        <v>48060</v>
      </c>
      <c r="N73" s="13">
        <f t="shared" si="6"/>
        <v>48060</v>
      </c>
      <c r="O73" s="13">
        <f t="shared" si="7"/>
        <v>48060</v>
      </c>
      <c r="P73">
        <v>5337478165.8863525</v>
      </c>
      <c r="V73">
        <v>1</v>
      </c>
      <c r="W73" t="s">
        <v>33</v>
      </c>
      <c r="Y73" t="s">
        <v>33</v>
      </c>
      <c r="Z73" t="s">
        <v>34</v>
      </c>
      <c r="AA73">
        <v>1</v>
      </c>
    </row>
    <row r="74" spans="1:27" x14ac:dyDescent="0.35">
      <c r="A74" s="13">
        <f t="shared" si="8"/>
        <v>45930</v>
      </c>
      <c r="B74">
        <v>1</v>
      </c>
      <c r="D74" s="14" t="s">
        <v>31</v>
      </c>
      <c r="E74" s="16" t="s">
        <v>41</v>
      </c>
      <c r="F74" s="16" t="s">
        <v>41</v>
      </c>
      <c r="G74" s="17"/>
      <c r="H74" s="31" t="s">
        <v>180</v>
      </c>
      <c r="I74" s="84" t="s">
        <v>181</v>
      </c>
      <c r="K74" s="20">
        <f t="shared" si="9"/>
        <v>71</v>
      </c>
      <c r="M74" s="13">
        <f t="shared" si="10"/>
        <v>48091</v>
      </c>
      <c r="N74" s="13">
        <f t="shared" si="6"/>
        <v>48091</v>
      </c>
      <c r="O74" s="13">
        <f t="shared" si="7"/>
        <v>48091</v>
      </c>
      <c r="P74">
        <v>5285954919.4071655</v>
      </c>
      <c r="V74">
        <v>1</v>
      </c>
      <c r="W74" t="s">
        <v>33</v>
      </c>
      <c r="Y74" t="s">
        <v>33</v>
      </c>
      <c r="Z74" t="s">
        <v>34</v>
      </c>
      <c r="AA74">
        <v>1</v>
      </c>
    </row>
    <row r="75" spans="1:27" x14ac:dyDescent="0.35">
      <c r="A75" s="13">
        <f t="shared" si="8"/>
        <v>45930</v>
      </c>
      <c r="B75">
        <v>1</v>
      </c>
      <c r="D75" s="14" t="s">
        <v>31</v>
      </c>
      <c r="E75" s="16" t="s">
        <v>41</v>
      </c>
      <c r="F75" s="16" t="s">
        <v>41</v>
      </c>
      <c r="G75" s="17"/>
      <c r="H75" s="31" t="s">
        <v>180</v>
      </c>
      <c r="I75" s="84" t="s">
        <v>181</v>
      </c>
      <c r="K75" s="20">
        <f t="shared" si="9"/>
        <v>72</v>
      </c>
      <c r="M75" s="13">
        <f t="shared" si="10"/>
        <v>48121</v>
      </c>
      <c r="N75" s="13">
        <f t="shared" si="6"/>
        <v>48121</v>
      </c>
      <c r="O75" s="13">
        <f t="shared" si="7"/>
        <v>48121</v>
      </c>
      <c r="P75">
        <v>5234929032.3262329</v>
      </c>
      <c r="V75">
        <v>1</v>
      </c>
      <c r="W75" t="s">
        <v>33</v>
      </c>
      <c r="Y75" t="s">
        <v>33</v>
      </c>
      <c r="Z75" t="s">
        <v>34</v>
      </c>
      <c r="AA75">
        <v>1</v>
      </c>
    </row>
    <row r="76" spans="1:27" x14ac:dyDescent="0.35">
      <c r="A76" s="13">
        <f t="shared" si="5"/>
        <v>45930</v>
      </c>
      <c r="B76">
        <v>1</v>
      </c>
      <c r="D76" s="14" t="s">
        <v>31</v>
      </c>
      <c r="E76" s="16" t="s">
        <v>41</v>
      </c>
      <c r="F76" s="16" t="s">
        <v>41</v>
      </c>
      <c r="G76" s="17"/>
      <c r="H76" s="31" t="s">
        <v>180</v>
      </c>
      <c r="I76" s="84" t="s">
        <v>181</v>
      </c>
      <c r="K76" s="20">
        <f t="shared" si="9"/>
        <v>73</v>
      </c>
      <c r="M76" s="13">
        <f t="shared" si="10"/>
        <v>48152</v>
      </c>
      <c r="N76" s="13">
        <f t="shared" si="6"/>
        <v>48152</v>
      </c>
      <c r="O76" s="13">
        <f t="shared" si="7"/>
        <v>48152</v>
      </c>
      <c r="P76">
        <v>5184395703.579834</v>
      </c>
      <c r="V76">
        <v>1</v>
      </c>
      <c r="W76" t="s">
        <v>33</v>
      </c>
      <c r="Y76" t="s">
        <v>33</v>
      </c>
      <c r="Z76" t="s">
        <v>34</v>
      </c>
      <c r="AA76">
        <v>1</v>
      </c>
    </row>
    <row r="77" spans="1:27" x14ac:dyDescent="0.35">
      <c r="A77" s="13">
        <f t="shared" si="8"/>
        <v>45930</v>
      </c>
      <c r="B77">
        <v>1</v>
      </c>
      <c r="D77" s="14" t="s">
        <v>31</v>
      </c>
      <c r="E77" s="16" t="s">
        <v>41</v>
      </c>
      <c r="F77" s="16" t="s">
        <v>41</v>
      </c>
      <c r="G77" s="17"/>
      <c r="H77" s="31" t="s">
        <v>180</v>
      </c>
      <c r="I77" s="84" t="s">
        <v>181</v>
      </c>
      <c r="K77" s="20">
        <f t="shared" si="9"/>
        <v>74</v>
      </c>
      <c r="M77" s="13">
        <f t="shared" si="10"/>
        <v>48182</v>
      </c>
      <c r="N77" s="13">
        <f t="shared" si="6"/>
        <v>48182</v>
      </c>
      <c r="O77" s="13">
        <f t="shared" si="7"/>
        <v>48182</v>
      </c>
      <c r="P77" s="24">
        <v>531885776735.70636</v>
      </c>
      <c r="V77">
        <v>1</v>
      </c>
      <c r="W77" t="s">
        <v>33</v>
      </c>
      <c r="Y77" t="s">
        <v>33</v>
      </c>
      <c r="Z77" t="s">
        <v>34</v>
      </c>
      <c r="AA77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7">
    <tabColor rgb="FFFFFF00"/>
  </sheetPr>
  <dimension ref="A1:AE110"/>
  <sheetViews>
    <sheetView zoomScale="90" zoomScaleNormal="90" workbookViewId="0">
      <selection activeCell="A2" sqref="A2:AE110"/>
    </sheetView>
  </sheetViews>
  <sheetFormatPr baseColWidth="10" defaultRowHeight="14.5" x14ac:dyDescent="0.35"/>
  <cols>
    <col min="8" max="8" width="19.1796875" bestFit="1" customWidth="1"/>
    <col min="9" max="9" width="32.453125" bestFit="1" customWidth="1"/>
    <col min="13" max="13" width="28" bestFit="1" customWidth="1"/>
    <col min="14" max="14" width="12.81640625" bestFit="1" customWidth="1"/>
    <col min="15" max="15" width="17.453125" bestFit="1" customWidth="1"/>
    <col min="16" max="16" width="16.54296875" bestFit="1" customWidth="1"/>
    <col min="18" max="18" width="16.1796875" bestFit="1" customWidth="1"/>
  </cols>
  <sheetData>
    <row r="1" spans="1:31" x14ac:dyDescent="0.35">
      <c r="A1" s="1" t="s">
        <v>0</v>
      </c>
      <c r="B1" s="2" t="s">
        <v>1</v>
      </c>
      <c r="C1" s="2" t="s">
        <v>2</v>
      </c>
      <c r="D1" s="3" t="s">
        <v>3</v>
      </c>
      <c r="E1" s="4" t="s">
        <v>4</v>
      </c>
      <c r="F1" s="5" t="s">
        <v>5</v>
      </c>
      <c r="G1" s="6" t="s">
        <v>6</v>
      </c>
      <c r="H1" s="1" t="s">
        <v>7</v>
      </c>
      <c r="I1" s="7" t="s">
        <v>8</v>
      </c>
      <c r="J1" s="8" t="s">
        <v>9</v>
      </c>
      <c r="K1" s="9" t="s">
        <v>10</v>
      </c>
      <c r="L1" s="10" t="s">
        <v>11</v>
      </c>
      <c r="M1" s="1" t="s">
        <v>12</v>
      </c>
      <c r="N1" s="11" t="s">
        <v>13</v>
      </c>
      <c r="O1" s="11" t="s">
        <v>14</v>
      </c>
      <c r="P1" s="7" t="s">
        <v>15</v>
      </c>
      <c r="Q1" s="7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12" t="s">
        <v>21</v>
      </c>
      <c r="W1" s="12" t="s">
        <v>22</v>
      </c>
      <c r="X1" s="2" t="s">
        <v>23</v>
      </c>
      <c r="Y1" s="12" t="s">
        <v>24</v>
      </c>
      <c r="Z1" s="2" t="s">
        <v>25</v>
      </c>
      <c r="AA1" s="2" t="s">
        <v>26</v>
      </c>
      <c r="AB1" s="2" t="s">
        <v>27</v>
      </c>
      <c r="AC1" s="4" t="s">
        <v>28</v>
      </c>
      <c r="AD1" s="2" t="s">
        <v>29</v>
      </c>
      <c r="AE1" s="2" t="s">
        <v>30</v>
      </c>
    </row>
    <row r="2" spans="1:31" x14ac:dyDescent="0.35">
      <c r="A2" s="13">
        <f>'R13_Cta_Cte'!A3</f>
        <v>45930</v>
      </c>
      <c r="B2">
        <v>1</v>
      </c>
      <c r="D2" s="14" t="s">
        <v>31</v>
      </c>
      <c r="E2" s="16" t="s">
        <v>41</v>
      </c>
      <c r="F2" s="16" t="s">
        <v>41</v>
      </c>
      <c r="G2" s="17"/>
      <c r="H2" s="31" t="s">
        <v>179</v>
      </c>
      <c r="I2" s="84" t="s">
        <v>177</v>
      </c>
      <c r="J2" s="19"/>
      <c r="K2" s="20"/>
      <c r="L2" s="21"/>
      <c r="M2" s="13">
        <f>A2+1</f>
        <v>45931</v>
      </c>
      <c r="N2" s="13">
        <f>M2</f>
        <v>45931</v>
      </c>
      <c r="O2" s="13">
        <f>N2</f>
        <v>45931</v>
      </c>
      <c r="P2" s="24">
        <f>Montos!H4</f>
        <v>50974195938</v>
      </c>
      <c r="Q2" s="18"/>
      <c r="R2" s="25"/>
      <c r="V2">
        <v>1</v>
      </c>
      <c r="W2" t="s">
        <v>33</v>
      </c>
      <c r="Y2" t="s">
        <v>33</v>
      </c>
      <c r="Z2" t="s">
        <v>34</v>
      </c>
      <c r="AA2">
        <v>1</v>
      </c>
      <c r="AC2" s="15"/>
    </row>
    <row r="3" spans="1:31" x14ac:dyDescent="0.35">
      <c r="A3" s="13">
        <f>A2</f>
        <v>45930</v>
      </c>
      <c r="B3">
        <v>1</v>
      </c>
      <c r="D3" s="14" t="s">
        <v>31</v>
      </c>
      <c r="E3" s="16" t="s">
        <v>41</v>
      </c>
      <c r="F3" s="16" t="s">
        <v>41</v>
      </c>
      <c r="G3" s="17"/>
      <c r="H3" s="84" t="s">
        <v>179</v>
      </c>
      <c r="I3" s="84" t="s">
        <v>178</v>
      </c>
      <c r="J3" s="88"/>
      <c r="K3" s="20">
        <v>1</v>
      </c>
      <c r="L3" s="21"/>
      <c r="M3" s="13">
        <f>Cta_Cte!M4</f>
        <v>45961</v>
      </c>
      <c r="N3" s="13">
        <f t="shared" ref="N3:O36" si="0">M3</f>
        <v>45961</v>
      </c>
      <c r="O3" s="13">
        <f t="shared" si="0"/>
        <v>45961</v>
      </c>
      <c r="P3" s="24">
        <v>1829352645.0892944</v>
      </c>
      <c r="Q3" s="18"/>
      <c r="R3" s="194"/>
      <c r="V3">
        <v>1</v>
      </c>
      <c r="W3" t="s">
        <v>33</v>
      </c>
      <c r="Y3" t="s">
        <v>33</v>
      </c>
      <c r="Z3" t="s">
        <v>34</v>
      </c>
      <c r="AA3">
        <v>1</v>
      </c>
      <c r="AC3" s="15"/>
    </row>
    <row r="4" spans="1:31" x14ac:dyDescent="0.35">
      <c r="A4" s="13">
        <f t="shared" ref="A4:A67" si="1">A3</f>
        <v>45930</v>
      </c>
      <c r="B4">
        <v>1</v>
      </c>
      <c r="D4" s="14" t="s">
        <v>31</v>
      </c>
      <c r="E4" s="16" t="s">
        <v>41</v>
      </c>
      <c r="F4" s="16" t="s">
        <v>41</v>
      </c>
      <c r="G4" s="17"/>
      <c r="H4" s="84" t="s">
        <v>179</v>
      </c>
      <c r="I4" s="84" t="s">
        <v>178</v>
      </c>
      <c r="J4" s="88"/>
      <c r="K4" s="20">
        <f>K3+1</f>
        <v>2</v>
      </c>
      <c r="M4" s="13">
        <f>EOMONTH(M3,1)</f>
        <v>45991</v>
      </c>
      <c r="N4" s="13">
        <f t="shared" si="0"/>
        <v>45991</v>
      </c>
      <c r="O4" s="13">
        <f t="shared" si="0"/>
        <v>45991</v>
      </c>
      <c r="P4" s="24">
        <v>1801216299.0827942</v>
      </c>
      <c r="R4" s="25"/>
      <c r="V4">
        <v>1</v>
      </c>
      <c r="W4" t="s">
        <v>33</v>
      </c>
      <c r="Y4" t="s">
        <v>33</v>
      </c>
      <c r="Z4" t="s">
        <v>34</v>
      </c>
      <c r="AA4">
        <v>1</v>
      </c>
      <c r="AC4" s="15"/>
    </row>
    <row r="5" spans="1:31" x14ac:dyDescent="0.35">
      <c r="A5" s="13">
        <f t="shared" si="1"/>
        <v>45930</v>
      </c>
      <c r="B5">
        <v>1</v>
      </c>
      <c r="D5" s="14" t="s">
        <v>31</v>
      </c>
      <c r="E5" s="16" t="s">
        <v>41</v>
      </c>
      <c r="F5" s="16" t="s">
        <v>41</v>
      </c>
      <c r="G5" s="17"/>
      <c r="H5" s="84" t="s">
        <v>179</v>
      </c>
      <c r="I5" s="84" t="s">
        <v>178</v>
      </c>
      <c r="J5" s="88"/>
      <c r="K5" s="20">
        <f t="shared" ref="K5:K68" si="2">K4+1</f>
        <v>3</v>
      </c>
      <c r="M5" s="13">
        <f>EOMONTH(M4,1)</f>
        <v>46022</v>
      </c>
      <c r="N5" s="13">
        <f t="shared" si="0"/>
        <v>46022</v>
      </c>
      <c r="O5" s="13">
        <f t="shared" si="0"/>
        <v>46022</v>
      </c>
      <c r="P5" s="24">
        <v>1773512703.9561005</v>
      </c>
      <c r="V5">
        <v>1</v>
      </c>
      <c r="W5" t="s">
        <v>33</v>
      </c>
      <c r="Y5" t="s">
        <v>33</v>
      </c>
      <c r="Z5" t="s">
        <v>34</v>
      </c>
      <c r="AA5">
        <v>1</v>
      </c>
      <c r="AC5" s="15"/>
    </row>
    <row r="6" spans="1:31" x14ac:dyDescent="0.35">
      <c r="A6" s="13">
        <f t="shared" si="1"/>
        <v>45930</v>
      </c>
      <c r="B6">
        <v>1</v>
      </c>
      <c r="D6" s="14" t="s">
        <v>31</v>
      </c>
      <c r="E6" s="16" t="s">
        <v>41</v>
      </c>
      <c r="F6" s="16" t="s">
        <v>41</v>
      </c>
      <c r="G6" s="17"/>
      <c r="H6" s="84" t="s">
        <v>179</v>
      </c>
      <c r="I6" s="84" t="s">
        <v>178</v>
      </c>
      <c r="J6" s="88"/>
      <c r="K6" s="20">
        <f t="shared" si="2"/>
        <v>4</v>
      </c>
      <c r="M6" s="13">
        <f t="shared" ref="M6:M69" si="3">EOMONTH(M5,1)</f>
        <v>46053</v>
      </c>
      <c r="N6" s="13">
        <f t="shared" si="0"/>
        <v>46053</v>
      </c>
      <c r="O6" s="13">
        <f t="shared" si="0"/>
        <v>46053</v>
      </c>
      <c r="P6" s="24">
        <v>1746235203.7871704</v>
      </c>
      <c r="V6">
        <v>1</v>
      </c>
      <c r="W6" t="s">
        <v>33</v>
      </c>
      <c r="Y6" t="s">
        <v>33</v>
      </c>
      <c r="Z6" t="s">
        <v>34</v>
      </c>
      <c r="AA6">
        <v>1</v>
      </c>
      <c r="AC6" s="15"/>
    </row>
    <row r="7" spans="1:31" x14ac:dyDescent="0.35">
      <c r="A7" s="13">
        <f t="shared" si="1"/>
        <v>45930</v>
      </c>
      <c r="B7">
        <v>1</v>
      </c>
      <c r="D7" s="14" t="s">
        <v>31</v>
      </c>
      <c r="E7" s="16" t="s">
        <v>41</v>
      </c>
      <c r="F7" s="16" t="s">
        <v>41</v>
      </c>
      <c r="G7" s="17"/>
      <c r="H7" s="84" t="s">
        <v>179</v>
      </c>
      <c r="I7" s="84" t="s">
        <v>178</v>
      </c>
      <c r="J7" s="88"/>
      <c r="K7" s="20">
        <f t="shared" si="2"/>
        <v>5</v>
      </c>
      <c r="M7" s="13">
        <f t="shared" si="3"/>
        <v>46081</v>
      </c>
      <c r="N7" s="13">
        <f t="shared" si="0"/>
        <v>46081</v>
      </c>
      <c r="O7" s="13">
        <f t="shared" si="0"/>
        <v>46081</v>
      </c>
      <c r="P7" s="24">
        <v>1719377245.0254517</v>
      </c>
      <c r="V7">
        <v>1</v>
      </c>
      <c r="W7" t="s">
        <v>33</v>
      </c>
      <c r="Y7" t="s">
        <v>33</v>
      </c>
      <c r="Z7" t="s">
        <v>34</v>
      </c>
      <c r="AA7">
        <v>1</v>
      </c>
      <c r="AC7" s="15"/>
    </row>
    <row r="8" spans="1:31" x14ac:dyDescent="0.35">
      <c r="A8" s="13">
        <f t="shared" si="1"/>
        <v>45930</v>
      </c>
      <c r="B8">
        <v>1</v>
      </c>
      <c r="D8" s="14" t="s">
        <v>31</v>
      </c>
      <c r="E8" s="16" t="s">
        <v>41</v>
      </c>
      <c r="F8" s="16" t="s">
        <v>41</v>
      </c>
      <c r="G8" s="17"/>
      <c r="H8" s="84" t="s">
        <v>179</v>
      </c>
      <c r="I8" s="84" t="s">
        <v>178</v>
      </c>
      <c r="J8" s="88"/>
      <c r="K8" s="20">
        <f t="shared" si="2"/>
        <v>6</v>
      </c>
      <c r="M8" s="13">
        <f t="shared" si="3"/>
        <v>46112</v>
      </c>
      <c r="N8" s="13">
        <f t="shared" si="0"/>
        <v>46112</v>
      </c>
      <c r="O8" s="13">
        <f t="shared" si="0"/>
        <v>46112</v>
      </c>
      <c r="P8" s="24">
        <v>1692932374.917099</v>
      </c>
      <c r="V8">
        <v>1</v>
      </c>
      <c r="W8" t="s">
        <v>33</v>
      </c>
      <c r="Y8" t="s">
        <v>33</v>
      </c>
      <c r="Z8" t="s">
        <v>34</v>
      </c>
      <c r="AA8">
        <v>1</v>
      </c>
      <c r="AC8" s="15"/>
    </row>
    <row r="9" spans="1:31" x14ac:dyDescent="0.35">
      <c r="A9" s="13">
        <f t="shared" si="1"/>
        <v>45930</v>
      </c>
      <c r="B9">
        <v>1</v>
      </c>
      <c r="D9" s="14" t="s">
        <v>31</v>
      </c>
      <c r="E9" s="16" t="s">
        <v>41</v>
      </c>
      <c r="F9" s="16" t="s">
        <v>41</v>
      </c>
      <c r="G9" s="17"/>
      <c r="H9" s="84" t="s">
        <v>179</v>
      </c>
      <c r="I9" s="84" t="s">
        <v>178</v>
      </c>
      <c r="J9" s="88"/>
      <c r="K9" s="20">
        <f t="shared" si="2"/>
        <v>7</v>
      </c>
      <c r="M9" s="13">
        <f t="shared" si="3"/>
        <v>46142</v>
      </c>
      <c r="N9" s="13">
        <f t="shared" si="0"/>
        <v>46142</v>
      </c>
      <c r="O9" s="13">
        <f t="shared" si="0"/>
        <v>46142</v>
      </c>
      <c r="P9" s="24">
        <v>1666894239.9549103</v>
      </c>
      <c r="V9">
        <v>1</v>
      </c>
      <c r="W9" t="s">
        <v>33</v>
      </c>
      <c r="Y9" t="s">
        <v>33</v>
      </c>
      <c r="Z9" t="s">
        <v>34</v>
      </c>
      <c r="AA9">
        <v>1</v>
      </c>
      <c r="AC9" s="15"/>
    </row>
    <row r="10" spans="1:31" x14ac:dyDescent="0.35">
      <c r="A10" s="13">
        <f t="shared" si="1"/>
        <v>45930</v>
      </c>
      <c r="B10">
        <v>1</v>
      </c>
      <c r="D10" s="14" t="s">
        <v>31</v>
      </c>
      <c r="E10" s="16" t="s">
        <v>41</v>
      </c>
      <c r="F10" s="16" t="s">
        <v>41</v>
      </c>
      <c r="G10" s="17"/>
      <c r="H10" s="84" t="s">
        <v>179</v>
      </c>
      <c r="I10" s="84" t="s">
        <v>178</v>
      </c>
      <c r="J10" s="88"/>
      <c r="K10" s="20">
        <f t="shared" si="2"/>
        <v>8</v>
      </c>
      <c r="M10" s="13">
        <f t="shared" si="3"/>
        <v>46173</v>
      </c>
      <c r="N10" s="13">
        <f t="shared" si="0"/>
        <v>46173</v>
      </c>
      <c r="O10" s="13">
        <f t="shared" si="0"/>
        <v>46173</v>
      </c>
      <c r="P10" s="24">
        <v>1641256584.3517151</v>
      </c>
      <c r="V10">
        <v>1</v>
      </c>
      <c r="W10" t="s">
        <v>33</v>
      </c>
      <c r="Y10" t="s">
        <v>33</v>
      </c>
      <c r="Z10" t="s">
        <v>34</v>
      </c>
      <c r="AA10">
        <v>1</v>
      </c>
      <c r="AC10" s="15"/>
    </row>
    <row r="11" spans="1:31" x14ac:dyDescent="0.35">
      <c r="A11" s="13">
        <f t="shared" si="1"/>
        <v>45930</v>
      </c>
      <c r="B11">
        <v>1</v>
      </c>
      <c r="D11" s="14" t="s">
        <v>31</v>
      </c>
      <c r="E11" s="16" t="s">
        <v>41</v>
      </c>
      <c r="F11" s="16" t="s">
        <v>41</v>
      </c>
      <c r="G11" s="17"/>
      <c r="H11" s="84" t="s">
        <v>179</v>
      </c>
      <c r="I11" s="84" t="s">
        <v>178</v>
      </c>
      <c r="J11" s="88"/>
      <c r="K11" s="20">
        <f t="shared" si="2"/>
        <v>9</v>
      </c>
      <c r="M11" s="13">
        <f t="shared" si="3"/>
        <v>46203</v>
      </c>
      <c r="N11" s="13">
        <f t="shared" si="0"/>
        <v>46203</v>
      </c>
      <c r="O11" s="13">
        <f t="shared" si="0"/>
        <v>46203</v>
      </c>
      <c r="P11" s="24">
        <v>1616013248.5374298</v>
      </c>
      <c r="V11">
        <v>1</v>
      </c>
      <c r="W11" t="s">
        <v>33</v>
      </c>
      <c r="Y11" t="s">
        <v>33</v>
      </c>
      <c r="Z11" t="s">
        <v>34</v>
      </c>
      <c r="AA11">
        <v>1</v>
      </c>
      <c r="AC11" s="15"/>
    </row>
    <row r="12" spans="1:31" x14ac:dyDescent="0.35">
      <c r="A12" s="13">
        <f t="shared" si="1"/>
        <v>45930</v>
      </c>
      <c r="B12">
        <v>1</v>
      </c>
      <c r="D12" s="14" t="s">
        <v>31</v>
      </c>
      <c r="E12" s="16" t="s">
        <v>41</v>
      </c>
      <c r="F12" s="16" t="s">
        <v>41</v>
      </c>
      <c r="G12" s="17"/>
      <c r="H12" s="84" t="s">
        <v>179</v>
      </c>
      <c r="I12" s="84" t="s">
        <v>178</v>
      </c>
      <c r="J12" s="88"/>
      <c r="K12" s="20">
        <f t="shared" si="2"/>
        <v>10</v>
      </c>
      <c r="M12" s="13">
        <f t="shared" si="3"/>
        <v>46234</v>
      </c>
      <c r="N12" s="13">
        <f t="shared" si="0"/>
        <v>46234</v>
      </c>
      <c r="O12" s="13">
        <f t="shared" si="0"/>
        <v>46234</v>
      </c>
      <c r="P12" s="24">
        <v>1591158167.679184</v>
      </c>
      <c r="V12">
        <v>1</v>
      </c>
      <c r="W12" t="s">
        <v>33</v>
      </c>
      <c r="Y12" t="s">
        <v>33</v>
      </c>
      <c r="Z12" t="s">
        <v>34</v>
      </c>
      <c r="AA12">
        <v>1</v>
      </c>
      <c r="AC12" s="15"/>
    </row>
    <row r="13" spans="1:31" x14ac:dyDescent="0.35">
      <c r="A13" s="13">
        <f t="shared" si="1"/>
        <v>45930</v>
      </c>
      <c r="B13">
        <v>1</v>
      </c>
      <c r="D13" s="14" t="s">
        <v>31</v>
      </c>
      <c r="E13" s="16" t="s">
        <v>41</v>
      </c>
      <c r="F13" s="16" t="s">
        <v>41</v>
      </c>
      <c r="G13" s="17"/>
      <c r="H13" s="84" t="s">
        <v>179</v>
      </c>
      <c r="I13" s="84" t="s">
        <v>178</v>
      </c>
      <c r="J13" s="88"/>
      <c r="K13" s="20">
        <f t="shared" si="2"/>
        <v>11</v>
      </c>
      <c r="M13" s="13">
        <f t="shared" si="3"/>
        <v>46265</v>
      </c>
      <c r="N13" s="13">
        <f t="shared" si="0"/>
        <v>46265</v>
      </c>
      <c r="O13" s="13">
        <f t="shared" si="0"/>
        <v>46265</v>
      </c>
      <c r="P13" s="24">
        <v>1566685370.2242584</v>
      </c>
      <c r="V13">
        <v>1</v>
      </c>
      <c r="W13" t="s">
        <v>33</v>
      </c>
      <c r="Y13" t="s">
        <v>33</v>
      </c>
      <c r="Z13" t="s">
        <v>34</v>
      </c>
      <c r="AA13">
        <v>1</v>
      </c>
      <c r="AC13" s="15"/>
    </row>
    <row r="14" spans="1:31" x14ac:dyDescent="0.35">
      <c r="A14" s="13">
        <f t="shared" si="1"/>
        <v>45930</v>
      </c>
      <c r="B14">
        <v>1</v>
      </c>
      <c r="D14" s="14" t="s">
        <v>31</v>
      </c>
      <c r="E14" s="16" t="s">
        <v>41</v>
      </c>
      <c r="F14" s="16" t="s">
        <v>41</v>
      </c>
      <c r="G14" s="17"/>
      <c r="H14" s="84" t="s">
        <v>179</v>
      </c>
      <c r="I14" s="84" t="s">
        <v>178</v>
      </c>
      <c r="J14" s="88"/>
      <c r="K14" s="20">
        <f t="shared" si="2"/>
        <v>12</v>
      </c>
      <c r="M14" s="13">
        <f t="shared" si="3"/>
        <v>46295</v>
      </c>
      <c r="N14" s="13">
        <f t="shared" si="0"/>
        <v>46295</v>
      </c>
      <c r="O14" s="13">
        <f t="shared" si="0"/>
        <v>46295</v>
      </c>
      <c r="P14" s="24">
        <v>1542588976.4653778</v>
      </c>
      <c r="V14">
        <v>1</v>
      </c>
      <c r="W14" t="s">
        <v>33</v>
      </c>
      <c r="Y14" t="s">
        <v>33</v>
      </c>
      <c r="Z14" t="s">
        <v>34</v>
      </c>
      <c r="AA14">
        <v>1</v>
      </c>
      <c r="AC14" s="15"/>
    </row>
    <row r="15" spans="1:31" x14ac:dyDescent="0.35">
      <c r="A15" s="13">
        <f t="shared" si="1"/>
        <v>45930</v>
      </c>
      <c r="B15">
        <v>1</v>
      </c>
      <c r="D15" s="14" t="s">
        <v>31</v>
      </c>
      <c r="E15" s="16" t="s">
        <v>41</v>
      </c>
      <c r="F15" s="16" t="s">
        <v>41</v>
      </c>
      <c r="G15" s="17"/>
      <c r="H15" s="84" t="s">
        <v>179</v>
      </c>
      <c r="I15" s="84" t="s">
        <v>178</v>
      </c>
      <c r="J15" s="88"/>
      <c r="K15" s="20">
        <f t="shared" si="2"/>
        <v>13</v>
      </c>
      <c r="M15" s="13">
        <f t="shared" si="3"/>
        <v>46326</v>
      </c>
      <c r="N15" s="13">
        <f t="shared" si="0"/>
        <v>46326</v>
      </c>
      <c r="O15" s="13">
        <f t="shared" si="0"/>
        <v>46326</v>
      </c>
      <c r="P15" s="24">
        <v>1518863197.1279907</v>
      </c>
      <c r="V15">
        <v>1</v>
      </c>
      <c r="W15" t="s">
        <v>33</v>
      </c>
      <c r="Y15" t="s">
        <v>33</v>
      </c>
      <c r="Z15" t="s">
        <v>34</v>
      </c>
      <c r="AA15">
        <v>1</v>
      </c>
      <c r="AC15" s="15"/>
    </row>
    <row r="16" spans="1:31" x14ac:dyDescent="0.35">
      <c r="A16" s="13">
        <f t="shared" si="1"/>
        <v>45930</v>
      </c>
      <c r="B16">
        <v>1</v>
      </c>
      <c r="D16" s="14" t="s">
        <v>31</v>
      </c>
      <c r="E16" s="16" t="s">
        <v>41</v>
      </c>
      <c r="F16" s="16" t="s">
        <v>41</v>
      </c>
      <c r="G16" s="17"/>
      <c r="H16" s="84" t="s">
        <v>179</v>
      </c>
      <c r="I16" s="84" t="s">
        <v>178</v>
      </c>
      <c r="J16" s="88"/>
      <c r="K16" s="20">
        <f t="shared" si="2"/>
        <v>14</v>
      </c>
      <c r="M16" s="13">
        <f t="shared" si="3"/>
        <v>46356</v>
      </c>
      <c r="N16" s="13">
        <f t="shared" si="0"/>
        <v>46356</v>
      </c>
      <c r="O16" s="13">
        <f t="shared" si="0"/>
        <v>46356</v>
      </c>
      <c r="P16" s="24">
        <v>1495502331.9795227</v>
      </c>
      <c r="V16">
        <v>1</v>
      </c>
      <c r="W16" t="s">
        <v>33</v>
      </c>
      <c r="Y16" t="s">
        <v>33</v>
      </c>
      <c r="Z16" t="s">
        <v>34</v>
      </c>
      <c r="AA16">
        <v>1</v>
      </c>
      <c r="AC16" s="15"/>
    </row>
    <row r="17" spans="1:29" x14ac:dyDescent="0.35">
      <c r="A17" s="13">
        <f t="shared" si="1"/>
        <v>45930</v>
      </c>
      <c r="B17">
        <v>1</v>
      </c>
      <c r="D17" s="14" t="s">
        <v>31</v>
      </c>
      <c r="E17" s="16" t="s">
        <v>41</v>
      </c>
      <c r="F17" s="16" t="s">
        <v>41</v>
      </c>
      <c r="G17" s="17"/>
      <c r="H17" s="84" t="s">
        <v>179</v>
      </c>
      <c r="I17" s="84" t="s">
        <v>178</v>
      </c>
      <c r="J17" s="88"/>
      <c r="K17" s="20">
        <f t="shared" si="2"/>
        <v>15</v>
      </c>
      <c r="M17" s="13">
        <f t="shared" si="3"/>
        <v>46387</v>
      </c>
      <c r="N17" s="13">
        <f t="shared" si="0"/>
        <v>46387</v>
      </c>
      <c r="O17" s="13">
        <f t="shared" si="0"/>
        <v>46387</v>
      </c>
      <c r="P17" s="24">
        <v>1472500768.4597473</v>
      </c>
      <c r="V17">
        <v>1</v>
      </c>
      <c r="W17" t="s">
        <v>33</v>
      </c>
      <c r="Y17" t="s">
        <v>33</v>
      </c>
      <c r="Z17" t="s">
        <v>34</v>
      </c>
      <c r="AA17">
        <v>1</v>
      </c>
      <c r="AC17" s="15"/>
    </row>
    <row r="18" spans="1:29" x14ac:dyDescent="0.35">
      <c r="A18" s="13">
        <f t="shared" si="1"/>
        <v>45930</v>
      </c>
      <c r="B18">
        <v>1</v>
      </c>
      <c r="D18" s="14" t="s">
        <v>31</v>
      </c>
      <c r="E18" s="16" t="s">
        <v>41</v>
      </c>
      <c r="F18" s="16" t="s">
        <v>41</v>
      </c>
      <c r="G18" s="17"/>
      <c r="H18" s="84" t="s">
        <v>179</v>
      </c>
      <c r="I18" s="84" t="s">
        <v>178</v>
      </c>
      <c r="J18" s="88"/>
      <c r="K18" s="20">
        <f t="shared" si="2"/>
        <v>16</v>
      </c>
      <c r="M18" s="13">
        <f t="shared" si="3"/>
        <v>46418</v>
      </c>
      <c r="N18" s="13">
        <f t="shared" si="0"/>
        <v>46418</v>
      </c>
      <c r="O18" s="13">
        <f t="shared" si="0"/>
        <v>46418</v>
      </c>
      <c r="P18" s="24">
        <v>1449852980.3323975</v>
      </c>
      <c r="V18">
        <v>1</v>
      </c>
      <c r="W18" t="s">
        <v>33</v>
      </c>
      <c r="Y18" t="s">
        <v>33</v>
      </c>
      <c r="Z18" t="s">
        <v>34</v>
      </c>
      <c r="AA18">
        <v>1</v>
      </c>
      <c r="AC18" s="15"/>
    </row>
    <row r="19" spans="1:29" x14ac:dyDescent="0.35">
      <c r="A19" s="13">
        <f t="shared" si="1"/>
        <v>45930</v>
      </c>
      <c r="B19">
        <v>1</v>
      </c>
      <c r="D19" s="14" t="s">
        <v>31</v>
      </c>
      <c r="E19" s="16" t="s">
        <v>41</v>
      </c>
      <c r="F19" s="16" t="s">
        <v>41</v>
      </c>
      <c r="G19" s="17"/>
      <c r="H19" s="84" t="s">
        <v>179</v>
      </c>
      <c r="I19" s="84" t="s">
        <v>178</v>
      </c>
      <c r="J19" s="88"/>
      <c r="K19" s="20">
        <f t="shared" si="2"/>
        <v>17</v>
      </c>
      <c r="M19" s="13">
        <f t="shared" si="3"/>
        <v>46446</v>
      </c>
      <c r="N19" s="13">
        <f t="shared" si="0"/>
        <v>46446</v>
      </c>
      <c r="O19" s="13">
        <f t="shared" si="0"/>
        <v>46446</v>
      </c>
      <c r="P19" s="24">
        <v>1427553526.3574066</v>
      </c>
      <c r="V19">
        <v>1</v>
      </c>
      <c r="W19" t="s">
        <v>33</v>
      </c>
      <c r="Y19" t="s">
        <v>33</v>
      </c>
      <c r="Z19" t="s">
        <v>34</v>
      </c>
      <c r="AA19">
        <v>1</v>
      </c>
      <c r="AC19" s="15"/>
    </row>
    <row r="20" spans="1:29" x14ac:dyDescent="0.35">
      <c r="A20" s="13">
        <f t="shared" si="1"/>
        <v>45930</v>
      </c>
      <c r="B20">
        <v>1</v>
      </c>
      <c r="D20" s="14" t="s">
        <v>31</v>
      </c>
      <c r="E20" s="16" t="s">
        <v>41</v>
      </c>
      <c r="F20" s="16" t="s">
        <v>41</v>
      </c>
      <c r="G20" s="17"/>
      <c r="H20" s="84" t="s">
        <v>179</v>
      </c>
      <c r="I20" s="84" t="s">
        <v>178</v>
      </c>
      <c r="J20" s="88"/>
      <c r="K20" s="20">
        <f t="shared" si="2"/>
        <v>18</v>
      </c>
      <c r="M20" s="13">
        <f t="shared" si="3"/>
        <v>46477</v>
      </c>
      <c r="N20" s="13">
        <f t="shared" si="0"/>
        <v>46477</v>
      </c>
      <c r="O20" s="13">
        <f t="shared" si="0"/>
        <v>46477</v>
      </c>
      <c r="P20" s="24">
        <v>1405597048.9837189</v>
      </c>
      <c r="V20">
        <v>1</v>
      </c>
      <c r="W20" t="s">
        <v>33</v>
      </c>
      <c r="Y20" t="s">
        <v>33</v>
      </c>
      <c r="Z20" t="s">
        <v>34</v>
      </c>
      <c r="AA20">
        <v>1</v>
      </c>
    </row>
    <row r="21" spans="1:29" x14ac:dyDescent="0.35">
      <c r="A21" s="13">
        <f t="shared" si="1"/>
        <v>45930</v>
      </c>
      <c r="B21">
        <v>1</v>
      </c>
      <c r="D21" s="14" t="s">
        <v>31</v>
      </c>
      <c r="E21" s="16" t="s">
        <v>41</v>
      </c>
      <c r="F21" s="16" t="s">
        <v>41</v>
      </c>
      <c r="G21" s="17"/>
      <c r="H21" s="84" t="s">
        <v>179</v>
      </c>
      <c r="I21" s="84" t="s">
        <v>178</v>
      </c>
      <c r="J21" s="88"/>
      <c r="K21" s="20">
        <f t="shared" si="2"/>
        <v>19</v>
      </c>
      <c r="M21" s="13">
        <f t="shared" si="3"/>
        <v>46507</v>
      </c>
      <c r="N21" s="13">
        <f t="shared" si="0"/>
        <v>46507</v>
      </c>
      <c r="O21" s="13">
        <f t="shared" si="0"/>
        <v>46507</v>
      </c>
      <c r="P21" s="24">
        <v>1383978273.0620575</v>
      </c>
      <c r="V21">
        <v>1</v>
      </c>
      <c r="W21" t="s">
        <v>33</v>
      </c>
      <c r="Y21" t="s">
        <v>33</v>
      </c>
      <c r="Z21" t="s">
        <v>34</v>
      </c>
      <c r="AA21">
        <v>1</v>
      </c>
    </row>
    <row r="22" spans="1:29" x14ac:dyDescent="0.35">
      <c r="A22" s="13">
        <f t="shared" si="1"/>
        <v>45930</v>
      </c>
      <c r="B22">
        <v>1</v>
      </c>
      <c r="D22" s="14" t="s">
        <v>31</v>
      </c>
      <c r="E22" s="16" t="s">
        <v>41</v>
      </c>
      <c r="F22" s="16" t="s">
        <v>41</v>
      </c>
      <c r="G22" s="17"/>
      <c r="H22" s="84" t="s">
        <v>179</v>
      </c>
      <c r="I22" s="84" t="s">
        <v>178</v>
      </c>
      <c r="J22" s="88"/>
      <c r="K22" s="20">
        <f t="shared" si="2"/>
        <v>20</v>
      </c>
      <c r="M22" s="13">
        <f t="shared" si="3"/>
        <v>46538</v>
      </c>
      <c r="N22" s="13">
        <f t="shared" si="0"/>
        <v>46538</v>
      </c>
      <c r="O22" s="13">
        <f t="shared" si="0"/>
        <v>46538</v>
      </c>
      <c r="P22" s="24">
        <v>1362692004.5774536</v>
      </c>
      <c r="V22">
        <v>1</v>
      </c>
      <c r="W22" t="s">
        <v>33</v>
      </c>
      <c r="Y22" t="s">
        <v>33</v>
      </c>
      <c r="Z22" t="s">
        <v>34</v>
      </c>
      <c r="AA22">
        <v>1</v>
      </c>
    </row>
    <row r="23" spans="1:29" x14ac:dyDescent="0.35">
      <c r="A23" s="13">
        <f t="shared" si="1"/>
        <v>45930</v>
      </c>
      <c r="B23">
        <v>1</v>
      </c>
      <c r="D23" s="14" t="s">
        <v>31</v>
      </c>
      <c r="E23" s="16" t="s">
        <v>41</v>
      </c>
      <c r="F23" s="16" t="s">
        <v>41</v>
      </c>
      <c r="G23" s="17"/>
      <c r="H23" s="84" t="s">
        <v>179</v>
      </c>
      <c r="I23" s="84" t="s">
        <v>178</v>
      </c>
      <c r="J23" s="88"/>
      <c r="K23" s="20">
        <f t="shared" si="2"/>
        <v>21</v>
      </c>
      <c r="M23" s="13">
        <f t="shared" si="3"/>
        <v>46568</v>
      </c>
      <c r="N23" s="13">
        <f t="shared" si="0"/>
        <v>46568</v>
      </c>
      <c r="O23" s="13">
        <f t="shared" si="0"/>
        <v>46568</v>
      </c>
      <c r="P23" s="24">
        <v>1341733129.4015961</v>
      </c>
      <c r="V23">
        <v>1</v>
      </c>
      <c r="W23" t="s">
        <v>33</v>
      </c>
      <c r="Y23" t="s">
        <v>33</v>
      </c>
      <c r="Z23" t="s">
        <v>34</v>
      </c>
      <c r="AA23">
        <v>1</v>
      </c>
    </row>
    <row r="24" spans="1:29" x14ac:dyDescent="0.35">
      <c r="A24" s="13">
        <f t="shared" si="1"/>
        <v>45930</v>
      </c>
      <c r="B24">
        <v>1</v>
      </c>
      <c r="D24" s="14" t="s">
        <v>31</v>
      </c>
      <c r="E24" s="16" t="s">
        <v>41</v>
      </c>
      <c r="F24" s="16" t="s">
        <v>41</v>
      </c>
      <c r="G24" s="17"/>
      <c r="H24" s="84" t="s">
        <v>179</v>
      </c>
      <c r="I24" s="84" t="s">
        <v>178</v>
      </c>
      <c r="J24" s="88"/>
      <c r="K24" s="20">
        <f t="shared" si="2"/>
        <v>22</v>
      </c>
      <c r="M24" s="13">
        <f t="shared" si="3"/>
        <v>46599</v>
      </c>
      <c r="N24" s="13">
        <f t="shared" si="0"/>
        <v>46599</v>
      </c>
      <c r="O24" s="13">
        <f t="shared" si="0"/>
        <v>46599</v>
      </c>
      <c r="P24" s="24">
        <v>1321096612.063858</v>
      </c>
      <c r="V24">
        <v>1</v>
      </c>
      <c r="W24" t="s">
        <v>33</v>
      </c>
      <c r="Y24" t="s">
        <v>33</v>
      </c>
      <c r="Z24" t="s">
        <v>34</v>
      </c>
      <c r="AA24">
        <v>1</v>
      </c>
    </row>
    <row r="25" spans="1:29" x14ac:dyDescent="0.35">
      <c r="A25" s="13">
        <f t="shared" si="1"/>
        <v>45930</v>
      </c>
      <c r="B25">
        <v>1</v>
      </c>
      <c r="D25" s="14" t="s">
        <v>31</v>
      </c>
      <c r="E25" s="16" t="s">
        <v>41</v>
      </c>
      <c r="F25" s="16" t="s">
        <v>41</v>
      </c>
      <c r="G25" s="17"/>
      <c r="H25" s="84" t="s">
        <v>179</v>
      </c>
      <c r="I25" s="84" t="s">
        <v>178</v>
      </c>
      <c r="J25" s="88"/>
      <c r="K25" s="20">
        <f t="shared" si="2"/>
        <v>23</v>
      </c>
      <c r="M25" s="13">
        <f t="shared" si="3"/>
        <v>46630</v>
      </c>
      <c r="N25" s="13">
        <f t="shared" si="0"/>
        <v>46630</v>
      </c>
      <c r="O25" s="13">
        <f t="shared" si="0"/>
        <v>46630</v>
      </c>
      <c r="P25" s="24">
        <v>1300777494.5417023</v>
      </c>
      <c r="V25">
        <v>1</v>
      </c>
      <c r="W25" t="s">
        <v>33</v>
      </c>
      <c r="Y25" t="s">
        <v>33</v>
      </c>
      <c r="Z25" t="s">
        <v>34</v>
      </c>
      <c r="AA25">
        <v>1</v>
      </c>
    </row>
    <row r="26" spans="1:29" x14ac:dyDescent="0.35">
      <c r="A26" s="13">
        <f t="shared" si="1"/>
        <v>45930</v>
      </c>
      <c r="B26">
        <v>1</v>
      </c>
      <c r="D26" s="14" t="s">
        <v>31</v>
      </c>
      <c r="E26" s="16" t="s">
        <v>41</v>
      </c>
      <c r="F26" s="16" t="s">
        <v>41</v>
      </c>
      <c r="G26" s="17"/>
      <c r="H26" s="84" t="s">
        <v>179</v>
      </c>
      <c r="I26" s="84" t="s">
        <v>178</v>
      </c>
      <c r="J26" s="88"/>
      <c r="K26" s="20">
        <f t="shared" si="2"/>
        <v>24</v>
      </c>
      <c r="M26" s="13">
        <f t="shared" si="3"/>
        <v>46660</v>
      </c>
      <c r="N26" s="13">
        <f t="shared" si="0"/>
        <v>46660</v>
      </c>
      <c r="O26" s="13">
        <f t="shared" si="0"/>
        <v>46660</v>
      </c>
      <c r="P26" s="24">
        <v>1280770895.0694122</v>
      </c>
      <c r="V26">
        <v>1</v>
      </c>
      <c r="W26" t="s">
        <v>33</v>
      </c>
      <c r="Y26" t="s">
        <v>33</v>
      </c>
      <c r="Z26" t="s">
        <v>34</v>
      </c>
      <c r="AA26">
        <v>1</v>
      </c>
    </row>
    <row r="27" spans="1:29" x14ac:dyDescent="0.35">
      <c r="A27" s="13">
        <f t="shared" si="1"/>
        <v>45930</v>
      </c>
      <c r="B27">
        <v>1</v>
      </c>
      <c r="D27" s="14" t="s">
        <v>31</v>
      </c>
      <c r="E27" s="16" t="s">
        <v>41</v>
      </c>
      <c r="F27" s="16" t="s">
        <v>41</v>
      </c>
      <c r="G27" s="17"/>
      <c r="H27" s="84" t="s">
        <v>179</v>
      </c>
      <c r="I27" s="84" t="s">
        <v>178</v>
      </c>
      <c r="J27" s="88"/>
      <c r="K27" s="20">
        <f t="shared" si="2"/>
        <v>25</v>
      </c>
      <c r="M27" s="13">
        <f t="shared" si="3"/>
        <v>46691</v>
      </c>
      <c r="N27" s="13">
        <f t="shared" si="0"/>
        <v>46691</v>
      </c>
      <c r="O27" s="13">
        <f t="shared" si="0"/>
        <v>46691</v>
      </c>
      <c r="P27" s="24">
        <v>1261072006.96521</v>
      </c>
      <c r="V27">
        <v>1</v>
      </c>
      <c r="W27" t="s">
        <v>33</v>
      </c>
      <c r="Y27" t="s">
        <v>33</v>
      </c>
      <c r="Z27" t="s">
        <v>34</v>
      </c>
      <c r="AA27">
        <v>1</v>
      </c>
    </row>
    <row r="28" spans="1:29" x14ac:dyDescent="0.35">
      <c r="A28" s="13">
        <f t="shared" si="1"/>
        <v>45930</v>
      </c>
      <c r="B28">
        <v>1</v>
      </c>
      <c r="D28" s="14" t="s">
        <v>31</v>
      </c>
      <c r="E28" s="16" t="s">
        <v>41</v>
      </c>
      <c r="F28" s="16" t="s">
        <v>41</v>
      </c>
      <c r="G28" s="17"/>
      <c r="H28" s="84" t="s">
        <v>179</v>
      </c>
      <c r="I28" s="84" t="s">
        <v>178</v>
      </c>
      <c r="J28" s="88"/>
      <c r="K28" s="20">
        <f t="shared" si="2"/>
        <v>26</v>
      </c>
      <c r="M28" s="13">
        <f t="shared" si="3"/>
        <v>46721</v>
      </c>
      <c r="N28" s="13">
        <f t="shared" si="0"/>
        <v>46721</v>
      </c>
      <c r="O28" s="13">
        <f t="shared" si="0"/>
        <v>46721</v>
      </c>
      <c r="P28" s="24">
        <v>1241676097.4765167</v>
      </c>
      <c r="V28">
        <v>1</v>
      </c>
      <c r="W28" t="s">
        <v>33</v>
      </c>
      <c r="Y28" t="s">
        <v>33</v>
      </c>
      <c r="Z28" t="s">
        <v>34</v>
      </c>
      <c r="AA28">
        <v>1</v>
      </c>
    </row>
    <row r="29" spans="1:29" x14ac:dyDescent="0.35">
      <c r="A29" s="13">
        <f t="shared" si="1"/>
        <v>45930</v>
      </c>
      <c r="B29">
        <v>1</v>
      </c>
      <c r="D29" s="14" t="s">
        <v>31</v>
      </c>
      <c r="E29" s="16" t="s">
        <v>41</v>
      </c>
      <c r="F29" s="16" t="s">
        <v>41</v>
      </c>
      <c r="G29" s="17"/>
      <c r="H29" s="84" t="s">
        <v>179</v>
      </c>
      <c r="I29" s="84" t="s">
        <v>178</v>
      </c>
      <c r="J29" s="88"/>
      <c r="K29" s="20">
        <f t="shared" si="2"/>
        <v>27</v>
      </c>
      <c r="M29" s="13">
        <f t="shared" si="3"/>
        <v>46752</v>
      </c>
      <c r="N29" s="13">
        <f t="shared" si="0"/>
        <v>46752</v>
      </c>
      <c r="O29" s="13">
        <f t="shared" si="0"/>
        <v>46752</v>
      </c>
      <c r="P29" s="24">
        <v>1222578506.6427155</v>
      </c>
      <c r="V29">
        <v>1</v>
      </c>
      <c r="W29" t="s">
        <v>33</v>
      </c>
      <c r="Y29" t="s">
        <v>33</v>
      </c>
      <c r="Z29" t="s">
        <v>34</v>
      </c>
      <c r="AA29">
        <v>1</v>
      </c>
    </row>
    <row r="30" spans="1:29" x14ac:dyDescent="0.35">
      <c r="A30" s="13">
        <f t="shared" si="1"/>
        <v>45930</v>
      </c>
      <c r="B30">
        <v>1</v>
      </c>
      <c r="D30" s="14" t="s">
        <v>31</v>
      </c>
      <c r="E30" s="16" t="s">
        <v>41</v>
      </c>
      <c r="F30" s="16" t="s">
        <v>41</v>
      </c>
      <c r="G30" s="17"/>
      <c r="H30" s="84" t="s">
        <v>179</v>
      </c>
      <c r="I30" s="84" t="s">
        <v>178</v>
      </c>
      <c r="J30" s="88"/>
      <c r="K30" s="20">
        <f t="shared" si="2"/>
        <v>28</v>
      </c>
      <c r="M30" s="13">
        <f t="shared" si="3"/>
        <v>46783</v>
      </c>
      <c r="N30" s="13">
        <f t="shared" si="0"/>
        <v>46783</v>
      </c>
      <c r="O30" s="13">
        <f t="shared" si="0"/>
        <v>46783</v>
      </c>
      <c r="P30" s="24">
        <v>1203774646.1758575</v>
      </c>
      <c r="V30">
        <v>1</v>
      </c>
      <c r="W30" t="s">
        <v>33</v>
      </c>
      <c r="Y30" t="s">
        <v>33</v>
      </c>
      <c r="Z30" t="s">
        <v>34</v>
      </c>
      <c r="AA30">
        <v>1</v>
      </c>
    </row>
    <row r="31" spans="1:29" x14ac:dyDescent="0.35">
      <c r="A31" s="13">
        <f t="shared" si="1"/>
        <v>45930</v>
      </c>
      <c r="B31">
        <v>1</v>
      </c>
      <c r="D31" s="14" t="s">
        <v>31</v>
      </c>
      <c r="E31" s="16" t="s">
        <v>41</v>
      </c>
      <c r="F31" s="16" t="s">
        <v>41</v>
      </c>
      <c r="G31" s="17"/>
      <c r="H31" s="84" t="s">
        <v>179</v>
      </c>
      <c r="I31" s="84" t="s">
        <v>178</v>
      </c>
      <c r="J31" s="88"/>
      <c r="K31" s="20">
        <f t="shared" si="2"/>
        <v>29</v>
      </c>
      <c r="M31" s="13">
        <f t="shared" si="3"/>
        <v>46812</v>
      </c>
      <c r="N31" s="13">
        <f t="shared" si="0"/>
        <v>46812</v>
      </c>
      <c r="O31" s="13">
        <f t="shared" si="0"/>
        <v>46812</v>
      </c>
      <c r="P31" s="24">
        <v>1185259998.3578949</v>
      </c>
      <c r="V31">
        <v>1</v>
      </c>
      <c r="W31" t="s">
        <v>33</v>
      </c>
      <c r="Y31" t="s">
        <v>33</v>
      </c>
      <c r="Z31" t="s">
        <v>34</v>
      </c>
      <c r="AA31">
        <v>1</v>
      </c>
    </row>
    <row r="32" spans="1:29" x14ac:dyDescent="0.35">
      <c r="A32" s="13">
        <f t="shared" si="1"/>
        <v>45930</v>
      </c>
      <c r="B32">
        <v>1</v>
      </c>
      <c r="D32" s="14" t="s">
        <v>31</v>
      </c>
      <c r="E32" s="16" t="s">
        <v>41</v>
      </c>
      <c r="F32" s="16" t="s">
        <v>41</v>
      </c>
      <c r="G32" s="17"/>
      <c r="H32" s="84" t="s">
        <v>179</v>
      </c>
      <c r="I32" s="84" t="s">
        <v>178</v>
      </c>
      <c r="J32" s="88"/>
      <c r="K32" s="20">
        <f t="shared" si="2"/>
        <v>30</v>
      </c>
      <c r="M32" s="13">
        <f t="shared" si="3"/>
        <v>46843</v>
      </c>
      <c r="N32" s="13">
        <f t="shared" si="0"/>
        <v>46843</v>
      </c>
      <c r="O32" s="13">
        <f t="shared" si="0"/>
        <v>46843</v>
      </c>
      <c r="P32" s="24">
        <v>1167030114.9557037</v>
      </c>
      <c r="V32">
        <v>1</v>
      </c>
      <c r="W32" t="s">
        <v>33</v>
      </c>
      <c r="Y32" t="s">
        <v>33</v>
      </c>
      <c r="Z32" t="s">
        <v>34</v>
      </c>
      <c r="AA32">
        <v>1</v>
      </c>
    </row>
    <row r="33" spans="1:27" x14ac:dyDescent="0.35">
      <c r="A33" s="13">
        <f t="shared" si="1"/>
        <v>45930</v>
      </c>
      <c r="B33">
        <v>1</v>
      </c>
      <c r="D33" s="14" t="s">
        <v>31</v>
      </c>
      <c r="E33" s="16" t="s">
        <v>41</v>
      </c>
      <c r="F33" s="16" t="s">
        <v>41</v>
      </c>
      <c r="G33" s="17"/>
      <c r="H33" s="84" t="s">
        <v>179</v>
      </c>
      <c r="I33" s="84" t="s">
        <v>178</v>
      </c>
      <c r="J33" s="88"/>
      <c r="K33" s="20">
        <f t="shared" si="2"/>
        <v>31</v>
      </c>
      <c r="M33" s="13">
        <f t="shared" si="3"/>
        <v>46873</v>
      </c>
      <c r="N33" s="13">
        <f t="shared" si="0"/>
        <v>46873</v>
      </c>
      <c r="O33" s="13">
        <f t="shared" si="0"/>
        <v>46873</v>
      </c>
      <c r="P33" s="24">
        <v>1149080616.1521149</v>
      </c>
      <c r="V33">
        <v>1</v>
      </c>
      <c r="W33" t="s">
        <v>33</v>
      </c>
      <c r="Y33" t="s">
        <v>33</v>
      </c>
      <c r="Z33" t="s">
        <v>34</v>
      </c>
      <c r="AA33">
        <v>1</v>
      </c>
    </row>
    <row r="34" spans="1:27" x14ac:dyDescent="0.35">
      <c r="A34" s="13">
        <f t="shared" si="1"/>
        <v>45930</v>
      </c>
      <c r="B34">
        <v>1</v>
      </c>
      <c r="D34" s="14" t="s">
        <v>31</v>
      </c>
      <c r="E34" s="16" t="s">
        <v>41</v>
      </c>
      <c r="F34" s="16" t="s">
        <v>41</v>
      </c>
      <c r="G34" s="17"/>
      <c r="H34" s="84" t="s">
        <v>179</v>
      </c>
      <c r="I34" s="84" t="s">
        <v>178</v>
      </c>
      <c r="J34" s="88"/>
      <c r="K34" s="20">
        <f t="shared" si="2"/>
        <v>32</v>
      </c>
      <c r="M34" s="13">
        <f t="shared" si="3"/>
        <v>46904</v>
      </c>
      <c r="N34" s="13">
        <f t="shared" si="0"/>
        <v>46904</v>
      </c>
      <c r="O34" s="13">
        <f t="shared" si="0"/>
        <v>46904</v>
      </c>
      <c r="P34" s="24">
        <v>1131407189.4936676</v>
      </c>
      <c r="V34">
        <v>1</v>
      </c>
      <c r="W34" t="s">
        <v>33</v>
      </c>
      <c r="Y34" t="s">
        <v>33</v>
      </c>
      <c r="Z34" t="s">
        <v>34</v>
      </c>
      <c r="AA34">
        <v>1</v>
      </c>
    </row>
    <row r="35" spans="1:27" x14ac:dyDescent="0.35">
      <c r="A35" s="13">
        <f t="shared" si="1"/>
        <v>45930</v>
      </c>
      <c r="B35">
        <v>1</v>
      </c>
      <c r="D35" s="14" t="s">
        <v>31</v>
      </c>
      <c r="E35" s="16" t="s">
        <v>41</v>
      </c>
      <c r="F35" s="16" t="s">
        <v>41</v>
      </c>
      <c r="G35" s="17"/>
      <c r="H35" s="84" t="s">
        <v>179</v>
      </c>
      <c r="I35" s="84" t="s">
        <v>178</v>
      </c>
      <c r="J35" s="88"/>
      <c r="K35" s="20">
        <f t="shared" si="2"/>
        <v>33</v>
      </c>
      <c r="M35" s="13">
        <f t="shared" si="3"/>
        <v>46934</v>
      </c>
      <c r="N35" s="13">
        <f t="shared" si="0"/>
        <v>46934</v>
      </c>
      <c r="O35" s="13">
        <f t="shared" si="0"/>
        <v>46934</v>
      </c>
      <c r="P35" s="24">
        <v>1114005588.8546295</v>
      </c>
      <c r="V35">
        <v>1</v>
      </c>
      <c r="W35" t="s">
        <v>33</v>
      </c>
      <c r="Y35" t="s">
        <v>33</v>
      </c>
      <c r="Z35" t="s">
        <v>34</v>
      </c>
      <c r="AA35">
        <v>1</v>
      </c>
    </row>
    <row r="36" spans="1:27" x14ac:dyDescent="0.35">
      <c r="A36" s="13">
        <f t="shared" si="1"/>
        <v>45930</v>
      </c>
      <c r="B36">
        <v>1</v>
      </c>
      <c r="D36" s="14" t="s">
        <v>31</v>
      </c>
      <c r="E36" s="16" t="s">
        <v>41</v>
      </c>
      <c r="F36" s="16" t="s">
        <v>41</v>
      </c>
      <c r="G36" s="17"/>
      <c r="H36" s="84" t="s">
        <v>179</v>
      </c>
      <c r="I36" s="84" t="s">
        <v>178</v>
      </c>
      <c r="J36" s="88"/>
      <c r="K36" s="20">
        <f t="shared" si="2"/>
        <v>34</v>
      </c>
      <c r="M36" s="13">
        <f t="shared" si="3"/>
        <v>46965</v>
      </c>
      <c r="N36" s="13">
        <f t="shared" si="0"/>
        <v>46965</v>
      </c>
      <c r="O36" s="13">
        <f t="shared" si="0"/>
        <v>46965</v>
      </c>
      <c r="P36" s="24">
        <v>1096871633.4167175</v>
      </c>
      <c r="V36">
        <v>1</v>
      </c>
      <c r="W36" t="s">
        <v>33</v>
      </c>
      <c r="Y36" t="s">
        <v>33</v>
      </c>
      <c r="Z36" t="s">
        <v>34</v>
      </c>
      <c r="AA36">
        <v>1</v>
      </c>
    </row>
    <row r="37" spans="1:27" x14ac:dyDescent="0.35">
      <c r="A37" s="13">
        <f t="shared" si="1"/>
        <v>45930</v>
      </c>
      <c r="B37">
        <v>1</v>
      </c>
      <c r="D37" s="14" t="s">
        <v>31</v>
      </c>
      <c r="E37" s="16" t="s">
        <v>41</v>
      </c>
      <c r="F37" s="16" t="s">
        <v>41</v>
      </c>
      <c r="G37" s="17"/>
      <c r="H37" s="84" t="s">
        <v>179</v>
      </c>
      <c r="I37" s="84" t="s">
        <v>178</v>
      </c>
      <c r="J37" s="88"/>
      <c r="K37" s="20">
        <f t="shared" si="2"/>
        <v>35</v>
      </c>
      <c r="M37" s="13">
        <f t="shared" si="3"/>
        <v>46996</v>
      </c>
      <c r="N37" s="13">
        <f t="shared" ref="N37:N100" si="4">M37</f>
        <v>46996</v>
      </c>
      <c r="O37" s="13">
        <f t="shared" ref="O37:O100" si="5">N37</f>
        <v>46996</v>
      </c>
      <c r="P37" s="24">
        <v>1080001206.6647186</v>
      </c>
      <c r="V37">
        <v>1</v>
      </c>
      <c r="W37" t="s">
        <v>33</v>
      </c>
      <c r="Y37" t="s">
        <v>33</v>
      </c>
      <c r="Z37" t="s">
        <v>34</v>
      </c>
      <c r="AA37">
        <v>1</v>
      </c>
    </row>
    <row r="38" spans="1:27" x14ac:dyDescent="0.35">
      <c r="A38" s="13">
        <f t="shared" si="1"/>
        <v>45930</v>
      </c>
      <c r="B38">
        <v>1</v>
      </c>
      <c r="D38" s="14" t="s">
        <v>31</v>
      </c>
      <c r="E38" s="16" t="s">
        <v>41</v>
      </c>
      <c r="F38" s="16" t="s">
        <v>41</v>
      </c>
      <c r="G38" s="17"/>
      <c r="H38" s="84" t="s">
        <v>179</v>
      </c>
      <c r="I38" s="84" t="s">
        <v>178</v>
      </c>
      <c r="J38" s="88"/>
      <c r="K38" s="20">
        <f t="shared" si="2"/>
        <v>36</v>
      </c>
      <c r="M38" s="13">
        <f t="shared" si="3"/>
        <v>47026</v>
      </c>
      <c r="N38" s="13">
        <f t="shared" si="4"/>
        <v>47026</v>
      </c>
      <c r="O38" s="13">
        <f t="shared" si="5"/>
        <v>47026</v>
      </c>
      <c r="P38" s="24">
        <v>1063390255.3975143</v>
      </c>
      <c r="V38">
        <v>1</v>
      </c>
      <c r="W38" t="s">
        <v>33</v>
      </c>
      <c r="Y38" t="s">
        <v>33</v>
      </c>
      <c r="Z38" t="s">
        <v>34</v>
      </c>
      <c r="AA38">
        <v>1</v>
      </c>
    </row>
    <row r="39" spans="1:27" x14ac:dyDescent="0.35">
      <c r="A39" s="13">
        <f t="shared" si="1"/>
        <v>45930</v>
      </c>
      <c r="B39">
        <v>1</v>
      </c>
      <c r="D39" s="14" t="s">
        <v>31</v>
      </c>
      <c r="E39" s="16" t="s">
        <v>41</v>
      </c>
      <c r="F39" s="16" t="s">
        <v>41</v>
      </c>
      <c r="G39" s="17"/>
      <c r="H39" s="84" t="s">
        <v>179</v>
      </c>
      <c r="I39" s="84" t="s">
        <v>178</v>
      </c>
      <c r="J39" s="88"/>
      <c r="K39" s="20">
        <f t="shared" si="2"/>
        <v>37</v>
      </c>
      <c r="M39" s="13">
        <f t="shared" si="3"/>
        <v>47057</v>
      </c>
      <c r="N39" s="13">
        <f t="shared" si="4"/>
        <v>47057</v>
      </c>
      <c r="O39" s="13">
        <f t="shared" si="5"/>
        <v>47057</v>
      </c>
      <c r="P39" s="24">
        <v>1047034788.7540741</v>
      </c>
      <c r="V39">
        <v>1</v>
      </c>
      <c r="W39" t="s">
        <v>33</v>
      </c>
      <c r="Y39" t="s">
        <v>33</v>
      </c>
      <c r="Z39" t="s">
        <v>34</v>
      </c>
      <c r="AA39">
        <v>1</v>
      </c>
    </row>
    <row r="40" spans="1:27" x14ac:dyDescent="0.35">
      <c r="A40" s="13">
        <f t="shared" si="1"/>
        <v>45930</v>
      </c>
      <c r="B40">
        <v>1</v>
      </c>
      <c r="D40" s="14" t="s">
        <v>31</v>
      </c>
      <c r="E40" s="16" t="s">
        <v>41</v>
      </c>
      <c r="F40" s="16" t="s">
        <v>41</v>
      </c>
      <c r="G40" s="17"/>
      <c r="H40" s="84" t="s">
        <v>179</v>
      </c>
      <c r="I40" s="84" t="s">
        <v>178</v>
      </c>
      <c r="J40" s="88"/>
      <c r="K40" s="20">
        <f t="shared" si="2"/>
        <v>38</v>
      </c>
      <c r="M40" s="13">
        <f t="shared" si="3"/>
        <v>47087</v>
      </c>
      <c r="N40" s="13">
        <f t="shared" si="4"/>
        <v>47087</v>
      </c>
      <c r="O40" s="13">
        <f t="shared" si="5"/>
        <v>47087</v>
      </c>
      <c r="P40" s="24">
        <v>1030930877.2549591</v>
      </c>
      <c r="V40">
        <v>1</v>
      </c>
      <c r="W40" t="s">
        <v>33</v>
      </c>
      <c r="Y40" t="s">
        <v>33</v>
      </c>
      <c r="Z40" t="s">
        <v>34</v>
      </c>
      <c r="AA40">
        <v>1</v>
      </c>
    </row>
    <row r="41" spans="1:27" x14ac:dyDescent="0.35">
      <c r="A41" s="13">
        <f t="shared" si="1"/>
        <v>45930</v>
      </c>
      <c r="B41">
        <v>1</v>
      </c>
      <c r="D41" s="14" t="s">
        <v>31</v>
      </c>
      <c r="E41" s="16" t="s">
        <v>41</v>
      </c>
      <c r="F41" s="16" t="s">
        <v>41</v>
      </c>
      <c r="G41" s="17"/>
      <c r="H41" s="84" t="s">
        <v>179</v>
      </c>
      <c r="I41" s="84" t="s">
        <v>178</v>
      </c>
      <c r="J41" s="88"/>
      <c r="K41" s="20">
        <f t="shared" si="2"/>
        <v>39</v>
      </c>
      <c r="M41" s="13">
        <f t="shared" si="3"/>
        <v>47118</v>
      </c>
      <c r="N41" s="13">
        <f t="shared" si="4"/>
        <v>47118</v>
      </c>
      <c r="O41" s="13">
        <f t="shared" si="5"/>
        <v>47118</v>
      </c>
      <c r="P41" s="24">
        <v>1015074651.8579102</v>
      </c>
      <c r="V41">
        <v>1</v>
      </c>
      <c r="W41" t="s">
        <v>33</v>
      </c>
      <c r="Y41" t="s">
        <v>33</v>
      </c>
      <c r="Z41" t="s">
        <v>34</v>
      </c>
      <c r="AA41">
        <v>1</v>
      </c>
    </row>
    <row r="42" spans="1:27" x14ac:dyDescent="0.35">
      <c r="A42" s="13">
        <f t="shared" si="1"/>
        <v>45930</v>
      </c>
      <c r="B42">
        <v>1</v>
      </c>
      <c r="D42" s="14" t="s">
        <v>31</v>
      </c>
      <c r="E42" s="16" t="s">
        <v>41</v>
      </c>
      <c r="F42" s="16" t="s">
        <v>41</v>
      </c>
      <c r="G42" s="17"/>
      <c r="H42" s="84" t="s">
        <v>179</v>
      </c>
      <c r="I42" s="84" t="s">
        <v>178</v>
      </c>
      <c r="J42" s="88"/>
      <c r="K42" s="20">
        <f t="shared" si="2"/>
        <v>40</v>
      </c>
      <c r="M42" s="13">
        <f t="shared" si="3"/>
        <v>47149</v>
      </c>
      <c r="N42" s="13">
        <f t="shared" si="4"/>
        <v>47149</v>
      </c>
      <c r="O42" s="13">
        <f t="shared" si="5"/>
        <v>47149</v>
      </c>
      <c r="P42" s="24">
        <v>999462303.02851868</v>
      </c>
      <c r="V42">
        <v>1</v>
      </c>
      <c r="W42" t="s">
        <v>33</v>
      </c>
      <c r="Y42" t="s">
        <v>33</v>
      </c>
      <c r="Z42" t="s">
        <v>34</v>
      </c>
      <c r="AA42">
        <v>1</v>
      </c>
    </row>
    <row r="43" spans="1:27" x14ac:dyDescent="0.35">
      <c r="A43" s="13">
        <f t="shared" si="1"/>
        <v>45930</v>
      </c>
      <c r="B43">
        <v>1</v>
      </c>
      <c r="D43" s="14" t="s">
        <v>31</v>
      </c>
      <c r="E43" s="16" t="s">
        <v>41</v>
      </c>
      <c r="F43" s="16" t="s">
        <v>41</v>
      </c>
      <c r="G43" s="17"/>
      <c r="H43" s="84" t="s">
        <v>179</v>
      </c>
      <c r="I43" s="84" t="s">
        <v>178</v>
      </c>
      <c r="J43" s="88"/>
      <c r="K43" s="20">
        <f t="shared" si="2"/>
        <v>41</v>
      </c>
      <c r="M43" s="13">
        <f t="shared" si="3"/>
        <v>47177</v>
      </c>
      <c r="N43" s="13">
        <f t="shared" si="4"/>
        <v>47177</v>
      </c>
      <c r="O43" s="13">
        <f t="shared" si="5"/>
        <v>47177</v>
      </c>
      <c r="P43" s="24">
        <v>984090079.82489014</v>
      </c>
      <c r="V43">
        <v>1</v>
      </c>
      <c r="W43" t="s">
        <v>33</v>
      </c>
      <c r="Y43" t="s">
        <v>33</v>
      </c>
      <c r="Z43" t="s">
        <v>34</v>
      </c>
      <c r="AA43">
        <v>1</v>
      </c>
    </row>
    <row r="44" spans="1:27" x14ac:dyDescent="0.35">
      <c r="A44" s="13">
        <f t="shared" si="1"/>
        <v>45930</v>
      </c>
      <c r="B44">
        <v>1</v>
      </c>
      <c r="D44" s="14" t="s">
        <v>31</v>
      </c>
      <c r="E44" s="16" t="s">
        <v>41</v>
      </c>
      <c r="F44" s="16" t="s">
        <v>41</v>
      </c>
      <c r="G44" s="17"/>
      <c r="H44" s="84" t="s">
        <v>179</v>
      </c>
      <c r="I44" s="84" t="s">
        <v>178</v>
      </c>
      <c r="J44" s="88"/>
      <c r="K44" s="20">
        <f t="shared" si="2"/>
        <v>42</v>
      </c>
      <c r="M44" s="13">
        <f t="shared" si="3"/>
        <v>47208</v>
      </c>
      <c r="N44" s="13">
        <f t="shared" si="4"/>
        <v>47208</v>
      </c>
      <c r="O44" s="13">
        <f t="shared" si="5"/>
        <v>47208</v>
      </c>
      <c r="P44" s="24">
        <v>968954288.99645996</v>
      </c>
      <c r="V44">
        <v>1</v>
      </c>
      <c r="W44" t="s">
        <v>33</v>
      </c>
      <c r="Y44" t="s">
        <v>33</v>
      </c>
      <c r="Z44" t="s">
        <v>34</v>
      </c>
      <c r="AA44">
        <v>1</v>
      </c>
    </row>
    <row r="45" spans="1:27" x14ac:dyDescent="0.35">
      <c r="A45" s="13">
        <f t="shared" si="1"/>
        <v>45930</v>
      </c>
      <c r="B45">
        <v>1</v>
      </c>
      <c r="D45" s="14" t="s">
        <v>31</v>
      </c>
      <c r="E45" s="16" t="s">
        <v>41</v>
      </c>
      <c r="F45" s="16" t="s">
        <v>41</v>
      </c>
      <c r="G45" s="17"/>
      <c r="H45" s="84" t="s">
        <v>179</v>
      </c>
      <c r="I45" s="84" t="s">
        <v>178</v>
      </c>
      <c r="J45" s="88"/>
      <c r="K45" s="20">
        <f t="shared" si="2"/>
        <v>43</v>
      </c>
      <c r="M45" s="13">
        <f t="shared" si="3"/>
        <v>47238</v>
      </c>
      <c r="N45" s="13">
        <f t="shared" si="4"/>
        <v>47238</v>
      </c>
      <c r="O45" s="13">
        <f t="shared" si="5"/>
        <v>47238</v>
      </c>
      <c r="P45" s="24">
        <v>954051294.09666443</v>
      </c>
      <c r="V45">
        <v>1</v>
      </c>
      <c r="W45" t="s">
        <v>33</v>
      </c>
      <c r="Y45" t="s">
        <v>33</v>
      </c>
      <c r="Z45" t="s">
        <v>34</v>
      </c>
      <c r="AA45">
        <v>1</v>
      </c>
    </row>
    <row r="46" spans="1:27" x14ac:dyDescent="0.35">
      <c r="A46" s="13">
        <f t="shared" si="1"/>
        <v>45930</v>
      </c>
      <c r="B46">
        <v>1</v>
      </c>
      <c r="D46" s="14" t="s">
        <v>31</v>
      </c>
      <c r="E46" s="16" t="s">
        <v>41</v>
      </c>
      <c r="F46" s="16" t="s">
        <v>41</v>
      </c>
      <c r="G46" s="17"/>
      <c r="H46" s="84" t="s">
        <v>179</v>
      </c>
      <c r="I46" s="84" t="s">
        <v>178</v>
      </c>
      <c r="J46" s="88"/>
      <c r="K46" s="20">
        <f t="shared" si="2"/>
        <v>44</v>
      </c>
      <c r="M46" s="13">
        <f t="shared" si="3"/>
        <v>47269</v>
      </c>
      <c r="N46" s="13">
        <f t="shared" si="4"/>
        <v>47269</v>
      </c>
      <c r="O46" s="13">
        <f t="shared" si="5"/>
        <v>47269</v>
      </c>
      <c r="P46" s="24">
        <v>939377514.60931396</v>
      </c>
      <c r="V46">
        <v>1</v>
      </c>
      <c r="W46" t="s">
        <v>33</v>
      </c>
      <c r="Y46" t="s">
        <v>33</v>
      </c>
      <c r="Z46" t="s">
        <v>34</v>
      </c>
      <c r="AA46">
        <v>1</v>
      </c>
    </row>
    <row r="47" spans="1:27" x14ac:dyDescent="0.35">
      <c r="A47" s="13">
        <f t="shared" si="1"/>
        <v>45930</v>
      </c>
      <c r="B47">
        <v>1</v>
      </c>
      <c r="D47" s="14" t="s">
        <v>31</v>
      </c>
      <c r="E47" s="16" t="s">
        <v>41</v>
      </c>
      <c r="F47" s="16" t="s">
        <v>41</v>
      </c>
      <c r="G47" s="17"/>
      <c r="H47" s="84" t="s">
        <v>179</v>
      </c>
      <c r="I47" s="84" t="s">
        <v>178</v>
      </c>
      <c r="J47" s="88"/>
      <c r="K47" s="20">
        <f t="shared" si="2"/>
        <v>45</v>
      </c>
      <c r="M47" s="13">
        <f t="shared" si="3"/>
        <v>47299</v>
      </c>
      <c r="N47" s="13">
        <f t="shared" si="4"/>
        <v>47299</v>
      </c>
      <c r="O47" s="13">
        <f t="shared" si="5"/>
        <v>47299</v>
      </c>
      <c r="P47" s="24">
        <v>924929425.08828735</v>
      </c>
      <c r="V47">
        <v>1</v>
      </c>
      <c r="W47" t="s">
        <v>33</v>
      </c>
      <c r="Y47" t="s">
        <v>33</v>
      </c>
      <c r="Z47" t="s">
        <v>34</v>
      </c>
      <c r="AA47">
        <v>1</v>
      </c>
    </row>
    <row r="48" spans="1:27" x14ac:dyDescent="0.35">
      <c r="A48" s="13">
        <f t="shared" si="1"/>
        <v>45930</v>
      </c>
      <c r="B48">
        <v>1</v>
      </c>
      <c r="D48" s="14" t="s">
        <v>31</v>
      </c>
      <c r="E48" s="16" t="s">
        <v>41</v>
      </c>
      <c r="F48" s="16" t="s">
        <v>41</v>
      </c>
      <c r="G48" s="17"/>
      <c r="H48" s="84" t="s">
        <v>179</v>
      </c>
      <c r="I48" s="84" t="s">
        <v>178</v>
      </c>
      <c r="J48" s="88"/>
      <c r="K48" s="20">
        <f t="shared" si="2"/>
        <v>46</v>
      </c>
      <c r="M48" s="13">
        <f t="shared" si="3"/>
        <v>47330</v>
      </c>
      <c r="N48" s="13">
        <f t="shared" si="4"/>
        <v>47330</v>
      </c>
      <c r="O48" s="13">
        <f t="shared" si="5"/>
        <v>47330</v>
      </c>
      <c r="P48" s="24">
        <v>910703554.31060028</v>
      </c>
      <c r="V48">
        <v>1</v>
      </c>
      <c r="W48" t="s">
        <v>33</v>
      </c>
      <c r="Y48" t="s">
        <v>33</v>
      </c>
      <c r="Z48" t="s">
        <v>34</v>
      </c>
      <c r="AA48">
        <v>1</v>
      </c>
    </row>
    <row r="49" spans="1:27" x14ac:dyDescent="0.35">
      <c r="A49" s="13">
        <f t="shared" si="1"/>
        <v>45930</v>
      </c>
      <c r="B49">
        <v>1</v>
      </c>
      <c r="D49" s="14" t="s">
        <v>31</v>
      </c>
      <c r="E49" s="16" t="s">
        <v>41</v>
      </c>
      <c r="F49" s="16" t="s">
        <v>41</v>
      </c>
      <c r="G49" s="17"/>
      <c r="H49" s="84" t="s">
        <v>179</v>
      </c>
      <c r="I49" s="84" t="s">
        <v>178</v>
      </c>
      <c r="J49" s="88"/>
      <c r="K49" s="20">
        <f t="shared" si="2"/>
        <v>47</v>
      </c>
      <c r="M49" s="13">
        <f t="shared" si="3"/>
        <v>47361</v>
      </c>
      <c r="N49" s="13">
        <f t="shared" si="4"/>
        <v>47361</v>
      </c>
      <c r="O49" s="13">
        <f t="shared" si="5"/>
        <v>47361</v>
      </c>
      <c r="P49" s="24">
        <v>896696484.44235992</v>
      </c>
      <c r="V49">
        <v>1</v>
      </c>
      <c r="W49" t="s">
        <v>33</v>
      </c>
      <c r="Y49" t="s">
        <v>33</v>
      </c>
      <c r="Z49" t="s">
        <v>34</v>
      </c>
      <c r="AA49">
        <v>1</v>
      </c>
    </row>
    <row r="50" spans="1:27" x14ac:dyDescent="0.35">
      <c r="A50" s="13">
        <f t="shared" si="1"/>
        <v>45930</v>
      </c>
      <c r="B50">
        <v>1</v>
      </c>
      <c r="D50" s="14" t="s">
        <v>31</v>
      </c>
      <c r="E50" s="16" t="s">
        <v>41</v>
      </c>
      <c r="F50" s="16" t="s">
        <v>41</v>
      </c>
      <c r="G50" s="17"/>
      <c r="H50" s="84" t="s">
        <v>179</v>
      </c>
      <c r="I50" s="84" t="s">
        <v>178</v>
      </c>
      <c r="J50" s="88"/>
      <c r="K50" s="20">
        <f t="shared" si="2"/>
        <v>48</v>
      </c>
      <c r="M50" s="13">
        <f t="shared" si="3"/>
        <v>47391</v>
      </c>
      <c r="N50" s="13">
        <f t="shared" si="4"/>
        <v>47391</v>
      </c>
      <c r="O50" s="13">
        <f t="shared" si="5"/>
        <v>47391</v>
      </c>
      <c r="P50" s="24">
        <v>882904850.21763611</v>
      </c>
      <c r="V50">
        <v>1</v>
      </c>
      <c r="W50" t="s">
        <v>33</v>
      </c>
      <c r="Y50" t="s">
        <v>33</v>
      </c>
      <c r="Z50" t="s">
        <v>34</v>
      </c>
      <c r="AA50">
        <v>1</v>
      </c>
    </row>
    <row r="51" spans="1:27" x14ac:dyDescent="0.35">
      <c r="A51" s="13">
        <f t="shared" si="1"/>
        <v>45930</v>
      </c>
      <c r="B51">
        <v>1</v>
      </c>
      <c r="D51" s="14" t="s">
        <v>31</v>
      </c>
      <c r="E51" s="16" t="s">
        <v>41</v>
      </c>
      <c r="F51" s="16" t="s">
        <v>41</v>
      </c>
      <c r="G51" s="17"/>
      <c r="H51" s="84" t="s">
        <v>179</v>
      </c>
      <c r="I51" s="84" t="s">
        <v>178</v>
      </c>
      <c r="J51" s="88"/>
      <c r="K51" s="20">
        <f t="shared" si="2"/>
        <v>49</v>
      </c>
      <c r="M51" s="13">
        <f t="shared" si="3"/>
        <v>47422</v>
      </c>
      <c r="N51" s="13">
        <f t="shared" si="4"/>
        <v>47422</v>
      </c>
      <c r="O51" s="13">
        <f t="shared" si="5"/>
        <v>47422</v>
      </c>
      <c r="P51" s="24">
        <v>869325338.12999725</v>
      </c>
      <c r="V51">
        <v>1</v>
      </c>
      <c r="W51" t="s">
        <v>33</v>
      </c>
      <c r="Y51" t="s">
        <v>33</v>
      </c>
      <c r="Z51" t="s">
        <v>34</v>
      </c>
      <c r="AA51">
        <v>1</v>
      </c>
    </row>
    <row r="52" spans="1:27" x14ac:dyDescent="0.35">
      <c r="A52" s="13">
        <f t="shared" si="1"/>
        <v>45930</v>
      </c>
      <c r="B52">
        <v>1</v>
      </c>
      <c r="D52" s="14" t="s">
        <v>31</v>
      </c>
      <c r="E52" s="16" t="s">
        <v>41</v>
      </c>
      <c r="F52" s="16" t="s">
        <v>41</v>
      </c>
      <c r="G52" s="17"/>
      <c r="H52" s="84" t="s">
        <v>179</v>
      </c>
      <c r="I52" s="84" t="s">
        <v>178</v>
      </c>
      <c r="J52" s="88"/>
      <c r="K52" s="20">
        <f t="shared" si="2"/>
        <v>50</v>
      </c>
      <c r="M52" s="13">
        <f t="shared" si="3"/>
        <v>47452</v>
      </c>
      <c r="N52" s="13">
        <f t="shared" si="4"/>
        <v>47452</v>
      </c>
      <c r="O52" s="13">
        <f t="shared" si="5"/>
        <v>47452</v>
      </c>
      <c r="P52" s="24">
        <v>855954685.63636017</v>
      </c>
      <c r="V52">
        <v>1</v>
      </c>
      <c r="W52" t="s">
        <v>33</v>
      </c>
      <c r="Y52" t="s">
        <v>33</v>
      </c>
      <c r="Z52" t="s">
        <v>34</v>
      </c>
      <c r="AA52">
        <v>1</v>
      </c>
    </row>
    <row r="53" spans="1:27" x14ac:dyDescent="0.35">
      <c r="A53" s="13">
        <f t="shared" si="1"/>
        <v>45930</v>
      </c>
      <c r="B53">
        <v>1</v>
      </c>
      <c r="D53" s="14" t="s">
        <v>31</v>
      </c>
      <c r="E53" s="16" t="s">
        <v>41</v>
      </c>
      <c r="F53" s="16" t="s">
        <v>41</v>
      </c>
      <c r="G53" s="17"/>
      <c r="H53" s="84" t="s">
        <v>179</v>
      </c>
      <c r="I53" s="84" t="s">
        <v>178</v>
      </c>
      <c r="J53" s="88"/>
      <c r="K53" s="20">
        <f t="shared" si="2"/>
        <v>51</v>
      </c>
      <c r="M53" s="13">
        <f t="shared" si="3"/>
        <v>47483</v>
      </c>
      <c r="N53" s="13">
        <f t="shared" si="4"/>
        <v>47483</v>
      </c>
      <c r="O53" s="13">
        <f t="shared" si="5"/>
        <v>47483</v>
      </c>
      <c r="P53" s="24">
        <v>842789680.37309265</v>
      </c>
      <c r="V53">
        <v>1</v>
      </c>
      <c r="W53" t="s">
        <v>33</v>
      </c>
      <c r="Y53" t="s">
        <v>33</v>
      </c>
      <c r="Z53" t="s">
        <v>34</v>
      </c>
      <c r="AA53">
        <v>1</v>
      </c>
    </row>
    <row r="54" spans="1:27" x14ac:dyDescent="0.35">
      <c r="A54" s="13">
        <f t="shared" si="1"/>
        <v>45930</v>
      </c>
      <c r="B54">
        <v>1</v>
      </c>
      <c r="D54" s="14" t="s">
        <v>31</v>
      </c>
      <c r="E54" s="16" t="s">
        <v>41</v>
      </c>
      <c r="F54" s="16" t="s">
        <v>41</v>
      </c>
      <c r="G54" s="17"/>
      <c r="H54" s="84" t="s">
        <v>179</v>
      </c>
      <c r="I54" s="84" t="s">
        <v>178</v>
      </c>
      <c r="J54" s="88"/>
      <c r="K54" s="20">
        <f t="shared" si="2"/>
        <v>52</v>
      </c>
      <c r="M54" s="13">
        <f t="shared" si="3"/>
        <v>47514</v>
      </c>
      <c r="N54" s="13">
        <f t="shared" si="4"/>
        <v>47514</v>
      </c>
      <c r="O54" s="13">
        <f t="shared" si="5"/>
        <v>47514</v>
      </c>
      <c r="P54" s="24">
        <v>829827159.38441467</v>
      </c>
      <c r="V54">
        <v>1</v>
      </c>
      <c r="W54" t="s">
        <v>33</v>
      </c>
      <c r="Y54" t="s">
        <v>33</v>
      </c>
      <c r="Z54" t="s">
        <v>34</v>
      </c>
      <c r="AA54">
        <v>1</v>
      </c>
    </row>
    <row r="55" spans="1:27" x14ac:dyDescent="0.35">
      <c r="A55" s="13">
        <f t="shared" si="1"/>
        <v>45930</v>
      </c>
      <c r="B55">
        <v>1</v>
      </c>
      <c r="D55" s="14" t="s">
        <v>31</v>
      </c>
      <c r="E55" s="16" t="s">
        <v>41</v>
      </c>
      <c r="F55" s="16" t="s">
        <v>41</v>
      </c>
      <c r="G55" s="17"/>
      <c r="H55" s="84" t="s">
        <v>179</v>
      </c>
      <c r="I55" s="84" t="s">
        <v>178</v>
      </c>
      <c r="J55" s="88"/>
      <c r="K55" s="20">
        <f t="shared" si="2"/>
        <v>53</v>
      </c>
      <c r="M55" s="13">
        <f t="shared" si="3"/>
        <v>47542</v>
      </c>
      <c r="N55" s="13">
        <f t="shared" si="4"/>
        <v>47542</v>
      </c>
      <c r="O55" s="13">
        <f t="shared" si="5"/>
        <v>47542</v>
      </c>
      <c r="P55">
        <v>817064008.36226654</v>
      </c>
      <c r="V55">
        <v>1</v>
      </c>
      <c r="W55" t="s">
        <v>33</v>
      </c>
      <c r="Y55" t="s">
        <v>33</v>
      </c>
      <c r="Z55" t="s">
        <v>34</v>
      </c>
      <c r="AA55">
        <v>1</v>
      </c>
    </row>
    <row r="56" spans="1:27" x14ac:dyDescent="0.35">
      <c r="A56" s="13">
        <f t="shared" si="1"/>
        <v>45930</v>
      </c>
      <c r="B56">
        <v>1</v>
      </c>
      <c r="D56" s="14" t="s">
        <v>31</v>
      </c>
      <c r="E56" s="16" t="s">
        <v>41</v>
      </c>
      <c r="F56" s="16" t="s">
        <v>41</v>
      </c>
      <c r="G56" s="17"/>
      <c r="H56" s="84" t="s">
        <v>179</v>
      </c>
      <c r="I56" s="84" t="s">
        <v>178</v>
      </c>
      <c r="J56" s="88"/>
      <c r="K56" s="20">
        <f t="shared" si="2"/>
        <v>54</v>
      </c>
      <c r="M56" s="13">
        <f t="shared" si="3"/>
        <v>47573</v>
      </c>
      <c r="N56" s="13">
        <f t="shared" si="4"/>
        <v>47573</v>
      </c>
      <c r="O56" s="13">
        <f t="shared" si="5"/>
        <v>47573</v>
      </c>
      <c r="P56">
        <v>804497160.89824677</v>
      </c>
      <c r="V56">
        <v>1</v>
      </c>
      <c r="W56" t="s">
        <v>33</v>
      </c>
      <c r="Y56" t="s">
        <v>33</v>
      </c>
      <c r="Z56" t="s">
        <v>34</v>
      </c>
      <c r="AA56">
        <v>1</v>
      </c>
    </row>
    <row r="57" spans="1:27" x14ac:dyDescent="0.35">
      <c r="A57" s="13">
        <f t="shared" si="1"/>
        <v>45930</v>
      </c>
      <c r="B57">
        <v>1</v>
      </c>
      <c r="D57" s="14" t="s">
        <v>31</v>
      </c>
      <c r="E57" s="16" t="s">
        <v>41</v>
      </c>
      <c r="F57" s="16" t="s">
        <v>41</v>
      </c>
      <c r="G57" s="17"/>
      <c r="H57" s="84" t="s">
        <v>179</v>
      </c>
      <c r="I57" s="84" t="s">
        <v>178</v>
      </c>
      <c r="J57" s="88"/>
      <c r="K57" s="20">
        <f t="shared" si="2"/>
        <v>55</v>
      </c>
      <c r="M57" s="13">
        <f t="shared" si="3"/>
        <v>47603</v>
      </c>
      <c r="N57" s="13">
        <f t="shared" si="4"/>
        <v>47603</v>
      </c>
      <c r="O57" s="13">
        <f t="shared" si="5"/>
        <v>47603</v>
      </c>
      <c r="P57">
        <v>792123597.74681091</v>
      </c>
      <c r="V57">
        <v>1</v>
      </c>
      <c r="W57" t="s">
        <v>33</v>
      </c>
      <c r="Y57" t="s">
        <v>33</v>
      </c>
      <c r="Z57" t="s">
        <v>34</v>
      </c>
      <c r="AA57">
        <v>1</v>
      </c>
    </row>
    <row r="58" spans="1:27" x14ac:dyDescent="0.35">
      <c r="A58" s="13">
        <f t="shared" si="1"/>
        <v>45930</v>
      </c>
      <c r="B58">
        <v>1</v>
      </c>
      <c r="D58" s="14" t="s">
        <v>31</v>
      </c>
      <c r="E58" s="16" t="s">
        <v>41</v>
      </c>
      <c r="F58" s="16" t="s">
        <v>41</v>
      </c>
      <c r="G58" s="17"/>
      <c r="H58" s="84" t="s">
        <v>179</v>
      </c>
      <c r="I58" s="84" t="s">
        <v>178</v>
      </c>
      <c r="J58" s="88"/>
      <c r="K58" s="20">
        <f t="shared" si="2"/>
        <v>56</v>
      </c>
      <c r="M58" s="13">
        <f t="shared" si="3"/>
        <v>47634</v>
      </c>
      <c r="N58" s="13">
        <f t="shared" si="4"/>
        <v>47634</v>
      </c>
      <c r="O58" s="13">
        <f t="shared" si="5"/>
        <v>47634</v>
      </c>
      <c r="P58">
        <v>779940346.09986877</v>
      </c>
      <c r="V58">
        <v>1</v>
      </c>
      <c r="W58" t="s">
        <v>33</v>
      </c>
      <c r="Y58" t="s">
        <v>33</v>
      </c>
      <c r="Z58" t="s">
        <v>34</v>
      </c>
      <c r="AA58">
        <v>1</v>
      </c>
    </row>
    <row r="59" spans="1:27" x14ac:dyDescent="0.35">
      <c r="A59" s="13">
        <f t="shared" si="1"/>
        <v>45930</v>
      </c>
      <c r="B59">
        <v>1</v>
      </c>
      <c r="D59" s="14" t="s">
        <v>31</v>
      </c>
      <c r="E59" s="16" t="s">
        <v>41</v>
      </c>
      <c r="F59" s="16" t="s">
        <v>41</v>
      </c>
      <c r="G59" s="17"/>
      <c r="H59" s="84" t="s">
        <v>179</v>
      </c>
      <c r="I59" s="84" t="s">
        <v>178</v>
      </c>
      <c r="J59" s="88"/>
      <c r="K59" s="20">
        <f t="shared" si="2"/>
        <v>57</v>
      </c>
      <c r="M59" s="13">
        <f t="shared" si="3"/>
        <v>47664</v>
      </c>
      <c r="N59" s="13">
        <f t="shared" si="4"/>
        <v>47664</v>
      </c>
      <c r="O59" s="13">
        <f t="shared" si="5"/>
        <v>47664</v>
      </c>
      <c r="P59">
        <v>767944478.87262726</v>
      </c>
      <c r="V59">
        <v>1</v>
      </c>
      <c r="W59" t="s">
        <v>33</v>
      </c>
      <c r="Y59" t="s">
        <v>33</v>
      </c>
      <c r="Z59" t="s">
        <v>34</v>
      </c>
      <c r="AA59">
        <v>1</v>
      </c>
    </row>
    <row r="60" spans="1:27" x14ac:dyDescent="0.35">
      <c r="A60" s="13">
        <f t="shared" si="1"/>
        <v>45930</v>
      </c>
      <c r="B60">
        <v>1</v>
      </c>
      <c r="D60" s="14" t="s">
        <v>31</v>
      </c>
      <c r="E60" s="16" t="s">
        <v>41</v>
      </c>
      <c r="F60" s="16" t="s">
        <v>41</v>
      </c>
      <c r="G60" s="17"/>
      <c r="H60" s="84" t="s">
        <v>179</v>
      </c>
      <c r="I60" s="84" t="s">
        <v>178</v>
      </c>
      <c r="J60" s="88"/>
      <c r="K60" s="20">
        <f t="shared" si="2"/>
        <v>58</v>
      </c>
      <c r="M60" s="13">
        <f t="shared" si="3"/>
        <v>47695</v>
      </c>
      <c r="N60" s="13">
        <f t="shared" si="4"/>
        <v>47695</v>
      </c>
      <c r="O60" s="13">
        <f t="shared" si="5"/>
        <v>47695</v>
      </c>
      <c r="P60">
        <v>756133114.00028229</v>
      </c>
      <c r="V60">
        <v>1</v>
      </c>
      <c r="W60" t="s">
        <v>33</v>
      </c>
      <c r="Y60" t="s">
        <v>33</v>
      </c>
      <c r="Z60" t="s">
        <v>34</v>
      </c>
      <c r="AA60">
        <v>1</v>
      </c>
    </row>
    <row r="61" spans="1:27" x14ac:dyDescent="0.35">
      <c r="A61" s="13">
        <f t="shared" si="1"/>
        <v>45930</v>
      </c>
      <c r="B61">
        <v>1</v>
      </c>
      <c r="D61" s="14" t="s">
        <v>31</v>
      </c>
      <c r="E61" s="16" t="s">
        <v>41</v>
      </c>
      <c r="F61" s="16" t="s">
        <v>41</v>
      </c>
      <c r="G61" s="17"/>
      <c r="H61" s="84" t="s">
        <v>179</v>
      </c>
      <c r="I61" s="84" t="s">
        <v>178</v>
      </c>
      <c r="J61" s="88"/>
      <c r="K61" s="20">
        <f t="shared" si="2"/>
        <v>59</v>
      </c>
      <c r="M61" s="13">
        <f t="shared" si="3"/>
        <v>47726</v>
      </c>
      <c r="N61" s="13">
        <f t="shared" si="4"/>
        <v>47726</v>
      </c>
      <c r="O61" s="13">
        <f t="shared" si="5"/>
        <v>47726</v>
      </c>
      <c r="P61">
        <v>744503413.7456131</v>
      </c>
      <c r="V61">
        <v>1</v>
      </c>
      <c r="W61" t="s">
        <v>33</v>
      </c>
      <c r="Y61" t="s">
        <v>33</v>
      </c>
      <c r="Z61" t="s">
        <v>34</v>
      </c>
      <c r="AA61">
        <v>1</v>
      </c>
    </row>
    <row r="62" spans="1:27" x14ac:dyDescent="0.35">
      <c r="A62" s="13">
        <f t="shared" si="1"/>
        <v>45930</v>
      </c>
      <c r="B62">
        <v>1</v>
      </c>
      <c r="D62" s="14" t="s">
        <v>31</v>
      </c>
      <c r="E62" s="16" t="s">
        <v>41</v>
      </c>
      <c r="F62" s="16" t="s">
        <v>41</v>
      </c>
      <c r="G62" s="17"/>
      <c r="H62" s="84" t="s">
        <v>179</v>
      </c>
      <c r="I62" s="84" t="s">
        <v>178</v>
      </c>
      <c r="J62" s="88"/>
      <c r="K62" s="20">
        <f t="shared" si="2"/>
        <v>60</v>
      </c>
      <c r="M62" s="13">
        <f t="shared" si="3"/>
        <v>47756</v>
      </c>
      <c r="N62" s="13">
        <f t="shared" si="4"/>
        <v>47756</v>
      </c>
      <c r="O62" s="13">
        <f t="shared" si="5"/>
        <v>47756</v>
      </c>
      <c r="P62">
        <v>733052584.0171814</v>
      </c>
      <c r="V62">
        <v>1</v>
      </c>
      <c r="W62" t="s">
        <v>33</v>
      </c>
      <c r="Y62" t="s">
        <v>33</v>
      </c>
      <c r="Z62" t="s">
        <v>34</v>
      </c>
      <c r="AA62">
        <v>1</v>
      </c>
    </row>
    <row r="63" spans="1:27" x14ac:dyDescent="0.35">
      <c r="A63" s="13">
        <f t="shared" si="1"/>
        <v>45930</v>
      </c>
      <c r="B63">
        <v>1</v>
      </c>
      <c r="D63" s="14" t="s">
        <v>31</v>
      </c>
      <c r="E63" s="16" t="s">
        <v>41</v>
      </c>
      <c r="F63" s="16" t="s">
        <v>41</v>
      </c>
      <c r="G63" s="17"/>
      <c r="H63" s="84" t="s">
        <v>179</v>
      </c>
      <c r="I63" s="84" t="s">
        <v>178</v>
      </c>
      <c r="J63" s="88"/>
      <c r="K63" s="20">
        <f t="shared" si="2"/>
        <v>61</v>
      </c>
      <c r="M63" s="13">
        <f t="shared" si="3"/>
        <v>47787</v>
      </c>
      <c r="N63" s="13">
        <f t="shared" si="4"/>
        <v>47787</v>
      </c>
      <c r="O63" s="13">
        <f t="shared" si="5"/>
        <v>47787</v>
      </c>
      <c r="P63">
        <v>721777873.6980896</v>
      </c>
      <c r="V63">
        <v>1</v>
      </c>
      <c r="W63" t="s">
        <v>33</v>
      </c>
      <c r="Y63" t="s">
        <v>33</v>
      </c>
      <c r="Z63" t="s">
        <v>34</v>
      </c>
      <c r="AA63">
        <v>1</v>
      </c>
    </row>
    <row r="64" spans="1:27" x14ac:dyDescent="0.35">
      <c r="A64" s="13">
        <f t="shared" si="1"/>
        <v>45930</v>
      </c>
      <c r="B64">
        <v>1</v>
      </c>
      <c r="D64" s="14" t="s">
        <v>31</v>
      </c>
      <c r="E64" s="16" t="s">
        <v>41</v>
      </c>
      <c r="F64" s="16" t="s">
        <v>41</v>
      </c>
      <c r="G64" s="17"/>
      <c r="H64" s="84" t="s">
        <v>179</v>
      </c>
      <c r="I64" s="84" t="s">
        <v>178</v>
      </c>
      <c r="J64" s="88"/>
      <c r="K64" s="20">
        <f t="shared" si="2"/>
        <v>62</v>
      </c>
      <c r="M64" s="13">
        <f t="shared" si="3"/>
        <v>47817</v>
      </c>
      <c r="N64" s="13">
        <f t="shared" si="4"/>
        <v>47817</v>
      </c>
      <c r="O64" s="13">
        <f t="shared" si="5"/>
        <v>47817</v>
      </c>
      <c r="P64">
        <v>710676573.98491669</v>
      </c>
      <c r="V64">
        <v>1</v>
      </c>
      <c r="W64" t="s">
        <v>33</v>
      </c>
      <c r="Y64" t="s">
        <v>33</v>
      </c>
      <c r="Z64" t="s">
        <v>34</v>
      </c>
      <c r="AA64">
        <v>1</v>
      </c>
    </row>
    <row r="65" spans="1:27" x14ac:dyDescent="0.35">
      <c r="A65" s="13">
        <f t="shared" si="1"/>
        <v>45930</v>
      </c>
      <c r="B65">
        <v>1</v>
      </c>
      <c r="D65" s="14" t="s">
        <v>31</v>
      </c>
      <c r="E65" s="16" t="s">
        <v>41</v>
      </c>
      <c r="F65" s="16" t="s">
        <v>41</v>
      </c>
      <c r="G65" s="17"/>
      <c r="H65" s="84" t="s">
        <v>179</v>
      </c>
      <c r="I65" s="84" t="s">
        <v>178</v>
      </c>
      <c r="J65" s="88"/>
      <c r="K65" s="20">
        <f t="shared" si="2"/>
        <v>63</v>
      </c>
      <c r="M65" s="13">
        <f t="shared" si="3"/>
        <v>47848</v>
      </c>
      <c r="N65" s="13">
        <f t="shared" si="4"/>
        <v>47848</v>
      </c>
      <c r="O65" s="13">
        <f t="shared" si="5"/>
        <v>47848</v>
      </c>
      <c r="P65">
        <v>699746017.73704529</v>
      </c>
      <c r="V65">
        <v>1</v>
      </c>
      <c r="W65" t="s">
        <v>33</v>
      </c>
      <c r="Y65" t="s">
        <v>33</v>
      </c>
      <c r="Z65" t="s">
        <v>34</v>
      </c>
      <c r="AA65">
        <v>1</v>
      </c>
    </row>
    <row r="66" spans="1:27" x14ac:dyDescent="0.35">
      <c r="A66" s="13">
        <f t="shared" si="1"/>
        <v>45930</v>
      </c>
      <c r="B66">
        <v>1</v>
      </c>
      <c r="D66" s="14" t="s">
        <v>31</v>
      </c>
      <c r="E66" s="16" t="s">
        <v>41</v>
      </c>
      <c r="F66" s="16" t="s">
        <v>41</v>
      </c>
      <c r="G66" s="17"/>
      <c r="H66" s="84" t="s">
        <v>179</v>
      </c>
      <c r="I66" s="84" t="s">
        <v>178</v>
      </c>
      <c r="J66" s="88"/>
      <c r="K66" s="20">
        <f t="shared" si="2"/>
        <v>64</v>
      </c>
      <c r="M66" s="13">
        <f t="shared" si="3"/>
        <v>47879</v>
      </c>
      <c r="N66" s="13">
        <f t="shared" si="4"/>
        <v>47879</v>
      </c>
      <c r="O66" s="13">
        <f t="shared" si="5"/>
        <v>47879</v>
      </c>
      <c r="P66">
        <v>688983578.83574677</v>
      </c>
      <c r="V66">
        <v>1</v>
      </c>
      <c r="W66" t="s">
        <v>33</v>
      </c>
      <c r="Y66" t="s">
        <v>33</v>
      </c>
      <c r="Z66" t="s">
        <v>34</v>
      </c>
      <c r="AA66">
        <v>1</v>
      </c>
    </row>
    <row r="67" spans="1:27" x14ac:dyDescent="0.35">
      <c r="A67" s="13">
        <f t="shared" si="1"/>
        <v>45930</v>
      </c>
      <c r="B67">
        <v>1</v>
      </c>
      <c r="D67" s="14" t="s">
        <v>31</v>
      </c>
      <c r="E67" s="16" t="s">
        <v>41</v>
      </c>
      <c r="F67" s="16" t="s">
        <v>41</v>
      </c>
      <c r="G67" s="17"/>
      <c r="H67" s="84" t="s">
        <v>179</v>
      </c>
      <c r="I67" s="84" t="s">
        <v>178</v>
      </c>
      <c r="J67" s="88"/>
      <c r="K67" s="20">
        <f t="shared" si="2"/>
        <v>65</v>
      </c>
      <c r="M67" s="13">
        <f t="shared" si="3"/>
        <v>47907</v>
      </c>
      <c r="N67" s="13">
        <f t="shared" si="4"/>
        <v>47907</v>
      </c>
      <c r="O67" s="13">
        <f t="shared" si="5"/>
        <v>47907</v>
      </c>
      <c r="P67">
        <v>678386671.55328369</v>
      </c>
      <c r="V67">
        <v>1</v>
      </c>
      <c r="W67" t="s">
        <v>33</v>
      </c>
      <c r="Y67" t="s">
        <v>33</v>
      </c>
      <c r="Z67" t="s">
        <v>34</v>
      </c>
      <c r="AA67">
        <v>1</v>
      </c>
    </row>
    <row r="68" spans="1:27" x14ac:dyDescent="0.35">
      <c r="A68" s="13">
        <f t="shared" ref="A68:A110" si="6">A67</f>
        <v>45930</v>
      </c>
      <c r="B68">
        <v>1</v>
      </c>
      <c r="D68" s="14" t="s">
        <v>31</v>
      </c>
      <c r="E68" s="16" t="s">
        <v>41</v>
      </c>
      <c r="F68" s="16" t="s">
        <v>41</v>
      </c>
      <c r="G68" s="17"/>
      <c r="H68" s="84" t="s">
        <v>179</v>
      </c>
      <c r="I68" s="84" t="s">
        <v>178</v>
      </c>
      <c r="J68" s="88"/>
      <c r="K68" s="20">
        <f t="shared" si="2"/>
        <v>66</v>
      </c>
      <c r="M68" s="13">
        <f t="shared" si="3"/>
        <v>47938</v>
      </c>
      <c r="N68" s="13">
        <f t="shared" si="4"/>
        <v>47938</v>
      </c>
      <c r="O68" s="13">
        <f t="shared" si="5"/>
        <v>47938</v>
      </c>
      <c r="P68">
        <v>667952749.93174744</v>
      </c>
      <c r="V68">
        <v>1</v>
      </c>
      <c r="W68" t="s">
        <v>33</v>
      </c>
      <c r="Y68" t="s">
        <v>33</v>
      </c>
      <c r="Z68" t="s">
        <v>34</v>
      </c>
      <c r="AA68">
        <v>1</v>
      </c>
    </row>
    <row r="69" spans="1:27" x14ac:dyDescent="0.35">
      <c r="A69" s="13">
        <f t="shared" si="6"/>
        <v>45930</v>
      </c>
      <c r="B69">
        <v>1</v>
      </c>
      <c r="D69" s="14" t="s">
        <v>31</v>
      </c>
      <c r="E69" s="16" t="s">
        <v>41</v>
      </c>
      <c r="F69" s="16" t="s">
        <v>41</v>
      </c>
      <c r="G69" s="17"/>
      <c r="H69" s="84" t="s">
        <v>179</v>
      </c>
      <c r="I69" s="84" t="s">
        <v>178</v>
      </c>
      <c r="J69" s="88"/>
      <c r="K69" s="20">
        <f t="shared" ref="K69:K110" si="7">K68+1</f>
        <v>67</v>
      </c>
      <c r="M69" s="13">
        <f t="shared" si="3"/>
        <v>47968</v>
      </c>
      <c r="N69" s="13">
        <f t="shared" si="4"/>
        <v>47968</v>
      </c>
      <c r="O69" s="13">
        <f t="shared" si="5"/>
        <v>47968</v>
      </c>
      <c r="P69">
        <v>657679307.17126465</v>
      </c>
      <c r="V69">
        <v>1</v>
      </c>
      <c r="W69" t="s">
        <v>33</v>
      </c>
      <c r="Y69" t="s">
        <v>33</v>
      </c>
      <c r="Z69" t="s">
        <v>34</v>
      </c>
      <c r="AA69">
        <v>1</v>
      </c>
    </row>
    <row r="70" spans="1:27" x14ac:dyDescent="0.35">
      <c r="A70" s="13">
        <f t="shared" si="6"/>
        <v>45930</v>
      </c>
      <c r="B70">
        <v>1</v>
      </c>
      <c r="D70" s="14" t="s">
        <v>31</v>
      </c>
      <c r="E70" s="16" t="s">
        <v>41</v>
      </c>
      <c r="F70" s="16" t="s">
        <v>41</v>
      </c>
      <c r="G70" s="17"/>
      <c r="H70" s="84" t="s">
        <v>179</v>
      </c>
      <c r="I70" s="84" t="s">
        <v>178</v>
      </c>
      <c r="J70" s="88"/>
      <c r="K70" s="20">
        <f t="shared" si="7"/>
        <v>68</v>
      </c>
      <c r="M70" s="13">
        <f t="shared" ref="M70:M110" si="8">EOMONTH(M69,1)</f>
        <v>47999</v>
      </c>
      <c r="N70" s="13">
        <f t="shared" si="4"/>
        <v>47999</v>
      </c>
      <c r="O70" s="13">
        <f t="shared" si="5"/>
        <v>47999</v>
      </c>
      <c r="P70">
        <v>647563875.02779388</v>
      </c>
      <c r="V70">
        <v>1</v>
      </c>
      <c r="W70" t="s">
        <v>33</v>
      </c>
      <c r="Y70" t="s">
        <v>33</v>
      </c>
      <c r="Z70" t="s">
        <v>34</v>
      </c>
      <c r="AA70">
        <v>1</v>
      </c>
    </row>
    <row r="71" spans="1:27" x14ac:dyDescent="0.35">
      <c r="A71" s="13">
        <f t="shared" si="6"/>
        <v>45930</v>
      </c>
      <c r="B71">
        <v>1</v>
      </c>
      <c r="D71" s="14" t="s">
        <v>31</v>
      </c>
      <c r="E71" s="16" t="s">
        <v>41</v>
      </c>
      <c r="F71" s="16" t="s">
        <v>41</v>
      </c>
      <c r="G71" s="17"/>
      <c r="H71" s="84" t="s">
        <v>179</v>
      </c>
      <c r="I71" s="84" t="s">
        <v>178</v>
      </c>
      <c r="J71" s="88"/>
      <c r="K71" s="20">
        <f t="shared" si="7"/>
        <v>69</v>
      </c>
      <c r="M71" s="13">
        <f t="shared" si="8"/>
        <v>48029</v>
      </c>
      <c r="N71" s="13">
        <f t="shared" si="4"/>
        <v>48029</v>
      </c>
      <c r="O71" s="13">
        <f t="shared" si="5"/>
        <v>48029</v>
      </c>
      <c r="P71">
        <v>637604023.22009277</v>
      </c>
      <c r="V71">
        <v>1</v>
      </c>
      <c r="W71" t="s">
        <v>33</v>
      </c>
      <c r="Y71" t="s">
        <v>33</v>
      </c>
      <c r="Z71" t="s">
        <v>34</v>
      </c>
      <c r="AA71">
        <v>1</v>
      </c>
    </row>
    <row r="72" spans="1:27" x14ac:dyDescent="0.35">
      <c r="A72" s="13">
        <f t="shared" si="6"/>
        <v>45930</v>
      </c>
      <c r="B72">
        <v>1</v>
      </c>
      <c r="D72" s="14" t="s">
        <v>31</v>
      </c>
      <c r="E72" s="16" t="s">
        <v>41</v>
      </c>
      <c r="F72" s="16" t="s">
        <v>41</v>
      </c>
      <c r="G72" s="17"/>
      <c r="H72" s="84" t="s">
        <v>179</v>
      </c>
      <c r="I72" s="84" t="s">
        <v>178</v>
      </c>
      <c r="J72" s="88"/>
      <c r="K72" s="20">
        <f t="shared" si="7"/>
        <v>70</v>
      </c>
      <c r="M72" s="13">
        <f t="shared" si="8"/>
        <v>48060</v>
      </c>
      <c r="N72" s="13">
        <f t="shared" si="4"/>
        <v>48060</v>
      </c>
      <c r="O72" s="13">
        <f t="shared" si="5"/>
        <v>48060</v>
      </c>
      <c r="P72">
        <v>627797358.84590912</v>
      </c>
      <c r="V72">
        <v>1</v>
      </c>
      <c r="W72" t="s">
        <v>33</v>
      </c>
      <c r="Y72" t="s">
        <v>33</v>
      </c>
      <c r="Z72" t="s">
        <v>34</v>
      </c>
      <c r="AA72">
        <v>1</v>
      </c>
    </row>
    <row r="73" spans="1:27" x14ac:dyDescent="0.35">
      <c r="A73" s="13">
        <f t="shared" si="6"/>
        <v>45930</v>
      </c>
      <c r="B73">
        <v>1</v>
      </c>
      <c r="D73" s="14" t="s">
        <v>31</v>
      </c>
      <c r="E73" s="16" t="s">
        <v>41</v>
      </c>
      <c r="F73" s="16" t="s">
        <v>41</v>
      </c>
      <c r="G73" s="17"/>
      <c r="H73" s="84" t="s">
        <v>179</v>
      </c>
      <c r="I73" s="84" t="s">
        <v>178</v>
      </c>
      <c r="J73" s="88"/>
      <c r="K73" s="20">
        <f t="shared" si="7"/>
        <v>71</v>
      </c>
      <c r="M73" s="13">
        <f t="shared" si="8"/>
        <v>48091</v>
      </c>
      <c r="N73" s="13">
        <f t="shared" si="4"/>
        <v>48091</v>
      </c>
      <c r="O73" s="13">
        <f t="shared" si="5"/>
        <v>48091</v>
      </c>
      <c r="P73">
        <v>618141525.8068924</v>
      </c>
      <c r="V73">
        <v>1</v>
      </c>
      <c r="W73" t="s">
        <v>33</v>
      </c>
      <c r="Y73" t="s">
        <v>33</v>
      </c>
      <c r="Z73" t="s">
        <v>34</v>
      </c>
      <c r="AA73">
        <v>1</v>
      </c>
    </row>
    <row r="74" spans="1:27" x14ac:dyDescent="0.35">
      <c r="A74" s="13">
        <f t="shared" si="6"/>
        <v>45930</v>
      </c>
      <c r="B74">
        <v>1</v>
      </c>
      <c r="D74" s="14" t="s">
        <v>31</v>
      </c>
      <c r="E74" s="16" t="s">
        <v>41</v>
      </c>
      <c r="F74" s="16" t="s">
        <v>41</v>
      </c>
      <c r="G74" s="17"/>
      <c r="H74" s="84" t="s">
        <v>179</v>
      </c>
      <c r="I74" s="84" t="s">
        <v>178</v>
      </c>
      <c r="J74" s="88"/>
      <c r="K74" s="20">
        <f t="shared" si="7"/>
        <v>72</v>
      </c>
      <c r="M74" s="13">
        <f t="shared" si="8"/>
        <v>48121</v>
      </c>
      <c r="N74" s="13">
        <f t="shared" si="4"/>
        <v>48121</v>
      </c>
      <c r="O74" s="13">
        <f t="shared" si="5"/>
        <v>48121</v>
      </c>
      <c r="P74">
        <v>608634204.24274445</v>
      </c>
      <c r="V74">
        <v>1</v>
      </c>
      <c r="W74" t="s">
        <v>33</v>
      </c>
      <c r="Y74" t="s">
        <v>33</v>
      </c>
      <c r="Z74" t="s">
        <v>34</v>
      </c>
      <c r="AA74">
        <v>1</v>
      </c>
    </row>
    <row r="75" spans="1:27" x14ac:dyDescent="0.35">
      <c r="A75" s="13">
        <f t="shared" si="6"/>
        <v>45930</v>
      </c>
      <c r="B75">
        <v>1</v>
      </c>
      <c r="D75" s="14" t="s">
        <v>31</v>
      </c>
      <c r="E75" s="16" t="s">
        <v>41</v>
      </c>
      <c r="F75" s="16" t="s">
        <v>41</v>
      </c>
      <c r="G75" s="17"/>
      <c r="H75" s="84" t="s">
        <v>179</v>
      </c>
      <c r="I75" s="84" t="s">
        <v>178</v>
      </c>
      <c r="J75" s="88"/>
      <c r="K75" s="20">
        <f t="shared" si="7"/>
        <v>73</v>
      </c>
      <c r="M75" s="13">
        <f t="shared" si="8"/>
        <v>48152</v>
      </c>
      <c r="N75" s="13">
        <f t="shared" si="4"/>
        <v>48152</v>
      </c>
      <c r="O75" s="13">
        <f t="shared" si="5"/>
        <v>48152</v>
      </c>
      <c r="P75">
        <v>599273109.97371674</v>
      </c>
      <c r="V75">
        <v>1</v>
      </c>
      <c r="W75" t="s">
        <v>33</v>
      </c>
      <c r="Y75" t="s">
        <v>33</v>
      </c>
      <c r="Z75" t="s">
        <v>34</v>
      </c>
      <c r="AA75">
        <v>1</v>
      </c>
    </row>
    <row r="76" spans="1:27" x14ac:dyDescent="0.35">
      <c r="A76" s="13">
        <f t="shared" si="6"/>
        <v>45930</v>
      </c>
      <c r="B76">
        <v>1</v>
      </c>
      <c r="D76" s="14" t="s">
        <v>31</v>
      </c>
      <c r="E76" s="16" t="s">
        <v>41</v>
      </c>
      <c r="F76" s="16" t="s">
        <v>41</v>
      </c>
      <c r="G76" s="17"/>
      <c r="H76" s="84" t="s">
        <v>179</v>
      </c>
      <c r="I76" s="84" t="s">
        <v>178</v>
      </c>
      <c r="J76" s="88"/>
      <c r="K76" s="20">
        <f t="shared" si="7"/>
        <v>74</v>
      </c>
      <c r="M76" s="13">
        <f t="shared" si="8"/>
        <v>48182</v>
      </c>
      <c r="N76" s="13">
        <f t="shared" si="4"/>
        <v>48182</v>
      </c>
      <c r="O76" s="13">
        <f t="shared" si="5"/>
        <v>48182</v>
      </c>
      <c r="P76">
        <v>590055993.95191193</v>
      </c>
      <c r="V76">
        <v>1</v>
      </c>
      <c r="W76" t="s">
        <v>33</v>
      </c>
      <c r="Y76" t="s">
        <v>33</v>
      </c>
      <c r="Z76" t="s">
        <v>34</v>
      </c>
      <c r="AA76">
        <v>1</v>
      </c>
    </row>
    <row r="77" spans="1:27" x14ac:dyDescent="0.35">
      <c r="A77" s="13">
        <f t="shared" si="6"/>
        <v>45930</v>
      </c>
      <c r="B77">
        <v>1</v>
      </c>
      <c r="D77" s="14" t="s">
        <v>31</v>
      </c>
      <c r="E77" s="16" t="s">
        <v>41</v>
      </c>
      <c r="F77" s="16" t="s">
        <v>41</v>
      </c>
      <c r="G77" s="17"/>
      <c r="H77" s="84" t="s">
        <v>179</v>
      </c>
      <c r="I77" s="84" t="s">
        <v>178</v>
      </c>
      <c r="J77" s="88"/>
      <c r="K77" s="20">
        <f t="shared" si="7"/>
        <v>75</v>
      </c>
      <c r="M77" s="13">
        <f t="shared" si="8"/>
        <v>48213</v>
      </c>
      <c r="N77" s="13">
        <f t="shared" si="4"/>
        <v>48213</v>
      </c>
      <c r="O77" s="13">
        <f t="shared" si="5"/>
        <v>48213</v>
      </c>
      <c r="P77">
        <v>580980641.72083282</v>
      </c>
      <c r="V77">
        <v>1</v>
      </c>
      <c r="W77" t="s">
        <v>33</v>
      </c>
      <c r="Y77" t="s">
        <v>33</v>
      </c>
      <c r="Z77" t="s">
        <v>34</v>
      </c>
      <c r="AA77">
        <v>1</v>
      </c>
    </row>
    <row r="78" spans="1:27" x14ac:dyDescent="0.35">
      <c r="A78" s="13">
        <f t="shared" si="6"/>
        <v>45930</v>
      </c>
      <c r="B78">
        <v>1</v>
      </c>
      <c r="D78" s="14" t="s">
        <v>31</v>
      </c>
      <c r="E78" s="16" t="s">
        <v>41</v>
      </c>
      <c r="F78" s="16" t="s">
        <v>41</v>
      </c>
      <c r="G78" s="17"/>
      <c r="H78" s="84" t="s">
        <v>179</v>
      </c>
      <c r="I78" s="84" t="s">
        <v>178</v>
      </c>
      <c r="J78" s="88"/>
      <c r="K78" s="20">
        <f t="shared" si="7"/>
        <v>76</v>
      </c>
      <c r="M78" s="13">
        <f t="shared" si="8"/>
        <v>48244</v>
      </c>
      <c r="N78" s="13">
        <f t="shared" si="4"/>
        <v>48244</v>
      </c>
      <c r="O78" s="13">
        <f t="shared" si="5"/>
        <v>48244</v>
      </c>
      <c r="P78">
        <v>572044872.883461</v>
      </c>
      <c r="V78">
        <v>1</v>
      </c>
      <c r="W78" t="s">
        <v>33</v>
      </c>
      <c r="Y78" t="s">
        <v>33</v>
      </c>
      <c r="Z78" t="s">
        <v>34</v>
      </c>
      <c r="AA78">
        <v>1</v>
      </c>
    </row>
    <row r="79" spans="1:27" x14ac:dyDescent="0.35">
      <c r="A79" s="13">
        <f t="shared" si="6"/>
        <v>45930</v>
      </c>
      <c r="B79">
        <v>1</v>
      </c>
      <c r="D79" s="14" t="s">
        <v>31</v>
      </c>
      <c r="E79" s="16" t="s">
        <v>41</v>
      </c>
      <c r="F79" s="16" t="s">
        <v>41</v>
      </c>
      <c r="G79" s="17"/>
      <c r="H79" s="84" t="s">
        <v>179</v>
      </c>
      <c r="I79" s="84" t="s">
        <v>178</v>
      </c>
      <c r="J79" s="88"/>
      <c r="K79" s="20">
        <f t="shared" si="7"/>
        <v>77</v>
      </c>
      <c r="M79" s="13">
        <f t="shared" si="8"/>
        <v>48273</v>
      </c>
      <c r="N79" s="13">
        <f t="shared" si="4"/>
        <v>48273</v>
      </c>
      <c r="O79" s="13">
        <f t="shared" si="5"/>
        <v>48273</v>
      </c>
      <c r="P79">
        <v>563246540.57837677</v>
      </c>
      <c r="V79">
        <v>1</v>
      </c>
      <c r="W79" t="s">
        <v>33</v>
      </c>
      <c r="Y79" t="s">
        <v>33</v>
      </c>
      <c r="Z79" t="s">
        <v>34</v>
      </c>
      <c r="AA79">
        <v>1</v>
      </c>
    </row>
    <row r="80" spans="1:27" x14ac:dyDescent="0.35">
      <c r="A80" s="13">
        <f t="shared" si="6"/>
        <v>45930</v>
      </c>
      <c r="B80">
        <v>1</v>
      </c>
      <c r="D80" s="14" t="s">
        <v>31</v>
      </c>
      <c r="E80" s="16" t="s">
        <v>41</v>
      </c>
      <c r="F80" s="16" t="s">
        <v>41</v>
      </c>
      <c r="G80" s="17"/>
      <c r="H80" s="84" t="s">
        <v>179</v>
      </c>
      <c r="I80" s="84" t="s">
        <v>178</v>
      </c>
      <c r="J80" s="88"/>
      <c r="K80" s="20">
        <f t="shared" si="7"/>
        <v>78</v>
      </c>
      <c r="M80" s="13">
        <f t="shared" si="8"/>
        <v>48304</v>
      </c>
      <c r="N80" s="13">
        <f t="shared" si="4"/>
        <v>48304</v>
      </c>
      <c r="O80" s="13">
        <f t="shared" si="5"/>
        <v>48304</v>
      </c>
      <c r="P80">
        <v>554583530.96390533</v>
      </c>
      <c r="V80">
        <v>1</v>
      </c>
      <c r="W80" t="s">
        <v>33</v>
      </c>
      <c r="Y80" t="s">
        <v>33</v>
      </c>
      <c r="Z80" t="s">
        <v>34</v>
      </c>
      <c r="AA80">
        <v>1</v>
      </c>
    </row>
    <row r="81" spans="1:27" x14ac:dyDescent="0.35">
      <c r="A81" s="13">
        <f t="shared" si="6"/>
        <v>45930</v>
      </c>
      <c r="B81">
        <v>1</v>
      </c>
      <c r="D81" s="14" t="s">
        <v>31</v>
      </c>
      <c r="E81" s="16" t="s">
        <v>41</v>
      </c>
      <c r="F81" s="16" t="s">
        <v>41</v>
      </c>
      <c r="G81" s="17"/>
      <c r="H81" s="84" t="s">
        <v>179</v>
      </c>
      <c r="I81" s="84" t="s">
        <v>178</v>
      </c>
      <c r="J81" s="88"/>
      <c r="K81" s="20">
        <f t="shared" si="7"/>
        <v>79</v>
      </c>
      <c r="M81" s="13">
        <f t="shared" si="8"/>
        <v>48334</v>
      </c>
      <c r="N81" s="13">
        <f t="shared" si="4"/>
        <v>48334</v>
      </c>
      <c r="O81" s="13">
        <f t="shared" si="5"/>
        <v>48334</v>
      </c>
      <c r="P81">
        <v>546053762.71030426</v>
      </c>
      <c r="V81">
        <v>1</v>
      </c>
      <c r="W81" t="s">
        <v>33</v>
      </c>
      <c r="Y81" t="s">
        <v>33</v>
      </c>
      <c r="Z81" t="s">
        <v>34</v>
      </c>
      <c r="AA81">
        <v>1</v>
      </c>
    </row>
    <row r="82" spans="1:27" x14ac:dyDescent="0.35">
      <c r="A82" s="13">
        <f t="shared" si="6"/>
        <v>45930</v>
      </c>
      <c r="B82">
        <v>1</v>
      </c>
      <c r="D82" s="14" t="s">
        <v>31</v>
      </c>
      <c r="E82" s="16" t="s">
        <v>41</v>
      </c>
      <c r="F82" s="16" t="s">
        <v>41</v>
      </c>
      <c r="G82" s="17"/>
      <c r="H82" s="84" t="s">
        <v>179</v>
      </c>
      <c r="I82" s="84" t="s">
        <v>178</v>
      </c>
      <c r="J82" s="88"/>
      <c r="K82" s="20">
        <f t="shared" si="7"/>
        <v>80</v>
      </c>
      <c r="M82" s="13">
        <f t="shared" si="8"/>
        <v>48365</v>
      </c>
      <c r="N82" s="13">
        <f t="shared" si="4"/>
        <v>48365</v>
      </c>
      <c r="O82" s="13">
        <f t="shared" si="5"/>
        <v>48365</v>
      </c>
      <c r="P82">
        <v>537655186.49976349</v>
      </c>
      <c r="V82">
        <v>1</v>
      </c>
      <c r="W82" t="s">
        <v>33</v>
      </c>
      <c r="Y82" t="s">
        <v>33</v>
      </c>
      <c r="Z82" t="s">
        <v>34</v>
      </c>
      <c r="AA82">
        <v>1</v>
      </c>
    </row>
    <row r="83" spans="1:27" x14ac:dyDescent="0.35">
      <c r="A83" s="13">
        <f t="shared" si="6"/>
        <v>45930</v>
      </c>
      <c r="B83">
        <v>1</v>
      </c>
      <c r="D83" s="14" t="s">
        <v>31</v>
      </c>
      <c r="E83" s="16" t="s">
        <v>41</v>
      </c>
      <c r="F83" s="16" t="s">
        <v>41</v>
      </c>
      <c r="G83" s="17"/>
      <c r="H83" s="84" t="s">
        <v>179</v>
      </c>
      <c r="I83" s="84" t="s">
        <v>178</v>
      </c>
      <c r="J83" s="88"/>
      <c r="K83" s="20">
        <f t="shared" si="7"/>
        <v>81</v>
      </c>
      <c r="M83" s="13">
        <f t="shared" si="8"/>
        <v>48395</v>
      </c>
      <c r="N83" s="13">
        <f t="shared" si="4"/>
        <v>48395</v>
      </c>
      <c r="O83" s="13">
        <f t="shared" si="5"/>
        <v>48395</v>
      </c>
      <c r="P83">
        <v>529385784.53389359</v>
      </c>
      <c r="V83">
        <v>1</v>
      </c>
      <c r="W83" t="s">
        <v>33</v>
      </c>
      <c r="Y83" t="s">
        <v>33</v>
      </c>
      <c r="Z83" t="s">
        <v>34</v>
      </c>
      <c r="AA83">
        <v>1</v>
      </c>
    </row>
    <row r="84" spans="1:27" x14ac:dyDescent="0.35">
      <c r="A84" s="13">
        <f t="shared" si="6"/>
        <v>45930</v>
      </c>
      <c r="B84">
        <v>1</v>
      </c>
      <c r="D84" s="14" t="s">
        <v>31</v>
      </c>
      <c r="E84" s="16" t="s">
        <v>41</v>
      </c>
      <c r="F84" s="16" t="s">
        <v>41</v>
      </c>
      <c r="G84" s="17"/>
      <c r="H84" s="84" t="s">
        <v>179</v>
      </c>
      <c r="I84" s="84" t="s">
        <v>178</v>
      </c>
      <c r="J84" s="88"/>
      <c r="K84" s="20">
        <f t="shared" si="7"/>
        <v>82</v>
      </c>
      <c r="M84" s="13">
        <f t="shared" si="8"/>
        <v>48426</v>
      </c>
      <c r="N84" s="13">
        <f t="shared" si="4"/>
        <v>48426</v>
      </c>
      <c r="O84" s="13">
        <f t="shared" si="5"/>
        <v>48426</v>
      </c>
      <c r="P84">
        <v>521243570.04914093</v>
      </c>
      <c r="V84">
        <v>1</v>
      </c>
      <c r="W84" t="s">
        <v>33</v>
      </c>
      <c r="Y84" t="s">
        <v>33</v>
      </c>
      <c r="Z84" t="s">
        <v>34</v>
      </c>
      <c r="AA84">
        <v>1</v>
      </c>
    </row>
    <row r="85" spans="1:27" x14ac:dyDescent="0.35">
      <c r="A85" s="13">
        <f t="shared" si="6"/>
        <v>45930</v>
      </c>
      <c r="B85">
        <v>1</v>
      </c>
      <c r="D85" s="14" t="s">
        <v>31</v>
      </c>
      <c r="E85" s="16" t="s">
        <v>41</v>
      </c>
      <c r="F85" s="16" t="s">
        <v>41</v>
      </c>
      <c r="G85" s="17"/>
      <c r="H85" s="84" t="s">
        <v>179</v>
      </c>
      <c r="I85" s="84" t="s">
        <v>178</v>
      </c>
      <c r="J85" s="88"/>
      <c r="K85" s="20">
        <f t="shared" si="7"/>
        <v>83</v>
      </c>
      <c r="M85" s="13">
        <f t="shared" si="8"/>
        <v>48457</v>
      </c>
      <c r="N85" s="13">
        <f t="shared" si="4"/>
        <v>48457</v>
      </c>
      <c r="O85" s="13">
        <f t="shared" si="5"/>
        <v>48457</v>
      </c>
      <c r="P85">
        <v>513226586.83930969</v>
      </c>
      <c r="V85">
        <v>1</v>
      </c>
      <c r="W85" t="s">
        <v>33</v>
      </c>
      <c r="Y85" t="s">
        <v>33</v>
      </c>
      <c r="Z85" t="s">
        <v>34</v>
      </c>
      <c r="AA85">
        <v>1</v>
      </c>
    </row>
    <row r="86" spans="1:27" x14ac:dyDescent="0.35">
      <c r="A86" s="13">
        <f t="shared" si="6"/>
        <v>45930</v>
      </c>
      <c r="B86">
        <v>1</v>
      </c>
      <c r="D86" s="14" t="s">
        <v>31</v>
      </c>
      <c r="E86" s="16" t="s">
        <v>41</v>
      </c>
      <c r="F86" s="16" t="s">
        <v>41</v>
      </c>
      <c r="G86" s="17"/>
      <c r="H86" s="84" t="s">
        <v>179</v>
      </c>
      <c r="I86" s="84" t="s">
        <v>178</v>
      </c>
      <c r="J86" s="88"/>
      <c r="K86" s="20">
        <f t="shared" si="7"/>
        <v>84</v>
      </c>
      <c r="M86" s="13">
        <f t="shared" si="8"/>
        <v>48487</v>
      </c>
      <c r="N86" s="13">
        <f t="shared" si="4"/>
        <v>48487</v>
      </c>
      <c r="O86" s="13">
        <f t="shared" si="5"/>
        <v>48487</v>
      </c>
      <c r="P86">
        <v>505332908.78559494</v>
      </c>
      <c r="V86">
        <v>1</v>
      </c>
      <c r="W86" t="s">
        <v>33</v>
      </c>
      <c r="Y86" t="s">
        <v>33</v>
      </c>
      <c r="Z86" t="s">
        <v>34</v>
      </c>
      <c r="AA86">
        <v>1</v>
      </c>
    </row>
    <row r="87" spans="1:27" x14ac:dyDescent="0.35">
      <c r="A87" s="13">
        <f t="shared" si="6"/>
        <v>45930</v>
      </c>
      <c r="B87">
        <v>1</v>
      </c>
      <c r="D87" s="14" t="s">
        <v>31</v>
      </c>
      <c r="E87" s="16" t="s">
        <v>41</v>
      </c>
      <c r="F87" s="16" t="s">
        <v>41</v>
      </c>
      <c r="G87" s="17"/>
      <c r="H87" s="84" t="s">
        <v>179</v>
      </c>
      <c r="I87" s="84" t="s">
        <v>178</v>
      </c>
      <c r="J87" s="88"/>
      <c r="K87" s="20">
        <f t="shared" si="7"/>
        <v>85</v>
      </c>
      <c r="M87" s="13">
        <f t="shared" si="8"/>
        <v>48518</v>
      </c>
      <c r="N87" s="13">
        <f t="shared" si="4"/>
        <v>48518</v>
      </c>
      <c r="O87" s="13">
        <f t="shared" si="5"/>
        <v>48518</v>
      </c>
      <c r="P87">
        <v>497560639.39387894</v>
      </c>
      <c r="V87">
        <v>1</v>
      </c>
      <c r="W87" t="s">
        <v>33</v>
      </c>
      <c r="Y87" t="s">
        <v>33</v>
      </c>
      <c r="Z87" t="s">
        <v>34</v>
      </c>
      <c r="AA87">
        <v>1</v>
      </c>
    </row>
    <row r="88" spans="1:27" x14ac:dyDescent="0.35">
      <c r="A88" s="13">
        <f t="shared" si="6"/>
        <v>45930</v>
      </c>
      <c r="B88">
        <v>1</v>
      </c>
      <c r="D88" s="14" t="s">
        <v>31</v>
      </c>
      <c r="E88" s="16" t="s">
        <v>41</v>
      </c>
      <c r="F88" s="16" t="s">
        <v>41</v>
      </c>
      <c r="G88" s="17"/>
      <c r="H88" s="84" t="s">
        <v>179</v>
      </c>
      <c r="I88" s="84" t="s">
        <v>178</v>
      </c>
      <c r="J88" s="88"/>
      <c r="K88" s="20">
        <f t="shared" si="7"/>
        <v>86</v>
      </c>
      <c r="M88" s="13">
        <f t="shared" si="8"/>
        <v>48548</v>
      </c>
      <c r="N88" s="13">
        <f t="shared" si="4"/>
        <v>48548</v>
      </c>
      <c r="O88" s="13">
        <f t="shared" si="5"/>
        <v>48548</v>
      </c>
      <c r="P88">
        <v>489907911.33908463</v>
      </c>
      <c r="V88">
        <v>1</v>
      </c>
      <c r="W88" t="s">
        <v>33</v>
      </c>
      <c r="Y88" t="s">
        <v>33</v>
      </c>
      <c r="Z88" t="s">
        <v>34</v>
      </c>
      <c r="AA88">
        <v>1</v>
      </c>
    </row>
    <row r="89" spans="1:27" x14ac:dyDescent="0.35">
      <c r="A89" s="13">
        <f t="shared" si="6"/>
        <v>45930</v>
      </c>
      <c r="B89">
        <v>1</v>
      </c>
      <c r="D89" s="14" t="s">
        <v>31</v>
      </c>
      <c r="E89" s="16" t="s">
        <v>41</v>
      </c>
      <c r="F89" s="16" t="s">
        <v>41</v>
      </c>
      <c r="G89" s="17"/>
      <c r="H89" s="84" t="s">
        <v>179</v>
      </c>
      <c r="I89" s="84" t="s">
        <v>178</v>
      </c>
      <c r="J89" s="88"/>
      <c r="K89" s="20">
        <f t="shared" si="7"/>
        <v>87</v>
      </c>
      <c r="M89" s="13">
        <f t="shared" si="8"/>
        <v>48579</v>
      </c>
      <c r="N89" s="13">
        <f t="shared" si="4"/>
        <v>48579</v>
      </c>
      <c r="O89" s="13">
        <f t="shared" si="5"/>
        <v>48579</v>
      </c>
      <c r="P89">
        <v>482372886.01646423</v>
      </c>
      <c r="V89">
        <v>1</v>
      </c>
      <c r="W89" t="s">
        <v>33</v>
      </c>
      <c r="Y89" t="s">
        <v>33</v>
      </c>
      <c r="Z89" t="s">
        <v>34</v>
      </c>
      <c r="AA89">
        <v>1</v>
      </c>
    </row>
    <row r="90" spans="1:27" x14ac:dyDescent="0.35">
      <c r="A90" s="13">
        <f t="shared" si="6"/>
        <v>45930</v>
      </c>
      <c r="B90">
        <v>1</v>
      </c>
      <c r="D90" s="14" t="s">
        <v>31</v>
      </c>
      <c r="E90" s="16" t="s">
        <v>41</v>
      </c>
      <c r="F90" s="16" t="s">
        <v>41</v>
      </c>
      <c r="G90" s="17"/>
      <c r="H90" s="84" t="s">
        <v>179</v>
      </c>
      <c r="I90" s="84" t="s">
        <v>178</v>
      </c>
      <c r="J90" s="88"/>
      <c r="K90" s="20">
        <f t="shared" si="7"/>
        <v>88</v>
      </c>
      <c r="M90" s="13">
        <f t="shared" si="8"/>
        <v>48610</v>
      </c>
      <c r="N90" s="13">
        <f t="shared" si="4"/>
        <v>48610</v>
      </c>
      <c r="O90" s="13">
        <f t="shared" si="5"/>
        <v>48610</v>
      </c>
      <c r="P90">
        <v>474953753.09993744</v>
      </c>
      <c r="V90">
        <v>1</v>
      </c>
      <c r="W90" t="s">
        <v>33</v>
      </c>
      <c r="Y90" t="s">
        <v>33</v>
      </c>
      <c r="Z90" t="s">
        <v>34</v>
      </c>
      <c r="AA90">
        <v>1</v>
      </c>
    </row>
    <row r="91" spans="1:27" x14ac:dyDescent="0.35">
      <c r="A91" s="13">
        <f t="shared" si="6"/>
        <v>45930</v>
      </c>
      <c r="B91">
        <v>1</v>
      </c>
      <c r="D91" s="14" t="s">
        <v>31</v>
      </c>
      <c r="E91" s="16" t="s">
        <v>41</v>
      </c>
      <c r="F91" s="16" t="s">
        <v>41</v>
      </c>
      <c r="G91" s="17"/>
      <c r="H91" s="84" t="s">
        <v>179</v>
      </c>
      <c r="I91" s="84" t="s">
        <v>178</v>
      </c>
      <c r="J91" s="88"/>
      <c r="K91" s="20">
        <f t="shared" si="7"/>
        <v>89</v>
      </c>
      <c r="M91" s="13">
        <f t="shared" si="8"/>
        <v>48638</v>
      </c>
      <c r="N91" s="13">
        <f t="shared" si="4"/>
        <v>48638</v>
      </c>
      <c r="O91" s="13">
        <f t="shared" si="5"/>
        <v>48638</v>
      </c>
      <c r="P91">
        <v>467648730.10714722</v>
      </c>
      <c r="V91">
        <v>1</v>
      </c>
      <c r="W91" t="s">
        <v>33</v>
      </c>
      <c r="Y91" t="s">
        <v>33</v>
      </c>
      <c r="Z91" t="s">
        <v>34</v>
      </c>
      <c r="AA91">
        <v>1</v>
      </c>
    </row>
    <row r="92" spans="1:27" x14ac:dyDescent="0.35">
      <c r="A92" s="13">
        <f t="shared" si="6"/>
        <v>45930</v>
      </c>
      <c r="B92">
        <v>1</v>
      </c>
      <c r="D92" s="14" t="s">
        <v>31</v>
      </c>
      <c r="E92" s="16" t="s">
        <v>41</v>
      </c>
      <c r="F92" s="16" t="s">
        <v>41</v>
      </c>
      <c r="G92" s="17"/>
      <c r="H92" s="84" t="s">
        <v>179</v>
      </c>
      <c r="I92" s="84" t="s">
        <v>178</v>
      </c>
      <c r="J92" s="88"/>
      <c r="K92" s="20">
        <f t="shared" si="7"/>
        <v>90</v>
      </c>
      <c r="M92" s="13">
        <f t="shared" si="8"/>
        <v>48669</v>
      </c>
      <c r="N92" s="13">
        <f t="shared" si="4"/>
        <v>48669</v>
      </c>
      <c r="O92" s="13">
        <f t="shared" si="5"/>
        <v>48669</v>
      </c>
      <c r="P92">
        <v>460456061.97117615</v>
      </c>
      <c r="V92">
        <v>1</v>
      </c>
      <c r="W92" t="s">
        <v>33</v>
      </c>
      <c r="Y92" t="s">
        <v>33</v>
      </c>
      <c r="Z92" t="s">
        <v>34</v>
      </c>
      <c r="AA92">
        <v>1</v>
      </c>
    </row>
    <row r="93" spans="1:27" x14ac:dyDescent="0.35">
      <c r="A93" s="13">
        <f t="shared" si="6"/>
        <v>45930</v>
      </c>
      <c r="B93">
        <v>1</v>
      </c>
      <c r="D93" s="14" t="s">
        <v>31</v>
      </c>
      <c r="E93" s="16" t="s">
        <v>41</v>
      </c>
      <c r="F93" s="16" t="s">
        <v>41</v>
      </c>
      <c r="G93" s="17"/>
      <c r="H93" s="84" t="s">
        <v>179</v>
      </c>
      <c r="I93" s="84" t="s">
        <v>178</v>
      </c>
      <c r="J93" s="88"/>
      <c r="K93" s="20">
        <f t="shared" si="7"/>
        <v>91</v>
      </c>
      <c r="M93" s="13">
        <f t="shared" si="8"/>
        <v>48699</v>
      </c>
      <c r="N93" s="13">
        <f t="shared" si="4"/>
        <v>48699</v>
      </c>
      <c r="O93" s="13">
        <f t="shared" si="5"/>
        <v>48699</v>
      </c>
      <c r="P93">
        <v>453374020.6189003</v>
      </c>
      <c r="V93">
        <v>1</v>
      </c>
      <c r="W93" t="s">
        <v>33</v>
      </c>
      <c r="Y93" t="s">
        <v>33</v>
      </c>
      <c r="Z93" t="s">
        <v>34</v>
      </c>
      <c r="AA93">
        <v>1</v>
      </c>
    </row>
    <row r="94" spans="1:27" x14ac:dyDescent="0.35">
      <c r="A94" s="13">
        <f t="shared" si="6"/>
        <v>45930</v>
      </c>
      <c r="B94">
        <v>1</v>
      </c>
      <c r="D94" s="14" t="s">
        <v>31</v>
      </c>
      <c r="E94" s="16" t="s">
        <v>41</v>
      </c>
      <c r="F94" s="16" t="s">
        <v>41</v>
      </c>
      <c r="G94" s="17"/>
      <c r="H94" s="84" t="s">
        <v>179</v>
      </c>
      <c r="I94" s="84" t="s">
        <v>178</v>
      </c>
      <c r="J94" s="88"/>
      <c r="K94" s="20">
        <f t="shared" si="7"/>
        <v>92</v>
      </c>
      <c r="M94" s="13">
        <f t="shared" si="8"/>
        <v>48730</v>
      </c>
      <c r="N94" s="13">
        <f t="shared" si="4"/>
        <v>48730</v>
      </c>
      <c r="O94" s="13">
        <f t="shared" si="5"/>
        <v>48730</v>
      </c>
      <c r="P94">
        <v>446400904.55582809</v>
      </c>
      <c r="V94">
        <v>1</v>
      </c>
      <c r="W94" t="s">
        <v>33</v>
      </c>
      <c r="Y94" t="s">
        <v>33</v>
      </c>
      <c r="Z94" t="s">
        <v>34</v>
      </c>
      <c r="AA94">
        <v>1</v>
      </c>
    </row>
    <row r="95" spans="1:27" x14ac:dyDescent="0.35">
      <c r="A95" s="13">
        <f t="shared" si="6"/>
        <v>45930</v>
      </c>
      <c r="B95">
        <v>1</v>
      </c>
      <c r="D95" s="14" t="s">
        <v>31</v>
      </c>
      <c r="E95" s="16" t="s">
        <v>41</v>
      </c>
      <c r="F95" s="16" t="s">
        <v>41</v>
      </c>
      <c r="G95" s="17"/>
      <c r="H95" s="84" t="s">
        <v>179</v>
      </c>
      <c r="I95" s="84" t="s">
        <v>178</v>
      </c>
      <c r="J95" s="88"/>
      <c r="K95" s="20">
        <f t="shared" si="7"/>
        <v>93</v>
      </c>
      <c r="M95" s="13">
        <f t="shared" si="8"/>
        <v>48760</v>
      </c>
      <c r="N95" s="13">
        <f t="shared" si="4"/>
        <v>48760</v>
      </c>
      <c r="O95" s="13">
        <f t="shared" si="5"/>
        <v>48760</v>
      </c>
      <c r="P95">
        <v>439535038.45729446</v>
      </c>
      <c r="V95">
        <v>1</v>
      </c>
      <c r="W95" t="s">
        <v>33</v>
      </c>
      <c r="Y95" t="s">
        <v>33</v>
      </c>
      <c r="Z95" t="s">
        <v>34</v>
      </c>
      <c r="AA95">
        <v>1</v>
      </c>
    </row>
    <row r="96" spans="1:27" x14ac:dyDescent="0.35">
      <c r="A96" s="13">
        <f t="shared" si="6"/>
        <v>45930</v>
      </c>
      <c r="B96">
        <v>1</v>
      </c>
      <c r="D96" s="14" t="s">
        <v>31</v>
      </c>
      <c r="E96" s="16" t="s">
        <v>41</v>
      </c>
      <c r="F96" s="16" t="s">
        <v>41</v>
      </c>
      <c r="G96" s="17"/>
      <c r="H96" s="84" t="s">
        <v>179</v>
      </c>
      <c r="I96" s="84" t="s">
        <v>178</v>
      </c>
      <c r="J96" s="88"/>
      <c r="K96" s="20">
        <f t="shared" si="7"/>
        <v>94</v>
      </c>
      <c r="M96" s="13">
        <f t="shared" si="8"/>
        <v>48791</v>
      </c>
      <c r="N96" s="13">
        <f t="shared" si="4"/>
        <v>48791</v>
      </c>
      <c r="O96" s="13">
        <f t="shared" si="5"/>
        <v>48791</v>
      </c>
      <c r="P96">
        <v>432774772.76592636</v>
      </c>
      <c r="V96">
        <v>1</v>
      </c>
      <c r="W96" t="s">
        <v>33</v>
      </c>
      <c r="Y96" t="s">
        <v>33</v>
      </c>
      <c r="Z96" t="s">
        <v>34</v>
      </c>
      <c r="AA96">
        <v>1</v>
      </c>
    </row>
    <row r="97" spans="1:27" x14ac:dyDescent="0.35">
      <c r="A97" s="13">
        <f t="shared" si="6"/>
        <v>45930</v>
      </c>
      <c r="B97">
        <v>1</v>
      </c>
      <c r="D97" s="14" t="s">
        <v>31</v>
      </c>
      <c r="E97" s="16" t="s">
        <v>41</v>
      </c>
      <c r="F97" s="16" t="s">
        <v>41</v>
      </c>
      <c r="G97" s="17"/>
      <c r="H97" s="84" t="s">
        <v>179</v>
      </c>
      <c r="I97" s="84" t="s">
        <v>178</v>
      </c>
      <c r="J97" s="88"/>
      <c r="K97" s="20">
        <f t="shared" si="7"/>
        <v>95</v>
      </c>
      <c r="M97" s="13">
        <f t="shared" si="8"/>
        <v>48822</v>
      </c>
      <c r="N97" s="13">
        <f t="shared" si="4"/>
        <v>48822</v>
      </c>
      <c r="O97" s="13">
        <f t="shared" si="5"/>
        <v>48822</v>
      </c>
      <c r="P97">
        <v>426118483.29537201</v>
      </c>
      <c r="V97">
        <v>1</v>
      </c>
      <c r="W97" t="s">
        <v>33</v>
      </c>
      <c r="Y97" t="s">
        <v>33</v>
      </c>
      <c r="Z97" t="s">
        <v>34</v>
      </c>
      <c r="AA97">
        <v>1</v>
      </c>
    </row>
    <row r="98" spans="1:27" x14ac:dyDescent="0.35">
      <c r="A98" s="13">
        <f t="shared" si="6"/>
        <v>45930</v>
      </c>
      <c r="B98">
        <v>1</v>
      </c>
      <c r="D98" s="14" t="s">
        <v>31</v>
      </c>
      <c r="E98" s="16" t="s">
        <v>41</v>
      </c>
      <c r="F98" s="16" t="s">
        <v>41</v>
      </c>
      <c r="G98" s="17"/>
      <c r="H98" s="84" t="s">
        <v>179</v>
      </c>
      <c r="I98" s="84" t="s">
        <v>178</v>
      </c>
      <c r="J98" s="88"/>
      <c r="K98" s="20">
        <f t="shared" si="7"/>
        <v>96</v>
      </c>
      <c r="M98" s="13">
        <f t="shared" si="8"/>
        <v>48852</v>
      </c>
      <c r="N98" s="13">
        <f t="shared" si="4"/>
        <v>48852</v>
      </c>
      <c r="O98" s="13">
        <f t="shared" si="5"/>
        <v>48852</v>
      </c>
      <c r="P98">
        <v>419564570.84009171</v>
      </c>
      <c r="V98">
        <v>1</v>
      </c>
      <c r="W98" t="s">
        <v>33</v>
      </c>
      <c r="Y98" t="s">
        <v>33</v>
      </c>
      <c r="Z98" t="s">
        <v>34</v>
      </c>
      <c r="AA98">
        <v>1</v>
      </c>
    </row>
    <row r="99" spans="1:27" x14ac:dyDescent="0.35">
      <c r="A99" s="13">
        <f t="shared" si="6"/>
        <v>45930</v>
      </c>
      <c r="B99">
        <v>1</v>
      </c>
      <c r="D99" s="14" t="s">
        <v>31</v>
      </c>
      <c r="E99" s="16" t="s">
        <v>41</v>
      </c>
      <c r="F99" s="16" t="s">
        <v>41</v>
      </c>
      <c r="G99" s="17"/>
      <c r="H99" s="84" t="s">
        <v>179</v>
      </c>
      <c r="I99" s="84" t="s">
        <v>178</v>
      </c>
      <c r="J99" s="88"/>
      <c r="K99" s="20">
        <f t="shared" si="7"/>
        <v>97</v>
      </c>
      <c r="M99" s="13">
        <f t="shared" si="8"/>
        <v>48883</v>
      </c>
      <c r="N99" s="13">
        <f t="shared" si="4"/>
        <v>48883</v>
      </c>
      <c r="O99" s="13">
        <f t="shared" si="5"/>
        <v>48883</v>
      </c>
      <c r="P99">
        <v>413111460.79107285</v>
      </c>
      <c r="V99">
        <v>1</v>
      </c>
      <c r="W99" t="s">
        <v>33</v>
      </c>
      <c r="Y99" t="s">
        <v>33</v>
      </c>
      <c r="Z99" t="s">
        <v>34</v>
      </c>
      <c r="AA99">
        <v>1</v>
      </c>
    </row>
    <row r="100" spans="1:27" x14ac:dyDescent="0.35">
      <c r="A100" s="13">
        <f t="shared" si="6"/>
        <v>45930</v>
      </c>
      <c r="B100">
        <v>1</v>
      </c>
      <c r="D100" s="14" t="s">
        <v>31</v>
      </c>
      <c r="E100" s="16" t="s">
        <v>41</v>
      </c>
      <c r="F100" s="16" t="s">
        <v>41</v>
      </c>
      <c r="G100" s="17"/>
      <c r="H100" s="84" t="s">
        <v>179</v>
      </c>
      <c r="I100" s="84" t="s">
        <v>178</v>
      </c>
      <c r="J100" s="88"/>
      <c r="K100" s="20">
        <f t="shared" si="7"/>
        <v>98</v>
      </c>
      <c r="M100" s="13">
        <f t="shared" si="8"/>
        <v>48913</v>
      </c>
      <c r="N100" s="13">
        <f t="shared" si="4"/>
        <v>48913</v>
      </c>
      <c r="O100" s="13">
        <f t="shared" si="5"/>
        <v>48913</v>
      </c>
      <c r="P100">
        <v>406757602.75758743</v>
      </c>
      <c r="V100">
        <v>1</v>
      </c>
      <c r="W100" t="s">
        <v>33</v>
      </c>
      <c r="Y100" t="s">
        <v>33</v>
      </c>
      <c r="Z100" t="s">
        <v>34</v>
      </c>
      <c r="AA100">
        <v>1</v>
      </c>
    </row>
    <row r="101" spans="1:27" x14ac:dyDescent="0.35">
      <c r="A101" s="13">
        <f t="shared" si="6"/>
        <v>45930</v>
      </c>
      <c r="B101">
        <v>1</v>
      </c>
      <c r="D101" s="14" t="s">
        <v>31</v>
      </c>
      <c r="E101" s="16" t="s">
        <v>41</v>
      </c>
      <c r="F101" s="16" t="s">
        <v>41</v>
      </c>
      <c r="G101" s="17"/>
      <c r="H101" s="84" t="s">
        <v>179</v>
      </c>
      <c r="I101" s="84" t="s">
        <v>178</v>
      </c>
      <c r="J101" s="88"/>
      <c r="K101" s="20">
        <f t="shared" si="7"/>
        <v>99</v>
      </c>
      <c r="M101" s="13">
        <f t="shared" si="8"/>
        <v>48944</v>
      </c>
      <c r="N101" s="13">
        <f t="shared" ref="N101:N110" si="9">M101</f>
        <v>48944</v>
      </c>
      <c r="O101" s="13">
        <f t="shared" ref="O101:O110" si="10">N101</f>
        <v>48944</v>
      </c>
      <c r="P101">
        <v>400501470.19470215</v>
      </c>
      <c r="V101">
        <v>1</v>
      </c>
      <c r="W101" t="s">
        <v>33</v>
      </c>
      <c r="Y101" t="s">
        <v>33</v>
      </c>
      <c r="Z101" t="s">
        <v>34</v>
      </c>
      <c r="AA101">
        <v>1</v>
      </c>
    </row>
    <row r="102" spans="1:27" x14ac:dyDescent="0.35">
      <c r="A102" s="13">
        <f t="shared" si="6"/>
        <v>45930</v>
      </c>
      <c r="B102">
        <v>1</v>
      </c>
      <c r="D102" s="14" t="s">
        <v>31</v>
      </c>
      <c r="E102" s="16" t="s">
        <v>41</v>
      </c>
      <c r="F102" s="16" t="s">
        <v>41</v>
      </c>
      <c r="G102" s="17"/>
      <c r="H102" s="84" t="s">
        <v>179</v>
      </c>
      <c r="I102" s="84" t="s">
        <v>178</v>
      </c>
      <c r="J102" s="88"/>
      <c r="K102" s="20">
        <f t="shared" si="7"/>
        <v>100</v>
      </c>
      <c r="M102" s="13">
        <f t="shared" si="8"/>
        <v>48975</v>
      </c>
      <c r="N102" s="13">
        <f t="shared" si="9"/>
        <v>48975</v>
      </c>
      <c r="O102" s="13">
        <f t="shared" si="10"/>
        <v>48975</v>
      </c>
      <c r="P102">
        <v>394341560.03644943</v>
      </c>
      <c r="V102">
        <v>1</v>
      </c>
      <c r="W102" t="s">
        <v>33</v>
      </c>
      <c r="Y102" t="s">
        <v>33</v>
      </c>
      <c r="Z102" t="s">
        <v>34</v>
      </c>
      <c r="AA102">
        <v>1</v>
      </c>
    </row>
    <row r="103" spans="1:27" x14ac:dyDescent="0.35">
      <c r="A103" s="13">
        <f t="shared" si="6"/>
        <v>45930</v>
      </c>
      <c r="B103">
        <v>1</v>
      </c>
      <c r="D103" s="14" t="s">
        <v>31</v>
      </c>
      <c r="E103" s="16" t="s">
        <v>41</v>
      </c>
      <c r="F103" s="16" t="s">
        <v>41</v>
      </c>
      <c r="G103" s="17"/>
      <c r="H103" s="84" t="s">
        <v>179</v>
      </c>
      <c r="I103" s="84" t="s">
        <v>178</v>
      </c>
      <c r="J103" s="88"/>
      <c r="K103" s="20">
        <f t="shared" si="7"/>
        <v>101</v>
      </c>
      <c r="M103" s="13">
        <f t="shared" si="8"/>
        <v>49003</v>
      </c>
      <c r="N103" s="13">
        <f t="shared" si="9"/>
        <v>49003</v>
      </c>
      <c r="O103" s="13">
        <f t="shared" si="10"/>
        <v>49003</v>
      </c>
      <c r="P103">
        <v>388276392.33478928</v>
      </c>
      <c r="V103">
        <v>1</v>
      </c>
      <c r="W103" t="s">
        <v>33</v>
      </c>
      <c r="Y103" t="s">
        <v>33</v>
      </c>
      <c r="Z103" t="s">
        <v>34</v>
      </c>
      <c r="AA103">
        <v>1</v>
      </c>
    </row>
    <row r="104" spans="1:27" x14ac:dyDescent="0.35">
      <c r="A104" s="13">
        <f t="shared" si="6"/>
        <v>45930</v>
      </c>
      <c r="B104">
        <v>1</v>
      </c>
      <c r="D104" s="14" t="s">
        <v>31</v>
      </c>
      <c r="E104" s="16" t="s">
        <v>41</v>
      </c>
      <c r="F104" s="16" t="s">
        <v>41</v>
      </c>
      <c r="G104" s="17"/>
      <c r="H104" s="84" t="s">
        <v>179</v>
      </c>
      <c r="I104" s="84" t="s">
        <v>178</v>
      </c>
      <c r="J104" s="88"/>
      <c r="K104" s="20">
        <f t="shared" si="7"/>
        <v>102</v>
      </c>
      <c r="M104" s="13">
        <f t="shared" si="8"/>
        <v>49034</v>
      </c>
      <c r="N104" s="13">
        <f t="shared" si="9"/>
        <v>49034</v>
      </c>
      <c r="O104" s="13">
        <f t="shared" si="10"/>
        <v>49034</v>
      </c>
      <c r="P104">
        <v>382304509.90403366</v>
      </c>
      <c r="V104">
        <v>1</v>
      </c>
      <c r="W104" t="s">
        <v>33</v>
      </c>
      <c r="Y104" t="s">
        <v>33</v>
      </c>
      <c r="Z104" t="s">
        <v>34</v>
      </c>
      <c r="AA104">
        <v>1</v>
      </c>
    </row>
    <row r="105" spans="1:27" x14ac:dyDescent="0.35">
      <c r="A105" s="13">
        <f t="shared" si="6"/>
        <v>45930</v>
      </c>
      <c r="B105">
        <v>1</v>
      </c>
      <c r="D105" s="14" t="s">
        <v>31</v>
      </c>
      <c r="E105" s="16" t="s">
        <v>41</v>
      </c>
      <c r="F105" s="16" t="s">
        <v>41</v>
      </c>
      <c r="G105" s="17"/>
      <c r="H105" s="84" t="s">
        <v>179</v>
      </c>
      <c r="I105" s="84" t="s">
        <v>178</v>
      </c>
      <c r="J105" s="88"/>
      <c r="K105" s="20">
        <f t="shared" si="7"/>
        <v>103</v>
      </c>
      <c r="M105" s="13">
        <f t="shared" si="8"/>
        <v>49064</v>
      </c>
      <c r="N105" s="13">
        <f t="shared" si="9"/>
        <v>49064</v>
      </c>
      <c r="O105" s="13">
        <f t="shared" si="10"/>
        <v>49064</v>
      </c>
      <c r="P105">
        <v>376424477.97066498</v>
      </c>
      <c r="V105">
        <v>1</v>
      </c>
      <c r="W105" t="s">
        <v>33</v>
      </c>
      <c r="Y105" t="s">
        <v>33</v>
      </c>
      <c r="Z105" t="s">
        <v>34</v>
      </c>
      <c r="AA105">
        <v>1</v>
      </c>
    </row>
    <row r="106" spans="1:27" x14ac:dyDescent="0.35">
      <c r="A106" s="13">
        <f t="shared" si="6"/>
        <v>45930</v>
      </c>
      <c r="B106">
        <v>1</v>
      </c>
      <c r="D106" s="14" t="s">
        <v>31</v>
      </c>
      <c r="E106" s="16" t="s">
        <v>41</v>
      </c>
      <c r="F106" s="16" t="s">
        <v>41</v>
      </c>
      <c r="G106" s="17"/>
      <c r="H106" s="84" t="s">
        <v>179</v>
      </c>
      <c r="I106" s="84" t="s">
        <v>178</v>
      </c>
      <c r="J106" s="88"/>
      <c r="K106" s="20">
        <f t="shared" si="7"/>
        <v>104</v>
      </c>
      <c r="M106" s="13">
        <f t="shared" si="8"/>
        <v>49095</v>
      </c>
      <c r="N106" s="13">
        <f t="shared" si="9"/>
        <v>49095</v>
      </c>
      <c r="O106" s="13">
        <f t="shared" si="10"/>
        <v>49095</v>
      </c>
      <c r="P106">
        <v>370634883.82876205</v>
      </c>
      <c r="V106">
        <v>1</v>
      </c>
      <c r="W106" t="s">
        <v>33</v>
      </c>
      <c r="Y106" t="s">
        <v>33</v>
      </c>
      <c r="Z106" t="s">
        <v>34</v>
      </c>
      <c r="AA106">
        <v>1</v>
      </c>
    </row>
    <row r="107" spans="1:27" x14ac:dyDescent="0.35">
      <c r="A107" s="13">
        <f t="shared" si="6"/>
        <v>45930</v>
      </c>
      <c r="B107">
        <v>1</v>
      </c>
      <c r="D107" s="14" t="s">
        <v>31</v>
      </c>
      <c r="E107" s="16" t="s">
        <v>41</v>
      </c>
      <c r="F107" s="16" t="s">
        <v>41</v>
      </c>
      <c r="G107" s="17"/>
      <c r="H107" s="84" t="s">
        <v>179</v>
      </c>
      <c r="I107" s="84" t="s">
        <v>178</v>
      </c>
      <c r="J107" s="88"/>
      <c r="K107" s="20">
        <f t="shared" si="7"/>
        <v>105</v>
      </c>
      <c r="M107" s="13">
        <f t="shared" si="8"/>
        <v>49125</v>
      </c>
      <c r="N107" s="13">
        <f t="shared" si="9"/>
        <v>49125</v>
      </c>
      <c r="O107" s="13">
        <f t="shared" si="10"/>
        <v>49125</v>
      </c>
      <c r="P107">
        <v>364934336.50045395</v>
      </c>
      <c r="V107">
        <v>1</v>
      </c>
      <c r="W107" t="s">
        <v>33</v>
      </c>
      <c r="Y107" t="s">
        <v>33</v>
      </c>
      <c r="Z107" t="s">
        <v>34</v>
      </c>
      <c r="AA107">
        <v>1</v>
      </c>
    </row>
    <row r="108" spans="1:27" x14ac:dyDescent="0.35">
      <c r="A108" s="13">
        <f t="shared" si="6"/>
        <v>45930</v>
      </c>
      <c r="B108">
        <v>1</v>
      </c>
      <c r="D108" s="14" t="s">
        <v>31</v>
      </c>
      <c r="E108" s="16" t="s">
        <v>41</v>
      </c>
      <c r="F108" s="16" t="s">
        <v>41</v>
      </c>
      <c r="G108" s="17"/>
      <c r="H108" s="84" t="s">
        <v>179</v>
      </c>
      <c r="I108" s="84" t="s">
        <v>178</v>
      </c>
      <c r="J108" s="88"/>
      <c r="K108" s="20">
        <f t="shared" si="7"/>
        <v>106</v>
      </c>
      <c r="M108" s="13">
        <f t="shared" si="8"/>
        <v>49156</v>
      </c>
      <c r="N108" s="13">
        <f t="shared" si="9"/>
        <v>49156</v>
      </c>
      <c r="O108" s="13">
        <f t="shared" si="10"/>
        <v>49156</v>
      </c>
      <c r="P108">
        <v>359321466.40185547</v>
      </c>
      <c r="V108">
        <v>1</v>
      </c>
      <c r="W108" t="s">
        <v>33</v>
      </c>
      <c r="Y108" t="s">
        <v>33</v>
      </c>
      <c r="Z108" t="s">
        <v>34</v>
      </c>
      <c r="AA108">
        <v>1</v>
      </c>
    </row>
    <row r="109" spans="1:27" x14ac:dyDescent="0.35">
      <c r="A109" s="13">
        <f t="shared" si="6"/>
        <v>45930</v>
      </c>
      <c r="B109">
        <v>1</v>
      </c>
      <c r="D109" s="14" t="s">
        <v>31</v>
      </c>
      <c r="E109" s="16" t="s">
        <v>41</v>
      </c>
      <c r="F109" s="16" t="s">
        <v>41</v>
      </c>
      <c r="G109" s="17"/>
      <c r="H109" s="84" t="s">
        <v>179</v>
      </c>
      <c r="I109" s="84" t="s">
        <v>178</v>
      </c>
      <c r="J109" s="88"/>
      <c r="K109" s="20">
        <f t="shared" si="7"/>
        <v>107</v>
      </c>
      <c r="M109" s="13">
        <f t="shared" si="8"/>
        <v>49187</v>
      </c>
      <c r="N109" s="13">
        <f t="shared" si="9"/>
        <v>49187</v>
      </c>
      <c r="O109" s="13">
        <f t="shared" si="10"/>
        <v>49187</v>
      </c>
      <c r="P109" s="24">
        <v>353794925.01390076</v>
      </c>
      <c r="V109">
        <v>1</v>
      </c>
      <c r="W109" t="s">
        <v>33</v>
      </c>
      <c r="Y109" t="s">
        <v>33</v>
      </c>
      <c r="Z109" t="s">
        <v>34</v>
      </c>
      <c r="AA109">
        <v>1</v>
      </c>
    </row>
    <row r="110" spans="1:27" x14ac:dyDescent="0.35">
      <c r="A110" s="13">
        <f t="shared" si="6"/>
        <v>45930</v>
      </c>
      <c r="B110">
        <v>1</v>
      </c>
      <c r="D110" s="14" t="s">
        <v>31</v>
      </c>
      <c r="E110" s="16" t="s">
        <v>41</v>
      </c>
      <c r="F110" s="16" t="s">
        <v>41</v>
      </c>
      <c r="G110" s="17"/>
      <c r="H110" s="84" t="s">
        <v>179</v>
      </c>
      <c r="I110" s="84" t="s">
        <v>178</v>
      </c>
      <c r="J110" s="88"/>
      <c r="K110" s="20">
        <f t="shared" si="7"/>
        <v>108</v>
      </c>
      <c r="M110" s="13">
        <f t="shared" si="8"/>
        <v>49217</v>
      </c>
      <c r="N110" s="13">
        <f t="shared" si="9"/>
        <v>49217</v>
      </c>
      <c r="O110" s="13">
        <f t="shared" si="10"/>
        <v>49217</v>
      </c>
      <c r="P110" s="24">
        <v>22649038553.929489</v>
      </c>
      <c r="V110">
        <v>1</v>
      </c>
      <c r="W110" t="s">
        <v>33</v>
      </c>
      <c r="Y110" t="s">
        <v>33</v>
      </c>
      <c r="Z110" t="s">
        <v>34</v>
      </c>
      <c r="AA110">
        <v>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8">
    <tabColor rgb="FFFFFF00"/>
  </sheetPr>
  <dimension ref="A1:AE325"/>
  <sheetViews>
    <sheetView zoomScale="80" zoomScaleNormal="80" workbookViewId="0">
      <selection activeCell="A2" sqref="A2:AE72"/>
    </sheetView>
  </sheetViews>
  <sheetFormatPr baseColWidth="10" defaultRowHeight="14.5" x14ac:dyDescent="0.35"/>
  <cols>
    <col min="8" max="8" width="21.1796875" bestFit="1" customWidth="1"/>
    <col min="9" max="9" width="36.81640625" bestFit="1" customWidth="1"/>
  </cols>
  <sheetData>
    <row r="1" spans="1:31" x14ac:dyDescent="0.35">
      <c r="A1" s="1" t="s">
        <v>0</v>
      </c>
      <c r="B1" s="2" t="s">
        <v>1</v>
      </c>
      <c r="C1" s="2" t="s">
        <v>2</v>
      </c>
      <c r="D1" s="3" t="s">
        <v>3</v>
      </c>
      <c r="E1" s="4" t="s">
        <v>4</v>
      </c>
      <c r="F1" s="5" t="s">
        <v>5</v>
      </c>
      <c r="G1" s="6" t="s">
        <v>6</v>
      </c>
      <c r="H1" s="1" t="s">
        <v>7</v>
      </c>
      <c r="I1" s="7" t="s">
        <v>8</v>
      </c>
      <c r="J1" s="8" t="s">
        <v>9</v>
      </c>
      <c r="K1" s="9" t="s">
        <v>10</v>
      </c>
      <c r="L1" s="10" t="s">
        <v>11</v>
      </c>
      <c r="M1" s="1" t="s">
        <v>12</v>
      </c>
      <c r="N1" s="11" t="s">
        <v>13</v>
      </c>
      <c r="O1" s="11" t="s">
        <v>14</v>
      </c>
      <c r="P1" s="7" t="s">
        <v>15</v>
      </c>
      <c r="Q1" s="7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12" t="s">
        <v>21</v>
      </c>
      <c r="W1" s="12" t="s">
        <v>22</v>
      </c>
      <c r="X1" s="2" t="s">
        <v>23</v>
      </c>
      <c r="Y1" s="12" t="s">
        <v>24</v>
      </c>
      <c r="Z1" s="2" t="s">
        <v>25</v>
      </c>
      <c r="AA1" s="2" t="s">
        <v>26</v>
      </c>
      <c r="AB1" s="2" t="s">
        <v>27</v>
      </c>
      <c r="AC1" s="4" t="s">
        <v>28</v>
      </c>
      <c r="AD1" s="2" t="s">
        <v>29</v>
      </c>
      <c r="AE1" s="2" t="s">
        <v>30</v>
      </c>
    </row>
    <row r="2" spans="1:31" x14ac:dyDescent="0.35">
      <c r="A2" s="13">
        <f>'R13_Cta_Cte'!A3</f>
        <v>45930</v>
      </c>
      <c r="B2">
        <v>1</v>
      </c>
      <c r="D2" s="14" t="s">
        <v>31</v>
      </c>
      <c r="E2" s="15" t="s">
        <v>32</v>
      </c>
      <c r="F2" s="16" t="s">
        <v>32</v>
      </c>
      <c r="G2" s="17"/>
      <c r="H2" s="84" t="s">
        <v>172</v>
      </c>
      <c r="I2" s="84" t="s">
        <v>176</v>
      </c>
      <c r="J2" s="19"/>
      <c r="K2" s="20"/>
      <c r="L2" s="21"/>
      <c r="M2" s="13">
        <f>A2+1</f>
        <v>45931</v>
      </c>
      <c r="N2" s="13">
        <f>M2</f>
        <v>45931</v>
      </c>
      <c r="O2" s="13">
        <f>N2</f>
        <v>45931</v>
      </c>
      <c r="P2" s="18">
        <f>Montos!H5</f>
        <v>1357075</v>
      </c>
      <c r="Q2" s="18"/>
      <c r="V2">
        <v>1</v>
      </c>
      <c r="W2" t="s">
        <v>33</v>
      </c>
      <c r="Y2" t="s">
        <v>33</v>
      </c>
      <c r="Z2" t="s">
        <v>34</v>
      </c>
      <c r="AA2">
        <v>1</v>
      </c>
      <c r="AC2" s="15"/>
    </row>
    <row r="3" spans="1:31" x14ac:dyDescent="0.35">
      <c r="A3" s="13">
        <f>A2</f>
        <v>45930</v>
      </c>
      <c r="B3">
        <v>1</v>
      </c>
      <c r="D3" s="14" t="s">
        <v>31</v>
      </c>
      <c r="E3" s="15" t="s">
        <v>32</v>
      </c>
      <c r="F3" s="16" t="s">
        <v>32</v>
      </c>
      <c r="G3" s="17"/>
      <c r="H3" s="84" t="s">
        <v>172</v>
      </c>
      <c r="I3" s="84" t="s">
        <v>175</v>
      </c>
      <c r="J3" s="90"/>
      <c r="K3" s="91">
        <v>1</v>
      </c>
      <c r="L3" s="92"/>
      <c r="M3" s="93">
        <f>Cta_Cte!M4</f>
        <v>45961</v>
      </c>
      <c r="N3" s="93">
        <f t="shared" ref="N3:O67" si="0">M3</f>
        <v>45961</v>
      </c>
      <c r="O3" s="93">
        <f t="shared" si="0"/>
        <v>45961</v>
      </c>
      <c r="P3" s="94">
        <v>27743.013306768611</v>
      </c>
      <c r="Q3" s="18"/>
      <c r="R3" s="194"/>
      <c r="V3">
        <v>1</v>
      </c>
      <c r="W3" t="s">
        <v>33</v>
      </c>
      <c r="Y3" t="s">
        <v>33</v>
      </c>
      <c r="Z3" t="s">
        <v>34</v>
      </c>
      <c r="AA3">
        <v>1</v>
      </c>
      <c r="AC3" s="15"/>
    </row>
    <row r="4" spans="1:31" x14ac:dyDescent="0.35">
      <c r="A4" s="13">
        <f t="shared" ref="A4:A67" si="1">A3</f>
        <v>45930</v>
      </c>
      <c r="B4">
        <v>1</v>
      </c>
      <c r="D4" s="14" t="s">
        <v>31</v>
      </c>
      <c r="E4" s="15" t="s">
        <v>32</v>
      </c>
      <c r="F4" s="16" t="s">
        <v>32</v>
      </c>
      <c r="G4" s="17"/>
      <c r="H4" s="84" t="s">
        <v>172</v>
      </c>
      <c r="I4" s="84" t="s">
        <v>175</v>
      </c>
      <c r="J4" s="88"/>
      <c r="K4" s="91">
        <f>K3+1</f>
        <v>2</v>
      </c>
      <c r="L4" s="88"/>
      <c r="M4" s="93">
        <f>EOMONTH(M3,1)</f>
        <v>45991</v>
      </c>
      <c r="N4" s="93">
        <f t="shared" si="0"/>
        <v>45991</v>
      </c>
      <c r="O4" s="93">
        <f t="shared" si="0"/>
        <v>45991</v>
      </c>
      <c r="P4" s="94">
        <v>27499.945855049882</v>
      </c>
      <c r="Q4" s="18"/>
      <c r="R4" s="25"/>
      <c r="V4">
        <v>1</v>
      </c>
      <c r="W4" t="s">
        <v>33</v>
      </c>
      <c r="Y4" t="s">
        <v>33</v>
      </c>
      <c r="Z4" t="s">
        <v>34</v>
      </c>
      <c r="AA4">
        <v>1</v>
      </c>
      <c r="AC4" s="15"/>
    </row>
    <row r="5" spans="1:31" x14ac:dyDescent="0.35">
      <c r="A5" s="13">
        <f t="shared" si="1"/>
        <v>45930</v>
      </c>
      <c r="B5">
        <v>1</v>
      </c>
      <c r="D5" s="14" t="s">
        <v>31</v>
      </c>
      <c r="E5" s="15" t="s">
        <v>32</v>
      </c>
      <c r="F5" s="16" t="s">
        <v>32</v>
      </c>
      <c r="G5" s="17"/>
      <c r="H5" s="84" t="s">
        <v>172</v>
      </c>
      <c r="I5" s="84" t="s">
        <v>175</v>
      </c>
      <c r="J5" s="88"/>
      <c r="K5" s="91">
        <f t="shared" ref="K5:K68" si="2">K4+1</f>
        <v>3</v>
      </c>
      <c r="L5" s="88"/>
      <c r="M5" s="93">
        <f t="shared" ref="M5:M68" si="3">EOMONTH(M4,1)</f>
        <v>46022</v>
      </c>
      <c r="N5" s="93">
        <f t="shared" si="0"/>
        <v>46022</v>
      </c>
      <c r="O5" s="93">
        <f t="shared" si="0"/>
        <v>46022</v>
      </c>
      <c r="P5" s="94">
        <v>27259.008012881503</v>
      </c>
      <c r="Q5" s="18"/>
      <c r="V5">
        <v>1</v>
      </c>
      <c r="W5" t="s">
        <v>33</v>
      </c>
      <c r="Y5" t="s">
        <v>33</v>
      </c>
      <c r="Z5" t="s">
        <v>34</v>
      </c>
      <c r="AA5">
        <v>1</v>
      </c>
      <c r="AC5" s="15"/>
    </row>
    <row r="6" spans="1:31" x14ac:dyDescent="0.35">
      <c r="A6" s="13">
        <f t="shared" si="1"/>
        <v>45930</v>
      </c>
      <c r="B6">
        <v>1</v>
      </c>
      <c r="D6" s="14" t="s">
        <v>31</v>
      </c>
      <c r="E6" s="15" t="s">
        <v>32</v>
      </c>
      <c r="F6" s="16" t="s">
        <v>32</v>
      </c>
      <c r="G6" s="17"/>
      <c r="H6" s="84" t="s">
        <v>172</v>
      </c>
      <c r="I6" s="84" t="s">
        <v>175</v>
      </c>
      <c r="J6" s="88"/>
      <c r="K6" s="91">
        <f t="shared" si="2"/>
        <v>4</v>
      </c>
      <c r="L6" s="88"/>
      <c r="M6" s="93">
        <f t="shared" si="3"/>
        <v>46053</v>
      </c>
      <c r="N6" s="93">
        <f t="shared" si="0"/>
        <v>46053</v>
      </c>
      <c r="O6" s="93">
        <f t="shared" si="0"/>
        <v>46053</v>
      </c>
      <c r="P6" s="94">
        <v>27020.181121916045</v>
      </c>
      <c r="Q6" s="18"/>
      <c r="V6">
        <v>1</v>
      </c>
      <c r="W6" t="s">
        <v>33</v>
      </c>
      <c r="Y6" t="s">
        <v>33</v>
      </c>
      <c r="Z6" t="s">
        <v>34</v>
      </c>
      <c r="AA6">
        <v>1</v>
      </c>
      <c r="AC6" s="15"/>
    </row>
    <row r="7" spans="1:31" x14ac:dyDescent="0.35">
      <c r="A7" s="13">
        <f t="shared" si="1"/>
        <v>45930</v>
      </c>
      <c r="B7">
        <v>1</v>
      </c>
      <c r="D7" s="14" t="s">
        <v>31</v>
      </c>
      <c r="E7" s="15" t="s">
        <v>32</v>
      </c>
      <c r="F7" s="16" t="s">
        <v>32</v>
      </c>
      <c r="G7" s="17"/>
      <c r="H7" s="84" t="s">
        <v>172</v>
      </c>
      <c r="I7" s="84" t="s">
        <v>175</v>
      </c>
      <c r="J7" s="88"/>
      <c r="K7" s="91">
        <f t="shared" si="2"/>
        <v>5</v>
      </c>
      <c r="L7" s="88"/>
      <c r="M7" s="93">
        <f t="shared" si="3"/>
        <v>46081</v>
      </c>
      <c r="N7" s="93">
        <f t="shared" si="0"/>
        <v>46081</v>
      </c>
      <c r="O7" s="93">
        <f t="shared" si="0"/>
        <v>46081</v>
      </c>
      <c r="P7" s="94">
        <v>26783.446687279269</v>
      </c>
      <c r="Q7" s="18"/>
      <c r="V7">
        <v>1</v>
      </c>
      <c r="W7" t="s">
        <v>33</v>
      </c>
      <c r="Y7" t="s">
        <v>33</v>
      </c>
      <c r="Z7" t="s">
        <v>34</v>
      </c>
      <c r="AA7">
        <v>1</v>
      </c>
      <c r="AC7" s="15"/>
    </row>
    <row r="8" spans="1:31" x14ac:dyDescent="0.35">
      <c r="A8" s="13">
        <f t="shared" si="1"/>
        <v>45930</v>
      </c>
      <c r="B8">
        <v>1</v>
      </c>
      <c r="D8" s="14" t="s">
        <v>31</v>
      </c>
      <c r="E8" s="15" t="s">
        <v>32</v>
      </c>
      <c r="F8" s="16" t="s">
        <v>32</v>
      </c>
      <c r="G8" s="17"/>
      <c r="H8" s="84" t="s">
        <v>172</v>
      </c>
      <c r="I8" s="84" t="s">
        <v>175</v>
      </c>
      <c r="J8" s="88"/>
      <c r="K8" s="91">
        <f t="shared" si="2"/>
        <v>6</v>
      </c>
      <c r="L8" s="88"/>
      <c r="M8" s="93">
        <f t="shared" si="3"/>
        <v>46112</v>
      </c>
      <c r="N8" s="93">
        <f t="shared" si="0"/>
        <v>46112</v>
      </c>
      <c r="O8" s="93">
        <f t="shared" si="0"/>
        <v>46112</v>
      </c>
      <c r="P8" s="94">
        <v>26548.78637614008</v>
      </c>
      <c r="Q8" s="18"/>
      <c r="V8">
        <v>1</v>
      </c>
      <c r="W8" t="s">
        <v>33</v>
      </c>
      <c r="Y8" t="s">
        <v>33</v>
      </c>
      <c r="Z8" t="s">
        <v>34</v>
      </c>
      <c r="AA8">
        <v>1</v>
      </c>
      <c r="AC8" s="15"/>
    </row>
    <row r="9" spans="1:31" x14ac:dyDescent="0.35">
      <c r="A9" s="13">
        <f t="shared" si="1"/>
        <v>45930</v>
      </c>
      <c r="B9">
        <v>1</v>
      </c>
      <c r="D9" s="14" t="s">
        <v>31</v>
      </c>
      <c r="E9" s="15" t="s">
        <v>32</v>
      </c>
      <c r="F9" s="16" t="s">
        <v>32</v>
      </c>
      <c r="G9" s="17"/>
      <c r="H9" s="84" t="s">
        <v>172</v>
      </c>
      <c r="I9" s="84" t="s">
        <v>175</v>
      </c>
      <c r="J9" s="88"/>
      <c r="K9" s="91">
        <f t="shared" si="2"/>
        <v>7</v>
      </c>
      <c r="L9" s="88"/>
      <c r="M9" s="93">
        <f t="shared" si="3"/>
        <v>46142</v>
      </c>
      <c r="N9" s="93">
        <f t="shared" si="0"/>
        <v>46142</v>
      </c>
      <c r="O9" s="93">
        <f t="shared" si="0"/>
        <v>46142</v>
      </c>
      <c r="P9" s="94">
        <v>26316.182016284205</v>
      </c>
      <c r="Q9" s="18"/>
      <c r="V9">
        <v>1</v>
      </c>
      <c r="W9" t="s">
        <v>33</v>
      </c>
      <c r="Y9" t="s">
        <v>33</v>
      </c>
      <c r="Z9" t="s">
        <v>34</v>
      </c>
      <c r="AA9">
        <v>1</v>
      </c>
      <c r="AC9" s="15"/>
    </row>
    <row r="10" spans="1:31" x14ac:dyDescent="0.35">
      <c r="A10" s="13">
        <f t="shared" si="1"/>
        <v>45930</v>
      </c>
      <c r="B10">
        <v>1</v>
      </c>
      <c r="D10" s="14" t="s">
        <v>31</v>
      </c>
      <c r="E10" s="15" t="s">
        <v>32</v>
      </c>
      <c r="F10" s="16" t="s">
        <v>32</v>
      </c>
      <c r="G10" s="17"/>
      <c r="H10" s="84" t="s">
        <v>172</v>
      </c>
      <c r="I10" s="84" t="s">
        <v>175</v>
      </c>
      <c r="J10" s="88"/>
      <c r="K10" s="91">
        <f t="shared" si="2"/>
        <v>8</v>
      </c>
      <c r="L10" s="88"/>
      <c r="M10" s="93">
        <f t="shared" si="3"/>
        <v>46173</v>
      </c>
      <c r="N10" s="93">
        <f t="shared" si="0"/>
        <v>46173</v>
      </c>
      <c r="O10" s="93">
        <f t="shared" si="0"/>
        <v>46173</v>
      </c>
      <c r="P10" s="94">
        <v>26085.615594716277</v>
      </c>
      <c r="Q10" s="18"/>
      <c r="V10">
        <v>1</v>
      </c>
      <c r="W10" t="s">
        <v>33</v>
      </c>
      <c r="Y10" t="s">
        <v>33</v>
      </c>
      <c r="Z10" t="s">
        <v>34</v>
      </c>
      <c r="AA10">
        <v>1</v>
      </c>
      <c r="AC10" s="15"/>
    </row>
    <row r="11" spans="1:31" x14ac:dyDescent="0.35">
      <c r="A11" s="13">
        <f t="shared" si="1"/>
        <v>45930</v>
      </c>
      <c r="B11">
        <v>1</v>
      </c>
      <c r="D11" s="14" t="s">
        <v>31</v>
      </c>
      <c r="E11" s="15" t="s">
        <v>32</v>
      </c>
      <c r="F11" s="16" t="s">
        <v>32</v>
      </c>
      <c r="G11" s="17"/>
      <c r="H11" s="84" t="s">
        <v>172</v>
      </c>
      <c r="I11" s="84" t="s">
        <v>175</v>
      </c>
      <c r="J11" s="88"/>
      <c r="K11" s="91">
        <f t="shared" si="2"/>
        <v>9</v>
      </c>
      <c r="L11" s="88"/>
      <c r="M11" s="93">
        <f t="shared" si="3"/>
        <v>46203</v>
      </c>
      <c r="N11" s="93">
        <f t="shared" si="0"/>
        <v>46203</v>
      </c>
      <c r="O11" s="93">
        <f t="shared" si="0"/>
        <v>46203</v>
      </c>
      <c r="P11" s="94">
        <v>25857.069256256334</v>
      </c>
      <c r="Q11" s="18"/>
      <c r="V11">
        <v>1</v>
      </c>
      <c r="W11" t="s">
        <v>33</v>
      </c>
      <c r="Y11" t="s">
        <v>33</v>
      </c>
      <c r="Z11" t="s">
        <v>34</v>
      </c>
      <c r="AA11">
        <v>1</v>
      </c>
      <c r="AC11" s="15"/>
    </row>
    <row r="12" spans="1:31" x14ac:dyDescent="0.35">
      <c r="A12" s="13">
        <f t="shared" si="1"/>
        <v>45930</v>
      </c>
      <c r="B12">
        <v>1</v>
      </c>
      <c r="D12" s="14" t="s">
        <v>31</v>
      </c>
      <c r="E12" s="15" t="s">
        <v>32</v>
      </c>
      <c r="F12" s="16" t="s">
        <v>32</v>
      </c>
      <c r="G12" s="17"/>
      <c r="H12" s="84" t="s">
        <v>172</v>
      </c>
      <c r="I12" s="84" t="s">
        <v>175</v>
      </c>
      <c r="J12" s="88"/>
      <c r="K12" s="91">
        <f t="shared" si="2"/>
        <v>10</v>
      </c>
      <c r="L12" s="88"/>
      <c r="M12" s="93">
        <f t="shared" si="3"/>
        <v>46234</v>
      </c>
      <c r="N12" s="93">
        <f t="shared" si="0"/>
        <v>46234</v>
      </c>
      <c r="O12" s="93">
        <f t="shared" si="0"/>
        <v>46234</v>
      </c>
      <c r="P12" s="94">
        <v>25630.525302160066</v>
      </c>
      <c r="Q12" s="18"/>
      <c r="V12">
        <v>1</v>
      </c>
      <c r="W12" t="s">
        <v>33</v>
      </c>
      <c r="Y12" t="s">
        <v>33</v>
      </c>
      <c r="Z12" t="s">
        <v>34</v>
      </c>
      <c r="AA12">
        <v>1</v>
      </c>
      <c r="AC12" s="15"/>
    </row>
    <row r="13" spans="1:31" x14ac:dyDescent="0.35">
      <c r="A13" s="13">
        <f t="shared" si="1"/>
        <v>45930</v>
      </c>
      <c r="B13">
        <v>1</v>
      </c>
      <c r="D13" s="14" t="s">
        <v>31</v>
      </c>
      <c r="E13" s="15" t="s">
        <v>32</v>
      </c>
      <c r="F13" s="16" t="s">
        <v>32</v>
      </c>
      <c r="G13" s="17"/>
      <c r="H13" s="84" t="s">
        <v>172</v>
      </c>
      <c r="I13" s="84" t="s">
        <v>175</v>
      </c>
      <c r="J13" s="88"/>
      <c r="K13" s="91">
        <f t="shared" si="2"/>
        <v>11</v>
      </c>
      <c r="L13" s="88"/>
      <c r="M13" s="93">
        <f t="shared" si="3"/>
        <v>46265</v>
      </c>
      <c r="N13" s="93">
        <f t="shared" si="0"/>
        <v>46265</v>
      </c>
      <c r="O13" s="93">
        <f t="shared" si="0"/>
        <v>46265</v>
      </c>
      <c r="P13" s="94">
        <v>25405.966188753489</v>
      </c>
      <c r="Q13" s="18"/>
      <c r="V13">
        <v>1</v>
      </c>
      <c r="W13" t="s">
        <v>33</v>
      </c>
      <c r="Y13" t="s">
        <v>33</v>
      </c>
      <c r="Z13" t="s">
        <v>34</v>
      </c>
      <c r="AA13">
        <v>1</v>
      </c>
      <c r="AC13" s="15"/>
    </row>
    <row r="14" spans="1:31" x14ac:dyDescent="0.35">
      <c r="A14" s="13">
        <f t="shared" si="1"/>
        <v>45930</v>
      </c>
      <c r="B14">
        <v>1</v>
      </c>
      <c r="D14" s="14" t="s">
        <v>31</v>
      </c>
      <c r="E14" s="15" t="s">
        <v>32</v>
      </c>
      <c r="F14" s="16" t="s">
        <v>32</v>
      </c>
      <c r="G14" s="17"/>
      <c r="H14" s="84" t="s">
        <v>172</v>
      </c>
      <c r="I14" s="84" t="s">
        <v>175</v>
      </c>
      <c r="J14" s="88"/>
      <c r="K14" s="91">
        <f t="shared" si="2"/>
        <v>12</v>
      </c>
      <c r="L14" s="88"/>
      <c r="M14" s="93">
        <f t="shared" si="3"/>
        <v>46295</v>
      </c>
      <c r="N14" s="93">
        <f t="shared" si="0"/>
        <v>46295</v>
      </c>
      <c r="O14" s="93">
        <f t="shared" si="0"/>
        <v>46295</v>
      </c>
      <c r="P14" s="94">
        <v>25183.374526064843</v>
      </c>
      <c r="Q14" s="18"/>
      <c r="V14">
        <v>1</v>
      </c>
      <c r="W14" t="s">
        <v>33</v>
      </c>
      <c r="Y14" t="s">
        <v>33</v>
      </c>
      <c r="Z14" t="s">
        <v>34</v>
      </c>
      <c r="AA14">
        <v>1</v>
      </c>
      <c r="AC14" s="15"/>
    </row>
    <row r="15" spans="1:31" x14ac:dyDescent="0.35">
      <c r="A15" s="13">
        <f t="shared" si="1"/>
        <v>45930</v>
      </c>
      <c r="B15">
        <v>1</v>
      </c>
      <c r="D15" s="14" t="s">
        <v>31</v>
      </c>
      <c r="E15" s="15" t="s">
        <v>32</v>
      </c>
      <c r="F15" s="16" t="s">
        <v>32</v>
      </c>
      <c r="G15" s="17"/>
      <c r="H15" s="84" t="s">
        <v>172</v>
      </c>
      <c r="I15" s="84" t="s">
        <v>175</v>
      </c>
      <c r="J15" s="88"/>
      <c r="K15" s="91">
        <f t="shared" si="2"/>
        <v>13</v>
      </c>
      <c r="L15" s="88"/>
      <c r="M15" s="93">
        <f t="shared" si="3"/>
        <v>46326</v>
      </c>
      <c r="N15" s="93">
        <f t="shared" si="0"/>
        <v>46326</v>
      </c>
      <c r="O15" s="93">
        <f t="shared" si="0"/>
        <v>46326</v>
      </c>
      <c r="P15" s="94">
        <v>24962.733076483943</v>
      </c>
      <c r="Q15" s="18"/>
      <c r="V15">
        <v>1</v>
      </c>
      <c r="W15" t="s">
        <v>33</v>
      </c>
      <c r="Y15" t="s">
        <v>33</v>
      </c>
      <c r="Z15" t="s">
        <v>34</v>
      </c>
      <c r="AA15">
        <v>1</v>
      </c>
      <c r="AC15" s="15"/>
    </row>
    <row r="16" spans="1:31" x14ac:dyDescent="0.35">
      <c r="A16" s="13">
        <f t="shared" si="1"/>
        <v>45930</v>
      </c>
      <c r="B16">
        <v>1</v>
      </c>
      <c r="D16" s="14" t="s">
        <v>31</v>
      </c>
      <c r="E16" s="15" t="s">
        <v>32</v>
      </c>
      <c r="F16" s="16" t="s">
        <v>32</v>
      </c>
      <c r="G16" s="17"/>
      <c r="H16" s="84" t="s">
        <v>172</v>
      </c>
      <c r="I16" s="84" t="s">
        <v>175</v>
      </c>
      <c r="J16" s="88"/>
      <c r="K16" s="91">
        <f t="shared" si="2"/>
        <v>14</v>
      </c>
      <c r="L16" s="88"/>
      <c r="M16" s="93">
        <f t="shared" si="3"/>
        <v>46356</v>
      </c>
      <c r="N16" s="93">
        <f t="shared" si="0"/>
        <v>46356</v>
      </c>
      <c r="O16" s="93">
        <f t="shared" si="0"/>
        <v>46356</v>
      </c>
      <c r="P16" s="94">
        <v>24744.024753428996</v>
      </c>
      <c r="Q16" s="18"/>
      <c r="V16">
        <v>1</v>
      </c>
      <c r="W16" t="s">
        <v>33</v>
      </c>
      <c r="Y16" t="s">
        <v>33</v>
      </c>
      <c r="Z16" t="s">
        <v>34</v>
      </c>
      <c r="AA16">
        <v>1</v>
      </c>
      <c r="AC16" s="15"/>
    </row>
    <row r="17" spans="1:29" x14ac:dyDescent="0.35">
      <c r="A17" s="13">
        <f t="shared" si="1"/>
        <v>45930</v>
      </c>
      <c r="B17">
        <v>1</v>
      </c>
      <c r="D17" s="14" t="s">
        <v>31</v>
      </c>
      <c r="E17" s="15" t="s">
        <v>32</v>
      </c>
      <c r="F17" s="16" t="s">
        <v>32</v>
      </c>
      <c r="G17" s="17"/>
      <c r="H17" s="84" t="s">
        <v>172</v>
      </c>
      <c r="I17" s="84" t="s">
        <v>175</v>
      </c>
      <c r="J17" s="88"/>
      <c r="K17" s="91">
        <f t="shared" si="2"/>
        <v>15</v>
      </c>
      <c r="L17" s="88"/>
      <c r="M17" s="93">
        <f t="shared" si="3"/>
        <v>46387</v>
      </c>
      <c r="N17" s="93">
        <f t="shared" si="0"/>
        <v>46387</v>
      </c>
      <c r="O17" s="93">
        <f t="shared" si="0"/>
        <v>46387</v>
      </c>
      <c r="P17" s="94">
        <v>24527.23262001574</v>
      </c>
      <c r="Q17" s="18"/>
      <c r="V17">
        <v>1</v>
      </c>
      <c r="W17" t="s">
        <v>33</v>
      </c>
      <c r="Y17" t="s">
        <v>33</v>
      </c>
      <c r="Z17" t="s">
        <v>34</v>
      </c>
      <c r="AA17">
        <v>1</v>
      </c>
      <c r="AC17" s="15"/>
    </row>
    <row r="18" spans="1:29" x14ac:dyDescent="0.35">
      <c r="A18" s="13">
        <f t="shared" si="1"/>
        <v>45930</v>
      </c>
      <c r="B18">
        <v>1</v>
      </c>
      <c r="D18" s="14" t="s">
        <v>31</v>
      </c>
      <c r="E18" s="15" t="s">
        <v>32</v>
      </c>
      <c r="F18" s="16" t="s">
        <v>32</v>
      </c>
      <c r="G18" s="17"/>
      <c r="H18" s="84" t="s">
        <v>172</v>
      </c>
      <c r="I18" s="84" t="s">
        <v>175</v>
      </c>
      <c r="J18" s="88"/>
      <c r="K18" s="91">
        <f t="shared" si="2"/>
        <v>16</v>
      </c>
      <c r="L18" s="88"/>
      <c r="M18" s="93">
        <f t="shared" si="3"/>
        <v>46418</v>
      </c>
      <c r="N18" s="93">
        <f t="shared" si="0"/>
        <v>46418</v>
      </c>
      <c r="O18" s="93">
        <f t="shared" si="0"/>
        <v>46418</v>
      </c>
      <c r="P18" s="94">
        <v>24312.339887753595</v>
      </c>
      <c r="Q18" s="18"/>
      <c r="V18">
        <v>1</v>
      </c>
      <c r="W18" t="s">
        <v>33</v>
      </c>
      <c r="Y18" t="s">
        <v>33</v>
      </c>
      <c r="Z18" t="s">
        <v>34</v>
      </c>
      <c r="AA18">
        <v>1</v>
      </c>
      <c r="AC18" s="15"/>
    </row>
    <row r="19" spans="1:29" x14ac:dyDescent="0.35">
      <c r="A19" s="13">
        <f t="shared" si="1"/>
        <v>45930</v>
      </c>
      <c r="B19">
        <v>1</v>
      </c>
      <c r="D19" s="14" t="s">
        <v>31</v>
      </c>
      <c r="E19" s="15" t="s">
        <v>32</v>
      </c>
      <c r="F19" s="16" t="s">
        <v>32</v>
      </c>
      <c r="G19" s="17"/>
      <c r="H19" s="84" t="s">
        <v>172</v>
      </c>
      <c r="I19" s="84" t="s">
        <v>175</v>
      </c>
      <c r="J19" s="88"/>
      <c r="K19" s="91">
        <f t="shared" si="2"/>
        <v>17</v>
      </c>
      <c r="L19" s="88"/>
      <c r="M19" s="93">
        <f t="shared" si="3"/>
        <v>46446</v>
      </c>
      <c r="N19" s="93">
        <f t="shared" si="0"/>
        <v>46446</v>
      </c>
      <c r="O19" s="93">
        <f t="shared" si="0"/>
        <v>46446</v>
      </c>
      <c r="P19" s="94">
        <v>24099.329915243667</v>
      </c>
      <c r="Q19" s="18"/>
      <c r="V19">
        <v>1</v>
      </c>
      <c r="W19" t="s">
        <v>33</v>
      </c>
      <c r="Y19" t="s">
        <v>33</v>
      </c>
      <c r="Z19" t="s">
        <v>34</v>
      </c>
      <c r="AA19">
        <v>1</v>
      </c>
      <c r="AC19" s="15"/>
    </row>
    <row r="20" spans="1:29" x14ac:dyDescent="0.35">
      <c r="A20" s="13">
        <f t="shared" si="1"/>
        <v>45930</v>
      </c>
      <c r="B20">
        <v>1</v>
      </c>
      <c r="D20" s="14" t="s">
        <v>31</v>
      </c>
      <c r="E20" s="15" t="s">
        <v>32</v>
      </c>
      <c r="F20" s="16" t="s">
        <v>32</v>
      </c>
      <c r="G20" s="17"/>
      <c r="H20" s="84" t="s">
        <v>172</v>
      </c>
      <c r="I20" s="84" t="s">
        <v>175</v>
      </c>
      <c r="J20" s="88"/>
      <c r="K20" s="91">
        <f t="shared" si="2"/>
        <v>18</v>
      </c>
      <c r="L20" s="88"/>
      <c r="M20" s="93">
        <f t="shared" si="3"/>
        <v>46477</v>
      </c>
      <c r="N20" s="93">
        <f t="shared" si="0"/>
        <v>46477</v>
      </c>
      <c r="O20" s="93">
        <f t="shared" si="0"/>
        <v>46477</v>
      </c>
      <c r="P20" s="94">
        <v>23888.186206884682</v>
      </c>
      <c r="Q20" s="18"/>
      <c r="V20">
        <v>1</v>
      </c>
      <c r="W20" t="s">
        <v>33</v>
      </c>
      <c r="Y20" t="s">
        <v>33</v>
      </c>
      <c r="Z20" t="s">
        <v>34</v>
      </c>
      <c r="AA20">
        <v>1</v>
      </c>
    </row>
    <row r="21" spans="1:29" x14ac:dyDescent="0.35">
      <c r="A21" s="13">
        <f t="shared" si="1"/>
        <v>45930</v>
      </c>
      <c r="B21">
        <v>1</v>
      </c>
      <c r="D21" s="14" t="s">
        <v>31</v>
      </c>
      <c r="E21" s="15" t="s">
        <v>32</v>
      </c>
      <c r="F21" s="16" t="s">
        <v>32</v>
      </c>
      <c r="G21" s="17"/>
      <c r="H21" s="84" t="s">
        <v>172</v>
      </c>
      <c r="I21" s="84" t="s">
        <v>175</v>
      </c>
      <c r="J21" s="88"/>
      <c r="K21" s="91">
        <f t="shared" si="2"/>
        <v>19</v>
      </c>
      <c r="L21" s="88"/>
      <c r="M21" s="93">
        <f t="shared" si="3"/>
        <v>46507</v>
      </c>
      <c r="N21" s="93">
        <f t="shared" si="0"/>
        <v>46507</v>
      </c>
      <c r="O21" s="93">
        <f t="shared" si="0"/>
        <v>46507</v>
      </c>
      <c r="P21" s="94">
        <v>23678.892411604524</v>
      </c>
      <c r="Q21" s="18"/>
      <c r="V21">
        <v>1</v>
      </c>
      <c r="W21" t="s">
        <v>33</v>
      </c>
      <c r="Y21" t="s">
        <v>33</v>
      </c>
      <c r="Z21" t="s">
        <v>34</v>
      </c>
      <c r="AA21">
        <v>1</v>
      </c>
    </row>
    <row r="22" spans="1:29" x14ac:dyDescent="0.35">
      <c r="A22" s="13">
        <f t="shared" si="1"/>
        <v>45930</v>
      </c>
      <c r="B22">
        <v>1</v>
      </c>
      <c r="D22" s="14" t="s">
        <v>31</v>
      </c>
      <c r="E22" s="15" t="s">
        <v>32</v>
      </c>
      <c r="F22" s="16" t="s">
        <v>32</v>
      </c>
      <c r="G22" s="17"/>
      <c r="H22" s="84" t="s">
        <v>172</v>
      </c>
      <c r="I22" s="84" t="s">
        <v>175</v>
      </c>
      <c r="J22" s="88"/>
      <c r="K22" s="91">
        <f t="shared" si="2"/>
        <v>20</v>
      </c>
      <c r="L22" s="88"/>
      <c r="M22" s="93">
        <f t="shared" si="3"/>
        <v>46538</v>
      </c>
      <c r="N22" s="93">
        <f t="shared" si="0"/>
        <v>46538</v>
      </c>
      <c r="O22" s="93">
        <f t="shared" si="0"/>
        <v>46538</v>
      </c>
      <c r="P22" s="94">
        <v>23471.43232158618</v>
      </c>
      <c r="Q22" s="18"/>
      <c r="V22">
        <v>1</v>
      </c>
      <c r="W22" t="s">
        <v>33</v>
      </c>
      <c r="Y22" t="s">
        <v>33</v>
      </c>
      <c r="Z22" t="s">
        <v>34</v>
      </c>
      <c r="AA22">
        <v>1</v>
      </c>
    </row>
    <row r="23" spans="1:29" x14ac:dyDescent="0.35">
      <c r="A23" s="13">
        <f t="shared" si="1"/>
        <v>45930</v>
      </c>
      <c r="B23">
        <v>1</v>
      </c>
      <c r="D23" s="14" t="s">
        <v>31</v>
      </c>
      <c r="E23" s="15" t="s">
        <v>32</v>
      </c>
      <c r="F23" s="16" t="s">
        <v>32</v>
      </c>
      <c r="G23" s="17"/>
      <c r="H23" s="84" t="s">
        <v>172</v>
      </c>
      <c r="I23" s="84" t="s">
        <v>175</v>
      </c>
      <c r="J23" s="88"/>
      <c r="K23" s="91">
        <f t="shared" si="2"/>
        <v>21</v>
      </c>
      <c r="L23" s="88"/>
      <c r="M23" s="93">
        <f t="shared" si="3"/>
        <v>46568</v>
      </c>
      <c r="N23" s="93">
        <f t="shared" si="0"/>
        <v>46568</v>
      </c>
      <c r="O23" s="93">
        <f t="shared" si="0"/>
        <v>46568</v>
      </c>
      <c r="P23" s="94">
        <v>23265.789871016052</v>
      </c>
      <c r="Q23" s="18"/>
      <c r="V23">
        <v>1</v>
      </c>
      <c r="W23" t="s">
        <v>33</v>
      </c>
      <c r="Y23" t="s">
        <v>33</v>
      </c>
      <c r="Z23" t="s">
        <v>34</v>
      </c>
      <c r="AA23">
        <v>1</v>
      </c>
    </row>
    <row r="24" spans="1:29" x14ac:dyDescent="0.35">
      <c r="A24" s="13">
        <f t="shared" si="1"/>
        <v>45930</v>
      </c>
      <c r="B24">
        <v>1</v>
      </c>
      <c r="D24" s="14" t="s">
        <v>31</v>
      </c>
      <c r="E24" s="15" t="s">
        <v>32</v>
      </c>
      <c r="F24" s="16" t="s">
        <v>32</v>
      </c>
      <c r="G24" s="17"/>
      <c r="H24" s="84" t="s">
        <v>172</v>
      </c>
      <c r="I24" s="84" t="s">
        <v>175</v>
      </c>
      <c r="J24" s="88"/>
      <c r="K24" s="91">
        <f t="shared" si="2"/>
        <v>22</v>
      </c>
      <c r="L24" s="88"/>
      <c r="M24" s="93">
        <f t="shared" si="3"/>
        <v>46599</v>
      </c>
      <c r="N24" s="93">
        <f t="shared" si="0"/>
        <v>46599</v>
      </c>
      <c r="O24" s="93">
        <f t="shared" si="0"/>
        <v>46599</v>
      </c>
      <c r="P24" s="94">
        <v>23061.94913484063</v>
      </c>
      <c r="Q24" s="18"/>
      <c r="V24">
        <v>1</v>
      </c>
      <c r="W24" t="s">
        <v>33</v>
      </c>
      <c r="Y24" t="s">
        <v>33</v>
      </c>
      <c r="Z24" t="s">
        <v>34</v>
      </c>
      <c r="AA24">
        <v>1</v>
      </c>
    </row>
    <row r="25" spans="1:29" x14ac:dyDescent="0.35">
      <c r="A25" s="13">
        <f t="shared" si="1"/>
        <v>45930</v>
      </c>
      <c r="B25">
        <v>1</v>
      </c>
      <c r="D25" s="14" t="s">
        <v>31</v>
      </c>
      <c r="E25" s="15" t="s">
        <v>32</v>
      </c>
      <c r="F25" s="16" t="s">
        <v>32</v>
      </c>
      <c r="G25" s="17"/>
      <c r="H25" s="84" t="s">
        <v>172</v>
      </c>
      <c r="I25" s="84" t="s">
        <v>175</v>
      </c>
      <c r="J25" s="88"/>
      <c r="K25" s="91">
        <f t="shared" si="2"/>
        <v>23</v>
      </c>
      <c r="L25" s="88"/>
      <c r="M25" s="93">
        <f t="shared" si="3"/>
        <v>46630</v>
      </c>
      <c r="N25" s="93">
        <f t="shared" si="0"/>
        <v>46630</v>
      </c>
      <c r="O25" s="93">
        <f t="shared" si="0"/>
        <v>46630</v>
      </c>
      <c r="P25" s="94">
        <v>22859.894327531569</v>
      </c>
      <c r="Q25" s="18"/>
      <c r="V25">
        <v>1</v>
      </c>
      <c r="W25" t="s">
        <v>33</v>
      </c>
      <c r="Y25" t="s">
        <v>33</v>
      </c>
      <c r="Z25" t="s">
        <v>34</v>
      </c>
      <c r="AA25">
        <v>1</v>
      </c>
    </row>
    <row r="26" spans="1:29" x14ac:dyDescent="0.35">
      <c r="A26" s="13">
        <f t="shared" si="1"/>
        <v>45930</v>
      </c>
      <c r="B26">
        <v>1</v>
      </c>
      <c r="D26" s="14" t="s">
        <v>31</v>
      </c>
      <c r="E26" s="15" t="s">
        <v>32</v>
      </c>
      <c r="F26" s="16" t="s">
        <v>32</v>
      </c>
      <c r="G26" s="17"/>
      <c r="H26" s="84" t="s">
        <v>172</v>
      </c>
      <c r="I26" s="84" t="s">
        <v>175</v>
      </c>
      <c r="J26" s="88"/>
      <c r="K26" s="91">
        <f t="shared" si="2"/>
        <v>24</v>
      </c>
      <c r="L26" s="88"/>
      <c r="M26" s="93">
        <f t="shared" si="3"/>
        <v>46660</v>
      </c>
      <c r="N26" s="93">
        <f t="shared" si="0"/>
        <v>46660</v>
      </c>
      <c r="O26" s="93">
        <f t="shared" si="0"/>
        <v>46660</v>
      </c>
      <c r="P26" s="94">
        <v>22659.60980186332</v>
      </c>
      <c r="Q26" s="18"/>
      <c r="V26">
        <v>1</v>
      </c>
      <c r="W26" t="s">
        <v>33</v>
      </c>
      <c r="Y26" t="s">
        <v>33</v>
      </c>
      <c r="Z26" t="s">
        <v>34</v>
      </c>
      <c r="AA26">
        <v>1</v>
      </c>
    </row>
    <row r="27" spans="1:29" x14ac:dyDescent="0.35">
      <c r="A27" s="13">
        <f t="shared" si="1"/>
        <v>45930</v>
      </c>
      <c r="B27">
        <v>1</v>
      </c>
      <c r="D27" s="14" t="s">
        <v>31</v>
      </c>
      <c r="E27" s="15" t="s">
        <v>32</v>
      </c>
      <c r="F27" s="16" t="s">
        <v>32</v>
      </c>
      <c r="G27" s="17"/>
      <c r="H27" s="84" t="s">
        <v>172</v>
      </c>
      <c r="I27" s="84" t="s">
        <v>175</v>
      </c>
      <c r="J27" s="88"/>
      <c r="K27" s="91">
        <f t="shared" si="2"/>
        <v>25</v>
      </c>
      <c r="L27" s="88"/>
      <c r="M27" s="93">
        <f t="shared" si="3"/>
        <v>46691</v>
      </c>
      <c r="N27" s="93">
        <f t="shared" si="0"/>
        <v>46691</v>
      </c>
      <c r="O27" s="93">
        <f t="shared" si="0"/>
        <v>46691</v>
      </c>
      <c r="P27" s="94">
        <v>22461.080047702417</v>
      </c>
      <c r="Q27" s="18"/>
      <c r="V27">
        <v>1</v>
      </c>
      <c r="W27" t="s">
        <v>33</v>
      </c>
      <c r="Y27" t="s">
        <v>33</v>
      </c>
      <c r="Z27" t="s">
        <v>34</v>
      </c>
      <c r="AA27">
        <v>1</v>
      </c>
    </row>
    <row r="28" spans="1:29" x14ac:dyDescent="0.35">
      <c r="A28" s="13">
        <f t="shared" si="1"/>
        <v>45930</v>
      </c>
      <c r="B28">
        <v>1</v>
      </c>
      <c r="D28" s="14" t="s">
        <v>31</v>
      </c>
      <c r="E28" s="15" t="s">
        <v>32</v>
      </c>
      <c r="F28" s="16" t="s">
        <v>32</v>
      </c>
      <c r="G28" s="17"/>
      <c r="H28" s="84" t="s">
        <v>172</v>
      </c>
      <c r="I28" s="84" t="s">
        <v>175</v>
      </c>
      <c r="J28" s="88"/>
      <c r="K28" s="91">
        <f t="shared" si="2"/>
        <v>26</v>
      </c>
      <c r="L28" s="88"/>
      <c r="M28" s="93">
        <f t="shared" si="3"/>
        <v>46721</v>
      </c>
      <c r="N28" s="93">
        <f t="shared" si="0"/>
        <v>46721</v>
      </c>
      <c r="O28" s="93">
        <f t="shared" si="0"/>
        <v>46721</v>
      </c>
      <c r="P28" s="94">
        <v>22264.289690805599</v>
      </c>
      <c r="Q28" s="18"/>
      <c r="V28">
        <v>1</v>
      </c>
      <c r="W28" t="s">
        <v>33</v>
      </c>
      <c r="Y28" t="s">
        <v>33</v>
      </c>
      <c r="Z28" t="s">
        <v>34</v>
      </c>
      <c r="AA28">
        <v>1</v>
      </c>
    </row>
    <row r="29" spans="1:29" x14ac:dyDescent="0.35">
      <c r="A29" s="13">
        <f t="shared" si="1"/>
        <v>45930</v>
      </c>
      <c r="B29">
        <v>1</v>
      </c>
      <c r="D29" s="14" t="s">
        <v>31</v>
      </c>
      <c r="E29" s="15" t="s">
        <v>32</v>
      </c>
      <c r="F29" s="16" t="s">
        <v>32</v>
      </c>
      <c r="G29" s="17"/>
      <c r="H29" s="84" t="s">
        <v>172</v>
      </c>
      <c r="I29" s="84" t="s">
        <v>175</v>
      </c>
      <c r="J29" s="88"/>
      <c r="K29" s="91">
        <f t="shared" si="2"/>
        <v>27</v>
      </c>
      <c r="L29" s="88"/>
      <c r="M29" s="93">
        <f t="shared" si="3"/>
        <v>46752</v>
      </c>
      <c r="N29" s="93">
        <f t="shared" si="0"/>
        <v>46752</v>
      </c>
      <c r="O29" s="93">
        <f t="shared" si="0"/>
        <v>46752</v>
      </c>
      <c r="P29" s="94">
        <v>22069.223491627723</v>
      </c>
      <c r="Q29" s="18"/>
      <c r="V29">
        <v>1</v>
      </c>
      <c r="W29" t="s">
        <v>33</v>
      </c>
      <c r="Y29" t="s">
        <v>33</v>
      </c>
      <c r="Z29" t="s">
        <v>34</v>
      </c>
      <c r="AA29">
        <v>1</v>
      </c>
    </row>
    <row r="30" spans="1:29" x14ac:dyDescent="0.35">
      <c r="A30" s="13">
        <f t="shared" si="1"/>
        <v>45930</v>
      </c>
      <c r="B30">
        <v>1</v>
      </c>
      <c r="D30" s="14" t="s">
        <v>31</v>
      </c>
      <c r="E30" s="15" t="s">
        <v>32</v>
      </c>
      <c r="F30" s="16" t="s">
        <v>32</v>
      </c>
      <c r="G30" s="17"/>
      <c r="H30" s="84" t="s">
        <v>172</v>
      </c>
      <c r="I30" s="84" t="s">
        <v>175</v>
      </c>
      <c r="J30" s="88"/>
      <c r="K30" s="91">
        <f t="shared" si="2"/>
        <v>28</v>
      </c>
      <c r="L30" s="88"/>
      <c r="M30" s="93">
        <f t="shared" si="3"/>
        <v>46783</v>
      </c>
      <c r="N30" s="93">
        <f t="shared" si="0"/>
        <v>46783</v>
      </c>
      <c r="O30" s="93">
        <f t="shared" si="0"/>
        <v>46783</v>
      </c>
      <c r="P30" s="94">
        <v>21875.866344146896</v>
      </c>
      <c r="Q30" s="18"/>
      <c r="V30">
        <v>1</v>
      </c>
      <c r="W30" t="s">
        <v>33</v>
      </c>
      <c r="Y30" t="s">
        <v>33</v>
      </c>
      <c r="Z30" t="s">
        <v>34</v>
      </c>
      <c r="AA30">
        <v>1</v>
      </c>
    </row>
    <row r="31" spans="1:29" x14ac:dyDescent="0.35">
      <c r="A31" s="13">
        <f t="shared" si="1"/>
        <v>45930</v>
      </c>
      <c r="B31">
        <v>1</v>
      </c>
      <c r="D31" s="14" t="s">
        <v>31</v>
      </c>
      <c r="E31" s="15" t="s">
        <v>32</v>
      </c>
      <c r="F31" s="16" t="s">
        <v>32</v>
      </c>
      <c r="G31" s="17"/>
      <c r="H31" s="84" t="s">
        <v>172</v>
      </c>
      <c r="I31" s="84" t="s">
        <v>175</v>
      </c>
      <c r="J31" s="88"/>
      <c r="K31" s="91">
        <f t="shared" si="2"/>
        <v>29</v>
      </c>
      <c r="L31" s="88"/>
      <c r="M31" s="93">
        <f t="shared" si="3"/>
        <v>46812</v>
      </c>
      <c r="N31" s="93">
        <f t="shared" si="0"/>
        <v>46812</v>
      </c>
      <c r="O31" s="93">
        <f t="shared" si="0"/>
        <v>46812</v>
      </c>
      <c r="P31" s="94">
        <v>21684.203274688683</v>
      </c>
      <c r="Q31" s="18"/>
      <c r="V31">
        <v>1</v>
      </c>
      <c r="W31" t="s">
        <v>33</v>
      </c>
      <c r="Y31" t="s">
        <v>33</v>
      </c>
      <c r="Z31" t="s">
        <v>34</v>
      </c>
      <c r="AA31">
        <v>1</v>
      </c>
    </row>
    <row r="32" spans="1:29" x14ac:dyDescent="0.35">
      <c r="A32" s="13">
        <f t="shared" si="1"/>
        <v>45930</v>
      </c>
      <c r="B32">
        <v>1</v>
      </c>
      <c r="D32" s="14" t="s">
        <v>31</v>
      </c>
      <c r="E32" s="15" t="s">
        <v>32</v>
      </c>
      <c r="F32" s="16" t="s">
        <v>32</v>
      </c>
      <c r="G32" s="17"/>
      <c r="H32" s="84" t="s">
        <v>172</v>
      </c>
      <c r="I32" s="84" t="s">
        <v>175</v>
      </c>
      <c r="J32" s="88"/>
      <c r="K32" s="91">
        <f t="shared" si="2"/>
        <v>30</v>
      </c>
      <c r="L32" s="88"/>
      <c r="M32" s="93">
        <f t="shared" si="3"/>
        <v>46843</v>
      </c>
      <c r="N32" s="93">
        <f t="shared" si="0"/>
        <v>46843</v>
      </c>
      <c r="O32" s="93">
        <f t="shared" si="0"/>
        <v>46843</v>
      </c>
      <c r="P32" s="94">
        <v>21494.219440767542</v>
      </c>
      <c r="Q32" s="18"/>
      <c r="V32">
        <v>1</v>
      </c>
      <c r="W32" t="s">
        <v>33</v>
      </c>
      <c r="Y32" t="s">
        <v>33</v>
      </c>
      <c r="Z32" t="s">
        <v>34</v>
      </c>
      <c r="AA32">
        <v>1</v>
      </c>
    </row>
    <row r="33" spans="1:27" x14ac:dyDescent="0.35">
      <c r="A33" s="13">
        <f t="shared" si="1"/>
        <v>45930</v>
      </c>
      <c r="B33">
        <v>1</v>
      </c>
      <c r="D33" s="14" t="s">
        <v>31</v>
      </c>
      <c r="E33" s="15" t="s">
        <v>32</v>
      </c>
      <c r="F33" s="16" t="s">
        <v>32</v>
      </c>
      <c r="G33" s="17"/>
      <c r="H33" s="84" t="s">
        <v>172</v>
      </c>
      <c r="I33" s="84" t="s">
        <v>175</v>
      </c>
      <c r="J33" s="88"/>
      <c r="K33" s="91">
        <f t="shared" si="2"/>
        <v>31</v>
      </c>
      <c r="L33" s="88"/>
      <c r="M33" s="93">
        <f t="shared" si="3"/>
        <v>46873</v>
      </c>
      <c r="N33" s="93">
        <f t="shared" si="0"/>
        <v>46873</v>
      </c>
      <c r="O33" s="93">
        <f t="shared" si="0"/>
        <v>46873</v>
      </c>
      <c r="P33" s="94">
        <v>21305.900129942689</v>
      </c>
      <c r="Q33" s="18"/>
      <c r="V33">
        <v>1</v>
      </c>
      <c r="W33" t="s">
        <v>33</v>
      </c>
      <c r="Y33" t="s">
        <v>33</v>
      </c>
      <c r="Z33" t="s">
        <v>34</v>
      </c>
      <c r="AA33">
        <v>1</v>
      </c>
    </row>
    <row r="34" spans="1:27" x14ac:dyDescent="0.35">
      <c r="A34" s="13">
        <f t="shared" si="1"/>
        <v>45930</v>
      </c>
      <c r="B34">
        <v>1</v>
      </c>
      <c r="D34" s="14" t="s">
        <v>31</v>
      </c>
      <c r="E34" s="15" t="s">
        <v>32</v>
      </c>
      <c r="F34" s="16" t="s">
        <v>32</v>
      </c>
      <c r="G34" s="17"/>
      <c r="H34" s="84" t="s">
        <v>172</v>
      </c>
      <c r="I34" s="84" t="s">
        <v>175</v>
      </c>
      <c r="J34" s="88"/>
      <c r="K34" s="91">
        <f t="shared" si="2"/>
        <v>32</v>
      </c>
      <c r="L34" s="88"/>
      <c r="M34" s="93">
        <f t="shared" si="3"/>
        <v>46904</v>
      </c>
      <c r="N34" s="93">
        <f t="shared" si="0"/>
        <v>46904</v>
      </c>
      <c r="O34" s="93">
        <f t="shared" si="0"/>
        <v>46904</v>
      </c>
      <c r="P34" s="94">
        <v>21119.230758670252</v>
      </c>
      <c r="Q34" s="18"/>
      <c r="V34">
        <v>1</v>
      </c>
      <c r="W34" t="s">
        <v>33</v>
      </c>
      <c r="Y34" t="s">
        <v>33</v>
      </c>
      <c r="Z34" t="s">
        <v>34</v>
      </c>
      <c r="AA34">
        <v>1</v>
      </c>
    </row>
    <row r="35" spans="1:27" x14ac:dyDescent="0.35">
      <c r="A35" s="13">
        <f t="shared" si="1"/>
        <v>45930</v>
      </c>
      <c r="B35">
        <v>1</v>
      </c>
      <c r="D35" s="14" t="s">
        <v>31</v>
      </c>
      <c r="E35" s="15" t="s">
        <v>32</v>
      </c>
      <c r="F35" s="16" t="s">
        <v>32</v>
      </c>
      <c r="G35" s="17"/>
      <c r="H35" s="84" t="s">
        <v>172</v>
      </c>
      <c r="I35" s="84" t="s">
        <v>175</v>
      </c>
      <c r="J35" s="88"/>
      <c r="K35" s="91">
        <f t="shared" si="2"/>
        <v>33</v>
      </c>
      <c r="L35" s="88"/>
      <c r="M35" s="93">
        <f t="shared" si="3"/>
        <v>46934</v>
      </c>
      <c r="N35" s="93">
        <f t="shared" si="0"/>
        <v>46934</v>
      </c>
      <c r="O35" s="93">
        <f t="shared" si="0"/>
        <v>46934</v>
      </c>
      <c r="P35" s="94">
        <v>20934.196871182881</v>
      </c>
      <c r="Q35" s="18"/>
      <c r="V35">
        <v>1</v>
      </c>
      <c r="W35" t="s">
        <v>33</v>
      </c>
      <c r="Y35" t="s">
        <v>33</v>
      </c>
      <c r="Z35" t="s">
        <v>34</v>
      </c>
      <c r="AA35">
        <v>1</v>
      </c>
    </row>
    <row r="36" spans="1:27" x14ac:dyDescent="0.35">
      <c r="A36" s="13">
        <f t="shared" si="1"/>
        <v>45930</v>
      </c>
      <c r="B36">
        <v>1</v>
      </c>
      <c r="D36" s="14" t="s">
        <v>31</v>
      </c>
      <c r="E36" s="15" t="s">
        <v>32</v>
      </c>
      <c r="F36" s="16" t="s">
        <v>32</v>
      </c>
      <c r="G36" s="17"/>
      <c r="H36" s="84" t="s">
        <v>172</v>
      </c>
      <c r="I36" s="84" t="s">
        <v>175</v>
      </c>
      <c r="J36" s="88"/>
      <c r="K36" s="91">
        <f t="shared" si="2"/>
        <v>34</v>
      </c>
      <c r="L36" s="88"/>
      <c r="M36" s="93">
        <f t="shared" si="3"/>
        <v>46965</v>
      </c>
      <c r="N36" s="93">
        <f t="shared" si="0"/>
        <v>46965</v>
      </c>
      <c r="O36" s="93">
        <f t="shared" si="0"/>
        <v>46965</v>
      </c>
      <c r="P36" s="94">
        <v>20750.784138362855</v>
      </c>
      <c r="Q36" s="18"/>
      <c r="V36">
        <v>1</v>
      </c>
      <c r="W36" t="s">
        <v>33</v>
      </c>
      <c r="Y36" t="s">
        <v>33</v>
      </c>
      <c r="Z36" t="s">
        <v>34</v>
      </c>
      <c r="AA36">
        <v>1</v>
      </c>
    </row>
    <row r="37" spans="1:27" x14ac:dyDescent="0.35">
      <c r="A37" s="13">
        <f t="shared" si="1"/>
        <v>45930</v>
      </c>
      <c r="B37">
        <v>1</v>
      </c>
      <c r="D37" s="14" t="s">
        <v>31</v>
      </c>
      <c r="E37" s="15" t="s">
        <v>32</v>
      </c>
      <c r="F37" s="16" t="s">
        <v>32</v>
      </c>
      <c r="G37" s="17"/>
      <c r="H37" s="84" t="s">
        <v>172</v>
      </c>
      <c r="I37" s="84" t="s">
        <v>175</v>
      </c>
      <c r="J37" s="88"/>
      <c r="K37" s="91">
        <f t="shared" si="2"/>
        <v>35</v>
      </c>
      <c r="L37" s="88"/>
      <c r="M37" s="93">
        <f t="shared" si="3"/>
        <v>46996</v>
      </c>
      <c r="N37" s="93">
        <f t="shared" si="0"/>
        <v>46996</v>
      </c>
      <c r="O37" s="93">
        <f t="shared" si="0"/>
        <v>46996</v>
      </c>
      <c r="P37" s="94">
        <v>20568.978356636595</v>
      </c>
      <c r="Q37" s="18"/>
      <c r="V37">
        <v>1</v>
      </c>
      <c r="W37" t="s">
        <v>33</v>
      </c>
      <c r="Y37" t="s">
        <v>33</v>
      </c>
      <c r="Z37" t="s">
        <v>34</v>
      </c>
      <c r="AA37">
        <v>1</v>
      </c>
    </row>
    <row r="38" spans="1:27" x14ac:dyDescent="0.35">
      <c r="A38" s="13">
        <f t="shared" si="1"/>
        <v>45930</v>
      </c>
      <c r="B38">
        <v>1</v>
      </c>
      <c r="D38" s="14" t="s">
        <v>31</v>
      </c>
      <c r="E38" s="15" t="s">
        <v>32</v>
      </c>
      <c r="F38" s="16" t="s">
        <v>32</v>
      </c>
      <c r="G38" s="17"/>
      <c r="H38" s="84" t="s">
        <v>172</v>
      </c>
      <c r="I38" s="84" t="s">
        <v>175</v>
      </c>
      <c r="J38" s="88"/>
      <c r="K38" s="91">
        <f t="shared" si="2"/>
        <v>36</v>
      </c>
      <c r="L38" s="88"/>
      <c r="M38" s="93">
        <f t="shared" si="3"/>
        <v>47026</v>
      </c>
      <c r="N38" s="93">
        <f t="shared" si="0"/>
        <v>47026</v>
      </c>
      <c r="O38" s="93">
        <f t="shared" si="0"/>
        <v>47026</v>
      </c>
      <c r="P38" s="94">
        <v>20388.765446873847</v>
      </c>
      <c r="Q38" s="18"/>
      <c r="V38">
        <v>1</v>
      </c>
      <c r="W38" t="s">
        <v>33</v>
      </c>
      <c r="Y38" t="s">
        <v>33</v>
      </c>
      <c r="Z38" t="s">
        <v>34</v>
      </c>
      <c r="AA38">
        <v>1</v>
      </c>
    </row>
    <row r="39" spans="1:27" x14ac:dyDescent="0.35">
      <c r="A39" s="13">
        <f t="shared" si="1"/>
        <v>45930</v>
      </c>
      <c r="B39">
        <v>1</v>
      </c>
      <c r="D39" s="14" t="s">
        <v>31</v>
      </c>
      <c r="E39" s="15" t="s">
        <v>32</v>
      </c>
      <c r="F39" s="16" t="s">
        <v>32</v>
      </c>
      <c r="G39" s="17"/>
      <c r="H39" s="84" t="s">
        <v>172</v>
      </c>
      <c r="I39" s="84" t="s">
        <v>175</v>
      </c>
      <c r="J39" s="88"/>
      <c r="K39" s="91">
        <f t="shared" si="2"/>
        <v>37</v>
      </c>
      <c r="L39" s="88"/>
      <c r="M39" s="93">
        <f t="shared" si="3"/>
        <v>47057</v>
      </c>
      <c r="N39" s="93">
        <f t="shared" si="0"/>
        <v>47057</v>
      </c>
      <c r="O39" s="93">
        <f t="shared" si="0"/>
        <v>47057</v>
      </c>
      <c r="P39" s="94">
        <v>20210.131453296635</v>
      </c>
      <c r="Q39" s="18"/>
      <c r="V39">
        <v>1</v>
      </c>
      <c r="W39" t="s">
        <v>33</v>
      </c>
      <c r="Y39" t="s">
        <v>33</v>
      </c>
      <c r="Z39" t="s">
        <v>34</v>
      </c>
      <c r="AA39">
        <v>1</v>
      </c>
    </row>
    <row r="40" spans="1:27" x14ac:dyDescent="0.35">
      <c r="A40" s="13">
        <f t="shared" si="1"/>
        <v>45930</v>
      </c>
      <c r="B40">
        <v>1</v>
      </c>
      <c r="D40" s="14" t="s">
        <v>31</v>
      </c>
      <c r="E40" s="15" t="s">
        <v>32</v>
      </c>
      <c r="F40" s="16" t="s">
        <v>32</v>
      </c>
      <c r="G40" s="17"/>
      <c r="H40" s="84" t="s">
        <v>172</v>
      </c>
      <c r="I40" s="84" t="s">
        <v>175</v>
      </c>
      <c r="J40" s="88"/>
      <c r="K40" s="91">
        <f t="shared" si="2"/>
        <v>38</v>
      </c>
      <c r="L40" s="88"/>
      <c r="M40" s="93">
        <f t="shared" si="3"/>
        <v>47087</v>
      </c>
      <c r="N40" s="93">
        <f t="shared" si="0"/>
        <v>47087</v>
      </c>
      <c r="O40" s="93">
        <f t="shared" si="0"/>
        <v>47087</v>
      </c>
      <c r="P40" s="94">
        <v>20033.06254239846</v>
      </c>
      <c r="Q40" s="18"/>
      <c r="V40">
        <v>1</v>
      </c>
      <c r="W40" t="s">
        <v>33</v>
      </c>
      <c r="Y40" t="s">
        <v>33</v>
      </c>
      <c r="Z40" t="s">
        <v>34</v>
      </c>
      <c r="AA40">
        <v>1</v>
      </c>
    </row>
    <row r="41" spans="1:27" x14ac:dyDescent="0.35">
      <c r="A41" s="13">
        <f t="shared" si="1"/>
        <v>45930</v>
      </c>
      <c r="B41">
        <v>1</v>
      </c>
      <c r="D41" s="14" t="s">
        <v>31</v>
      </c>
      <c r="E41" s="15" t="s">
        <v>32</v>
      </c>
      <c r="F41" s="16" t="s">
        <v>32</v>
      </c>
      <c r="G41" s="17"/>
      <c r="H41" s="84" t="s">
        <v>172</v>
      </c>
      <c r="I41" s="84" t="s">
        <v>175</v>
      </c>
      <c r="J41" s="88"/>
      <c r="K41" s="91">
        <f t="shared" si="2"/>
        <v>39</v>
      </c>
      <c r="L41" s="88"/>
      <c r="M41" s="93">
        <f t="shared" si="3"/>
        <v>47118</v>
      </c>
      <c r="N41" s="93">
        <f t="shared" si="0"/>
        <v>47118</v>
      </c>
      <c r="O41" s="93">
        <f t="shared" si="0"/>
        <v>47118</v>
      </c>
      <c r="P41" s="94">
        <v>19857.545001875143</v>
      </c>
      <c r="Q41" s="18"/>
      <c r="V41">
        <v>1</v>
      </c>
      <c r="W41" t="s">
        <v>33</v>
      </c>
      <c r="Y41" t="s">
        <v>33</v>
      </c>
      <c r="Z41" t="s">
        <v>34</v>
      </c>
      <c r="AA41">
        <v>1</v>
      </c>
    </row>
    <row r="42" spans="1:27" x14ac:dyDescent="0.35">
      <c r="A42" s="13">
        <f t="shared" si="1"/>
        <v>45930</v>
      </c>
      <c r="B42">
        <v>1</v>
      </c>
      <c r="D42" s="14" t="s">
        <v>31</v>
      </c>
      <c r="E42" s="15" t="s">
        <v>32</v>
      </c>
      <c r="F42" s="16" t="s">
        <v>32</v>
      </c>
      <c r="G42" s="17"/>
      <c r="H42" s="84" t="s">
        <v>172</v>
      </c>
      <c r="I42" s="84" t="s">
        <v>175</v>
      </c>
      <c r="J42" s="88"/>
      <c r="K42" s="91">
        <f t="shared" si="2"/>
        <v>40</v>
      </c>
      <c r="L42" s="88"/>
      <c r="M42" s="93">
        <f t="shared" si="3"/>
        <v>47149</v>
      </c>
      <c r="N42" s="93">
        <f t="shared" si="0"/>
        <v>47149</v>
      </c>
      <c r="O42" s="93">
        <f t="shared" si="0"/>
        <v>47149</v>
      </c>
      <c r="P42" s="94">
        <v>19683.56523956079</v>
      </c>
      <c r="Q42" s="18"/>
      <c r="V42">
        <v>1</v>
      </c>
      <c r="W42" t="s">
        <v>33</v>
      </c>
      <c r="Y42" t="s">
        <v>33</v>
      </c>
      <c r="Z42" t="s">
        <v>34</v>
      </c>
      <c r="AA42">
        <v>1</v>
      </c>
    </row>
    <row r="43" spans="1:27" x14ac:dyDescent="0.35">
      <c r="A43" s="13">
        <f t="shared" si="1"/>
        <v>45930</v>
      </c>
      <c r="B43">
        <v>1</v>
      </c>
      <c r="D43" s="14" t="s">
        <v>31</v>
      </c>
      <c r="E43" s="15" t="s">
        <v>32</v>
      </c>
      <c r="F43" s="16" t="s">
        <v>32</v>
      </c>
      <c r="G43" s="17"/>
      <c r="H43" s="84" t="s">
        <v>172</v>
      </c>
      <c r="I43" s="84" t="s">
        <v>175</v>
      </c>
      <c r="J43" s="88"/>
      <c r="K43" s="91">
        <f t="shared" si="2"/>
        <v>41</v>
      </c>
      <c r="L43" s="88"/>
      <c r="M43" s="93">
        <f t="shared" si="3"/>
        <v>47177</v>
      </c>
      <c r="N43" s="93">
        <f t="shared" si="0"/>
        <v>47177</v>
      </c>
      <c r="O43" s="93">
        <f t="shared" si="0"/>
        <v>47177</v>
      </c>
      <c r="P43" s="94">
        <v>19511.109782375861</v>
      </c>
      <c r="Q43" s="18"/>
      <c r="V43">
        <v>1</v>
      </c>
      <c r="W43" t="s">
        <v>33</v>
      </c>
      <c r="Y43" t="s">
        <v>33</v>
      </c>
      <c r="Z43" t="s">
        <v>34</v>
      </c>
      <c r="AA43">
        <v>1</v>
      </c>
    </row>
    <row r="44" spans="1:27" x14ac:dyDescent="0.35">
      <c r="A44" s="13">
        <f t="shared" si="1"/>
        <v>45930</v>
      </c>
      <c r="B44">
        <v>1</v>
      </c>
      <c r="D44" s="14" t="s">
        <v>31</v>
      </c>
      <c r="E44" s="15" t="s">
        <v>32</v>
      </c>
      <c r="F44" s="16" t="s">
        <v>32</v>
      </c>
      <c r="G44" s="17"/>
      <c r="H44" s="84" t="s">
        <v>172</v>
      </c>
      <c r="I44" s="84" t="s">
        <v>175</v>
      </c>
      <c r="J44" s="88"/>
      <c r="K44" s="91">
        <f t="shared" si="2"/>
        <v>42</v>
      </c>
      <c r="L44" s="88"/>
      <c r="M44" s="93">
        <f t="shared" si="3"/>
        <v>47208</v>
      </c>
      <c r="N44" s="93">
        <f t="shared" si="0"/>
        <v>47208</v>
      </c>
      <c r="O44" s="93">
        <f t="shared" si="0"/>
        <v>47208</v>
      </c>
      <c r="P44" s="94">
        <v>19340.165275282227</v>
      </c>
      <c r="Q44" s="18"/>
      <c r="V44">
        <v>1</v>
      </c>
      <c r="W44" t="s">
        <v>33</v>
      </c>
      <c r="Y44" t="s">
        <v>33</v>
      </c>
      <c r="Z44" t="s">
        <v>34</v>
      </c>
      <c r="AA44">
        <v>1</v>
      </c>
    </row>
    <row r="45" spans="1:27" x14ac:dyDescent="0.35">
      <c r="A45" s="13">
        <f t="shared" si="1"/>
        <v>45930</v>
      </c>
      <c r="B45">
        <v>1</v>
      </c>
      <c r="D45" s="14" t="s">
        <v>31</v>
      </c>
      <c r="E45" s="15" t="s">
        <v>32</v>
      </c>
      <c r="F45" s="16" t="s">
        <v>32</v>
      </c>
      <c r="G45" s="17"/>
      <c r="H45" s="84" t="s">
        <v>172</v>
      </c>
      <c r="I45" s="84" t="s">
        <v>175</v>
      </c>
      <c r="J45" s="88"/>
      <c r="K45" s="91">
        <f t="shared" si="2"/>
        <v>43</v>
      </c>
      <c r="L45" s="88"/>
      <c r="M45" s="93">
        <f t="shared" si="3"/>
        <v>47238</v>
      </c>
      <c r="N45" s="93">
        <f t="shared" si="0"/>
        <v>47238</v>
      </c>
      <c r="O45" s="93">
        <f t="shared" si="0"/>
        <v>47238</v>
      </c>
      <c r="P45" s="94">
        <v>19170.718480253126</v>
      </c>
      <c r="Q45" s="18"/>
      <c r="V45">
        <v>1</v>
      </c>
      <c r="W45" t="s">
        <v>33</v>
      </c>
      <c r="Y45" t="s">
        <v>33</v>
      </c>
      <c r="Z45" t="s">
        <v>34</v>
      </c>
      <c r="AA45">
        <v>1</v>
      </c>
    </row>
    <row r="46" spans="1:27" x14ac:dyDescent="0.35">
      <c r="A46" s="13">
        <f t="shared" si="1"/>
        <v>45930</v>
      </c>
      <c r="B46">
        <v>1</v>
      </c>
      <c r="D46" s="14" t="s">
        <v>31</v>
      </c>
      <c r="E46" s="15" t="s">
        <v>32</v>
      </c>
      <c r="F46" s="16" t="s">
        <v>32</v>
      </c>
      <c r="G46" s="17"/>
      <c r="H46" s="84" t="s">
        <v>172</v>
      </c>
      <c r="I46" s="84" t="s">
        <v>175</v>
      </c>
      <c r="J46" s="88"/>
      <c r="K46" s="91">
        <f t="shared" si="2"/>
        <v>44</v>
      </c>
      <c r="L46" s="88"/>
      <c r="M46" s="93">
        <f t="shared" si="3"/>
        <v>47269</v>
      </c>
      <c r="N46" s="93">
        <f t="shared" si="0"/>
        <v>47269</v>
      </c>
      <c r="O46" s="93">
        <f t="shared" si="0"/>
        <v>47269</v>
      </c>
      <c r="P46" s="94">
        <v>19002.756275244057</v>
      </c>
      <c r="Q46" s="18"/>
      <c r="V46">
        <v>1</v>
      </c>
      <c r="W46" t="s">
        <v>33</v>
      </c>
      <c r="Y46" t="s">
        <v>33</v>
      </c>
      <c r="Z46" t="s">
        <v>34</v>
      </c>
      <c r="AA46">
        <v>1</v>
      </c>
    </row>
    <row r="47" spans="1:27" x14ac:dyDescent="0.35">
      <c r="A47" s="13">
        <f t="shared" si="1"/>
        <v>45930</v>
      </c>
      <c r="B47">
        <v>1</v>
      </c>
      <c r="D47" s="14" t="s">
        <v>31</v>
      </c>
      <c r="E47" s="15" t="s">
        <v>32</v>
      </c>
      <c r="F47" s="16" t="s">
        <v>32</v>
      </c>
      <c r="G47" s="17"/>
      <c r="H47" s="84" t="s">
        <v>172</v>
      </c>
      <c r="I47" s="84" t="s">
        <v>175</v>
      </c>
      <c r="J47" s="88"/>
      <c r="K47" s="91">
        <f t="shared" si="2"/>
        <v>45</v>
      </c>
      <c r="L47" s="88"/>
      <c r="M47" s="93">
        <f t="shared" si="3"/>
        <v>47299</v>
      </c>
      <c r="N47" s="93">
        <f t="shared" si="0"/>
        <v>47299</v>
      </c>
      <c r="O47" s="93">
        <f t="shared" si="0"/>
        <v>47299</v>
      </c>
      <c r="P47" s="94">
        <v>18836.265653176699</v>
      </c>
      <c r="Q47" s="18"/>
      <c r="V47">
        <v>1</v>
      </c>
      <c r="W47" t="s">
        <v>33</v>
      </c>
      <c r="Y47" t="s">
        <v>33</v>
      </c>
      <c r="Z47" t="s">
        <v>34</v>
      </c>
      <c r="AA47">
        <v>1</v>
      </c>
    </row>
    <row r="48" spans="1:27" x14ac:dyDescent="0.35">
      <c r="A48" s="13">
        <f t="shared" si="1"/>
        <v>45930</v>
      </c>
      <c r="B48">
        <v>1</v>
      </c>
      <c r="D48" s="14" t="s">
        <v>31</v>
      </c>
      <c r="E48" s="15" t="s">
        <v>32</v>
      </c>
      <c r="F48" s="16" t="s">
        <v>32</v>
      </c>
      <c r="G48" s="17"/>
      <c r="H48" s="84" t="s">
        <v>172</v>
      </c>
      <c r="I48" s="84" t="s">
        <v>175</v>
      </c>
      <c r="J48" s="88"/>
      <c r="K48" s="91">
        <f t="shared" si="2"/>
        <v>46</v>
      </c>
      <c r="L48" s="88"/>
      <c r="M48" s="93">
        <f t="shared" si="3"/>
        <v>47330</v>
      </c>
      <c r="N48" s="93">
        <f t="shared" si="0"/>
        <v>47330</v>
      </c>
      <c r="O48" s="93">
        <f t="shared" si="0"/>
        <v>47330</v>
      </c>
      <c r="P48" s="94">
        <v>18671.233720935415</v>
      </c>
      <c r="Q48" s="18"/>
      <c r="V48">
        <v>1</v>
      </c>
      <c r="W48" t="s">
        <v>33</v>
      </c>
      <c r="Y48" t="s">
        <v>33</v>
      </c>
      <c r="Z48" t="s">
        <v>34</v>
      </c>
      <c r="AA48">
        <v>1</v>
      </c>
    </row>
    <row r="49" spans="1:27" x14ac:dyDescent="0.35">
      <c r="A49" s="13">
        <f t="shared" si="1"/>
        <v>45930</v>
      </c>
      <c r="B49">
        <v>1</v>
      </c>
      <c r="D49" s="14" t="s">
        <v>31</v>
      </c>
      <c r="E49" s="15" t="s">
        <v>32</v>
      </c>
      <c r="F49" s="16" t="s">
        <v>32</v>
      </c>
      <c r="G49" s="17"/>
      <c r="H49" s="84" t="s">
        <v>172</v>
      </c>
      <c r="I49" s="84" t="s">
        <v>175</v>
      </c>
      <c r="J49" s="88"/>
      <c r="K49" s="91">
        <f t="shared" si="2"/>
        <v>47</v>
      </c>
      <c r="L49" s="88"/>
      <c r="M49" s="93">
        <f t="shared" si="3"/>
        <v>47361</v>
      </c>
      <c r="N49" s="93">
        <f t="shared" si="0"/>
        <v>47361</v>
      </c>
      <c r="O49" s="93">
        <f t="shared" si="0"/>
        <v>47361</v>
      </c>
      <c r="P49" s="94">
        <v>18507.647698363988</v>
      </c>
      <c r="Q49" s="18"/>
      <c r="V49">
        <v>1</v>
      </c>
      <c r="W49" t="s">
        <v>33</v>
      </c>
      <c r="Y49" t="s">
        <v>33</v>
      </c>
      <c r="Z49" t="s">
        <v>34</v>
      </c>
      <c r="AA49">
        <v>1</v>
      </c>
    </row>
    <row r="50" spans="1:27" x14ac:dyDescent="0.35">
      <c r="A50" s="13">
        <f t="shared" si="1"/>
        <v>45930</v>
      </c>
      <c r="B50">
        <v>1</v>
      </c>
      <c r="D50" s="14" t="s">
        <v>31</v>
      </c>
      <c r="E50" s="15" t="s">
        <v>32</v>
      </c>
      <c r="F50" s="16" t="s">
        <v>32</v>
      </c>
      <c r="G50" s="17"/>
      <c r="H50" s="84" t="s">
        <v>172</v>
      </c>
      <c r="I50" s="84" t="s">
        <v>175</v>
      </c>
      <c r="J50" s="88"/>
      <c r="K50" s="91">
        <f t="shared" si="2"/>
        <v>48</v>
      </c>
      <c r="L50" s="88"/>
      <c r="M50" s="93">
        <f t="shared" si="3"/>
        <v>47391</v>
      </c>
      <c r="N50" s="93">
        <f t="shared" si="0"/>
        <v>47391</v>
      </c>
      <c r="O50" s="93">
        <f t="shared" si="0"/>
        <v>47391</v>
      </c>
      <c r="P50" s="94">
        <v>18345.494917280041</v>
      </c>
      <c r="Q50" s="18"/>
      <c r="V50">
        <v>1</v>
      </c>
      <c r="W50" t="s">
        <v>33</v>
      </c>
      <c r="Y50" t="s">
        <v>33</v>
      </c>
      <c r="Z50" t="s">
        <v>34</v>
      </c>
      <c r="AA50">
        <v>1</v>
      </c>
    </row>
    <row r="51" spans="1:27" x14ac:dyDescent="0.35">
      <c r="A51" s="13">
        <f t="shared" si="1"/>
        <v>45930</v>
      </c>
      <c r="B51">
        <v>1</v>
      </c>
      <c r="D51" s="14" t="s">
        <v>31</v>
      </c>
      <c r="E51" s="15" t="s">
        <v>32</v>
      </c>
      <c r="F51" s="16" t="s">
        <v>32</v>
      </c>
      <c r="G51" s="17"/>
      <c r="H51" s="84" t="s">
        <v>172</v>
      </c>
      <c r="I51" s="84" t="s">
        <v>175</v>
      </c>
      <c r="J51" s="88"/>
      <c r="K51" s="91">
        <f t="shared" si="2"/>
        <v>49</v>
      </c>
      <c r="L51" s="88"/>
      <c r="M51" s="93">
        <f t="shared" si="3"/>
        <v>47422</v>
      </c>
      <c r="N51" s="93">
        <f t="shared" si="0"/>
        <v>47422</v>
      </c>
      <c r="O51" s="93">
        <f t="shared" si="0"/>
        <v>47422</v>
      </c>
      <c r="P51" s="94">
        <v>18184.76282049017</v>
      </c>
      <c r="Q51" s="18"/>
      <c r="V51">
        <v>1</v>
      </c>
      <c r="W51" t="s">
        <v>33</v>
      </c>
      <c r="Y51" t="s">
        <v>33</v>
      </c>
      <c r="Z51" t="s">
        <v>34</v>
      </c>
      <c r="AA51">
        <v>1</v>
      </c>
    </row>
    <row r="52" spans="1:27" x14ac:dyDescent="0.35">
      <c r="A52" s="13">
        <f t="shared" si="1"/>
        <v>45930</v>
      </c>
      <c r="B52">
        <v>1</v>
      </c>
      <c r="D52" s="14" t="s">
        <v>31</v>
      </c>
      <c r="E52" s="15" t="s">
        <v>32</v>
      </c>
      <c r="F52" s="16" t="s">
        <v>32</v>
      </c>
      <c r="G52" s="17"/>
      <c r="H52" s="84" t="s">
        <v>172</v>
      </c>
      <c r="I52" s="84" t="s">
        <v>175</v>
      </c>
      <c r="J52" s="88"/>
      <c r="K52" s="91">
        <f t="shared" si="2"/>
        <v>50</v>
      </c>
      <c r="L52" s="88"/>
      <c r="M52" s="93">
        <f t="shared" si="3"/>
        <v>47452</v>
      </c>
      <c r="N52" s="93">
        <f t="shared" si="0"/>
        <v>47452</v>
      </c>
      <c r="O52" s="93">
        <f t="shared" si="0"/>
        <v>47452</v>
      </c>
      <c r="P52" s="94">
        <v>18025.438960821135</v>
      </c>
      <c r="Q52" s="18"/>
      <c r="V52">
        <v>1</v>
      </c>
      <c r="W52" t="s">
        <v>33</v>
      </c>
      <c r="Y52" t="s">
        <v>33</v>
      </c>
      <c r="Z52" t="s">
        <v>34</v>
      </c>
      <c r="AA52">
        <v>1</v>
      </c>
    </row>
    <row r="53" spans="1:27" x14ac:dyDescent="0.35">
      <c r="A53" s="13">
        <f t="shared" si="1"/>
        <v>45930</v>
      </c>
      <c r="B53">
        <v>1</v>
      </c>
      <c r="D53" s="14" t="s">
        <v>31</v>
      </c>
      <c r="E53" s="15" t="s">
        <v>32</v>
      </c>
      <c r="F53" s="16" t="s">
        <v>32</v>
      </c>
      <c r="G53" s="17"/>
      <c r="H53" s="84" t="s">
        <v>172</v>
      </c>
      <c r="I53" s="84" t="s">
        <v>175</v>
      </c>
      <c r="J53" s="88"/>
      <c r="K53" s="91">
        <f t="shared" si="2"/>
        <v>51</v>
      </c>
      <c r="L53" s="88"/>
      <c r="M53" s="93">
        <f t="shared" si="3"/>
        <v>47483</v>
      </c>
      <c r="N53" s="93">
        <f t="shared" si="0"/>
        <v>47483</v>
      </c>
      <c r="O53" s="93">
        <f t="shared" si="0"/>
        <v>47483</v>
      </c>
      <c r="P53" s="94">
        <v>17867.511000153609</v>
      </c>
      <c r="Q53" s="18"/>
      <c r="V53">
        <v>1</v>
      </c>
      <c r="W53" t="s">
        <v>33</v>
      </c>
      <c r="Y53" t="s">
        <v>33</v>
      </c>
      <c r="Z53" t="s">
        <v>34</v>
      </c>
      <c r="AA53">
        <v>1</v>
      </c>
    </row>
    <row r="54" spans="1:27" x14ac:dyDescent="0.35">
      <c r="A54" s="13">
        <f t="shared" si="1"/>
        <v>45930</v>
      </c>
      <c r="B54">
        <v>1</v>
      </c>
      <c r="D54" s="14" t="s">
        <v>31</v>
      </c>
      <c r="E54" s="15" t="s">
        <v>32</v>
      </c>
      <c r="F54" s="16" t="s">
        <v>32</v>
      </c>
      <c r="G54" s="17"/>
      <c r="H54" s="84" t="s">
        <v>172</v>
      </c>
      <c r="I54" s="84" t="s">
        <v>175</v>
      </c>
      <c r="J54" s="88"/>
      <c r="K54" s="91">
        <f t="shared" si="2"/>
        <v>52</v>
      </c>
      <c r="L54" s="88"/>
      <c r="M54" s="93">
        <f t="shared" si="3"/>
        <v>47514</v>
      </c>
      <c r="N54" s="93">
        <f t="shared" si="0"/>
        <v>47514</v>
      </c>
      <c r="O54" s="93">
        <f t="shared" si="0"/>
        <v>47514</v>
      </c>
      <c r="P54" s="94">
        <v>17710.966708466411</v>
      </c>
      <c r="Q54" s="18"/>
      <c r="V54">
        <v>1</v>
      </c>
      <c r="W54" t="s">
        <v>33</v>
      </c>
      <c r="Y54" t="s">
        <v>33</v>
      </c>
      <c r="Z54" t="s">
        <v>34</v>
      </c>
      <c r="AA54">
        <v>1</v>
      </c>
    </row>
    <row r="55" spans="1:27" x14ac:dyDescent="0.35">
      <c r="A55" s="13">
        <f t="shared" si="1"/>
        <v>45930</v>
      </c>
      <c r="B55">
        <v>1</v>
      </c>
      <c r="D55" s="14" t="s">
        <v>31</v>
      </c>
      <c r="E55" s="15" t="s">
        <v>32</v>
      </c>
      <c r="F55" s="16" t="s">
        <v>32</v>
      </c>
      <c r="G55" s="17"/>
      <c r="H55" s="84" t="s">
        <v>172</v>
      </c>
      <c r="I55" s="84" t="s">
        <v>175</v>
      </c>
      <c r="J55" s="88"/>
      <c r="K55" s="91">
        <f t="shared" si="2"/>
        <v>53</v>
      </c>
      <c r="L55" s="88"/>
      <c r="M55" s="93">
        <f t="shared" si="3"/>
        <v>47542</v>
      </c>
      <c r="N55" s="93">
        <f t="shared" si="0"/>
        <v>47542</v>
      </c>
      <c r="O55" s="93">
        <f t="shared" si="0"/>
        <v>47542</v>
      </c>
      <c r="P55" s="94">
        <v>17555.793962892611</v>
      </c>
      <c r="Q55" s="18"/>
      <c r="V55">
        <v>1</v>
      </c>
      <c r="W55" t="s">
        <v>33</v>
      </c>
      <c r="Y55" t="s">
        <v>33</v>
      </c>
      <c r="Z55" t="s">
        <v>34</v>
      </c>
      <c r="AA55">
        <v>1</v>
      </c>
    </row>
    <row r="56" spans="1:27" x14ac:dyDescent="0.35">
      <c r="A56" s="13">
        <f t="shared" si="1"/>
        <v>45930</v>
      </c>
      <c r="B56">
        <v>1</v>
      </c>
      <c r="D56" s="14" t="s">
        <v>31</v>
      </c>
      <c r="E56" s="15" t="s">
        <v>32</v>
      </c>
      <c r="F56" s="16" t="s">
        <v>32</v>
      </c>
      <c r="G56" s="17"/>
      <c r="H56" s="84" t="s">
        <v>172</v>
      </c>
      <c r="I56" s="84" t="s">
        <v>175</v>
      </c>
      <c r="J56" s="88"/>
      <c r="K56" s="91">
        <f t="shared" si="2"/>
        <v>54</v>
      </c>
      <c r="L56" s="88"/>
      <c r="M56" s="93">
        <f t="shared" si="3"/>
        <v>47573</v>
      </c>
      <c r="N56" s="93">
        <f t="shared" si="0"/>
        <v>47573</v>
      </c>
      <c r="O56" s="93">
        <f t="shared" si="0"/>
        <v>47573</v>
      </c>
      <c r="P56" s="94">
        <v>17401.98074677703</v>
      </c>
      <c r="Q56" s="18"/>
      <c r="V56">
        <v>1</v>
      </c>
      <c r="W56" t="s">
        <v>33</v>
      </c>
      <c r="Y56" t="s">
        <v>33</v>
      </c>
      <c r="Z56" t="s">
        <v>34</v>
      </c>
      <c r="AA56">
        <v>1</v>
      </c>
    </row>
    <row r="57" spans="1:27" x14ac:dyDescent="0.35">
      <c r="A57" s="13">
        <f t="shared" si="1"/>
        <v>45930</v>
      </c>
      <c r="B57">
        <v>1</v>
      </c>
      <c r="D57" s="14" t="s">
        <v>31</v>
      </c>
      <c r="E57" s="15" t="s">
        <v>32</v>
      </c>
      <c r="F57" s="16" t="s">
        <v>32</v>
      </c>
      <c r="G57" s="17"/>
      <c r="H57" s="84" t="s">
        <v>172</v>
      </c>
      <c r="I57" s="84" t="s">
        <v>175</v>
      </c>
      <c r="J57" s="88"/>
      <c r="K57" s="91">
        <f t="shared" si="2"/>
        <v>55</v>
      </c>
      <c r="L57" s="88"/>
      <c r="M57" s="93">
        <f t="shared" si="3"/>
        <v>47603</v>
      </c>
      <c r="N57" s="93">
        <f t="shared" si="0"/>
        <v>47603</v>
      </c>
      <c r="O57" s="93">
        <f t="shared" si="0"/>
        <v>47603</v>
      </c>
      <c r="P57" s="94">
        <v>17249.515148746548</v>
      </c>
      <c r="Q57" s="18"/>
      <c r="V57">
        <v>1</v>
      </c>
      <c r="W57" t="s">
        <v>33</v>
      </c>
      <c r="Y57" t="s">
        <v>33</v>
      </c>
      <c r="Z57" t="s">
        <v>34</v>
      </c>
      <c r="AA57">
        <v>1</v>
      </c>
    </row>
    <row r="58" spans="1:27" x14ac:dyDescent="0.35">
      <c r="A58" s="13">
        <f t="shared" si="1"/>
        <v>45930</v>
      </c>
      <c r="B58">
        <v>1</v>
      </c>
      <c r="D58" s="14" t="s">
        <v>31</v>
      </c>
      <c r="E58" s="15" t="s">
        <v>32</v>
      </c>
      <c r="F58" s="16" t="s">
        <v>32</v>
      </c>
      <c r="G58" s="17"/>
      <c r="H58" s="84" t="s">
        <v>172</v>
      </c>
      <c r="I58" s="84" t="s">
        <v>175</v>
      </c>
      <c r="J58" s="88"/>
      <c r="K58" s="91">
        <f t="shared" si="2"/>
        <v>56</v>
      </c>
      <c r="L58" s="88"/>
      <c r="M58" s="93">
        <f t="shared" si="3"/>
        <v>47634</v>
      </c>
      <c r="N58" s="93">
        <f t="shared" si="0"/>
        <v>47634</v>
      </c>
      <c r="O58" s="93">
        <f t="shared" si="0"/>
        <v>47634</v>
      </c>
      <c r="P58" s="94">
        <v>17098.385361789959</v>
      </c>
      <c r="Q58" s="18"/>
      <c r="V58">
        <v>1</v>
      </c>
      <c r="W58" t="s">
        <v>33</v>
      </c>
      <c r="Y58" t="s">
        <v>33</v>
      </c>
      <c r="Z58" t="s">
        <v>34</v>
      </c>
      <c r="AA58">
        <v>1</v>
      </c>
    </row>
    <row r="59" spans="1:27" x14ac:dyDescent="0.35">
      <c r="A59" s="13">
        <f t="shared" si="1"/>
        <v>45930</v>
      </c>
      <c r="B59">
        <v>1</v>
      </c>
      <c r="D59" s="14" t="s">
        <v>31</v>
      </c>
      <c r="E59" s="15" t="s">
        <v>32</v>
      </c>
      <c r="F59" s="16" t="s">
        <v>32</v>
      </c>
      <c r="G59" s="17"/>
      <c r="H59" s="84" t="s">
        <v>172</v>
      </c>
      <c r="I59" s="84" t="s">
        <v>175</v>
      </c>
      <c r="J59" s="88"/>
      <c r="K59" s="91">
        <f t="shared" si="2"/>
        <v>57</v>
      </c>
      <c r="L59" s="88"/>
      <c r="M59" s="93">
        <f t="shared" si="3"/>
        <v>47664</v>
      </c>
      <c r="N59" s="93">
        <f t="shared" si="0"/>
        <v>47664</v>
      </c>
      <c r="O59" s="93">
        <f t="shared" si="0"/>
        <v>47664</v>
      </c>
      <c r="P59" s="94">
        <v>16948.57968234038</v>
      </c>
      <c r="Q59" s="18"/>
      <c r="V59">
        <v>1</v>
      </c>
      <c r="W59" t="s">
        <v>33</v>
      </c>
      <c r="Y59" t="s">
        <v>33</v>
      </c>
      <c r="Z59" t="s">
        <v>34</v>
      </c>
      <c r="AA59">
        <v>1</v>
      </c>
    </row>
    <row r="60" spans="1:27" x14ac:dyDescent="0.35">
      <c r="A60" s="13">
        <f t="shared" si="1"/>
        <v>45930</v>
      </c>
      <c r="B60">
        <v>1</v>
      </c>
      <c r="D60" s="14" t="s">
        <v>31</v>
      </c>
      <c r="E60" s="15" t="s">
        <v>32</v>
      </c>
      <c r="F60" s="16" t="s">
        <v>32</v>
      </c>
      <c r="G60" s="17"/>
      <c r="H60" s="84" t="s">
        <v>172</v>
      </c>
      <c r="I60" s="84" t="s">
        <v>175</v>
      </c>
      <c r="J60" s="88"/>
      <c r="K60" s="91">
        <f t="shared" si="2"/>
        <v>58</v>
      </c>
      <c r="L60" s="88"/>
      <c r="M60" s="93">
        <f t="shared" si="3"/>
        <v>47695</v>
      </c>
      <c r="N60" s="93">
        <f t="shared" si="0"/>
        <v>47695</v>
      </c>
      <c r="O60" s="93">
        <f t="shared" si="0"/>
        <v>47695</v>
      </c>
      <c r="P60" s="94">
        <v>16800.086509371875</v>
      </c>
      <c r="Q60" s="18"/>
      <c r="V60">
        <v>1</v>
      </c>
      <c r="W60" t="s">
        <v>33</v>
      </c>
      <c r="Y60" t="s">
        <v>33</v>
      </c>
      <c r="Z60" t="s">
        <v>34</v>
      </c>
      <c r="AA60">
        <v>1</v>
      </c>
    </row>
    <row r="61" spans="1:27" x14ac:dyDescent="0.35">
      <c r="A61" s="13">
        <f t="shared" si="1"/>
        <v>45930</v>
      </c>
      <c r="B61">
        <v>1</v>
      </c>
      <c r="D61" s="14" t="s">
        <v>31</v>
      </c>
      <c r="E61" s="15" t="s">
        <v>32</v>
      </c>
      <c r="F61" s="16" t="s">
        <v>32</v>
      </c>
      <c r="G61" s="17"/>
      <c r="H61" s="84" t="s">
        <v>172</v>
      </c>
      <c r="I61" s="84" t="s">
        <v>175</v>
      </c>
      <c r="J61" s="88"/>
      <c r="K61" s="91">
        <f t="shared" si="2"/>
        <v>59</v>
      </c>
      <c r="L61" s="88"/>
      <c r="M61" s="93">
        <f t="shared" si="3"/>
        <v>47726</v>
      </c>
      <c r="N61" s="93">
        <f t="shared" si="0"/>
        <v>47726</v>
      </c>
      <c r="O61" s="93">
        <f t="shared" si="0"/>
        <v>47726</v>
      </c>
      <c r="P61" s="94">
        <v>16652.894343497697</v>
      </c>
      <c r="Q61" s="18"/>
      <c r="V61">
        <v>1</v>
      </c>
      <c r="W61" t="s">
        <v>33</v>
      </c>
      <c r="Y61" t="s">
        <v>33</v>
      </c>
      <c r="Z61" t="s">
        <v>34</v>
      </c>
      <c r="AA61">
        <v>1</v>
      </c>
    </row>
    <row r="62" spans="1:27" x14ac:dyDescent="0.35">
      <c r="A62" s="13">
        <f t="shared" si="1"/>
        <v>45930</v>
      </c>
      <c r="B62">
        <v>1</v>
      </c>
      <c r="D62" s="14" t="s">
        <v>31</v>
      </c>
      <c r="E62" s="15" t="s">
        <v>32</v>
      </c>
      <c r="F62" s="16" t="s">
        <v>32</v>
      </c>
      <c r="G62" s="17"/>
      <c r="H62" s="84" t="s">
        <v>172</v>
      </c>
      <c r="I62" s="84" t="s">
        <v>175</v>
      </c>
      <c r="J62" s="88"/>
      <c r="K62" s="91">
        <f t="shared" si="2"/>
        <v>60</v>
      </c>
      <c r="L62" s="88"/>
      <c r="M62" s="93">
        <f t="shared" si="3"/>
        <v>47756</v>
      </c>
      <c r="N62" s="93">
        <f t="shared" si="0"/>
        <v>47756</v>
      </c>
      <c r="O62" s="93">
        <f t="shared" si="0"/>
        <v>47756</v>
      </c>
      <c r="P62" s="94">
        <v>16506.991786084604</v>
      </c>
      <c r="Q62" s="18"/>
      <c r="V62">
        <v>1</v>
      </c>
      <c r="W62" t="s">
        <v>33</v>
      </c>
      <c r="Y62" t="s">
        <v>33</v>
      </c>
      <c r="Z62" t="s">
        <v>34</v>
      </c>
      <c r="AA62">
        <v>1</v>
      </c>
    </row>
    <row r="63" spans="1:27" x14ac:dyDescent="0.35">
      <c r="A63" s="13">
        <f t="shared" si="1"/>
        <v>45930</v>
      </c>
      <c r="B63">
        <v>1</v>
      </c>
      <c r="D63" s="14" t="s">
        <v>31</v>
      </c>
      <c r="E63" s="15" t="s">
        <v>32</v>
      </c>
      <c r="F63" s="16" t="s">
        <v>32</v>
      </c>
      <c r="G63" s="17"/>
      <c r="H63" s="84" t="s">
        <v>172</v>
      </c>
      <c r="I63" s="84" t="s">
        <v>175</v>
      </c>
      <c r="J63" s="88"/>
      <c r="K63" s="91">
        <f t="shared" si="2"/>
        <v>61</v>
      </c>
      <c r="L63" s="88"/>
      <c r="M63" s="93">
        <f t="shared" si="3"/>
        <v>47787</v>
      </c>
      <c r="N63" s="93">
        <f t="shared" si="0"/>
        <v>47787</v>
      </c>
      <c r="O63" s="93">
        <f t="shared" si="0"/>
        <v>47787</v>
      </c>
      <c r="P63" s="94">
        <v>16362.367538363906</v>
      </c>
      <c r="Q63" s="18"/>
      <c r="V63">
        <v>1</v>
      </c>
      <c r="W63" t="s">
        <v>33</v>
      </c>
      <c r="Y63" t="s">
        <v>33</v>
      </c>
      <c r="Z63" t="s">
        <v>34</v>
      </c>
      <c r="AA63">
        <v>1</v>
      </c>
    </row>
    <row r="64" spans="1:27" x14ac:dyDescent="0.35">
      <c r="A64" s="13">
        <f t="shared" si="1"/>
        <v>45930</v>
      </c>
      <c r="B64">
        <v>1</v>
      </c>
      <c r="D64" s="14" t="s">
        <v>31</v>
      </c>
      <c r="E64" s="15" t="s">
        <v>32</v>
      </c>
      <c r="F64" s="16" t="s">
        <v>32</v>
      </c>
      <c r="G64" s="17"/>
      <c r="H64" s="84" t="s">
        <v>172</v>
      </c>
      <c r="I64" s="84" t="s">
        <v>175</v>
      </c>
      <c r="J64" s="88"/>
      <c r="K64" s="91">
        <f t="shared" si="2"/>
        <v>62</v>
      </c>
      <c r="L64" s="88"/>
      <c r="M64" s="93">
        <f t="shared" si="3"/>
        <v>47817</v>
      </c>
      <c r="N64" s="93">
        <f t="shared" si="0"/>
        <v>47817</v>
      </c>
      <c r="O64" s="93">
        <f t="shared" si="0"/>
        <v>47817</v>
      </c>
      <c r="P64" s="94">
        <v>16219.010400563246</v>
      </c>
      <c r="Q64" s="18"/>
      <c r="V64">
        <v>1</v>
      </c>
      <c r="W64" t="s">
        <v>33</v>
      </c>
      <c r="Y64" t="s">
        <v>33</v>
      </c>
      <c r="Z64" t="s">
        <v>34</v>
      </c>
      <c r="AA64">
        <v>1</v>
      </c>
    </row>
    <row r="65" spans="1:27" x14ac:dyDescent="0.35">
      <c r="A65" s="13">
        <f t="shared" si="1"/>
        <v>45930</v>
      </c>
      <c r="B65">
        <v>1</v>
      </c>
      <c r="D65" s="14" t="s">
        <v>31</v>
      </c>
      <c r="E65" s="15" t="s">
        <v>32</v>
      </c>
      <c r="F65" s="16" t="s">
        <v>32</v>
      </c>
      <c r="G65" s="17"/>
      <c r="H65" s="84" t="s">
        <v>172</v>
      </c>
      <c r="I65" s="84" t="s">
        <v>175</v>
      </c>
      <c r="J65" s="88"/>
      <c r="K65" s="91">
        <f t="shared" si="2"/>
        <v>63</v>
      </c>
      <c r="L65" s="88"/>
      <c r="M65" s="93">
        <f t="shared" si="3"/>
        <v>47848</v>
      </c>
      <c r="N65" s="93">
        <f t="shared" si="0"/>
        <v>47848</v>
      </c>
      <c r="O65" s="93">
        <f t="shared" si="0"/>
        <v>47848</v>
      </c>
      <c r="P65" s="94">
        <v>16076.909271032549</v>
      </c>
      <c r="Q65" s="18"/>
      <c r="V65">
        <v>1</v>
      </c>
      <c r="W65" t="s">
        <v>33</v>
      </c>
      <c r="Y65" t="s">
        <v>33</v>
      </c>
      <c r="Z65" t="s">
        <v>34</v>
      </c>
      <c r="AA65">
        <v>1</v>
      </c>
    </row>
    <row r="66" spans="1:27" x14ac:dyDescent="0.35">
      <c r="A66" s="13">
        <f t="shared" si="1"/>
        <v>45930</v>
      </c>
      <c r="B66">
        <v>1</v>
      </c>
      <c r="D66" s="14" t="s">
        <v>31</v>
      </c>
      <c r="E66" s="15" t="s">
        <v>32</v>
      </c>
      <c r="F66" s="16" t="s">
        <v>32</v>
      </c>
      <c r="G66" s="17"/>
      <c r="H66" s="84" t="s">
        <v>172</v>
      </c>
      <c r="I66" s="84" t="s">
        <v>175</v>
      </c>
      <c r="J66" s="88"/>
      <c r="K66" s="91">
        <f t="shared" si="2"/>
        <v>64</v>
      </c>
      <c r="L66" s="88"/>
      <c r="M66" s="93">
        <f t="shared" si="3"/>
        <v>47879</v>
      </c>
      <c r="N66" s="93">
        <f t="shared" si="0"/>
        <v>47879</v>
      </c>
      <c r="O66" s="93">
        <f t="shared" si="0"/>
        <v>47879</v>
      </c>
      <c r="P66" s="94">
        <v>15936.053145390935</v>
      </c>
      <c r="Q66" s="18"/>
      <c r="V66">
        <v>1</v>
      </c>
      <c r="W66" t="s">
        <v>33</v>
      </c>
      <c r="Y66" t="s">
        <v>33</v>
      </c>
      <c r="Z66" t="s">
        <v>34</v>
      </c>
      <c r="AA66">
        <v>1</v>
      </c>
    </row>
    <row r="67" spans="1:27" x14ac:dyDescent="0.35">
      <c r="A67" s="13">
        <f t="shared" si="1"/>
        <v>45930</v>
      </c>
      <c r="B67">
        <v>1</v>
      </c>
      <c r="D67" s="14" t="s">
        <v>31</v>
      </c>
      <c r="E67" s="15" t="s">
        <v>32</v>
      </c>
      <c r="F67" s="16" t="s">
        <v>32</v>
      </c>
      <c r="G67" s="17"/>
      <c r="H67" s="84" t="s">
        <v>172</v>
      </c>
      <c r="I67" s="84" t="s">
        <v>175</v>
      </c>
      <c r="J67" s="88"/>
      <c r="K67" s="91">
        <f t="shared" si="2"/>
        <v>65</v>
      </c>
      <c r="L67" s="88"/>
      <c r="M67" s="93">
        <f t="shared" si="3"/>
        <v>47907</v>
      </c>
      <c r="N67" s="93">
        <f t="shared" si="0"/>
        <v>47907</v>
      </c>
      <c r="O67" s="93">
        <f t="shared" si="0"/>
        <v>47907</v>
      </c>
      <c r="P67" s="94">
        <v>15796.4311156685</v>
      </c>
      <c r="Q67" s="18"/>
      <c r="V67">
        <v>1</v>
      </c>
      <c r="W67" t="s">
        <v>33</v>
      </c>
      <c r="Y67" t="s">
        <v>33</v>
      </c>
      <c r="Z67" t="s">
        <v>34</v>
      </c>
      <c r="AA67">
        <v>1</v>
      </c>
    </row>
    <row r="68" spans="1:27" x14ac:dyDescent="0.35">
      <c r="A68" s="13">
        <f t="shared" ref="A68:A72" si="4">A67</f>
        <v>45930</v>
      </c>
      <c r="B68">
        <v>1</v>
      </c>
      <c r="D68" s="14" t="s">
        <v>31</v>
      </c>
      <c r="E68" s="15" t="s">
        <v>32</v>
      </c>
      <c r="F68" s="16" t="s">
        <v>32</v>
      </c>
      <c r="G68" s="17"/>
      <c r="H68" s="84" t="s">
        <v>172</v>
      </c>
      <c r="I68" s="84" t="s">
        <v>175</v>
      </c>
      <c r="J68" s="88"/>
      <c r="K68" s="91">
        <f t="shared" si="2"/>
        <v>66</v>
      </c>
      <c r="L68" s="88"/>
      <c r="M68" s="93">
        <f t="shared" si="3"/>
        <v>47938</v>
      </c>
      <c r="N68" s="93">
        <f t="shared" ref="N68:O72" si="5">M68</f>
        <v>47938</v>
      </c>
      <c r="O68" s="93">
        <f t="shared" si="5"/>
        <v>47938</v>
      </c>
      <c r="P68" s="94">
        <v>15658.0323694658</v>
      </c>
      <c r="Q68" s="18"/>
      <c r="V68">
        <v>1</v>
      </c>
      <c r="W68" t="s">
        <v>33</v>
      </c>
      <c r="Y68" t="s">
        <v>33</v>
      </c>
      <c r="Z68" t="s">
        <v>34</v>
      </c>
      <c r="AA68">
        <v>1</v>
      </c>
    </row>
    <row r="69" spans="1:27" x14ac:dyDescent="0.35">
      <c r="A69" s="13">
        <f t="shared" si="4"/>
        <v>45930</v>
      </c>
      <c r="B69">
        <v>1</v>
      </c>
      <c r="D69" s="14" t="s">
        <v>31</v>
      </c>
      <c r="E69" s="15" t="s">
        <v>32</v>
      </c>
      <c r="F69" s="16" t="s">
        <v>32</v>
      </c>
      <c r="G69" s="17"/>
      <c r="H69" s="84" t="s">
        <v>172</v>
      </c>
      <c r="I69" s="84" t="s">
        <v>175</v>
      </c>
      <c r="J69" s="88"/>
      <c r="K69" s="91">
        <f t="shared" ref="K69:K72" si="6">K68+1</f>
        <v>67</v>
      </c>
      <c r="L69" s="88"/>
      <c r="M69" s="93">
        <f t="shared" ref="M69:M72" si="7">EOMONTH(M68,1)</f>
        <v>47968</v>
      </c>
      <c r="N69" s="93">
        <f t="shared" si="5"/>
        <v>47968</v>
      </c>
      <c r="O69" s="93">
        <f t="shared" si="5"/>
        <v>47968</v>
      </c>
      <c r="P69" s="94">
        <v>15520.846189115429</v>
      </c>
      <c r="Q69" s="18"/>
      <c r="V69">
        <v>1</v>
      </c>
      <c r="W69" t="s">
        <v>33</v>
      </c>
      <c r="Y69" t="s">
        <v>33</v>
      </c>
      <c r="Z69" t="s">
        <v>34</v>
      </c>
      <c r="AA69">
        <v>1</v>
      </c>
    </row>
    <row r="70" spans="1:27" x14ac:dyDescent="0.35">
      <c r="A70" s="13">
        <f t="shared" si="4"/>
        <v>45930</v>
      </c>
      <c r="B70">
        <v>1</v>
      </c>
      <c r="D70" s="14" t="s">
        <v>31</v>
      </c>
      <c r="E70" s="15" t="s">
        <v>32</v>
      </c>
      <c r="F70" s="16" t="s">
        <v>32</v>
      </c>
      <c r="G70" s="17"/>
      <c r="H70" s="84" t="s">
        <v>172</v>
      </c>
      <c r="I70" s="84" t="s">
        <v>175</v>
      </c>
      <c r="J70" s="88"/>
      <c r="K70" s="91">
        <f t="shared" si="6"/>
        <v>68</v>
      </c>
      <c r="L70" s="88"/>
      <c r="M70" s="93">
        <f t="shared" si="7"/>
        <v>47999</v>
      </c>
      <c r="N70" s="93">
        <f t="shared" si="5"/>
        <v>47999</v>
      </c>
      <c r="O70" s="93">
        <f t="shared" si="5"/>
        <v>47999</v>
      </c>
      <c r="P70" s="94">
        <v>15384.861950849649</v>
      </c>
      <c r="Q70" s="18"/>
      <c r="V70">
        <v>1</v>
      </c>
      <c r="W70" t="s">
        <v>33</v>
      </c>
      <c r="Y70" t="s">
        <v>33</v>
      </c>
      <c r="Z70" t="s">
        <v>34</v>
      </c>
      <c r="AA70">
        <v>1</v>
      </c>
    </row>
    <row r="71" spans="1:27" x14ac:dyDescent="0.35">
      <c r="A71" s="13">
        <f t="shared" si="4"/>
        <v>45930</v>
      </c>
      <c r="B71">
        <v>1</v>
      </c>
      <c r="D71" s="14" t="s">
        <v>31</v>
      </c>
      <c r="E71" s="15" t="s">
        <v>32</v>
      </c>
      <c r="F71" s="16" t="s">
        <v>32</v>
      </c>
      <c r="G71" s="17"/>
      <c r="H71" s="84" t="s">
        <v>172</v>
      </c>
      <c r="I71" s="84" t="s">
        <v>175</v>
      </c>
      <c r="J71" s="88"/>
      <c r="K71" s="91">
        <f t="shared" si="6"/>
        <v>69</v>
      </c>
      <c r="L71" s="88"/>
      <c r="M71" s="93">
        <f t="shared" si="7"/>
        <v>48029</v>
      </c>
      <c r="N71" s="93">
        <f t="shared" si="5"/>
        <v>48029</v>
      </c>
      <c r="O71" s="93">
        <f t="shared" si="5"/>
        <v>48029</v>
      </c>
      <c r="P71" s="94">
        <v>15250.069123982685</v>
      </c>
      <c r="Q71" s="18"/>
      <c r="V71">
        <v>1</v>
      </c>
      <c r="W71" t="s">
        <v>33</v>
      </c>
      <c r="Y71" t="s">
        <v>33</v>
      </c>
      <c r="Z71" t="s">
        <v>34</v>
      </c>
      <c r="AA71">
        <v>1</v>
      </c>
    </row>
    <row r="72" spans="1:27" x14ac:dyDescent="0.35">
      <c r="A72" s="13">
        <f t="shared" si="4"/>
        <v>45930</v>
      </c>
      <c r="B72">
        <v>1</v>
      </c>
      <c r="D72" s="14" t="s">
        <v>31</v>
      </c>
      <c r="E72" s="15" t="s">
        <v>32</v>
      </c>
      <c r="F72" s="16" t="s">
        <v>32</v>
      </c>
      <c r="G72" s="17"/>
      <c r="H72" s="84" t="s">
        <v>172</v>
      </c>
      <c r="I72" s="84" t="s">
        <v>175</v>
      </c>
      <c r="J72" s="88"/>
      <c r="K72" s="91">
        <f t="shared" si="6"/>
        <v>70</v>
      </c>
      <c r="L72" s="88"/>
      <c r="M72" s="93">
        <f t="shared" si="7"/>
        <v>48060</v>
      </c>
      <c r="N72" s="93">
        <f t="shared" si="5"/>
        <v>48060</v>
      </c>
      <c r="O72" s="93">
        <f t="shared" si="5"/>
        <v>48060</v>
      </c>
      <c r="P72" s="94">
        <v>1725348.5492601523</v>
      </c>
      <c r="Q72" s="18"/>
      <c r="V72">
        <v>1</v>
      </c>
      <c r="W72" t="s">
        <v>33</v>
      </c>
      <c r="Y72" t="s">
        <v>33</v>
      </c>
      <c r="Z72" t="s">
        <v>34</v>
      </c>
      <c r="AA72">
        <v>1</v>
      </c>
    </row>
    <row r="73" spans="1:27" x14ac:dyDescent="0.35">
      <c r="A73" s="13"/>
      <c r="D73" s="14"/>
      <c r="E73" s="15"/>
      <c r="F73" s="16"/>
      <c r="G73" s="17"/>
      <c r="H73" s="84"/>
      <c r="I73" s="84"/>
      <c r="J73" s="88"/>
      <c r="K73" s="91"/>
      <c r="L73" s="88"/>
      <c r="M73" s="93"/>
      <c r="N73" s="93"/>
      <c r="O73" s="93"/>
      <c r="P73" s="94"/>
      <c r="Q73" s="18"/>
    </row>
    <row r="74" spans="1:27" x14ac:dyDescent="0.35">
      <c r="A74" s="13"/>
      <c r="D74" s="14"/>
      <c r="E74" s="15"/>
      <c r="F74" s="16"/>
      <c r="G74" s="17"/>
      <c r="H74" s="84"/>
      <c r="I74" s="84"/>
      <c r="J74" s="88"/>
      <c r="K74" s="91"/>
      <c r="L74" s="88"/>
      <c r="M74" s="93"/>
      <c r="N74" s="93"/>
      <c r="O74" s="93"/>
      <c r="P74" s="94"/>
      <c r="Q74" s="18"/>
    </row>
    <row r="75" spans="1:27" x14ac:dyDescent="0.35">
      <c r="A75" s="13"/>
      <c r="D75" s="14"/>
      <c r="E75" s="15"/>
      <c r="F75" s="16"/>
      <c r="G75" s="17"/>
      <c r="H75" s="84"/>
      <c r="I75" s="84"/>
      <c r="J75" s="88"/>
      <c r="K75" s="91"/>
      <c r="L75" s="88"/>
      <c r="M75" s="93"/>
      <c r="N75" s="93"/>
      <c r="O75" s="93"/>
      <c r="P75" s="94"/>
      <c r="Q75" s="18"/>
    </row>
    <row r="76" spans="1:27" x14ac:dyDescent="0.35">
      <c r="A76" s="13"/>
      <c r="D76" s="14"/>
      <c r="E76" s="15"/>
      <c r="F76" s="16"/>
      <c r="G76" s="17"/>
      <c r="H76" s="84"/>
      <c r="I76" s="84"/>
      <c r="J76" s="88"/>
      <c r="K76" s="91"/>
      <c r="L76" s="88"/>
      <c r="M76" s="93"/>
      <c r="N76" s="93"/>
      <c r="O76" s="93"/>
      <c r="P76" s="94"/>
      <c r="Q76" s="18"/>
    </row>
    <row r="77" spans="1:27" x14ac:dyDescent="0.35">
      <c r="A77" s="13"/>
      <c r="D77" s="14"/>
      <c r="E77" s="15"/>
      <c r="F77" s="16"/>
      <c r="G77" s="17"/>
      <c r="H77" s="84"/>
      <c r="I77" s="84"/>
      <c r="J77" s="88"/>
      <c r="K77" s="91"/>
      <c r="L77" s="88"/>
      <c r="M77" s="93"/>
      <c r="N77" s="93"/>
      <c r="O77" s="93"/>
      <c r="P77" s="94"/>
      <c r="Q77" s="18"/>
    </row>
    <row r="78" spans="1:27" x14ac:dyDescent="0.35">
      <c r="A78" s="13"/>
      <c r="D78" s="14"/>
      <c r="E78" s="15"/>
      <c r="F78" s="16"/>
      <c r="G78" s="17"/>
      <c r="H78" s="84"/>
      <c r="I78" s="84"/>
      <c r="J78" s="88"/>
      <c r="K78" s="91"/>
      <c r="L78" s="88"/>
      <c r="M78" s="93"/>
      <c r="N78" s="93"/>
      <c r="O78" s="93"/>
      <c r="P78" s="94"/>
      <c r="Q78" s="18"/>
    </row>
    <row r="79" spans="1:27" x14ac:dyDescent="0.35">
      <c r="A79" s="13"/>
      <c r="D79" s="14"/>
      <c r="E79" s="15"/>
      <c r="F79" s="16"/>
      <c r="G79" s="17"/>
      <c r="H79" s="84"/>
      <c r="I79" s="84"/>
      <c r="J79" s="88"/>
      <c r="K79" s="91"/>
      <c r="L79" s="88"/>
      <c r="M79" s="93"/>
      <c r="N79" s="93"/>
      <c r="O79" s="93"/>
      <c r="P79" s="94"/>
      <c r="Q79" s="18"/>
    </row>
    <row r="80" spans="1:27" x14ac:dyDescent="0.35">
      <c r="A80" s="13"/>
      <c r="D80" s="14"/>
      <c r="E80" s="15"/>
      <c r="F80" s="16"/>
      <c r="G80" s="17"/>
      <c r="H80" s="84"/>
      <c r="I80" s="84"/>
      <c r="J80" s="88"/>
      <c r="K80" s="91"/>
      <c r="L80" s="88"/>
      <c r="M80" s="93"/>
      <c r="N80" s="93"/>
      <c r="O80" s="93"/>
      <c r="P80" s="94"/>
      <c r="Q80" s="18"/>
    </row>
    <row r="81" spans="1:17" x14ac:dyDescent="0.35">
      <c r="A81" s="13"/>
      <c r="D81" s="14"/>
      <c r="E81" s="15"/>
      <c r="F81" s="16"/>
      <c r="G81" s="17"/>
      <c r="H81" s="84"/>
      <c r="I81" s="84"/>
      <c r="J81" s="88"/>
      <c r="K81" s="91"/>
      <c r="L81" s="88"/>
      <c r="M81" s="93"/>
      <c r="N81" s="93"/>
      <c r="O81" s="93"/>
      <c r="P81" s="94"/>
      <c r="Q81" s="18"/>
    </row>
    <row r="82" spans="1:17" x14ac:dyDescent="0.35">
      <c r="A82" s="13"/>
      <c r="D82" s="14"/>
      <c r="E82" s="15"/>
      <c r="F82" s="16"/>
      <c r="G82" s="17"/>
      <c r="H82" s="84"/>
      <c r="I82" s="84"/>
      <c r="J82" s="88"/>
      <c r="K82" s="91"/>
      <c r="L82" s="88"/>
      <c r="M82" s="93"/>
      <c r="N82" s="93"/>
      <c r="O82" s="93"/>
      <c r="P82" s="94"/>
      <c r="Q82" s="18"/>
    </row>
    <row r="83" spans="1:17" x14ac:dyDescent="0.35">
      <c r="A83" s="13"/>
      <c r="D83" s="14"/>
      <c r="E83" s="15"/>
      <c r="F83" s="16"/>
      <c r="G83" s="17"/>
      <c r="H83" s="84"/>
      <c r="I83" s="84"/>
      <c r="J83" s="88"/>
      <c r="K83" s="91"/>
      <c r="L83" s="88"/>
      <c r="M83" s="93"/>
      <c r="N83" s="93"/>
      <c r="O83" s="93"/>
      <c r="P83" s="94"/>
      <c r="Q83" s="18"/>
    </row>
    <row r="84" spans="1:17" x14ac:dyDescent="0.35">
      <c r="A84" s="13"/>
      <c r="D84" s="14"/>
      <c r="E84" s="15"/>
      <c r="F84" s="16"/>
      <c r="G84" s="17"/>
      <c r="H84" s="84"/>
      <c r="I84" s="84"/>
      <c r="J84" s="88"/>
      <c r="K84" s="91"/>
      <c r="L84" s="88"/>
      <c r="M84" s="93"/>
      <c r="N84" s="93"/>
      <c r="O84" s="93"/>
      <c r="P84" s="94"/>
      <c r="Q84" s="18"/>
    </row>
    <row r="85" spans="1:17" x14ac:dyDescent="0.35">
      <c r="A85" s="13"/>
      <c r="D85" s="14"/>
      <c r="E85" s="15"/>
      <c r="F85" s="16"/>
      <c r="G85" s="17"/>
      <c r="H85" s="84"/>
      <c r="I85" s="84"/>
      <c r="J85" s="88"/>
      <c r="K85" s="91"/>
      <c r="L85" s="88"/>
      <c r="M85" s="93"/>
      <c r="N85" s="93"/>
      <c r="O85" s="93"/>
      <c r="P85" s="94"/>
      <c r="Q85" s="18"/>
    </row>
    <row r="86" spans="1:17" x14ac:dyDescent="0.35">
      <c r="A86" s="13"/>
      <c r="D86" s="14"/>
      <c r="E86" s="15"/>
      <c r="F86" s="16"/>
      <c r="G86" s="17"/>
      <c r="H86" s="84"/>
      <c r="I86" s="84"/>
      <c r="J86" s="88"/>
      <c r="K86" s="91"/>
      <c r="L86" s="88"/>
      <c r="M86" s="93"/>
      <c r="N86" s="93"/>
      <c r="O86" s="93"/>
      <c r="P86" s="94"/>
      <c r="Q86" s="18"/>
    </row>
    <row r="87" spans="1:17" x14ac:dyDescent="0.35">
      <c r="A87" s="13"/>
      <c r="D87" s="14"/>
      <c r="E87" s="15"/>
      <c r="F87" s="16"/>
      <c r="G87" s="17"/>
      <c r="H87" s="84"/>
      <c r="I87" s="84"/>
      <c r="J87" s="88"/>
      <c r="K87" s="91"/>
      <c r="L87" s="88"/>
      <c r="M87" s="93"/>
      <c r="N87" s="93"/>
      <c r="O87" s="93"/>
      <c r="P87" s="94"/>
      <c r="Q87" s="18"/>
    </row>
    <row r="88" spans="1:17" x14ac:dyDescent="0.35">
      <c r="A88" s="13"/>
      <c r="D88" s="14"/>
      <c r="E88" s="15"/>
      <c r="F88" s="16"/>
      <c r="G88" s="17"/>
      <c r="H88" s="84"/>
      <c r="I88" s="84"/>
      <c r="J88" s="88"/>
      <c r="K88" s="91"/>
      <c r="L88" s="88"/>
      <c r="M88" s="93"/>
      <c r="N88" s="93"/>
      <c r="O88" s="93"/>
      <c r="P88" s="94"/>
      <c r="Q88" s="18"/>
    </row>
    <row r="89" spans="1:17" x14ac:dyDescent="0.35">
      <c r="A89" s="13"/>
      <c r="D89" s="14"/>
      <c r="E89" s="15"/>
      <c r="F89" s="16"/>
      <c r="G89" s="17"/>
      <c r="H89" s="84"/>
      <c r="I89" s="84"/>
      <c r="J89" s="88"/>
      <c r="K89" s="91"/>
      <c r="L89" s="88"/>
      <c r="M89" s="93"/>
      <c r="N89" s="93"/>
      <c r="O89" s="93"/>
      <c r="P89" s="94"/>
      <c r="Q89" s="18"/>
    </row>
    <row r="90" spans="1:17" x14ac:dyDescent="0.35">
      <c r="A90" s="13"/>
      <c r="D90" s="14"/>
      <c r="E90" s="15"/>
      <c r="F90" s="16"/>
      <c r="G90" s="17"/>
      <c r="H90" s="84"/>
      <c r="I90" s="84"/>
      <c r="J90" s="88"/>
      <c r="K90" s="91"/>
      <c r="L90" s="88"/>
      <c r="M90" s="93"/>
      <c r="N90" s="93"/>
      <c r="O90" s="93"/>
      <c r="P90" s="94"/>
      <c r="Q90" s="18"/>
    </row>
    <row r="91" spans="1:17" x14ac:dyDescent="0.35">
      <c r="A91" s="13"/>
      <c r="D91" s="14"/>
      <c r="E91" s="15"/>
      <c r="F91" s="16"/>
      <c r="G91" s="17"/>
      <c r="H91" s="84"/>
      <c r="I91" s="84"/>
      <c r="J91" s="88"/>
      <c r="K91" s="91"/>
      <c r="L91" s="88"/>
      <c r="M91" s="93"/>
      <c r="N91" s="93"/>
      <c r="O91" s="93"/>
      <c r="P91" s="94"/>
      <c r="Q91" s="18"/>
    </row>
    <row r="92" spans="1:17" x14ac:dyDescent="0.35">
      <c r="A92" s="13"/>
      <c r="D92" s="14"/>
      <c r="E92" s="15"/>
      <c r="F92" s="16"/>
      <c r="G92" s="17"/>
      <c r="H92" s="84"/>
      <c r="I92" s="84"/>
      <c r="J92" s="88"/>
      <c r="K92" s="91"/>
      <c r="L92" s="88"/>
      <c r="M92" s="93"/>
      <c r="N92" s="93"/>
      <c r="O92" s="93"/>
      <c r="P92" s="94"/>
      <c r="Q92" s="18"/>
    </row>
    <row r="93" spans="1:17" x14ac:dyDescent="0.35">
      <c r="A93" s="13"/>
      <c r="D93" s="14"/>
      <c r="E93" s="15"/>
      <c r="F93" s="16"/>
      <c r="G93" s="17"/>
      <c r="H93" s="84"/>
      <c r="I93" s="84"/>
      <c r="J93" s="88"/>
      <c r="K93" s="91"/>
      <c r="L93" s="88"/>
      <c r="M93" s="93"/>
      <c r="N93" s="93"/>
      <c r="O93" s="93"/>
      <c r="P93" s="94"/>
      <c r="Q93" s="18"/>
    </row>
    <row r="94" spans="1:17" x14ac:dyDescent="0.35">
      <c r="A94" s="13"/>
      <c r="D94" s="14"/>
      <c r="E94" s="15"/>
      <c r="F94" s="16"/>
      <c r="G94" s="17"/>
      <c r="H94" s="84"/>
      <c r="I94" s="84"/>
      <c r="J94" s="88"/>
      <c r="K94" s="91"/>
      <c r="L94" s="88"/>
      <c r="M94" s="93"/>
      <c r="N94" s="93"/>
      <c r="O94" s="93"/>
      <c r="P94" s="94"/>
      <c r="Q94" s="18"/>
    </row>
    <row r="95" spans="1:17" x14ac:dyDescent="0.35">
      <c r="A95" s="13"/>
      <c r="D95" s="14"/>
      <c r="E95" s="15"/>
      <c r="F95" s="16"/>
      <c r="G95" s="17"/>
      <c r="H95" s="84"/>
      <c r="I95" s="84"/>
      <c r="J95" s="88"/>
      <c r="K95" s="91"/>
      <c r="L95" s="88"/>
      <c r="M95" s="93"/>
      <c r="N95" s="93"/>
      <c r="O95" s="93"/>
      <c r="P95" s="94"/>
      <c r="Q95" s="18"/>
    </row>
    <row r="96" spans="1:17" x14ac:dyDescent="0.35">
      <c r="A96" s="13"/>
      <c r="D96" s="14"/>
      <c r="E96" s="15"/>
      <c r="F96" s="16"/>
      <c r="G96" s="17"/>
      <c r="H96" s="84"/>
      <c r="I96" s="84"/>
      <c r="J96" s="88"/>
      <c r="K96" s="91"/>
      <c r="L96" s="88"/>
      <c r="M96" s="93"/>
      <c r="N96" s="93"/>
      <c r="O96" s="93"/>
      <c r="P96" s="94"/>
      <c r="Q96" s="18"/>
    </row>
    <row r="97" spans="1:17" x14ac:dyDescent="0.35">
      <c r="A97" s="13"/>
      <c r="D97" s="14"/>
      <c r="E97" s="15"/>
      <c r="F97" s="16"/>
      <c r="G97" s="17"/>
      <c r="H97" s="84"/>
      <c r="I97" s="84"/>
      <c r="J97" s="88"/>
      <c r="K97" s="91"/>
      <c r="L97" s="88"/>
      <c r="M97" s="93"/>
      <c r="N97" s="93"/>
      <c r="O97" s="93"/>
      <c r="P97" s="94"/>
      <c r="Q97" s="18"/>
    </row>
    <row r="98" spans="1:17" x14ac:dyDescent="0.35">
      <c r="A98" s="13"/>
      <c r="D98" s="14"/>
      <c r="E98" s="15"/>
      <c r="F98" s="16"/>
      <c r="G98" s="17"/>
      <c r="H98" s="84"/>
      <c r="I98" s="84"/>
      <c r="J98" s="88"/>
      <c r="K98" s="91"/>
      <c r="L98" s="88"/>
      <c r="M98" s="93"/>
      <c r="N98" s="93"/>
      <c r="O98" s="93"/>
      <c r="P98" s="94"/>
      <c r="Q98" s="18"/>
    </row>
    <row r="99" spans="1:17" x14ac:dyDescent="0.35">
      <c r="A99" s="13"/>
      <c r="D99" s="14"/>
      <c r="E99" s="15"/>
      <c r="F99" s="16"/>
      <c r="G99" s="17"/>
      <c r="H99" s="84"/>
      <c r="I99" s="84"/>
      <c r="J99" s="88"/>
      <c r="K99" s="91"/>
      <c r="L99" s="88"/>
      <c r="M99" s="93"/>
      <c r="N99" s="93"/>
      <c r="O99" s="93"/>
      <c r="P99" s="94"/>
      <c r="Q99" s="18"/>
    </row>
    <row r="100" spans="1:17" x14ac:dyDescent="0.35">
      <c r="A100" s="13"/>
      <c r="D100" s="14"/>
      <c r="E100" s="15"/>
      <c r="F100" s="16"/>
      <c r="G100" s="17"/>
      <c r="H100" s="84"/>
      <c r="I100" s="84"/>
      <c r="J100" s="88"/>
      <c r="K100" s="91"/>
      <c r="L100" s="88"/>
      <c r="M100" s="93"/>
      <c r="N100" s="93"/>
      <c r="O100" s="93"/>
      <c r="P100" s="94"/>
      <c r="Q100" s="18"/>
    </row>
    <row r="101" spans="1:17" x14ac:dyDescent="0.35">
      <c r="A101" s="13"/>
      <c r="D101" s="14"/>
      <c r="E101" s="15"/>
      <c r="F101" s="16"/>
      <c r="G101" s="17"/>
      <c r="H101" s="84"/>
      <c r="I101" s="84"/>
      <c r="J101" s="88"/>
      <c r="K101" s="91"/>
      <c r="L101" s="88"/>
      <c r="M101" s="93"/>
      <c r="N101" s="93"/>
      <c r="O101" s="93"/>
      <c r="P101" s="94"/>
      <c r="Q101" s="18"/>
    </row>
    <row r="102" spans="1:17" x14ac:dyDescent="0.35">
      <c r="A102" s="13"/>
      <c r="D102" s="14"/>
      <c r="E102" s="15"/>
      <c r="F102" s="16"/>
      <c r="G102" s="17"/>
      <c r="H102" s="84"/>
      <c r="I102" s="84"/>
      <c r="J102" s="88"/>
      <c r="K102" s="91"/>
      <c r="L102" s="88"/>
      <c r="M102" s="93"/>
      <c r="N102" s="93"/>
      <c r="O102" s="93"/>
      <c r="P102" s="94"/>
      <c r="Q102" s="18"/>
    </row>
    <row r="103" spans="1:17" x14ac:dyDescent="0.35">
      <c r="A103" s="13"/>
      <c r="D103" s="14"/>
      <c r="E103" s="15"/>
      <c r="F103" s="16"/>
      <c r="G103" s="17"/>
      <c r="H103" s="84"/>
      <c r="I103" s="84"/>
      <c r="J103" s="88"/>
      <c r="K103" s="91"/>
      <c r="L103" s="88"/>
      <c r="M103" s="93"/>
      <c r="N103" s="93"/>
      <c r="O103" s="93"/>
      <c r="P103" s="94"/>
      <c r="Q103" s="18"/>
    </row>
    <row r="104" spans="1:17" x14ac:dyDescent="0.35">
      <c r="A104" s="13"/>
      <c r="D104" s="14"/>
      <c r="E104" s="15"/>
      <c r="F104" s="16"/>
      <c r="G104" s="17"/>
      <c r="H104" s="84"/>
      <c r="I104" s="84"/>
      <c r="J104" s="88"/>
      <c r="K104" s="91"/>
      <c r="L104" s="88"/>
      <c r="M104" s="93"/>
      <c r="N104" s="93"/>
      <c r="O104" s="93"/>
      <c r="P104" s="94"/>
      <c r="Q104" s="18"/>
    </row>
    <row r="105" spans="1:17" x14ac:dyDescent="0.35">
      <c r="A105" s="13"/>
      <c r="D105" s="14"/>
      <c r="E105" s="15"/>
      <c r="F105" s="16"/>
      <c r="G105" s="17"/>
      <c r="H105" s="84"/>
      <c r="I105" s="84"/>
      <c r="J105" s="88"/>
      <c r="K105" s="91"/>
      <c r="L105" s="88"/>
      <c r="M105" s="93"/>
      <c r="N105" s="93"/>
      <c r="O105" s="93"/>
      <c r="P105" s="94"/>
      <c r="Q105" s="18"/>
    </row>
    <row r="106" spans="1:17" x14ac:dyDescent="0.35">
      <c r="A106" s="13"/>
      <c r="D106" s="14"/>
      <c r="E106" s="15"/>
      <c r="F106" s="16"/>
      <c r="G106" s="17"/>
      <c r="H106" s="84"/>
      <c r="I106" s="84"/>
      <c r="J106" s="88"/>
      <c r="K106" s="91"/>
      <c r="L106" s="88"/>
      <c r="M106" s="93"/>
      <c r="N106" s="93"/>
      <c r="O106" s="93"/>
      <c r="P106" s="94"/>
      <c r="Q106" s="18"/>
    </row>
    <row r="107" spans="1:17" x14ac:dyDescent="0.35">
      <c r="A107" s="13"/>
      <c r="D107" s="14"/>
      <c r="E107" s="15"/>
      <c r="F107" s="16"/>
      <c r="G107" s="17"/>
      <c r="H107" s="84"/>
      <c r="I107" s="84"/>
      <c r="J107" s="88"/>
      <c r="K107" s="91"/>
      <c r="L107" s="88"/>
      <c r="M107" s="93"/>
      <c r="N107" s="93"/>
      <c r="O107" s="93"/>
      <c r="P107" s="94"/>
      <c r="Q107" s="18"/>
    </row>
    <row r="108" spans="1:17" x14ac:dyDescent="0.35">
      <c r="A108" s="13"/>
      <c r="D108" s="14"/>
      <c r="E108" s="15"/>
      <c r="F108" s="16"/>
      <c r="G108" s="17"/>
      <c r="H108" s="84"/>
      <c r="I108" s="84"/>
      <c r="J108" s="88"/>
      <c r="K108" s="91"/>
      <c r="L108" s="88"/>
      <c r="M108" s="93"/>
      <c r="N108" s="93"/>
      <c r="O108" s="93"/>
      <c r="P108" s="94"/>
      <c r="Q108" s="18"/>
    </row>
    <row r="109" spans="1:17" x14ac:dyDescent="0.35">
      <c r="A109" s="13"/>
      <c r="D109" s="14"/>
      <c r="E109" s="15"/>
      <c r="F109" s="16"/>
      <c r="G109" s="17"/>
      <c r="H109" s="84"/>
      <c r="I109" s="84"/>
      <c r="J109" s="88"/>
      <c r="K109" s="91"/>
      <c r="L109" s="88"/>
      <c r="M109" s="93"/>
      <c r="N109" s="93"/>
      <c r="O109" s="93"/>
      <c r="P109" s="94"/>
      <c r="Q109" s="18"/>
    </row>
    <row r="110" spans="1:17" x14ac:dyDescent="0.35">
      <c r="A110" s="13"/>
      <c r="D110" s="14"/>
      <c r="E110" s="15"/>
      <c r="F110" s="16"/>
      <c r="G110" s="17"/>
      <c r="H110" s="84"/>
      <c r="I110" s="84"/>
      <c r="J110" s="88"/>
      <c r="K110" s="91"/>
      <c r="L110" s="88"/>
      <c r="M110" s="93"/>
      <c r="N110" s="93"/>
      <c r="O110" s="93"/>
      <c r="P110" s="94"/>
      <c r="Q110" s="18"/>
    </row>
    <row r="111" spans="1:17" x14ac:dyDescent="0.35">
      <c r="A111" s="13"/>
      <c r="D111" s="14"/>
      <c r="E111" s="15"/>
      <c r="F111" s="16"/>
      <c r="G111" s="17"/>
      <c r="H111" s="84"/>
      <c r="I111" s="84"/>
      <c r="J111" s="88"/>
      <c r="K111" s="91"/>
      <c r="L111" s="88"/>
      <c r="M111" s="93"/>
      <c r="N111" s="93"/>
      <c r="O111" s="93"/>
      <c r="P111" s="94"/>
      <c r="Q111" s="18"/>
    </row>
    <row r="112" spans="1:17" x14ac:dyDescent="0.35">
      <c r="A112" s="13"/>
      <c r="D112" s="14"/>
      <c r="E112" s="15"/>
      <c r="F112" s="16"/>
      <c r="G112" s="17"/>
      <c r="H112" s="84"/>
      <c r="I112" s="84"/>
      <c r="J112" s="88"/>
      <c r="K112" s="91"/>
      <c r="L112" s="88"/>
      <c r="M112" s="93"/>
      <c r="N112" s="93"/>
      <c r="O112" s="93"/>
      <c r="P112" s="94"/>
      <c r="Q112" s="18"/>
    </row>
    <row r="113" spans="1:17" x14ac:dyDescent="0.35">
      <c r="A113" s="13"/>
      <c r="D113" s="14"/>
      <c r="E113" s="15"/>
      <c r="F113" s="16"/>
      <c r="G113" s="17"/>
      <c r="H113" s="84"/>
      <c r="I113" s="84"/>
      <c r="J113" s="88"/>
      <c r="K113" s="91"/>
      <c r="L113" s="88"/>
      <c r="M113" s="93"/>
      <c r="N113" s="93"/>
      <c r="O113" s="93"/>
      <c r="P113" s="94"/>
      <c r="Q113" s="18"/>
    </row>
    <row r="114" spans="1:17" x14ac:dyDescent="0.35">
      <c r="A114" s="13"/>
      <c r="D114" s="14"/>
      <c r="E114" s="15"/>
      <c r="F114" s="16"/>
      <c r="G114" s="17"/>
      <c r="H114" s="84"/>
      <c r="I114" s="84"/>
      <c r="J114" s="88"/>
      <c r="K114" s="91"/>
      <c r="L114" s="88"/>
      <c r="M114" s="93"/>
      <c r="N114" s="93"/>
      <c r="O114" s="93"/>
      <c r="P114" s="94"/>
      <c r="Q114" s="18"/>
    </row>
    <row r="115" spans="1:17" x14ac:dyDescent="0.35">
      <c r="A115" s="13"/>
      <c r="D115" s="14"/>
      <c r="E115" s="15"/>
      <c r="F115" s="16"/>
      <c r="G115" s="17"/>
      <c r="H115" s="84"/>
      <c r="I115" s="84"/>
      <c r="J115" s="88"/>
      <c r="K115" s="91"/>
      <c r="L115" s="88"/>
      <c r="M115" s="93"/>
      <c r="N115" s="93"/>
      <c r="O115" s="93"/>
      <c r="P115" s="94"/>
      <c r="Q115" s="18"/>
    </row>
    <row r="116" spans="1:17" x14ac:dyDescent="0.35">
      <c r="A116" s="13"/>
      <c r="D116" s="14"/>
      <c r="E116" s="15"/>
      <c r="F116" s="16"/>
      <c r="G116" s="17"/>
      <c r="H116" s="84"/>
      <c r="I116" s="84"/>
      <c r="J116" s="88"/>
      <c r="K116" s="91"/>
      <c r="L116" s="88"/>
      <c r="M116" s="93"/>
      <c r="N116" s="93"/>
      <c r="O116" s="93"/>
      <c r="P116" s="94"/>
      <c r="Q116" s="18"/>
    </row>
    <row r="117" spans="1:17" x14ac:dyDescent="0.35">
      <c r="A117" s="13"/>
      <c r="D117" s="14"/>
      <c r="E117" s="15"/>
      <c r="F117" s="16"/>
      <c r="G117" s="17"/>
      <c r="H117" s="84"/>
      <c r="I117" s="84"/>
      <c r="J117" s="88"/>
      <c r="K117" s="91"/>
      <c r="L117" s="88"/>
      <c r="M117" s="93"/>
      <c r="N117" s="93"/>
      <c r="O117" s="93"/>
      <c r="P117" s="94"/>
      <c r="Q117" s="18"/>
    </row>
    <row r="118" spans="1:17" x14ac:dyDescent="0.35">
      <c r="A118" s="13"/>
      <c r="D118" s="14"/>
      <c r="E118" s="15"/>
      <c r="F118" s="16"/>
      <c r="G118" s="17"/>
      <c r="H118" s="84"/>
      <c r="I118" s="84"/>
      <c r="J118" s="88"/>
      <c r="K118" s="91"/>
      <c r="L118" s="88"/>
      <c r="M118" s="93"/>
      <c r="N118" s="93"/>
      <c r="O118" s="93"/>
      <c r="P118" s="94"/>
      <c r="Q118" s="18"/>
    </row>
    <row r="119" spans="1:17" x14ac:dyDescent="0.35">
      <c r="A119" s="13"/>
      <c r="D119" s="14"/>
      <c r="E119" s="15"/>
      <c r="F119" s="16"/>
      <c r="G119" s="17"/>
      <c r="H119" s="84"/>
      <c r="I119" s="84"/>
      <c r="J119" s="88"/>
      <c r="K119" s="91"/>
      <c r="L119" s="88"/>
      <c r="M119" s="93"/>
      <c r="N119" s="93"/>
      <c r="O119" s="93"/>
      <c r="P119" s="94"/>
      <c r="Q119" s="18"/>
    </row>
    <row r="120" spans="1:17" x14ac:dyDescent="0.35">
      <c r="A120" s="13"/>
      <c r="D120" s="14"/>
      <c r="E120" s="15"/>
      <c r="F120" s="16"/>
      <c r="G120" s="17"/>
      <c r="H120" s="84"/>
      <c r="I120" s="84"/>
      <c r="J120" s="88"/>
      <c r="K120" s="91"/>
      <c r="L120" s="88"/>
      <c r="M120" s="93"/>
      <c r="N120" s="93"/>
      <c r="O120" s="93"/>
      <c r="P120" s="94"/>
      <c r="Q120" s="18"/>
    </row>
    <row r="121" spans="1:17" x14ac:dyDescent="0.35">
      <c r="A121" s="13"/>
      <c r="D121" s="14"/>
      <c r="E121" s="15"/>
      <c r="F121" s="16"/>
      <c r="G121" s="17"/>
      <c r="H121" s="84"/>
      <c r="I121" s="84"/>
      <c r="J121" s="88"/>
      <c r="K121" s="91"/>
      <c r="L121" s="88"/>
      <c r="M121" s="93"/>
      <c r="N121" s="93"/>
      <c r="O121" s="93"/>
      <c r="P121" s="94"/>
      <c r="Q121" s="18"/>
    </row>
    <row r="122" spans="1:17" x14ac:dyDescent="0.35">
      <c r="A122" s="13"/>
      <c r="D122" s="14"/>
      <c r="E122" s="15"/>
      <c r="F122" s="16"/>
      <c r="G122" s="17"/>
      <c r="H122" s="84"/>
      <c r="I122" s="84"/>
      <c r="J122" s="88"/>
      <c r="K122" s="91"/>
      <c r="L122" s="88"/>
      <c r="M122" s="93"/>
      <c r="N122" s="93"/>
      <c r="O122" s="93"/>
      <c r="P122" s="94"/>
      <c r="Q122" s="18"/>
    </row>
    <row r="123" spans="1:17" x14ac:dyDescent="0.35">
      <c r="A123" s="13"/>
      <c r="D123" s="14"/>
      <c r="E123" s="15"/>
      <c r="F123" s="16"/>
      <c r="G123" s="17"/>
      <c r="H123" s="84"/>
      <c r="I123" s="84"/>
      <c r="J123" s="88"/>
      <c r="K123" s="91"/>
      <c r="L123" s="88"/>
      <c r="M123" s="93"/>
      <c r="N123" s="93"/>
      <c r="O123" s="93"/>
      <c r="P123" s="94"/>
      <c r="Q123" s="18"/>
    </row>
    <row r="124" spans="1:17" x14ac:dyDescent="0.35">
      <c r="A124" s="13"/>
      <c r="D124" s="14"/>
      <c r="E124" s="15"/>
      <c r="F124" s="16"/>
      <c r="G124" s="17"/>
      <c r="H124" s="84"/>
      <c r="I124" s="84"/>
      <c r="J124" s="88"/>
      <c r="K124" s="91"/>
      <c r="L124" s="88"/>
      <c r="M124" s="93"/>
      <c r="N124" s="93"/>
      <c r="O124" s="93"/>
      <c r="P124" s="94"/>
      <c r="Q124" s="18"/>
    </row>
    <row r="125" spans="1:17" x14ac:dyDescent="0.35">
      <c r="A125" s="13"/>
      <c r="D125" s="14"/>
      <c r="E125" s="15"/>
      <c r="F125" s="16"/>
      <c r="G125" s="17"/>
      <c r="H125" s="84"/>
      <c r="I125" s="84"/>
      <c r="J125" s="88"/>
      <c r="K125" s="91"/>
      <c r="L125" s="88"/>
      <c r="M125" s="93"/>
      <c r="N125" s="93"/>
      <c r="O125" s="93"/>
      <c r="P125" s="94"/>
      <c r="Q125" s="18"/>
    </row>
    <row r="126" spans="1:17" x14ac:dyDescent="0.35">
      <c r="A126" s="13"/>
      <c r="D126" s="14"/>
      <c r="E126" s="15"/>
      <c r="F126" s="16"/>
      <c r="G126" s="17"/>
      <c r="H126" s="84"/>
      <c r="I126" s="84"/>
      <c r="J126" s="88"/>
      <c r="K126" s="91"/>
      <c r="L126" s="88"/>
      <c r="M126" s="93"/>
      <c r="N126" s="93"/>
      <c r="O126" s="93"/>
      <c r="P126" s="94"/>
      <c r="Q126" s="18"/>
    </row>
    <row r="127" spans="1:17" x14ac:dyDescent="0.35">
      <c r="A127" s="13"/>
      <c r="D127" s="14"/>
      <c r="E127" s="15"/>
      <c r="F127" s="16"/>
      <c r="G127" s="17"/>
      <c r="H127" s="84"/>
      <c r="I127" s="84"/>
      <c r="J127" s="88"/>
      <c r="K127" s="91"/>
      <c r="L127" s="88"/>
      <c r="M127" s="93"/>
      <c r="N127" s="93"/>
      <c r="O127" s="93"/>
      <c r="P127" s="94"/>
      <c r="Q127" s="18"/>
    </row>
    <row r="128" spans="1:17" x14ac:dyDescent="0.35">
      <c r="A128" s="13"/>
      <c r="D128" s="14"/>
      <c r="E128" s="15"/>
      <c r="F128" s="16"/>
      <c r="G128" s="17"/>
      <c r="H128" s="84"/>
      <c r="I128" s="84"/>
      <c r="J128" s="88"/>
      <c r="K128" s="91"/>
      <c r="L128" s="88"/>
      <c r="M128" s="93"/>
      <c r="N128" s="93"/>
      <c r="O128" s="93"/>
      <c r="P128" s="94"/>
      <c r="Q128" s="18"/>
    </row>
    <row r="129" spans="1:17" x14ac:dyDescent="0.35">
      <c r="A129" s="13"/>
      <c r="D129" s="14"/>
      <c r="E129" s="15"/>
      <c r="F129" s="16"/>
      <c r="G129" s="17"/>
      <c r="H129" s="84"/>
      <c r="I129" s="84"/>
      <c r="J129" s="88"/>
      <c r="K129" s="91"/>
      <c r="L129" s="88"/>
      <c r="M129" s="93"/>
      <c r="N129" s="93"/>
      <c r="O129" s="93"/>
      <c r="P129" s="94"/>
      <c r="Q129" s="18"/>
    </row>
    <row r="130" spans="1:17" x14ac:dyDescent="0.35">
      <c r="A130" s="13"/>
      <c r="D130" s="14"/>
      <c r="E130" s="15"/>
      <c r="F130" s="16"/>
      <c r="G130" s="17"/>
      <c r="H130" s="84"/>
      <c r="I130" s="84"/>
      <c r="J130" s="88"/>
      <c r="K130" s="91"/>
      <c r="L130" s="88"/>
      <c r="M130" s="93"/>
      <c r="N130" s="93"/>
      <c r="O130" s="93"/>
      <c r="P130" s="94"/>
      <c r="Q130" s="18"/>
    </row>
    <row r="131" spans="1:17" x14ac:dyDescent="0.35">
      <c r="A131" s="13"/>
      <c r="D131" s="14"/>
      <c r="E131" s="15"/>
      <c r="F131" s="16"/>
      <c r="G131" s="17"/>
      <c r="H131" s="84"/>
      <c r="I131" s="84"/>
      <c r="J131" s="88"/>
      <c r="K131" s="91"/>
      <c r="L131" s="88"/>
      <c r="M131" s="93"/>
      <c r="N131" s="93"/>
      <c r="O131" s="93"/>
      <c r="P131" s="94"/>
      <c r="Q131" s="18"/>
    </row>
    <row r="132" spans="1:17" x14ac:dyDescent="0.35">
      <c r="A132" s="13"/>
      <c r="D132" s="14"/>
      <c r="E132" s="15"/>
      <c r="F132" s="16"/>
      <c r="G132" s="17"/>
      <c r="H132" s="84"/>
      <c r="I132" s="84"/>
      <c r="J132" s="88"/>
      <c r="K132" s="91"/>
      <c r="L132" s="88"/>
      <c r="M132" s="93"/>
      <c r="N132" s="93"/>
      <c r="O132" s="93"/>
      <c r="P132" s="94"/>
      <c r="Q132" s="18"/>
    </row>
    <row r="133" spans="1:17" x14ac:dyDescent="0.35">
      <c r="A133" s="13"/>
      <c r="D133" s="14"/>
      <c r="E133" s="15"/>
      <c r="F133" s="16"/>
      <c r="G133" s="17"/>
      <c r="H133" s="84"/>
      <c r="I133" s="84"/>
      <c r="J133" s="88"/>
      <c r="K133" s="91"/>
      <c r="L133" s="88"/>
      <c r="M133" s="93"/>
      <c r="N133" s="93"/>
      <c r="O133" s="93"/>
      <c r="P133" s="94"/>
      <c r="Q133" s="18"/>
    </row>
    <row r="134" spans="1:17" x14ac:dyDescent="0.35">
      <c r="A134" s="13"/>
      <c r="D134" s="14"/>
      <c r="E134" s="15"/>
      <c r="F134" s="16"/>
      <c r="G134" s="17"/>
      <c r="H134" s="84"/>
      <c r="I134" s="84"/>
      <c r="J134" s="88"/>
      <c r="K134" s="91"/>
      <c r="L134" s="88"/>
      <c r="M134" s="93"/>
      <c r="N134" s="93"/>
      <c r="O134" s="93"/>
      <c r="P134" s="94"/>
      <c r="Q134" s="18"/>
    </row>
    <row r="135" spans="1:17" x14ac:dyDescent="0.35">
      <c r="A135" s="13"/>
      <c r="D135" s="14"/>
      <c r="E135" s="15"/>
      <c r="F135" s="16"/>
      <c r="G135" s="17"/>
      <c r="H135" s="84"/>
      <c r="I135" s="84"/>
      <c r="J135" s="88"/>
      <c r="K135" s="91"/>
      <c r="L135" s="88"/>
      <c r="M135" s="93"/>
      <c r="N135" s="93"/>
      <c r="O135" s="93"/>
      <c r="P135" s="94"/>
      <c r="Q135" s="18"/>
    </row>
    <row r="136" spans="1:17" x14ac:dyDescent="0.35">
      <c r="A136" s="13"/>
      <c r="D136" s="14"/>
      <c r="E136" s="15"/>
      <c r="F136" s="16"/>
      <c r="G136" s="17"/>
      <c r="H136" s="84"/>
      <c r="I136" s="84"/>
      <c r="J136" s="88"/>
      <c r="K136" s="91"/>
      <c r="L136" s="88"/>
      <c r="M136" s="93"/>
      <c r="N136" s="93"/>
      <c r="O136" s="93"/>
      <c r="P136" s="94"/>
      <c r="Q136" s="18"/>
    </row>
    <row r="137" spans="1:17" x14ac:dyDescent="0.35">
      <c r="A137" s="13"/>
      <c r="D137" s="14"/>
      <c r="E137" s="15"/>
      <c r="F137" s="16"/>
      <c r="G137" s="17"/>
      <c r="H137" s="84"/>
      <c r="I137" s="84"/>
      <c r="J137" s="88"/>
      <c r="K137" s="91"/>
      <c r="L137" s="88"/>
      <c r="M137" s="93"/>
      <c r="N137" s="93"/>
      <c r="O137" s="93"/>
      <c r="P137" s="94"/>
      <c r="Q137" s="18"/>
    </row>
    <row r="138" spans="1:17" x14ac:dyDescent="0.35">
      <c r="A138" s="13"/>
      <c r="D138" s="14"/>
      <c r="E138" s="15"/>
      <c r="F138" s="16"/>
      <c r="G138" s="17"/>
      <c r="H138" s="84"/>
      <c r="I138" s="84"/>
      <c r="J138" s="88"/>
      <c r="K138" s="91"/>
      <c r="L138" s="88"/>
      <c r="M138" s="93"/>
      <c r="N138" s="93"/>
      <c r="O138" s="93"/>
      <c r="P138" s="94"/>
      <c r="Q138" s="18"/>
    </row>
    <row r="139" spans="1:17" x14ac:dyDescent="0.35">
      <c r="A139" s="13"/>
      <c r="D139" s="14"/>
      <c r="E139" s="15"/>
      <c r="F139" s="16"/>
      <c r="G139" s="17"/>
      <c r="H139" s="84"/>
      <c r="I139" s="84"/>
      <c r="J139" s="88"/>
      <c r="K139" s="91"/>
      <c r="L139" s="88"/>
      <c r="M139" s="93"/>
      <c r="N139" s="93"/>
      <c r="O139" s="93"/>
      <c r="P139" s="94"/>
      <c r="Q139" s="18"/>
    </row>
    <row r="140" spans="1:17" x14ac:dyDescent="0.35">
      <c r="A140" s="13"/>
      <c r="D140" s="14"/>
      <c r="E140" s="15"/>
      <c r="F140" s="16"/>
      <c r="G140" s="17"/>
      <c r="H140" s="84"/>
      <c r="I140" s="84"/>
      <c r="J140" s="88"/>
      <c r="K140" s="91"/>
      <c r="L140" s="88"/>
      <c r="M140" s="93"/>
      <c r="N140" s="93"/>
      <c r="O140" s="93"/>
      <c r="P140" s="94"/>
      <c r="Q140" s="18"/>
    </row>
    <row r="141" spans="1:17" x14ac:dyDescent="0.35">
      <c r="A141" s="13"/>
      <c r="D141" s="14"/>
      <c r="E141" s="15"/>
      <c r="F141" s="16"/>
      <c r="G141" s="17"/>
      <c r="H141" s="84"/>
      <c r="I141" s="84"/>
      <c r="J141" s="88"/>
      <c r="K141" s="91"/>
      <c r="L141" s="88"/>
      <c r="M141" s="93"/>
      <c r="N141" s="93"/>
      <c r="O141" s="93"/>
      <c r="P141" s="94"/>
      <c r="Q141" s="18"/>
    </row>
    <row r="142" spans="1:17" x14ac:dyDescent="0.35">
      <c r="A142" s="13"/>
      <c r="D142" s="14"/>
      <c r="E142" s="15"/>
      <c r="F142" s="16"/>
      <c r="G142" s="17"/>
      <c r="H142" s="84"/>
      <c r="I142" s="84"/>
      <c r="J142" s="88"/>
      <c r="K142" s="91"/>
      <c r="L142" s="88"/>
      <c r="M142" s="93"/>
      <c r="N142" s="93"/>
      <c r="O142" s="93"/>
      <c r="P142" s="94"/>
      <c r="Q142" s="18"/>
    </row>
    <row r="143" spans="1:17" x14ac:dyDescent="0.35">
      <c r="A143" s="13"/>
      <c r="D143" s="14"/>
      <c r="E143" s="15"/>
      <c r="F143" s="16"/>
      <c r="G143" s="17"/>
      <c r="H143" s="84"/>
      <c r="I143" s="84"/>
      <c r="J143" s="88"/>
      <c r="K143" s="91"/>
      <c r="L143" s="88"/>
      <c r="M143" s="93"/>
      <c r="N143" s="93"/>
      <c r="O143" s="93"/>
      <c r="P143" s="94"/>
      <c r="Q143" s="18"/>
    </row>
    <row r="144" spans="1:17" x14ac:dyDescent="0.35">
      <c r="A144" s="13"/>
      <c r="D144" s="14"/>
      <c r="E144" s="15"/>
      <c r="F144" s="16"/>
      <c r="G144" s="17"/>
      <c r="H144" s="84"/>
      <c r="I144" s="84"/>
      <c r="J144" s="88"/>
      <c r="K144" s="91"/>
      <c r="L144" s="88"/>
      <c r="M144" s="93"/>
      <c r="N144" s="93"/>
      <c r="O144" s="93"/>
      <c r="P144" s="94"/>
      <c r="Q144" s="18"/>
    </row>
    <row r="145" spans="1:17" x14ac:dyDescent="0.35">
      <c r="A145" s="13"/>
      <c r="D145" s="14"/>
      <c r="E145" s="15"/>
      <c r="F145" s="16"/>
      <c r="G145" s="17"/>
      <c r="H145" s="84"/>
      <c r="I145" s="84"/>
      <c r="J145" s="88"/>
      <c r="K145" s="91"/>
      <c r="L145" s="88"/>
      <c r="M145" s="93"/>
      <c r="N145" s="93"/>
      <c r="O145" s="93"/>
      <c r="P145" s="94"/>
      <c r="Q145" s="18"/>
    </row>
    <row r="146" spans="1:17" x14ac:dyDescent="0.35">
      <c r="A146" s="13"/>
      <c r="D146" s="14"/>
      <c r="E146" s="15"/>
      <c r="F146" s="16"/>
      <c r="G146" s="17"/>
      <c r="H146" s="84"/>
      <c r="I146" s="84"/>
      <c r="J146" s="88"/>
      <c r="K146" s="91"/>
      <c r="L146" s="88"/>
      <c r="M146" s="93"/>
      <c r="N146" s="93"/>
      <c r="O146" s="93"/>
      <c r="P146" s="94"/>
      <c r="Q146" s="18"/>
    </row>
    <row r="147" spans="1:17" x14ac:dyDescent="0.35">
      <c r="A147" s="13"/>
      <c r="D147" s="14"/>
      <c r="E147" s="15"/>
      <c r="F147" s="16"/>
      <c r="G147" s="17"/>
      <c r="H147" s="84"/>
      <c r="I147" s="84"/>
      <c r="J147" s="88"/>
      <c r="K147" s="91"/>
      <c r="L147" s="88"/>
      <c r="M147" s="93"/>
      <c r="N147" s="93"/>
      <c r="O147" s="93"/>
      <c r="P147" s="94"/>
      <c r="Q147" s="18"/>
    </row>
    <row r="148" spans="1:17" x14ac:dyDescent="0.35">
      <c r="A148" s="13"/>
      <c r="D148" s="14"/>
      <c r="E148" s="15"/>
      <c r="F148" s="16"/>
      <c r="G148" s="17"/>
      <c r="H148" s="84"/>
      <c r="I148" s="84"/>
      <c r="J148" s="88"/>
      <c r="K148" s="91"/>
      <c r="L148" s="88"/>
      <c r="M148" s="93"/>
      <c r="N148" s="93"/>
      <c r="O148" s="93"/>
      <c r="P148" s="94"/>
      <c r="Q148" s="18"/>
    </row>
    <row r="149" spans="1:17" x14ac:dyDescent="0.35">
      <c r="A149" s="13"/>
      <c r="D149" s="14"/>
      <c r="E149" s="15"/>
      <c r="F149" s="16"/>
      <c r="G149" s="17"/>
      <c r="H149" s="84"/>
      <c r="I149" s="84"/>
      <c r="J149" s="88"/>
      <c r="K149" s="91"/>
      <c r="L149" s="88"/>
      <c r="M149" s="93"/>
      <c r="N149" s="93"/>
      <c r="O149" s="93"/>
      <c r="P149" s="94"/>
      <c r="Q149" s="18"/>
    </row>
    <row r="150" spans="1:17" x14ac:dyDescent="0.35">
      <c r="A150" s="13"/>
      <c r="D150" s="14"/>
      <c r="E150" s="15"/>
      <c r="F150" s="16"/>
      <c r="G150" s="17"/>
      <c r="H150" s="84"/>
      <c r="I150" s="84"/>
      <c r="J150" s="88"/>
      <c r="K150" s="91"/>
      <c r="L150" s="88"/>
      <c r="M150" s="93"/>
      <c r="N150" s="93"/>
      <c r="O150" s="93"/>
      <c r="P150" s="94"/>
      <c r="Q150" s="18"/>
    </row>
    <row r="151" spans="1:17" x14ac:dyDescent="0.35">
      <c r="A151" s="13"/>
      <c r="D151" s="14"/>
      <c r="E151" s="15"/>
      <c r="F151" s="16"/>
      <c r="G151" s="17"/>
      <c r="H151" s="84"/>
      <c r="I151" s="84"/>
      <c r="J151" s="88"/>
      <c r="K151" s="91"/>
      <c r="L151" s="88"/>
      <c r="M151" s="93"/>
      <c r="N151" s="93"/>
      <c r="O151" s="93"/>
      <c r="P151" s="94"/>
      <c r="Q151" s="18"/>
    </row>
    <row r="152" spans="1:17" x14ac:dyDescent="0.35">
      <c r="A152" s="13"/>
      <c r="D152" s="14"/>
      <c r="E152" s="15"/>
      <c r="F152" s="16"/>
      <c r="G152" s="17"/>
      <c r="H152" s="84"/>
      <c r="I152" s="84"/>
      <c r="J152" s="88"/>
      <c r="K152" s="91"/>
      <c r="L152" s="88"/>
      <c r="M152" s="93"/>
      <c r="N152" s="93"/>
      <c r="O152" s="93"/>
      <c r="P152" s="94"/>
      <c r="Q152" s="18"/>
    </row>
    <row r="153" spans="1:17" x14ac:dyDescent="0.35">
      <c r="A153" s="13"/>
      <c r="D153" s="14"/>
      <c r="E153" s="15"/>
      <c r="F153" s="16"/>
      <c r="G153" s="17"/>
      <c r="H153" s="84"/>
      <c r="I153" s="84"/>
      <c r="J153" s="88"/>
      <c r="K153" s="91"/>
      <c r="L153" s="88"/>
      <c r="M153" s="93"/>
      <c r="N153" s="93"/>
      <c r="O153" s="93"/>
      <c r="P153" s="94"/>
      <c r="Q153" s="18"/>
    </row>
    <row r="154" spans="1:17" x14ac:dyDescent="0.35">
      <c r="A154" s="13"/>
      <c r="D154" s="14"/>
      <c r="E154" s="15"/>
      <c r="F154" s="16"/>
      <c r="G154" s="17"/>
      <c r="H154" s="84"/>
      <c r="I154" s="84"/>
      <c r="J154" s="88"/>
      <c r="K154" s="91"/>
      <c r="L154" s="88"/>
      <c r="M154" s="93"/>
      <c r="N154" s="93"/>
      <c r="O154" s="93"/>
      <c r="P154" s="94"/>
      <c r="Q154" s="18"/>
    </row>
    <row r="155" spans="1:17" x14ac:dyDescent="0.35">
      <c r="A155" s="13"/>
      <c r="D155" s="14"/>
      <c r="E155" s="15"/>
      <c r="F155" s="16"/>
      <c r="G155" s="17"/>
      <c r="H155" s="84"/>
      <c r="I155" s="84"/>
      <c r="J155" s="88"/>
      <c r="K155" s="91"/>
      <c r="L155" s="88"/>
      <c r="M155" s="93"/>
      <c r="N155" s="93"/>
      <c r="O155" s="93"/>
      <c r="P155" s="94"/>
      <c r="Q155" s="18"/>
    </row>
    <row r="156" spans="1:17" x14ac:dyDescent="0.35">
      <c r="A156" s="13"/>
      <c r="D156" s="14"/>
      <c r="E156" s="15"/>
      <c r="F156" s="16"/>
      <c r="G156" s="17"/>
      <c r="H156" s="84"/>
      <c r="I156" s="84"/>
      <c r="J156" s="88"/>
      <c r="K156" s="91"/>
      <c r="L156" s="88"/>
      <c r="M156" s="93"/>
      <c r="N156" s="93"/>
      <c r="O156" s="93"/>
      <c r="P156" s="94"/>
      <c r="Q156" s="18"/>
    </row>
    <row r="157" spans="1:17" x14ac:dyDescent="0.35">
      <c r="A157" s="13"/>
      <c r="D157" s="14"/>
      <c r="E157" s="15"/>
      <c r="F157" s="16"/>
      <c r="G157" s="17"/>
      <c r="H157" s="84"/>
      <c r="I157" s="84"/>
      <c r="J157" s="88"/>
      <c r="K157" s="91"/>
      <c r="L157" s="88"/>
      <c r="M157" s="93"/>
      <c r="N157" s="93"/>
      <c r="O157" s="93"/>
      <c r="P157" s="94"/>
      <c r="Q157" s="18"/>
    </row>
    <row r="158" spans="1:17" x14ac:dyDescent="0.35">
      <c r="A158" s="13"/>
      <c r="D158" s="14"/>
      <c r="E158" s="15"/>
      <c r="F158" s="16"/>
      <c r="G158" s="17"/>
      <c r="H158" s="84"/>
      <c r="I158" s="84"/>
      <c r="J158" s="88"/>
      <c r="K158" s="91"/>
      <c r="L158" s="88"/>
      <c r="M158" s="93"/>
      <c r="N158" s="93"/>
      <c r="O158" s="93"/>
      <c r="P158" s="94"/>
      <c r="Q158" s="18"/>
    </row>
    <row r="159" spans="1:17" x14ac:dyDescent="0.35">
      <c r="A159" s="13"/>
      <c r="D159" s="14"/>
      <c r="E159" s="15"/>
      <c r="F159" s="16"/>
      <c r="G159" s="17"/>
      <c r="H159" s="84"/>
      <c r="I159" s="84"/>
      <c r="J159" s="88"/>
      <c r="K159" s="91"/>
      <c r="L159" s="88"/>
      <c r="M159" s="93"/>
      <c r="N159" s="93"/>
      <c r="O159" s="93"/>
      <c r="P159" s="94"/>
      <c r="Q159" s="18"/>
    </row>
    <row r="160" spans="1:17" x14ac:dyDescent="0.35">
      <c r="A160" s="13"/>
      <c r="D160" s="14"/>
      <c r="E160" s="15"/>
      <c r="F160" s="16"/>
      <c r="G160" s="17"/>
      <c r="H160" s="84"/>
      <c r="I160" s="84"/>
      <c r="J160" s="88"/>
      <c r="K160" s="91"/>
      <c r="L160" s="88"/>
      <c r="M160" s="93"/>
      <c r="N160" s="93"/>
      <c r="O160" s="93"/>
      <c r="P160" s="94"/>
      <c r="Q160" s="18"/>
    </row>
    <row r="161" spans="1:17" x14ac:dyDescent="0.35">
      <c r="A161" s="13"/>
      <c r="D161" s="14"/>
      <c r="E161" s="15"/>
      <c r="F161" s="16"/>
      <c r="G161" s="17"/>
      <c r="H161" s="84"/>
      <c r="I161" s="84"/>
      <c r="J161" s="88"/>
      <c r="K161" s="91"/>
      <c r="L161" s="88"/>
      <c r="M161" s="93"/>
      <c r="N161" s="93"/>
      <c r="O161" s="93"/>
      <c r="P161" s="94"/>
      <c r="Q161" s="18"/>
    </row>
    <row r="162" spans="1:17" x14ac:dyDescent="0.35">
      <c r="A162" s="13"/>
      <c r="D162" s="14"/>
      <c r="E162" s="15"/>
      <c r="F162" s="16"/>
      <c r="G162" s="17"/>
      <c r="H162" s="84"/>
      <c r="I162" s="84"/>
      <c r="J162" s="88"/>
      <c r="K162" s="91"/>
      <c r="L162" s="88"/>
      <c r="M162" s="93"/>
      <c r="N162" s="93"/>
      <c r="O162" s="93"/>
      <c r="P162" s="94"/>
      <c r="Q162" s="18"/>
    </row>
    <row r="163" spans="1:17" x14ac:dyDescent="0.35">
      <c r="A163" s="13"/>
      <c r="D163" s="14"/>
      <c r="E163" s="15"/>
      <c r="F163" s="16"/>
      <c r="G163" s="17"/>
      <c r="H163" s="84"/>
      <c r="I163" s="84"/>
      <c r="J163" s="88"/>
      <c r="K163" s="91"/>
      <c r="L163" s="88"/>
      <c r="M163" s="93"/>
      <c r="N163" s="93"/>
      <c r="O163" s="93"/>
      <c r="P163" s="94"/>
      <c r="Q163" s="18"/>
    </row>
    <row r="164" spans="1:17" x14ac:dyDescent="0.35">
      <c r="A164" s="13"/>
      <c r="D164" s="14"/>
      <c r="E164" s="15"/>
      <c r="F164" s="16"/>
      <c r="G164" s="17"/>
      <c r="H164" s="84"/>
      <c r="I164" s="84"/>
      <c r="J164" s="88"/>
      <c r="K164" s="91"/>
      <c r="L164" s="88"/>
      <c r="M164" s="93"/>
      <c r="N164" s="93"/>
      <c r="O164" s="93"/>
      <c r="P164" s="94"/>
      <c r="Q164" s="18"/>
    </row>
    <row r="165" spans="1:17" x14ac:dyDescent="0.35">
      <c r="A165" s="13"/>
      <c r="D165" s="14"/>
      <c r="E165" s="15"/>
      <c r="F165" s="16"/>
      <c r="G165" s="17"/>
      <c r="H165" s="84"/>
      <c r="I165" s="84"/>
      <c r="J165" s="88"/>
      <c r="K165" s="91"/>
      <c r="L165" s="88"/>
      <c r="M165" s="93"/>
      <c r="N165" s="93"/>
      <c r="O165" s="93"/>
      <c r="P165" s="94"/>
      <c r="Q165" s="18"/>
    </row>
    <row r="166" spans="1:17" x14ac:dyDescent="0.35">
      <c r="A166" s="13"/>
      <c r="D166" s="14"/>
      <c r="E166" s="15"/>
      <c r="F166" s="16"/>
      <c r="G166" s="17"/>
      <c r="H166" s="84"/>
      <c r="I166" s="84"/>
      <c r="J166" s="88"/>
      <c r="K166" s="91"/>
      <c r="L166" s="88"/>
      <c r="M166" s="93"/>
      <c r="N166" s="93"/>
      <c r="O166" s="93"/>
      <c r="P166" s="94"/>
      <c r="Q166" s="18"/>
    </row>
    <row r="167" spans="1:17" x14ac:dyDescent="0.35">
      <c r="A167" s="13"/>
      <c r="D167" s="14"/>
      <c r="E167" s="15"/>
      <c r="F167" s="16"/>
      <c r="G167" s="17"/>
      <c r="H167" s="84"/>
      <c r="I167" s="84"/>
      <c r="J167" s="88"/>
      <c r="K167" s="91"/>
      <c r="L167" s="88"/>
      <c r="M167" s="93"/>
      <c r="N167" s="93"/>
      <c r="O167" s="93"/>
      <c r="P167" s="94"/>
      <c r="Q167" s="18"/>
    </row>
    <row r="168" spans="1:17" x14ac:dyDescent="0.35">
      <c r="A168" s="13"/>
      <c r="D168" s="14"/>
      <c r="E168" s="15"/>
      <c r="F168" s="16"/>
      <c r="G168" s="17"/>
      <c r="H168" s="84"/>
      <c r="I168" s="84"/>
      <c r="J168" s="88"/>
      <c r="K168" s="91"/>
      <c r="L168" s="88"/>
      <c r="M168" s="93"/>
      <c r="N168" s="93"/>
      <c r="O168" s="93"/>
      <c r="P168" s="94"/>
      <c r="Q168" s="18"/>
    </row>
    <row r="169" spans="1:17" x14ac:dyDescent="0.35">
      <c r="A169" s="13"/>
      <c r="D169" s="14"/>
      <c r="E169" s="15"/>
      <c r="F169" s="16"/>
      <c r="G169" s="17"/>
      <c r="H169" s="84"/>
      <c r="I169" s="84"/>
      <c r="J169" s="88"/>
      <c r="K169" s="91"/>
      <c r="L169" s="88"/>
      <c r="M169" s="93"/>
      <c r="N169" s="93"/>
      <c r="O169" s="93"/>
      <c r="P169" s="94"/>
      <c r="Q169" s="18"/>
    </row>
    <row r="170" spans="1:17" x14ac:dyDescent="0.35">
      <c r="A170" s="13"/>
      <c r="D170" s="14"/>
      <c r="E170" s="15"/>
      <c r="F170" s="16"/>
      <c r="G170" s="17"/>
      <c r="H170" s="84"/>
      <c r="I170" s="84"/>
      <c r="J170" s="88"/>
      <c r="K170" s="91"/>
      <c r="L170" s="88"/>
      <c r="M170" s="93"/>
      <c r="N170" s="93"/>
      <c r="O170" s="93"/>
      <c r="P170" s="94"/>
      <c r="Q170" s="18"/>
    </row>
    <row r="171" spans="1:17" x14ac:dyDescent="0.35">
      <c r="A171" s="13"/>
      <c r="D171" s="14"/>
      <c r="E171" s="15"/>
      <c r="F171" s="16"/>
      <c r="G171" s="17"/>
      <c r="H171" s="84"/>
      <c r="I171" s="84"/>
      <c r="J171" s="88"/>
      <c r="K171" s="91"/>
      <c r="L171" s="88"/>
      <c r="M171" s="93"/>
      <c r="N171" s="93"/>
      <c r="O171" s="93"/>
      <c r="P171" s="94"/>
      <c r="Q171" s="18"/>
    </row>
    <row r="172" spans="1:17" x14ac:dyDescent="0.35">
      <c r="A172" s="13"/>
      <c r="D172" s="14"/>
      <c r="E172" s="15"/>
      <c r="F172" s="16"/>
      <c r="G172" s="17"/>
      <c r="H172" s="84"/>
      <c r="I172" s="84"/>
      <c r="J172" s="88"/>
      <c r="K172" s="91"/>
      <c r="L172" s="88"/>
      <c r="M172" s="93"/>
      <c r="N172" s="93"/>
      <c r="O172" s="93"/>
      <c r="P172" s="94"/>
      <c r="Q172" s="18"/>
    </row>
    <row r="173" spans="1:17" x14ac:dyDescent="0.35">
      <c r="A173" s="13"/>
      <c r="D173" s="14"/>
      <c r="E173" s="15"/>
      <c r="F173" s="16"/>
      <c r="G173" s="17"/>
      <c r="H173" s="84"/>
      <c r="I173" s="84"/>
      <c r="J173" s="88"/>
      <c r="K173" s="91"/>
      <c r="L173" s="88"/>
      <c r="M173" s="93"/>
      <c r="N173" s="93"/>
      <c r="O173" s="93"/>
      <c r="P173" s="94"/>
      <c r="Q173" s="18"/>
    </row>
    <row r="174" spans="1:17" x14ac:dyDescent="0.35">
      <c r="A174" s="13"/>
      <c r="D174" s="14"/>
      <c r="E174" s="15"/>
      <c r="F174" s="16"/>
      <c r="G174" s="17"/>
      <c r="H174" s="84"/>
      <c r="I174" s="84"/>
      <c r="J174" s="88"/>
      <c r="K174" s="91"/>
      <c r="L174" s="88"/>
      <c r="M174" s="93"/>
      <c r="N174" s="93"/>
      <c r="O174" s="93"/>
      <c r="P174" s="94"/>
      <c r="Q174" s="18"/>
    </row>
    <row r="175" spans="1:17" x14ac:dyDescent="0.35">
      <c r="A175" s="13"/>
      <c r="D175" s="14"/>
      <c r="E175" s="15"/>
      <c r="F175" s="16"/>
      <c r="G175" s="17"/>
      <c r="H175" s="84"/>
      <c r="I175" s="84"/>
      <c r="J175" s="88"/>
      <c r="K175" s="91"/>
      <c r="L175" s="88"/>
      <c r="M175" s="93"/>
      <c r="N175" s="93"/>
      <c r="O175" s="93"/>
      <c r="P175" s="94"/>
      <c r="Q175" s="18"/>
    </row>
    <row r="176" spans="1:17" x14ac:dyDescent="0.35">
      <c r="A176" s="13"/>
      <c r="D176" s="14"/>
      <c r="E176" s="15"/>
      <c r="F176" s="16"/>
      <c r="G176" s="17"/>
      <c r="H176" s="84"/>
      <c r="I176" s="84"/>
      <c r="J176" s="88"/>
      <c r="K176" s="91"/>
      <c r="L176" s="88"/>
      <c r="M176" s="93"/>
      <c r="N176" s="93"/>
      <c r="O176" s="93"/>
      <c r="P176" s="94"/>
      <c r="Q176" s="18"/>
    </row>
    <row r="177" spans="1:17" x14ac:dyDescent="0.35">
      <c r="A177" s="13"/>
      <c r="D177" s="14"/>
      <c r="E177" s="15"/>
      <c r="F177" s="16"/>
      <c r="G177" s="17"/>
      <c r="H177" s="84"/>
      <c r="I177" s="84"/>
      <c r="J177" s="88"/>
      <c r="K177" s="91"/>
      <c r="L177" s="88"/>
      <c r="M177" s="93"/>
      <c r="N177" s="93"/>
      <c r="O177" s="93"/>
      <c r="P177" s="94"/>
      <c r="Q177" s="18"/>
    </row>
    <row r="178" spans="1:17" x14ac:dyDescent="0.35">
      <c r="A178" s="13"/>
      <c r="D178" s="14"/>
      <c r="E178" s="15"/>
      <c r="F178" s="16"/>
      <c r="G178" s="17"/>
      <c r="H178" s="84"/>
      <c r="I178" s="84"/>
      <c r="J178" s="88"/>
      <c r="K178" s="91"/>
      <c r="L178" s="88"/>
      <c r="M178" s="93"/>
      <c r="N178" s="93"/>
      <c r="O178" s="93"/>
      <c r="P178" s="94"/>
      <c r="Q178" s="18"/>
    </row>
    <row r="179" spans="1:17" x14ac:dyDescent="0.35">
      <c r="A179" s="13"/>
      <c r="D179" s="14"/>
      <c r="E179" s="15"/>
      <c r="F179" s="16"/>
      <c r="G179" s="17"/>
      <c r="H179" s="84"/>
      <c r="I179" s="84"/>
      <c r="J179" s="88"/>
      <c r="K179" s="91"/>
      <c r="L179" s="88"/>
      <c r="M179" s="93"/>
      <c r="N179" s="93"/>
      <c r="O179" s="93"/>
      <c r="P179" s="94"/>
      <c r="Q179" s="18"/>
    </row>
    <row r="180" spans="1:17" x14ac:dyDescent="0.35">
      <c r="A180" s="13"/>
      <c r="D180" s="14"/>
      <c r="E180" s="15"/>
      <c r="F180" s="16"/>
      <c r="G180" s="17"/>
      <c r="H180" s="84"/>
      <c r="I180" s="84"/>
      <c r="J180" s="88"/>
      <c r="K180" s="91"/>
      <c r="L180" s="88"/>
      <c r="M180" s="93"/>
      <c r="N180" s="93"/>
      <c r="O180" s="93"/>
      <c r="P180" s="94"/>
      <c r="Q180" s="18"/>
    </row>
    <row r="181" spans="1:17" x14ac:dyDescent="0.35">
      <c r="A181" s="13"/>
      <c r="D181" s="14"/>
      <c r="E181" s="15"/>
      <c r="F181" s="16"/>
      <c r="G181" s="17"/>
      <c r="H181" s="84"/>
      <c r="I181" s="84"/>
      <c r="J181" s="88"/>
      <c r="K181" s="91"/>
      <c r="L181" s="88"/>
      <c r="M181" s="93"/>
      <c r="N181" s="93"/>
      <c r="O181" s="93"/>
      <c r="P181" s="94"/>
      <c r="Q181" s="18"/>
    </row>
    <row r="182" spans="1:17" x14ac:dyDescent="0.35">
      <c r="A182" s="13"/>
      <c r="D182" s="14"/>
      <c r="E182" s="15"/>
      <c r="F182" s="16"/>
      <c r="G182" s="17"/>
      <c r="H182" s="84"/>
      <c r="I182" s="84"/>
      <c r="J182" s="88"/>
      <c r="K182" s="91"/>
      <c r="L182" s="88"/>
      <c r="M182" s="93"/>
      <c r="N182" s="93"/>
      <c r="O182" s="93"/>
      <c r="P182" s="94"/>
      <c r="Q182" s="18"/>
    </row>
    <row r="183" spans="1:17" x14ac:dyDescent="0.35">
      <c r="A183" s="13"/>
      <c r="D183" s="14"/>
      <c r="E183" s="15"/>
      <c r="F183" s="16"/>
      <c r="G183" s="17"/>
      <c r="H183" s="84"/>
      <c r="I183" s="84"/>
      <c r="J183" s="88"/>
      <c r="K183" s="91"/>
      <c r="L183" s="88"/>
      <c r="M183" s="93"/>
      <c r="N183" s="93"/>
      <c r="O183" s="93"/>
      <c r="P183" s="94"/>
      <c r="Q183" s="18"/>
    </row>
    <row r="184" spans="1:17" x14ac:dyDescent="0.35">
      <c r="A184" s="13"/>
      <c r="D184" s="14"/>
      <c r="E184" s="15"/>
      <c r="F184" s="16"/>
      <c r="G184" s="17"/>
      <c r="H184" s="84"/>
      <c r="I184" s="84"/>
      <c r="J184" s="88"/>
      <c r="K184" s="91"/>
      <c r="L184" s="88"/>
      <c r="M184" s="93"/>
      <c r="N184" s="93"/>
      <c r="O184" s="93"/>
      <c r="P184" s="94"/>
      <c r="Q184" s="18"/>
    </row>
    <row r="185" spans="1:17" x14ac:dyDescent="0.35">
      <c r="A185" s="13"/>
      <c r="D185" s="14"/>
      <c r="E185" s="15"/>
      <c r="F185" s="16"/>
      <c r="G185" s="17"/>
      <c r="H185" s="85"/>
      <c r="I185" s="84"/>
      <c r="J185" s="87"/>
      <c r="K185" s="91"/>
      <c r="L185" s="87"/>
      <c r="M185" s="89"/>
      <c r="N185" s="89"/>
      <c r="O185" s="89"/>
      <c r="P185" s="94"/>
    </row>
    <row r="186" spans="1:17" x14ac:dyDescent="0.35">
      <c r="A186" s="13"/>
      <c r="D186" s="14"/>
      <c r="E186" s="15"/>
      <c r="F186" s="16"/>
      <c r="G186" s="17"/>
      <c r="H186" s="85"/>
      <c r="I186" s="84"/>
      <c r="J186" s="87"/>
      <c r="K186" s="91"/>
      <c r="L186" s="87"/>
      <c r="M186" s="89"/>
      <c r="N186" s="89"/>
      <c r="O186" s="89"/>
      <c r="P186" s="94"/>
    </row>
    <row r="187" spans="1:17" x14ac:dyDescent="0.35">
      <c r="A187" s="13"/>
      <c r="D187" s="14"/>
      <c r="E187" s="15"/>
      <c r="F187" s="16"/>
      <c r="G187" s="17"/>
      <c r="H187" s="85"/>
      <c r="I187" s="84"/>
      <c r="J187" s="87"/>
      <c r="K187" s="91"/>
      <c r="L187" s="87"/>
      <c r="M187" s="89"/>
      <c r="N187" s="89"/>
      <c r="O187" s="89"/>
      <c r="P187" s="94"/>
    </row>
    <row r="188" spans="1:17" x14ac:dyDescent="0.35">
      <c r="A188" s="13"/>
      <c r="D188" s="14"/>
      <c r="E188" s="15"/>
      <c r="F188" s="16"/>
      <c r="G188" s="17"/>
      <c r="H188" s="85"/>
      <c r="I188" s="84"/>
      <c r="J188" s="87"/>
      <c r="K188" s="91"/>
      <c r="L188" s="87"/>
      <c r="M188" s="89"/>
      <c r="N188" s="89"/>
      <c r="O188" s="89"/>
      <c r="P188" s="94"/>
    </row>
    <row r="189" spans="1:17" x14ac:dyDescent="0.35">
      <c r="A189" s="13"/>
      <c r="D189" s="14"/>
      <c r="E189" s="15"/>
      <c r="F189" s="16"/>
      <c r="G189" s="17"/>
      <c r="H189" s="85"/>
      <c r="I189" s="84"/>
      <c r="J189" s="87"/>
      <c r="K189" s="91"/>
      <c r="L189" s="87"/>
      <c r="M189" s="89"/>
      <c r="N189" s="89"/>
      <c r="O189" s="89"/>
      <c r="P189" s="94"/>
    </row>
    <row r="190" spans="1:17" x14ac:dyDescent="0.35">
      <c r="A190" s="13"/>
      <c r="D190" s="14"/>
      <c r="E190" s="15"/>
      <c r="F190" s="16"/>
      <c r="G190" s="17"/>
      <c r="H190" s="85"/>
      <c r="I190" s="84"/>
      <c r="J190" s="87"/>
      <c r="K190" s="91"/>
      <c r="L190" s="87"/>
      <c r="M190" s="89"/>
      <c r="N190" s="89"/>
      <c r="O190" s="89"/>
      <c r="P190" s="94"/>
    </row>
    <row r="191" spans="1:17" x14ac:dyDescent="0.35">
      <c r="A191" s="13"/>
      <c r="D191" s="14"/>
      <c r="E191" s="15"/>
      <c r="F191" s="16"/>
      <c r="G191" s="17"/>
      <c r="H191" s="85"/>
      <c r="I191" s="84"/>
      <c r="J191" s="87"/>
      <c r="K191" s="91"/>
      <c r="L191" s="87"/>
      <c r="M191" s="89"/>
      <c r="N191" s="89"/>
      <c r="O191" s="89"/>
      <c r="P191" s="94"/>
    </row>
    <row r="192" spans="1:17" x14ac:dyDescent="0.35">
      <c r="A192" s="13"/>
      <c r="D192" s="14"/>
      <c r="E192" s="15"/>
      <c r="F192" s="16"/>
      <c r="G192" s="17"/>
      <c r="H192" s="85"/>
      <c r="I192" s="84"/>
      <c r="J192" s="87"/>
      <c r="K192" s="91"/>
      <c r="L192" s="87"/>
      <c r="M192" s="89"/>
      <c r="N192" s="89"/>
      <c r="O192" s="89"/>
      <c r="P192" s="94"/>
    </row>
    <row r="193" spans="1:16" x14ac:dyDescent="0.35">
      <c r="A193" s="13"/>
      <c r="D193" s="14"/>
      <c r="E193" s="15"/>
      <c r="F193" s="16"/>
      <c r="G193" s="17"/>
      <c r="H193" s="85"/>
      <c r="I193" s="84"/>
      <c r="J193" s="87"/>
      <c r="K193" s="91"/>
      <c r="L193" s="87"/>
      <c r="M193" s="89"/>
      <c r="N193" s="89"/>
      <c r="O193" s="89"/>
      <c r="P193" s="94"/>
    </row>
    <row r="194" spans="1:16" x14ac:dyDescent="0.35">
      <c r="A194" s="13"/>
      <c r="D194" s="14"/>
      <c r="E194" s="15"/>
      <c r="F194" s="16"/>
      <c r="G194" s="17"/>
      <c r="H194" s="85"/>
      <c r="I194" s="84"/>
      <c r="J194" s="87"/>
      <c r="K194" s="91"/>
      <c r="L194" s="87"/>
      <c r="M194" s="89"/>
      <c r="N194" s="89"/>
      <c r="O194" s="89"/>
      <c r="P194" s="94"/>
    </row>
    <row r="195" spans="1:16" x14ac:dyDescent="0.35">
      <c r="A195" s="13"/>
      <c r="D195" s="14"/>
      <c r="E195" s="15"/>
      <c r="F195" s="16"/>
      <c r="G195" s="17"/>
      <c r="H195" s="85"/>
      <c r="I195" s="84"/>
      <c r="J195" s="87"/>
      <c r="K195" s="91"/>
      <c r="L195" s="87"/>
      <c r="M195" s="89"/>
      <c r="N195" s="89"/>
      <c r="O195" s="89"/>
      <c r="P195" s="94"/>
    </row>
    <row r="196" spans="1:16" x14ac:dyDescent="0.35">
      <c r="A196" s="13"/>
      <c r="D196" s="14"/>
      <c r="E196" s="15"/>
      <c r="F196" s="16"/>
      <c r="G196" s="17"/>
      <c r="H196" s="85"/>
      <c r="I196" s="84"/>
      <c r="J196" s="87"/>
      <c r="K196" s="91"/>
      <c r="L196" s="87"/>
      <c r="M196" s="89"/>
      <c r="N196" s="89"/>
      <c r="O196" s="89"/>
      <c r="P196" s="94"/>
    </row>
    <row r="197" spans="1:16" x14ac:dyDescent="0.35">
      <c r="A197" s="13"/>
      <c r="D197" s="14"/>
      <c r="E197" s="15"/>
      <c r="F197" s="16"/>
      <c r="G197" s="17"/>
      <c r="H197" s="85"/>
      <c r="I197" s="84"/>
      <c r="J197" s="87"/>
      <c r="K197" s="91"/>
      <c r="L197" s="87"/>
      <c r="M197" s="89"/>
      <c r="N197" s="89"/>
      <c r="O197" s="89"/>
      <c r="P197" s="94"/>
    </row>
    <row r="198" spans="1:16" x14ac:dyDescent="0.35">
      <c r="A198" s="13"/>
      <c r="D198" s="14"/>
      <c r="E198" s="15"/>
      <c r="F198" s="16"/>
      <c r="G198" s="17"/>
      <c r="H198" s="85"/>
      <c r="I198" s="84"/>
      <c r="J198" s="87"/>
      <c r="K198" s="91"/>
      <c r="L198" s="87"/>
      <c r="M198" s="89"/>
      <c r="N198" s="89"/>
      <c r="O198" s="89"/>
      <c r="P198" s="94"/>
    </row>
    <row r="199" spans="1:16" x14ac:dyDescent="0.35">
      <c r="A199" s="13"/>
      <c r="D199" s="14"/>
      <c r="E199" s="15"/>
      <c r="F199" s="16"/>
      <c r="G199" s="17"/>
      <c r="H199" s="85"/>
      <c r="I199" s="84"/>
      <c r="J199" s="87"/>
      <c r="K199" s="91"/>
      <c r="L199" s="87"/>
      <c r="M199" s="89"/>
      <c r="N199" s="89"/>
      <c r="O199" s="89"/>
      <c r="P199" s="94"/>
    </row>
    <row r="200" spans="1:16" x14ac:dyDescent="0.35">
      <c r="A200" s="13"/>
      <c r="D200" s="14"/>
      <c r="E200" s="15"/>
      <c r="F200" s="16"/>
      <c r="G200" s="17"/>
      <c r="H200" s="85"/>
      <c r="I200" s="84"/>
      <c r="J200" s="87"/>
      <c r="K200" s="91"/>
      <c r="L200" s="87"/>
      <c r="M200" s="89"/>
      <c r="N200" s="89"/>
      <c r="O200" s="89"/>
      <c r="P200" s="94"/>
    </row>
    <row r="201" spans="1:16" x14ac:dyDescent="0.35">
      <c r="A201" s="13"/>
      <c r="D201" s="14"/>
      <c r="E201" s="15"/>
      <c r="F201" s="16"/>
      <c r="G201" s="17"/>
      <c r="H201" s="85"/>
      <c r="I201" s="84"/>
      <c r="J201" s="87"/>
      <c r="K201" s="91"/>
      <c r="L201" s="87"/>
      <c r="M201" s="89"/>
      <c r="N201" s="89"/>
      <c r="O201" s="89"/>
      <c r="P201" s="94"/>
    </row>
    <row r="202" spans="1:16" x14ac:dyDescent="0.35">
      <c r="A202" s="13"/>
      <c r="D202" s="14"/>
      <c r="E202" s="15"/>
      <c r="F202" s="16"/>
      <c r="G202" s="17"/>
      <c r="H202" s="85"/>
      <c r="I202" s="84"/>
      <c r="J202" s="87"/>
      <c r="K202" s="91"/>
      <c r="L202" s="87"/>
      <c r="M202" s="89"/>
      <c r="N202" s="89"/>
      <c r="O202" s="89"/>
      <c r="P202" s="94"/>
    </row>
    <row r="203" spans="1:16" x14ac:dyDescent="0.35">
      <c r="A203" s="13"/>
      <c r="D203" s="14"/>
      <c r="E203" s="15"/>
      <c r="F203" s="16"/>
      <c r="G203" s="17"/>
      <c r="H203" s="85"/>
      <c r="I203" s="84"/>
      <c r="J203" s="87"/>
      <c r="K203" s="91"/>
      <c r="L203" s="87"/>
      <c r="M203" s="89"/>
      <c r="N203" s="89"/>
      <c r="O203" s="89"/>
      <c r="P203" s="94"/>
    </row>
    <row r="204" spans="1:16" x14ac:dyDescent="0.35">
      <c r="A204" s="13"/>
      <c r="D204" s="14"/>
      <c r="E204" s="15"/>
      <c r="F204" s="16"/>
      <c r="G204" s="17"/>
      <c r="H204" s="85"/>
      <c r="I204" s="84"/>
      <c r="J204" s="87"/>
      <c r="K204" s="91"/>
      <c r="L204" s="87"/>
      <c r="M204" s="89"/>
      <c r="N204" s="89"/>
      <c r="O204" s="89"/>
      <c r="P204" s="94"/>
    </row>
    <row r="205" spans="1:16" x14ac:dyDescent="0.35">
      <c r="A205" s="13"/>
      <c r="D205" s="14"/>
      <c r="E205" s="15"/>
      <c r="F205" s="16"/>
      <c r="G205" s="17"/>
      <c r="H205" s="85"/>
      <c r="I205" s="84"/>
      <c r="J205" s="87"/>
      <c r="K205" s="91"/>
      <c r="L205" s="87"/>
      <c r="M205" s="89"/>
      <c r="N205" s="89"/>
      <c r="O205" s="89"/>
      <c r="P205" s="94"/>
    </row>
    <row r="206" spans="1:16" x14ac:dyDescent="0.35">
      <c r="A206" s="13"/>
      <c r="D206" s="14"/>
      <c r="E206" s="15"/>
      <c r="F206" s="16"/>
      <c r="G206" s="17"/>
      <c r="H206" s="85"/>
      <c r="I206" s="84"/>
      <c r="J206" s="87"/>
      <c r="K206" s="91"/>
      <c r="L206" s="87"/>
      <c r="M206" s="89"/>
      <c r="N206" s="89"/>
      <c r="O206" s="89"/>
      <c r="P206" s="94"/>
    </row>
    <row r="207" spans="1:16" x14ac:dyDescent="0.35">
      <c r="A207" s="13"/>
      <c r="D207" s="14"/>
      <c r="E207" s="15"/>
      <c r="F207" s="16"/>
      <c r="G207" s="17"/>
      <c r="H207" s="85"/>
      <c r="I207" s="84"/>
      <c r="J207" s="87"/>
      <c r="K207" s="91"/>
      <c r="L207" s="87"/>
      <c r="M207" s="89"/>
      <c r="N207" s="89"/>
      <c r="O207" s="89"/>
      <c r="P207" s="94"/>
    </row>
    <row r="208" spans="1:16" x14ac:dyDescent="0.35">
      <c r="A208" s="13"/>
      <c r="D208" s="14"/>
      <c r="E208" s="15"/>
      <c r="F208" s="16"/>
      <c r="G208" s="17"/>
      <c r="H208" s="85"/>
      <c r="I208" s="84"/>
      <c r="J208" s="87"/>
      <c r="K208" s="91"/>
      <c r="L208" s="87"/>
      <c r="M208" s="89"/>
      <c r="N208" s="89"/>
      <c r="O208" s="89"/>
      <c r="P208" s="94"/>
    </row>
    <row r="209" spans="1:16" x14ac:dyDescent="0.35">
      <c r="A209" s="13"/>
      <c r="D209" s="14"/>
      <c r="E209" s="15"/>
      <c r="F209" s="16"/>
      <c r="G209" s="17"/>
      <c r="H209" s="85"/>
      <c r="I209" s="84"/>
      <c r="J209" s="87"/>
      <c r="K209" s="91"/>
      <c r="L209" s="87"/>
      <c r="M209" s="89"/>
      <c r="N209" s="89"/>
      <c r="O209" s="89"/>
      <c r="P209" s="94"/>
    </row>
    <row r="210" spans="1:16" x14ac:dyDescent="0.35">
      <c r="A210" s="13"/>
      <c r="D210" s="14"/>
      <c r="E210" s="15"/>
      <c r="F210" s="16"/>
      <c r="G210" s="17"/>
      <c r="H210" s="85"/>
      <c r="I210" s="84"/>
      <c r="J210" s="87"/>
      <c r="K210" s="91"/>
      <c r="L210" s="87"/>
      <c r="M210" s="89"/>
      <c r="N210" s="89"/>
      <c r="O210" s="89"/>
      <c r="P210" s="94"/>
    </row>
    <row r="211" spans="1:16" x14ac:dyDescent="0.35">
      <c r="A211" s="13"/>
      <c r="D211" s="14"/>
      <c r="E211" s="15"/>
      <c r="F211" s="16"/>
      <c r="G211" s="17"/>
      <c r="H211" s="85"/>
      <c r="I211" s="84"/>
      <c r="J211" s="87"/>
      <c r="K211" s="91"/>
      <c r="L211" s="87"/>
      <c r="M211" s="89"/>
      <c r="N211" s="89"/>
      <c r="O211" s="89"/>
      <c r="P211" s="94"/>
    </row>
    <row r="212" spans="1:16" x14ac:dyDescent="0.35">
      <c r="A212" s="13"/>
      <c r="D212" s="14"/>
      <c r="E212" s="15"/>
      <c r="F212" s="16"/>
      <c r="G212" s="17"/>
      <c r="H212" s="85"/>
      <c r="I212" s="84"/>
      <c r="J212" s="87"/>
      <c r="K212" s="91"/>
      <c r="L212" s="87"/>
      <c r="M212" s="89"/>
      <c r="N212" s="89"/>
      <c r="O212" s="89"/>
      <c r="P212" s="94"/>
    </row>
    <row r="213" spans="1:16" x14ac:dyDescent="0.35">
      <c r="A213" s="13"/>
      <c r="D213" s="14"/>
      <c r="E213" s="15"/>
      <c r="F213" s="16"/>
      <c r="G213" s="17"/>
      <c r="H213" s="85"/>
      <c r="I213" s="84"/>
      <c r="J213" s="87"/>
      <c r="K213" s="91"/>
      <c r="L213" s="87"/>
      <c r="M213" s="89"/>
      <c r="N213" s="89"/>
      <c r="O213" s="89"/>
      <c r="P213" s="94"/>
    </row>
    <row r="214" spans="1:16" x14ac:dyDescent="0.35">
      <c r="A214" s="13"/>
      <c r="D214" s="14"/>
      <c r="E214" s="15"/>
      <c r="F214" s="16"/>
      <c r="G214" s="17"/>
      <c r="H214" s="85"/>
      <c r="I214" s="84"/>
      <c r="J214" s="87"/>
      <c r="K214" s="91"/>
      <c r="L214" s="87"/>
      <c r="M214" s="89"/>
      <c r="N214" s="89"/>
      <c r="O214" s="89"/>
      <c r="P214" s="94"/>
    </row>
    <row r="215" spans="1:16" x14ac:dyDescent="0.35">
      <c r="A215" s="13"/>
      <c r="D215" s="14"/>
      <c r="E215" s="15"/>
      <c r="F215" s="16"/>
      <c r="G215" s="17"/>
      <c r="H215" s="85"/>
      <c r="I215" s="84"/>
      <c r="J215" s="87"/>
      <c r="K215" s="91"/>
      <c r="L215" s="87"/>
      <c r="M215" s="89"/>
      <c r="N215" s="89"/>
      <c r="O215" s="89"/>
      <c r="P215" s="94"/>
    </row>
    <row r="216" spans="1:16" x14ac:dyDescent="0.35">
      <c r="A216" s="13"/>
      <c r="D216" s="14"/>
      <c r="E216" s="15"/>
      <c r="F216" s="16"/>
      <c r="G216" s="17"/>
      <c r="H216" s="85"/>
      <c r="I216" s="84"/>
      <c r="J216" s="87"/>
      <c r="K216" s="91"/>
      <c r="L216" s="87"/>
      <c r="M216" s="89"/>
      <c r="N216" s="89"/>
      <c r="O216" s="89"/>
      <c r="P216" s="94"/>
    </row>
    <row r="217" spans="1:16" x14ac:dyDescent="0.35">
      <c r="A217" s="13"/>
      <c r="D217" s="14"/>
      <c r="E217" s="15"/>
      <c r="F217" s="16"/>
      <c r="G217" s="17"/>
      <c r="H217" s="85"/>
      <c r="I217" s="84"/>
      <c r="J217" s="87"/>
      <c r="K217" s="91"/>
      <c r="L217" s="87"/>
      <c r="M217" s="89"/>
      <c r="N217" s="89"/>
      <c r="O217" s="89"/>
      <c r="P217" s="94"/>
    </row>
    <row r="218" spans="1:16" x14ac:dyDescent="0.35">
      <c r="A218" s="13"/>
      <c r="D218" s="14"/>
      <c r="E218" s="15"/>
      <c r="F218" s="16"/>
      <c r="G218" s="17"/>
      <c r="H218" s="85"/>
      <c r="I218" s="84"/>
      <c r="J218" s="87"/>
      <c r="K218" s="91"/>
      <c r="L218" s="87"/>
      <c r="M218" s="89"/>
      <c r="N218" s="89"/>
      <c r="O218" s="89"/>
      <c r="P218" s="94"/>
    </row>
    <row r="219" spans="1:16" x14ac:dyDescent="0.35">
      <c r="A219" s="13"/>
      <c r="D219" s="14"/>
      <c r="E219" s="15"/>
      <c r="F219" s="16"/>
      <c r="G219" s="17"/>
      <c r="H219" s="85"/>
      <c r="I219" s="84"/>
      <c r="J219" s="87"/>
      <c r="K219" s="91"/>
      <c r="L219" s="87"/>
      <c r="M219" s="89"/>
      <c r="N219" s="89"/>
      <c r="O219" s="89"/>
      <c r="P219" s="94"/>
    </row>
    <row r="220" spans="1:16" x14ac:dyDescent="0.35">
      <c r="A220" s="13"/>
      <c r="D220" s="14"/>
      <c r="E220" s="15"/>
      <c r="F220" s="16"/>
      <c r="G220" s="17"/>
      <c r="H220" s="85"/>
      <c r="I220" s="84"/>
      <c r="J220" s="87"/>
      <c r="K220" s="91"/>
      <c r="L220" s="87"/>
      <c r="M220" s="89"/>
      <c r="N220" s="89"/>
      <c r="O220" s="89"/>
      <c r="P220" s="94"/>
    </row>
    <row r="221" spans="1:16" x14ac:dyDescent="0.35">
      <c r="A221" s="13"/>
      <c r="D221" s="14"/>
      <c r="E221" s="15"/>
      <c r="F221" s="16"/>
      <c r="G221" s="17"/>
      <c r="H221" s="85"/>
      <c r="I221" s="84"/>
      <c r="J221" s="87"/>
      <c r="K221" s="91"/>
      <c r="L221" s="87"/>
      <c r="M221" s="89"/>
      <c r="N221" s="89"/>
      <c r="O221" s="89"/>
      <c r="P221" s="94"/>
    </row>
    <row r="222" spans="1:16" x14ac:dyDescent="0.35">
      <c r="A222" s="13"/>
      <c r="D222" s="14"/>
      <c r="E222" s="15"/>
      <c r="F222" s="16"/>
      <c r="G222" s="17"/>
      <c r="H222" s="85"/>
      <c r="I222" s="84"/>
      <c r="J222" s="87"/>
      <c r="K222" s="91"/>
      <c r="L222" s="87"/>
      <c r="M222" s="89"/>
      <c r="N222" s="89"/>
      <c r="O222" s="89"/>
      <c r="P222" s="94"/>
    </row>
    <row r="223" spans="1:16" x14ac:dyDescent="0.35">
      <c r="A223" s="13"/>
      <c r="D223" s="14"/>
      <c r="E223" s="15"/>
      <c r="F223" s="16"/>
      <c r="G223" s="17"/>
      <c r="H223" s="85"/>
      <c r="I223" s="84"/>
      <c r="J223" s="87"/>
      <c r="K223" s="91"/>
      <c r="L223" s="87"/>
      <c r="M223" s="89"/>
      <c r="N223" s="89"/>
      <c r="O223" s="89"/>
      <c r="P223" s="94"/>
    </row>
    <row r="224" spans="1:16" x14ac:dyDescent="0.35">
      <c r="A224" s="13"/>
      <c r="D224" s="14"/>
      <c r="E224" s="15"/>
      <c r="F224" s="16"/>
      <c r="G224" s="17"/>
      <c r="H224" s="85"/>
      <c r="I224" s="84"/>
      <c r="J224" s="87"/>
      <c r="K224" s="91"/>
      <c r="L224" s="87"/>
      <c r="M224" s="89"/>
      <c r="N224" s="89"/>
      <c r="O224" s="89"/>
      <c r="P224" s="94"/>
    </row>
    <row r="225" spans="1:16" x14ac:dyDescent="0.35">
      <c r="A225" s="13"/>
      <c r="D225" s="14"/>
      <c r="E225" s="15"/>
      <c r="F225" s="16"/>
      <c r="G225" s="17"/>
      <c r="H225" s="85"/>
      <c r="I225" s="84"/>
      <c r="J225" s="87"/>
      <c r="K225" s="91"/>
      <c r="L225" s="87"/>
      <c r="M225" s="89"/>
      <c r="N225" s="89"/>
      <c r="O225" s="89"/>
      <c r="P225" s="94"/>
    </row>
    <row r="226" spans="1:16" x14ac:dyDescent="0.35">
      <c r="A226" s="13"/>
      <c r="D226" s="14"/>
      <c r="E226" s="15"/>
      <c r="F226" s="16"/>
      <c r="G226" s="17"/>
      <c r="H226" s="85"/>
      <c r="I226" s="84"/>
      <c r="J226" s="87"/>
      <c r="K226" s="91"/>
      <c r="L226" s="87"/>
      <c r="M226" s="89"/>
      <c r="N226" s="89"/>
      <c r="O226" s="89"/>
      <c r="P226" s="94"/>
    </row>
    <row r="227" spans="1:16" x14ac:dyDescent="0.35">
      <c r="A227" s="13"/>
      <c r="D227" s="14"/>
      <c r="E227" s="15"/>
      <c r="F227" s="16"/>
      <c r="G227" s="17"/>
      <c r="H227" s="85"/>
      <c r="I227" s="84"/>
      <c r="J227" s="87"/>
      <c r="K227" s="91"/>
      <c r="L227" s="87"/>
      <c r="M227" s="89"/>
      <c r="N227" s="89"/>
      <c r="O227" s="89"/>
      <c r="P227" s="94"/>
    </row>
    <row r="228" spans="1:16" x14ac:dyDescent="0.35">
      <c r="A228" s="13"/>
      <c r="D228" s="14"/>
      <c r="E228" s="15"/>
      <c r="F228" s="16"/>
      <c r="G228" s="17"/>
      <c r="H228" s="85"/>
      <c r="I228" s="84"/>
      <c r="J228" s="87"/>
      <c r="K228" s="91"/>
      <c r="L228" s="87"/>
      <c r="M228" s="89"/>
      <c r="N228" s="89"/>
      <c r="O228" s="89"/>
      <c r="P228" s="94"/>
    </row>
    <row r="229" spans="1:16" x14ac:dyDescent="0.35">
      <c r="A229" s="13"/>
      <c r="D229" s="14"/>
      <c r="E229" s="15"/>
      <c r="F229" s="16"/>
      <c r="G229" s="17"/>
      <c r="H229" s="85"/>
      <c r="I229" s="84"/>
      <c r="J229" s="87"/>
      <c r="K229" s="91"/>
      <c r="L229" s="87"/>
      <c r="M229" s="89"/>
      <c r="N229" s="89"/>
      <c r="O229" s="89"/>
      <c r="P229" s="94"/>
    </row>
    <row r="230" spans="1:16" x14ac:dyDescent="0.35">
      <c r="A230" s="13"/>
      <c r="D230" s="14"/>
      <c r="E230" s="15"/>
      <c r="F230" s="16"/>
      <c r="G230" s="17"/>
      <c r="H230" s="85"/>
      <c r="I230" s="84"/>
      <c r="J230" s="87"/>
      <c r="K230" s="91"/>
      <c r="L230" s="87"/>
      <c r="M230" s="89"/>
      <c r="N230" s="89"/>
      <c r="O230" s="89"/>
      <c r="P230" s="94"/>
    </row>
    <row r="231" spans="1:16" x14ac:dyDescent="0.35">
      <c r="A231" s="13"/>
      <c r="D231" s="14"/>
      <c r="E231" s="15"/>
      <c r="F231" s="16"/>
      <c r="G231" s="17"/>
      <c r="H231" s="85"/>
      <c r="I231" s="84"/>
      <c r="J231" s="87"/>
      <c r="K231" s="91"/>
      <c r="L231" s="87"/>
      <c r="M231" s="89"/>
      <c r="N231" s="89"/>
      <c r="O231" s="89"/>
      <c r="P231" s="94"/>
    </row>
    <row r="232" spans="1:16" x14ac:dyDescent="0.35">
      <c r="A232" s="13"/>
      <c r="D232" s="14"/>
      <c r="E232" s="15"/>
      <c r="F232" s="16"/>
      <c r="G232" s="17"/>
      <c r="H232" s="85"/>
      <c r="I232" s="84"/>
      <c r="J232" s="87"/>
      <c r="K232" s="91"/>
      <c r="L232" s="87"/>
      <c r="M232" s="89"/>
      <c r="N232" s="89"/>
      <c r="O232" s="89"/>
      <c r="P232" s="94"/>
    </row>
    <row r="233" spans="1:16" x14ac:dyDescent="0.35">
      <c r="A233" s="13"/>
      <c r="D233" s="14"/>
      <c r="E233" s="15"/>
      <c r="F233" s="16"/>
      <c r="G233" s="17"/>
      <c r="H233" s="85"/>
      <c r="I233" s="84"/>
      <c r="J233" s="87"/>
      <c r="K233" s="91"/>
      <c r="L233" s="87"/>
      <c r="M233" s="89"/>
      <c r="N233" s="89"/>
      <c r="O233" s="89"/>
      <c r="P233" s="94"/>
    </row>
    <row r="234" spans="1:16" x14ac:dyDescent="0.35">
      <c r="A234" s="13"/>
      <c r="D234" s="14"/>
      <c r="E234" s="15"/>
      <c r="F234" s="16"/>
      <c r="G234" s="17"/>
      <c r="H234" s="85"/>
      <c r="I234" s="84"/>
      <c r="J234" s="87"/>
      <c r="K234" s="91"/>
      <c r="L234" s="87"/>
      <c r="M234" s="89"/>
      <c r="N234" s="89"/>
      <c r="O234" s="89"/>
      <c r="P234" s="94"/>
    </row>
    <row r="235" spans="1:16" x14ac:dyDescent="0.35">
      <c r="A235" s="13"/>
      <c r="D235" s="14"/>
      <c r="E235" s="15"/>
      <c r="F235" s="16"/>
      <c r="G235" s="17"/>
      <c r="H235" s="85"/>
      <c r="I235" s="84"/>
      <c r="J235" s="87"/>
      <c r="K235" s="91"/>
      <c r="L235" s="87"/>
      <c r="M235" s="89"/>
      <c r="N235" s="89"/>
      <c r="O235" s="89"/>
      <c r="P235" s="94"/>
    </row>
    <row r="236" spans="1:16" x14ac:dyDescent="0.35">
      <c r="A236" s="13"/>
      <c r="D236" s="14"/>
      <c r="E236" s="15"/>
      <c r="F236" s="16"/>
      <c r="G236" s="17"/>
      <c r="H236" s="85"/>
      <c r="I236" s="84"/>
      <c r="J236" s="87"/>
      <c r="K236" s="91"/>
      <c r="L236" s="87"/>
      <c r="M236" s="89"/>
      <c r="N236" s="89"/>
      <c r="O236" s="89"/>
      <c r="P236" s="94"/>
    </row>
    <row r="237" spans="1:16" x14ac:dyDescent="0.35">
      <c r="A237" s="13"/>
      <c r="D237" s="14"/>
      <c r="E237" s="15"/>
      <c r="F237" s="16"/>
      <c r="G237" s="17"/>
      <c r="H237" s="85"/>
      <c r="I237" s="84"/>
      <c r="J237" s="87"/>
      <c r="K237" s="91"/>
      <c r="L237" s="87"/>
      <c r="M237" s="89"/>
      <c r="N237" s="89"/>
      <c r="O237" s="89"/>
      <c r="P237" s="94"/>
    </row>
    <row r="238" spans="1:16" x14ac:dyDescent="0.35">
      <c r="A238" s="13"/>
      <c r="D238" s="14"/>
      <c r="E238" s="15"/>
      <c r="F238" s="16"/>
      <c r="G238" s="17"/>
      <c r="H238" s="85"/>
      <c r="I238" s="84"/>
      <c r="J238" s="87"/>
      <c r="K238" s="91"/>
      <c r="L238" s="87"/>
      <c r="M238" s="89"/>
      <c r="N238" s="89"/>
      <c r="O238" s="89"/>
      <c r="P238" s="94"/>
    </row>
    <row r="239" spans="1:16" x14ac:dyDescent="0.35">
      <c r="A239" s="13"/>
      <c r="D239" s="14"/>
      <c r="E239" s="15"/>
      <c r="F239" s="16"/>
      <c r="G239" s="17"/>
      <c r="H239" s="85"/>
      <c r="I239" s="84"/>
      <c r="J239" s="87"/>
      <c r="K239" s="91"/>
      <c r="L239" s="87"/>
      <c r="M239" s="89"/>
      <c r="N239" s="89"/>
      <c r="O239" s="89"/>
      <c r="P239" s="94"/>
    </row>
    <row r="240" spans="1:16" x14ac:dyDescent="0.35">
      <c r="A240" s="13"/>
      <c r="D240" s="14"/>
      <c r="E240" s="15"/>
      <c r="F240" s="16"/>
      <c r="G240" s="17"/>
      <c r="H240" s="85"/>
      <c r="I240" s="84"/>
      <c r="J240" s="87"/>
      <c r="K240" s="91"/>
      <c r="L240" s="87"/>
      <c r="M240" s="89"/>
      <c r="N240" s="89"/>
      <c r="O240" s="89"/>
      <c r="P240" s="94"/>
    </row>
    <row r="241" spans="1:16" x14ac:dyDescent="0.35">
      <c r="A241" s="13"/>
      <c r="D241" s="14"/>
      <c r="E241" s="15"/>
      <c r="F241" s="16"/>
      <c r="G241" s="17"/>
      <c r="H241" s="85"/>
      <c r="I241" s="84"/>
      <c r="J241" s="87"/>
      <c r="K241" s="91"/>
      <c r="L241" s="87"/>
      <c r="M241" s="89"/>
      <c r="N241" s="89"/>
      <c r="O241" s="89"/>
      <c r="P241" s="94"/>
    </row>
    <row r="242" spans="1:16" x14ac:dyDescent="0.35">
      <c r="A242" s="13"/>
      <c r="D242" s="14"/>
      <c r="E242" s="15"/>
      <c r="F242" s="16"/>
      <c r="G242" s="17"/>
      <c r="H242" s="85"/>
      <c r="I242" s="84"/>
      <c r="J242" s="87"/>
      <c r="K242" s="91"/>
      <c r="L242" s="87"/>
      <c r="M242" s="89"/>
      <c r="N242" s="89"/>
      <c r="O242" s="89"/>
      <c r="P242" s="94"/>
    </row>
    <row r="243" spans="1:16" x14ac:dyDescent="0.35">
      <c r="A243" s="13"/>
      <c r="D243" s="14"/>
      <c r="E243" s="15"/>
      <c r="F243" s="16"/>
      <c r="G243" s="17"/>
      <c r="H243" s="85"/>
      <c r="I243" s="84"/>
      <c r="J243" s="87"/>
      <c r="K243" s="91"/>
      <c r="L243" s="87"/>
      <c r="M243" s="89"/>
      <c r="N243" s="89"/>
      <c r="O243" s="89"/>
      <c r="P243" s="94"/>
    </row>
    <row r="244" spans="1:16" x14ac:dyDescent="0.35">
      <c r="A244" s="13"/>
      <c r="D244" s="14"/>
      <c r="E244" s="15"/>
      <c r="F244" s="16"/>
      <c r="G244" s="17"/>
      <c r="H244" s="85"/>
      <c r="I244" s="84"/>
      <c r="J244" s="87"/>
      <c r="K244" s="91"/>
      <c r="L244" s="87"/>
      <c r="M244" s="89"/>
      <c r="N244" s="89"/>
      <c r="O244" s="89"/>
      <c r="P244" s="94"/>
    </row>
    <row r="245" spans="1:16" x14ac:dyDescent="0.35">
      <c r="A245" s="13"/>
      <c r="D245" s="14"/>
      <c r="E245" s="15"/>
      <c r="F245" s="16"/>
      <c r="G245" s="17"/>
      <c r="H245" s="85"/>
      <c r="I245" s="84"/>
      <c r="J245" s="87"/>
      <c r="K245" s="91"/>
      <c r="L245" s="87"/>
      <c r="M245" s="89"/>
      <c r="N245" s="89"/>
      <c r="O245" s="89"/>
      <c r="P245" s="94"/>
    </row>
    <row r="246" spans="1:16" x14ac:dyDescent="0.35">
      <c r="A246" s="13"/>
      <c r="D246" s="14"/>
      <c r="E246" s="15"/>
      <c r="F246" s="16"/>
      <c r="G246" s="17"/>
      <c r="H246" s="85"/>
      <c r="I246" s="84"/>
      <c r="J246" s="87"/>
      <c r="K246" s="91"/>
      <c r="L246" s="87"/>
      <c r="M246" s="89"/>
      <c r="N246" s="89"/>
      <c r="O246" s="89"/>
      <c r="P246" s="94"/>
    </row>
    <row r="247" spans="1:16" x14ac:dyDescent="0.35">
      <c r="A247" s="13"/>
      <c r="D247" s="14"/>
      <c r="E247" s="15"/>
      <c r="F247" s="16"/>
      <c r="G247" s="17"/>
      <c r="H247" s="85"/>
      <c r="I247" s="84"/>
      <c r="J247" s="87"/>
      <c r="K247" s="91"/>
      <c r="L247" s="87"/>
      <c r="M247" s="89"/>
      <c r="N247" s="89"/>
      <c r="O247" s="89"/>
      <c r="P247" s="94"/>
    </row>
    <row r="248" spans="1:16" x14ac:dyDescent="0.35">
      <c r="A248" s="13"/>
      <c r="D248" s="14"/>
      <c r="E248" s="15"/>
      <c r="F248" s="16"/>
      <c r="G248" s="17"/>
      <c r="H248" s="85"/>
      <c r="I248" s="84"/>
      <c r="J248" s="87"/>
      <c r="K248" s="91"/>
      <c r="L248" s="87"/>
      <c r="M248" s="89"/>
      <c r="N248" s="89"/>
      <c r="O248" s="89"/>
      <c r="P248" s="94"/>
    </row>
    <row r="249" spans="1:16" x14ac:dyDescent="0.35">
      <c r="A249" s="13"/>
      <c r="D249" s="14"/>
      <c r="E249" s="15"/>
      <c r="F249" s="16"/>
      <c r="G249" s="17"/>
      <c r="H249" s="85"/>
      <c r="I249" s="84"/>
      <c r="J249" s="87"/>
      <c r="K249" s="91"/>
      <c r="L249" s="87"/>
      <c r="M249" s="89"/>
      <c r="N249" s="89"/>
      <c r="O249" s="89"/>
      <c r="P249" s="94"/>
    </row>
    <row r="250" spans="1:16" x14ac:dyDescent="0.35">
      <c r="A250" s="13"/>
      <c r="D250" s="14"/>
      <c r="E250" s="15"/>
      <c r="F250" s="16"/>
      <c r="G250" s="17"/>
      <c r="H250" s="85"/>
      <c r="I250" s="84"/>
      <c r="J250" s="87"/>
      <c r="K250" s="91"/>
      <c r="L250" s="87"/>
      <c r="M250" s="89"/>
      <c r="N250" s="89"/>
      <c r="O250" s="89"/>
      <c r="P250" s="94"/>
    </row>
    <row r="251" spans="1:16" x14ac:dyDescent="0.35">
      <c r="A251" s="13"/>
      <c r="D251" s="14"/>
      <c r="E251" s="15"/>
      <c r="F251" s="16"/>
      <c r="G251" s="17"/>
      <c r="H251" s="85"/>
      <c r="I251" s="84"/>
      <c r="J251" s="87"/>
      <c r="K251" s="91"/>
      <c r="L251" s="87"/>
      <c r="M251" s="89"/>
      <c r="N251" s="89"/>
      <c r="O251" s="89"/>
      <c r="P251" s="94"/>
    </row>
    <row r="252" spans="1:16" x14ac:dyDescent="0.35">
      <c r="A252" s="13"/>
      <c r="D252" s="14"/>
      <c r="E252" s="15"/>
      <c r="F252" s="16"/>
      <c r="G252" s="17"/>
      <c r="H252" s="85"/>
      <c r="I252" s="84"/>
      <c r="J252" s="87"/>
      <c r="K252" s="91"/>
      <c r="L252" s="87"/>
      <c r="M252" s="89"/>
      <c r="N252" s="89"/>
      <c r="O252" s="89"/>
      <c r="P252" s="94"/>
    </row>
    <row r="253" spans="1:16" x14ac:dyDescent="0.35">
      <c r="A253" s="13"/>
      <c r="D253" s="14"/>
      <c r="E253" s="15"/>
      <c r="F253" s="16"/>
      <c r="G253" s="17"/>
      <c r="H253" s="85"/>
      <c r="I253" s="84"/>
      <c r="J253" s="87"/>
      <c r="K253" s="91"/>
      <c r="L253" s="87"/>
      <c r="M253" s="89"/>
      <c r="N253" s="89"/>
      <c r="O253" s="89"/>
      <c r="P253" s="94"/>
    </row>
    <row r="254" spans="1:16" x14ac:dyDescent="0.35">
      <c r="A254" s="13"/>
      <c r="D254" s="14"/>
      <c r="E254" s="15"/>
      <c r="F254" s="16"/>
      <c r="G254" s="17"/>
      <c r="H254" s="85"/>
      <c r="I254" s="84"/>
      <c r="J254" s="87"/>
      <c r="K254" s="91"/>
      <c r="L254" s="87"/>
      <c r="M254" s="89"/>
      <c r="N254" s="89"/>
      <c r="O254" s="89"/>
      <c r="P254" s="94"/>
    </row>
    <row r="255" spans="1:16" x14ac:dyDescent="0.35">
      <c r="A255" s="13"/>
      <c r="D255" s="14"/>
      <c r="E255" s="15"/>
      <c r="F255" s="16"/>
      <c r="G255" s="17"/>
      <c r="H255" s="85"/>
      <c r="I255" s="84"/>
      <c r="J255" s="87"/>
      <c r="K255" s="91"/>
      <c r="L255" s="87"/>
      <c r="M255" s="89"/>
      <c r="N255" s="89"/>
      <c r="O255" s="89"/>
      <c r="P255" s="94"/>
    </row>
    <row r="256" spans="1:16" x14ac:dyDescent="0.35">
      <c r="A256" s="13"/>
      <c r="D256" s="14"/>
      <c r="E256" s="15"/>
      <c r="F256" s="16"/>
      <c r="G256" s="17"/>
      <c r="H256" s="85"/>
      <c r="I256" s="84"/>
      <c r="J256" s="87"/>
      <c r="K256" s="91"/>
      <c r="L256" s="87"/>
      <c r="M256" s="89"/>
      <c r="N256" s="89"/>
      <c r="O256" s="89"/>
      <c r="P256" s="94"/>
    </row>
    <row r="257" spans="1:16" x14ac:dyDescent="0.35">
      <c r="A257" s="13"/>
      <c r="D257" s="14"/>
      <c r="E257" s="15"/>
      <c r="F257" s="16"/>
      <c r="G257" s="17"/>
      <c r="H257" s="85"/>
      <c r="I257" s="84"/>
      <c r="J257" s="87"/>
      <c r="K257" s="91"/>
      <c r="L257" s="87"/>
      <c r="M257" s="89"/>
      <c r="N257" s="89"/>
      <c r="O257" s="89"/>
      <c r="P257" s="94"/>
    </row>
    <row r="258" spans="1:16" x14ac:dyDescent="0.35">
      <c r="A258" s="13"/>
      <c r="D258" s="14"/>
      <c r="E258" s="15"/>
      <c r="F258" s="16"/>
      <c r="G258" s="17"/>
      <c r="H258" s="85"/>
      <c r="I258" s="84"/>
      <c r="J258" s="87"/>
      <c r="K258" s="91"/>
      <c r="L258" s="87"/>
      <c r="M258" s="89"/>
      <c r="N258" s="89"/>
      <c r="O258" s="89"/>
      <c r="P258" s="94"/>
    </row>
    <row r="259" spans="1:16" x14ac:dyDescent="0.35">
      <c r="A259" s="13"/>
      <c r="D259" s="14"/>
      <c r="E259" s="15"/>
      <c r="F259" s="16"/>
      <c r="G259" s="17"/>
      <c r="H259" s="85"/>
      <c r="I259" s="84"/>
      <c r="J259" s="87"/>
      <c r="K259" s="91"/>
      <c r="L259" s="87"/>
      <c r="M259" s="89"/>
      <c r="N259" s="89"/>
      <c r="O259" s="89"/>
      <c r="P259" s="94"/>
    </row>
    <row r="260" spans="1:16" x14ac:dyDescent="0.35">
      <c r="A260" s="13"/>
      <c r="D260" s="14"/>
      <c r="E260" s="15"/>
      <c r="F260" s="16"/>
      <c r="G260" s="17"/>
      <c r="H260" s="85"/>
      <c r="I260" s="84"/>
      <c r="J260" s="87"/>
      <c r="K260" s="91"/>
      <c r="L260" s="87"/>
      <c r="M260" s="89"/>
      <c r="N260" s="89"/>
      <c r="O260" s="89"/>
      <c r="P260" s="94"/>
    </row>
    <row r="261" spans="1:16" x14ac:dyDescent="0.35">
      <c r="A261" s="13"/>
      <c r="D261" s="14"/>
      <c r="E261" s="15"/>
      <c r="F261" s="16"/>
      <c r="G261" s="17"/>
      <c r="H261" s="85"/>
      <c r="I261" s="84"/>
      <c r="J261" s="87"/>
      <c r="K261" s="91"/>
      <c r="L261" s="87"/>
      <c r="M261" s="89"/>
      <c r="N261" s="89"/>
      <c r="O261" s="89"/>
      <c r="P261" s="94"/>
    </row>
    <row r="262" spans="1:16" x14ac:dyDescent="0.35">
      <c r="A262" s="13"/>
      <c r="D262" s="14"/>
      <c r="E262" s="15"/>
      <c r="F262" s="16"/>
      <c r="G262" s="17"/>
      <c r="H262" s="85"/>
      <c r="I262" s="84"/>
      <c r="J262" s="87"/>
      <c r="K262" s="91"/>
      <c r="L262" s="87"/>
      <c r="M262" s="89"/>
      <c r="N262" s="89"/>
      <c r="O262" s="89"/>
      <c r="P262" s="94"/>
    </row>
    <row r="263" spans="1:16" x14ac:dyDescent="0.35">
      <c r="A263" s="13"/>
      <c r="D263" s="14"/>
      <c r="E263" s="15"/>
      <c r="F263" s="16"/>
      <c r="G263" s="17"/>
      <c r="H263" s="85"/>
      <c r="I263" s="84"/>
      <c r="J263" s="87"/>
      <c r="K263" s="91"/>
      <c r="L263" s="87"/>
      <c r="M263" s="89"/>
      <c r="N263" s="89"/>
      <c r="O263" s="89"/>
      <c r="P263" s="94"/>
    </row>
    <row r="264" spans="1:16" x14ac:dyDescent="0.35">
      <c r="A264" s="13"/>
      <c r="D264" s="14"/>
      <c r="E264" s="15"/>
      <c r="F264" s="16"/>
      <c r="G264" s="17"/>
      <c r="H264" s="85"/>
      <c r="I264" s="84"/>
      <c r="J264" s="87"/>
      <c r="K264" s="91"/>
      <c r="L264" s="87"/>
      <c r="M264" s="89"/>
      <c r="N264" s="89"/>
      <c r="O264" s="89"/>
      <c r="P264" s="94"/>
    </row>
    <row r="265" spans="1:16" x14ac:dyDescent="0.35">
      <c r="A265" s="13"/>
      <c r="D265" s="14"/>
      <c r="E265" s="15"/>
      <c r="F265" s="16"/>
      <c r="G265" s="17"/>
      <c r="H265" s="85"/>
      <c r="I265" s="84"/>
      <c r="J265" s="87"/>
      <c r="K265" s="91"/>
      <c r="L265" s="87"/>
      <c r="M265" s="89"/>
      <c r="N265" s="89"/>
      <c r="O265" s="89"/>
      <c r="P265" s="94"/>
    </row>
    <row r="266" spans="1:16" x14ac:dyDescent="0.35">
      <c r="A266" s="13"/>
      <c r="D266" s="14"/>
      <c r="E266" s="15"/>
      <c r="F266" s="16"/>
      <c r="G266" s="17"/>
      <c r="H266" s="85"/>
      <c r="I266" s="84"/>
      <c r="J266" s="87"/>
      <c r="K266" s="91"/>
      <c r="L266" s="87"/>
      <c r="M266" s="89"/>
      <c r="N266" s="89"/>
      <c r="O266" s="89"/>
      <c r="P266" s="94"/>
    </row>
    <row r="267" spans="1:16" x14ac:dyDescent="0.35">
      <c r="A267" s="13"/>
      <c r="D267" s="14"/>
      <c r="E267" s="15"/>
      <c r="F267" s="16"/>
      <c r="G267" s="17"/>
      <c r="H267" s="85"/>
      <c r="I267" s="84"/>
      <c r="J267" s="87"/>
      <c r="K267" s="91"/>
      <c r="L267" s="87"/>
      <c r="M267" s="89"/>
      <c r="N267" s="89"/>
      <c r="O267" s="89"/>
      <c r="P267" s="94"/>
    </row>
    <row r="268" spans="1:16" x14ac:dyDescent="0.35">
      <c r="A268" s="13"/>
      <c r="D268" s="14"/>
      <c r="E268" s="15"/>
      <c r="F268" s="16"/>
      <c r="G268" s="17"/>
      <c r="H268" s="85"/>
      <c r="I268" s="84"/>
      <c r="J268" s="87"/>
      <c r="K268" s="91"/>
      <c r="L268" s="87"/>
      <c r="M268" s="89"/>
      <c r="N268" s="89"/>
      <c r="O268" s="89"/>
      <c r="P268" s="94"/>
    </row>
    <row r="269" spans="1:16" x14ac:dyDescent="0.35">
      <c r="A269" s="13"/>
      <c r="D269" s="14"/>
      <c r="E269" s="15"/>
      <c r="F269" s="16"/>
      <c r="G269" s="17"/>
      <c r="H269" s="85"/>
      <c r="I269" s="84"/>
      <c r="J269" s="87"/>
      <c r="K269" s="91"/>
      <c r="L269" s="87"/>
      <c r="M269" s="89"/>
      <c r="N269" s="89"/>
      <c r="O269" s="89"/>
      <c r="P269" s="94"/>
    </row>
    <row r="270" spans="1:16" x14ac:dyDescent="0.35">
      <c r="A270" s="13"/>
      <c r="D270" s="14"/>
      <c r="E270" s="15"/>
      <c r="F270" s="16"/>
      <c r="G270" s="17"/>
      <c r="H270" s="85"/>
      <c r="I270" s="84"/>
      <c r="J270" s="87"/>
      <c r="K270" s="91"/>
      <c r="L270" s="87"/>
      <c r="M270" s="89"/>
      <c r="N270" s="89"/>
      <c r="O270" s="89"/>
      <c r="P270" s="94"/>
    </row>
    <row r="271" spans="1:16" x14ac:dyDescent="0.35">
      <c r="A271" s="13"/>
      <c r="D271" s="14"/>
      <c r="E271" s="15"/>
      <c r="F271" s="16"/>
      <c r="G271" s="17"/>
      <c r="H271" s="85"/>
      <c r="I271" s="84"/>
      <c r="J271" s="87"/>
      <c r="K271" s="91"/>
      <c r="L271" s="87"/>
      <c r="M271" s="89"/>
      <c r="N271" s="89"/>
      <c r="O271" s="89"/>
      <c r="P271" s="94"/>
    </row>
    <row r="272" spans="1:16" x14ac:dyDescent="0.35">
      <c r="A272" s="13"/>
      <c r="D272" s="14"/>
      <c r="E272" s="15"/>
      <c r="F272" s="16"/>
      <c r="G272" s="17"/>
      <c r="H272" s="85"/>
      <c r="I272" s="84"/>
      <c r="J272" s="87"/>
      <c r="K272" s="91"/>
      <c r="L272" s="87"/>
      <c r="M272" s="89"/>
      <c r="N272" s="89"/>
      <c r="O272" s="89"/>
      <c r="P272" s="94"/>
    </row>
    <row r="273" spans="1:16" x14ac:dyDescent="0.35">
      <c r="A273" s="13"/>
      <c r="D273" s="14"/>
      <c r="E273" s="15"/>
      <c r="F273" s="16"/>
      <c r="G273" s="17"/>
      <c r="H273" s="85"/>
      <c r="I273" s="84"/>
      <c r="J273" s="87"/>
      <c r="K273" s="91"/>
      <c r="L273" s="87"/>
      <c r="M273" s="89"/>
      <c r="N273" s="89"/>
      <c r="O273" s="89"/>
      <c r="P273" s="94"/>
    </row>
    <row r="274" spans="1:16" x14ac:dyDescent="0.35">
      <c r="A274" s="13"/>
      <c r="D274" s="14"/>
      <c r="E274" s="15"/>
      <c r="F274" s="16"/>
      <c r="G274" s="17"/>
      <c r="H274" s="85"/>
      <c r="I274" s="84"/>
      <c r="J274" s="87"/>
      <c r="K274" s="91"/>
      <c r="L274" s="87"/>
      <c r="M274" s="89"/>
      <c r="N274" s="89"/>
      <c r="O274" s="89"/>
      <c r="P274" s="94"/>
    </row>
    <row r="275" spans="1:16" x14ac:dyDescent="0.35">
      <c r="A275" s="13"/>
      <c r="D275" s="14"/>
      <c r="E275" s="15"/>
      <c r="F275" s="16"/>
      <c r="G275" s="17"/>
      <c r="H275" s="85"/>
      <c r="I275" s="84"/>
      <c r="J275" s="87"/>
      <c r="K275" s="91"/>
      <c r="L275" s="87"/>
      <c r="M275" s="89"/>
      <c r="N275" s="89"/>
      <c r="O275" s="89"/>
      <c r="P275" s="94"/>
    </row>
    <row r="276" spans="1:16" x14ac:dyDescent="0.35">
      <c r="A276" s="13"/>
      <c r="D276" s="14"/>
      <c r="E276" s="15"/>
      <c r="F276" s="16"/>
      <c r="G276" s="17"/>
      <c r="H276" s="85"/>
      <c r="I276" s="84"/>
      <c r="J276" s="87"/>
      <c r="K276" s="91"/>
      <c r="L276" s="87"/>
      <c r="M276" s="89"/>
      <c r="N276" s="89"/>
      <c r="O276" s="89"/>
      <c r="P276" s="94"/>
    </row>
    <row r="277" spans="1:16" x14ac:dyDescent="0.35">
      <c r="A277" s="13"/>
      <c r="D277" s="14"/>
      <c r="E277" s="15"/>
      <c r="F277" s="16"/>
      <c r="G277" s="17"/>
      <c r="H277" s="85"/>
      <c r="I277" s="84"/>
      <c r="J277" s="87"/>
      <c r="K277" s="91"/>
      <c r="L277" s="87"/>
      <c r="M277" s="89"/>
      <c r="N277" s="89"/>
      <c r="O277" s="89"/>
      <c r="P277" s="94"/>
    </row>
    <row r="278" spans="1:16" x14ac:dyDescent="0.35">
      <c r="A278" s="13"/>
      <c r="D278" s="14"/>
      <c r="E278" s="15"/>
      <c r="F278" s="16"/>
      <c r="G278" s="17"/>
      <c r="H278" s="85"/>
      <c r="I278" s="84"/>
      <c r="J278" s="87"/>
      <c r="K278" s="91"/>
      <c r="L278" s="87"/>
      <c r="M278" s="89"/>
      <c r="N278" s="89"/>
      <c r="O278" s="89"/>
      <c r="P278" s="94"/>
    </row>
    <row r="279" spans="1:16" x14ac:dyDescent="0.35">
      <c r="A279" s="13"/>
      <c r="D279" s="14"/>
      <c r="E279" s="15"/>
      <c r="F279" s="16"/>
      <c r="G279" s="17"/>
      <c r="H279" s="85"/>
      <c r="I279" s="84"/>
      <c r="J279" s="87"/>
      <c r="K279" s="91"/>
      <c r="L279" s="87"/>
      <c r="M279" s="89"/>
      <c r="N279" s="89"/>
      <c r="O279" s="89"/>
      <c r="P279" s="94"/>
    </row>
    <row r="280" spans="1:16" x14ac:dyDescent="0.35">
      <c r="A280" s="13"/>
      <c r="D280" s="14"/>
      <c r="E280" s="15"/>
      <c r="F280" s="16"/>
      <c r="G280" s="17"/>
      <c r="H280" s="85"/>
      <c r="I280" s="84"/>
      <c r="J280" s="87"/>
      <c r="K280" s="91"/>
      <c r="L280" s="87"/>
      <c r="M280" s="89"/>
      <c r="N280" s="89"/>
      <c r="O280" s="89"/>
      <c r="P280" s="94"/>
    </row>
    <row r="281" spans="1:16" x14ac:dyDescent="0.35">
      <c r="A281" s="13"/>
      <c r="D281" s="14"/>
      <c r="E281" s="15"/>
      <c r="F281" s="16"/>
      <c r="G281" s="17"/>
      <c r="H281" s="85"/>
      <c r="I281" s="84"/>
      <c r="J281" s="87"/>
      <c r="K281" s="91"/>
      <c r="L281" s="87"/>
      <c r="M281" s="89"/>
      <c r="N281" s="89"/>
      <c r="O281" s="89"/>
      <c r="P281" s="94"/>
    </row>
    <row r="282" spans="1:16" x14ac:dyDescent="0.35">
      <c r="A282" s="13"/>
      <c r="D282" s="14"/>
      <c r="E282" s="15"/>
      <c r="F282" s="16"/>
      <c r="G282" s="17"/>
      <c r="H282" s="85"/>
      <c r="I282" s="84"/>
      <c r="J282" s="87"/>
      <c r="K282" s="91"/>
      <c r="L282" s="87"/>
      <c r="M282" s="89"/>
      <c r="N282" s="89"/>
      <c r="O282" s="89"/>
      <c r="P282" s="94"/>
    </row>
    <row r="283" spans="1:16" x14ac:dyDescent="0.35">
      <c r="A283" s="13"/>
      <c r="D283" s="14"/>
      <c r="E283" s="15"/>
      <c r="F283" s="16"/>
      <c r="G283" s="17"/>
      <c r="H283" s="85"/>
      <c r="I283" s="84"/>
      <c r="J283" s="87"/>
      <c r="K283" s="91"/>
      <c r="L283" s="87"/>
      <c r="M283" s="89"/>
      <c r="N283" s="89"/>
      <c r="O283" s="89"/>
      <c r="P283" s="94"/>
    </row>
    <row r="284" spans="1:16" x14ac:dyDescent="0.35">
      <c r="A284" s="13"/>
      <c r="D284" s="14"/>
      <c r="E284" s="15"/>
      <c r="F284" s="16"/>
      <c r="G284" s="17"/>
      <c r="H284" s="85"/>
      <c r="I284" s="84"/>
      <c r="J284" s="87"/>
      <c r="K284" s="91"/>
      <c r="L284" s="87"/>
      <c r="M284" s="89"/>
      <c r="N284" s="89"/>
      <c r="O284" s="89"/>
      <c r="P284" s="94"/>
    </row>
    <row r="285" spans="1:16" x14ac:dyDescent="0.35">
      <c r="A285" s="13"/>
      <c r="D285" s="14"/>
      <c r="E285" s="15"/>
      <c r="F285" s="16"/>
      <c r="G285" s="17"/>
      <c r="H285" s="85"/>
      <c r="I285" s="84"/>
      <c r="J285" s="87"/>
      <c r="K285" s="91"/>
      <c r="L285" s="87"/>
      <c r="M285" s="89"/>
      <c r="N285" s="89"/>
      <c r="O285" s="89"/>
      <c r="P285" s="94"/>
    </row>
    <row r="286" spans="1:16" x14ac:dyDescent="0.35">
      <c r="A286" s="13"/>
      <c r="D286" s="14"/>
      <c r="E286" s="15"/>
      <c r="F286" s="16"/>
      <c r="G286" s="17"/>
      <c r="H286" s="85"/>
      <c r="I286" s="84"/>
      <c r="J286" s="87"/>
      <c r="K286" s="91"/>
      <c r="L286" s="87"/>
      <c r="M286" s="89"/>
      <c r="N286" s="89"/>
      <c r="O286" s="89"/>
      <c r="P286" s="94"/>
    </row>
    <row r="287" spans="1:16" x14ac:dyDescent="0.35">
      <c r="A287" s="13"/>
      <c r="D287" s="14"/>
      <c r="E287" s="15"/>
      <c r="F287" s="16"/>
      <c r="G287" s="17"/>
      <c r="H287" s="85"/>
      <c r="I287" s="84"/>
      <c r="J287" s="87"/>
      <c r="K287" s="91"/>
      <c r="L287" s="87"/>
      <c r="M287" s="89"/>
      <c r="N287" s="89"/>
      <c r="O287" s="89"/>
      <c r="P287" s="94"/>
    </row>
    <row r="288" spans="1:16" x14ac:dyDescent="0.35">
      <c r="A288" s="13"/>
      <c r="D288" s="14"/>
      <c r="E288" s="15"/>
      <c r="F288" s="16"/>
      <c r="G288" s="17"/>
      <c r="H288" s="85"/>
      <c r="I288" s="84"/>
      <c r="J288" s="87"/>
      <c r="K288" s="91"/>
      <c r="L288" s="87"/>
      <c r="M288" s="89"/>
      <c r="N288" s="89"/>
      <c r="O288" s="89"/>
      <c r="P288" s="94"/>
    </row>
    <row r="289" spans="1:16" x14ac:dyDescent="0.35">
      <c r="A289" s="13"/>
      <c r="D289" s="14"/>
      <c r="E289" s="15"/>
      <c r="F289" s="16"/>
      <c r="G289" s="17"/>
      <c r="H289" s="85"/>
      <c r="I289" s="84"/>
      <c r="J289" s="87"/>
      <c r="K289" s="91"/>
      <c r="L289" s="87"/>
      <c r="M289" s="89"/>
      <c r="N289" s="89"/>
      <c r="O289" s="89"/>
      <c r="P289" s="94"/>
    </row>
    <row r="290" spans="1:16" x14ac:dyDescent="0.35">
      <c r="A290" s="13"/>
      <c r="D290" s="14"/>
      <c r="E290" s="15"/>
      <c r="F290" s="16"/>
      <c r="G290" s="17"/>
      <c r="H290" s="85"/>
      <c r="I290" s="84"/>
      <c r="J290" s="87"/>
      <c r="K290" s="91"/>
      <c r="L290" s="87"/>
      <c r="M290" s="89"/>
      <c r="N290" s="89"/>
      <c r="O290" s="89"/>
      <c r="P290" s="94"/>
    </row>
    <row r="291" spans="1:16" x14ac:dyDescent="0.35">
      <c r="A291" s="13"/>
      <c r="D291" s="14"/>
      <c r="E291" s="15"/>
      <c r="F291" s="16"/>
      <c r="G291" s="17"/>
      <c r="H291" s="85"/>
      <c r="I291" s="84"/>
      <c r="J291" s="87"/>
      <c r="K291" s="91"/>
      <c r="L291" s="87"/>
      <c r="M291" s="89"/>
      <c r="N291" s="89"/>
      <c r="O291" s="89"/>
      <c r="P291" s="94"/>
    </row>
    <row r="292" spans="1:16" x14ac:dyDescent="0.35">
      <c r="A292" s="13"/>
      <c r="D292" s="14"/>
      <c r="E292" s="15"/>
      <c r="F292" s="16"/>
      <c r="G292" s="17"/>
      <c r="H292" s="85"/>
      <c r="I292" s="84"/>
      <c r="J292" s="87"/>
      <c r="K292" s="91"/>
      <c r="L292" s="87"/>
      <c r="M292" s="89"/>
      <c r="N292" s="89"/>
      <c r="O292" s="89"/>
      <c r="P292" s="94"/>
    </row>
    <row r="293" spans="1:16" x14ac:dyDescent="0.35">
      <c r="A293" s="13"/>
      <c r="D293" s="14"/>
      <c r="E293" s="15"/>
      <c r="F293" s="16"/>
      <c r="G293" s="17"/>
      <c r="H293" s="85"/>
      <c r="I293" s="84"/>
      <c r="J293" s="87"/>
      <c r="K293" s="91"/>
      <c r="L293" s="87"/>
      <c r="M293" s="89"/>
      <c r="N293" s="89"/>
      <c r="O293" s="89"/>
      <c r="P293" s="94"/>
    </row>
    <row r="294" spans="1:16" x14ac:dyDescent="0.35">
      <c r="A294" s="13"/>
      <c r="D294" s="14"/>
      <c r="E294" s="15"/>
      <c r="F294" s="16"/>
      <c r="G294" s="17"/>
      <c r="H294" s="85"/>
      <c r="I294" s="84"/>
      <c r="J294" s="87"/>
      <c r="K294" s="91"/>
      <c r="L294" s="87"/>
      <c r="M294" s="89"/>
      <c r="N294" s="89"/>
      <c r="O294" s="89"/>
      <c r="P294" s="94"/>
    </row>
    <row r="295" spans="1:16" x14ac:dyDescent="0.35">
      <c r="A295" s="13"/>
      <c r="D295" s="14"/>
      <c r="E295" s="15"/>
      <c r="F295" s="16"/>
      <c r="G295" s="17"/>
      <c r="H295" s="85"/>
      <c r="I295" s="84"/>
      <c r="J295" s="87"/>
      <c r="K295" s="91"/>
      <c r="L295" s="87"/>
      <c r="M295" s="89"/>
      <c r="N295" s="89"/>
      <c r="O295" s="89"/>
      <c r="P295" s="94"/>
    </row>
    <row r="296" spans="1:16" x14ac:dyDescent="0.35">
      <c r="A296" s="13"/>
      <c r="D296" s="14"/>
      <c r="E296" s="15"/>
      <c r="F296" s="16"/>
      <c r="G296" s="17"/>
      <c r="H296" s="85"/>
      <c r="I296" s="84"/>
      <c r="J296" s="87"/>
      <c r="K296" s="91"/>
      <c r="L296" s="87"/>
      <c r="M296" s="89"/>
      <c r="N296" s="89"/>
      <c r="O296" s="89"/>
      <c r="P296" s="94"/>
    </row>
    <row r="297" spans="1:16" x14ac:dyDescent="0.35">
      <c r="A297" s="13"/>
      <c r="D297" s="14"/>
      <c r="E297" s="15"/>
      <c r="F297" s="16"/>
      <c r="G297" s="17"/>
      <c r="H297" s="31"/>
      <c r="I297" s="31"/>
      <c r="K297" s="20"/>
      <c r="M297" s="13"/>
      <c r="N297" s="13"/>
      <c r="O297" s="13"/>
      <c r="P297" s="24"/>
    </row>
    <row r="298" spans="1:16" x14ac:dyDescent="0.35">
      <c r="A298" s="13"/>
      <c r="D298" s="14"/>
      <c r="E298" s="15"/>
      <c r="F298" s="16"/>
      <c r="G298" s="17"/>
      <c r="H298" s="31"/>
      <c r="I298" s="31"/>
      <c r="K298" s="20"/>
      <c r="M298" s="13"/>
      <c r="N298" s="13"/>
      <c r="O298" s="13"/>
      <c r="P298" s="24"/>
    </row>
    <row r="299" spans="1:16" x14ac:dyDescent="0.35">
      <c r="A299" s="13"/>
      <c r="D299" s="14"/>
      <c r="E299" s="15"/>
      <c r="F299" s="16"/>
      <c r="G299" s="17"/>
      <c r="H299" s="31"/>
      <c r="I299" s="31"/>
      <c r="K299" s="20"/>
      <c r="M299" s="13"/>
      <c r="N299" s="13"/>
      <c r="O299" s="13"/>
      <c r="P299" s="24"/>
    </row>
    <row r="300" spans="1:16" x14ac:dyDescent="0.35">
      <c r="A300" s="13"/>
      <c r="D300" s="14"/>
      <c r="E300" s="15"/>
      <c r="F300" s="16"/>
      <c r="G300" s="17"/>
      <c r="H300" s="31"/>
      <c r="I300" s="31"/>
      <c r="K300" s="20"/>
      <c r="M300" s="13"/>
      <c r="N300" s="13"/>
      <c r="O300" s="13"/>
      <c r="P300" s="24"/>
    </row>
    <row r="301" spans="1:16" x14ac:dyDescent="0.35">
      <c r="A301" s="13"/>
      <c r="D301" s="14"/>
      <c r="E301" s="15"/>
      <c r="F301" s="16"/>
      <c r="G301" s="17"/>
      <c r="H301" s="31"/>
      <c r="I301" s="31"/>
      <c r="K301" s="20"/>
      <c r="M301" s="13"/>
      <c r="N301" s="13"/>
      <c r="O301" s="13"/>
      <c r="P301" s="24"/>
    </row>
    <row r="302" spans="1:16" x14ac:dyDescent="0.35">
      <c r="A302" s="13"/>
      <c r="D302" s="14"/>
      <c r="E302" s="15"/>
      <c r="F302" s="16"/>
      <c r="G302" s="17"/>
      <c r="H302" s="31"/>
      <c r="I302" s="31"/>
      <c r="K302" s="20"/>
      <c r="M302" s="13"/>
      <c r="N302" s="13"/>
      <c r="O302" s="13"/>
      <c r="P302" s="24"/>
    </row>
    <row r="303" spans="1:16" x14ac:dyDescent="0.35">
      <c r="A303" s="13"/>
      <c r="D303" s="14"/>
      <c r="E303" s="15"/>
      <c r="F303" s="16"/>
      <c r="G303" s="17"/>
      <c r="H303" s="31"/>
      <c r="I303" s="31"/>
      <c r="K303" s="20"/>
      <c r="M303" s="13"/>
      <c r="N303" s="13"/>
      <c r="O303" s="13"/>
      <c r="P303" s="24"/>
    </row>
    <row r="304" spans="1:16" x14ac:dyDescent="0.35">
      <c r="A304" s="13"/>
      <c r="D304" s="14"/>
      <c r="E304" s="15"/>
      <c r="F304" s="16"/>
      <c r="G304" s="17"/>
      <c r="H304" s="31"/>
      <c r="I304" s="31"/>
      <c r="K304" s="20"/>
      <c r="M304" s="13"/>
      <c r="N304" s="13"/>
      <c r="O304" s="13"/>
      <c r="P304" s="24"/>
    </row>
    <row r="305" spans="1:16" x14ac:dyDescent="0.35">
      <c r="A305" s="13"/>
      <c r="D305" s="14"/>
      <c r="E305" s="15"/>
      <c r="F305" s="16"/>
      <c r="G305" s="17"/>
      <c r="H305" s="31"/>
      <c r="I305" s="31"/>
      <c r="K305" s="20"/>
      <c r="M305" s="13"/>
      <c r="N305" s="13"/>
      <c r="O305" s="13"/>
      <c r="P305" s="24"/>
    </row>
    <row r="306" spans="1:16" x14ac:dyDescent="0.35">
      <c r="A306" s="13"/>
      <c r="D306" s="14"/>
      <c r="E306" s="15"/>
      <c r="F306" s="16"/>
      <c r="G306" s="17"/>
      <c r="H306" s="31"/>
      <c r="I306" s="31"/>
      <c r="K306" s="20"/>
      <c r="M306" s="13"/>
      <c r="N306" s="13"/>
      <c r="O306" s="13"/>
      <c r="P306" s="24"/>
    </row>
    <row r="307" spans="1:16" x14ac:dyDescent="0.35">
      <c r="A307" s="13"/>
      <c r="D307" s="14"/>
      <c r="E307" s="15"/>
      <c r="F307" s="16"/>
      <c r="G307" s="17"/>
      <c r="H307" s="31"/>
      <c r="I307" s="31"/>
      <c r="K307" s="20"/>
      <c r="M307" s="13"/>
      <c r="N307" s="13"/>
      <c r="O307" s="13"/>
      <c r="P307" s="24"/>
    </row>
    <row r="308" spans="1:16" x14ac:dyDescent="0.35">
      <c r="A308" s="13"/>
      <c r="D308" s="14"/>
      <c r="E308" s="15"/>
      <c r="F308" s="16"/>
      <c r="G308" s="17"/>
      <c r="H308" s="31"/>
      <c r="I308" s="31"/>
      <c r="K308" s="20"/>
      <c r="M308" s="13"/>
      <c r="N308" s="13"/>
      <c r="O308" s="13"/>
      <c r="P308" s="24"/>
    </row>
    <row r="309" spans="1:16" x14ac:dyDescent="0.35">
      <c r="A309" s="13"/>
      <c r="D309" s="14"/>
      <c r="E309" s="15"/>
      <c r="F309" s="16"/>
      <c r="G309" s="17"/>
      <c r="H309" s="31"/>
      <c r="I309" s="31"/>
      <c r="K309" s="20"/>
      <c r="M309" s="13"/>
      <c r="N309" s="13"/>
      <c r="O309" s="13"/>
      <c r="P309" s="24"/>
    </row>
    <row r="310" spans="1:16" x14ac:dyDescent="0.35">
      <c r="A310" s="13"/>
      <c r="D310" s="14"/>
      <c r="E310" s="15"/>
      <c r="F310" s="16"/>
      <c r="G310" s="17"/>
      <c r="H310" s="31"/>
      <c r="I310" s="31"/>
      <c r="K310" s="20"/>
      <c r="M310" s="13"/>
      <c r="N310" s="13"/>
      <c r="O310" s="13"/>
      <c r="P310" s="24"/>
    </row>
    <row r="311" spans="1:16" x14ac:dyDescent="0.35">
      <c r="A311" s="13"/>
      <c r="D311" s="14"/>
      <c r="E311" s="15"/>
      <c r="F311" s="16"/>
      <c r="G311" s="17"/>
      <c r="H311" s="31"/>
      <c r="I311" s="31"/>
      <c r="K311" s="20"/>
      <c r="M311" s="13"/>
      <c r="N311" s="13"/>
      <c r="O311" s="13"/>
      <c r="P311" s="24"/>
    </row>
    <row r="312" spans="1:16" x14ac:dyDescent="0.35">
      <c r="A312" s="13"/>
      <c r="D312" s="14"/>
      <c r="E312" s="15"/>
      <c r="F312" s="16"/>
      <c r="G312" s="17"/>
      <c r="H312" s="31"/>
      <c r="I312" s="31"/>
      <c r="K312" s="20"/>
      <c r="M312" s="13"/>
      <c r="N312" s="13"/>
      <c r="O312" s="13"/>
      <c r="P312" s="24"/>
    </row>
    <row r="313" spans="1:16" x14ac:dyDescent="0.35">
      <c r="A313" s="13"/>
      <c r="D313" s="14"/>
      <c r="E313" s="15"/>
      <c r="F313" s="16"/>
      <c r="G313" s="17"/>
      <c r="H313" s="31"/>
      <c r="I313" s="31"/>
      <c r="K313" s="20"/>
      <c r="M313" s="13"/>
      <c r="N313" s="13"/>
      <c r="O313" s="13"/>
      <c r="P313" s="24"/>
    </row>
    <row r="314" spans="1:16" x14ac:dyDescent="0.35">
      <c r="A314" s="13"/>
      <c r="D314" s="14"/>
      <c r="E314" s="15"/>
      <c r="F314" s="16"/>
      <c r="G314" s="17"/>
      <c r="H314" s="31"/>
      <c r="I314" s="31"/>
      <c r="K314" s="20"/>
      <c r="M314" s="13"/>
      <c r="N314" s="13"/>
      <c r="O314" s="13"/>
      <c r="P314" s="24"/>
    </row>
    <row r="315" spans="1:16" x14ac:dyDescent="0.35">
      <c r="A315" s="13"/>
      <c r="D315" s="14"/>
      <c r="E315" s="15"/>
      <c r="F315" s="16"/>
      <c r="G315" s="17"/>
      <c r="H315" s="31"/>
      <c r="I315" s="31"/>
      <c r="K315" s="20"/>
      <c r="M315" s="13"/>
      <c r="N315" s="13"/>
      <c r="O315" s="13"/>
      <c r="P315" s="24"/>
    </row>
    <row r="316" spans="1:16" x14ac:dyDescent="0.35">
      <c r="A316" s="13"/>
      <c r="D316" s="14"/>
      <c r="E316" s="15"/>
      <c r="F316" s="16"/>
      <c r="G316" s="17"/>
      <c r="H316" s="31"/>
      <c r="I316" s="31"/>
      <c r="K316" s="20"/>
      <c r="M316" s="13"/>
      <c r="N316" s="13"/>
      <c r="O316" s="13"/>
      <c r="P316" s="24"/>
    </row>
    <row r="317" spans="1:16" x14ac:dyDescent="0.35">
      <c r="A317" s="13"/>
      <c r="D317" s="14"/>
      <c r="E317" s="15"/>
      <c r="F317" s="16"/>
      <c r="G317" s="17"/>
      <c r="H317" s="31"/>
      <c r="I317" s="31"/>
      <c r="K317" s="20"/>
      <c r="M317" s="13"/>
      <c r="N317" s="13"/>
      <c r="O317" s="13"/>
      <c r="P317" s="24"/>
    </row>
    <row r="318" spans="1:16" x14ac:dyDescent="0.35">
      <c r="A318" s="13"/>
      <c r="D318" s="14"/>
      <c r="E318" s="15"/>
      <c r="F318" s="16"/>
      <c r="G318" s="17"/>
      <c r="H318" s="31"/>
      <c r="I318" s="31"/>
      <c r="K318" s="20"/>
      <c r="M318" s="13"/>
      <c r="N318" s="13"/>
      <c r="O318" s="13"/>
      <c r="P318" s="24"/>
    </row>
    <row r="319" spans="1:16" x14ac:dyDescent="0.35">
      <c r="A319" s="13"/>
      <c r="D319" s="14"/>
      <c r="E319" s="15"/>
      <c r="F319" s="16"/>
      <c r="G319" s="17"/>
      <c r="H319" s="31"/>
      <c r="I319" s="31"/>
      <c r="K319" s="20"/>
      <c r="M319" s="13"/>
      <c r="N319" s="13"/>
      <c r="O319" s="13"/>
      <c r="P319" s="24"/>
    </row>
    <row r="320" spans="1:16" x14ac:dyDescent="0.35">
      <c r="A320" s="13"/>
      <c r="D320" s="14"/>
      <c r="E320" s="15"/>
      <c r="F320" s="16"/>
      <c r="G320" s="17"/>
      <c r="H320" s="31"/>
      <c r="I320" s="31"/>
      <c r="K320" s="20"/>
      <c r="M320" s="13"/>
      <c r="N320" s="13"/>
      <c r="O320" s="13"/>
      <c r="P320" s="24"/>
    </row>
    <row r="321" spans="1:16" x14ac:dyDescent="0.35">
      <c r="A321" s="13"/>
      <c r="D321" s="14"/>
      <c r="E321" s="15"/>
      <c r="F321" s="16"/>
      <c r="G321" s="17"/>
      <c r="H321" s="31"/>
      <c r="I321" s="31"/>
      <c r="K321" s="20"/>
      <c r="M321" s="13"/>
      <c r="N321" s="13"/>
      <c r="O321" s="13"/>
      <c r="P321" s="24"/>
    </row>
    <row r="322" spans="1:16" x14ac:dyDescent="0.35">
      <c r="A322" s="13"/>
      <c r="D322" s="14"/>
      <c r="E322" s="15"/>
      <c r="F322" s="16"/>
      <c r="G322" s="17"/>
      <c r="H322" s="31"/>
      <c r="I322" s="31"/>
      <c r="K322" s="20"/>
      <c r="M322" s="13"/>
      <c r="N322" s="13"/>
      <c r="O322" s="13"/>
      <c r="P322" s="24"/>
    </row>
    <row r="323" spans="1:16" x14ac:dyDescent="0.35">
      <c r="A323" s="13"/>
      <c r="D323" s="14"/>
      <c r="E323" s="15"/>
      <c r="F323" s="16"/>
      <c r="G323" s="17"/>
      <c r="H323" s="31"/>
      <c r="I323" s="31"/>
      <c r="K323" s="20"/>
      <c r="M323" s="13"/>
      <c r="N323" s="13"/>
      <c r="O323" s="13"/>
      <c r="P323" s="24"/>
    </row>
    <row r="324" spans="1:16" x14ac:dyDescent="0.35">
      <c r="A324" s="13"/>
      <c r="D324" s="14"/>
      <c r="E324" s="15"/>
      <c r="F324" s="16"/>
      <c r="G324" s="17"/>
      <c r="H324" s="31"/>
      <c r="I324" s="31"/>
      <c r="K324" s="20"/>
      <c r="M324" s="13"/>
      <c r="N324" s="13"/>
      <c r="O324" s="13"/>
      <c r="P324" s="24"/>
    </row>
    <row r="325" spans="1:16" x14ac:dyDescent="0.35">
      <c r="A325" s="13"/>
      <c r="D325" s="14"/>
      <c r="E325" s="15"/>
      <c r="F325" s="16"/>
      <c r="G325" s="17"/>
      <c r="H325" s="31"/>
      <c r="I325" s="31"/>
      <c r="K325" s="20"/>
      <c r="M325" s="13"/>
      <c r="N325" s="13"/>
      <c r="O325" s="13"/>
      <c r="P325" s="24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9">
    <tabColor rgb="FFFFFF00"/>
  </sheetPr>
  <dimension ref="A1:AE325"/>
  <sheetViews>
    <sheetView workbookViewId="0">
      <selection activeCell="A2" sqref="A2:AE72"/>
    </sheetView>
  </sheetViews>
  <sheetFormatPr baseColWidth="10" defaultRowHeight="14.5" x14ac:dyDescent="0.35"/>
  <cols>
    <col min="1" max="1" width="15.453125" bestFit="1" customWidth="1"/>
    <col min="5" max="5" width="17.1796875" bestFit="1" customWidth="1"/>
    <col min="6" max="6" width="25.1796875" bestFit="1" customWidth="1"/>
    <col min="8" max="8" width="21.1796875" bestFit="1" customWidth="1"/>
    <col min="9" max="9" width="37.1796875" bestFit="1" customWidth="1"/>
  </cols>
  <sheetData>
    <row r="1" spans="1:31" x14ac:dyDescent="0.35">
      <c r="A1" s="1" t="s">
        <v>0</v>
      </c>
      <c r="B1" s="2" t="s">
        <v>1</v>
      </c>
      <c r="C1" s="2" t="s">
        <v>2</v>
      </c>
      <c r="D1" s="3" t="s">
        <v>3</v>
      </c>
      <c r="E1" s="4" t="s">
        <v>4</v>
      </c>
      <c r="F1" s="5" t="s">
        <v>5</v>
      </c>
      <c r="G1" s="6" t="s">
        <v>6</v>
      </c>
      <c r="H1" s="1" t="s">
        <v>7</v>
      </c>
      <c r="I1" s="7" t="s">
        <v>8</v>
      </c>
      <c r="J1" s="8" t="s">
        <v>9</v>
      </c>
      <c r="K1" s="9" t="s">
        <v>10</v>
      </c>
      <c r="L1" s="10" t="s">
        <v>11</v>
      </c>
      <c r="M1" s="1" t="s">
        <v>12</v>
      </c>
      <c r="N1" s="11" t="s">
        <v>13</v>
      </c>
      <c r="O1" s="11" t="s">
        <v>14</v>
      </c>
      <c r="P1" s="7" t="s">
        <v>15</v>
      </c>
      <c r="Q1" s="7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12" t="s">
        <v>21</v>
      </c>
      <c r="W1" s="12" t="s">
        <v>22</v>
      </c>
      <c r="X1" s="2" t="s">
        <v>23</v>
      </c>
      <c r="Y1" s="12" t="s">
        <v>24</v>
      </c>
      <c r="Z1" s="2" t="s">
        <v>25</v>
      </c>
      <c r="AA1" s="2" t="s">
        <v>26</v>
      </c>
      <c r="AB1" s="2" t="s">
        <v>27</v>
      </c>
      <c r="AC1" s="4" t="s">
        <v>28</v>
      </c>
      <c r="AD1" s="2" t="s">
        <v>29</v>
      </c>
      <c r="AE1" s="2" t="s">
        <v>30</v>
      </c>
    </row>
    <row r="2" spans="1:31" x14ac:dyDescent="0.35">
      <c r="A2" s="13">
        <f>'R13_Cta_Cte'!A3</f>
        <v>45930</v>
      </c>
      <c r="B2">
        <v>1</v>
      </c>
      <c r="D2" s="14" t="s">
        <v>31</v>
      </c>
      <c r="E2" s="15" t="s">
        <v>32</v>
      </c>
      <c r="F2" s="16" t="s">
        <v>32</v>
      </c>
      <c r="G2" s="17"/>
      <c r="H2" s="84" t="s">
        <v>172</v>
      </c>
      <c r="I2" s="84" t="s">
        <v>174</v>
      </c>
      <c r="J2" s="19"/>
      <c r="K2" s="20"/>
      <c r="L2" s="21"/>
      <c r="M2" s="13">
        <f>A2+1</f>
        <v>45931</v>
      </c>
      <c r="N2" s="13">
        <f>M2</f>
        <v>45931</v>
      </c>
      <c r="O2" s="13">
        <f>N2</f>
        <v>45931</v>
      </c>
      <c r="P2" s="18">
        <f>Montos!H6</f>
        <v>330673</v>
      </c>
      <c r="Q2" s="18"/>
      <c r="V2">
        <v>1</v>
      </c>
      <c r="W2" t="s">
        <v>33</v>
      </c>
      <c r="Y2" t="s">
        <v>33</v>
      </c>
      <c r="Z2" t="s">
        <v>34</v>
      </c>
      <c r="AA2">
        <v>1</v>
      </c>
      <c r="AC2" s="15"/>
    </row>
    <row r="3" spans="1:31" x14ac:dyDescent="0.35">
      <c r="A3" s="13">
        <f>A2</f>
        <v>45930</v>
      </c>
      <c r="B3">
        <v>1</v>
      </c>
      <c r="D3" s="14" t="s">
        <v>31</v>
      </c>
      <c r="E3" s="15" t="s">
        <v>32</v>
      </c>
      <c r="F3" s="16" t="s">
        <v>32</v>
      </c>
      <c r="G3" s="17"/>
      <c r="H3" s="84" t="s">
        <v>172</v>
      </c>
      <c r="I3" s="84" t="s">
        <v>173</v>
      </c>
      <c r="J3" s="19"/>
      <c r="K3" s="20">
        <v>1</v>
      </c>
      <c r="L3" s="21"/>
      <c r="M3" s="13">
        <f>Cta_Cte!M4</f>
        <v>45961</v>
      </c>
      <c r="N3" s="13">
        <f t="shared" ref="N3:O67" si="0">M3</f>
        <v>45961</v>
      </c>
      <c r="O3" s="13">
        <f t="shared" si="0"/>
        <v>45961</v>
      </c>
      <c r="P3" s="24">
        <v>6836.4965637763962</v>
      </c>
      <c r="Q3" s="18"/>
      <c r="R3" s="194"/>
      <c r="V3">
        <v>1</v>
      </c>
      <c r="W3" t="s">
        <v>33</v>
      </c>
      <c r="Y3" t="s">
        <v>33</v>
      </c>
      <c r="Z3" t="s">
        <v>34</v>
      </c>
      <c r="AA3">
        <v>1</v>
      </c>
      <c r="AC3" s="15"/>
    </row>
    <row r="4" spans="1:31" x14ac:dyDescent="0.35">
      <c r="A4" s="13">
        <f t="shared" ref="A4:A67" si="1">A3</f>
        <v>45930</v>
      </c>
      <c r="B4">
        <v>1</v>
      </c>
      <c r="D4" s="14" t="s">
        <v>31</v>
      </c>
      <c r="E4" s="15" t="s">
        <v>32</v>
      </c>
      <c r="F4" s="16" t="s">
        <v>32</v>
      </c>
      <c r="G4" s="17"/>
      <c r="H4" s="84" t="s">
        <v>172</v>
      </c>
      <c r="I4" s="84" t="s">
        <v>173</v>
      </c>
      <c r="K4" s="20">
        <f>K3+1</f>
        <v>2</v>
      </c>
      <c r="M4" s="13">
        <f>EOMONTH(M3,1)</f>
        <v>45991</v>
      </c>
      <c r="N4" s="13">
        <f t="shared" si="0"/>
        <v>45991</v>
      </c>
      <c r="O4" s="13">
        <f t="shared" si="0"/>
        <v>45991</v>
      </c>
      <c r="P4" s="24">
        <v>6775.9217023361707</v>
      </c>
      <c r="V4">
        <v>1</v>
      </c>
      <c r="W4" t="s">
        <v>33</v>
      </c>
      <c r="Y4" t="s">
        <v>33</v>
      </c>
      <c r="Z4" t="s">
        <v>34</v>
      </c>
      <c r="AA4">
        <v>1</v>
      </c>
      <c r="AC4" s="15"/>
    </row>
    <row r="5" spans="1:31" x14ac:dyDescent="0.35">
      <c r="A5" s="13">
        <f t="shared" si="1"/>
        <v>45930</v>
      </c>
      <c r="B5">
        <v>1</v>
      </c>
      <c r="D5" s="14" t="s">
        <v>31</v>
      </c>
      <c r="E5" s="15" t="s">
        <v>32</v>
      </c>
      <c r="F5" s="16" t="s">
        <v>32</v>
      </c>
      <c r="G5" s="17"/>
      <c r="H5" s="84" t="s">
        <v>172</v>
      </c>
      <c r="I5" s="84" t="s">
        <v>173</v>
      </c>
      <c r="K5" s="20">
        <f t="shared" ref="K5:K68" si="2">K4+1</f>
        <v>3</v>
      </c>
      <c r="M5" s="13">
        <f t="shared" ref="M5:M68" si="3">EOMONTH(M4,1)</f>
        <v>46022</v>
      </c>
      <c r="N5" s="13">
        <f t="shared" si="0"/>
        <v>46022</v>
      </c>
      <c r="O5" s="13">
        <f t="shared" si="0"/>
        <v>46022</v>
      </c>
      <c r="P5" s="24">
        <v>6715.8835651968839</v>
      </c>
      <c r="V5">
        <v>1</v>
      </c>
      <c r="W5" t="s">
        <v>33</v>
      </c>
      <c r="Y5" t="s">
        <v>33</v>
      </c>
      <c r="Z5" t="s">
        <v>34</v>
      </c>
      <c r="AA5">
        <v>1</v>
      </c>
      <c r="AC5" s="15"/>
    </row>
    <row r="6" spans="1:31" x14ac:dyDescent="0.35">
      <c r="A6" s="13">
        <f t="shared" si="1"/>
        <v>45930</v>
      </c>
      <c r="B6">
        <v>1</v>
      </c>
      <c r="D6" s="14" t="s">
        <v>31</v>
      </c>
      <c r="E6" s="15" t="s">
        <v>32</v>
      </c>
      <c r="F6" s="16" t="s">
        <v>32</v>
      </c>
      <c r="G6" s="17"/>
      <c r="H6" s="84" t="s">
        <v>172</v>
      </c>
      <c r="I6" s="84" t="s">
        <v>173</v>
      </c>
      <c r="K6" s="20">
        <f t="shared" si="2"/>
        <v>4</v>
      </c>
      <c r="M6" s="13">
        <f t="shared" si="3"/>
        <v>46053</v>
      </c>
      <c r="N6" s="13">
        <f t="shared" si="0"/>
        <v>46053</v>
      </c>
      <c r="O6" s="13">
        <f t="shared" si="0"/>
        <v>46053</v>
      </c>
      <c r="P6" s="24">
        <v>6656.3773967061425</v>
      </c>
      <c r="V6">
        <v>1</v>
      </c>
      <c r="W6" t="s">
        <v>33</v>
      </c>
      <c r="Y6" t="s">
        <v>33</v>
      </c>
      <c r="Z6" t="s">
        <v>34</v>
      </c>
      <c r="AA6">
        <v>1</v>
      </c>
      <c r="AC6" s="15"/>
    </row>
    <row r="7" spans="1:31" x14ac:dyDescent="0.35">
      <c r="A7" s="13">
        <f t="shared" si="1"/>
        <v>45930</v>
      </c>
      <c r="B7">
        <v>1</v>
      </c>
      <c r="D7" s="14" t="s">
        <v>31</v>
      </c>
      <c r="E7" s="15" t="s">
        <v>32</v>
      </c>
      <c r="F7" s="16" t="s">
        <v>32</v>
      </c>
      <c r="G7" s="17"/>
      <c r="H7" s="84" t="s">
        <v>172</v>
      </c>
      <c r="I7" s="84" t="s">
        <v>173</v>
      </c>
      <c r="K7" s="20">
        <f t="shared" si="2"/>
        <v>5</v>
      </c>
      <c r="M7" s="13">
        <f t="shared" si="3"/>
        <v>46081</v>
      </c>
      <c r="N7" s="13">
        <f t="shared" si="0"/>
        <v>46081</v>
      </c>
      <c r="O7" s="13">
        <f t="shared" si="0"/>
        <v>46081</v>
      </c>
      <c r="P7" s="24">
        <v>6597.398483349476</v>
      </c>
      <c r="V7">
        <v>1</v>
      </c>
      <c r="W7" t="s">
        <v>33</v>
      </c>
      <c r="Y7" t="s">
        <v>33</v>
      </c>
      <c r="Z7" t="s">
        <v>34</v>
      </c>
      <c r="AA7">
        <v>1</v>
      </c>
      <c r="AC7" s="15"/>
    </row>
    <row r="8" spans="1:31" x14ac:dyDescent="0.35">
      <c r="A8" s="13">
        <f t="shared" si="1"/>
        <v>45930</v>
      </c>
      <c r="B8">
        <v>1</v>
      </c>
      <c r="D8" s="14" t="s">
        <v>31</v>
      </c>
      <c r="E8" s="15" t="s">
        <v>32</v>
      </c>
      <c r="F8" s="16" t="s">
        <v>32</v>
      </c>
      <c r="G8" s="17"/>
      <c r="H8" s="84" t="s">
        <v>172</v>
      </c>
      <c r="I8" s="84" t="s">
        <v>173</v>
      </c>
      <c r="K8" s="20">
        <f t="shared" si="2"/>
        <v>6</v>
      </c>
      <c r="M8" s="13">
        <f t="shared" si="3"/>
        <v>46112</v>
      </c>
      <c r="N8" s="13">
        <f t="shared" si="0"/>
        <v>46112</v>
      </c>
      <c r="O8" s="13">
        <f t="shared" si="0"/>
        <v>46112</v>
      </c>
      <c r="P8" s="24">
        <v>6538.9421533760615</v>
      </c>
      <c r="V8">
        <v>1</v>
      </c>
      <c r="W8" t="s">
        <v>33</v>
      </c>
      <c r="Y8" t="s">
        <v>33</v>
      </c>
      <c r="Z8" t="s">
        <v>34</v>
      </c>
      <c r="AA8">
        <v>1</v>
      </c>
      <c r="AC8" s="15"/>
    </row>
    <row r="9" spans="1:31" x14ac:dyDescent="0.35">
      <c r="A9" s="13">
        <f t="shared" si="1"/>
        <v>45930</v>
      </c>
      <c r="B9">
        <v>1</v>
      </c>
      <c r="D9" s="14" t="s">
        <v>31</v>
      </c>
      <c r="E9" s="15" t="s">
        <v>32</v>
      </c>
      <c r="F9" s="16" t="s">
        <v>32</v>
      </c>
      <c r="G9" s="17"/>
      <c r="H9" s="84" t="s">
        <v>172</v>
      </c>
      <c r="I9" s="84" t="s">
        <v>173</v>
      </c>
      <c r="K9" s="20">
        <f t="shared" si="2"/>
        <v>7</v>
      </c>
      <c r="M9" s="13">
        <f t="shared" si="3"/>
        <v>46142</v>
      </c>
      <c r="N9" s="13">
        <f t="shared" si="0"/>
        <v>46142</v>
      </c>
      <c r="O9" s="13">
        <f t="shared" si="0"/>
        <v>46142</v>
      </c>
      <c r="P9" s="24">
        <v>6481.0037764293374</v>
      </c>
      <c r="V9">
        <v>1</v>
      </c>
      <c r="W9" t="s">
        <v>33</v>
      </c>
      <c r="Y9" t="s">
        <v>33</v>
      </c>
      <c r="Z9" t="s">
        <v>34</v>
      </c>
      <c r="AA9">
        <v>1</v>
      </c>
      <c r="AC9" s="15"/>
    </row>
    <row r="10" spans="1:31" x14ac:dyDescent="0.35">
      <c r="A10" s="13">
        <f t="shared" si="1"/>
        <v>45930</v>
      </c>
      <c r="B10">
        <v>1</v>
      </c>
      <c r="D10" s="14" t="s">
        <v>31</v>
      </c>
      <c r="E10" s="15" t="s">
        <v>32</v>
      </c>
      <c r="F10" s="16" t="s">
        <v>32</v>
      </c>
      <c r="G10" s="17"/>
      <c r="H10" s="84" t="s">
        <v>172</v>
      </c>
      <c r="I10" s="84" t="s">
        <v>173</v>
      </c>
      <c r="K10" s="20">
        <f t="shared" si="2"/>
        <v>8</v>
      </c>
      <c r="M10" s="13">
        <f t="shared" si="3"/>
        <v>46173</v>
      </c>
      <c r="N10" s="13">
        <f t="shared" si="0"/>
        <v>46173</v>
      </c>
      <c r="O10" s="13">
        <f t="shared" si="0"/>
        <v>46173</v>
      </c>
      <c r="P10" s="24">
        <v>6423.5787631806452</v>
      </c>
      <c r="V10">
        <v>1</v>
      </c>
      <c r="W10" t="s">
        <v>33</v>
      </c>
      <c r="Y10" t="s">
        <v>33</v>
      </c>
      <c r="Z10" t="s">
        <v>34</v>
      </c>
      <c r="AA10">
        <v>1</v>
      </c>
      <c r="AC10" s="15"/>
    </row>
    <row r="11" spans="1:31" x14ac:dyDescent="0.35">
      <c r="A11" s="13">
        <f t="shared" si="1"/>
        <v>45930</v>
      </c>
      <c r="B11">
        <v>1</v>
      </c>
      <c r="D11" s="14" t="s">
        <v>31</v>
      </c>
      <c r="E11" s="15" t="s">
        <v>32</v>
      </c>
      <c r="F11" s="16" t="s">
        <v>32</v>
      </c>
      <c r="G11" s="17"/>
      <c r="H11" s="84" t="s">
        <v>172</v>
      </c>
      <c r="I11" s="84" t="s">
        <v>173</v>
      </c>
      <c r="K11" s="20">
        <f t="shared" si="2"/>
        <v>9</v>
      </c>
      <c r="M11" s="13">
        <f t="shared" si="3"/>
        <v>46203</v>
      </c>
      <c r="N11" s="13">
        <f t="shared" si="0"/>
        <v>46203</v>
      </c>
      <c r="O11" s="13">
        <f t="shared" si="0"/>
        <v>46203</v>
      </c>
      <c r="P11" s="24">
        <v>6366.6625649641501</v>
      </c>
      <c r="V11">
        <v>1</v>
      </c>
      <c r="W11" t="s">
        <v>33</v>
      </c>
      <c r="Y11" t="s">
        <v>33</v>
      </c>
      <c r="Z11" t="s">
        <v>34</v>
      </c>
      <c r="AA11">
        <v>1</v>
      </c>
      <c r="AC11" s="15"/>
    </row>
    <row r="12" spans="1:31" x14ac:dyDescent="0.35">
      <c r="A12" s="13">
        <f t="shared" si="1"/>
        <v>45930</v>
      </c>
      <c r="B12">
        <v>1</v>
      </c>
      <c r="D12" s="14" t="s">
        <v>31</v>
      </c>
      <c r="E12" s="15" t="s">
        <v>32</v>
      </c>
      <c r="F12" s="16" t="s">
        <v>32</v>
      </c>
      <c r="G12" s="17"/>
      <c r="H12" s="84" t="s">
        <v>172</v>
      </c>
      <c r="I12" s="84" t="s">
        <v>173</v>
      </c>
      <c r="K12" s="20">
        <f t="shared" si="2"/>
        <v>10</v>
      </c>
      <c r="M12" s="13">
        <f t="shared" si="3"/>
        <v>46234</v>
      </c>
      <c r="N12" s="13">
        <f t="shared" si="0"/>
        <v>46234</v>
      </c>
      <c r="O12" s="13">
        <f t="shared" si="0"/>
        <v>46234</v>
      </c>
      <c r="P12" s="24">
        <v>6310.2506734183989</v>
      </c>
      <c r="V12">
        <v>1</v>
      </c>
      <c r="W12" t="s">
        <v>33</v>
      </c>
      <c r="Y12" t="s">
        <v>33</v>
      </c>
      <c r="Z12" t="s">
        <v>34</v>
      </c>
      <c r="AA12">
        <v>1</v>
      </c>
      <c r="AC12" s="15"/>
    </row>
    <row r="13" spans="1:31" x14ac:dyDescent="0.35">
      <c r="A13" s="13">
        <f t="shared" si="1"/>
        <v>45930</v>
      </c>
      <c r="B13">
        <v>1</v>
      </c>
      <c r="D13" s="14" t="s">
        <v>31</v>
      </c>
      <c r="E13" s="15" t="s">
        <v>32</v>
      </c>
      <c r="F13" s="16" t="s">
        <v>32</v>
      </c>
      <c r="G13" s="17"/>
      <c r="H13" s="84" t="s">
        <v>172</v>
      </c>
      <c r="I13" s="84" t="s">
        <v>173</v>
      </c>
      <c r="K13" s="20">
        <f t="shared" si="2"/>
        <v>11</v>
      </c>
      <c r="M13" s="13">
        <f t="shared" si="3"/>
        <v>46265</v>
      </c>
      <c r="N13" s="13">
        <f t="shared" si="0"/>
        <v>46265</v>
      </c>
      <c r="O13" s="13">
        <f t="shared" si="0"/>
        <v>46265</v>
      </c>
      <c r="P13" s="24">
        <v>6254.3386201277608</v>
      </c>
      <c r="V13">
        <v>1</v>
      </c>
      <c r="W13" t="s">
        <v>33</v>
      </c>
      <c r="Y13" t="s">
        <v>33</v>
      </c>
      <c r="Z13" t="s">
        <v>34</v>
      </c>
      <c r="AA13">
        <v>1</v>
      </c>
      <c r="AC13" s="15"/>
    </row>
    <row r="14" spans="1:31" x14ac:dyDescent="0.35">
      <c r="A14" s="13">
        <f t="shared" si="1"/>
        <v>45930</v>
      </c>
      <c r="B14">
        <v>1</v>
      </c>
      <c r="D14" s="14" t="s">
        <v>31</v>
      </c>
      <c r="E14" s="15" t="s">
        <v>32</v>
      </c>
      <c r="F14" s="16" t="s">
        <v>32</v>
      </c>
      <c r="G14" s="17"/>
      <c r="H14" s="84" t="s">
        <v>172</v>
      </c>
      <c r="I14" s="84" t="s">
        <v>173</v>
      </c>
      <c r="K14" s="20">
        <f t="shared" si="2"/>
        <v>12</v>
      </c>
      <c r="M14" s="13">
        <f t="shared" si="3"/>
        <v>46295</v>
      </c>
      <c r="N14" s="13">
        <f t="shared" si="0"/>
        <v>46295</v>
      </c>
      <c r="O14" s="13">
        <f t="shared" si="0"/>
        <v>46295</v>
      </c>
      <c r="P14" s="24">
        <v>6198.9219762693392</v>
      </c>
      <c r="V14">
        <v>1</v>
      </c>
      <c r="W14" t="s">
        <v>33</v>
      </c>
      <c r="Y14" t="s">
        <v>33</v>
      </c>
      <c r="Z14" t="s">
        <v>34</v>
      </c>
      <c r="AA14">
        <v>1</v>
      </c>
      <c r="AC14" s="15"/>
    </row>
    <row r="15" spans="1:31" x14ac:dyDescent="0.35">
      <c r="A15" s="13">
        <f t="shared" si="1"/>
        <v>45930</v>
      </c>
      <c r="B15">
        <v>1</v>
      </c>
      <c r="D15" s="14" t="s">
        <v>31</v>
      </c>
      <c r="E15" s="15" t="s">
        <v>32</v>
      </c>
      <c r="F15" s="16" t="s">
        <v>32</v>
      </c>
      <c r="G15" s="17"/>
      <c r="H15" s="84" t="s">
        <v>172</v>
      </c>
      <c r="I15" s="84" t="s">
        <v>173</v>
      </c>
      <c r="K15" s="20">
        <f t="shared" si="2"/>
        <v>13</v>
      </c>
      <c r="M15" s="13">
        <f t="shared" si="3"/>
        <v>46326</v>
      </c>
      <c r="N15" s="13">
        <f t="shared" si="0"/>
        <v>46326</v>
      </c>
      <c r="O15" s="13">
        <f t="shared" si="0"/>
        <v>46326</v>
      </c>
      <c r="P15" s="24">
        <v>6143.9963522617472</v>
      </c>
      <c r="V15">
        <v>1</v>
      </c>
      <c r="W15" t="s">
        <v>33</v>
      </c>
      <c r="Y15" t="s">
        <v>33</v>
      </c>
      <c r="Z15" t="s">
        <v>34</v>
      </c>
      <c r="AA15">
        <v>1</v>
      </c>
      <c r="AC15" s="15"/>
    </row>
    <row r="16" spans="1:31" x14ac:dyDescent="0.35">
      <c r="A16" s="13">
        <f t="shared" si="1"/>
        <v>45930</v>
      </c>
      <c r="B16">
        <v>1</v>
      </c>
      <c r="D16" s="14" t="s">
        <v>31</v>
      </c>
      <c r="E16" s="15" t="s">
        <v>32</v>
      </c>
      <c r="F16" s="16" t="s">
        <v>32</v>
      </c>
      <c r="G16" s="17"/>
      <c r="H16" s="84" t="s">
        <v>172</v>
      </c>
      <c r="I16" s="84" t="s">
        <v>173</v>
      </c>
      <c r="K16" s="20">
        <f t="shared" si="2"/>
        <v>14</v>
      </c>
      <c r="M16" s="13">
        <f t="shared" si="3"/>
        <v>46356</v>
      </c>
      <c r="N16" s="13">
        <f t="shared" si="0"/>
        <v>46356</v>
      </c>
      <c r="O16" s="13">
        <f t="shared" si="0"/>
        <v>46356</v>
      </c>
      <c r="P16" s="24">
        <v>6089.5573974177241</v>
      </c>
      <c r="V16">
        <v>1</v>
      </c>
      <c r="W16" t="s">
        <v>33</v>
      </c>
      <c r="Y16" t="s">
        <v>33</v>
      </c>
      <c r="Z16" t="s">
        <v>34</v>
      </c>
      <c r="AA16">
        <v>1</v>
      </c>
      <c r="AC16" s="15"/>
    </row>
    <row r="17" spans="1:29" x14ac:dyDescent="0.35">
      <c r="A17" s="13">
        <f t="shared" si="1"/>
        <v>45930</v>
      </c>
      <c r="B17">
        <v>1</v>
      </c>
      <c r="D17" s="14" t="s">
        <v>31</v>
      </c>
      <c r="E17" s="15" t="s">
        <v>32</v>
      </c>
      <c r="F17" s="16" t="s">
        <v>32</v>
      </c>
      <c r="G17" s="17"/>
      <c r="H17" s="84" t="s">
        <v>172</v>
      </c>
      <c r="I17" s="84" t="s">
        <v>173</v>
      </c>
      <c r="K17" s="20">
        <f t="shared" si="2"/>
        <v>15</v>
      </c>
      <c r="M17" s="13">
        <f t="shared" si="3"/>
        <v>46387</v>
      </c>
      <c r="N17" s="13">
        <f t="shared" si="0"/>
        <v>46387</v>
      </c>
      <c r="O17" s="13">
        <f t="shared" si="0"/>
        <v>46387</v>
      </c>
      <c r="P17" s="24">
        <v>6035.6007995990803</v>
      </c>
      <c r="V17">
        <v>1</v>
      </c>
      <c r="W17" t="s">
        <v>33</v>
      </c>
      <c r="Y17" t="s">
        <v>33</v>
      </c>
      <c r="Z17" t="s">
        <v>34</v>
      </c>
      <c r="AA17">
        <v>1</v>
      </c>
      <c r="AC17" s="15"/>
    </row>
    <row r="18" spans="1:29" x14ac:dyDescent="0.35">
      <c r="A18" s="13">
        <f t="shared" si="1"/>
        <v>45930</v>
      </c>
      <c r="B18">
        <v>1</v>
      </c>
      <c r="D18" s="14" t="s">
        <v>31</v>
      </c>
      <c r="E18" s="15" t="s">
        <v>32</v>
      </c>
      <c r="F18" s="16" t="s">
        <v>32</v>
      </c>
      <c r="G18" s="17"/>
      <c r="H18" s="84" t="s">
        <v>172</v>
      </c>
      <c r="I18" s="84" t="s">
        <v>173</v>
      </c>
      <c r="K18" s="20">
        <f t="shared" si="2"/>
        <v>16</v>
      </c>
      <c r="M18" s="13">
        <f t="shared" si="3"/>
        <v>46418</v>
      </c>
      <c r="N18" s="13">
        <f t="shared" si="0"/>
        <v>46418</v>
      </c>
      <c r="O18" s="13">
        <f t="shared" si="0"/>
        <v>46418</v>
      </c>
      <c r="P18" s="24">
        <v>5982.1222848753678</v>
      </c>
      <c r="V18">
        <v>1</v>
      </c>
      <c r="W18" t="s">
        <v>33</v>
      </c>
      <c r="Y18" t="s">
        <v>33</v>
      </c>
      <c r="Z18" t="s">
        <v>34</v>
      </c>
      <c r="AA18">
        <v>1</v>
      </c>
      <c r="AC18" s="15"/>
    </row>
    <row r="19" spans="1:29" x14ac:dyDescent="0.35">
      <c r="A19" s="13">
        <f t="shared" si="1"/>
        <v>45930</v>
      </c>
      <c r="B19">
        <v>1</v>
      </c>
      <c r="D19" s="14" t="s">
        <v>31</v>
      </c>
      <c r="E19" s="15" t="s">
        <v>32</v>
      </c>
      <c r="F19" s="16" t="s">
        <v>32</v>
      </c>
      <c r="G19" s="17"/>
      <c r="H19" s="84" t="s">
        <v>172</v>
      </c>
      <c r="I19" s="84" t="s">
        <v>173</v>
      </c>
      <c r="K19" s="20">
        <f t="shared" si="2"/>
        <v>17</v>
      </c>
      <c r="M19" s="13">
        <f t="shared" si="3"/>
        <v>46446</v>
      </c>
      <c r="N19" s="13">
        <f t="shared" si="0"/>
        <v>46446</v>
      </c>
      <c r="O19" s="13">
        <f t="shared" si="0"/>
        <v>46446</v>
      </c>
      <c r="P19" s="24">
        <v>5929.1176171858096</v>
      </c>
      <c r="V19">
        <v>1</v>
      </c>
      <c r="W19" t="s">
        <v>33</v>
      </c>
      <c r="Y19" t="s">
        <v>33</v>
      </c>
      <c r="Z19" t="s">
        <v>34</v>
      </c>
      <c r="AA19">
        <v>1</v>
      </c>
      <c r="AC19" s="15"/>
    </row>
    <row r="20" spans="1:29" x14ac:dyDescent="0.35">
      <c r="A20" s="13">
        <f t="shared" si="1"/>
        <v>45930</v>
      </c>
      <c r="B20">
        <v>1</v>
      </c>
      <c r="D20" s="14" t="s">
        <v>31</v>
      </c>
      <c r="E20" s="15" t="s">
        <v>32</v>
      </c>
      <c r="F20" s="16" t="s">
        <v>32</v>
      </c>
      <c r="G20" s="17"/>
      <c r="H20" s="84" t="s">
        <v>172</v>
      </c>
      <c r="I20" s="84" t="s">
        <v>173</v>
      </c>
      <c r="K20" s="20">
        <f t="shared" si="2"/>
        <v>18</v>
      </c>
      <c r="M20" s="13">
        <f t="shared" si="3"/>
        <v>46477</v>
      </c>
      <c r="N20" s="13">
        <f t="shared" si="0"/>
        <v>46477</v>
      </c>
      <c r="O20" s="13">
        <f t="shared" si="0"/>
        <v>46477</v>
      </c>
      <c r="P20" s="24">
        <v>5876.5825980025111</v>
      </c>
      <c r="V20">
        <v>1</v>
      </c>
      <c r="W20" t="s">
        <v>33</v>
      </c>
      <c r="Y20" t="s">
        <v>33</v>
      </c>
      <c r="Z20" t="s">
        <v>34</v>
      </c>
      <c r="AA20">
        <v>1</v>
      </c>
    </row>
    <row r="21" spans="1:29" x14ac:dyDescent="0.35">
      <c r="A21" s="13">
        <f t="shared" si="1"/>
        <v>45930</v>
      </c>
      <c r="B21">
        <v>1</v>
      </c>
      <c r="D21" s="14" t="s">
        <v>31</v>
      </c>
      <c r="E21" s="15" t="s">
        <v>32</v>
      </c>
      <c r="F21" s="16" t="s">
        <v>32</v>
      </c>
      <c r="G21" s="17"/>
      <c r="H21" s="84" t="s">
        <v>172</v>
      </c>
      <c r="I21" s="84" t="s">
        <v>173</v>
      </c>
      <c r="K21" s="20">
        <f t="shared" si="2"/>
        <v>19</v>
      </c>
      <c r="M21" s="13">
        <f t="shared" si="3"/>
        <v>46507</v>
      </c>
      <c r="N21" s="13">
        <f t="shared" si="0"/>
        <v>46507</v>
      </c>
      <c r="O21" s="13">
        <f t="shared" si="0"/>
        <v>46507</v>
      </c>
      <c r="P21" s="24">
        <v>5824.513065999723</v>
      </c>
      <c r="V21">
        <v>1</v>
      </c>
      <c r="W21" t="s">
        <v>33</v>
      </c>
      <c r="Y21" t="s">
        <v>33</v>
      </c>
      <c r="Z21" t="s">
        <v>34</v>
      </c>
      <c r="AA21">
        <v>1</v>
      </c>
    </row>
    <row r="22" spans="1:29" x14ac:dyDescent="0.35">
      <c r="A22" s="13">
        <f t="shared" si="1"/>
        <v>45930</v>
      </c>
      <c r="B22">
        <v>1</v>
      </c>
      <c r="D22" s="14" t="s">
        <v>31</v>
      </c>
      <c r="E22" s="15" t="s">
        <v>32</v>
      </c>
      <c r="F22" s="16" t="s">
        <v>32</v>
      </c>
      <c r="G22" s="17"/>
      <c r="H22" s="84" t="s">
        <v>172</v>
      </c>
      <c r="I22" s="84" t="s">
        <v>173</v>
      </c>
      <c r="K22" s="20">
        <f t="shared" si="2"/>
        <v>20</v>
      </c>
      <c r="M22" s="13">
        <f t="shared" si="3"/>
        <v>46538</v>
      </c>
      <c r="N22" s="13">
        <f t="shared" si="0"/>
        <v>46538</v>
      </c>
      <c r="O22" s="13">
        <f t="shared" si="0"/>
        <v>46538</v>
      </c>
      <c r="P22" s="24">
        <v>5772.9048967219424</v>
      </c>
      <c r="V22">
        <v>1</v>
      </c>
      <c r="W22" t="s">
        <v>33</v>
      </c>
      <c r="Y22" t="s">
        <v>33</v>
      </c>
      <c r="Z22" t="s">
        <v>34</v>
      </c>
      <c r="AA22">
        <v>1</v>
      </c>
    </row>
    <row r="23" spans="1:29" x14ac:dyDescent="0.35">
      <c r="A23" s="13">
        <f t="shared" si="1"/>
        <v>45930</v>
      </c>
      <c r="B23">
        <v>1</v>
      </c>
      <c r="D23" s="14" t="s">
        <v>31</v>
      </c>
      <c r="E23" s="15" t="s">
        <v>32</v>
      </c>
      <c r="F23" s="16" t="s">
        <v>32</v>
      </c>
      <c r="G23" s="17"/>
      <c r="H23" s="84" t="s">
        <v>172</v>
      </c>
      <c r="I23" s="84" t="s">
        <v>173</v>
      </c>
      <c r="K23" s="20">
        <f t="shared" si="2"/>
        <v>21</v>
      </c>
      <c r="M23" s="13">
        <f t="shared" si="3"/>
        <v>46568</v>
      </c>
      <c r="N23" s="13">
        <f t="shared" si="0"/>
        <v>46568</v>
      </c>
      <c r="O23" s="13">
        <f t="shared" si="0"/>
        <v>46568</v>
      </c>
      <c r="P23" s="24">
        <v>5721.754002259695</v>
      </c>
      <c r="V23">
        <v>1</v>
      </c>
      <c r="W23" t="s">
        <v>33</v>
      </c>
      <c r="Y23" t="s">
        <v>33</v>
      </c>
      <c r="Z23" t="s">
        <v>34</v>
      </c>
      <c r="AA23">
        <v>1</v>
      </c>
    </row>
    <row r="24" spans="1:29" x14ac:dyDescent="0.35">
      <c r="A24" s="13">
        <f t="shared" si="1"/>
        <v>45930</v>
      </c>
      <c r="B24">
        <v>1</v>
      </c>
      <c r="D24" s="14" t="s">
        <v>31</v>
      </c>
      <c r="E24" s="15" t="s">
        <v>32</v>
      </c>
      <c r="F24" s="16" t="s">
        <v>32</v>
      </c>
      <c r="G24" s="17"/>
      <c r="H24" s="84" t="s">
        <v>172</v>
      </c>
      <c r="I24" s="84" t="s">
        <v>173</v>
      </c>
      <c r="K24" s="20">
        <f t="shared" si="2"/>
        <v>22</v>
      </c>
      <c r="M24" s="13">
        <f t="shared" si="3"/>
        <v>46599</v>
      </c>
      <c r="N24" s="13">
        <f t="shared" si="0"/>
        <v>46599</v>
      </c>
      <c r="O24" s="13">
        <f t="shared" si="0"/>
        <v>46599</v>
      </c>
      <c r="P24" s="24">
        <v>5671.0563309233403</v>
      </c>
      <c r="V24">
        <v>1</v>
      </c>
      <c r="W24" t="s">
        <v>33</v>
      </c>
      <c r="Y24" t="s">
        <v>33</v>
      </c>
      <c r="Z24" t="s">
        <v>34</v>
      </c>
      <c r="AA24">
        <v>1</v>
      </c>
    </row>
    <row r="25" spans="1:29" x14ac:dyDescent="0.35">
      <c r="A25" s="13">
        <f t="shared" si="1"/>
        <v>45930</v>
      </c>
      <c r="B25">
        <v>1</v>
      </c>
      <c r="D25" s="14" t="s">
        <v>31</v>
      </c>
      <c r="E25" s="15" t="s">
        <v>32</v>
      </c>
      <c r="F25" s="16" t="s">
        <v>32</v>
      </c>
      <c r="G25" s="17"/>
      <c r="H25" s="84" t="s">
        <v>172</v>
      </c>
      <c r="I25" s="84" t="s">
        <v>173</v>
      </c>
      <c r="K25" s="20">
        <f t="shared" si="2"/>
        <v>23</v>
      </c>
      <c r="M25" s="13">
        <f t="shared" si="3"/>
        <v>46630</v>
      </c>
      <c r="N25" s="13">
        <f t="shared" si="0"/>
        <v>46630</v>
      </c>
      <c r="O25" s="13">
        <f t="shared" si="0"/>
        <v>46630</v>
      </c>
      <c r="P25" s="24">
        <v>5620.8078669243259</v>
      </c>
      <c r="V25">
        <v>1</v>
      </c>
      <c r="W25" t="s">
        <v>33</v>
      </c>
      <c r="Y25" t="s">
        <v>33</v>
      </c>
      <c r="Z25" t="s">
        <v>34</v>
      </c>
      <c r="AA25">
        <v>1</v>
      </c>
    </row>
    <row r="26" spans="1:29" x14ac:dyDescent="0.35">
      <c r="A26" s="13">
        <f t="shared" si="1"/>
        <v>45930</v>
      </c>
      <c r="B26">
        <v>1</v>
      </c>
      <c r="D26" s="14" t="s">
        <v>31</v>
      </c>
      <c r="E26" s="15" t="s">
        <v>32</v>
      </c>
      <c r="F26" s="16" t="s">
        <v>32</v>
      </c>
      <c r="G26" s="17"/>
      <c r="H26" s="84" t="s">
        <v>172</v>
      </c>
      <c r="I26" s="84" t="s">
        <v>173</v>
      </c>
      <c r="K26" s="20">
        <f t="shared" si="2"/>
        <v>24</v>
      </c>
      <c r="M26" s="13">
        <f t="shared" si="3"/>
        <v>46660</v>
      </c>
      <c r="N26" s="13">
        <f t="shared" si="0"/>
        <v>46660</v>
      </c>
      <c r="O26" s="13">
        <f t="shared" si="0"/>
        <v>46660</v>
      </c>
      <c r="P26" s="24">
        <v>5571.0046300551621</v>
      </c>
      <c r="V26">
        <v>1</v>
      </c>
      <c r="W26" t="s">
        <v>33</v>
      </c>
      <c r="Y26" t="s">
        <v>33</v>
      </c>
      <c r="Z26" t="s">
        <v>34</v>
      </c>
      <c r="AA26">
        <v>1</v>
      </c>
    </row>
    <row r="27" spans="1:29" x14ac:dyDescent="0.35">
      <c r="A27" s="13">
        <f t="shared" si="1"/>
        <v>45930</v>
      </c>
      <c r="B27">
        <v>1</v>
      </c>
      <c r="D27" s="14" t="s">
        <v>31</v>
      </c>
      <c r="E27" s="15" t="s">
        <v>32</v>
      </c>
      <c r="F27" s="16" t="s">
        <v>32</v>
      </c>
      <c r="G27" s="17"/>
      <c r="H27" s="84" t="s">
        <v>172</v>
      </c>
      <c r="I27" s="84" t="s">
        <v>173</v>
      </c>
      <c r="K27" s="20">
        <f t="shared" si="2"/>
        <v>25</v>
      </c>
      <c r="M27" s="13">
        <f t="shared" si="3"/>
        <v>46691</v>
      </c>
      <c r="N27" s="13">
        <f t="shared" si="0"/>
        <v>46691</v>
      </c>
      <c r="O27" s="13">
        <f t="shared" si="0"/>
        <v>46691</v>
      </c>
      <c r="P27" s="24">
        <v>5521.6426753755659</v>
      </c>
      <c r="V27">
        <v>1</v>
      </c>
      <c r="W27" t="s">
        <v>33</v>
      </c>
      <c r="Y27" t="s">
        <v>33</v>
      </c>
      <c r="Z27" t="s">
        <v>34</v>
      </c>
      <c r="AA27">
        <v>1</v>
      </c>
    </row>
    <row r="28" spans="1:29" x14ac:dyDescent="0.35">
      <c r="A28" s="13">
        <f t="shared" si="1"/>
        <v>45930</v>
      </c>
      <c r="B28">
        <v>1</v>
      </c>
      <c r="D28" s="14" t="s">
        <v>31</v>
      </c>
      <c r="E28" s="15" t="s">
        <v>32</v>
      </c>
      <c r="F28" s="16" t="s">
        <v>32</v>
      </c>
      <c r="G28" s="17"/>
      <c r="H28" s="84" t="s">
        <v>172</v>
      </c>
      <c r="I28" s="84" t="s">
        <v>173</v>
      </c>
      <c r="K28" s="20">
        <f t="shared" si="2"/>
        <v>26</v>
      </c>
      <c r="M28" s="13">
        <f t="shared" si="3"/>
        <v>46721</v>
      </c>
      <c r="N28" s="13">
        <f t="shared" si="0"/>
        <v>46721</v>
      </c>
      <c r="O28" s="13">
        <f t="shared" si="0"/>
        <v>46721</v>
      </c>
      <c r="P28" s="24">
        <v>5472.7180928993039</v>
      </c>
      <c r="V28">
        <v>1</v>
      </c>
      <c r="W28" t="s">
        <v>33</v>
      </c>
      <c r="Y28" t="s">
        <v>33</v>
      </c>
      <c r="Z28" t="s">
        <v>34</v>
      </c>
      <c r="AA28">
        <v>1</v>
      </c>
    </row>
    <row r="29" spans="1:29" x14ac:dyDescent="0.35">
      <c r="A29" s="13">
        <f t="shared" si="1"/>
        <v>45930</v>
      </c>
      <c r="B29">
        <v>1</v>
      </c>
      <c r="D29" s="14" t="s">
        <v>31</v>
      </c>
      <c r="E29" s="15" t="s">
        <v>32</v>
      </c>
      <c r="F29" s="16" t="s">
        <v>32</v>
      </c>
      <c r="G29" s="17"/>
      <c r="H29" s="84" t="s">
        <v>172</v>
      </c>
      <c r="I29" s="84" t="s">
        <v>173</v>
      </c>
      <c r="K29" s="20">
        <f t="shared" si="2"/>
        <v>27</v>
      </c>
      <c r="M29" s="13">
        <f t="shared" si="3"/>
        <v>46752</v>
      </c>
      <c r="N29" s="13">
        <f t="shared" si="0"/>
        <v>46752</v>
      </c>
      <c r="O29" s="13">
        <f t="shared" si="0"/>
        <v>46752</v>
      </c>
      <c r="P29" s="24">
        <v>5424.2270072846441</v>
      </c>
      <c r="V29">
        <v>1</v>
      </c>
      <c r="W29" t="s">
        <v>33</v>
      </c>
      <c r="Y29" t="s">
        <v>33</v>
      </c>
      <c r="Z29" t="s">
        <v>34</v>
      </c>
      <c r="AA29">
        <v>1</v>
      </c>
    </row>
    <row r="30" spans="1:29" x14ac:dyDescent="0.35">
      <c r="A30" s="13">
        <f t="shared" si="1"/>
        <v>45930</v>
      </c>
      <c r="B30">
        <v>1</v>
      </c>
      <c r="D30" s="14" t="s">
        <v>31</v>
      </c>
      <c r="E30" s="15" t="s">
        <v>32</v>
      </c>
      <c r="F30" s="16" t="s">
        <v>32</v>
      </c>
      <c r="G30" s="17"/>
      <c r="H30" s="84" t="s">
        <v>172</v>
      </c>
      <c r="I30" s="84" t="s">
        <v>173</v>
      </c>
      <c r="K30" s="20">
        <f t="shared" si="2"/>
        <v>28</v>
      </c>
      <c r="M30" s="13">
        <f t="shared" si="3"/>
        <v>46783</v>
      </c>
      <c r="N30" s="13">
        <f t="shared" si="0"/>
        <v>46783</v>
      </c>
      <c r="O30" s="13">
        <f t="shared" si="0"/>
        <v>46783</v>
      </c>
      <c r="P30" s="24">
        <v>5376.1655775273684</v>
      </c>
      <c r="V30">
        <v>1</v>
      </c>
      <c r="W30" t="s">
        <v>33</v>
      </c>
      <c r="Y30" t="s">
        <v>33</v>
      </c>
      <c r="Z30" t="s">
        <v>34</v>
      </c>
      <c r="AA30">
        <v>1</v>
      </c>
    </row>
    <row r="31" spans="1:29" x14ac:dyDescent="0.35">
      <c r="A31" s="13">
        <f t="shared" si="1"/>
        <v>45930</v>
      </c>
      <c r="B31">
        <v>1</v>
      </c>
      <c r="D31" s="14" t="s">
        <v>31</v>
      </c>
      <c r="E31" s="15" t="s">
        <v>32</v>
      </c>
      <c r="F31" s="16" t="s">
        <v>32</v>
      </c>
      <c r="G31" s="17"/>
      <c r="H31" s="84" t="s">
        <v>172</v>
      </c>
      <c r="I31" s="84" t="s">
        <v>173</v>
      </c>
      <c r="K31" s="20">
        <f t="shared" si="2"/>
        <v>29</v>
      </c>
      <c r="M31" s="13">
        <f t="shared" si="3"/>
        <v>46812</v>
      </c>
      <c r="N31" s="13">
        <f t="shared" si="0"/>
        <v>46812</v>
      </c>
      <c r="O31" s="13">
        <f t="shared" si="0"/>
        <v>46812</v>
      </c>
      <c r="P31" s="24">
        <v>5328.5299966564635</v>
      </c>
      <c r="V31">
        <v>1</v>
      </c>
      <c r="W31" t="s">
        <v>33</v>
      </c>
      <c r="Y31" t="s">
        <v>33</v>
      </c>
      <c r="Z31" t="s">
        <v>34</v>
      </c>
      <c r="AA31">
        <v>1</v>
      </c>
    </row>
    <row r="32" spans="1:29" x14ac:dyDescent="0.35">
      <c r="A32" s="13">
        <f t="shared" si="1"/>
        <v>45930</v>
      </c>
      <c r="B32">
        <v>1</v>
      </c>
      <c r="D32" s="14" t="s">
        <v>31</v>
      </c>
      <c r="E32" s="15" t="s">
        <v>32</v>
      </c>
      <c r="F32" s="16" t="s">
        <v>32</v>
      </c>
      <c r="G32" s="17"/>
      <c r="H32" s="84" t="s">
        <v>172</v>
      </c>
      <c r="I32" s="84" t="s">
        <v>173</v>
      </c>
      <c r="K32" s="20">
        <f t="shared" si="2"/>
        <v>30</v>
      </c>
      <c r="M32" s="13">
        <f t="shared" si="3"/>
        <v>46843</v>
      </c>
      <c r="N32" s="13">
        <f t="shared" si="0"/>
        <v>46843</v>
      </c>
      <c r="O32" s="13">
        <f t="shared" si="0"/>
        <v>46843</v>
      </c>
      <c r="P32" s="24">
        <v>5281.3164914323715</v>
      </c>
      <c r="V32">
        <v>1</v>
      </c>
      <c r="W32" t="s">
        <v>33</v>
      </c>
      <c r="Y32" t="s">
        <v>33</v>
      </c>
      <c r="Z32" t="s">
        <v>34</v>
      </c>
      <c r="AA32">
        <v>1</v>
      </c>
    </row>
    <row r="33" spans="1:27" x14ac:dyDescent="0.35">
      <c r="A33" s="13">
        <f t="shared" si="1"/>
        <v>45930</v>
      </c>
      <c r="B33">
        <v>1</v>
      </c>
      <c r="D33" s="14" t="s">
        <v>31</v>
      </c>
      <c r="E33" s="15" t="s">
        <v>32</v>
      </c>
      <c r="F33" s="16" t="s">
        <v>32</v>
      </c>
      <c r="G33" s="17"/>
      <c r="H33" s="84" t="s">
        <v>172</v>
      </c>
      <c r="I33" s="84" t="s">
        <v>173</v>
      </c>
      <c r="K33" s="20">
        <f t="shared" si="2"/>
        <v>31</v>
      </c>
      <c r="M33" s="13">
        <f t="shared" si="3"/>
        <v>46873</v>
      </c>
      <c r="N33" s="13">
        <f t="shared" si="0"/>
        <v>46873</v>
      </c>
      <c r="O33" s="13">
        <f t="shared" si="0"/>
        <v>46873</v>
      </c>
      <c r="P33" s="24">
        <v>5234.5213220490841</v>
      </c>
      <c r="V33">
        <v>1</v>
      </c>
      <c r="W33" t="s">
        <v>33</v>
      </c>
      <c r="Y33" t="s">
        <v>33</v>
      </c>
      <c r="Z33" t="s">
        <v>34</v>
      </c>
      <c r="AA33">
        <v>1</v>
      </c>
    </row>
    <row r="34" spans="1:27" x14ac:dyDescent="0.35">
      <c r="A34" s="13">
        <f t="shared" si="1"/>
        <v>45930</v>
      </c>
      <c r="B34">
        <v>1</v>
      </c>
      <c r="D34" s="14" t="s">
        <v>31</v>
      </c>
      <c r="E34" s="15" t="s">
        <v>32</v>
      </c>
      <c r="F34" s="16" t="s">
        <v>32</v>
      </c>
      <c r="G34" s="17"/>
      <c r="H34" s="84" t="s">
        <v>172</v>
      </c>
      <c r="I34" s="84" t="s">
        <v>173</v>
      </c>
      <c r="K34" s="20">
        <f t="shared" si="2"/>
        <v>32</v>
      </c>
      <c r="M34" s="13">
        <f t="shared" si="3"/>
        <v>46904</v>
      </c>
      <c r="N34" s="13">
        <f t="shared" si="0"/>
        <v>46904</v>
      </c>
      <c r="O34" s="13">
        <f t="shared" si="0"/>
        <v>46904</v>
      </c>
      <c r="P34" s="24">
        <v>5188.1407818365842</v>
      </c>
      <c r="V34">
        <v>1</v>
      </c>
      <c r="W34" t="s">
        <v>33</v>
      </c>
      <c r="Y34" t="s">
        <v>33</v>
      </c>
      <c r="Z34" t="s">
        <v>34</v>
      </c>
      <c r="AA34">
        <v>1</v>
      </c>
    </row>
    <row r="35" spans="1:27" x14ac:dyDescent="0.35">
      <c r="A35" s="13">
        <f t="shared" si="1"/>
        <v>45930</v>
      </c>
      <c r="B35">
        <v>1</v>
      </c>
      <c r="D35" s="14" t="s">
        <v>31</v>
      </c>
      <c r="E35" s="15" t="s">
        <v>32</v>
      </c>
      <c r="F35" s="16" t="s">
        <v>32</v>
      </c>
      <c r="G35" s="17"/>
      <c r="H35" s="84" t="s">
        <v>172</v>
      </c>
      <c r="I35" s="84" t="s">
        <v>173</v>
      </c>
      <c r="K35" s="20">
        <f t="shared" si="2"/>
        <v>33</v>
      </c>
      <c r="M35" s="13">
        <f t="shared" si="3"/>
        <v>46934</v>
      </c>
      <c r="N35" s="13">
        <f t="shared" si="0"/>
        <v>46934</v>
      </c>
      <c r="O35" s="13">
        <f t="shared" si="0"/>
        <v>46934</v>
      </c>
      <c r="P35" s="24">
        <v>5142.1711969682947</v>
      </c>
      <c r="V35">
        <v>1</v>
      </c>
      <c r="W35" t="s">
        <v>33</v>
      </c>
      <c r="Y35" t="s">
        <v>33</v>
      </c>
      <c r="Z35" t="s">
        <v>34</v>
      </c>
      <c r="AA35">
        <v>1</v>
      </c>
    </row>
    <row r="36" spans="1:27" x14ac:dyDescent="0.35">
      <c r="A36" s="13">
        <f t="shared" si="1"/>
        <v>45930</v>
      </c>
      <c r="B36">
        <v>1</v>
      </c>
      <c r="D36" s="14" t="s">
        <v>31</v>
      </c>
      <c r="E36" s="15" t="s">
        <v>32</v>
      </c>
      <c r="F36" s="16" t="s">
        <v>32</v>
      </c>
      <c r="G36" s="17"/>
      <c r="H36" s="84" t="s">
        <v>172</v>
      </c>
      <c r="I36" s="84" t="s">
        <v>173</v>
      </c>
      <c r="K36" s="20">
        <f t="shared" si="2"/>
        <v>34</v>
      </c>
      <c r="M36" s="13">
        <f t="shared" si="3"/>
        <v>46965</v>
      </c>
      <c r="N36" s="13">
        <f t="shared" si="0"/>
        <v>46965</v>
      </c>
      <c r="O36" s="13">
        <f t="shared" si="0"/>
        <v>46965</v>
      </c>
      <c r="P36" s="24">
        <v>5096.6089261686429</v>
      </c>
      <c r="V36">
        <v>1</v>
      </c>
      <c r="W36" t="s">
        <v>33</v>
      </c>
      <c r="Y36" t="s">
        <v>33</v>
      </c>
      <c r="Z36" t="s">
        <v>34</v>
      </c>
      <c r="AA36">
        <v>1</v>
      </c>
    </row>
    <row r="37" spans="1:27" x14ac:dyDescent="0.35">
      <c r="A37" s="13">
        <f t="shared" si="1"/>
        <v>45930</v>
      </c>
      <c r="B37">
        <v>1</v>
      </c>
      <c r="D37" s="14" t="s">
        <v>31</v>
      </c>
      <c r="E37" s="15" t="s">
        <v>32</v>
      </c>
      <c r="F37" s="16" t="s">
        <v>32</v>
      </c>
      <c r="G37" s="17"/>
      <c r="H37" s="84" t="s">
        <v>172</v>
      </c>
      <c r="I37" s="84" t="s">
        <v>173</v>
      </c>
      <c r="K37" s="20">
        <f t="shared" si="2"/>
        <v>35</v>
      </c>
      <c r="M37" s="13">
        <f t="shared" si="3"/>
        <v>46996</v>
      </c>
      <c r="N37" s="13">
        <f t="shared" si="0"/>
        <v>46996</v>
      </c>
      <c r="O37" s="13">
        <f t="shared" si="0"/>
        <v>46996</v>
      </c>
      <c r="P37" s="24">
        <v>5051.4503604271449</v>
      </c>
      <c r="V37">
        <v>1</v>
      </c>
      <c r="W37" t="s">
        <v>33</v>
      </c>
      <c r="Y37" t="s">
        <v>33</v>
      </c>
      <c r="Z37" t="s">
        <v>34</v>
      </c>
      <c r="AA37">
        <v>1</v>
      </c>
    </row>
    <row r="38" spans="1:27" x14ac:dyDescent="0.35">
      <c r="A38" s="13">
        <f t="shared" si="1"/>
        <v>45930</v>
      </c>
      <c r="B38">
        <v>1</v>
      </c>
      <c r="D38" s="14" t="s">
        <v>31</v>
      </c>
      <c r="E38" s="15" t="s">
        <v>32</v>
      </c>
      <c r="F38" s="16" t="s">
        <v>32</v>
      </c>
      <c r="G38" s="17"/>
      <c r="H38" s="84" t="s">
        <v>172</v>
      </c>
      <c r="I38" s="84" t="s">
        <v>173</v>
      </c>
      <c r="K38" s="20">
        <f t="shared" si="2"/>
        <v>36</v>
      </c>
      <c r="M38" s="13">
        <f t="shared" si="3"/>
        <v>47026</v>
      </c>
      <c r="N38" s="13">
        <f t="shared" si="0"/>
        <v>47026</v>
      </c>
      <c r="O38" s="13">
        <f t="shared" si="0"/>
        <v>47026</v>
      </c>
      <c r="P38" s="24">
        <v>5006.6919227099279</v>
      </c>
      <c r="V38">
        <v>1</v>
      </c>
      <c r="W38" t="s">
        <v>33</v>
      </c>
      <c r="Y38" t="s">
        <v>33</v>
      </c>
      <c r="Z38" t="s">
        <v>34</v>
      </c>
      <c r="AA38">
        <v>1</v>
      </c>
    </row>
    <row r="39" spans="1:27" x14ac:dyDescent="0.35">
      <c r="A39" s="13">
        <f t="shared" si="1"/>
        <v>45930</v>
      </c>
      <c r="B39">
        <v>1</v>
      </c>
      <c r="D39" s="14" t="s">
        <v>31</v>
      </c>
      <c r="E39" s="15" t="s">
        <v>32</v>
      </c>
      <c r="F39" s="16" t="s">
        <v>32</v>
      </c>
      <c r="G39" s="17"/>
      <c r="H39" s="84" t="s">
        <v>172</v>
      </c>
      <c r="I39" s="84" t="s">
        <v>173</v>
      </c>
      <c r="K39" s="20">
        <f t="shared" si="2"/>
        <v>37</v>
      </c>
      <c r="M39" s="13">
        <f t="shared" si="3"/>
        <v>47057</v>
      </c>
      <c r="N39" s="13">
        <f t="shared" si="0"/>
        <v>47057</v>
      </c>
      <c r="O39" s="13">
        <f t="shared" si="0"/>
        <v>47057</v>
      </c>
      <c r="P39" s="24">
        <v>4962.3300676773069</v>
      </c>
      <c r="V39">
        <v>1</v>
      </c>
      <c r="W39" t="s">
        <v>33</v>
      </c>
      <c r="Y39" t="s">
        <v>33</v>
      </c>
      <c r="Z39" t="s">
        <v>34</v>
      </c>
      <c r="AA39">
        <v>1</v>
      </c>
    </row>
    <row r="40" spans="1:27" x14ac:dyDescent="0.35">
      <c r="A40" s="13">
        <f t="shared" si="1"/>
        <v>45930</v>
      </c>
      <c r="B40">
        <v>1</v>
      </c>
      <c r="D40" s="14" t="s">
        <v>31</v>
      </c>
      <c r="E40" s="15" t="s">
        <v>32</v>
      </c>
      <c r="F40" s="16" t="s">
        <v>32</v>
      </c>
      <c r="G40" s="17"/>
      <c r="H40" s="84" t="s">
        <v>172</v>
      </c>
      <c r="I40" s="84" t="s">
        <v>173</v>
      </c>
      <c r="K40" s="20">
        <f t="shared" si="2"/>
        <v>38</v>
      </c>
      <c r="M40" s="13">
        <f t="shared" si="3"/>
        <v>47087</v>
      </c>
      <c r="N40" s="13">
        <f t="shared" si="0"/>
        <v>47087</v>
      </c>
      <c r="O40" s="13">
        <f t="shared" si="0"/>
        <v>47087</v>
      </c>
      <c r="P40" s="24">
        <v>4918.3612814042717</v>
      </c>
      <c r="V40">
        <v>1</v>
      </c>
      <c r="W40" t="s">
        <v>33</v>
      </c>
      <c r="Y40" t="s">
        <v>33</v>
      </c>
      <c r="Z40" t="s">
        <v>34</v>
      </c>
      <c r="AA40">
        <v>1</v>
      </c>
    </row>
    <row r="41" spans="1:27" x14ac:dyDescent="0.35">
      <c r="A41" s="13">
        <f t="shared" si="1"/>
        <v>45930</v>
      </c>
      <c r="B41">
        <v>1</v>
      </c>
      <c r="D41" s="14" t="s">
        <v>31</v>
      </c>
      <c r="E41" s="15" t="s">
        <v>32</v>
      </c>
      <c r="F41" s="16" t="s">
        <v>32</v>
      </c>
      <c r="G41" s="17"/>
      <c r="H41" s="84" t="s">
        <v>172</v>
      </c>
      <c r="I41" s="84" t="s">
        <v>173</v>
      </c>
      <c r="K41" s="20">
        <f t="shared" si="2"/>
        <v>39</v>
      </c>
      <c r="M41" s="13">
        <f t="shared" si="3"/>
        <v>47118</v>
      </c>
      <c r="N41" s="13">
        <f t="shared" si="0"/>
        <v>47118</v>
      </c>
      <c r="O41" s="13">
        <f t="shared" si="0"/>
        <v>47118</v>
      </c>
      <c r="P41" s="24">
        <v>4874.7820810996927</v>
      </c>
      <c r="V41">
        <v>1</v>
      </c>
      <c r="W41" t="s">
        <v>33</v>
      </c>
      <c r="Y41" t="s">
        <v>33</v>
      </c>
      <c r="Z41" t="s">
        <v>34</v>
      </c>
      <c r="AA41">
        <v>1</v>
      </c>
    </row>
    <row r="42" spans="1:27" x14ac:dyDescent="0.35">
      <c r="A42" s="13">
        <f t="shared" si="1"/>
        <v>45930</v>
      </c>
      <c r="B42">
        <v>1</v>
      </c>
      <c r="D42" s="14" t="s">
        <v>31</v>
      </c>
      <c r="E42" s="15" t="s">
        <v>32</v>
      </c>
      <c r="F42" s="16" t="s">
        <v>32</v>
      </c>
      <c r="G42" s="17"/>
      <c r="H42" s="84" t="s">
        <v>172</v>
      </c>
      <c r="I42" s="84" t="s">
        <v>173</v>
      </c>
      <c r="K42" s="20">
        <f t="shared" si="2"/>
        <v>40</v>
      </c>
      <c r="M42" s="13">
        <f t="shared" si="3"/>
        <v>47149</v>
      </c>
      <c r="N42" s="13">
        <f t="shared" si="0"/>
        <v>47149</v>
      </c>
      <c r="O42" s="13">
        <f t="shared" si="0"/>
        <v>47149</v>
      </c>
      <c r="P42" s="24">
        <v>4831.5890148327453</v>
      </c>
      <c r="V42">
        <v>1</v>
      </c>
      <c r="W42" t="s">
        <v>33</v>
      </c>
      <c r="Y42" t="s">
        <v>33</v>
      </c>
      <c r="Z42" t="s">
        <v>34</v>
      </c>
      <c r="AA42">
        <v>1</v>
      </c>
    </row>
    <row r="43" spans="1:27" x14ac:dyDescent="0.35">
      <c r="A43" s="13">
        <f t="shared" si="1"/>
        <v>45930</v>
      </c>
      <c r="B43">
        <v>1</v>
      </c>
      <c r="D43" s="14" t="s">
        <v>31</v>
      </c>
      <c r="E43" s="15" t="s">
        <v>32</v>
      </c>
      <c r="F43" s="16" t="s">
        <v>32</v>
      </c>
      <c r="G43" s="17"/>
      <c r="H43" s="84" t="s">
        <v>172</v>
      </c>
      <c r="I43" s="84" t="s">
        <v>173</v>
      </c>
      <c r="K43" s="20">
        <f t="shared" si="2"/>
        <v>41</v>
      </c>
      <c r="M43" s="13">
        <f t="shared" si="3"/>
        <v>47177</v>
      </c>
      <c r="N43" s="13">
        <f t="shared" si="0"/>
        <v>47177</v>
      </c>
      <c r="O43" s="13">
        <f t="shared" si="0"/>
        <v>47177</v>
      </c>
      <c r="P43" s="24">
        <v>4788.7786612575874</v>
      </c>
      <c r="V43">
        <v>1</v>
      </c>
      <c r="W43" t="s">
        <v>33</v>
      </c>
      <c r="Y43" t="s">
        <v>33</v>
      </c>
      <c r="Z43" t="s">
        <v>34</v>
      </c>
      <c r="AA43">
        <v>1</v>
      </c>
    </row>
    <row r="44" spans="1:27" x14ac:dyDescent="0.35">
      <c r="A44" s="13">
        <f t="shared" si="1"/>
        <v>45930</v>
      </c>
      <c r="B44">
        <v>1</v>
      </c>
      <c r="D44" s="14" t="s">
        <v>31</v>
      </c>
      <c r="E44" s="15" t="s">
        <v>32</v>
      </c>
      <c r="F44" s="16" t="s">
        <v>32</v>
      </c>
      <c r="G44" s="17"/>
      <c r="H44" s="84" t="s">
        <v>172</v>
      </c>
      <c r="I44" s="84" t="s">
        <v>173</v>
      </c>
      <c r="K44" s="20">
        <f t="shared" si="2"/>
        <v>42</v>
      </c>
      <c r="M44" s="13">
        <f t="shared" si="3"/>
        <v>47208</v>
      </c>
      <c r="N44" s="13">
        <f t="shared" si="0"/>
        <v>47208</v>
      </c>
      <c r="O44" s="13">
        <f t="shared" si="0"/>
        <v>47208</v>
      </c>
      <c r="P44" s="24">
        <v>4746.3476293444401</v>
      </c>
      <c r="V44">
        <v>1</v>
      </c>
      <c r="W44" t="s">
        <v>33</v>
      </c>
      <c r="Y44" t="s">
        <v>33</v>
      </c>
      <c r="Z44" t="s">
        <v>34</v>
      </c>
      <c r="AA44">
        <v>1</v>
      </c>
    </row>
    <row r="45" spans="1:27" x14ac:dyDescent="0.35">
      <c r="A45" s="13">
        <f t="shared" si="1"/>
        <v>45930</v>
      </c>
      <c r="B45">
        <v>1</v>
      </c>
      <c r="D45" s="14" t="s">
        <v>31</v>
      </c>
      <c r="E45" s="15" t="s">
        <v>32</v>
      </c>
      <c r="F45" s="16" t="s">
        <v>32</v>
      </c>
      <c r="G45" s="17"/>
      <c r="H45" s="84" t="s">
        <v>172</v>
      </c>
      <c r="I45" s="84" t="s">
        <v>173</v>
      </c>
      <c r="K45" s="20">
        <f t="shared" si="2"/>
        <v>43</v>
      </c>
      <c r="M45" s="13">
        <f t="shared" si="3"/>
        <v>47238</v>
      </c>
      <c r="N45" s="13">
        <f t="shared" si="0"/>
        <v>47238</v>
      </c>
      <c r="O45" s="13">
        <f t="shared" si="0"/>
        <v>47238</v>
      </c>
      <c r="P45" s="24">
        <v>4704.29255810834</v>
      </c>
      <c r="V45">
        <v>1</v>
      </c>
      <c r="W45" t="s">
        <v>33</v>
      </c>
      <c r="Y45" t="s">
        <v>33</v>
      </c>
      <c r="Z45" t="s">
        <v>34</v>
      </c>
      <c r="AA45">
        <v>1</v>
      </c>
    </row>
    <row r="46" spans="1:27" x14ac:dyDescent="0.35">
      <c r="A46" s="13">
        <f t="shared" si="1"/>
        <v>45930</v>
      </c>
      <c r="B46">
        <v>1</v>
      </c>
      <c r="D46" s="14" t="s">
        <v>31</v>
      </c>
      <c r="E46" s="15" t="s">
        <v>32</v>
      </c>
      <c r="F46" s="16" t="s">
        <v>32</v>
      </c>
      <c r="G46" s="17"/>
      <c r="H46" s="84" t="s">
        <v>172</v>
      </c>
      <c r="I46" s="84" t="s">
        <v>173</v>
      </c>
      <c r="K46" s="20">
        <f t="shared" si="2"/>
        <v>44</v>
      </c>
      <c r="M46" s="13">
        <f t="shared" si="3"/>
        <v>47269</v>
      </c>
      <c r="N46" s="13">
        <f t="shared" si="0"/>
        <v>47269</v>
      </c>
      <c r="O46" s="13">
        <f t="shared" si="0"/>
        <v>47269</v>
      </c>
      <c r="P46" s="24">
        <v>4662.6101163455169</v>
      </c>
      <c r="V46">
        <v>1</v>
      </c>
      <c r="W46" t="s">
        <v>33</v>
      </c>
      <c r="Y46" t="s">
        <v>33</v>
      </c>
      <c r="Z46" t="s">
        <v>34</v>
      </c>
      <c r="AA46">
        <v>1</v>
      </c>
    </row>
    <row r="47" spans="1:27" x14ac:dyDescent="0.35">
      <c r="A47" s="13">
        <f t="shared" si="1"/>
        <v>45930</v>
      </c>
      <c r="B47">
        <v>1</v>
      </c>
      <c r="D47" s="14" t="s">
        <v>31</v>
      </c>
      <c r="E47" s="15" t="s">
        <v>32</v>
      </c>
      <c r="F47" s="16" t="s">
        <v>32</v>
      </c>
      <c r="G47" s="17"/>
      <c r="H47" s="84" t="s">
        <v>172</v>
      </c>
      <c r="I47" s="84" t="s">
        <v>173</v>
      </c>
      <c r="K47" s="20">
        <f t="shared" si="2"/>
        <v>45</v>
      </c>
      <c r="M47" s="13">
        <f t="shared" si="3"/>
        <v>47299</v>
      </c>
      <c r="N47" s="13">
        <f t="shared" si="0"/>
        <v>47299</v>
      </c>
      <c r="O47" s="13">
        <f t="shared" si="0"/>
        <v>47299</v>
      </c>
      <c r="P47" s="24">
        <v>4621.2970023678499</v>
      </c>
      <c r="V47">
        <v>1</v>
      </c>
      <c r="W47" t="s">
        <v>33</v>
      </c>
      <c r="Y47" t="s">
        <v>33</v>
      </c>
      <c r="Z47" t="s">
        <v>34</v>
      </c>
      <c r="AA47">
        <v>1</v>
      </c>
    </row>
    <row r="48" spans="1:27" x14ac:dyDescent="0.35">
      <c r="A48" s="13">
        <f t="shared" si="1"/>
        <v>45930</v>
      </c>
      <c r="B48">
        <v>1</v>
      </c>
      <c r="D48" s="14" t="s">
        <v>31</v>
      </c>
      <c r="E48" s="15" t="s">
        <v>32</v>
      </c>
      <c r="F48" s="16" t="s">
        <v>32</v>
      </c>
      <c r="G48" s="17"/>
      <c r="H48" s="84" t="s">
        <v>172</v>
      </c>
      <c r="I48" s="84" t="s">
        <v>173</v>
      </c>
      <c r="K48" s="20">
        <f t="shared" si="2"/>
        <v>46</v>
      </c>
      <c r="M48" s="13">
        <f t="shared" si="3"/>
        <v>47330</v>
      </c>
      <c r="N48" s="13">
        <f t="shared" si="0"/>
        <v>47330</v>
      </c>
      <c r="O48" s="13">
        <f t="shared" si="0"/>
        <v>47330</v>
      </c>
      <c r="P48" s="24">
        <v>4580.3499437419814</v>
      </c>
      <c r="V48">
        <v>1</v>
      </c>
      <c r="W48" t="s">
        <v>33</v>
      </c>
      <c r="Y48" t="s">
        <v>33</v>
      </c>
      <c r="Z48" t="s">
        <v>34</v>
      </c>
      <c r="AA48">
        <v>1</v>
      </c>
    </row>
    <row r="49" spans="1:27" x14ac:dyDescent="0.35">
      <c r="A49" s="13">
        <f t="shared" si="1"/>
        <v>45930</v>
      </c>
      <c r="B49">
        <v>1</v>
      </c>
      <c r="D49" s="14" t="s">
        <v>31</v>
      </c>
      <c r="E49" s="15" t="s">
        <v>32</v>
      </c>
      <c r="F49" s="16" t="s">
        <v>32</v>
      </c>
      <c r="G49" s="17"/>
      <c r="H49" s="84" t="s">
        <v>172</v>
      </c>
      <c r="I49" s="84" t="s">
        <v>173</v>
      </c>
      <c r="K49" s="20">
        <f t="shared" si="2"/>
        <v>47</v>
      </c>
      <c r="M49" s="13">
        <f t="shared" si="3"/>
        <v>47361</v>
      </c>
      <c r="N49" s="13">
        <f t="shared" si="0"/>
        <v>47361</v>
      </c>
      <c r="O49" s="13">
        <f t="shared" si="0"/>
        <v>47361</v>
      </c>
      <c r="P49" s="24">
        <v>4539.7656970301177</v>
      </c>
      <c r="V49">
        <v>1</v>
      </c>
      <c r="W49" t="s">
        <v>33</v>
      </c>
      <c r="Y49" t="s">
        <v>33</v>
      </c>
      <c r="Z49" t="s">
        <v>34</v>
      </c>
      <c r="AA49">
        <v>1</v>
      </c>
    </row>
    <row r="50" spans="1:27" x14ac:dyDescent="0.35">
      <c r="A50" s="13">
        <f t="shared" si="1"/>
        <v>45930</v>
      </c>
      <c r="B50">
        <v>1</v>
      </c>
      <c r="D50" s="14" t="s">
        <v>31</v>
      </c>
      <c r="E50" s="15" t="s">
        <v>32</v>
      </c>
      <c r="F50" s="16" t="s">
        <v>32</v>
      </c>
      <c r="G50" s="17"/>
      <c r="H50" s="84" t="s">
        <v>172</v>
      </c>
      <c r="I50" s="84" t="s">
        <v>173</v>
      </c>
      <c r="K50" s="20">
        <f t="shared" si="2"/>
        <v>48</v>
      </c>
      <c r="M50" s="13">
        <f t="shared" si="3"/>
        <v>47391</v>
      </c>
      <c r="N50" s="13">
        <f t="shared" si="0"/>
        <v>47391</v>
      </c>
      <c r="O50" s="13">
        <f t="shared" si="0"/>
        <v>47391</v>
      </c>
      <c r="P50" s="24">
        <v>4499.5410475325771</v>
      </c>
      <c r="V50">
        <v>1</v>
      </c>
      <c r="W50" t="s">
        <v>33</v>
      </c>
      <c r="Y50" t="s">
        <v>33</v>
      </c>
      <c r="Z50" t="s">
        <v>34</v>
      </c>
      <c r="AA50">
        <v>1</v>
      </c>
    </row>
    <row r="51" spans="1:27" x14ac:dyDescent="0.35">
      <c r="A51" s="13">
        <f t="shared" si="1"/>
        <v>45930</v>
      </c>
      <c r="B51">
        <v>1</v>
      </c>
      <c r="D51" s="14" t="s">
        <v>31</v>
      </c>
      <c r="E51" s="15" t="s">
        <v>32</v>
      </c>
      <c r="F51" s="16" t="s">
        <v>32</v>
      </c>
      <c r="G51" s="17"/>
      <c r="H51" s="84" t="s">
        <v>172</v>
      </c>
      <c r="I51" s="84" t="s">
        <v>173</v>
      </c>
      <c r="K51" s="20">
        <f t="shared" si="2"/>
        <v>49</v>
      </c>
      <c r="M51" s="13">
        <f t="shared" si="3"/>
        <v>47422</v>
      </c>
      <c r="N51" s="13">
        <f t="shared" si="0"/>
        <v>47422</v>
      </c>
      <c r="O51" s="13">
        <f t="shared" si="0"/>
        <v>47422</v>
      </c>
      <c r="P51" s="24">
        <v>4459.6728090341785</v>
      </c>
      <c r="V51">
        <v>1</v>
      </c>
      <c r="W51" t="s">
        <v>33</v>
      </c>
      <c r="Y51" t="s">
        <v>33</v>
      </c>
      <c r="Z51" t="s">
        <v>34</v>
      </c>
      <c r="AA51">
        <v>1</v>
      </c>
    </row>
    <row r="52" spans="1:27" x14ac:dyDescent="0.35">
      <c r="A52" s="13">
        <f t="shared" si="1"/>
        <v>45930</v>
      </c>
      <c r="B52">
        <v>1</v>
      </c>
      <c r="D52" s="14" t="s">
        <v>31</v>
      </c>
      <c r="E52" s="15" t="s">
        <v>32</v>
      </c>
      <c r="F52" s="16" t="s">
        <v>32</v>
      </c>
      <c r="G52" s="17"/>
      <c r="H52" s="84" t="s">
        <v>172</v>
      </c>
      <c r="I52" s="84" t="s">
        <v>173</v>
      </c>
      <c r="K52" s="20">
        <f t="shared" si="2"/>
        <v>50</v>
      </c>
      <c r="M52" s="13">
        <f t="shared" si="3"/>
        <v>47452</v>
      </c>
      <c r="N52" s="13">
        <f t="shared" si="0"/>
        <v>47452</v>
      </c>
      <c r="O52" s="13">
        <f t="shared" si="0"/>
        <v>47452</v>
      </c>
      <c r="P52" s="24">
        <v>4420.1578235506895</v>
      </c>
      <c r="V52">
        <v>1</v>
      </c>
      <c r="W52" t="s">
        <v>33</v>
      </c>
      <c r="Y52" t="s">
        <v>33</v>
      </c>
      <c r="Z52" t="s">
        <v>34</v>
      </c>
      <c r="AA52">
        <v>1</v>
      </c>
    </row>
    <row r="53" spans="1:27" x14ac:dyDescent="0.35">
      <c r="A53" s="13">
        <f t="shared" si="1"/>
        <v>45930</v>
      </c>
      <c r="B53">
        <v>1</v>
      </c>
      <c r="D53" s="14" t="s">
        <v>31</v>
      </c>
      <c r="E53" s="15" t="s">
        <v>32</v>
      </c>
      <c r="F53" s="16" t="s">
        <v>32</v>
      </c>
      <c r="G53" s="17"/>
      <c r="H53" s="84" t="s">
        <v>172</v>
      </c>
      <c r="I53" s="84" t="s">
        <v>173</v>
      </c>
      <c r="K53" s="20">
        <f t="shared" si="2"/>
        <v>51</v>
      </c>
      <c r="M53" s="13">
        <f t="shared" si="3"/>
        <v>47483</v>
      </c>
      <c r="N53" s="13">
        <f t="shared" si="0"/>
        <v>47483</v>
      </c>
      <c r="O53" s="13">
        <f t="shared" si="0"/>
        <v>47483</v>
      </c>
      <c r="P53" s="24">
        <v>4380.9929610793479</v>
      </c>
      <c r="V53">
        <v>1</v>
      </c>
      <c r="W53" t="s">
        <v>33</v>
      </c>
      <c r="Y53" t="s">
        <v>33</v>
      </c>
      <c r="Z53" t="s">
        <v>34</v>
      </c>
      <c r="AA53">
        <v>1</v>
      </c>
    </row>
    <row r="54" spans="1:27" x14ac:dyDescent="0.35">
      <c r="A54" s="13">
        <f t="shared" si="1"/>
        <v>45930</v>
      </c>
      <c r="B54">
        <v>1</v>
      </c>
      <c r="D54" s="14" t="s">
        <v>31</v>
      </c>
      <c r="E54" s="15" t="s">
        <v>32</v>
      </c>
      <c r="F54" s="16" t="s">
        <v>32</v>
      </c>
      <c r="G54" s="17"/>
      <c r="H54" s="84" t="s">
        <v>172</v>
      </c>
      <c r="I54" s="84" t="s">
        <v>173</v>
      </c>
      <c r="K54" s="20">
        <f t="shared" si="2"/>
        <v>52</v>
      </c>
      <c r="M54" s="13">
        <f t="shared" si="3"/>
        <v>47514</v>
      </c>
      <c r="N54" s="13">
        <f t="shared" si="0"/>
        <v>47514</v>
      </c>
      <c r="O54" s="13">
        <f t="shared" si="0"/>
        <v>47514</v>
      </c>
      <c r="P54" s="24">
        <v>4342.1751193513046</v>
      </c>
      <c r="V54">
        <v>1</v>
      </c>
      <c r="W54" t="s">
        <v>33</v>
      </c>
      <c r="Y54" t="s">
        <v>33</v>
      </c>
      <c r="Z54" t="s">
        <v>34</v>
      </c>
      <c r="AA54">
        <v>1</v>
      </c>
    </row>
    <row r="55" spans="1:27" x14ac:dyDescent="0.35">
      <c r="A55" s="13">
        <f t="shared" si="1"/>
        <v>45930</v>
      </c>
      <c r="B55">
        <v>1</v>
      </c>
      <c r="D55" s="14" t="s">
        <v>31</v>
      </c>
      <c r="E55" s="15" t="s">
        <v>32</v>
      </c>
      <c r="F55" s="16" t="s">
        <v>32</v>
      </c>
      <c r="G55" s="17"/>
      <c r="H55" s="84" t="s">
        <v>172</v>
      </c>
      <c r="I55" s="84" t="s">
        <v>173</v>
      </c>
      <c r="K55" s="20">
        <f t="shared" si="2"/>
        <v>53</v>
      </c>
      <c r="M55" s="13">
        <f t="shared" si="3"/>
        <v>47542</v>
      </c>
      <c r="N55" s="13">
        <f t="shared" si="0"/>
        <v>47542</v>
      </c>
      <c r="O55" s="13">
        <f t="shared" si="0"/>
        <v>47542</v>
      </c>
      <c r="P55" s="24">
        <v>4303.7012235846487</v>
      </c>
      <c r="V55">
        <v>1</v>
      </c>
      <c r="W55" t="s">
        <v>33</v>
      </c>
      <c r="Y55" t="s">
        <v>33</v>
      </c>
      <c r="Z55" t="s">
        <v>34</v>
      </c>
      <c r="AA55">
        <v>1</v>
      </c>
    </row>
    <row r="56" spans="1:27" x14ac:dyDescent="0.35">
      <c r="A56" s="13">
        <f t="shared" si="1"/>
        <v>45930</v>
      </c>
      <c r="B56">
        <v>1</v>
      </c>
      <c r="D56" s="14" t="s">
        <v>31</v>
      </c>
      <c r="E56" s="15" t="s">
        <v>32</v>
      </c>
      <c r="F56" s="16" t="s">
        <v>32</v>
      </c>
      <c r="G56" s="17"/>
      <c r="H56" s="84" t="s">
        <v>172</v>
      </c>
      <c r="I56" s="84" t="s">
        <v>173</v>
      </c>
      <c r="K56" s="20">
        <f t="shared" si="2"/>
        <v>54</v>
      </c>
      <c r="M56" s="13">
        <f t="shared" si="3"/>
        <v>47573</v>
      </c>
      <c r="N56" s="13">
        <f t="shared" si="0"/>
        <v>47573</v>
      </c>
      <c r="O56" s="13">
        <f t="shared" si="0"/>
        <v>47573</v>
      </c>
      <c r="P56" s="24">
        <v>4265.5682262420887</v>
      </c>
      <c r="V56">
        <v>1</v>
      </c>
      <c r="W56" t="s">
        <v>33</v>
      </c>
      <c r="Y56" t="s">
        <v>33</v>
      </c>
      <c r="Z56" t="s">
        <v>34</v>
      </c>
      <c r="AA56">
        <v>1</v>
      </c>
    </row>
    <row r="57" spans="1:27" x14ac:dyDescent="0.35">
      <c r="A57" s="13">
        <f t="shared" si="1"/>
        <v>45930</v>
      </c>
      <c r="B57">
        <v>1</v>
      </c>
      <c r="D57" s="14" t="s">
        <v>31</v>
      </c>
      <c r="E57" s="15" t="s">
        <v>32</v>
      </c>
      <c r="F57" s="16" t="s">
        <v>32</v>
      </c>
      <c r="G57" s="17"/>
      <c r="H57" s="84" t="s">
        <v>172</v>
      </c>
      <c r="I57" s="84" t="s">
        <v>173</v>
      </c>
      <c r="K57" s="20">
        <f t="shared" si="2"/>
        <v>55</v>
      </c>
      <c r="M57" s="13">
        <f t="shared" si="3"/>
        <v>47603</v>
      </c>
      <c r="N57" s="13">
        <f t="shared" si="0"/>
        <v>47603</v>
      </c>
      <c r="O57" s="13">
        <f t="shared" si="0"/>
        <v>47603</v>
      </c>
      <c r="P57" s="24">
        <v>4227.7731067891582</v>
      </c>
      <c r="V57">
        <v>1</v>
      </c>
      <c r="W57" t="s">
        <v>33</v>
      </c>
      <c r="Y57" t="s">
        <v>33</v>
      </c>
      <c r="Z57" t="s">
        <v>34</v>
      </c>
      <c r="AA57">
        <v>1</v>
      </c>
    </row>
    <row r="58" spans="1:27" x14ac:dyDescent="0.35">
      <c r="A58" s="13">
        <f t="shared" si="1"/>
        <v>45930</v>
      </c>
      <c r="B58">
        <v>1</v>
      </c>
      <c r="D58" s="14" t="s">
        <v>31</v>
      </c>
      <c r="E58" s="15" t="s">
        <v>32</v>
      </c>
      <c r="F58" s="16" t="s">
        <v>32</v>
      </c>
      <c r="G58" s="17"/>
      <c r="H58" s="84" t="s">
        <v>172</v>
      </c>
      <c r="I58" s="84" t="s">
        <v>173</v>
      </c>
      <c r="K58" s="20">
        <f t="shared" si="2"/>
        <v>56</v>
      </c>
      <c r="M58" s="13">
        <f t="shared" si="3"/>
        <v>47634</v>
      </c>
      <c r="N58" s="13">
        <f t="shared" si="0"/>
        <v>47634</v>
      </c>
      <c r="O58" s="13">
        <f t="shared" si="0"/>
        <v>47634</v>
      </c>
      <c r="P58" s="24">
        <v>4190.3128714544</v>
      </c>
      <c r="V58">
        <v>1</v>
      </c>
      <c r="W58" t="s">
        <v>33</v>
      </c>
      <c r="Y58" t="s">
        <v>33</v>
      </c>
      <c r="Z58" t="s">
        <v>34</v>
      </c>
      <c r="AA58">
        <v>1</v>
      </c>
    </row>
    <row r="59" spans="1:27" x14ac:dyDescent="0.35">
      <c r="A59" s="13">
        <f t="shared" si="1"/>
        <v>45930</v>
      </c>
      <c r="B59">
        <v>1</v>
      </c>
      <c r="D59" s="14" t="s">
        <v>31</v>
      </c>
      <c r="E59" s="15" t="s">
        <v>32</v>
      </c>
      <c r="F59" s="16" t="s">
        <v>32</v>
      </c>
      <c r="G59" s="17"/>
      <c r="H59" s="84" t="s">
        <v>172</v>
      </c>
      <c r="I59" s="84" t="s">
        <v>173</v>
      </c>
      <c r="K59" s="20">
        <f t="shared" si="2"/>
        <v>57</v>
      </c>
      <c r="M59" s="13">
        <f t="shared" si="3"/>
        <v>47664</v>
      </c>
      <c r="N59" s="13">
        <f t="shared" si="0"/>
        <v>47664</v>
      </c>
      <c r="O59" s="13">
        <f t="shared" si="0"/>
        <v>47664</v>
      </c>
      <c r="P59" s="24">
        <v>4153.1845529930433</v>
      </c>
      <c r="V59">
        <v>1</v>
      </c>
      <c r="W59" t="s">
        <v>33</v>
      </c>
      <c r="Y59" t="s">
        <v>33</v>
      </c>
      <c r="Z59" t="s">
        <v>34</v>
      </c>
      <c r="AA59">
        <v>1</v>
      </c>
    </row>
    <row r="60" spans="1:27" x14ac:dyDescent="0.35">
      <c r="A60" s="13">
        <f t="shared" si="1"/>
        <v>45930</v>
      </c>
      <c r="B60">
        <v>1</v>
      </c>
      <c r="D60" s="14" t="s">
        <v>31</v>
      </c>
      <c r="E60" s="15" t="s">
        <v>32</v>
      </c>
      <c r="F60" s="16" t="s">
        <v>32</v>
      </c>
      <c r="G60" s="17"/>
      <c r="H60" s="84" t="s">
        <v>172</v>
      </c>
      <c r="I60" s="84" t="s">
        <v>173</v>
      </c>
      <c r="K60" s="20">
        <f t="shared" si="2"/>
        <v>58</v>
      </c>
      <c r="M60" s="13">
        <f t="shared" si="3"/>
        <v>47695</v>
      </c>
      <c r="N60" s="13">
        <f t="shared" si="0"/>
        <v>47695</v>
      </c>
      <c r="O60" s="13">
        <f t="shared" si="0"/>
        <v>47695</v>
      </c>
      <c r="P60" s="24">
        <v>4116.3852104518446</v>
      </c>
      <c r="V60">
        <v>1</v>
      </c>
      <c r="W60" t="s">
        <v>33</v>
      </c>
      <c r="Y60" t="s">
        <v>33</v>
      </c>
      <c r="Z60" t="s">
        <v>34</v>
      </c>
      <c r="AA60">
        <v>1</v>
      </c>
    </row>
    <row r="61" spans="1:27" x14ac:dyDescent="0.35">
      <c r="A61" s="13">
        <f t="shared" si="1"/>
        <v>45930</v>
      </c>
      <c r="B61">
        <v>1</v>
      </c>
      <c r="D61" s="14" t="s">
        <v>31</v>
      </c>
      <c r="E61" s="15" t="s">
        <v>32</v>
      </c>
      <c r="F61" s="16" t="s">
        <v>32</v>
      </c>
      <c r="G61" s="17"/>
      <c r="H61" s="84" t="s">
        <v>172</v>
      </c>
      <c r="I61" s="84" t="s">
        <v>173</v>
      </c>
      <c r="K61" s="20">
        <f t="shared" si="2"/>
        <v>59</v>
      </c>
      <c r="M61" s="13">
        <f t="shared" si="3"/>
        <v>47726</v>
      </c>
      <c r="N61" s="13">
        <f t="shared" si="0"/>
        <v>47726</v>
      </c>
      <c r="O61" s="13">
        <f t="shared" si="0"/>
        <v>47726</v>
      </c>
      <c r="P61" s="24">
        <v>4079.9119289352093</v>
      </c>
      <c r="V61">
        <v>1</v>
      </c>
      <c r="W61" t="s">
        <v>33</v>
      </c>
      <c r="Y61" t="s">
        <v>33</v>
      </c>
      <c r="Z61" t="s">
        <v>34</v>
      </c>
      <c r="AA61">
        <v>1</v>
      </c>
    </row>
    <row r="62" spans="1:27" x14ac:dyDescent="0.35">
      <c r="A62" s="13">
        <f t="shared" si="1"/>
        <v>45930</v>
      </c>
      <c r="B62">
        <v>1</v>
      </c>
      <c r="D62" s="14" t="s">
        <v>31</v>
      </c>
      <c r="E62" s="15" t="s">
        <v>32</v>
      </c>
      <c r="F62" s="16" t="s">
        <v>32</v>
      </c>
      <c r="G62" s="17"/>
      <c r="H62" s="84" t="s">
        <v>172</v>
      </c>
      <c r="I62" s="84" t="s">
        <v>173</v>
      </c>
      <c r="K62" s="20">
        <f t="shared" si="2"/>
        <v>60</v>
      </c>
      <c r="M62" s="13">
        <f t="shared" si="3"/>
        <v>47756</v>
      </c>
      <c r="N62" s="13">
        <f t="shared" si="0"/>
        <v>47756</v>
      </c>
      <c r="O62" s="13">
        <f t="shared" si="0"/>
        <v>47756</v>
      </c>
      <c r="P62" s="24">
        <v>4043.7618193757953</v>
      </c>
      <c r="V62">
        <v>1</v>
      </c>
      <c r="W62" t="s">
        <v>33</v>
      </c>
      <c r="Y62" t="s">
        <v>33</v>
      </c>
      <c r="Z62" t="s">
        <v>34</v>
      </c>
      <c r="AA62">
        <v>1</v>
      </c>
    </row>
    <row r="63" spans="1:27" x14ac:dyDescent="0.35">
      <c r="A63" s="13">
        <f t="shared" si="1"/>
        <v>45930</v>
      </c>
      <c r="B63">
        <v>1</v>
      </c>
      <c r="D63" s="14" t="s">
        <v>31</v>
      </c>
      <c r="E63" s="15" t="s">
        <v>32</v>
      </c>
      <c r="F63" s="16" t="s">
        <v>32</v>
      </c>
      <c r="G63" s="17"/>
      <c r="H63" s="84" t="s">
        <v>172</v>
      </c>
      <c r="I63" s="84" t="s">
        <v>173</v>
      </c>
      <c r="K63" s="20">
        <f t="shared" si="2"/>
        <v>61</v>
      </c>
      <c r="M63" s="13">
        <f t="shared" si="3"/>
        <v>47787</v>
      </c>
      <c r="N63" s="13">
        <f t="shared" si="0"/>
        <v>47787</v>
      </c>
      <c r="O63" s="13">
        <f t="shared" si="0"/>
        <v>47787</v>
      </c>
      <c r="P63" s="24">
        <v>4007.9320183043601</v>
      </c>
      <c r="V63">
        <v>1</v>
      </c>
      <c r="W63" t="s">
        <v>33</v>
      </c>
      <c r="Y63" t="s">
        <v>33</v>
      </c>
      <c r="Z63" t="s">
        <v>34</v>
      </c>
      <c r="AA63">
        <v>1</v>
      </c>
    </row>
    <row r="64" spans="1:27" x14ac:dyDescent="0.35">
      <c r="A64" s="13">
        <f t="shared" si="1"/>
        <v>45930</v>
      </c>
      <c r="B64">
        <v>1</v>
      </c>
      <c r="D64" s="14" t="s">
        <v>31</v>
      </c>
      <c r="E64" s="15" t="s">
        <v>32</v>
      </c>
      <c r="F64" s="16" t="s">
        <v>32</v>
      </c>
      <c r="G64" s="17"/>
      <c r="H64" s="84" t="s">
        <v>172</v>
      </c>
      <c r="I64" s="84" t="s">
        <v>173</v>
      </c>
      <c r="K64" s="20">
        <f t="shared" si="2"/>
        <v>62</v>
      </c>
      <c r="M64" s="13">
        <f t="shared" si="3"/>
        <v>47817</v>
      </c>
      <c r="N64" s="13">
        <f t="shared" si="0"/>
        <v>47817</v>
      </c>
      <c r="O64" s="13">
        <f t="shared" si="0"/>
        <v>47817</v>
      </c>
      <c r="P64" s="24">
        <v>3972.4196876236238</v>
      </c>
      <c r="V64">
        <v>1</v>
      </c>
      <c r="W64" t="s">
        <v>33</v>
      </c>
      <c r="Y64" t="s">
        <v>33</v>
      </c>
      <c r="Z64" t="s">
        <v>34</v>
      </c>
      <c r="AA64">
        <v>1</v>
      </c>
    </row>
    <row r="65" spans="1:27" x14ac:dyDescent="0.35">
      <c r="A65" s="13">
        <f t="shared" si="1"/>
        <v>45930</v>
      </c>
      <c r="B65">
        <v>1</v>
      </c>
      <c r="D65" s="14" t="s">
        <v>31</v>
      </c>
      <c r="E65" s="15" t="s">
        <v>32</v>
      </c>
      <c r="F65" s="16" t="s">
        <v>32</v>
      </c>
      <c r="G65" s="17"/>
      <c r="H65" s="84" t="s">
        <v>172</v>
      </c>
      <c r="I65" s="84" t="s">
        <v>173</v>
      </c>
      <c r="K65" s="20">
        <f t="shared" si="2"/>
        <v>63</v>
      </c>
      <c r="M65" s="13">
        <f t="shared" si="3"/>
        <v>47848</v>
      </c>
      <c r="N65" s="13">
        <f t="shared" si="0"/>
        <v>47848</v>
      </c>
      <c r="O65" s="13">
        <f t="shared" si="0"/>
        <v>47848</v>
      </c>
      <c r="P65" s="24">
        <v>3937.2220143832965</v>
      </c>
      <c r="V65">
        <v>1</v>
      </c>
      <c r="W65" t="s">
        <v>33</v>
      </c>
      <c r="Y65" t="s">
        <v>33</v>
      </c>
      <c r="Z65" t="s">
        <v>34</v>
      </c>
      <c r="AA65">
        <v>1</v>
      </c>
    </row>
    <row r="66" spans="1:27" x14ac:dyDescent="0.35">
      <c r="A66" s="13">
        <f t="shared" si="1"/>
        <v>45930</v>
      </c>
      <c r="B66">
        <v>1</v>
      </c>
      <c r="D66" s="14" t="s">
        <v>31</v>
      </c>
      <c r="E66" s="15" t="s">
        <v>32</v>
      </c>
      <c r="F66" s="16" t="s">
        <v>32</v>
      </c>
      <c r="G66" s="17"/>
      <c r="H66" s="84" t="s">
        <v>172</v>
      </c>
      <c r="I66" s="84" t="s">
        <v>173</v>
      </c>
      <c r="K66" s="20">
        <f t="shared" si="2"/>
        <v>64</v>
      </c>
      <c r="M66" s="13">
        <f t="shared" si="3"/>
        <v>47879</v>
      </c>
      <c r="N66" s="13">
        <f t="shared" si="0"/>
        <v>47879</v>
      </c>
      <c r="O66" s="13">
        <f t="shared" si="0"/>
        <v>47879</v>
      </c>
      <c r="P66" s="24">
        <v>3902.3362105574924</v>
      </c>
      <c r="V66">
        <v>1</v>
      </c>
      <c r="W66" t="s">
        <v>33</v>
      </c>
      <c r="Y66" t="s">
        <v>33</v>
      </c>
      <c r="Z66" t="s">
        <v>34</v>
      </c>
      <c r="AA66">
        <v>1</v>
      </c>
    </row>
    <row r="67" spans="1:27" x14ac:dyDescent="0.35">
      <c r="A67" s="13">
        <f t="shared" si="1"/>
        <v>45930</v>
      </c>
      <c r="B67">
        <v>1</v>
      </c>
      <c r="D67" s="14" t="s">
        <v>31</v>
      </c>
      <c r="E67" s="15" t="s">
        <v>32</v>
      </c>
      <c r="F67" s="16" t="s">
        <v>32</v>
      </c>
      <c r="G67" s="17"/>
      <c r="H67" s="84" t="s">
        <v>172</v>
      </c>
      <c r="I67" s="84" t="s">
        <v>173</v>
      </c>
      <c r="K67" s="20">
        <f t="shared" si="2"/>
        <v>65</v>
      </c>
      <c r="M67" s="13">
        <f t="shared" si="3"/>
        <v>47907</v>
      </c>
      <c r="N67" s="13">
        <f t="shared" si="0"/>
        <v>47907</v>
      </c>
      <c r="O67" s="13">
        <f t="shared" si="0"/>
        <v>47907</v>
      </c>
      <c r="P67" s="24">
        <v>3867.7595128231333</v>
      </c>
      <c r="V67">
        <v>1</v>
      </c>
      <c r="W67" t="s">
        <v>33</v>
      </c>
      <c r="Y67" t="s">
        <v>33</v>
      </c>
      <c r="Z67" t="s">
        <v>34</v>
      </c>
      <c r="AA67">
        <v>1</v>
      </c>
    </row>
    <row r="68" spans="1:27" x14ac:dyDescent="0.35">
      <c r="A68" s="13">
        <f t="shared" ref="A68:A72" si="4">A67</f>
        <v>45930</v>
      </c>
      <c r="B68">
        <v>1</v>
      </c>
      <c r="D68" s="14" t="s">
        <v>31</v>
      </c>
      <c r="E68" s="15" t="s">
        <v>32</v>
      </c>
      <c r="F68" s="16" t="s">
        <v>32</v>
      </c>
      <c r="G68" s="17"/>
      <c r="H68" s="84" t="s">
        <v>172</v>
      </c>
      <c r="I68" s="84" t="s">
        <v>173</v>
      </c>
      <c r="K68" s="20">
        <f t="shared" si="2"/>
        <v>66</v>
      </c>
      <c r="M68" s="13">
        <f t="shared" si="3"/>
        <v>47938</v>
      </c>
      <c r="N68" s="13">
        <f t="shared" ref="N68:O72" si="5">M68</f>
        <v>47938</v>
      </c>
      <c r="O68" s="13">
        <f t="shared" si="5"/>
        <v>47938</v>
      </c>
      <c r="P68" s="24">
        <v>3833.4891823421349</v>
      </c>
      <c r="V68">
        <v>1</v>
      </c>
      <c r="W68" t="s">
        <v>33</v>
      </c>
      <c r="Y68" t="s">
        <v>33</v>
      </c>
      <c r="Z68" t="s">
        <v>34</v>
      </c>
      <c r="AA68">
        <v>1</v>
      </c>
    </row>
    <row r="69" spans="1:27" x14ac:dyDescent="0.35">
      <c r="A69" s="13">
        <f t="shared" si="4"/>
        <v>45930</v>
      </c>
      <c r="B69">
        <v>1</v>
      </c>
      <c r="D69" s="14" t="s">
        <v>31</v>
      </c>
      <c r="E69" s="15" t="s">
        <v>32</v>
      </c>
      <c r="F69" s="16" t="s">
        <v>32</v>
      </c>
      <c r="G69" s="17"/>
      <c r="H69" s="84" t="s">
        <v>172</v>
      </c>
      <c r="I69" s="84" t="s">
        <v>173</v>
      </c>
      <c r="K69" s="20">
        <f t="shared" ref="K69:K72" si="6">K68+1</f>
        <v>67</v>
      </c>
      <c r="M69" s="13">
        <f t="shared" ref="M69:M72" si="7">EOMONTH(M68,1)</f>
        <v>47968</v>
      </c>
      <c r="N69" s="13">
        <f t="shared" si="5"/>
        <v>47968</v>
      </c>
      <c r="O69" s="13">
        <f t="shared" si="5"/>
        <v>47968</v>
      </c>
      <c r="P69" s="24">
        <v>3799.5225045434781</v>
      </c>
      <c r="V69">
        <v>1</v>
      </c>
      <c r="W69" t="s">
        <v>33</v>
      </c>
      <c r="Y69" t="s">
        <v>33</v>
      </c>
      <c r="Z69" t="s">
        <v>34</v>
      </c>
      <c r="AA69">
        <v>1</v>
      </c>
    </row>
    <row r="70" spans="1:27" x14ac:dyDescent="0.35">
      <c r="A70" s="13">
        <f t="shared" si="4"/>
        <v>45930</v>
      </c>
      <c r="B70">
        <v>1</v>
      </c>
      <c r="D70" s="14" t="s">
        <v>31</v>
      </c>
      <c r="E70" s="15" t="s">
        <v>32</v>
      </c>
      <c r="F70" s="16" t="s">
        <v>32</v>
      </c>
      <c r="G70" s="17"/>
      <c r="H70" s="84" t="s">
        <v>172</v>
      </c>
      <c r="I70" s="84" t="s">
        <v>173</v>
      </c>
      <c r="K70" s="20">
        <f t="shared" si="6"/>
        <v>68</v>
      </c>
      <c r="M70" s="13">
        <f t="shared" si="7"/>
        <v>47999</v>
      </c>
      <c r="N70" s="13">
        <f t="shared" si="5"/>
        <v>47999</v>
      </c>
      <c r="O70" s="13">
        <f t="shared" si="5"/>
        <v>47999</v>
      </c>
      <c r="P70" s="24">
        <v>3765.8567889091792</v>
      </c>
      <c r="V70">
        <v>1</v>
      </c>
      <c r="W70" t="s">
        <v>33</v>
      </c>
      <c r="Y70" t="s">
        <v>33</v>
      </c>
      <c r="Z70" t="s">
        <v>34</v>
      </c>
      <c r="AA70">
        <v>1</v>
      </c>
    </row>
    <row r="71" spans="1:27" x14ac:dyDescent="0.35">
      <c r="A71" s="13">
        <f t="shared" si="4"/>
        <v>45930</v>
      </c>
      <c r="B71">
        <v>1</v>
      </c>
      <c r="D71" s="14" t="s">
        <v>31</v>
      </c>
      <c r="E71" s="15" t="s">
        <v>32</v>
      </c>
      <c r="F71" s="16" t="s">
        <v>32</v>
      </c>
      <c r="G71" s="17"/>
      <c r="H71" s="84" t="s">
        <v>172</v>
      </c>
      <c r="I71" s="84" t="s">
        <v>173</v>
      </c>
      <c r="K71" s="20">
        <f t="shared" si="6"/>
        <v>69</v>
      </c>
      <c r="M71" s="13">
        <f t="shared" si="7"/>
        <v>48029</v>
      </c>
      <c r="N71" s="13">
        <f t="shared" si="5"/>
        <v>48029</v>
      </c>
      <c r="O71" s="13">
        <f t="shared" si="5"/>
        <v>48029</v>
      </c>
      <c r="P71" s="24">
        <v>3732.489368760027</v>
      </c>
      <c r="V71">
        <v>1</v>
      </c>
      <c r="W71" t="s">
        <v>33</v>
      </c>
      <c r="Y71" t="s">
        <v>33</v>
      </c>
      <c r="Z71" t="s">
        <v>34</v>
      </c>
      <c r="AA71">
        <v>1</v>
      </c>
    </row>
    <row r="72" spans="1:27" x14ac:dyDescent="0.35">
      <c r="A72" s="13">
        <f t="shared" si="4"/>
        <v>45930</v>
      </c>
      <c r="B72">
        <v>1</v>
      </c>
      <c r="D72" s="14" t="s">
        <v>31</v>
      </c>
      <c r="E72" s="15" t="s">
        <v>32</v>
      </c>
      <c r="F72" s="16" t="s">
        <v>32</v>
      </c>
      <c r="G72" s="17"/>
      <c r="H72" s="84" t="s">
        <v>172</v>
      </c>
      <c r="I72" s="84" t="s">
        <v>173</v>
      </c>
      <c r="K72" s="20">
        <f t="shared" si="6"/>
        <v>70</v>
      </c>
      <c r="M72" s="13">
        <f t="shared" si="7"/>
        <v>48060</v>
      </c>
      <c r="N72" s="13">
        <f t="shared" si="5"/>
        <v>48060</v>
      </c>
      <c r="O72" s="13">
        <f t="shared" si="5"/>
        <v>48060</v>
      </c>
      <c r="P72" s="24">
        <v>417517.35152176116</v>
      </c>
      <c r="V72">
        <v>1</v>
      </c>
      <c r="W72" t="s">
        <v>33</v>
      </c>
      <c r="Y72" t="s">
        <v>33</v>
      </c>
      <c r="Z72" t="s">
        <v>34</v>
      </c>
      <c r="AA72">
        <v>1</v>
      </c>
    </row>
    <row r="73" spans="1:27" x14ac:dyDescent="0.35">
      <c r="A73" s="13"/>
      <c r="D73" s="14"/>
      <c r="E73" s="15"/>
      <c r="F73" s="16"/>
      <c r="G73" s="17"/>
      <c r="H73" s="84"/>
      <c r="I73" s="84"/>
      <c r="K73" s="20"/>
      <c r="M73" s="13"/>
      <c r="N73" s="13"/>
      <c r="O73" s="13"/>
      <c r="P73" s="24"/>
    </row>
    <row r="74" spans="1:27" x14ac:dyDescent="0.35">
      <c r="A74" s="13"/>
      <c r="D74" s="14"/>
      <c r="E74" s="15"/>
      <c r="F74" s="16"/>
      <c r="G74" s="17"/>
      <c r="H74" s="84"/>
      <c r="I74" s="84"/>
      <c r="K74" s="20"/>
      <c r="M74" s="13"/>
      <c r="N74" s="13"/>
      <c r="O74" s="13"/>
      <c r="P74" s="24"/>
    </row>
    <row r="75" spans="1:27" x14ac:dyDescent="0.35">
      <c r="A75" s="13"/>
      <c r="D75" s="14"/>
      <c r="E75" s="15"/>
      <c r="F75" s="16"/>
      <c r="G75" s="17"/>
      <c r="H75" s="84"/>
      <c r="I75" s="84"/>
      <c r="K75" s="20"/>
      <c r="M75" s="13"/>
      <c r="N75" s="13"/>
      <c r="O75" s="13"/>
      <c r="P75" s="24"/>
    </row>
    <row r="76" spans="1:27" x14ac:dyDescent="0.35">
      <c r="A76" s="13"/>
      <c r="D76" s="14"/>
      <c r="E76" s="15"/>
      <c r="F76" s="16"/>
      <c r="G76" s="17"/>
      <c r="H76" s="84"/>
      <c r="I76" s="84"/>
      <c r="K76" s="20"/>
      <c r="M76" s="13"/>
      <c r="N76" s="13"/>
      <c r="O76" s="13"/>
      <c r="P76" s="24"/>
    </row>
    <row r="77" spans="1:27" x14ac:dyDescent="0.35">
      <c r="A77" s="13"/>
      <c r="D77" s="14"/>
      <c r="E77" s="15"/>
      <c r="F77" s="16"/>
      <c r="G77" s="17"/>
      <c r="H77" s="84"/>
      <c r="I77" s="84"/>
      <c r="K77" s="20"/>
      <c r="M77" s="13"/>
      <c r="N77" s="13"/>
      <c r="O77" s="13"/>
      <c r="P77" s="24"/>
    </row>
    <row r="78" spans="1:27" x14ac:dyDescent="0.35">
      <c r="A78" s="13"/>
      <c r="D78" s="14"/>
      <c r="E78" s="15"/>
      <c r="F78" s="16"/>
      <c r="G78" s="17"/>
      <c r="H78" s="84"/>
      <c r="I78" s="84"/>
      <c r="K78" s="20"/>
      <c r="M78" s="13"/>
      <c r="N78" s="13"/>
      <c r="O78" s="13"/>
      <c r="P78" s="24"/>
    </row>
    <row r="79" spans="1:27" x14ac:dyDescent="0.35">
      <c r="A79" s="13"/>
      <c r="D79" s="14"/>
      <c r="E79" s="15"/>
      <c r="F79" s="16"/>
      <c r="G79" s="17"/>
      <c r="H79" s="84"/>
      <c r="I79" s="84"/>
      <c r="K79" s="20"/>
      <c r="M79" s="13"/>
      <c r="N79" s="13"/>
      <c r="O79" s="13"/>
      <c r="P79" s="24"/>
    </row>
    <row r="80" spans="1:27" x14ac:dyDescent="0.35">
      <c r="A80" s="13"/>
      <c r="D80" s="14"/>
      <c r="E80" s="15"/>
      <c r="F80" s="16"/>
      <c r="G80" s="17"/>
      <c r="H80" s="84"/>
      <c r="I80" s="84"/>
      <c r="K80" s="20"/>
      <c r="M80" s="13"/>
      <c r="N80" s="13"/>
      <c r="O80" s="13"/>
      <c r="P80" s="24"/>
    </row>
    <row r="81" spans="1:16" x14ac:dyDescent="0.35">
      <c r="A81" s="13"/>
      <c r="D81" s="14"/>
      <c r="E81" s="15"/>
      <c r="F81" s="16"/>
      <c r="G81" s="17"/>
      <c r="H81" s="84"/>
      <c r="I81" s="84"/>
      <c r="K81" s="20"/>
      <c r="M81" s="13"/>
      <c r="N81" s="13"/>
      <c r="O81" s="13"/>
      <c r="P81" s="24"/>
    </row>
    <row r="82" spans="1:16" x14ac:dyDescent="0.35">
      <c r="A82" s="13"/>
      <c r="D82" s="14"/>
      <c r="E82" s="15"/>
      <c r="F82" s="16"/>
      <c r="G82" s="17"/>
      <c r="H82" s="84"/>
      <c r="I82" s="84"/>
      <c r="K82" s="20"/>
      <c r="M82" s="13"/>
      <c r="N82" s="13"/>
      <c r="O82" s="13"/>
      <c r="P82" s="24"/>
    </row>
    <row r="83" spans="1:16" x14ac:dyDescent="0.35">
      <c r="A83" s="13"/>
      <c r="D83" s="14"/>
      <c r="E83" s="15"/>
      <c r="F83" s="16"/>
      <c r="G83" s="17"/>
      <c r="H83" s="84"/>
      <c r="I83" s="84"/>
      <c r="K83" s="20"/>
      <c r="M83" s="13"/>
      <c r="N83" s="13"/>
      <c r="O83" s="13"/>
      <c r="P83" s="24"/>
    </row>
    <row r="84" spans="1:16" x14ac:dyDescent="0.35">
      <c r="A84" s="13"/>
      <c r="D84" s="14"/>
      <c r="E84" s="15"/>
      <c r="F84" s="16"/>
      <c r="G84" s="17"/>
      <c r="H84" s="84"/>
      <c r="I84" s="84"/>
      <c r="K84" s="20"/>
      <c r="M84" s="13"/>
      <c r="N84" s="13"/>
      <c r="O84" s="13"/>
      <c r="P84" s="24"/>
    </row>
    <row r="85" spans="1:16" x14ac:dyDescent="0.35">
      <c r="A85" s="13"/>
      <c r="D85" s="14"/>
      <c r="E85" s="15"/>
      <c r="F85" s="16"/>
      <c r="G85" s="17"/>
      <c r="H85" s="84"/>
      <c r="I85" s="84"/>
      <c r="K85" s="20"/>
      <c r="M85" s="13"/>
      <c r="N85" s="13"/>
      <c r="O85" s="13"/>
      <c r="P85" s="24"/>
    </row>
    <row r="86" spans="1:16" x14ac:dyDescent="0.35">
      <c r="A86" s="13"/>
      <c r="D86" s="14"/>
      <c r="E86" s="15"/>
      <c r="F86" s="16"/>
      <c r="G86" s="17"/>
      <c r="H86" s="84"/>
      <c r="I86" s="84"/>
      <c r="K86" s="20"/>
      <c r="M86" s="13"/>
      <c r="N86" s="13"/>
      <c r="O86" s="13"/>
      <c r="P86" s="24"/>
    </row>
    <row r="87" spans="1:16" x14ac:dyDescent="0.35">
      <c r="A87" s="13"/>
      <c r="D87" s="14"/>
      <c r="E87" s="15"/>
      <c r="F87" s="16"/>
      <c r="G87" s="17"/>
      <c r="H87" s="84"/>
      <c r="I87" s="84"/>
      <c r="K87" s="20"/>
      <c r="M87" s="13"/>
      <c r="N87" s="13"/>
      <c r="O87" s="13"/>
      <c r="P87" s="24"/>
    </row>
    <row r="88" spans="1:16" x14ac:dyDescent="0.35">
      <c r="A88" s="13"/>
      <c r="D88" s="14"/>
      <c r="E88" s="15"/>
      <c r="F88" s="16"/>
      <c r="G88" s="17"/>
      <c r="H88" s="84"/>
      <c r="I88" s="84"/>
      <c r="K88" s="20"/>
      <c r="M88" s="13"/>
      <c r="N88" s="13"/>
      <c r="O88" s="13"/>
      <c r="P88" s="24"/>
    </row>
    <row r="89" spans="1:16" x14ac:dyDescent="0.35">
      <c r="A89" s="13"/>
      <c r="D89" s="14"/>
      <c r="E89" s="15"/>
      <c r="F89" s="16"/>
      <c r="G89" s="17"/>
      <c r="H89" s="84"/>
      <c r="I89" s="84"/>
      <c r="K89" s="20"/>
      <c r="M89" s="13"/>
      <c r="N89" s="13"/>
      <c r="O89" s="13"/>
      <c r="P89" s="24"/>
    </row>
    <row r="90" spans="1:16" x14ac:dyDescent="0.35">
      <c r="A90" s="13"/>
      <c r="D90" s="14"/>
      <c r="E90" s="15"/>
      <c r="F90" s="16"/>
      <c r="G90" s="17"/>
      <c r="H90" s="84"/>
      <c r="I90" s="84"/>
      <c r="K90" s="20"/>
      <c r="M90" s="13"/>
      <c r="N90" s="13"/>
      <c r="O90" s="13"/>
      <c r="P90" s="24"/>
    </row>
    <row r="91" spans="1:16" x14ac:dyDescent="0.35">
      <c r="A91" s="13"/>
      <c r="D91" s="14"/>
      <c r="E91" s="15"/>
      <c r="F91" s="16"/>
      <c r="G91" s="17"/>
      <c r="H91" s="84"/>
      <c r="I91" s="84"/>
      <c r="K91" s="20"/>
      <c r="M91" s="13"/>
      <c r="N91" s="13"/>
      <c r="O91" s="13"/>
      <c r="P91" s="24"/>
    </row>
    <row r="92" spans="1:16" x14ac:dyDescent="0.35">
      <c r="A92" s="13"/>
      <c r="D92" s="14"/>
      <c r="E92" s="15"/>
      <c r="F92" s="16"/>
      <c r="G92" s="17"/>
      <c r="H92" s="84"/>
      <c r="I92" s="84"/>
      <c r="K92" s="20"/>
      <c r="M92" s="13"/>
      <c r="N92" s="13"/>
      <c r="O92" s="13"/>
      <c r="P92" s="24"/>
    </row>
    <row r="93" spans="1:16" x14ac:dyDescent="0.35">
      <c r="A93" s="13"/>
      <c r="D93" s="14"/>
      <c r="E93" s="15"/>
      <c r="F93" s="16"/>
      <c r="G93" s="17"/>
      <c r="H93" s="84"/>
      <c r="I93" s="84"/>
      <c r="K93" s="20"/>
      <c r="M93" s="13"/>
      <c r="N93" s="13"/>
      <c r="O93" s="13"/>
      <c r="P93" s="24"/>
    </row>
    <row r="94" spans="1:16" x14ac:dyDescent="0.35">
      <c r="A94" s="13"/>
      <c r="D94" s="14"/>
      <c r="E94" s="15"/>
      <c r="F94" s="16"/>
      <c r="G94" s="17"/>
      <c r="H94" s="84"/>
      <c r="I94" s="84"/>
      <c r="K94" s="20"/>
      <c r="M94" s="13"/>
      <c r="N94" s="13"/>
      <c r="O94" s="13"/>
      <c r="P94" s="24"/>
    </row>
    <row r="95" spans="1:16" x14ac:dyDescent="0.35">
      <c r="A95" s="13"/>
      <c r="D95" s="14"/>
      <c r="E95" s="15"/>
      <c r="F95" s="16"/>
      <c r="G95" s="17"/>
      <c r="H95" s="84"/>
      <c r="I95" s="84"/>
      <c r="K95" s="20"/>
      <c r="M95" s="13"/>
      <c r="N95" s="13"/>
      <c r="O95" s="13"/>
      <c r="P95" s="24"/>
    </row>
    <row r="96" spans="1:16" x14ac:dyDescent="0.35">
      <c r="A96" s="13"/>
      <c r="D96" s="14"/>
      <c r="E96" s="15"/>
      <c r="F96" s="16"/>
      <c r="G96" s="17"/>
      <c r="H96" s="84"/>
      <c r="I96" s="84"/>
      <c r="K96" s="20"/>
      <c r="M96" s="13"/>
      <c r="N96" s="13"/>
      <c r="O96" s="13"/>
      <c r="P96" s="24"/>
    </row>
    <row r="97" spans="1:16" x14ac:dyDescent="0.35">
      <c r="A97" s="13"/>
      <c r="D97" s="14"/>
      <c r="E97" s="15"/>
      <c r="F97" s="16"/>
      <c r="G97" s="17"/>
      <c r="H97" s="84"/>
      <c r="I97" s="84"/>
      <c r="K97" s="20"/>
      <c r="M97" s="13"/>
      <c r="N97" s="13"/>
      <c r="O97" s="13"/>
      <c r="P97" s="24"/>
    </row>
    <row r="98" spans="1:16" x14ac:dyDescent="0.35">
      <c r="A98" s="13"/>
      <c r="D98" s="14"/>
      <c r="E98" s="15"/>
      <c r="F98" s="16"/>
      <c r="G98" s="17"/>
      <c r="H98" s="84"/>
      <c r="I98" s="84"/>
      <c r="K98" s="20"/>
      <c r="M98" s="13"/>
      <c r="N98" s="13"/>
      <c r="O98" s="13"/>
      <c r="P98" s="24"/>
    </row>
    <row r="99" spans="1:16" x14ac:dyDescent="0.35">
      <c r="A99" s="13"/>
      <c r="D99" s="14"/>
      <c r="E99" s="15"/>
      <c r="F99" s="16"/>
      <c r="G99" s="17"/>
      <c r="H99" s="84"/>
      <c r="I99" s="84"/>
      <c r="K99" s="20"/>
      <c r="M99" s="13"/>
      <c r="N99" s="13"/>
      <c r="O99" s="13"/>
      <c r="P99" s="24"/>
    </row>
    <row r="100" spans="1:16" x14ac:dyDescent="0.35">
      <c r="A100" s="13"/>
      <c r="D100" s="14"/>
      <c r="E100" s="15"/>
      <c r="F100" s="16"/>
      <c r="G100" s="17"/>
      <c r="H100" s="84"/>
      <c r="I100" s="84"/>
      <c r="K100" s="20"/>
      <c r="M100" s="13"/>
      <c r="N100" s="13"/>
      <c r="O100" s="13"/>
      <c r="P100" s="24"/>
    </row>
    <row r="101" spans="1:16" x14ac:dyDescent="0.35">
      <c r="A101" s="13"/>
      <c r="D101" s="14"/>
      <c r="E101" s="15"/>
      <c r="F101" s="16"/>
      <c r="G101" s="17"/>
      <c r="H101" s="84"/>
      <c r="I101" s="84"/>
      <c r="K101" s="20"/>
      <c r="M101" s="13"/>
      <c r="N101" s="13"/>
      <c r="O101" s="13"/>
      <c r="P101" s="24"/>
    </row>
    <row r="102" spans="1:16" x14ac:dyDescent="0.35">
      <c r="A102" s="13"/>
      <c r="D102" s="14"/>
      <c r="E102" s="15"/>
      <c r="F102" s="16"/>
      <c r="G102" s="17"/>
      <c r="H102" s="84"/>
      <c r="I102" s="84"/>
      <c r="K102" s="20"/>
      <c r="M102" s="13"/>
      <c r="N102" s="13"/>
      <c r="O102" s="13"/>
      <c r="P102" s="24"/>
    </row>
    <row r="103" spans="1:16" x14ac:dyDescent="0.35">
      <c r="A103" s="13"/>
      <c r="D103" s="14"/>
      <c r="E103" s="15"/>
      <c r="F103" s="16"/>
      <c r="G103" s="17"/>
      <c r="H103" s="84"/>
      <c r="I103" s="84"/>
      <c r="K103" s="20"/>
      <c r="M103" s="13"/>
      <c r="N103" s="13"/>
      <c r="O103" s="13"/>
      <c r="P103" s="24"/>
    </row>
    <row r="104" spans="1:16" x14ac:dyDescent="0.35">
      <c r="A104" s="13"/>
      <c r="D104" s="14"/>
      <c r="E104" s="15"/>
      <c r="F104" s="16"/>
      <c r="G104" s="17"/>
      <c r="H104" s="84"/>
      <c r="I104" s="84"/>
      <c r="K104" s="20"/>
      <c r="M104" s="13"/>
      <c r="N104" s="13"/>
      <c r="O104" s="13"/>
      <c r="P104" s="24"/>
    </row>
    <row r="105" spans="1:16" x14ac:dyDescent="0.35">
      <c r="A105" s="13"/>
      <c r="D105" s="14"/>
      <c r="E105" s="15"/>
      <c r="F105" s="16"/>
      <c r="G105" s="17"/>
      <c r="H105" s="84"/>
      <c r="I105" s="84"/>
      <c r="K105" s="20"/>
      <c r="M105" s="13"/>
      <c r="N105" s="13"/>
      <c r="O105" s="13"/>
      <c r="P105" s="24"/>
    </row>
    <row r="106" spans="1:16" x14ac:dyDescent="0.35">
      <c r="A106" s="13"/>
      <c r="D106" s="14"/>
      <c r="E106" s="15"/>
      <c r="F106" s="16"/>
      <c r="G106" s="17"/>
      <c r="H106" s="84"/>
      <c r="I106" s="84"/>
      <c r="K106" s="20"/>
      <c r="M106" s="13"/>
      <c r="N106" s="13"/>
      <c r="O106" s="13"/>
      <c r="P106" s="24"/>
    </row>
    <row r="107" spans="1:16" x14ac:dyDescent="0.35">
      <c r="A107" s="13"/>
      <c r="D107" s="14"/>
      <c r="E107" s="15"/>
      <c r="F107" s="16"/>
      <c r="G107" s="17"/>
      <c r="H107" s="84"/>
      <c r="I107" s="84"/>
      <c r="K107" s="20"/>
      <c r="M107" s="13"/>
      <c r="N107" s="13"/>
      <c r="O107" s="13"/>
      <c r="P107" s="24"/>
    </row>
    <row r="108" spans="1:16" x14ac:dyDescent="0.35">
      <c r="A108" s="13"/>
      <c r="D108" s="14"/>
      <c r="E108" s="15"/>
      <c r="F108" s="16"/>
      <c r="G108" s="17"/>
      <c r="H108" s="84"/>
      <c r="I108" s="84"/>
      <c r="K108" s="20"/>
      <c r="M108" s="13"/>
      <c r="N108" s="13"/>
      <c r="O108" s="13"/>
      <c r="P108" s="24"/>
    </row>
    <row r="109" spans="1:16" x14ac:dyDescent="0.35">
      <c r="A109" s="13"/>
      <c r="D109" s="14"/>
      <c r="E109" s="15"/>
      <c r="F109" s="16"/>
      <c r="G109" s="17"/>
      <c r="H109" s="84"/>
      <c r="I109" s="84"/>
      <c r="K109" s="20"/>
      <c r="M109" s="13"/>
      <c r="N109" s="13"/>
      <c r="O109" s="13"/>
      <c r="P109" s="24"/>
    </row>
    <row r="110" spans="1:16" x14ac:dyDescent="0.35">
      <c r="A110" s="13"/>
      <c r="D110" s="14"/>
      <c r="E110" s="15"/>
      <c r="F110" s="16"/>
      <c r="G110" s="17"/>
      <c r="H110" s="84"/>
      <c r="I110" s="84"/>
      <c r="K110" s="20"/>
      <c r="M110" s="13"/>
      <c r="N110" s="13"/>
      <c r="O110" s="13"/>
      <c r="P110" s="24"/>
    </row>
    <row r="111" spans="1:16" x14ac:dyDescent="0.35">
      <c r="A111" s="13"/>
      <c r="D111" s="14"/>
      <c r="E111" s="15"/>
      <c r="F111" s="16"/>
      <c r="G111" s="17"/>
      <c r="H111" s="84"/>
      <c r="I111" s="84"/>
      <c r="K111" s="20"/>
      <c r="M111" s="13"/>
      <c r="N111" s="13"/>
      <c r="O111" s="13"/>
      <c r="P111" s="24"/>
    </row>
    <row r="112" spans="1:16" x14ac:dyDescent="0.35">
      <c r="A112" s="13"/>
      <c r="D112" s="14"/>
      <c r="E112" s="15"/>
      <c r="F112" s="16"/>
      <c r="G112" s="17"/>
      <c r="H112" s="84"/>
      <c r="I112" s="84"/>
      <c r="K112" s="20"/>
      <c r="M112" s="13"/>
      <c r="N112" s="13"/>
      <c r="O112" s="13"/>
      <c r="P112" s="24"/>
    </row>
    <row r="113" spans="1:16" x14ac:dyDescent="0.35">
      <c r="A113" s="13"/>
      <c r="D113" s="14"/>
      <c r="E113" s="15"/>
      <c r="F113" s="16"/>
      <c r="G113" s="17"/>
      <c r="H113" s="84"/>
      <c r="I113" s="84"/>
      <c r="K113" s="20"/>
      <c r="M113" s="13"/>
      <c r="N113" s="13"/>
      <c r="O113" s="13"/>
      <c r="P113" s="24"/>
    </row>
    <row r="114" spans="1:16" x14ac:dyDescent="0.35">
      <c r="A114" s="13"/>
      <c r="D114" s="14"/>
      <c r="E114" s="15"/>
      <c r="F114" s="16"/>
      <c r="G114" s="17"/>
      <c r="H114" s="84"/>
      <c r="I114" s="84"/>
      <c r="K114" s="20"/>
      <c r="M114" s="13"/>
      <c r="N114" s="13"/>
      <c r="O114" s="13"/>
      <c r="P114" s="24"/>
    </row>
    <row r="115" spans="1:16" x14ac:dyDescent="0.35">
      <c r="A115" s="13"/>
      <c r="D115" s="14"/>
      <c r="E115" s="15"/>
      <c r="F115" s="16"/>
      <c r="G115" s="17"/>
      <c r="H115" s="84"/>
      <c r="I115" s="84"/>
      <c r="K115" s="20"/>
      <c r="M115" s="13"/>
      <c r="N115" s="13"/>
      <c r="O115" s="13"/>
      <c r="P115" s="24"/>
    </row>
    <row r="116" spans="1:16" x14ac:dyDescent="0.35">
      <c r="A116" s="13"/>
      <c r="D116" s="14"/>
      <c r="E116" s="15"/>
      <c r="F116" s="16"/>
      <c r="G116" s="17"/>
      <c r="H116" s="84"/>
      <c r="I116" s="84"/>
      <c r="K116" s="20"/>
      <c r="M116" s="13"/>
      <c r="N116" s="13"/>
      <c r="O116" s="13"/>
      <c r="P116" s="24"/>
    </row>
    <row r="117" spans="1:16" x14ac:dyDescent="0.35">
      <c r="A117" s="13"/>
      <c r="D117" s="14"/>
      <c r="E117" s="15"/>
      <c r="F117" s="16"/>
      <c r="G117" s="17"/>
      <c r="H117" s="84"/>
      <c r="I117" s="84"/>
      <c r="K117" s="20"/>
      <c r="M117" s="13"/>
      <c r="N117" s="13"/>
      <c r="O117" s="13"/>
      <c r="P117" s="24"/>
    </row>
    <row r="118" spans="1:16" x14ac:dyDescent="0.35">
      <c r="A118" s="13"/>
      <c r="D118" s="14"/>
      <c r="E118" s="15"/>
      <c r="F118" s="16"/>
      <c r="G118" s="17"/>
      <c r="H118" s="84"/>
      <c r="I118" s="84"/>
      <c r="K118" s="20"/>
      <c r="M118" s="13"/>
      <c r="N118" s="13"/>
      <c r="O118" s="13"/>
      <c r="P118" s="24"/>
    </row>
    <row r="119" spans="1:16" x14ac:dyDescent="0.35">
      <c r="A119" s="13"/>
      <c r="D119" s="14"/>
      <c r="E119" s="15"/>
      <c r="F119" s="16"/>
      <c r="G119" s="17"/>
      <c r="H119" s="84"/>
      <c r="I119" s="84"/>
      <c r="K119" s="20"/>
      <c r="M119" s="13"/>
      <c r="N119" s="13"/>
      <c r="O119" s="13"/>
      <c r="P119" s="24"/>
    </row>
    <row r="120" spans="1:16" x14ac:dyDescent="0.35">
      <c r="A120" s="13"/>
      <c r="D120" s="14"/>
      <c r="E120" s="15"/>
      <c r="F120" s="16"/>
      <c r="G120" s="17"/>
      <c r="H120" s="84"/>
      <c r="I120" s="84"/>
      <c r="K120" s="20"/>
      <c r="M120" s="13"/>
      <c r="N120" s="13"/>
      <c r="O120" s="13"/>
      <c r="P120" s="24"/>
    </row>
    <row r="121" spans="1:16" x14ac:dyDescent="0.35">
      <c r="A121" s="13"/>
      <c r="D121" s="14"/>
      <c r="E121" s="15"/>
      <c r="F121" s="16"/>
      <c r="G121" s="17"/>
      <c r="H121" s="84"/>
      <c r="I121" s="84"/>
      <c r="K121" s="20"/>
      <c r="M121" s="13"/>
      <c r="N121" s="13"/>
      <c r="O121" s="13"/>
      <c r="P121" s="24"/>
    </row>
    <row r="122" spans="1:16" x14ac:dyDescent="0.35">
      <c r="A122" s="13"/>
      <c r="D122" s="14"/>
      <c r="E122" s="15"/>
      <c r="F122" s="16"/>
      <c r="G122" s="17"/>
      <c r="H122" s="84"/>
      <c r="I122" s="84"/>
      <c r="K122" s="20"/>
      <c r="M122" s="13"/>
      <c r="N122" s="13"/>
      <c r="O122" s="13"/>
      <c r="P122" s="24"/>
    </row>
    <row r="123" spans="1:16" x14ac:dyDescent="0.35">
      <c r="A123" s="13"/>
      <c r="D123" s="14"/>
      <c r="E123" s="15"/>
      <c r="F123" s="16"/>
      <c r="G123" s="17"/>
      <c r="H123" s="84"/>
      <c r="I123" s="84"/>
      <c r="K123" s="20"/>
      <c r="M123" s="13"/>
      <c r="N123" s="13"/>
      <c r="O123" s="13"/>
      <c r="P123" s="24"/>
    </row>
    <row r="124" spans="1:16" x14ac:dyDescent="0.35">
      <c r="A124" s="13"/>
      <c r="D124" s="14"/>
      <c r="E124" s="15"/>
      <c r="F124" s="16"/>
      <c r="G124" s="17"/>
      <c r="H124" s="84"/>
      <c r="I124" s="84"/>
      <c r="K124" s="20"/>
      <c r="M124" s="13"/>
      <c r="N124" s="13"/>
      <c r="O124" s="13"/>
      <c r="P124" s="24"/>
    </row>
    <row r="125" spans="1:16" x14ac:dyDescent="0.35">
      <c r="A125" s="13"/>
      <c r="D125" s="14"/>
      <c r="E125" s="15"/>
      <c r="F125" s="16"/>
      <c r="G125" s="17"/>
      <c r="H125" s="84"/>
      <c r="I125" s="84"/>
      <c r="K125" s="20"/>
      <c r="M125" s="13"/>
      <c r="N125" s="13"/>
      <c r="O125" s="13"/>
      <c r="P125" s="24"/>
    </row>
    <row r="126" spans="1:16" x14ac:dyDescent="0.35">
      <c r="A126" s="13"/>
      <c r="D126" s="14"/>
      <c r="E126" s="15"/>
      <c r="F126" s="16"/>
      <c r="G126" s="17"/>
      <c r="H126" s="84"/>
      <c r="I126" s="84"/>
      <c r="K126" s="20"/>
      <c r="M126" s="13"/>
      <c r="N126" s="13"/>
      <c r="O126" s="13"/>
      <c r="P126" s="24"/>
    </row>
    <row r="127" spans="1:16" x14ac:dyDescent="0.35">
      <c r="A127" s="13"/>
      <c r="D127" s="14"/>
      <c r="E127" s="15"/>
      <c r="F127" s="16"/>
      <c r="G127" s="17"/>
      <c r="H127" s="84"/>
      <c r="I127" s="84"/>
      <c r="K127" s="20"/>
      <c r="M127" s="13"/>
      <c r="N127" s="13"/>
      <c r="O127" s="13"/>
      <c r="P127" s="24"/>
    </row>
    <row r="128" spans="1:16" x14ac:dyDescent="0.35">
      <c r="A128" s="13"/>
      <c r="D128" s="14"/>
      <c r="E128" s="15"/>
      <c r="F128" s="16"/>
      <c r="G128" s="17"/>
      <c r="H128" s="84"/>
      <c r="I128" s="84"/>
      <c r="K128" s="20"/>
      <c r="M128" s="13"/>
      <c r="N128" s="13"/>
      <c r="O128" s="13"/>
      <c r="P128" s="24"/>
    </row>
    <row r="129" spans="1:16" x14ac:dyDescent="0.35">
      <c r="A129" s="13"/>
      <c r="D129" s="14"/>
      <c r="E129" s="15"/>
      <c r="F129" s="16"/>
      <c r="G129" s="17"/>
      <c r="H129" s="84"/>
      <c r="I129" s="84"/>
      <c r="K129" s="20"/>
      <c r="M129" s="13"/>
      <c r="N129" s="13"/>
      <c r="O129" s="13"/>
      <c r="P129" s="24"/>
    </row>
    <row r="130" spans="1:16" x14ac:dyDescent="0.35">
      <c r="A130" s="13"/>
      <c r="D130" s="14"/>
      <c r="E130" s="15"/>
      <c r="F130" s="16"/>
      <c r="G130" s="17"/>
      <c r="H130" s="84"/>
      <c r="I130" s="84"/>
      <c r="K130" s="20"/>
      <c r="M130" s="13"/>
      <c r="N130" s="13"/>
      <c r="O130" s="13"/>
      <c r="P130" s="24"/>
    </row>
    <row r="131" spans="1:16" x14ac:dyDescent="0.35">
      <c r="A131" s="13"/>
      <c r="D131" s="14"/>
      <c r="E131" s="15"/>
      <c r="F131" s="16"/>
      <c r="G131" s="17"/>
      <c r="H131" s="84"/>
      <c r="I131" s="84"/>
      <c r="K131" s="20"/>
      <c r="M131" s="13"/>
      <c r="N131" s="13"/>
      <c r="O131" s="13"/>
      <c r="P131" s="24"/>
    </row>
    <row r="132" spans="1:16" x14ac:dyDescent="0.35">
      <c r="A132" s="13"/>
      <c r="D132" s="14"/>
      <c r="E132" s="15"/>
      <c r="F132" s="16"/>
      <c r="G132" s="17"/>
      <c r="H132" s="84"/>
      <c r="I132" s="84"/>
      <c r="K132" s="20"/>
      <c r="M132" s="13"/>
      <c r="N132" s="13"/>
      <c r="O132" s="13"/>
      <c r="P132" s="24"/>
    </row>
    <row r="133" spans="1:16" x14ac:dyDescent="0.35">
      <c r="A133" s="13"/>
      <c r="D133" s="14"/>
      <c r="E133" s="15"/>
      <c r="F133" s="16"/>
      <c r="G133" s="17"/>
      <c r="H133" s="84"/>
      <c r="I133" s="84"/>
      <c r="K133" s="20"/>
      <c r="M133" s="13"/>
      <c r="N133" s="13"/>
      <c r="O133" s="13"/>
      <c r="P133" s="24"/>
    </row>
    <row r="134" spans="1:16" x14ac:dyDescent="0.35">
      <c r="A134" s="13"/>
      <c r="D134" s="14"/>
      <c r="E134" s="15"/>
      <c r="F134" s="16"/>
      <c r="G134" s="17"/>
      <c r="H134" s="84"/>
      <c r="I134" s="84"/>
      <c r="K134" s="20"/>
      <c r="M134" s="13"/>
      <c r="N134" s="13"/>
      <c r="O134" s="13"/>
      <c r="P134" s="24"/>
    </row>
    <row r="135" spans="1:16" x14ac:dyDescent="0.35">
      <c r="A135" s="13"/>
      <c r="D135" s="14"/>
      <c r="E135" s="15"/>
      <c r="F135" s="16"/>
      <c r="G135" s="17"/>
      <c r="H135" s="84"/>
      <c r="I135" s="84"/>
      <c r="K135" s="20"/>
      <c r="M135" s="13"/>
      <c r="N135" s="13"/>
      <c r="O135" s="13"/>
      <c r="P135" s="24"/>
    </row>
    <row r="136" spans="1:16" x14ac:dyDescent="0.35">
      <c r="A136" s="13"/>
      <c r="D136" s="14"/>
      <c r="E136" s="15"/>
      <c r="F136" s="16"/>
      <c r="G136" s="17"/>
      <c r="H136" s="84"/>
      <c r="I136" s="84"/>
      <c r="K136" s="20"/>
      <c r="M136" s="13"/>
      <c r="N136" s="13"/>
      <c r="O136" s="13"/>
      <c r="P136" s="24"/>
    </row>
    <row r="137" spans="1:16" x14ac:dyDescent="0.35">
      <c r="A137" s="13"/>
      <c r="D137" s="14"/>
      <c r="E137" s="15"/>
      <c r="F137" s="16"/>
      <c r="G137" s="17"/>
      <c r="H137" s="84"/>
      <c r="I137" s="84"/>
      <c r="K137" s="20"/>
      <c r="M137" s="13"/>
      <c r="N137" s="13"/>
      <c r="O137" s="13"/>
      <c r="P137" s="24"/>
    </row>
    <row r="138" spans="1:16" x14ac:dyDescent="0.35">
      <c r="A138" s="13"/>
      <c r="D138" s="14"/>
      <c r="E138" s="15"/>
      <c r="F138" s="16"/>
      <c r="G138" s="17"/>
      <c r="H138" s="84"/>
      <c r="I138" s="84"/>
      <c r="K138" s="20"/>
      <c r="M138" s="13"/>
      <c r="N138" s="13"/>
      <c r="O138" s="13"/>
      <c r="P138" s="24"/>
    </row>
    <row r="139" spans="1:16" x14ac:dyDescent="0.35">
      <c r="A139" s="13"/>
      <c r="D139" s="14"/>
      <c r="E139" s="15"/>
      <c r="F139" s="16"/>
      <c r="G139" s="17"/>
      <c r="H139" s="84"/>
      <c r="I139" s="84"/>
      <c r="K139" s="20"/>
      <c r="M139" s="13"/>
      <c r="N139" s="13"/>
      <c r="O139" s="13"/>
      <c r="P139" s="24"/>
    </row>
    <row r="140" spans="1:16" x14ac:dyDescent="0.35">
      <c r="A140" s="13"/>
      <c r="D140" s="14"/>
      <c r="E140" s="15"/>
      <c r="F140" s="16"/>
      <c r="G140" s="17"/>
      <c r="H140" s="84"/>
      <c r="I140" s="84"/>
      <c r="K140" s="20"/>
      <c r="M140" s="13"/>
      <c r="N140" s="13"/>
      <c r="O140" s="13"/>
      <c r="P140" s="24"/>
    </row>
    <row r="141" spans="1:16" x14ac:dyDescent="0.35">
      <c r="A141" s="13"/>
      <c r="D141" s="14"/>
      <c r="E141" s="15"/>
      <c r="F141" s="16"/>
      <c r="G141" s="17"/>
      <c r="H141" s="84"/>
      <c r="I141" s="84"/>
      <c r="K141" s="20"/>
      <c r="M141" s="13"/>
      <c r="N141" s="13"/>
      <c r="O141" s="13"/>
      <c r="P141" s="24"/>
    </row>
    <row r="142" spans="1:16" x14ac:dyDescent="0.35">
      <c r="A142" s="13"/>
      <c r="D142" s="14"/>
      <c r="E142" s="15"/>
      <c r="F142" s="16"/>
      <c r="G142" s="17"/>
      <c r="H142" s="84"/>
      <c r="I142" s="84"/>
      <c r="K142" s="20"/>
      <c r="M142" s="13"/>
      <c r="N142" s="13"/>
      <c r="O142" s="13"/>
      <c r="P142" s="24"/>
    </row>
    <row r="143" spans="1:16" x14ac:dyDescent="0.35">
      <c r="A143" s="13"/>
      <c r="D143" s="14"/>
      <c r="E143" s="15"/>
      <c r="F143" s="16"/>
      <c r="G143" s="17"/>
      <c r="H143" s="84"/>
      <c r="I143" s="84"/>
      <c r="K143" s="20"/>
      <c r="M143" s="13"/>
      <c r="N143" s="13"/>
      <c r="O143" s="13"/>
      <c r="P143" s="24"/>
    </row>
    <row r="144" spans="1:16" x14ac:dyDescent="0.35">
      <c r="A144" s="13"/>
      <c r="D144" s="14"/>
      <c r="E144" s="15"/>
      <c r="F144" s="16"/>
      <c r="G144" s="17"/>
      <c r="H144" s="84"/>
      <c r="I144" s="84"/>
      <c r="K144" s="20"/>
      <c r="M144" s="13"/>
      <c r="N144" s="13"/>
      <c r="O144" s="13"/>
      <c r="P144" s="24"/>
    </row>
    <row r="145" spans="1:16" x14ac:dyDescent="0.35">
      <c r="A145" s="13"/>
      <c r="D145" s="14"/>
      <c r="E145" s="15"/>
      <c r="F145" s="16"/>
      <c r="G145" s="17"/>
      <c r="H145" s="84"/>
      <c r="I145" s="84"/>
      <c r="K145" s="20"/>
      <c r="M145" s="13"/>
      <c r="N145" s="13"/>
      <c r="O145" s="13"/>
      <c r="P145" s="24"/>
    </row>
    <row r="146" spans="1:16" x14ac:dyDescent="0.35">
      <c r="A146" s="13"/>
      <c r="D146" s="14"/>
      <c r="E146" s="15"/>
      <c r="F146" s="16"/>
      <c r="G146" s="17"/>
      <c r="H146" s="84"/>
      <c r="I146" s="84"/>
      <c r="K146" s="20"/>
      <c r="M146" s="13"/>
      <c r="N146" s="13"/>
      <c r="O146" s="13"/>
      <c r="P146" s="24"/>
    </row>
    <row r="147" spans="1:16" x14ac:dyDescent="0.35">
      <c r="A147" s="13"/>
      <c r="D147" s="14"/>
      <c r="E147" s="15"/>
      <c r="F147" s="16"/>
      <c r="G147" s="17"/>
      <c r="H147" s="84"/>
      <c r="I147" s="84"/>
      <c r="K147" s="20"/>
      <c r="M147" s="13"/>
      <c r="N147" s="13"/>
      <c r="O147" s="13"/>
      <c r="P147" s="24"/>
    </row>
    <row r="148" spans="1:16" x14ac:dyDescent="0.35">
      <c r="A148" s="13"/>
      <c r="D148" s="14"/>
      <c r="E148" s="15"/>
      <c r="F148" s="16"/>
      <c r="G148" s="17"/>
      <c r="H148" s="84"/>
      <c r="I148" s="84"/>
      <c r="K148" s="20"/>
      <c r="M148" s="13"/>
      <c r="N148" s="13"/>
      <c r="O148" s="13"/>
      <c r="P148" s="24"/>
    </row>
    <row r="149" spans="1:16" x14ac:dyDescent="0.35">
      <c r="A149" s="13"/>
      <c r="D149" s="14"/>
      <c r="E149" s="15"/>
      <c r="F149" s="16"/>
      <c r="G149" s="17"/>
      <c r="H149" s="84"/>
      <c r="I149" s="84"/>
      <c r="K149" s="20"/>
      <c r="M149" s="13"/>
      <c r="N149" s="13"/>
      <c r="O149" s="13"/>
      <c r="P149" s="24"/>
    </row>
    <row r="150" spans="1:16" x14ac:dyDescent="0.35">
      <c r="A150" s="13"/>
      <c r="D150" s="14"/>
      <c r="E150" s="15"/>
      <c r="F150" s="16"/>
      <c r="G150" s="17"/>
      <c r="H150" s="84"/>
      <c r="I150" s="84"/>
      <c r="K150" s="20"/>
      <c r="M150" s="13"/>
      <c r="N150" s="13"/>
      <c r="O150" s="13"/>
      <c r="P150" s="24"/>
    </row>
    <row r="151" spans="1:16" x14ac:dyDescent="0.35">
      <c r="A151" s="13"/>
      <c r="D151" s="14"/>
      <c r="E151" s="15"/>
      <c r="F151" s="16"/>
      <c r="G151" s="17"/>
      <c r="H151" s="84"/>
      <c r="I151" s="84"/>
      <c r="K151" s="20"/>
      <c r="M151" s="13"/>
      <c r="N151" s="13"/>
      <c r="O151" s="13"/>
      <c r="P151" s="24"/>
    </row>
    <row r="152" spans="1:16" x14ac:dyDescent="0.35">
      <c r="A152" s="13"/>
      <c r="D152" s="14"/>
      <c r="E152" s="15"/>
      <c r="F152" s="16"/>
      <c r="G152" s="17"/>
      <c r="H152" s="84"/>
      <c r="I152" s="84"/>
      <c r="K152" s="20"/>
      <c r="M152" s="13"/>
      <c r="N152" s="13"/>
      <c r="O152" s="13"/>
      <c r="P152" s="24"/>
    </row>
    <row r="153" spans="1:16" x14ac:dyDescent="0.35">
      <c r="A153" s="13"/>
      <c r="D153" s="14"/>
      <c r="E153" s="15"/>
      <c r="F153" s="16"/>
      <c r="G153" s="17"/>
      <c r="H153" s="84"/>
      <c r="I153" s="84"/>
      <c r="K153" s="20"/>
      <c r="M153" s="13"/>
      <c r="N153" s="13"/>
      <c r="O153" s="13"/>
      <c r="P153" s="24"/>
    </row>
    <row r="154" spans="1:16" x14ac:dyDescent="0.35">
      <c r="A154" s="13"/>
      <c r="D154" s="14"/>
      <c r="E154" s="15"/>
      <c r="F154" s="16"/>
      <c r="G154" s="17"/>
      <c r="H154" s="84"/>
      <c r="I154" s="84"/>
      <c r="K154" s="20"/>
      <c r="M154" s="13"/>
      <c r="N154" s="13"/>
      <c r="O154" s="13"/>
      <c r="P154" s="24"/>
    </row>
    <row r="155" spans="1:16" x14ac:dyDescent="0.35">
      <c r="A155" s="13"/>
      <c r="D155" s="14"/>
      <c r="E155" s="15"/>
      <c r="F155" s="16"/>
      <c r="G155" s="17"/>
      <c r="H155" s="84"/>
      <c r="I155" s="84"/>
      <c r="K155" s="20"/>
      <c r="M155" s="13"/>
      <c r="N155" s="13"/>
      <c r="O155" s="13"/>
      <c r="P155" s="24"/>
    </row>
    <row r="156" spans="1:16" x14ac:dyDescent="0.35">
      <c r="A156" s="13"/>
      <c r="D156" s="14"/>
      <c r="E156" s="15"/>
      <c r="F156" s="16"/>
      <c r="G156" s="17"/>
      <c r="H156" s="84"/>
      <c r="I156" s="84"/>
      <c r="K156" s="20"/>
      <c r="M156" s="13"/>
      <c r="N156" s="13"/>
      <c r="O156" s="13"/>
      <c r="P156" s="24"/>
    </row>
    <row r="157" spans="1:16" x14ac:dyDescent="0.35">
      <c r="A157" s="13"/>
      <c r="D157" s="14"/>
      <c r="E157" s="15"/>
      <c r="F157" s="16"/>
      <c r="G157" s="17"/>
      <c r="H157" s="84"/>
      <c r="I157" s="84"/>
      <c r="K157" s="20"/>
      <c r="M157" s="13"/>
      <c r="N157" s="13"/>
      <c r="O157" s="13"/>
      <c r="P157" s="24"/>
    </row>
    <row r="158" spans="1:16" x14ac:dyDescent="0.35">
      <c r="A158" s="13"/>
      <c r="D158" s="14"/>
      <c r="E158" s="15"/>
      <c r="F158" s="16"/>
      <c r="G158" s="17"/>
      <c r="H158" s="84"/>
      <c r="I158" s="84"/>
      <c r="K158" s="20"/>
      <c r="M158" s="13"/>
      <c r="N158" s="13"/>
      <c r="O158" s="13"/>
      <c r="P158" s="24"/>
    </row>
    <row r="159" spans="1:16" x14ac:dyDescent="0.35">
      <c r="A159" s="13"/>
      <c r="D159" s="14"/>
      <c r="E159" s="15"/>
      <c r="F159" s="16"/>
      <c r="G159" s="17"/>
      <c r="H159" s="84"/>
      <c r="I159" s="84"/>
      <c r="K159" s="20"/>
      <c r="M159" s="13"/>
      <c r="N159" s="13"/>
      <c r="O159" s="13"/>
      <c r="P159" s="24"/>
    </row>
    <row r="160" spans="1:16" x14ac:dyDescent="0.35">
      <c r="A160" s="13"/>
      <c r="D160" s="14"/>
      <c r="E160" s="15"/>
      <c r="F160" s="16"/>
      <c r="G160" s="17"/>
      <c r="H160" s="84"/>
      <c r="I160" s="84"/>
      <c r="K160" s="20"/>
      <c r="M160" s="13"/>
      <c r="N160" s="13"/>
      <c r="O160" s="13"/>
      <c r="P160" s="24"/>
    </row>
    <row r="161" spans="1:16" x14ac:dyDescent="0.35">
      <c r="A161" s="13"/>
      <c r="D161" s="14"/>
      <c r="E161" s="15"/>
      <c r="F161" s="16"/>
      <c r="G161" s="17"/>
      <c r="H161" s="84"/>
      <c r="I161" s="84"/>
      <c r="K161" s="20"/>
      <c r="M161" s="13"/>
      <c r="N161" s="13"/>
      <c r="O161" s="13"/>
      <c r="P161" s="24"/>
    </row>
    <row r="162" spans="1:16" x14ac:dyDescent="0.35">
      <c r="A162" s="13"/>
      <c r="D162" s="14"/>
      <c r="E162" s="15"/>
      <c r="F162" s="16"/>
      <c r="G162" s="17"/>
      <c r="H162" s="84"/>
      <c r="I162" s="84"/>
      <c r="K162" s="20"/>
      <c r="M162" s="13"/>
      <c r="N162" s="13"/>
      <c r="O162" s="13"/>
      <c r="P162" s="24"/>
    </row>
    <row r="163" spans="1:16" x14ac:dyDescent="0.35">
      <c r="A163" s="13"/>
      <c r="D163" s="14"/>
      <c r="E163" s="15"/>
      <c r="F163" s="16"/>
      <c r="G163" s="17"/>
      <c r="H163" s="84"/>
      <c r="I163" s="84"/>
      <c r="K163" s="20"/>
      <c r="M163" s="13"/>
      <c r="N163" s="13"/>
      <c r="O163" s="13"/>
      <c r="P163" s="24"/>
    </row>
    <row r="164" spans="1:16" x14ac:dyDescent="0.35">
      <c r="A164" s="13"/>
      <c r="D164" s="14"/>
      <c r="E164" s="15"/>
      <c r="F164" s="16"/>
      <c r="G164" s="17"/>
      <c r="H164" s="84"/>
      <c r="I164" s="84"/>
      <c r="K164" s="20"/>
      <c r="M164" s="13"/>
      <c r="N164" s="13"/>
      <c r="O164" s="13"/>
      <c r="P164" s="24"/>
    </row>
    <row r="165" spans="1:16" x14ac:dyDescent="0.35">
      <c r="A165" s="13"/>
      <c r="D165" s="14"/>
      <c r="E165" s="15"/>
      <c r="F165" s="16"/>
      <c r="G165" s="17"/>
      <c r="H165" s="84"/>
      <c r="I165" s="84"/>
      <c r="K165" s="20"/>
      <c r="M165" s="13"/>
      <c r="N165" s="13"/>
      <c r="O165" s="13"/>
      <c r="P165" s="24"/>
    </row>
    <row r="166" spans="1:16" x14ac:dyDescent="0.35">
      <c r="A166" s="13"/>
      <c r="D166" s="14"/>
      <c r="E166" s="15"/>
      <c r="F166" s="16"/>
      <c r="G166" s="17"/>
      <c r="H166" s="84"/>
      <c r="I166" s="84"/>
      <c r="K166" s="20"/>
      <c r="M166" s="13"/>
      <c r="N166" s="13"/>
      <c r="O166" s="13"/>
      <c r="P166" s="24"/>
    </row>
    <row r="167" spans="1:16" x14ac:dyDescent="0.35">
      <c r="A167" s="13"/>
      <c r="D167" s="14"/>
      <c r="E167" s="15"/>
      <c r="F167" s="16"/>
      <c r="G167" s="17"/>
      <c r="H167" s="84"/>
      <c r="I167" s="84"/>
      <c r="K167" s="20"/>
      <c r="M167" s="13"/>
      <c r="N167" s="13"/>
      <c r="O167" s="13"/>
      <c r="P167" s="24"/>
    </row>
    <row r="168" spans="1:16" x14ac:dyDescent="0.35">
      <c r="A168" s="13"/>
      <c r="D168" s="14"/>
      <c r="E168" s="15"/>
      <c r="F168" s="16"/>
      <c r="G168" s="17"/>
      <c r="H168" s="84"/>
      <c r="I168" s="84"/>
      <c r="K168" s="20"/>
      <c r="M168" s="13"/>
      <c r="N168" s="13"/>
      <c r="O168" s="13"/>
      <c r="P168" s="24"/>
    </row>
    <row r="169" spans="1:16" x14ac:dyDescent="0.35">
      <c r="A169" s="13"/>
      <c r="D169" s="14"/>
      <c r="E169" s="15"/>
      <c r="F169" s="16"/>
      <c r="G169" s="17"/>
      <c r="H169" s="84"/>
      <c r="I169" s="84"/>
      <c r="K169" s="20"/>
      <c r="M169" s="13"/>
      <c r="N169" s="13"/>
      <c r="O169" s="13"/>
      <c r="P169" s="24"/>
    </row>
    <row r="170" spans="1:16" x14ac:dyDescent="0.35">
      <c r="A170" s="13"/>
      <c r="D170" s="14"/>
      <c r="E170" s="15"/>
      <c r="F170" s="16"/>
      <c r="G170" s="17"/>
      <c r="H170" s="84"/>
      <c r="I170" s="84"/>
      <c r="K170" s="20"/>
      <c r="M170" s="13"/>
      <c r="N170" s="13"/>
      <c r="O170" s="13"/>
      <c r="P170" s="24"/>
    </row>
    <row r="171" spans="1:16" x14ac:dyDescent="0.35">
      <c r="A171" s="13"/>
      <c r="D171" s="14"/>
      <c r="E171" s="15"/>
      <c r="F171" s="16"/>
      <c r="G171" s="17"/>
      <c r="H171" s="84"/>
      <c r="I171" s="84"/>
      <c r="K171" s="20"/>
      <c r="M171" s="13"/>
      <c r="N171" s="13"/>
      <c r="O171" s="13"/>
      <c r="P171" s="24"/>
    </row>
    <row r="172" spans="1:16" x14ac:dyDescent="0.35">
      <c r="A172" s="13"/>
      <c r="D172" s="14"/>
      <c r="E172" s="15"/>
      <c r="F172" s="16"/>
      <c r="G172" s="17"/>
      <c r="H172" s="84"/>
      <c r="I172" s="84"/>
      <c r="K172" s="20"/>
      <c r="M172" s="13"/>
      <c r="N172" s="13"/>
      <c r="O172" s="13"/>
      <c r="P172" s="24"/>
    </row>
    <row r="173" spans="1:16" x14ac:dyDescent="0.35">
      <c r="A173" s="13"/>
      <c r="D173" s="14"/>
      <c r="E173" s="15"/>
      <c r="F173" s="16"/>
      <c r="G173" s="17"/>
      <c r="H173" s="84"/>
      <c r="I173" s="84"/>
      <c r="K173" s="20"/>
      <c r="M173" s="13"/>
      <c r="N173" s="13"/>
      <c r="O173" s="13"/>
      <c r="P173" s="24"/>
    </row>
    <row r="174" spans="1:16" x14ac:dyDescent="0.35">
      <c r="A174" s="13"/>
      <c r="D174" s="14"/>
      <c r="E174" s="15"/>
      <c r="F174" s="16"/>
      <c r="G174" s="17"/>
      <c r="H174" s="84"/>
      <c r="I174" s="84"/>
      <c r="K174" s="20"/>
      <c r="M174" s="13"/>
      <c r="N174" s="13"/>
      <c r="O174" s="13"/>
      <c r="P174" s="24"/>
    </row>
    <row r="175" spans="1:16" x14ac:dyDescent="0.35">
      <c r="A175" s="13"/>
      <c r="D175" s="14"/>
      <c r="E175" s="15"/>
      <c r="F175" s="16"/>
      <c r="G175" s="17"/>
      <c r="H175" s="84"/>
      <c r="I175" s="84"/>
      <c r="K175" s="20"/>
      <c r="M175" s="13"/>
      <c r="N175" s="13"/>
      <c r="O175" s="13"/>
      <c r="P175" s="24"/>
    </row>
    <row r="176" spans="1:16" x14ac:dyDescent="0.35">
      <c r="A176" s="13"/>
      <c r="D176" s="14"/>
      <c r="E176" s="15"/>
      <c r="F176" s="16"/>
      <c r="G176" s="17"/>
      <c r="H176" s="84"/>
      <c r="I176" s="84"/>
      <c r="K176" s="20"/>
      <c r="M176" s="13"/>
      <c r="N176" s="13"/>
      <c r="O176" s="13"/>
      <c r="P176" s="24"/>
    </row>
    <row r="177" spans="1:16" x14ac:dyDescent="0.35">
      <c r="A177" s="13"/>
      <c r="D177" s="14"/>
      <c r="E177" s="15"/>
      <c r="F177" s="16"/>
      <c r="G177" s="17"/>
      <c r="H177" s="84"/>
      <c r="I177" s="84"/>
      <c r="K177" s="20"/>
      <c r="M177" s="13"/>
      <c r="N177" s="13"/>
      <c r="O177" s="13"/>
      <c r="P177" s="24"/>
    </row>
    <row r="178" spans="1:16" x14ac:dyDescent="0.35">
      <c r="A178" s="13"/>
      <c r="D178" s="14"/>
      <c r="E178" s="15"/>
      <c r="F178" s="16"/>
      <c r="G178" s="17"/>
      <c r="H178" s="84"/>
      <c r="I178" s="84"/>
      <c r="K178" s="20"/>
      <c r="M178" s="13"/>
      <c r="N178" s="13"/>
      <c r="O178" s="13"/>
      <c r="P178" s="24"/>
    </row>
    <row r="179" spans="1:16" x14ac:dyDescent="0.35">
      <c r="A179" s="13"/>
      <c r="D179" s="14"/>
      <c r="E179" s="15"/>
      <c r="F179" s="16"/>
      <c r="G179" s="17"/>
      <c r="H179" s="84"/>
      <c r="I179" s="84"/>
      <c r="K179" s="20"/>
      <c r="M179" s="13"/>
      <c r="N179" s="13"/>
      <c r="O179" s="13"/>
      <c r="P179" s="24"/>
    </row>
    <row r="180" spans="1:16" x14ac:dyDescent="0.35">
      <c r="A180" s="13"/>
      <c r="D180" s="14"/>
      <c r="E180" s="15"/>
      <c r="F180" s="16"/>
      <c r="G180" s="17"/>
      <c r="H180" s="84"/>
      <c r="I180" s="84"/>
      <c r="K180" s="20"/>
      <c r="M180" s="13"/>
      <c r="N180" s="13"/>
      <c r="O180" s="13"/>
      <c r="P180" s="24"/>
    </row>
    <row r="181" spans="1:16" x14ac:dyDescent="0.35">
      <c r="A181" s="13"/>
      <c r="D181" s="14"/>
      <c r="E181" s="15"/>
      <c r="F181" s="16"/>
      <c r="G181" s="17"/>
      <c r="H181" s="84"/>
      <c r="I181" s="84"/>
      <c r="K181" s="20"/>
      <c r="M181" s="13"/>
      <c r="N181" s="13"/>
      <c r="O181" s="13"/>
      <c r="P181" s="24"/>
    </row>
    <row r="182" spans="1:16" x14ac:dyDescent="0.35">
      <c r="A182" s="13"/>
      <c r="D182" s="14"/>
      <c r="E182" s="15"/>
      <c r="F182" s="16"/>
      <c r="G182" s="17"/>
      <c r="H182" s="84"/>
      <c r="I182" s="84"/>
      <c r="K182" s="20"/>
      <c r="M182" s="13"/>
      <c r="N182" s="13"/>
      <c r="O182" s="13"/>
      <c r="P182" s="24"/>
    </row>
    <row r="183" spans="1:16" x14ac:dyDescent="0.35">
      <c r="A183" s="13"/>
      <c r="D183" s="14"/>
      <c r="E183" s="15"/>
      <c r="F183" s="16"/>
      <c r="G183" s="17"/>
      <c r="H183" s="84"/>
      <c r="I183" s="84"/>
      <c r="K183" s="20"/>
      <c r="M183" s="13"/>
      <c r="N183" s="13"/>
      <c r="O183" s="13"/>
      <c r="P183" s="24"/>
    </row>
    <row r="184" spans="1:16" x14ac:dyDescent="0.35">
      <c r="A184" s="13"/>
      <c r="D184" s="14"/>
      <c r="E184" s="15"/>
      <c r="F184" s="16"/>
      <c r="G184" s="17"/>
      <c r="H184" s="84"/>
      <c r="I184" s="84"/>
      <c r="K184" s="20"/>
      <c r="M184" s="13"/>
      <c r="N184" s="13"/>
      <c r="O184" s="13"/>
      <c r="P184" s="24"/>
    </row>
    <row r="185" spans="1:16" x14ac:dyDescent="0.35">
      <c r="A185" s="13"/>
      <c r="D185" s="14"/>
      <c r="E185" s="15"/>
      <c r="F185" s="16"/>
      <c r="G185" s="17"/>
      <c r="H185" s="84"/>
      <c r="I185" s="84"/>
      <c r="K185" s="20"/>
      <c r="L185" s="96"/>
      <c r="M185" s="42"/>
      <c r="N185" s="42"/>
      <c r="O185" s="42"/>
      <c r="P185" s="24"/>
    </row>
    <row r="186" spans="1:16" x14ac:dyDescent="0.35">
      <c r="A186" s="13"/>
      <c r="D186" s="14"/>
      <c r="E186" s="15"/>
      <c r="F186" s="16"/>
      <c r="G186" s="17"/>
      <c r="H186" s="84"/>
      <c r="I186" s="84"/>
      <c r="K186" s="20"/>
      <c r="L186" s="96"/>
      <c r="M186" s="42"/>
      <c r="N186" s="42"/>
      <c r="O186" s="42"/>
      <c r="P186" s="24"/>
    </row>
    <row r="187" spans="1:16" x14ac:dyDescent="0.35">
      <c r="A187" s="13"/>
      <c r="D187" s="14"/>
      <c r="E187" s="15"/>
      <c r="F187" s="16"/>
      <c r="G187" s="17"/>
      <c r="H187" s="84"/>
      <c r="I187" s="84"/>
      <c r="K187" s="20"/>
      <c r="L187" s="96"/>
      <c r="M187" s="42"/>
      <c r="N187" s="42"/>
      <c r="O187" s="42"/>
      <c r="P187" s="24"/>
    </row>
    <row r="188" spans="1:16" x14ac:dyDescent="0.35">
      <c r="A188" s="13"/>
      <c r="D188" s="14"/>
      <c r="E188" s="15"/>
      <c r="F188" s="16"/>
      <c r="G188" s="17"/>
      <c r="H188" s="84"/>
      <c r="I188" s="84"/>
      <c r="K188" s="20"/>
      <c r="L188" s="96"/>
      <c r="M188" s="42"/>
      <c r="N188" s="42"/>
      <c r="O188" s="42"/>
      <c r="P188" s="24"/>
    </row>
    <row r="189" spans="1:16" x14ac:dyDescent="0.35">
      <c r="A189" s="13"/>
      <c r="D189" s="14"/>
      <c r="E189" s="15"/>
      <c r="F189" s="16"/>
      <c r="G189" s="17"/>
      <c r="H189" s="84"/>
      <c r="I189" s="84"/>
      <c r="K189" s="20"/>
      <c r="L189" s="96"/>
      <c r="M189" s="42"/>
      <c r="N189" s="42"/>
      <c r="O189" s="42"/>
      <c r="P189" s="24"/>
    </row>
    <row r="190" spans="1:16" x14ac:dyDescent="0.35">
      <c r="A190" s="13"/>
      <c r="D190" s="14"/>
      <c r="E190" s="15"/>
      <c r="F190" s="16"/>
      <c r="G190" s="17"/>
      <c r="H190" s="84"/>
      <c r="I190" s="84"/>
      <c r="K190" s="20"/>
      <c r="L190" s="96"/>
      <c r="M190" s="42"/>
      <c r="N190" s="42"/>
      <c r="O190" s="42"/>
      <c r="P190" s="24"/>
    </row>
    <row r="191" spans="1:16" x14ac:dyDescent="0.35">
      <c r="A191" s="13"/>
      <c r="D191" s="14"/>
      <c r="E191" s="15"/>
      <c r="F191" s="16"/>
      <c r="G191" s="17"/>
      <c r="H191" s="84"/>
      <c r="I191" s="84"/>
      <c r="K191" s="20"/>
      <c r="L191" s="96"/>
      <c r="M191" s="42"/>
      <c r="N191" s="42"/>
      <c r="O191" s="42"/>
      <c r="P191" s="24"/>
    </row>
    <row r="192" spans="1:16" x14ac:dyDescent="0.35">
      <c r="A192" s="13"/>
      <c r="D192" s="14"/>
      <c r="E192" s="15"/>
      <c r="F192" s="16"/>
      <c r="G192" s="17"/>
      <c r="H192" s="84"/>
      <c r="I192" s="84"/>
      <c r="K192" s="20"/>
      <c r="L192" s="96"/>
      <c r="M192" s="42"/>
      <c r="N192" s="42"/>
      <c r="O192" s="42"/>
      <c r="P192" s="24"/>
    </row>
    <row r="193" spans="1:16" x14ac:dyDescent="0.35">
      <c r="A193" s="13"/>
      <c r="D193" s="14"/>
      <c r="E193" s="15"/>
      <c r="F193" s="16"/>
      <c r="G193" s="17"/>
      <c r="H193" s="84"/>
      <c r="I193" s="84"/>
      <c r="K193" s="20"/>
      <c r="L193" s="96"/>
      <c r="M193" s="42"/>
      <c r="N193" s="42"/>
      <c r="O193" s="42"/>
      <c r="P193" s="24"/>
    </row>
    <row r="194" spans="1:16" x14ac:dyDescent="0.35">
      <c r="A194" s="13"/>
      <c r="D194" s="14"/>
      <c r="E194" s="15"/>
      <c r="F194" s="16"/>
      <c r="G194" s="17"/>
      <c r="H194" s="84"/>
      <c r="I194" s="84"/>
      <c r="K194" s="20"/>
      <c r="L194" s="96"/>
      <c r="M194" s="42"/>
      <c r="N194" s="42"/>
      <c r="O194" s="42"/>
      <c r="P194" s="24"/>
    </row>
    <row r="195" spans="1:16" x14ac:dyDescent="0.35">
      <c r="A195" s="13"/>
      <c r="D195" s="14"/>
      <c r="E195" s="15"/>
      <c r="F195" s="16"/>
      <c r="G195" s="17"/>
      <c r="H195" s="84"/>
      <c r="I195" s="84"/>
      <c r="K195" s="20"/>
      <c r="L195" s="96"/>
      <c r="M195" s="42"/>
      <c r="N195" s="42"/>
      <c r="O195" s="42"/>
      <c r="P195" s="24"/>
    </row>
    <row r="196" spans="1:16" x14ac:dyDescent="0.35">
      <c r="A196" s="13"/>
      <c r="D196" s="14"/>
      <c r="E196" s="15"/>
      <c r="F196" s="16"/>
      <c r="G196" s="17"/>
      <c r="H196" s="84"/>
      <c r="I196" s="84"/>
      <c r="K196" s="20"/>
      <c r="L196" s="96"/>
      <c r="M196" s="42"/>
      <c r="N196" s="42"/>
      <c r="O196" s="42"/>
      <c r="P196" s="24"/>
    </row>
    <row r="197" spans="1:16" x14ac:dyDescent="0.35">
      <c r="A197" s="13"/>
      <c r="D197" s="14"/>
      <c r="E197" s="15"/>
      <c r="F197" s="16"/>
      <c r="G197" s="17"/>
      <c r="H197" s="84"/>
      <c r="I197" s="84"/>
      <c r="K197" s="20"/>
      <c r="L197" s="96"/>
      <c r="M197" s="42"/>
      <c r="N197" s="42"/>
      <c r="O197" s="42"/>
      <c r="P197" s="24"/>
    </row>
    <row r="198" spans="1:16" x14ac:dyDescent="0.35">
      <c r="A198" s="13"/>
      <c r="D198" s="14"/>
      <c r="E198" s="15"/>
      <c r="F198" s="16"/>
      <c r="G198" s="17"/>
      <c r="H198" s="84"/>
      <c r="I198" s="84"/>
      <c r="K198" s="20"/>
      <c r="L198" s="96"/>
      <c r="M198" s="42"/>
      <c r="N198" s="42"/>
      <c r="O198" s="42"/>
      <c r="P198" s="24"/>
    </row>
    <row r="199" spans="1:16" x14ac:dyDescent="0.35">
      <c r="A199" s="13"/>
      <c r="D199" s="14"/>
      <c r="E199" s="15"/>
      <c r="F199" s="16"/>
      <c r="G199" s="17"/>
      <c r="H199" s="84"/>
      <c r="I199" s="84"/>
      <c r="K199" s="20"/>
      <c r="L199" s="96"/>
      <c r="M199" s="42"/>
      <c r="N199" s="42"/>
      <c r="O199" s="42"/>
      <c r="P199" s="24"/>
    </row>
    <row r="200" spans="1:16" x14ac:dyDescent="0.35">
      <c r="A200" s="13"/>
      <c r="D200" s="14"/>
      <c r="E200" s="15"/>
      <c r="F200" s="16"/>
      <c r="G200" s="17"/>
      <c r="H200" s="84"/>
      <c r="I200" s="84"/>
      <c r="K200" s="20"/>
      <c r="L200" s="96"/>
      <c r="M200" s="42"/>
      <c r="N200" s="42"/>
      <c r="O200" s="42"/>
      <c r="P200" s="24"/>
    </row>
    <row r="201" spans="1:16" x14ac:dyDescent="0.35">
      <c r="A201" s="13"/>
      <c r="D201" s="14"/>
      <c r="E201" s="15"/>
      <c r="F201" s="16"/>
      <c r="G201" s="17"/>
      <c r="H201" s="84"/>
      <c r="I201" s="84"/>
      <c r="K201" s="20"/>
      <c r="L201" s="96"/>
      <c r="M201" s="42"/>
      <c r="N201" s="42"/>
      <c r="O201" s="42"/>
      <c r="P201" s="24"/>
    </row>
    <row r="202" spans="1:16" x14ac:dyDescent="0.35">
      <c r="A202" s="13"/>
      <c r="D202" s="14"/>
      <c r="E202" s="15"/>
      <c r="F202" s="16"/>
      <c r="G202" s="17"/>
      <c r="H202" s="84"/>
      <c r="I202" s="84"/>
      <c r="K202" s="20"/>
      <c r="L202" s="96"/>
      <c r="M202" s="42"/>
      <c r="N202" s="42"/>
      <c r="O202" s="42"/>
      <c r="P202" s="24"/>
    </row>
    <row r="203" spans="1:16" x14ac:dyDescent="0.35">
      <c r="A203" s="13"/>
      <c r="D203" s="14"/>
      <c r="E203" s="15"/>
      <c r="F203" s="16"/>
      <c r="G203" s="17"/>
      <c r="H203" s="84"/>
      <c r="I203" s="84"/>
      <c r="K203" s="20"/>
      <c r="L203" s="96"/>
      <c r="M203" s="42"/>
      <c r="N203" s="42"/>
      <c r="O203" s="42"/>
      <c r="P203" s="24"/>
    </row>
    <row r="204" spans="1:16" x14ac:dyDescent="0.35">
      <c r="A204" s="13"/>
      <c r="D204" s="14"/>
      <c r="E204" s="15"/>
      <c r="F204" s="16"/>
      <c r="G204" s="17"/>
      <c r="H204" s="84"/>
      <c r="I204" s="84"/>
      <c r="K204" s="20"/>
      <c r="L204" s="96"/>
      <c r="M204" s="42"/>
      <c r="N204" s="42"/>
      <c r="O204" s="42"/>
      <c r="P204" s="24"/>
    </row>
    <row r="205" spans="1:16" x14ac:dyDescent="0.35">
      <c r="A205" s="13"/>
      <c r="D205" s="14"/>
      <c r="E205" s="15"/>
      <c r="F205" s="16"/>
      <c r="G205" s="17"/>
      <c r="H205" s="84"/>
      <c r="I205" s="84"/>
      <c r="K205" s="20"/>
      <c r="L205" s="96"/>
      <c r="M205" s="42"/>
      <c r="N205" s="42"/>
      <c r="O205" s="42"/>
      <c r="P205" s="24"/>
    </row>
    <row r="206" spans="1:16" x14ac:dyDescent="0.35">
      <c r="A206" s="13"/>
      <c r="D206" s="14"/>
      <c r="E206" s="15"/>
      <c r="F206" s="16"/>
      <c r="G206" s="17"/>
      <c r="H206" s="84"/>
      <c r="I206" s="84"/>
      <c r="K206" s="20"/>
      <c r="L206" s="96"/>
      <c r="M206" s="42"/>
      <c r="N206" s="42"/>
      <c r="O206" s="42"/>
      <c r="P206" s="24"/>
    </row>
    <row r="207" spans="1:16" x14ac:dyDescent="0.35">
      <c r="A207" s="13"/>
      <c r="D207" s="14"/>
      <c r="E207" s="15"/>
      <c r="F207" s="16"/>
      <c r="G207" s="17"/>
      <c r="H207" s="84"/>
      <c r="I207" s="84"/>
      <c r="K207" s="20"/>
      <c r="L207" s="96"/>
      <c r="M207" s="42"/>
      <c r="N207" s="42"/>
      <c r="O207" s="42"/>
      <c r="P207" s="24"/>
    </row>
    <row r="208" spans="1:16" x14ac:dyDescent="0.35">
      <c r="A208" s="13"/>
      <c r="D208" s="14"/>
      <c r="E208" s="15"/>
      <c r="F208" s="16"/>
      <c r="G208" s="17"/>
      <c r="H208" s="84"/>
      <c r="I208" s="84"/>
      <c r="K208" s="20"/>
      <c r="L208" s="96"/>
      <c r="M208" s="42"/>
      <c r="N208" s="42"/>
      <c r="O208" s="42"/>
      <c r="P208" s="24"/>
    </row>
    <row r="209" spans="1:16" x14ac:dyDescent="0.35">
      <c r="A209" s="13"/>
      <c r="D209" s="14"/>
      <c r="E209" s="15"/>
      <c r="F209" s="16"/>
      <c r="G209" s="17"/>
      <c r="H209" s="84"/>
      <c r="I209" s="84"/>
      <c r="K209" s="20"/>
      <c r="L209" s="96"/>
      <c r="M209" s="42"/>
      <c r="N209" s="42"/>
      <c r="O209" s="42"/>
      <c r="P209" s="24"/>
    </row>
    <row r="210" spans="1:16" x14ac:dyDescent="0.35">
      <c r="A210" s="13"/>
      <c r="D210" s="14"/>
      <c r="E210" s="15"/>
      <c r="F210" s="16"/>
      <c r="G210" s="17"/>
      <c r="H210" s="84"/>
      <c r="I210" s="84"/>
      <c r="K210" s="20"/>
      <c r="L210" s="96"/>
      <c r="M210" s="42"/>
      <c r="N210" s="42"/>
      <c r="O210" s="42"/>
      <c r="P210" s="24"/>
    </row>
    <row r="211" spans="1:16" x14ac:dyDescent="0.35">
      <c r="A211" s="13"/>
      <c r="D211" s="14"/>
      <c r="E211" s="15"/>
      <c r="F211" s="16"/>
      <c r="G211" s="17"/>
      <c r="H211" s="84"/>
      <c r="I211" s="84"/>
      <c r="K211" s="20"/>
      <c r="L211" s="96"/>
      <c r="M211" s="42"/>
      <c r="N211" s="42"/>
      <c r="O211" s="42"/>
      <c r="P211" s="24"/>
    </row>
    <row r="212" spans="1:16" x14ac:dyDescent="0.35">
      <c r="A212" s="13"/>
      <c r="D212" s="14"/>
      <c r="E212" s="15"/>
      <c r="F212" s="16"/>
      <c r="G212" s="17"/>
      <c r="H212" s="84"/>
      <c r="I212" s="84"/>
      <c r="K212" s="20"/>
      <c r="L212" s="96"/>
      <c r="M212" s="42"/>
      <c r="N212" s="42"/>
      <c r="O212" s="42"/>
      <c r="P212" s="24"/>
    </row>
    <row r="213" spans="1:16" x14ac:dyDescent="0.35">
      <c r="A213" s="13"/>
      <c r="D213" s="14"/>
      <c r="E213" s="15"/>
      <c r="F213" s="16"/>
      <c r="G213" s="17"/>
      <c r="H213" s="84"/>
      <c r="I213" s="84"/>
      <c r="K213" s="20"/>
      <c r="L213" s="96"/>
      <c r="M213" s="42"/>
      <c r="N213" s="42"/>
      <c r="O213" s="42"/>
      <c r="P213" s="24"/>
    </row>
    <row r="214" spans="1:16" x14ac:dyDescent="0.35">
      <c r="A214" s="13"/>
      <c r="D214" s="14"/>
      <c r="E214" s="15"/>
      <c r="F214" s="16"/>
      <c r="G214" s="17"/>
      <c r="H214" s="84"/>
      <c r="I214" s="84"/>
      <c r="K214" s="20"/>
      <c r="L214" s="96"/>
      <c r="M214" s="42"/>
      <c r="N214" s="42"/>
      <c r="O214" s="42"/>
      <c r="P214" s="24"/>
    </row>
    <row r="215" spans="1:16" x14ac:dyDescent="0.35">
      <c r="A215" s="13"/>
      <c r="D215" s="14"/>
      <c r="E215" s="15"/>
      <c r="F215" s="16"/>
      <c r="G215" s="17"/>
      <c r="H215" s="84"/>
      <c r="I215" s="84"/>
      <c r="K215" s="20"/>
      <c r="M215" s="13"/>
      <c r="N215" s="13"/>
      <c r="O215" s="13"/>
      <c r="P215" s="24"/>
    </row>
    <row r="216" spans="1:16" x14ac:dyDescent="0.35">
      <c r="A216" s="13"/>
      <c r="D216" s="14"/>
      <c r="E216" s="15"/>
      <c r="F216" s="16"/>
      <c r="G216" s="17"/>
      <c r="H216" s="84"/>
      <c r="I216" s="84"/>
      <c r="K216" s="20"/>
      <c r="M216" s="13"/>
      <c r="N216" s="13"/>
      <c r="O216" s="13"/>
      <c r="P216" s="24"/>
    </row>
    <row r="217" spans="1:16" x14ac:dyDescent="0.35">
      <c r="A217" s="13"/>
      <c r="D217" s="14"/>
      <c r="E217" s="15"/>
      <c r="F217" s="16"/>
      <c r="G217" s="17"/>
      <c r="H217" s="84"/>
      <c r="I217" s="84"/>
      <c r="K217" s="20"/>
      <c r="M217" s="13"/>
      <c r="N217" s="13"/>
      <c r="O217" s="13"/>
      <c r="P217" s="24"/>
    </row>
    <row r="218" spans="1:16" x14ac:dyDescent="0.35">
      <c r="A218" s="13"/>
      <c r="D218" s="14"/>
      <c r="E218" s="15"/>
      <c r="F218" s="16"/>
      <c r="G218" s="17"/>
      <c r="H218" s="84"/>
      <c r="I218" s="84"/>
      <c r="K218" s="20"/>
      <c r="M218" s="13"/>
      <c r="N218" s="13"/>
      <c r="O218" s="13"/>
      <c r="P218" s="24"/>
    </row>
    <row r="219" spans="1:16" x14ac:dyDescent="0.35">
      <c r="A219" s="13"/>
      <c r="D219" s="14"/>
      <c r="E219" s="15"/>
      <c r="F219" s="16"/>
      <c r="G219" s="17"/>
      <c r="H219" s="84"/>
      <c r="I219" s="84"/>
      <c r="K219" s="20"/>
      <c r="M219" s="13"/>
      <c r="N219" s="13"/>
      <c r="O219" s="13"/>
      <c r="P219" s="24"/>
    </row>
    <row r="220" spans="1:16" x14ac:dyDescent="0.35">
      <c r="A220" s="13"/>
      <c r="D220" s="14"/>
      <c r="E220" s="15"/>
      <c r="F220" s="16"/>
      <c r="G220" s="17"/>
      <c r="H220" s="84"/>
      <c r="I220" s="84"/>
      <c r="K220" s="20"/>
      <c r="M220" s="13"/>
      <c r="N220" s="13"/>
      <c r="O220" s="13"/>
      <c r="P220" s="24"/>
    </row>
    <row r="221" spans="1:16" x14ac:dyDescent="0.35">
      <c r="A221" s="13"/>
      <c r="D221" s="14"/>
      <c r="E221" s="15"/>
      <c r="F221" s="16"/>
      <c r="G221" s="17"/>
      <c r="H221" s="84"/>
      <c r="I221" s="84"/>
      <c r="K221" s="20"/>
      <c r="M221" s="13"/>
      <c r="N221" s="13"/>
      <c r="O221" s="13"/>
      <c r="P221" s="24"/>
    </row>
    <row r="222" spans="1:16" x14ac:dyDescent="0.35">
      <c r="A222" s="13"/>
      <c r="D222" s="14"/>
      <c r="E222" s="15"/>
      <c r="F222" s="16"/>
      <c r="G222" s="17"/>
      <c r="H222" s="84"/>
      <c r="I222" s="84"/>
      <c r="K222" s="20"/>
      <c r="M222" s="13"/>
      <c r="N222" s="13"/>
      <c r="O222" s="13"/>
      <c r="P222" s="24"/>
    </row>
    <row r="223" spans="1:16" x14ac:dyDescent="0.35">
      <c r="A223" s="13"/>
      <c r="D223" s="14"/>
      <c r="E223" s="15"/>
      <c r="F223" s="16"/>
      <c r="G223" s="17"/>
      <c r="H223" s="84"/>
      <c r="I223" s="84"/>
      <c r="K223" s="20"/>
      <c r="M223" s="13"/>
      <c r="N223" s="13"/>
      <c r="O223" s="13"/>
      <c r="P223" s="24"/>
    </row>
    <row r="224" spans="1:16" x14ac:dyDescent="0.35">
      <c r="A224" s="13"/>
      <c r="D224" s="14"/>
      <c r="E224" s="15"/>
      <c r="F224" s="16"/>
      <c r="G224" s="17"/>
      <c r="H224" s="84"/>
      <c r="I224" s="84"/>
      <c r="K224" s="20"/>
      <c r="M224" s="13"/>
      <c r="N224" s="13"/>
      <c r="O224" s="13"/>
      <c r="P224" s="24"/>
    </row>
    <row r="225" spans="1:16" x14ac:dyDescent="0.35">
      <c r="A225" s="13"/>
      <c r="D225" s="14"/>
      <c r="E225" s="15"/>
      <c r="F225" s="16"/>
      <c r="G225" s="17"/>
      <c r="H225" s="84"/>
      <c r="I225" s="84"/>
      <c r="K225" s="20"/>
      <c r="M225" s="13"/>
      <c r="N225" s="13"/>
      <c r="O225" s="13"/>
      <c r="P225" s="24"/>
    </row>
    <row r="226" spans="1:16" x14ac:dyDescent="0.35">
      <c r="A226" s="13"/>
      <c r="D226" s="14"/>
      <c r="E226" s="15"/>
      <c r="F226" s="16"/>
      <c r="G226" s="17"/>
      <c r="H226" s="84"/>
      <c r="I226" s="84"/>
      <c r="K226" s="20"/>
      <c r="M226" s="13"/>
      <c r="N226" s="13"/>
      <c r="O226" s="13"/>
      <c r="P226" s="24"/>
    </row>
    <row r="227" spans="1:16" x14ac:dyDescent="0.35">
      <c r="A227" s="13"/>
      <c r="D227" s="14"/>
      <c r="E227" s="15"/>
      <c r="F227" s="16"/>
      <c r="G227" s="17"/>
      <c r="H227" s="84"/>
      <c r="I227" s="84"/>
      <c r="K227" s="20"/>
      <c r="M227" s="13"/>
      <c r="N227" s="13"/>
      <c r="O227" s="13"/>
      <c r="P227" s="24"/>
    </row>
    <row r="228" spans="1:16" x14ac:dyDescent="0.35">
      <c r="A228" s="13"/>
      <c r="D228" s="14"/>
      <c r="E228" s="15"/>
      <c r="F228" s="16"/>
      <c r="G228" s="17"/>
      <c r="H228" s="84"/>
      <c r="I228" s="84"/>
      <c r="K228" s="20"/>
      <c r="M228" s="13"/>
      <c r="N228" s="13"/>
      <c r="O228" s="13"/>
      <c r="P228" s="24"/>
    </row>
    <row r="229" spans="1:16" x14ac:dyDescent="0.35">
      <c r="A229" s="13"/>
      <c r="D229" s="14"/>
      <c r="E229" s="15"/>
      <c r="F229" s="16"/>
      <c r="G229" s="17"/>
      <c r="H229" s="84"/>
      <c r="I229" s="84"/>
      <c r="K229" s="20"/>
      <c r="M229" s="13"/>
      <c r="N229" s="13"/>
      <c r="O229" s="13"/>
      <c r="P229" s="24"/>
    </row>
    <row r="230" spans="1:16" x14ac:dyDescent="0.35">
      <c r="A230" s="13"/>
      <c r="D230" s="14"/>
      <c r="E230" s="15"/>
      <c r="F230" s="16"/>
      <c r="G230" s="17"/>
      <c r="H230" s="84"/>
      <c r="I230" s="84"/>
      <c r="K230" s="20"/>
      <c r="M230" s="13"/>
      <c r="N230" s="13"/>
      <c r="O230" s="13"/>
      <c r="P230" s="24"/>
    </row>
    <row r="231" spans="1:16" x14ac:dyDescent="0.35">
      <c r="A231" s="13"/>
      <c r="D231" s="14"/>
      <c r="E231" s="15"/>
      <c r="F231" s="16"/>
      <c r="G231" s="17"/>
      <c r="H231" s="84"/>
      <c r="I231" s="84"/>
      <c r="K231" s="20"/>
      <c r="M231" s="13"/>
      <c r="N231" s="13"/>
      <c r="O231" s="13"/>
      <c r="P231" s="24"/>
    </row>
    <row r="232" spans="1:16" x14ac:dyDescent="0.35">
      <c r="A232" s="13"/>
      <c r="D232" s="14"/>
      <c r="E232" s="15"/>
      <c r="F232" s="16"/>
      <c r="G232" s="17"/>
      <c r="H232" s="84"/>
      <c r="I232" s="84"/>
      <c r="K232" s="20"/>
      <c r="M232" s="13"/>
      <c r="N232" s="13"/>
      <c r="O232" s="13"/>
      <c r="P232" s="24"/>
    </row>
    <row r="233" spans="1:16" x14ac:dyDescent="0.35">
      <c r="A233" s="13"/>
      <c r="D233" s="14"/>
      <c r="E233" s="15"/>
      <c r="F233" s="16"/>
      <c r="G233" s="17"/>
      <c r="H233" s="84"/>
      <c r="I233" s="84"/>
      <c r="K233" s="20"/>
      <c r="M233" s="13"/>
      <c r="N233" s="13"/>
      <c r="O233" s="13"/>
      <c r="P233" s="24"/>
    </row>
    <row r="234" spans="1:16" x14ac:dyDescent="0.35">
      <c r="A234" s="13"/>
      <c r="D234" s="14"/>
      <c r="E234" s="15"/>
      <c r="F234" s="16"/>
      <c r="G234" s="17"/>
      <c r="H234" s="84"/>
      <c r="I234" s="84"/>
      <c r="K234" s="20"/>
      <c r="M234" s="13"/>
      <c r="N234" s="13"/>
      <c r="O234" s="13"/>
      <c r="P234" s="24"/>
    </row>
    <row r="235" spans="1:16" x14ac:dyDescent="0.35">
      <c r="A235" s="13"/>
      <c r="D235" s="14"/>
      <c r="E235" s="15"/>
      <c r="F235" s="16"/>
      <c r="G235" s="17"/>
      <c r="H235" s="84"/>
      <c r="I235" s="84"/>
      <c r="K235" s="20"/>
      <c r="M235" s="13"/>
      <c r="N235" s="13"/>
      <c r="O235" s="13"/>
      <c r="P235" s="24"/>
    </row>
    <row r="236" spans="1:16" x14ac:dyDescent="0.35">
      <c r="A236" s="13"/>
      <c r="D236" s="14"/>
      <c r="E236" s="15"/>
      <c r="F236" s="16"/>
      <c r="G236" s="17"/>
      <c r="H236" s="84"/>
      <c r="I236" s="84"/>
      <c r="K236" s="20"/>
      <c r="M236" s="13"/>
      <c r="N236" s="13"/>
      <c r="O236" s="13"/>
      <c r="P236" s="24"/>
    </row>
    <row r="237" spans="1:16" x14ac:dyDescent="0.35">
      <c r="A237" s="13"/>
      <c r="D237" s="14"/>
      <c r="E237" s="15"/>
      <c r="F237" s="16"/>
      <c r="G237" s="17"/>
      <c r="H237" s="84"/>
      <c r="I237" s="84"/>
      <c r="K237" s="20"/>
      <c r="M237" s="13"/>
      <c r="N237" s="13"/>
      <c r="O237" s="13"/>
      <c r="P237" s="24"/>
    </row>
    <row r="238" spans="1:16" x14ac:dyDescent="0.35">
      <c r="A238" s="13"/>
      <c r="D238" s="14"/>
      <c r="E238" s="15"/>
      <c r="F238" s="16"/>
      <c r="G238" s="17"/>
      <c r="H238" s="84"/>
      <c r="I238" s="84"/>
      <c r="K238" s="20"/>
      <c r="M238" s="13"/>
      <c r="N238" s="13"/>
      <c r="O238" s="13"/>
      <c r="P238" s="24"/>
    </row>
    <row r="239" spans="1:16" x14ac:dyDescent="0.35">
      <c r="A239" s="13"/>
      <c r="D239" s="14"/>
      <c r="E239" s="15"/>
      <c r="F239" s="16"/>
      <c r="G239" s="17"/>
      <c r="H239" s="84"/>
      <c r="I239" s="84"/>
      <c r="K239" s="20"/>
      <c r="M239" s="13"/>
      <c r="N239" s="13"/>
      <c r="O239" s="13"/>
      <c r="P239" s="24"/>
    </row>
    <row r="240" spans="1:16" x14ac:dyDescent="0.35">
      <c r="A240" s="13"/>
      <c r="D240" s="14"/>
      <c r="E240" s="15"/>
      <c r="F240" s="16"/>
      <c r="G240" s="17"/>
      <c r="H240" s="84"/>
      <c r="I240" s="84"/>
      <c r="K240" s="20"/>
      <c r="M240" s="13"/>
      <c r="N240" s="13"/>
      <c r="O240" s="13"/>
      <c r="P240" s="24"/>
    </row>
    <row r="241" spans="1:16" x14ac:dyDescent="0.35">
      <c r="A241" s="13"/>
      <c r="D241" s="14"/>
      <c r="E241" s="15"/>
      <c r="F241" s="16"/>
      <c r="G241" s="17"/>
      <c r="H241" s="84"/>
      <c r="I241" s="84"/>
      <c r="K241" s="20"/>
      <c r="M241" s="13"/>
      <c r="N241" s="13"/>
      <c r="O241" s="13"/>
      <c r="P241" s="24"/>
    </row>
    <row r="242" spans="1:16" x14ac:dyDescent="0.35">
      <c r="A242" s="13"/>
      <c r="D242" s="14"/>
      <c r="E242" s="15"/>
      <c r="F242" s="16"/>
      <c r="G242" s="17"/>
      <c r="H242" s="84"/>
      <c r="I242" s="84"/>
      <c r="K242" s="20"/>
      <c r="M242" s="13"/>
      <c r="N242" s="13"/>
      <c r="O242" s="13"/>
      <c r="P242" s="24"/>
    </row>
    <row r="243" spans="1:16" x14ac:dyDescent="0.35">
      <c r="A243" s="13"/>
      <c r="D243" s="14"/>
      <c r="E243" s="15"/>
      <c r="F243" s="16"/>
      <c r="G243" s="17"/>
      <c r="H243" s="84"/>
      <c r="I243" s="84"/>
      <c r="K243" s="20"/>
      <c r="M243" s="13"/>
      <c r="N243" s="13"/>
      <c r="O243" s="13"/>
      <c r="P243" s="24"/>
    </row>
    <row r="244" spans="1:16" x14ac:dyDescent="0.35">
      <c r="A244" s="13"/>
      <c r="D244" s="14"/>
      <c r="E244" s="15"/>
      <c r="F244" s="16"/>
      <c r="G244" s="17"/>
      <c r="H244" s="84"/>
      <c r="I244" s="84"/>
      <c r="K244" s="20"/>
      <c r="M244" s="13"/>
      <c r="N244" s="13"/>
      <c r="O244" s="13"/>
      <c r="P244" s="24"/>
    </row>
    <row r="245" spans="1:16" x14ac:dyDescent="0.35">
      <c r="A245" s="13"/>
      <c r="D245" s="14"/>
      <c r="E245" s="15"/>
      <c r="F245" s="16"/>
      <c r="G245" s="17"/>
      <c r="H245" s="84"/>
      <c r="I245" s="84"/>
      <c r="K245" s="20"/>
      <c r="M245" s="13"/>
      <c r="N245" s="13"/>
      <c r="O245" s="13"/>
      <c r="P245" s="24"/>
    </row>
    <row r="246" spans="1:16" x14ac:dyDescent="0.35">
      <c r="A246" s="13"/>
      <c r="D246" s="14"/>
      <c r="E246" s="15"/>
      <c r="F246" s="16"/>
      <c r="G246" s="17"/>
      <c r="H246" s="84"/>
      <c r="I246" s="84"/>
      <c r="K246" s="20"/>
      <c r="M246" s="13"/>
      <c r="N246" s="13"/>
      <c r="O246" s="13"/>
      <c r="P246" s="24"/>
    </row>
    <row r="247" spans="1:16" x14ac:dyDescent="0.35">
      <c r="A247" s="13"/>
      <c r="D247" s="14"/>
      <c r="E247" s="15"/>
      <c r="F247" s="16"/>
      <c r="G247" s="17"/>
      <c r="H247" s="84"/>
      <c r="I247" s="84"/>
      <c r="K247" s="20"/>
      <c r="M247" s="13"/>
      <c r="N247" s="13"/>
      <c r="O247" s="13"/>
      <c r="P247" s="24"/>
    </row>
    <row r="248" spans="1:16" x14ac:dyDescent="0.35">
      <c r="A248" s="13"/>
      <c r="D248" s="14"/>
      <c r="E248" s="15"/>
      <c r="F248" s="16"/>
      <c r="G248" s="17"/>
      <c r="H248" s="84"/>
      <c r="I248" s="84"/>
      <c r="K248" s="20"/>
      <c r="M248" s="13"/>
      <c r="N248" s="13"/>
      <c r="O248" s="13"/>
      <c r="P248" s="24"/>
    </row>
    <row r="249" spans="1:16" x14ac:dyDescent="0.35">
      <c r="A249" s="13"/>
      <c r="D249" s="14"/>
      <c r="E249" s="15"/>
      <c r="F249" s="16"/>
      <c r="G249" s="17"/>
      <c r="H249" s="84"/>
      <c r="I249" s="84"/>
      <c r="K249" s="20"/>
      <c r="M249" s="13"/>
      <c r="N249" s="13"/>
      <c r="O249" s="13"/>
      <c r="P249" s="24"/>
    </row>
    <row r="250" spans="1:16" x14ac:dyDescent="0.35">
      <c r="A250" s="13"/>
      <c r="D250" s="14"/>
      <c r="E250" s="15"/>
      <c r="F250" s="16"/>
      <c r="G250" s="17"/>
      <c r="H250" s="84"/>
      <c r="I250" s="84"/>
      <c r="K250" s="20"/>
      <c r="M250" s="13"/>
      <c r="N250" s="13"/>
      <c r="O250" s="13"/>
      <c r="P250" s="24"/>
    </row>
    <row r="251" spans="1:16" x14ac:dyDescent="0.35">
      <c r="A251" s="13"/>
      <c r="D251" s="14"/>
      <c r="E251" s="15"/>
      <c r="F251" s="16"/>
      <c r="G251" s="17"/>
      <c r="H251" s="84"/>
      <c r="I251" s="84"/>
      <c r="K251" s="20"/>
      <c r="M251" s="13"/>
      <c r="N251" s="13"/>
      <c r="O251" s="13"/>
      <c r="P251" s="24"/>
    </row>
    <row r="252" spans="1:16" x14ac:dyDescent="0.35">
      <c r="A252" s="13"/>
      <c r="D252" s="14"/>
      <c r="E252" s="15"/>
      <c r="F252" s="16"/>
      <c r="G252" s="17"/>
      <c r="H252" s="84"/>
      <c r="I252" s="84"/>
      <c r="K252" s="20"/>
      <c r="M252" s="13"/>
      <c r="N252" s="13"/>
      <c r="O252" s="13"/>
      <c r="P252" s="24"/>
    </row>
    <row r="253" spans="1:16" x14ac:dyDescent="0.35">
      <c r="A253" s="13"/>
      <c r="D253" s="14"/>
      <c r="E253" s="15"/>
      <c r="F253" s="16"/>
      <c r="G253" s="17"/>
      <c r="H253" s="84"/>
      <c r="I253" s="84"/>
      <c r="K253" s="20"/>
      <c r="M253" s="13"/>
      <c r="N253" s="13"/>
      <c r="O253" s="13"/>
      <c r="P253" s="24"/>
    </row>
    <row r="254" spans="1:16" x14ac:dyDescent="0.35">
      <c r="A254" s="13"/>
      <c r="D254" s="14"/>
      <c r="E254" s="15"/>
      <c r="F254" s="16"/>
      <c r="G254" s="17"/>
      <c r="H254" s="84"/>
      <c r="I254" s="84"/>
      <c r="K254" s="20"/>
      <c r="M254" s="13"/>
      <c r="N254" s="13"/>
      <c r="O254" s="13"/>
      <c r="P254" s="24"/>
    </row>
    <row r="255" spans="1:16" x14ac:dyDescent="0.35">
      <c r="A255" s="13"/>
      <c r="D255" s="14"/>
      <c r="E255" s="15"/>
      <c r="F255" s="16"/>
      <c r="G255" s="17"/>
      <c r="H255" s="84"/>
      <c r="I255" s="84"/>
      <c r="K255" s="20"/>
      <c r="M255" s="13"/>
      <c r="N255" s="13"/>
      <c r="O255" s="13"/>
      <c r="P255" s="24"/>
    </row>
    <row r="256" spans="1:16" x14ac:dyDescent="0.35">
      <c r="A256" s="13"/>
      <c r="D256" s="14"/>
      <c r="E256" s="15"/>
      <c r="F256" s="16"/>
      <c r="G256" s="17"/>
      <c r="H256" s="84"/>
      <c r="I256" s="84"/>
      <c r="K256" s="20"/>
      <c r="M256" s="13"/>
      <c r="N256" s="13"/>
      <c r="O256" s="13"/>
      <c r="P256" s="24"/>
    </row>
    <row r="257" spans="1:16" x14ac:dyDescent="0.35">
      <c r="A257" s="13"/>
      <c r="D257" s="14"/>
      <c r="E257" s="15"/>
      <c r="F257" s="16"/>
      <c r="G257" s="17"/>
      <c r="H257" s="84"/>
      <c r="I257" s="84"/>
      <c r="K257" s="20"/>
      <c r="M257" s="13"/>
      <c r="N257" s="13"/>
      <c r="O257" s="13"/>
      <c r="P257" s="24"/>
    </row>
    <row r="258" spans="1:16" x14ac:dyDescent="0.35">
      <c r="A258" s="13"/>
      <c r="D258" s="14"/>
      <c r="E258" s="15"/>
      <c r="F258" s="16"/>
      <c r="G258" s="17"/>
      <c r="H258" s="84"/>
      <c r="I258" s="84"/>
      <c r="K258" s="20"/>
      <c r="M258" s="13"/>
      <c r="N258" s="13"/>
      <c r="O258" s="13"/>
      <c r="P258" s="24"/>
    </row>
    <row r="259" spans="1:16" x14ac:dyDescent="0.35">
      <c r="A259" s="13"/>
      <c r="D259" s="14"/>
      <c r="E259" s="15"/>
      <c r="F259" s="16"/>
      <c r="G259" s="17"/>
      <c r="H259" s="84"/>
      <c r="I259" s="84"/>
      <c r="K259" s="20"/>
      <c r="M259" s="13"/>
      <c r="N259" s="13"/>
      <c r="O259" s="13"/>
      <c r="P259" s="24"/>
    </row>
    <row r="260" spans="1:16" x14ac:dyDescent="0.35">
      <c r="A260" s="13"/>
      <c r="D260" s="14"/>
      <c r="E260" s="15"/>
      <c r="F260" s="16"/>
      <c r="G260" s="17"/>
      <c r="H260" s="84"/>
      <c r="I260" s="84"/>
      <c r="K260" s="20"/>
      <c r="M260" s="13"/>
      <c r="N260" s="13"/>
      <c r="O260" s="13"/>
      <c r="P260" s="24"/>
    </row>
    <row r="261" spans="1:16" x14ac:dyDescent="0.35">
      <c r="A261" s="13"/>
      <c r="D261" s="14"/>
      <c r="E261" s="15"/>
      <c r="F261" s="16"/>
      <c r="G261" s="17"/>
      <c r="H261" s="84"/>
      <c r="I261" s="84"/>
      <c r="K261" s="20"/>
      <c r="M261" s="13"/>
      <c r="N261" s="13"/>
      <c r="O261" s="13"/>
      <c r="P261" s="24"/>
    </row>
    <row r="262" spans="1:16" x14ac:dyDescent="0.35">
      <c r="A262" s="13"/>
      <c r="D262" s="14"/>
      <c r="E262" s="15"/>
      <c r="F262" s="16"/>
      <c r="G262" s="17"/>
      <c r="H262" s="84"/>
      <c r="I262" s="84"/>
      <c r="K262" s="20"/>
      <c r="M262" s="13"/>
      <c r="N262" s="13"/>
      <c r="O262" s="13"/>
      <c r="P262" s="24"/>
    </row>
    <row r="263" spans="1:16" x14ac:dyDescent="0.35">
      <c r="A263" s="13"/>
      <c r="D263" s="14"/>
      <c r="E263" s="15"/>
      <c r="F263" s="16"/>
      <c r="G263" s="17"/>
      <c r="H263" s="84"/>
      <c r="I263" s="84"/>
      <c r="K263" s="20"/>
      <c r="M263" s="13"/>
      <c r="N263" s="13"/>
      <c r="O263" s="13"/>
      <c r="P263" s="24"/>
    </row>
    <row r="264" spans="1:16" x14ac:dyDescent="0.35">
      <c r="A264" s="13"/>
      <c r="D264" s="14"/>
      <c r="E264" s="15"/>
      <c r="F264" s="16"/>
      <c r="G264" s="17"/>
      <c r="H264" s="84"/>
      <c r="I264" s="84"/>
      <c r="K264" s="20"/>
      <c r="M264" s="13"/>
      <c r="N264" s="13"/>
      <c r="O264" s="13"/>
      <c r="P264" s="24"/>
    </row>
    <row r="265" spans="1:16" x14ac:dyDescent="0.35">
      <c r="A265" s="13"/>
      <c r="D265" s="14"/>
      <c r="E265" s="15"/>
      <c r="F265" s="16"/>
      <c r="G265" s="17"/>
      <c r="H265" s="84"/>
      <c r="I265" s="84"/>
      <c r="K265" s="20"/>
      <c r="M265" s="13"/>
      <c r="N265" s="13"/>
      <c r="O265" s="13"/>
      <c r="P265" s="24"/>
    </row>
    <row r="266" spans="1:16" x14ac:dyDescent="0.35">
      <c r="A266" s="13"/>
      <c r="D266" s="14"/>
      <c r="E266" s="15"/>
      <c r="F266" s="16"/>
      <c r="G266" s="17"/>
      <c r="H266" s="84"/>
      <c r="I266" s="84"/>
      <c r="K266" s="20"/>
      <c r="M266" s="13"/>
      <c r="N266" s="13"/>
      <c r="O266" s="13"/>
      <c r="P266" s="24"/>
    </row>
    <row r="267" spans="1:16" x14ac:dyDescent="0.35">
      <c r="A267" s="13"/>
      <c r="D267" s="14"/>
      <c r="E267" s="15"/>
      <c r="F267" s="16"/>
      <c r="G267" s="17"/>
      <c r="H267" s="84"/>
      <c r="I267" s="84"/>
      <c r="K267" s="20"/>
      <c r="M267" s="13"/>
      <c r="N267" s="13"/>
      <c r="O267" s="13"/>
      <c r="P267" s="24"/>
    </row>
    <row r="268" spans="1:16" x14ac:dyDescent="0.35">
      <c r="A268" s="13"/>
      <c r="D268" s="14"/>
      <c r="E268" s="15"/>
      <c r="F268" s="16"/>
      <c r="G268" s="17"/>
      <c r="H268" s="84"/>
      <c r="I268" s="84"/>
      <c r="K268" s="20"/>
      <c r="M268" s="13"/>
      <c r="N268" s="13"/>
      <c r="O268" s="13"/>
      <c r="P268" s="24"/>
    </row>
    <row r="269" spans="1:16" x14ac:dyDescent="0.35">
      <c r="A269" s="13"/>
      <c r="D269" s="14"/>
      <c r="E269" s="15"/>
      <c r="F269" s="16"/>
      <c r="G269" s="17"/>
      <c r="H269" s="84"/>
      <c r="I269" s="84"/>
      <c r="K269" s="20"/>
      <c r="M269" s="13"/>
      <c r="N269" s="13"/>
      <c r="O269" s="13"/>
      <c r="P269" s="24"/>
    </row>
    <row r="270" spans="1:16" x14ac:dyDescent="0.35">
      <c r="A270" s="13"/>
      <c r="D270" s="14"/>
      <c r="E270" s="15"/>
      <c r="F270" s="16"/>
      <c r="G270" s="17"/>
      <c r="H270" s="84"/>
      <c r="I270" s="84"/>
      <c r="K270" s="20"/>
      <c r="M270" s="13"/>
      <c r="N270" s="13"/>
      <c r="O270" s="13"/>
      <c r="P270" s="24"/>
    </row>
    <row r="271" spans="1:16" x14ac:dyDescent="0.35">
      <c r="A271" s="13"/>
      <c r="D271" s="14"/>
      <c r="E271" s="15"/>
      <c r="F271" s="16"/>
      <c r="G271" s="17"/>
      <c r="H271" s="84"/>
      <c r="I271" s="84"/>
      <c r="K271" s="20"/>
      <c r="M271" s="13"/>
      <c r="N271" s="13"/>
      <c r="O271" s="13"/>
      <c r="P271" s="24"/>
    </row>
    <row r="272" spans="1:16" x14ac:dyDescent="0.35">
      <c r="A272" s="13"/>
      <c r="D272" s="14"/>
      <c r="E272" s="15"/>
      <c r="F272" s="16"/>
      <c r="G272" s="17"/>
      <c r="H272" s="84"/>
      <c r="I272" s="84"/>
      <c r="K272" s="20"/>
      <c r="M272" s="13"/>
      <c r="N272" s="13"/>
      <c r="O272" s="13"/>
      <c r="P272" s="24"/>
    </row>
    <row r="273" spans="1:16" x14ac:dyDescent="0.35">
      <c r="A273" s="13"/>
      <c r="D273" s="14"/>
      <c r="E273" s="15"/>
      <c r="F273" s="16"/>
      <c r="G273" s="17"/>
      <c r="H273" s="84"/>
      <c r="I273" s="84"/>
      <c r="K273" s="20"/>
      <c r="M273" s="13"/>
      <c r="N273" s="13"/>
      <c r="O273" s="13"/>
      <c r="P273" s="24"/>
    </row>
    <row r="274" spans="1:16" x14ac:dyDescent="0.35">
      <c r="A274" s="13"/>
      <c r="D274" s="14"/>
      <c r="E274" s="15"/>
      <c r="F274" s="16"/>
      <c r="G274" s="17"/>
      <c r="H274" s="84"/>
      <c r="I274" s="84"/>
      <c r="K274" s="20"/>
      <c r="M274" s="13"/>
      <c r="N274" s="13"/>
      <c r="O274" s="13"/>
      <c r="P274" s="24"/>
    </row>
    <row r="275" spans="1:16" x14ac:dyDescent="0.35">
      <c r="A275" s="13"/>
      <c r="D275" s="14"/>
      <c r="E275" s="15"/>
      <c r="F275" s="16"/>
      <c r="G275" s="17"/>
      <c r="H275" s="84"/>
      <c r="I275" s="84"/>
      <c r="K275" s="20"/>
      <c r="M275" s="13"/>
      <c r="N275" s="13"/>
      <c r="O275" s="13"/>
      <c r="P275" s="24"/>
    </row>
    <row r="276" spans="1:16" x14ac:dyDescent="0.35">
      <c r="A276" s="13"/>
      <c r="D276" s="14"/>
      <c r="E276" s="15"/>
      <c r="F276" s="16"/>
      <c r="G276" s="17"/>
      <c r="H276" s="84"/>
      <c r="I276" s="84"/>
      <c r="K276" s="20"/>
      <c r="M276" s="13"/>
      <c r="N276" s="13"/>
      <c r="O276" s="13"/>
      <c r="P276" s="24"/>
    </row>
    <row r="277" spans="1:16" x14ac:dyDescent="0.35">
      <c r="A277" s="13"/>
      <c r="D277" s="14"/>
      <c r="E277" s="15"/>
      <c r="F277" s="16"/>
      <c r="G277" s="17"/>
      <c r="H277" s="84"/>
      <c r="I277" s="84"/>
      <c r="K277" s="20"/>
      <c r="M277" s="13"/>
      <c r="N277" s="13"/>
      <c r="O277" s="13"/>
      <c r="P277" s="24"/>
    </row>
    <row r="278" spans="1:16" x14ac:dyDescent="0.35">
      <c r="A278" s="13"/>
      <c r="D278" s="14"/>
      <c r="E278" s="15"/>
      <c r="F278" s="16"/>
      <c r="G278" s="17"/>
      <c r="H278" s="84"/>
      <c r="I278" s="84"/>
      <c r="K278" s="20"/>
      <c r="M278" s="13"/>
      <c r="N278" s="13"/>
      <c r="O278" s="13"/>
      <c r="P278" s="24"/>
    </row>
    <row r="279" spans="1:16" x14ac:dyDescent="0.35">
      <c r="A279" s="13"/>
      <c r="D279" s="14"/>
      <c r="E279" s="15"/>
      <c r="F279" s="16"/>
      <c r="G279" s="17"/>
      <c r="H279" s="84"/>
      <c r="I279" s="84"/>
      <c r="K279" s="20"/>
      <c r="M279" s="13"/>
      <c r="N279" s="13"/>
      <c r="O279" s="13"/>
      <c r="P279" s="24"/>
    </row>
    <row r="280" spans="1:16" x14ac:dyDescent="0.35">
      <c r="A280" s="13"/>
      <c r="D280" s="14"/>
      <c r="E280" s="15"/>
      <c r="F280" s="16"/>
      <c r="G280" s="17"/>
      <c r="H280" s="84"/>
      <c r="I280" s="84"/>
      <c r="K280" s="20"/>
      <c r="M280" s="13"/>
      <c r="N280" s="13"/>
      <c r="O280" s="13"/>
      <c r="P280" s="24"/>
    </row>
    <row r="281" spans="1:16" x14ac:dyDescent="0.35">
      <c r="A281" s="13"/>
      <c r="D281" s="14"/>
      <c r="E281" s="15"/>
      <c r="F281" s="16"/>
      <c r="G281" s="17"/>
      <c r="H281" s="84"/>
      <c r="I281" s="84"/>
      <c r="K281" s="20"/>
      <c r="M281" s="13"/>
      <c r="N281" s="13"/>
      <c r="O281" s="13"/>
      <c r="P281" s="24"/>
    </row>
    <row r="282" spans="1:16" x14ac:dyDescent="0.35">
      <c r="A282" s="13"/>
      <c r="D282" s="14"/>
      <c r="E282" s="15"/>
      <c r="F282" s="16"/>
      <c r="G282" s="17"/>
      <c r="H282" s="84"/>
      <c r="I282" s="84"/>
      <c r="K282" s="20"/>
      <c r="M282" s="13"/>
      <c r="N282" s="13"/>
      <c r="O282" s="13"/>
      <c r="P282" s="24"/>
    </row>
    <row r="283" spans="1:16" x14ac:dyDescent="0.35">
      <c r="A283" s="13"/>
      <c r="D283" s="14"/>
      <c r="E283" s="15"/>
      <c r="F283" s="16"/>
      <c r="G283" s="17"/>
      <c r="H283" s="84"/>
      <c r="I283" s="84"/>
      <c r="K283" s="20"/>
      <c r="M283" s="13"/>
      <c r="N283" s="13"/>
      <c r="O283" s="13"/>
      <c r="P283" s="24"/>
    </row>
    <row r="284" spans="1:16" x14ac:dyDescent="0.35">
      <c r="A284" s="13"/>
      <c r="D284" s="14"/>
      <c r="E284" s="15"/>
      <c r="F284" s="16"/>
      <c r="G284" s="17"/>
      <c r="H284" s="84"/>
      <c r="I284" s="84"/>
      <c r="K284" s="20"/>
      <c r="M284" s="13"/>
      <c r="N284" s="13"/>
      <c r="O284" s="13"/>
      <c r="P284" s="24"/>
    </row>
    <row r="285" spans="1:16" x14ac:dyDescent="0.35">
      <c r="A285" s="13"/>
      <c r="D285" s="14"/>
      <c r="E285" s="15"/>
      <c r="F285" s="16"/>
      <c r="G285" s="17"/>
      <c r="H285" s="84"/>
      <c r="I285" s="84"/>
      <c r="K285" s="20"/>
      <c r="M285" s="13"/>
      <c r="N285" s="13"/>
      <c r="O285" s="13"/>
      <c r="P285" s="24"/>
    </row>
    <row r="286" spans="1:16" x14ac:dyDescent="0.35">
      <c r="A286" s="13"/>
      <c r="D286" s="14"/>
      <c r="E286" s="15"/>
      <c r="F286" s="16"/>
      <c r="G286" s="17"/>
      <c r="H286" s="84"/>
      <c r="I286" s="84"/>
      <c r="K286" s="20"/>
      <c r="M286" s="13"/>
      <c r="N286" s="13"/>
      <c r="O286" s="13"/>
      <c r="P286" s="24"/>
    </row>
    <row r="287" spans="1:16" x14ac:dyDescent="0.35">
      <c r="A287" s="13"/>
      <c r="D287" s="14"/>
      <c r="E287" s="15"/>
      <c r="F287" s="16"/>
      <c r="G287" s="17"/>
      <c r="H287" s="84"/>
      <c r="I287" s="84"/>
      <c r="K287" s="20"/>
      <c r="M287" s="13"/>
      <c r="N287" s="13"/>
      <c r="O287" s="13"/>
      <c r="P287" s="24"/>
    </row>
    <row r="288" spans="1:16" x14ac:dyDescent="0.35">
      <c r="A288" s="13"/>
      <c r="D288" s="14"/>
      <c r="E288" s="15"/>
      <c r="F288" s="16"/>
      <c r="G288" s="17"/>
      <c r="H288" s="84"/>
      <c r="I288" s="84"/>
      <c r="K288" s="20"/>
      <c r="M288" s="13"/>
      <c r="N288" s="13"/>
      <c r="O288" s="13"/>
      <c r="P288" s="24"/>
    </row>
    <row r="289" spans="1:16" x14ac:dyDescent="0.35">
      <c r="A289" s="13"/>
      <c r="D289" s="14"/>
      <c r="E289" s="15"/>
      <c r="F289" s="16"/>
      <c r="G289" s="17"/>
      <c r="H289" s="84"/>
      <c r="I289" s="84"/>
      <c r="K289" s="20"/>
      <c r="M289" s="13"/>
      <c r="N289" s="13"/>
      <c r="O289" s="13"/>
      <c r="P289" s="24"/>
    </row>
    <row r="290" spans="1:16" x14ac:dyDescent="0.35">
      <c r="A290" s="13"/>
      <c r="D290" s="14"/>
      <c r="E290" s="15"/>
      <c r="F290" s="16"/>
      <c r="G290" s="17"/>
      <c r="H290" s="84"/>
      <c r="I290" s="84"/>
      <c r="K290" s="20"/>
      <c r="M290" s="13"/>
      <c r="N290" s="13"/>
      <c r="O290" s="13"/>
      <c r="P290" s="24"/>
    </row>
    <row r="291" spans="1:16" x14ac:dyDescent="0.35">
      <c r="A291" s="13"/>
      <c r="D291" s="14"/>
      <c r="E291" s="15"/>
      <c r="F291" s="16"/>
      <c r="G291" s="17"/>
      <c r="H291" s="84"/>
      <c r="I291" s="84"/>
      <c r="K291" s="20"/>
      <c r="M291" s="13"/>
      <c r="N291" s="13"/>
      <c r="O291" s="13"/>
      <c r="P291" s="24"/>
    </row>
    <row r="292" spans="1:16" x14ac:dyDescent="0.35">
      <c r="A292" s="13"/>
      <c r="D292" s="14"/>
      <c r="E292" s="15"/>
      <c r="F292" s="16"/>
      <c r="G292" s="17"/>
      <c r="H292" s="84"/>
      <c r="I292" s="84"/>
      <c r="K292" s="20"/>
      <c r="M292" s="13"/>
      <c r="N292" s="13"/>
      <c r="O292" s="13"/>
      <c r="P292" s="24"/>
    </row>
    <row r="293" spans="1:16" x14ac:dyDescent="0.35">
      <c r="A293" s="13"/>
      <c r="D293" s="14"/>
      <c r="E293" s="15"/>
      <c r="F293" s="16"/>
      <c r="G293" s="17"/>
      <c r="H293" s="84"/>
      <c r="I293" s="84"/>
      <c r="K293" s="20"/>
      <c r="M293" s="13"/>
      <c r="N293" s="13"/>
      <c r="O293" s="13"/>
      <c r="P293" s="24"/>
    </row>
    <row r="294" spans="1:16" x14ac:dyDescent="0.35">
      <c r="A294" s="13"/>
      <c r="D294" s="14"/>
      <c r="E294" s="15"/>
      <c r="F294" s="16"/>
      <c r="G294" s="17"/>
      <c r="H294" s="84"/>
      <c r="I294" s="84"/>
      <c r="K294" s="20"/>
      <c r="M294" s="13"/>
      <c r="N294" s="13"/>
      <c r="O294" s="13"/>
      <c r="P294" s="24"/>
    </row>
    <row r="295" spans="1:16" x14ac:dyDescent="0.35">
      <c r="A295" s="13"/>
      <c r="D295" s="14"/>
      <c r="E295" s="15"/>
      <c r="F295" s="16"/>
      <c r="G295" s="17"/>
      <c r="H295" s="84"/>
      <c r="I295" s="84"/>
      <c r="K295" s="20"/>
      <c r="M295" s="13"/>
      <c r="N295" s="13"/>
      <c r="O295" s="13"/>
      <c r="P295" s="24"/>
    </row>
    <row r="296" spans="1:16" x14ac:dyDescent="0.35">
      <c r="A296" s="13"/>
      <c r="D296" s="14"/>
      <c r="E296" s="15"/>
      <c r="F296" s="16"/>
      <c r="G296" s="17"/>
      <c r="H296" s="84"/>
      <c r="I296" s="84"/>
      <c r="K296" s="20"/>
      <c r="M296" s="13"/>
      <c r="N296" s="13"/>
      <c r="O296" s="13"/>
      <c r="P296" s="24"/>
    </row>
    <row r="297" spans="1:16" x14ac:dyDescent="0.35">
      <c r="A297" s="13"/>
      <c r="D297" s="14"/>
      <c r="E297" s="15"/>
      <c r="F297" s="16"/>
      <c r="G297" s="17"/>
      <c r="H297" s="31"/>
      <c r="I297" s="31"/>
      <c r="K297" s="20"/>
      <c r="M297" s="13"/>
      <c r="N297" s="13"/>
      <c r="O297" s="13"/>
      <c r="P297" s="24"/>
    </row>
    <row r="298" spans="1:16" x14ac:dyDescent="0.35">
      <c r="A298" s="13"/>
      <c r="D298" s="14"/>
      <c r="E298" s="15"/>
      <c r="F298" s="16"/>
      <c r="G298" s="17"/>
      <c r="H298" s="31"/>
      <c r="I298" s="31"/>
      <c r="K298" s="20"/>
      <c r="M298" s="13"/>
      <c r="N298" s="13"/>
      <c r="O298" s="13"/>
      <c r="P298" s="24"/>
    </row>
    <row r="299" spans="1:16" x14ac:dyDescent="0.35">
      <c r="A299" s="13"/>
      <c r="D299" s="14"/>
      <c r="E299" s="15"/>
      <c r="F299" s="16"/>
      <c r="G299" s="17"/>
      <c r="H299" s="31"/>
      <c r="I299" s="31"/>
      <c r="K299" s="20"/>
      <c r="M299" s="13"/>
      <c r="N299" s="13"/>
      <c r="O299" s="13"/>
      <c r="P299" s="24"/>
    </row>
    <row r="300" spans="1:16" x14ac:dyDescent="0.35">
      <c r="A300" s="13"/>
      <c r="D300" s="14"/>
      <c r="E300" s="15"/>
      <c r="F300" s="16"/>
      <c r="G300" s="17"/>
      <c r="H300" s="31"/>
      <c r="I300" s="31"/>
      <c r="K300" s="20"/>
      <c r="M300" s="13"/>
      <c r="N300" s="13"/>
      <c r="O300" s="13"/>
      <c r="P300" s="24"/>
    </row>
    <row r="301" spans="1:16" x14ac:dyDescent="0.35">
      <c r="A301" s="13"/>
      <c r="D301" s="14"/>
      <c r="E301" s="15"/>
      <c r="F301" s="16"/>
      <c r="G301" s="17"/>
      <c r="H301" s="31"/>
      <c r="I301" s="31"/>
      <c r="K301" s="20"/>
      <c r="M301" s="13"/>
      <c r="N301" s="13"/>
      <c r="O301" s="13"/>
      <c r="P301" s="24"/>
    </row>
    <row r="302" spans="1:16" x14ac:dyDescent="0.35">
      <c r="A302" s="13"/>
      <c r="D302" s="14"/>
      <c r="E302" s="15"/>
      <c r="F302" s="16"/>
      <c r="G302" s="17"/>
      <c r="H302" s="31"/>
      <c r="I302" s="31"/>
      <c r="K302" s="20"/>
      <c r="M302" s="13"/>
      <c r="N302" s="13"/>
      <c r="O302" s="13"/>
      <c r="P302" s="24"/>
    </row>
    <row r="303" spans="1:16" x14ac:dyDescent="0.35">
      <c r="A303" s="13"/>
      <c r="D303" s="14"/>
      <c r="E303" s="15"/>
      <c r="F303" s="16"/>
      <c r="G303" s="17"/>
      <c r="H303" s="31"/>
      <c r="I303" s="31"/>
      <c r="K303" s="20"/>
      <c r="M303" s="13"/>
      <c r="N303" s="13"/>
      <c r="O303" s="13"/>
      <c r="P303" s="24"/>
    </row>
    <row r="304" spans="1:16" x14ac:dyDescent="0.35">
      <c r="A304" s="13"/>
      <c r="D304" s="14"/>
      <c r="E304" s="15"/>
      <c r="F304" s="16"/>
      <c r="G304" s="17"/>
      <c r="H304" s="31"/>
      <c r="I304" s="31"/>
      <c r="K304" s="20"/>
      <c r="M304" s="13"/>
      <c r="N304" s="13"/>
      <c r="O304" s="13"/>
      <c r="P304" s="24"/>
    </row>
    <row r="305" spans="1:16" x14ac:dyDescent="0.35">
      <c r="A305" s="13"/>
      <c r="D305" s="14"/>
      <c r="E305" s="15"/>
      <c r="F305" s="16"/>
      <c r="G305" s="17"/>
      <c r="H305" s="31"/>
      <c r="I305" s="31"/>
      <c r="K305" s="20"/>
      <c r="M305" s="13"/>
      <c r="N305" s="13"/>
      <c r="O305" s="13"/>
      <c r="P305" s="24"/>
    </row>
    <row r="306" spans="1:16" x14ac:dyDescent="0.35">
      <c r="A306" s="13"/>
      <c r="D306" s="14"/>
      <c r="E306" s="15"/>
      <c r="F306" s="16"/>
      <c r="G306" s="17"/>
      <c r="H306" s="31"/>
      <c r="I306" s="31"/>
      <c r="K306" s="20"/>
      <c r="M306" s="13"/>
      <c r="N306" s="13"/>
      <c r="O306" s="13"/>
      <c r="P306" s="24"/>
    </row>
    <row r="307" spans="1:16" x14ac:dyDescent="0.35">
      <c r="A307" s="13"/>
      <c r="D307" s="14"/>
      <c r="E307" s="15"/>
      <c r="F307" s="16"/>
      <c r="G307" s="17"/>
      <c r="H307" s="31"/>
      <c r="I307" s="31"/>
      <c r="K307" s="20"/>
      <c r="M307" s="13"/>
      <c r="N307" s="13"/>
      <c r="O307" s="13"/>
      <c r="P307" s="24"/>
    </row>
    <row r="308" spans="1:16" x14ac:dyDescent="0.35">
      <c r="A308" s="13"/>
      <c r="D308" s="14"/>
      <c r="E308" s="15"/>
      <c r="F308" s="16"/>
      <c r="G308" s="17"/>
      <c r="H308" s="31"/>
      <c r="I308" s="31"/>
      <c r="K308" s="20"/>
      <c r="M308" s="13"/>
      <c r="N308" s="13"/>
      <c r="O308" s="13"/>
      <c r="P308" s="24"/>
    </row>
    <row r="309" spans="1:16" x14ac:dyDescent="0.35">
      <c r="A309" s="13"/>
      <c r="D309" s="14"/>
      <c r="E309" s="15"/>
      <c r="F309" s="16"/>
      <c r="G309" s="17"/>
      <c r="H309" s="31"/>
      <c r="I309" s="31"/>
      <c r="K309" s="20"/>
      <c r="M309" s="13"/>
      <c r="N309" s="13"/>
      <c r="O309" s="13"/>
      <c r="P309" s="24"/>
    </row>
    <row r="310" spans="1:16" x14ac:dyDescent="0.35">
      <c r="A310" s="13"/>
      <c r="D310" s="14"/>
      <c r="E310" s="15"/>
      <c r="F310" s="16"/>
      <c r="G310" s="17"/>
      <c r="H310" s="31"/>
      <c r="I310" s="31"/>
      <c r="K310" s="20"/>
      <c r="M310" s="13"/>
      <c r="N310" s="13"/>
      <c r="O310" s="13"/>
      <c r="P310" s="24"/>
    </row>
    <row r="311" spans="1:16" x14ac:dyDescent="0.35">
      <c r="A311" s="13"/>
      <c r="D311" s="14"/>
      <c r="E311" s="15"/>
      <c r="F311" s="16"/>
      <c r="G311" s="17"/>
      <c r="H311" s="31"/>
      <c r="I311" s="31"/>
      <c r="K311" s="20"/>
      <c r="M311" s="13"/>
      <c r="N311" s="13"/>
      <c r="O311" s="13"/>
      <c r="P311" s="24"/>
    </row>
    <row r="312" spans="1:16" x14ac:dyDescent="0.35">
      <c r="A312" s="13"/>
      <c r="D312" s="14"/>
      <c r="E312" s="15"/>
      <c r="F312" s="16"/>
      <c r="G312" s="17"/>
      <c r="H312" s="31"/>
      <c r="I312" s="31"/>
      <c r="K312" s="20"/>
      <c r="M312" s="13"/>
      <c r="N312" s="13"/>
      <c r="O312" s="13"/>
      <c r="P312" s="24"/>
    </row>
    <row r="313" spans="1:16" x14ac:dyDescent="0.35">
      <c r="A313" s="13"/>
      <c r="D313" s="14"/>
      <c r="E313" s="15"/>
      <c r="F313" s="16"/>
      <c r="G313" s="17"/>
      <c r="H313" s="31"/>
      <c r="I313" s="31"/>
      <c r="K313" s="20"/>
      <c r="M313" s="13"/>
      <c r="N313" s="13"/>
      <c r="O313" s="13"/>
      <c r="P313" s="24"/>
    </row>
    <row r="314" spans="1:16" x14ac:dyDescent="0.35">
      <c r="A314" s="13"/>
      <c r="D314" s="14"/>
      <c r="E314" s="15"/>
      <c r="F314" s="16"/>
      <c r="G314" s="17"/>
      <c r="H314" s="31"/>
      <c r="I314" s="31"/>
      <c r="K314" s="20"/>
      <c r="M314" s="13"/>
      <c r="N314" s="13"/>
      <c r="O314" s="13"/>
      <c r="P314" s="24"/>
    </row>
    <row r="315" spans="1:16" x14ac:dyDescent="0.35">
      <c r="A315" s="13"/>
      <c r="D315" s="14"/>
      <c r="E315" s="15"/>
      <c r="F315" s="16"/>
      <c r="G315" s="17"/>
      <c r="H315" s="31"/>
      <c r="I315" s="31"/>
      <c r="K315" s="20"/>
      <c r="M315" s="13"/>
      <c r="N315" s="13"/>
      <c r="O315" s="13"/>
      <c r="P315" s="24"/>
    </row>
    <row r="316" spans="1:16" x14ac:dyDescent="0.35">
      <c r="A316" s="13"/>
      <c r="D316" s="14"/>
      <c r="E316" s="15"/>
      <c r="F316" s="16"/>
      <c r="G316" s="17"/>
      <c r="H316" s="31"/>
      <c r="I316" s="31"/>
      <c r="K316" s="20"/>
      <c r="M316" s="13"/>
      <c r="N316" s="13"/>
      <c r="O316" s="13"/>
      <c r="P316" s="24"/>
    </row>
    <row r="317" spans="1:16" x14ac:dyDescent="0.35">
      <c r="A317" s="13"/>
      <c r="D317" s="14"/>
      <c r="E317" s="15"/>
      <c r="F317" s="16"/>
      <c r="G317" s="17"/>
      <c r="H317" s="31"/>
      <c r="I317" s="31"/>
      <c r="K317" s="20"/>
      <c r="M317" s="13"/>
      <c r="N317" s="13"/>
      <c r="O317" s="13"/>
      <c r="P317" s="24"/>
    </row>
    <row r="318" spans="1:16" x14ac:dyDescent="0.35">
      <c r="A318" s="13"/>
      <c r="D318" s="14"/>
      <c r="E318" s="15"/>
      <c r="F318" s="16"/>
      <c r="G318" s="17"/>
      <c r="H318" s="31"/>
      <c r="I318" s="31"/>
      <c r="K318" s="20"/>
      <c r="M318" s="13"/>
      <c r="N318" s="13"/>
      <c r="O318" s="13"/>
      <c r="P318" s="24"/>
    </row>
    <row r="319" spans="1:16" x14ac:dyDescent="0.35">
      <c r="A319" s="13"/>
      <c r="D319" s="14"/>
      <c r="E319" s="15"/>
      <c r="F319" s="16"/>
      <c r="G319" s="17"/>
      <c r="H319" s="31"/>
      <c r="I319" s="31"/>
      <c r="K319" s="20"/>
      <c r="M319" s="13"/>
      <c r="N319" s="13"/>
      <c r="O319" s="13"/>
      <c r="P319" s="24"/>
    </row>
    <row r="320" spans="1:16" x14ac:dyDescent="0.35">
      <c r="A320" s="13"/>
      <c r="D320" s="14"/>
      <c r="E320" s="15"/>
      <c r="F320" s="16"/>
      <c r="G320" s="17"/>
      <c r="H320" s="31"/>
      <c r="I320" s="31"/>
      <c r="K320" s="20"/>
      <c r="M320" s="13"/>
      <c r="N320" s="13"/>
      <c r="O320" s="13"/>
      <c r="P320" s="24"/>
    </row>
    <row r="321" spans="1:16" x14ac:dyDescent="0.35">
      <c r="A321" s="13"/>
      <c r="D321" s="14"/>
      <c r="E321" s="15"/>
      <c r="F321" s="16"/>
      <c r="G321" s="17"/>
      <c r="H321" s="31"/>
      <c r="I321" s="31"/>
      <c r="K321" s="20"/>
      <c r="M321" s="13"/>
      <c r="N321" s="13"/>
      <c r="O321" s="13"/>
      <c r="P321" s="24"/>
    </row>
    <row r="322" spans="1:16" x14ac:dyDescent="0.35">
      <c r="A322" s="13"/>
      <c r="D322" s="14"/>
      <c r="E322" s="15"/>
      <c r="F322" s="16"/>
      <c r="G322" s="17"/>
      <c r="H322" s="31"/>
      <c r="I322" s="31"/>
      <c r="K322" s="20"/>
      <c r="M322" s="13"/>
      <c r="N322" s="13"/>
      <c r="O322" s="13"/>
      <c r="P322" s="24"/>
    </row>
    <row r="323" spans="1:16" x14ac:dyDescent="0.35">
      <c r="A323" s="13"/>
      <c r="D323" s="14"/>
      <c r="E323" s="15"/>
      <c r="F323" s="16"/>
      <c r="G323" s="17"/>
      <c r="H323" s="31"/>
      <c r="I323" s="31"/>
      <c r="K323" s="20"/>
      <c r="M323" s="13"/>
      <c r="N323" s="13"/>
      <c r="O323" s="13"/>
      <c r="P323" s="24"/>
    </row>
    <row r="324" spans="1:16" x14ac:dyDescent="0.35">
      <c r="A324" s="13"/>
      <c r="D324" s="14"/>
      <c r="E324" s="15"/>
      <c r="F324" s="16"/>
      <c r="G324" s="17"/>
      <c r="H324" s="31"/>
      <c r="I324" s="31"/>
      <c r="K324" s="20"/>
      <c r="M324" s="13"/>
      <c r="N324" s="13"/>
      <c r="O324" s="13"/>
      <c r="P324" s="24"/>
    </row>
    <row r="325" spans="1:16" x14ac:dyDescent="0.35">
      <c r="A325" s="13"/>
      <c r="D325" s="14"/>
      <c r="E325" s="15"/>
      <c r="F325" s="16"/>
      <c r="G325" s="17"/>
      <c r="H325" s="31"/>
      <c r="I325" s="31"/>
      <c r="K325" s="20"/>
      <c r="M325" s="13"/>
      <c r="N325" s="13"/>
      <c r="O325" s="13"/>
      <c r="P325" s="24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>
    <tabColor theme="5" tint="0.39997558519241921"/>
  </sheetPr>
  <dimension ref="A1:AE217"/>
  <sheetViews>
    <sheetView workbookViewId="0">
      <selection activeCell="A2" sqref="A2:AE217"/>
    </sheetView>
  </sheetViews>
  <sheetFormatPr baseColWidth="10" defaultRowHeight="14.5" x14ac:dyDescent="0.35"/>
  <cols>
    <col min="8" max="9" width="27.1796875" bestFit="1" customWidth="1"/>
  </cols>
  <sheetData>
    <row r="1" spans="1:31" x14ac:dyDescent="0.35">
      <c r="A1" s="1" t="s">
        <v>0</v>
      </c>
      <c r="B1" s="2" t="s">
        <v>1</v>
      </c>
      <c r="C1" s="2" t="s">
        <v>2</v>
      </c>
      <c r="D1" s="3" t="s">
        <v>3</v>
      </c>
      <c r="E1" s="4" t="s">
        <v>4</v>
      </c>
      <c r="F1" s="5" t="s">
        <v>5</v>
      </c>
      <c r="G1" s="6" t="s">
        <v>6</v>
      </c>
      <c r="H1" s="1" t="s">
        <v>7</v>
      </c>
      <c r="I1" s="7" t="s">
        <v>8</v>
      </c>
      <c r="J1" s="8" t="s">
        <v>9</v>
      </c>
      <c r="K1" s="9" t="s">
        <v>10</v>
      </c>
      <c r="L1" s="10" t="s">
        <v>11</v>
      </c>
      <c r="M1" s="1" t="s">
        <v>12</v>
      </c>
      <c r="N1" s="11" t="s">
        <v>13</v>
      </c>
      <c r="O1" s="11" t="s">
        <v>14</v>
      </c>
      <c r="P1" s="7" t="s">
        <v>15</v>
      </c>
      <c r="Q1" s="7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12" t="s">
        <v>21</v>
      </c>
      <c r="W1" s="12" t="s">
        <v>22</v>
      </c>
      <c r="X1" s="2" t="s">
        <v>23</v>
      </c>
      <c r="Y1" s="12" t="s">
        <v>24</v>
      </c>
      <c r="Z1" s="2" t="s">
        <v>25</v>
      </c>
      <c r="AA1" s="2" t="s">
        <v>26</v>
      </c>
      <c r="AB1" s="2" t="s">
        <v>27</v>
      </c>
      <c r="AC1" s="4" t="s">
        <v>28</v>
      </c>
      <c r="AD1" s="2" t="s">
        <v>29</v>
      </c>
      <c r="AE1" s="2" t="s">
        <v>30</v>
      </c>
    </row>
    <row r="2" spans="1:31" x14ac:dyDescent="0.35">
      <c r="A2" s="13">
        <f>Cta_Cte!A3</f>
        <v>45930</v>
      </c>
      <c r="B2">
        <v>1</v>
      </c>
      <c r="D2" s="14" t="s">
        <v>31</v>
      </c>
      <c r="E2" s="15" t="s">
        <v>32</v>
      </c>
      <c r="F2" s="16" t="s">
        <v>32</v>
      </c>
      <c r="G2" s="17"/>
      <c r="H2" s="31" t="s">
        <v>64</v>
      </c>
      <c r="I2" s="31" t="s">
        <v>64</v>
      </c>
      <c r="J2" s="19"/>
      <c r="K2" s="20"/>
      <c r="L2" s="21"/>
      <c r="M2" s="13">
        <f>A2+1</f>
        <v>45931</v>
      </c>
      <c r="N2" s="13">
        <f>M2</f>
        <v>45931</v>
      </c>
      <c r="O2" s="13">
        <f>N2</f>
        <v>45931</v>
      </c>
      <c r="P2" s="24">
        <f>Montos!E6</f>
        <v>36724</v>
      </c>
      <c r="Q2" s="18"/>
      <c r="V2">
        <v>1</v>
      </c>
      <c r="W2" t="s">
        <v>33</v>
      </c>
      <c r="Y2" t="s">
        <v>33</v>
      </c>
      <c r="Z2" t="s">
        <v>34</v>
      </c>
      <c r="AA2">
        <v>1</v>
      </c>
      <c r="AC2" s="15"/>
    </row>
    <row r="3" spans="1:31" x14ac:dyDescent="0.35">
      <c r="A3" s="13">
        <f>A2</f>
        <v>45930</v>
      </c>
      <c r="B3">
        <v>1</v>
      </c>
      <c r="D3" s="14" t="s">
        <v>31</v>
      </c>
      <c r="E3" s="15" t="s">
        <v>32</v>
      </c>
      <c r="F3" s="16" t="s">
        <v>32</v>
      </c>
      <c r="G3" s="17"/>
      <c r="H3" s="31" t="s">
        <v>64</v>
      </c>
      <c r="I3" s="31" t="s">
        <v>64</v>
      </c>
      <c r="J3" s="19"/>
      <c r="K3" s="20">
        <f>AGI!K3</f>
        <v>1</v>
      </c>
      <c r="L3" s="20">
        <f>AGI!L3</f>
        <v>0</v>
      </c>
      <c r="M3" s="21">
        <f>AGI!M3</f>
        <v>45961</v>
      </c>
      <c r="N3" s="21">
        <f>AGI!N3</f>
        <v>45961</v>
      </c>
      <c r="O3" s="21">
        <f>AGI!O3</f>
        <v>45961</v>
      </c>
      <c r="P3" s="95">
        <f>AGI!P3</f>
        <v>8390.977733491969</v>
      </c>
      <c r="Q3" s="18"/>
      <c r="V3">
        <v>1</v>
      </c>
      <c r="W3" t="s">
        <v>33</v>
      </c>
      <c r="Y3" t="s">
        <v>33</v>
      </c>
      <c r="Z3" t="s">
        <v>34</v>
      </c>
      <c r="AA3">
        <v>1</v>
      </c>
      <c r="AC3" s="15"/>
    </row>
    <row r="4" spans="1:31" x14ac:dyDescent="0.35">
      <c r="A4" s="13">
        <f t="shared" ref="A4:A67" si="0">A3</f>
        <v>45930</v>
      </c>
      <c r="B4">
        <v>1</v>
      </c>
      <c r="D4" s="14" t="s">
        <v>31</v>
      </c>
      <c r="E4" s="15" t="s">
        <v>32</v>
      </c>
      <c r="F4" s="16" t="s">
        <v>32</v>
      </c>
      <c r="G4" s="17"/>
      <c r="H4" s="31" t="s">
        <v>64</v>
      </c>
      <c r="I4" s="31" t="s">
        <v>64</v>
      </c>
      <c r="K4" s="20">
        <f>AGI!K4</f>
        <v>2</v>
      </c>
      <c r="L4" s="20">
        <f>AGI!L4</f>
        <v>0</v>
      </c>
      <c r="M4" s="21">
        <f>AGI!M4</f>
        <v>45991</v>
      </c>
      <c r="N4" s="21">
        <f>AGI!N4</f>
        <v>45991</v>
      </c>
      <c r="O4" s="21">
        <f>AGI!O4</f>
        <v>45991</v>
      </c>
      <c r="P4" s="95">
        <f>AGI!P4</f>
        <v>8390.977733491969</v>
      </c>
      <c r="V4">
        <v>1</v>
      </c>
      <c r="W4" t="s">
        <v>33</v>
      </c>
      <c r="Y4" t="s">
        <v>33</v>
      </c>
      <c r="Z4" t="s">
        <v>34</v>
      </c>
      <c r="AA4">
        <v>1</v>
      </c>
      <c r="AC4" s="15"/>
    </row>
    <row r="5" spans="1:31" x14ac:dyDescent="0.35">
      <c r="A5" s="13">
        <f t="shared" si="0"/>
        <v>45930</v>
      </c>
      <c r="B5">
        <v>1</v>
      </c>
      <c r="D5" s="14" t="s">
        <v>31</v>
      </c>
      <c r="E5" s="15" t="s">
        <v>32</v>
      </c>
      <c r="F5" s="16" t="s">
        <v>32</v>
      </c>
      <c r="G5" s="17"/>
      <c r="H5" s="31" t="s">
        <v>64</v>
      </c>
      <c r="I5" s="31" t="s">
        <v>64</v>
      </c>
      <c r="K5" s="20">
        <f>AGI!K5</f>
        <v>3</v>
      </c>
      <c r="L5" s="20">
        <f>AGI!L5</f>
        <v>0</v>
      </c>
      <c r="M5" s="21">
        <f>AGI!M5</f>
        <v>46022</v>
      </c>
      <c r="N5" s="21">
        <f>AGI!N5</f>
        <v>46022</v>
      </c>
      <c r="O5" s="21">
        <f>AGI!O5</f>
        <v>46022</v>
      </c>
      <c r="P5" s="95">
        <f>AGI!P5</f>
        <v>8390.977733491969</v>
      </c>
      <c r="V5">
        <v>1</v>
      </c>
      <c r="W5" t="s">
        <v>33</v>
      </c>
      <c r="Y5" t="s">
        <v>33</v>
      </c>
      <c r="Z5" t="s">
        <v>34</v>
      </c>
      <c r="AA5">
        <v>1</v>
      </c>
      <c r="AC5" s="15"/>
    </row>
    <row r="6" spans="1:31" x14ac:dyDescent="0.35">
      <c r="A6" s="13">
        <f t="shared" si="0"/>
        <v>45930</v>
      </c>
      <c r="B6">
        <v>1</v>
      </c>
      <c r="D6" s="14" t="s">
        <v>31</v>
      </c>
      <c r="E6" s="15" t="s">
        <v>32</v>
      </c>
      <c r="F6" s="16" t="s">
        <v>32</v>
      </c>
      <c r="G6" s="17"/>
      <c r="H6" s="31" t="s">
        <v>64</v>
      </c>
      <c r="I6" s="31" t="s">
        <v>64</v>
      </c>
      <c r="K6" s="20">
        <f>AGI!K6</f>
        <v>4</v>
      </c>
      <c r="L6" s="20">
        <f>AGI!L6</f>
        <v>0</v>
      </c>
      <c r="M6" s="21">
        <f>AGI!M6</f>
        <v>46053</v>
      </c>
      <c r="N6" s="21">
        <f>AGI!N6</f>
        <v>46053</v>
      </c>
      <c r="O6" s="21">
        <f>AGI!O6</f>
        <v>46053</v>
      </c>
      <c r="P6" s="95">
        <f>AGI!P6</f>
        <v>8390.977733491969</v>
      </c>
      <c r="V6">
        <v>1</v>
      </c>
      <c r="W6" t="s">
        <v>33</v>
      </c>
      <c r="Y6" t="s">
        <v>33</v>
      </c>
      <c r="Z6" t="s">
        <v>34</v>
      </c>
      <c r="AA6">
        <v>1</v>
      </c>
      <c r="AC6" s="15"/>
    </row>
    <row r="7" spans="1:31" x14ac:dyDescent="0.35">
      <c r="A7" s="13">
        <f t="shared" si="0"/>
        <v>45930</v>
      </c>
      <c r="B7">
        <v>1</v>
      </c>
      <c r="D7" s="14" t="s">
        <v>31</v>
      </c>
      <c r="E7" s="15" t="s">
        <v>32</v>
      </c>
      <c r="F7" s="16" t="s">
        <v>32</v>
      </c>
      <c r="G7" s="17"/>
      <c r="H7" s="31" t="s">
        <v>64</v>
      </c>
      <c r="I7" s="31" t="s">
        <v>64</v>
      </c>
      <c r="K7" s="20">
        <f>AGI!K7</f>
        <v>5</v>
      </c>
      <c r="L7" s="20">
        <f>AGI!L7</f>
        <v>0</v>
      </c>
      <c r="M7" s="21">
        <f>AGI!M7</f>
        <v>46081</v>
      </c>
      <c r="N7" s="21">
        <f>AGI!N7</f>
        <v>46081</v>
      </c>
      <c r="O7" s="21">
        <f>AGI!O7</f>
        <v>46081</v>
      </c>
      <c r="P7" s="95">
        <f>AGI!P7</f>
        <v>8390.977733491969</v>
      </c>
      <c r="V7">
        <v>1</v>
      </c>
      <c r="W7" t="s">
        <v>33</v>
      </c>
      <c r="Y7" t="s">
        <v>33</v>
      </c>
      <c r="Z7" t="s">
        <v>34</v>
      </c>
      <c r="AA7">
        <v>1</v>
      </c>
      <c r="AC7" s="15"/>
    </row>
    <row r="8" spans="1:31" x14ac:dyDescent="0.35">
      <c r="A8" s="13">
        <f t="shared" si="0"/>
        <v>45930</v>
      </c>
      <c r="B8">
        <v>1</v>
      </c>
      <c r="D8" s="14" t="s">
        <v>31</v>
      </c>
      <c r="E8" s="15" t="s">
        <v>32</v>
      </c>
      <c r="F8" s="16" t="s">
        <v>32</v>
      </c>
      <c r="G8" s="17"/>
      <c r="H8" s="31" t="s">
        <v>64</v>
      </c>
      <c r="I8" s="31" t="s">
        <v>64</v>
      </c>
      <c r="K8" s="20">
        <f>AGI!K8</f>
        <v>6</v>
      </c>
      <c r="L8" s="20">
        <f>AGI!L8</f>
        <v>0</v>
      </c>
      <c r="M8" s="21">
        <f>AGI!M8</f>
        <v>46112</v>
      </c>
      <c r="N8" s="21">
        <f>AGI!N8</f>
        <v>46112</v>
      </c>
      <c r="O8" s="21">
        <f>AGI!O8</f>
        <v>46112</v>
      </c>
      <c r="P8" s="95">
        <f>AGI!P8</f>
        <v>8390.977733491969</v>
      </c>
      <c r="V8">
        <v>1</v>
      </c>
      <c r="W8" t="s">
        <v>33</v>
      </c>
      <c r="Y8" t="s">
        <v>33</v>
      </c>
      <c r="Z8" t="s">
        <v>34</v>
      </c>
      <c r="AA8">
        <v>1</v>
      </c>
      <c r="AC8" s="15"/>
    </row>
    <row r="9" spans="1:31" x14ac:dyDescent="0.35">
      <c r="A9" s="13">
        <f t="shared" si="0"/>
        <v>45930</v>
      </c>
      <c r="B9">
        <v>1</v>
      </c>
      <c r="D9" s="14" t="s">
        <v>31</v>
      </c>
      <c r="E9" s="15" t="s">
        <v>32</v>
      </c>
      <c r="F9" s="16" t="s">
        <v>32</v>
      </c>
      <c r="G9" s="17"/>
      <c r="H9" s="31" t="s">
        <v>64</v>
      </c>
      <c r="I9" s="31" t="s">
        <v>64</v>
      </c>
      <c r="K9" s="20">
        <f>AGI!K9</f>
        <v>7</v>
      </c>
      <c r="L9" s="20">
        <f>AGI!L9</f>
        <v>0</v>
      </c>
      <c r="M9" s="21">
        <f>AGI!M9</f>
        <v>46142</v>
      </c>
      <c r="N9" s="21">
        <f>AGI!N9</f>
        <v>46142</v>
      </c>
      <c r="O9" s="21">
        <f>AGI!O9</f>
        <v>46142</v>
      </c>
      <c r="P9" s="95">
        <f>AGI!P9</f>
        <v>8390.977733491969</v>
      </c>
      <c r="V9">
        <v>1</v>
      </c>
      <c r="W9" t="s">
        <v>33</v>
      </c>
      <c r="Y9" t="s">
        <v>33</v>
      </c>
      <c r="Z9" t="s">
        <v>34</v>
      </c>
      <c r="AA9">
        <v>1</v>
      </c>
      <c r="AC9" s="15"/>
    </row>
    <row r="10" spans="1:31" x14ac:dyDescent="0.35">
      <c r="A10" s="13">
        <f t="shared" si="0"/>
        <v>45930</v>
      </c>
      <c r="B10">
        <v>1</v>
      </c>
      <c r="D10" s="14" t="s">
        <v>31</v>
      </c>
      <c r="E10" s="15" t="s">
        <v>32</v>
      </c>
      <c r="F10" s="16" t="s">
        <v>32</v>
      </c>
      <c r="G10" s="17"/>
      <c r="H10" s="31" t="s">
        <v>64</v>
      </c>
      <c r="I10" s="31" t="s">
        <v>64</v>
      </c>
      <c r="K10" s="20">
        <f>AGI!K10</f>
        <v>8</v>
      </c>
      <c r="L10" s="20">
        <f>AGI!L10</f>
        <v>0</v>
      </c>
      <c r="M10" s="21">
        <f>AGI!M10</f>
        <v>46173</v>
      </c>
      <c r="N10" s="21">
        <f>AGI!N10</f>
        <v>46173</v>
      </c>
      <c r="O10" s="21">
        <f>AGI!O10</f>
        <v>46173</v>
      </c>
      <c r="P10" s="95">
        <f>AGI!P10</f>
        <v>8390.977733491969</v>
      </c>
      <c r="V10">
        <v>1</v>
      </c>
      <c r="W10" t="s">
        <v>33</v>
      </c>
      <c r="Y10" t="s">
        <v>33</v>
      </c>
      <c r="Z10" t="s">
        <v>34</v>
      </c>
      <c r="AA10">
        <v>1</v>
      </c>
      <c r="AC10" s="15"/>
    </row>
    <row r="11" spans="1:31" x14ac:dyDescent="0.35">
      <c r="A11" s="13">
        <f t="shared" si="0"/>
        <v>45930</v>
      </c>
      <c r="B11">
        <v>1</v>
      </c>
      <c r="D11" s="14" t="s">
        <v>31</v>
      </c>
      <c r="E11" s="15" t="s">
        <v>32</v>
      </c>
      <c r="F11" s="16" t="s">
        <v>32</v>
      </c>
      <c r="G11" s="17"/>
      <c r="H11" s="31" t="s">
        <v>64</v>
      </c>
      <c r="I11" s="31" t="s">
        <v>64</v>
      </c>
      <c r="K11" s="20">
        <f>AGI!K11</f>
        <v>9</v>
      </c>
      <c r="L11" s="20">
        <f>AGI!L11</f>
        <v>0</v>
      </c>
      <c r="M11" s="21">
        <f>AGI!M11</f>
        <v>46203</v>
      </c>
      <c r="N11" s="21">
        <f>AGI!N11</f>
        <v>46203</v>
      </c>
      <c r="O11" s="21">
        <f>AGI!O11</f>
        <v>46203</v>
      </c>
      <c r="P11" s="95">
        <f>AGI!P11</f>
        <v>8390.977733491969</v>
      </c>
      <c r="V11">
        <v>1</v>
      </c>
      <c r="W11" t="s">
        <v>33</v>
      </c>
      <c r="Y11" t="s">
        <v>33</v>
      </c>
      <c r="Z11" t="s">
        <v>34</v>
      </c>
      <c r="AA11">
        <v>1</v>
      </c>
      <c r="AC11" s="15"/>
    </row>
    <row r="12" spans="1:31" x14ac:dyDescent="0.35">
      <c r="A12" s="13">
        <f t="shared" si="0"/>
        <v>45930</v>
      </c>
      <c r="B12">
        <v>1</v>
      </c>
      <c r="D12" s="14" t="s">
        <v>31</v>
      </c>
      <c r="E12" s="15" t="s">
        <v>32</v>
      </c>
      <c r="F12" s="16" t="s">
        <v>32</v>
      </c>
      <c r="G12" s="17"/>
      <c r="H12" s="31" t="s">
        <v>64</v>
      </c>
      <c r="I12" s="31" t="s">
        <v>64</v>
      </c>
      <c r="K12" s="20">
        <f>AGI!K12</f>
        <v>10</v>
      </c>
      <c r="L12" s="20">
        <f>AGI!L12</f>
        <v>0</v>
      </c>
      <c r="M12" s="21">
        <f>AGI!M12</f>
        <v>46234</v>
      </c>
      <c r="N12" s="21">
        <f>AGI!N12</f>
        <v>46234</v>
      </c>
      <c r="O12" s="21">
        <f>AGI!O12</f>
        <v>46234</v>
      </c>
      <c r="P12" s="95">
        <f>AGI!P12</f>
        <v>8390.977733491969</v>
      </c>
      <c r="V12">
        <v>1</v>
      </c>
      <c r="W12" t="s">
        <v>33</v>
      </c>
      <c r="Y12" t="s">
        <v>33</v>
      </c>
      <c r="Z12" t="s">
        <v>34</v>
      </c>
      <c r="AA12">
        <v>1</v>
      </c>
      <c r="AC12" s="15"/>
    </row>
    <row r="13" spans="1:31" x14ac:dyDescent="0.35">
      <c r="A13" s="13">
        <f t="shared" si="0"/>
        <v>45930</v>
      </c>
      <c r="B13">
        <v>1</v>
      </c>
      <c r="D13" s="14" t="s">
        <v>31</v>
      </c>
      <c r="E13" s="15" t="s">
        <v>32</v>
      </c>
      <c r="F13" s="16" t="s">
        <v>32</v>
      </c>
      <c r="G13" s="17"/>
      <c r="H13" s="31" t="s">
        <v>64</v>
      </c>
      <c r="I13" s="31" t="s">
        <v>64</v>
      </c>
      <c r="K13" s="20">
        <f>AGI!K13</f>
        <v>11</v>
      </c>
      <c r="L13" s="20">
        <f>AGI!L13</f>
        <v>0</v>
      </c>
      <c r="M13" s="21">
        <f>AGI!M13</f>
        <v>46265</v>
      </c>
      <c r="N13" s="21">
        <f>AGI!N13</f>
        <v>46265</v>
      </c>
      <c r="O13" s="21">
        <f>AGI!O13</f>
        <v>46265</v>
      </c>
      <c r="P13" s="95">
        <f>AGI!P13</f>
        <v>8390.977733491969</v>
      </c>
      <c r="V13">
        <v>1</v>
      </c>
      <c r="W13" t="s">
        <v>33</v>
      </c>
      <c r="Y13" t="s">
        <v>33</v>
      </c>
      <c r="Z13" t="s">
        <v>34</v>
      </c>
      <c r="AA13">
        <v>1</v>
      </c>
      <c r="AC13" s="15"/>
    </row>
    <row r="14" spans="1:31" x14ac:dyDescent="0.35">
      <c r="A14" s="13">
        <f t="shared" si="0"/>
        <v>45930</v>
      </c>
      <c r="B14">
        <v>1</v>
      </c>
      <c r="D14" s="14" t="s">
        <v>31</v>
      </c>
      <c r="E14" s="15" t="s">
        <v>32</v>
      </c>
      <c r="F14" s="16" t="s">
        <v>32</v>
      </c>
      <c r="G14" s="17"/>
      <c r="H14" s="31" t="s">
        <v>64</v>
      </c>
      <c r="I14" s="31" t="s">
        <v>64</v>
      </c>
      <c r="K14" s="20">
        <f>AGI!K14</f>
        <v>12</v>
      </c>
      <c r="L14" s="20">
        <f>AGI!L14</f>
        <v>0</v>
      </c>
      <c r="M14" s="21">
        <f>AGI!M14</f>
        <v>46295</v>
      </c>
      <c r="N14" s="21">
        <f>AGI!N14</f>
        <v>46295</v>
      </c>
      <c r="O14" s="21">
        <f>AGI!O14</f>
        <v>46295</v>
      </c>
      <c r="P14" s="95">
        <f>AGI!P14</f>
        <v>8390.977733491969</v>
      </c>
      <c r="V14">
        <v>1</v>
      </c>
      <c r="W14" t="s">
        <v>33</v>
      </c>
      <c r="Y14" t="s">
        <v>33</v>
      </c>
      <c r="Z14" t="s">
        <v>34</v>
      </c>
      <c r="AA14">
        <v>1</v>
      </c>
      <c r="AC14" s="15"/>
    </row>
    <row r="15" spans="1:31" x14ac:dyDescent="0.35">
      <c r="A15" s="13">
        <f t="shared" si="0"/>
        <v>45930</v>
      </c>
      <c r="B15">
        <v>1</v>
      </c>
      <c r="D15" s="14" t="s">
        <v>31</v>
      </c>
      <c r="E15" s="15" t="s">
        <v>32</v>
      </c>
      <c r="F15" s="16" t="s">
        <v>32</v>
      </c>
      <c r="G15" s="17"/>
      <c r="H15" s="31" t="s">
        <v>64</v>
      </c>
      <c r="I15" s="31" t="s">
        <v>64</v>
      </c>
      <c r="K15" s="20">
        <f>AGI!K15</f>
        <v>13</v>
      </c>
      <c r="L15" s="20">
        <f>AGI!L15</f>
        <v>0</v>
      </c>
      <c r="M15" s="21">
        <f>AGI!M15</f>
        <v>46326</v>
      </c>
      <c r="N15" s="21">
        <f>AGI!N15</f>
        <v>46326</v>
      </c>
      <c r="O15" s="21">
        <f>AGI!O15</f>
        <v>46326</v>
      </c>
      <c r="P15" s="95">
        <f>AGI!P15</f>
        <v>8390.977733491969</v>
      </c>
      <c r="V15">
        <v>1</v>
      </c>
      <c r="W15" t="s">
        <v>33</v>
      </c>
      <c r="Y15" t="s">
        <v>33</v>
      </c>
      <c r="Z15" t="s">
        <v>34</v>
      </c>
      <c r="AA15">
        <v>1</v>
      </c>
      <c r="AC15" s="15"/>
    </row>
    <row r="16" spans="1:31" x14ac:dyDescent="0.35">
      <c r="A16" s="13">
        <f t="shared" si="0"/>
        <v>45930</v>
      </c>
      <c r="B16">
        <v>1</v>
      </c>
      <c r="D16" s="14" t="s">
        <v>31</v>
      </c>
      <c r="E16" s="15" t="s">
        <v>32</v>
      </c>
      <c r="F16" s="16" t="s">
        <v>32</v>
      </c>
      <c r="G16" s="17"/>
      <c r="H16" s="31" t="s">
        <v>64</v>
      </c>
      <c r="I16" s="31" t="s">
        <v>64</v>
      </c>
      <c r="K16" s="20">
        <f>AGI!K16</f>
        <v>14</v>
      </c>
      <c r="L16" s="20">
        <f>AGI!L16</f>
        <v>0</v>
      </c>
      <c r="M16" s="21">
        <f>AGI!M16</f>
        <v>46356</v>
      </c>
      <c r="N16" s="21">
        <f>AGI!N16</f>
        <v>46356</v>
      </c>
      <c r="O16" s="21">
        <f>AGI!O16</f>
        <v>46356</v>
      </c>
      <c r="P16" s="95">
        <f>AGI!P16</f>
        <v>8390.977733491969</v>
      </c>
      <c r="V16">
        <v>1</v>
      </c>
      <c r="W16" t="s">
        <v>33</v>
      </c>
      <c r="Y16" t="s">
        <v>33</v>
      </c>
      <c r="Z16" t="s">
        <v>34</v>
      </c>
      <c r="AA16">
        <v>1</v>
      </c>
      <c r="AC16" s="15"/>
    </row>
    <row r="17" spans="1:29" x14ac:dyDescent="0.35">
      <c r="A17" s="13">
        <f t="shared" si="0"/>
        <v>45930</v>
      </c>
      <c r="B17">
        <v>1</v>
      </c>
      <c r="D17" s="14" t="s">
        <v>31</v>
      </c>
      <c r="E17" s="15" t="s">
        <v>32</v>
      </c>
      <c r="F17" s="16" t="s">
        <v>32</v>
      </c>
      <c r="G17" s="17"/>
      <c r="H17" s="31" t="s">
        <v>64</v>
      </c>
      <c r="I17" s="31" t="s">
        <v>64</v>
      </c>
      <c r="K17" s="20">
        <f>AGI!K17</f>
        <v>15</v>
      </c>
      <c r="L17" s="20">
        <f>AGI!L17</f>
        <v>0</v>
      </c>
      <c r="M17" s="21">
        <f>AGI!M17</f>
        <v>46387</v>
      </c>
      <c r="N17" s="21">
        <f>AGI!N17</f>
        <v>46387</v>
      </c>
      <c r="O17" s="21">
        <f>AGI!O17</f>
        <v>46387</v>
      </c>
      <c r="P17" s="95">
        <f>AGI!P17</f>
        <v>8390.977733491969</v>
      </c>
      <c r="V17">
        <v>1</v>
      </c>
      <c r="W17" t="s">
        <v>33</v>
      </c>
      <c r="Y17" t="s">
        <v>33</v>
      </c>
      <c r="Z17" t="s">
        <v>34</v>
      </c>
      <c r="AA17">
        <v>1</v>
      </c>
      <c r="AC17" s="15"/>
    </row>
    <row r="18" spans="1:29" x14ac:dyDescent="0.35">
      <c r="A18" s="13">
        <f t="shared" si="0"/>
        <v>45930</v>
      </c>
      <c r="B18">
        <v>1</v>
      </c>
      <c r="D18" s="14" t="s">
        <v>31</v>
      </c>
      <c r="E18" s="15" t="s">
        <v>32</v>
      </c>
      <c r="F18" s="16" t="s">
        <v>32</v>
      </c>
      <c r="G18" s="17"/>
      <c r="H18" s="31" t="s">
        <v>64</v>
      </c>
      <c r="I18" s="31" t="s">
        <v>64</v>
      </c>
      <c r="K18" s="20">
        <f>AGI!K18</f>
        <v>16</v>
      </c>
      <c r="L18" s="20">
        <f>AGI!L18</f>
        <v>0</v>
      </c>
      <c r="M18" s="21">
        <f>AGI!M18</f>
        <v>46418</v>
      </c>
      <c r="N18" s="21">
        <f>AGI!N18</f>
        <v>46418</v>
      </c>
      <c r="O18" s="21">
        <f>AGI!O18</f>
        <v>46418</v>
      </c>
      <c r="P18" s="95">
        <f>AGI!P18</f>
        <v>8390.977733491969</v>
      </c>
      <c r="V18">
        <v>1</v>
      </c>
      <c r="W18" t="s">
        <v>33</v>
      </c>
      <c r="Y18" t="s">
        <v>33</v>
      </c>
      <c r="Z18" t="s">
        <v>34</v>
      </c>
      <c r="AA18">
        <v>1</v>
      </c>
      <c r="AC18" s="15"/>
    </row>
    <row r="19" spans="1:29" x14ac:dyDescent="0.35">
      <c r="A19" s="13">
        <f t="shared" si="0"/>
        <v>45930</v>
      </c>
      <c r="B19">
        <v>1</v>
      </c>
      <c r="D19" s="14" t="s">
        <v>31</v>
      </c>
      <c r="E19" s="15" t="s">
        <v>32</v>
      </c>
      <c r="F19" s="16" t="s">
        <v>32</v>
      </c>
      <c r="G19" s="17"/>
      <c r="H19" s="31" t="s">
        <v>64</v>
      </c>
      <c r="I19" s="31" t="s">
        <v>64</v>
      </c>
      <c r="K19" s="20">
        <f>AGI!K19</f>
        <v>17</v>
      </c>
      <c r="L19" s="20">
        <f>AGI!L19</f>
        <v>0</v>
      </c>
      <c r="M19" s="21">
        <f>AGI!M19</f>
        <v>46446</v>
      </c>
      <c r="N19" s="21">
        <f>AGI!N19</f>
        <v>46446</v>
      </c>
      <c r="O19" s="21">
        <f>AGI!O19</f>
        <v>46446</v>
      </c>
      <c r="P19" s="95">
        <f>AGI!P19</f>
        <v>8390.977733491969</v>
      </c>
      <c r="V19">
        <v>1</v>
      </c>
      <c r="W19" t="s">
        <v>33</v>
      </c>
      <c r="Y19" t="s">
        <v>33</v>
      </c>
      <c r="Z19" t="s">
        <v>34</v>
      </c>
      <c r="AA19">
        <v>1</v>
      </c>
      <c r="AC19" s="15"/>
    </row>
    <row r="20" spans="1:29" x14ac:dyDescent="0.35">
      <c r="A20" s="13">
        <f t="shared" si="0"/>
        <v>45930</v>
      </c>
      <c r="B20">
        <v>1</v>
      </c>
      <c r="D20" s="14" t="s">
        <v>31</v>
      </c>
      <c r="E20" s="15" t="s">
        <v>32</v>
      </c>
      <c r="F20" s="16" t="s">
        <v>32</v>
      </c>
      <c r="G20" s="17"/>
      <c r="H20" s="31" t="s">
        <v>64</v>
      </c>
      <c r="I20" s="31" t="s">
        <v>64</v>
      </c>
      <c r="K20" s="20">
        <f>AGI!K20</f>
        <v>18</v>
      </c>
      <c r="L20" s="20">
        <f>AGI!L20</f>
        <v>0</v>
      </c>
      <c r="M20" s="21">
        <f>AGI!M20</f>
        <v>46477</v>
      </c>
      <c r="N20" s="21">
        <f>AGI!N20</f>
        <v>46477</v>
      </c>
      <c r="O20" s="21">
        <f>AGI!O20</f>
        <v>46477</v>
      </c>
      <c r="P20" s="95">
        <f>AGI!P20</f>
        <v>8390.977733491969</v>
      </c>
      <c r="V20">
        <v>1</v>
      </c>
      <c r="W20" t="s">
        <v>33</v>
      </c>
      <c r="Y20" t="s">
        <v>33</v>
      </c>
      <c r="Z20" t="s">
        <v>34</v>
      </c>
      <c r="AA20">
        <v>1</v>
      </c>
    </row>
    <row r="21" spans="1:29" x14ac:dyDescent="0.35">
      <c r="A21" s="13">
        <f t="shared" si="0"/>
        <v>45930</v>
      </c>
      <c r="B21">
        <v>1</v>
      </c>
      <c r="D21" s="14" t="s">
        <v>31</v>
      </c>
      <c r="E21" s="15" t="s">
        <v>32</v>
      </c>
      <c r="F21" s="16" t="s">
        <v>32</v>
      </c>
      <c r="G21" s="17"/>
      <c r="H21" s="31" t="s">
        <v>64</v>
      </c>
      <c r="I21" s="31" t="s">
        <v>64</v>
      </c>
      <c r="K21" s="20">
        <f>AGI!K21</f>
        <v>19</v>
      </c>
      <c r="L21" s="20">
        <f>AGI!L21</f>
        <v>0</v>
      </c>
      <c r="M21" s="21">
        <f>AGI!M21</f>
        <v>46507</v>
      </c>
      <c r="N21" s="21">
        <f>AGI!N21</f>
        <v>46507</v>
      </c>
      <c r="O21" s="21">
        <f>AGI!O21</f>
        <v>46507</v>
      </c>
      <c r="P21" s="95">
        <f>AGI!P21</f>
        <v>8390.977733491969</v>
      </c>
      <c r="V21">
        <v>1</v>
      </c>
      <c r="W21" t="s">
        <v>33</v>
      </c>
      <c r="Y21" t="s">
        <v>33</v>
      </c>
      <c r="Z21" t="s">
        <v>34</v>
      </c>
      <c r="AA21">
        <v>1</v>
      </c>
    </row>
    <row r="22" spans="1:29" x14ac:dyDescent="0.35">
      <c r="A22" s="13">
        <f t="shared" si="0"/>
        <v>45930</v>
      </c>
      <c r="B22">
        <v>1</v>
      </c>
      <c r="D22" s="14" t="s">
        <v>31</v>
      </c>
      <c r="E22" s="15" t="s">
        <v>32</v>
      </c>
      <c r="F22" s="16" t="s">
        <v>32</v>
      </c>
      <c r="G22" s="17"/>
      <c r="H22" s="31" t="s">
        <v>64</v>
      </c>
      <c r="I22" s="31" t="s">
        <v>64</v>
      </c>
      <c r="K22" s="20">
        <f>AGI!K22</f>
        <v>20</v>
      </c>
      <c r="L22" s="20">
        <f>AGI!L22</f>
        <v>0</v>
      </c>
      <c r="M22" s="21">
        <f>AGI!M22</f>
        <v>46538</v>
      </c>
      <c r="N22" s="21">
        <f>AGI!N22</f>
        <v>46538</v>
      </c>
      <c r="O22" s="21">
        <f>AGI!O22</f>
        <v>46538</v>
      </c>
      <c r="P22" s="95">
        <f>AGI!P22</f>
        <v>8390.977733491969</v>
      </c>
      <c r="V22">
        <v>1</v>
      </c>
      <c r="W22" t="s">
        <v>33</v>
      </c>
      <c r="Y22" t="s">
        <v>33</v>
      </c>
      <c r="Z22" t="s">
        <v>34</v>
      </c>
      <c r="AA22">
        <v>1</v>
      </c>
    </row>
    <row r="23" spans="1:29" x14ac:dyDescent="0.35">
      <c r="A23" s="13">
        <f t="shared" si="0"/>
        <v>45930</v>
      </c>
      <c r="B23">
        <v>1</v>
      </c>
      <c r="D23" s="14" t="s">
        <v>31</v>
      </c>
      <c r="E23" s="15" t="s">
        <v>32</v>
      </c>
      <c r="F23" s="16" t="s">
        <v>32</v>
      </c>
      <c r="G23" s="17"/>
      <c r="H23" s="31" t="s">
        <v>64</v>
      </c>
      <c r="I23" s="31" t="s">
        <v>64</v>
      </c>
      <c r="K23" s="20">
        <f>AGI!K23</f>
        <v>21</v>
      </c>
      <c r="L23" s="20">
        <f>AGI!L23</f>
        <v>0</v>
      </c>
      <c r="M23" s="21">
        <f>AGI!M23</f>
        <v>46568</v>
      </c>
      <c r="N23" s="21">
        <f>AGI!N23</f>
        <v>46568</v>
      </c>
      <c r="O23" s="21">
        <f>AGI!O23</f>
        <v>46568</v>
      </c>
      <c r="P23" s="95">
        <f>AGI!P23</f>
        <v>8390.977733491969</v>
      </c>
      <c r="V23">
        <v>1</v>
      </c>
      <c r="W23" t="s">
        <v>33</v>
      </c>
      <c r="Y23" t="s">
        <v>33</v>
      </c>
      <c r="Z23" t="s">
        <v>34</v>
      </c>
      <c r="AA23">
        <v>1</v>
      </c>
    </row>
    <row r="24" spans="1:29" x14ac:dyDescent="0.35">
      <c r="A24" s="13">
        <f t="shared" si="0"/>
        <v>45930</v>
      </c>
      <c r="B24">
        <v>1</v>
      </c>
      <c r="D24" s="14" t="s">
        <v>31</v>
      </c>
      <c r="E24" s="15" t="s">
        <v>32</v>
      </c>
      <c r="F24" s="16" t="s">
        <v>32</v>
      </c>
      <c r="G24" s="17"/>
      <c r="H24" s="31" t="s">
        <v>64</v>
      </c>
      <c r="I24" s="31" t="s">
        <v>64</v>
      </c>
      <c r="K24" s="20">
        <f>AGI!K24</f>
        <v>22</v>
      </c>
      <c r="L24" s="20">
        <f>AGI!L24</f>
        <v>0</v>
      </c>
      <c r="M24" s="21">
        <f>AGI!M24</f>
        <v>46599</v>
      </c>
      <c r="N24" s="21">
        <f>AGI!N24</f>
        <v>46599</v>
      </c>
      <c r="O24" s="21">
        <f>AGI!O24</f>
        <v>46599</v>
      </c>
      <c r="P24" s="95">
        <f>AGI!P24</f>
        <v>8390.977733491969</v>
      </c>
      <c r="V24">
        <v>1</v>
      </c>
      <c r="W24" t="s">
        <v>33</v>
      </c>
      <c r="Y24" t="s">
        <v>33</v>
      </c>
      <c r="Z24" t="s">
        <v>34</v>
      </c>
      <c r="AA24">
        <v>1</v>
      </c>
    </row>
    <row r="25" spans="1:29" x14ac:dyDescent="0.35">
      <c r="A25" s="13">
        <f t="shared" si="0"/>
        <v>45930</v>
      </c>
      <c r="B25">
        <v>1</v>
      </c>
      <c r="D25" s="14" t="s">
        <v>31</v>
      </c>
      <c r="E25" s="15" t="s">
        <v>32</v>
      </c>
      <c r="F25" s="16" t="s">
        <v>32</v>
      </c>
      <c r="G25" s="17"/>
      <c r="H25" s="31" t="s">
        <v>64</v>
      </c>
      <c r="I25" s="31" t="s">
        <v>64</v>
      </c>
      <c r="K25" s="20">
        <f>AGI!K25</f>
        <v>23</v>
      </c>
      <c r="L25" s="20">
        <f>AGI!L25</f>
        <v>0</v>
      </c>
      <c r="M25" s="21">
        <f>AGI!M25</f>
        <v>46630</v>
      </c>
      <c r="N25" s="21">
        <f>AGI!N25</f>
        <v>46630</v>
      </c>
      <c r="O25" s="21">
        <f>AGI!O25</f>
        <v>46630</v>
      </c>
      <c r="P25" s="95">
        <f>AGI!P25</f>
        <v>8390.977733491969</v>
      </c>
      <c r="V25">
        <v>1</v>
      </c>
      <c r="W25" t="s">
        <v>33</v>
      </c>
      <c r="Y25" t="s">
        <v>33</v>
      </c>
      <c r="Z25" t="s">
        <v>34</v>
      </c>
      <c r="AA25">
        <v>1</v>
      </c>
    </row>
    <row r="26" spans="1:29" x14ac:dyDescent="0.35">
      <c r="A26" s="13">
        <f t="shared" si="0"/>
        <v>45930</v>
      </c>
      <c r="B26">
        <v>1</v>
      </c>
      <c r="D26" s="14" t="s">
        <v>31</v>
      </c>
      <c r="E26" s="15" t="s">
        <v>32</v>
      </c>
      <c r="F26" s="16" t="s">
        <v>32</v>
      </c>
      <c r="G26" s="17"/>
      <c r="H26" s="31" t="s">
        <v>64</v>
      </c>
      <c r="I26" s="31" t="s">
        <v>64</v>
      </c>
      <c r="K26" s="20">
        <f>AGI!K26</f>
        <v>24</v>
      </c>
      <c r="L26" s="20">
        <f>AGI!L26</f>
        <v>0</v>
      </c>
      <c r="M26" s="21">
        <f>AGI!M26</f>
        <v>46660</v>
      </c>
      <c r="N26" s="21">
        <f>AGI!N26</f>
        <v>46660</v>
      </c>
      <c r="O26" s="21">
        <f>AGI!O26</f>
        <v>46660</v>
      </c>
      <c r="P26" s="95">
        <f>AGI!P26</f>
        <v>8390.977733491969</v>
      </c>
      <c r="V26">
        <v>1</v>
      </c>
      <c r="W26" t="s">
        <v>33</v>
      </c>
      <c r="Y26" t="s">
        <v>33</v>
      </c>
      <c r="Z26" t="s">
        <v>34</v>
      </c>
      <c r="AA26">
        <v>1</v>
      </c>
    </row>
    <row r="27" spans="1:29" x14ac:dyDescent="0.35">
      <c r="A27" s="13">
        <f t="shared" si="0"/>
        <v>45930</v>
      </c>
      <c r="B27">
        <v>1</v>
      </c>
      <c r="D27" s="14" t="s">
        <v>31</v>
      </c>
      <c r="E27" s="15" t="s">
        <v>32</v>
      </c>
      <c r="F27" s="16" t="s">
        <v>32</v>
      </c>
      <c r="G27" s="17"/>
      <c r="H27" s="31" t="s">
        <v>64</v>
      </c>
      <c r="I27" s="31" t="s">
        <v>64</v>
      </c>
      <c r="K27" s="20">
        <f>AGI!K27</f>
        <v>25</v>
      </c>
      <c r="L27" s="20">
        <f>AGI!L27</f>
        <v>0</v>
      </c>
      <c r="M27" s="21">
        <f>AGI!M27</f>
        <v>46691</v>
      </c>
      <c r="N27" s="21">
        <f>AGI!N27</f>
        <v>46691</v>
      </c>
      <c r="O27" s="21">
        <f>AGI!O27</f>
        <v>46691</v>
      </c>
      <c r="P27" s="95">
        <f>AGI!P27</f>
        <v>8390.977733491969</v>
      </c>
      <c r="V27">
        <v>1</v>
      </c>
      <c r="W27" t="s">
        <v>33</v>
      </c>
      <c r="Y27" t="s">
        <v>33</v>
      </c>
      <c r="Z27" t="s">
        <v>34</v>
      </c>
      <c r="AA27">
        <v>1</v>
      </c>
    </row>
    <row r="28" spans="1:29" x14ac:dyDescent="0.35">
      <c r="A28" s="13">
        <f t="shared" si="0"/>
        <v>45930</v>
      </c>
      <c r="B28">
        <v>1</v>
      </c>
      <c r="D28" s="14" t="s">
        <v>31</v>
      </c>
      <c r="E28" s="15" t="s">
        <v>32</v>
      </c>
      <c r="F28" s="16" t="s">
        <v>32</v>
      </c>
      <c r="G28" s="17"/>
      <c r="H28" s="31" t="s">
        <v>64</v>
      </c>
      <c r="I28" s="31" t="s">
        <v>64</v>
      </c>
      <c r="K28" s="20">
        <f>AGI!K28</f>
        <v>26</v>
      </c>
      <c r="L28" s="20">
        <f>AGI!L28</f>
        <v>0</v>
      </c>
      <c r="M28" s="21">
        <f>AGI!M28</f>
        <v>46721</v>
      </c>
      <c r="N28" s="21">
        <f>AGI!N28</f>
        <v>46721</v>
      </c>
      <c r="O28" s="21">
        <f>AGI!O28</f>
        <v>46721</v>
      </c>
      <c r="P28" s="95">
        <f>AGI!P28</f>
        <v>8390.977733491969</v>
      </c>
      <c r="V28">
        <v>1</v>
      </c>
      <c r="W28" t="s">
        <v>33</v>
      </c>
      <c r="Y28" t="s">
        <v>33</v>
      </c>
      <c r="Z28" t="s">
        <v>34</v>
      </c>
      <c r="AA28">
        <v>1</v>
      </c>
    </row>
    <row r="29" spans="1:29" x14ac:dyDescent="0.35">
      <c r="A29" s="13">
        <f t="shared" si="0"/>
        <v>45930</v>
      </c>
      <c r="B29">
        <v>1</v>
      </c>
      <c r="D29" s="14" t="s">
        <v>31</v>
      </c>
      <c r="E29" s="15" t="s">
        <v>32</v>
      </c>
      <c r="F29" s="16" t="s">
        <v>32</v>
      </c>
      <c r="G29" s="17"/>
      <c r="H29" s="31" t="s">
        <v>64</v>
      </c>
      <c r="I29" s="31" t="s">
        <v>64</v>
      </c>
      <c r="K29" s="20">
        <f>AGI!K29</f>
        <v>27</v>
      </c>
      <c r="L29" s="20">
        <f>AGI!L29</f>
        <v>0</v>
      </c>
      <c r="M29" s="21">
        <f>AGI!M29</f>
        <v>46752</v>
      </c>
      <c r="N29" s="21">
        <f>AGI!N29</f>
        <v>46752</v>
      </c>
      <c r="O29" s="21">
        <f>AGI!O29</f>
        <v>46752</v>
      </c>
      <c r="P29" s="95">
        <f>AGI!P29</f>
        <v>8390.977733491969</v>
      </c>
      <c r="V29">
        <v>1</v>
      </c>
      <c r="W29" t="s">
        <v>33</v>
      </c>
      <c r="Y29" t="s">
        <v>33</v>
      </c>
      <c r="Z29" t="s">
        <v>34</v>
      </c>
      <c r="AA29">
        <v>1</v>
      </c>
    </row>
    <row r="30" spans="1:29" x14ac:dyDescent="0.35">
      <c r="A30" s="13">
        <f t="shared" si="0"/>
        <v>45930</v>
      </c>
      <c r="B30">
        <v>1</v>
      </c>
      <c r="D30" s="14" t="s">
        <v>31</v>
      </c>
      <c r="E30" s="15" t="s">
        <v>32</v>
      </c>
      <c r="F30" s="16" t="s">
        <v>32</v>
      </c>
      <c r="G30" s="17"/>
      <c r="H30" s="31" t="s">
        <v>64</v>
      </c>
      <c r="I30" s="31" t="s">
        <v>64</v>
      </c>
      <c r="K30" s="20">
        <f>AGI!K30</f>
        <v>28</v>
      </c>
      <c r="L30" s="20">
        <f>AGI!L30</f>
        <v>0</v>
      </c>
      <c r="M30" s="21">
        <f>AGI!M30</f>
        <v>46783</v>
      </c>
      <c r="N30" s="21">
        <f>AGI!N30</f>
        <v>46783</v>
      </c>
      <c r="O30" s="21">
        <f>AGI!O30</f>
        <v>46783</v>
      </c>
      <c r="P30" s="95">
        <f>AGI!P30</f>
        <v>8390.977733491969</v>
      </c>
      <c r="V30">
        <v>1</v>
      </c>
      <c r="W30" t="s">
        <v>33</v>
      </c>
      <c r="Y30" t="s">
        <v>33</v>
      </c>
      <c r="Z30" t="s">
        <v>34</v>
      </c>
      <c r="AA30">
        <v>1</v>
      </c>
    </row>
    <row r="31" spans="1:29" x14ac:dyDescent="0.35">
      <c r="A31" s="13">
        <f t="shared" si="0"/>
        <v>45930</v>
      </c>
      <c r="B31">
        <v>1</v>
      </c>
      <c r="D31" s="14" t="s">
        <v>31</v>
      </c>
      <c r="E31" s="15" t="s">
        <v>32</v>
      </c>
      <c r="F31" s="16" t="s">
        <v>32</v>
      </c>
      <c r="G31" s="17"/>
      <c r="H31" s="31" t="s">
        <v>64</v>
      </c>
      <c r="I31" s="31" t="s">
        <v>64</v>
      </c>
      <c r="K31" s="20">
        <f>AGI!K31</f>
        <v>29</v>
      </c>
      <c r="L31" s="20">
        <f>AGI!L31</f>
        <v>0</v>
      </c>
      <c r="M31" s="21">
        <f>AGI!M31</f>
        <v>46812</v>
      </c>
      <c r="N31" s="21">
        <f>AGI!N31</f>
        <v>46812</v>
      </c>
      <c r="O31" s="21">
        <f>AGI!O31</f>
        <v>46812</v>
      </c>
      <c r="P31" s="95">
        <f>AGI!P31</f>
        <v>8390.977733491969</v>
      </c>
      <c r="V31">
        <v>1</v>
      </c>
      <c r="W31" t="s">
        <v>33</v>
      </c>
      <c r="Y31" t="s">
        <v>33</v>
      </c>
      <c r="Z31" t="s">
        <v>34</v>
      </c>
      <c r="AA31">
        <v>1</v>
      </c>
    </row>
    <row r="32" spans="1:29" x14ac:dyDescent="0.35">
      <c r="A32" s="13">
        <f t="shared" si="0"/>
        <v>45930</v>
      </c>
      <c r="B32">
        <v>1</v>
      </c>
      <c r="D32" s="14" t="s">
        <v>31</v>
      </c>
      <c r="E32" s="15" t="s">
        <v>32</v>
      </c>
      <c r="F32" s="16" t="s">
        <v>32</v>
      </c>
      <c r="G32" s="17"/>
      <c r="H32" s="31" t="s">
        <v>64</v>
      </c>
      <c r="I32" s="31" t="s">
        <v>64</v>
      </c>
      <c r="K32" s="20">
        <f>AGI!K32</f>
        <v>30</v>
      </c>
      <c r="L32" s="20">
        <f>AGI!L32</f>
        <v>0</v>
      </c>
      <c r="M32" s="21">
        <f>AGI!M32</f>
        <v>46843</v>
      </c>
      <c r="N32" s="21">
        <f>AGI!N32</f>
        <v>46843</v>
      </c>
      <c r="O32" s="21">
        <f>AGI!O32</f>
        <v>46843</v>
      </c>
      <c r="P32" s="95">
        <f>AGI!P32</f>
        <v>8390.977733491969</v>
      </c>
      <c r="V32">
        <v>1</v>
      </c>
      <c r="W32" t="s">
        <v>33</v>
      </c>
      <c r="Y32" t="s">
        <v>33</v>
      </c>
      <c r="Z32" t="s">
        <v>34</v>
      </c>
      <c r="AA32">
        <v>1</v>
      </c>
    </row>
    <row r="33" spans="1:27" x14ac:dyDescent="0.35">
      <c r="A33" s="13">
        <f t="shared" si="0"/>
        <v>45930</v>
      </c>
      <c r="B33">
        <v>1</v>
      </c>
      <c r="D33" s="14" t="s">
        <v>31</v>
      </c>
      <c r="E33" s="15" t="s">
        <v>32</v>
      </c>
      <c r="F33" s="16" t="s">
        <v>32</v>
      </c>
      <c r="G33" s="17"/>
      <c r="H33" s="31" t="s">
        <v>64</v>
      </c>
      <c r="I33" s="31" t="s">
        <v>64</v>
      </c>
      <c r="K33" s="20">
        <f>AGI!K33</f>
        <v>31</v>
      </c>
      <c r="L33" s="20">
        <f>AGI!L33</f>
        <v>0</v>
      </c>
      <c r="M33" s="21">
        <f>AGI!M33</f>
        <v>46873</v>
      </c>
      <c r="N33" s="21">
        <f>AGI!N33</f>
        <v>46873</v>
      </c>
      <c r="O33" s="21">
        <f>AGI!O33</f>
        <v>46873</v>
      </c>
      <c r="P33" s="95">
        <f>AGI!P33</f>
        <v>8390.977733491969</v>
      </c>
      <c r="V33">
        <v>1</v>
      </c>
      <c r="W33" t="s">
        <v>33</v>
      </c>
      <c r="Y33" t="s">
        <v>33</v>
      </c>
      <c r="Z33" t="s">
        <v>34</v>
      </c>
      <c r="AA33">
        <v>1</v>
      </c>
    </row>
    <row r="34" spans="1:27" x14ac:dyDescent="0.35">
      <c r="A34" s="13">
        <f t="shared" si="0"/>
        <v>45930</v>
      </c>
      <c r="B34">
        <v>1</v>
      </c>
      <c r="D34" s="14" t="s">
        <v>31</v>
      </c>
      <c r="E34" s="15" t="s">
        <v>32</v>
      </c>
      <c r="F34" s="16" t="s">
        <v>32</v>
      </c>
      <c r="G34" s="17"/>
      <c r="H34" s="31" t="s">
        <v>64</v>
      </c>
      <c r="I34" s="31" t="s">
        <v>64</v>
      </c>
      <c r="K34" s="20">
        <f>AGI!K34</f>
        <v>32</v>
      </c>
      <c r="L34" s="20">
        <f>AGI!L34</f>
        <v>0</v>
      </c>
      <c r="M34" s="21">
        <f>AGI!M34</f>
        <v>46904</v>
      </c>
      <c r="N34" s="21">
        <f>AGI!N34</f>
        <v>46904</v>
      </c>
      <c r="O34" s="21">
        <f>AGI!O34</f>
        <v>46904</v>
      </c>
      <c r="P34" s="95">
        <f>AGI!P34</f>
        <v>8390.977733491969</v>
      </c>
      <c r="V34">
        <v>1</v>
      </c>
      <c r="W34" t="s">
        <v>33</v>
      </c>
      <c r="Y34" t="s">
        <v>33</v>
      </c>
      <c r="Z34" t="s">
        <v>34</v>
      </c>
      <c r="AA34">
        <v>1</v>
      </c>
    </row>
    <row r="35" spans="1:27" x14ac:dyDescent="0.35">
      <c r="A35" s="13">
        <f t="shared" si="0"/>
        <v>45930</v>
      </c>
      <c r="B35">
        <v>1</v>
      </c>
      <c r="D35" s="14" t="s">
        <v>31</v>
      </c>
      <c r="E35" s="15" t="s">
        <v>32</v>
      </c>
      <c r="F35" s="16" t="s">
        <v>32</v>
      </c>
      <c r="G35" s="17"/>
      <c r="H35" s="31" t="s">
        <v>64</v>
      </c>
      <c r="I35" s="31" t="s">
        <v>64</v>
      </c>
      <c r="K35" s="20">
        <f>AGI!K35</f>
        <v>33</v>
      </c>
      <c r="L35" s="20">
        <f>AGI!L35</f>
        <v>0</v>
      </c>
      <c r="M35" s="21">
        <f>AGI!M35</f>
        <v>46934</v>
      </c>
      <c r="N35" s="21">
        <f>AGI!N35</f>
        <v>46934</v>
      </c>
      <c r="O35" s="21">
        <f>AGI!O35</f>
        <v>46934</v>
      </c>
      <c r="P35" s="95">
        <f>AGI!P35</f>
        <v>8390.977733491969</v>
      </c>
      <c r="V35">
        <v>1</v>
      </c>
      <c r="W35" t="s">
        <v>33</v>
      </c>
      <c r="Y35" t="s">
        <v>33</v>
      </c>
      <c r="Z35" t="s">
        <v>34</v>
      </c>
      <c r="AA35">
        <v>1</v>
      </c>
    </row>
    <row r="36" spans="1:27" x14ac:dyDescent="0.35">
      <c r="A36" s="13">
        <f t="shared" si="0"/>
        <v>45930</v>
      </c>
      <c r="B36">
        <v>1</v>
      </c>
      <c r="D36" s="14" t="s">
        <v>31</v>
      </c>
      <c r="E36" s="15" t="s">
        <v>32</v>
      </c>
      <c r="F36" s="16" t="s">
        <v>32</v>
      </c>
      <c r="G36" s="17"/>
      <c r="H36" s="31" t="s">
        <v>64</v>
      </c>
      <c r="I36" s="31" t="s">
        <v>64</v>
      </c>
      <c r="K36" s="20">
        <f>AGI!K36</f>
        <v>34</v>
      </c>
      <c r="L36" s="20">
        <f>AGI!L36</f>
        <v>0</v>
      </c>
      <c r="M36" s="21">
        <f>AGI!M36</f>
        <v>46965</v>
      </c>
      <c r="N36" s="21">
        <f>AGI!N36</f>
        <v>46965</v>
      </c>
      <c r="O36" s="21">
        <f>AGI!O36</f>
        <v>46965</v>
      </c>
      <c r="P36" s="95">
        <f>AGI!P36</f>
        <v>8390.977733491969</v>
      </c>
      <c r="V36">
        <v>1</v>
      </c>
      <c r="W36" t="s">
        <v>33</v>
      </c>
      <c r="Y36" t="s">
        <v>33</v>
      </c>
      <c r="Z36" t="s">
        <v>34</v>
      </c>
      <c r="AA36">
        <v>1</v>
      </c>
    </row>
    <row r="37" spans="1:27" x14ac:dyDescent="0.35">
      <c r="A37" s="13">
        <f t="shared" si="0"/>
        <v>45930</v>
      </c>
      <c r="B37">
        <v>1</v>
      </c>
      <c r="D37" s="14" t="s">
        <v>31</v>
      </c>
      <c r="E37" s="15" t="s">
        <v>32</v>
      </c>
      <c r="F37" s="16" t="s">
        <v>32</v>
      </c>
      <c r="G37" s="17"/>
      <c r="H37" s="31" t="s">
        <v>64</v>
      </c>
      <c r="I37" s="31" t="s">
        <v>64</v>
      </c>
      <c r="K37" s="20">
        <f>AGI!K37</f>
        <v>35</v>
      </c>
      <c r="L37" s="20">
        <f>AGI!L37</f>
        <v>0</v>
      </c>
      <c r="M37" s="21">
        <f>AGI!M37</f>
        <v>46996</v>
      </c>
      <c r="N37" s="21">
        <f>AGI!N37</f>
        <v>46996</v>
      </c>
      <c r="O37" s="21">
        <f>AGI!O37</f>
        <v>46996</v>
      </c>
      <c r="P37" s="95">
        <f>AGI!P37</f>
        <v>8390.977733491969</v>
      </c>
      <c r="V37">
        <v>1</v>
      </c>
      <c r="W37" t="s">
        <v>33</v>
      </c>
      <c r="Y37" t="s">
        <v>33</v>
      </c>
      <c r="Z37" t="s">
        <v>34</v>
      </c>
      <c r="AA37">
        <v>1</v>
      </c>
    </row>
    <row r="38" spans="1:27" x14ac:dyDescent="0.35">
      <c r="A38" s="13">
        <f t="shared" si="0"/>
        <v>45930</v>
      </c>
      <c r="B38">
        <v>1</v>
      </c>
      <c r="D38" s="14" t="s">
        <v>31</v>
      </c>
      <c r="E38" s="15" t="s">
        <v>32</v>
      </c>
      <c r="F38" s="16" t="s">
        <v>32</v>
      </c>
      <c r="G38" s="17"/>
      <c r="H38" s="31" t="s">
        <v>64</v>
      </c>
      <c r="I38" s="31" t="s">
        <v>64</v>
      </c>
      <c r="K38" s="20">
        <f>AGI!K38</f>
        <v>36</v>
      </c>
      <c r="L38" s="20">
        <f>AGI!L38</f>
        <v>0</v>
      </c>
      <c r="M38" s="21">
        <f>AGI!M38</f>
        <v>47026</v>
      </c>
      <c r="N38" s="21">
        <f>AGI!N38</f>
        <v>47026</v>
      </c>
      <c r="O38" s="21">
        <f>AGI!O38</f>
        <v>47026</v>
      </c>
      <c r="P38" s="95">
        <f>AGI!P38</f>
        <v>8390.977733491969</v>
      </c>
      <c r="V38">
        <v>1</v>
      </c>
      <c r="W38" t="s">
        <v>33</v>
      </c>
      <c r="Y38" t="s">
        <v>33</v>
      </c>
      <c r="Z38" t="s">
        <v>34</v>
      </c>
      <c r="AA38">
        <v>1</v>
      </c>
    </row>
    <row r="39" spans="1:27" x14ac:dyDescent="0.35">
      <c r="A39" s="13">
        <f t="shared" si="0"/>
        <v>45930</v>
      </c>
      <c r="B39">
        <v>1</v>
      </c>
      <c r="D39" s="14" t="s">
        <v>31</v>
      </c>
      <c r="E39" s="15" t="s">
        <v>32</v>
      </c>
      <c r="F39" s="16" t="s">
        <v>32</v>
      </c>
      <c r="G39" s="17"/>
      <c r="H39" s="31" t="s">
        <v>64</v>
      </c>
      <c r="I39" s="31" t="s">
        <v>64</v>
      </c>
      <c r="K39" s="20">
        <f>AGI!K39</f>
        <v>37</v>
      </c>
      <c r="L39" s="20">
        <f>AGI!L39</f>
        <v>0</v>
      </c>
      <c r="M39" s="21">
        <f>AGI!M39</f>
        <v>47057</v>
      </c>
      <c r="N39" s="21">
        <f>AGI!N39</f>
        <v>47057</v>
      </c>
      <c r="O39" s="21">
        <f>AGI!O39</f>
        <v>47057</v>
      </c>
      <c r="P39" s="95">
        <f>AGI!P39</f>
        <v>8390.977733491969</v>
      </c>
      <c r="V39">
        <v>1</v>
      </c>
      <c r="W39" t="s">
        <v>33</v>
      </c>
      <c r="Y39" t="s">
        <v>33</v>
      </c>
      <c r="Z39" t="s">
        <v>34</v>
      </c>
      <c r="AA39">
        <v>1</v>
      </c>
    </row>
    <row r="40" spans="1:27" x14ac:dyDescent="0.35">
      <c r="A40" s="13">
        <f t="shared" si="0"/>
        <v>45930</v>
      </c>
      <c r="B40">
        <v>1</v>
      </c>
      <c r="D40" s="14" t="s">
        <v>31</v>
      </c>
      <c r="E40" s="15" t="s">
        <v>32</v>
      </c>
      <c r="F40" s="16" t="s">
        <v>32</v>
      </c>
      <c r="G40" s="17"/>
      <c r="H40" s="31" t="s">
        <v>64</v>
      </c>
      <c r="I40" s="31" t="s">
        <v>64</v>
      </c>
      <c r="K40" s="20">
        <f>AGI!K40</f>
        <v>38</v>
      </c>
      <c r="L40" s="20">
        <f>AGI!L40</f>
        <v>0</v>
      </c>
      <c r="M40" s="21">
        <f>AGI!M40</f>
        <v>47087</v>
      </c>
      <c r="N40" s="21">
        <f>AGI!N40</f>
        <v>47087</v>
      </c>
      <c r="O40" s="21">
        <f>AGI!O40</f>
        <v>47087</v>
      </c>
      <c r="P40" s="95">
        <f>AGI!P40</f>
        <v>8390.977733491969</v>
      </c>
      <c r="V40">
        <v>1</v>
      </c>
      <c r="W40" t="s">
        <v>33</v>
      </c>
      <c r="Y40" t="s">
        <v>33</v>
      </c>
      <c r="Z40" t="s">
        <v>34</v>
      </c>
      <c r="AA40">
        <v>1</v>
      </c>
    </row>
    <row r="41" spans="1:27" x14ac:dyDescent="0.35">
      <c r="A41" s="13">
        <f t="shared" si="0"/>
        <v>45930</v>
      </c>
      <c r="B41">
        <v>1</v>
      </c>
      <c r="D41" s="14" t="s">
        <v>31</v>
      </c>
      <c r="E41" s="15" t="s">
        <v>32</v>
      </c>
      <c r="F41" s="16" t="s">
        <v>32</v>
      </c>
      <c r="G41" s="17"/>
      <c r="H41" s="31" t="s">
        <v>64</v>
      </c>
      <c r="I41" s="31" t="s">
        <v>64</v>
      </c>
      <c r="K41" s="20">
        <f>AGI!K41</f>
        <v>39</v>
      </c>
      <c r="L41" s="20">
        <f>AGI!L41</f>
        <v>0</v>
      </c>
      <c r="M41" s="21">
        <f>AGI!M41</f>
        <v>47118</v>
      </c>
      <c r="N41" s="21">
        <f>AGI!N41</f>
        <v>47118</v>
      </c>
      <c r="O41" s="21">
        <f>AGI!O41</f>
        <v>47118</v>
      </c>
      <c r="P41" s="95">
        <f>AGI!P41</f>
        <v>8390.977733491969</v>
      </c>
      <c r="V41">
        <v>1</v>
      </c>
      <c r="W41" t="s">
        <v>33</v>
      </c>
      <c r="Y41" t="s">
        <v>33</v>
      </c>
      <c r="Z41" t="s">
        <v>34</v>
      </c>
      <c r="AA41">
        <v>1</v>
      </c>
    </row>
    <row r="42" spans="1:27" x14ac:dyDescent="0.35">
      <c r="A42" s="13">
        <f t="shared" si="0"/>
        <v>45930</v>
      </c>
      <c r="B42">
        <v>1</v>
      </c>
      <c r="D42" s="14" t="s">
        <v>31</v>
      </c>
      <c r="E42" s="15" t="s">
        <v>32</v>
      </c>
      <c r="F42" s="16" t="s">
        <v>32</v>
      </c>
      <c r="G42" s="17"/>
      <c r="H42" s="31" t="s">
        <v>64</v>
      </c>
      <c r="I42" s="31" t="s">
        <v>64</v>
      </c>
      <c r="K42" s="20">
        <f>AGI!K42</f>
        <v>40</v>
      </c>
      <c r="L42" s="20">
        <f>AGI!L42</f>
        <v>0</v>
      </c>
      <c r="M42" s="21">
        <f>AGI!M42</f>
        <v>47149</v>
      </c>
      <c r="N42" s="21">
        <f>AGI!N42</f>
        <v>47149</v>
      </c>
      <c r="O42" s="21">
        <f>AGI!O42</f>
        <v>47149</v>
      </c>
      <c r="P42" s="95">
        <f>AGI!P42</f>
        <v>8390.977733491969</v>
      </c>
      <c r="V42">
        <v>1</v>
      </c>
      <c r="W42" t="s">
        <v>33</v>
      </c>
      <c r="Y42" t="s">
        <v>33</v>
      </c>
      <c r="Z42" t="s">
        <v>34</v>
      </c>
      <c r="AA42">
        <v>1</v>
      </c>
    </row>
    <row r="43" spans="1:27" x14ac:dyDescent="0.35">
      <c r="A43" s="13">
        <f t="shared" si="0"/>
        <v>45930</v>
      </c>
      <c r="B43">
        <v>1</v>
      </c>
      <c r="D43" s="14" t="s">
        <v>31</v>
      </c>
      <c r="E43" s="15" t="s">
        <v>32</v>
      </c>
      <c r="F43" s="16" t="s">
        <v>32</v>
      </c>
      <c r="G43" s="17"/>
      <c r="H43" s="31" t="s">
        <v>64</v>
      </c>
      <c r="I43" s="31" t="s">
        <v>64</v>
      </c>
      <c r="K43" s="20">
        <f>AGI!K43</f>
        <v>41</v>
      </c>
      <c r="L43" s="20">
        <f>AGI!L43</f>
        <v>0</v>
      </c>
      <c r="M43" s="21">
        <f>AGI!M43</f>
        <v>47177</v>
      </c>
      <c r="N43" s="21">
        <f>AGI!N43</f>
        <v>47177</v>
      </c>
      <c r="O43" s="21">
        <f>AGI!O43</f>
        <v>47177</v>
      </c>
      <c r="P43" s="95">
        <f>AGI!P43</f>
        <v>8390.977733491969</v>
      </c>
      <c r="V43">
        <v>1</v>
      </c>
      <c r="W43" t="s">
        <v>33</v>
      </c>
      <c r="Y43" t="s">
        <v>33</v>
      </c>
      <c r="Z43" t="s">
        <v>34</v>
      </c>
      <c r="AA43">
        <v>1</v>
      </c>
    </row>
    <row r="44" spans="1:27" x14ac:dyDescent="0.35">
      <c r="A44" s="13">
        <f t="shared" si="0"/>
        <v>45930</v>
      </c>
      <c r="B44">
        <v>1</v>
      </c>
      <c r="D44" s="14" t="s">
        <v>31</v>
      </c>
      <c r="E44" s="15" t="s">
        <v>32</v>
      </c>
      <c r="F44" s="16" t="s">
        <v>32</v>
      </c>
      <c r="G44" s="17"/>
      <c r="H44" s="31" t="s">
        <v>64</v>
      </c>
      <c r="I44" s="31" t="s">
        <v>64</v>
      </c>
      <c r="K44" s="20">
        <f>AGI!K44</f>
        <v>42</v>
      </c>
      <c r="L44" s="20">
        <f>AGI!L44</f>
        <v>0</v>
      </c>
      <c r="M44" s="21">
        <f>AGI!M44</f>
        <v>47208</v>
      </c>
      <c r="N44" s="21">
        <f>AGI!N44</f>
        <v>47208</v>
      </c>
      <c r="O44" s="21">
        <f>AGI!O44</f>
        <v>47208</v>
      </c>
      <c r="P44" s="95">
        <f>AGI!P44</f>
        <v>8390.977733491969</v>
      </c>
      <c r="V44">
        <v>1</v>
      </c>
      <c r="W44" t="s">
        <v>33</v>
      </c>
      <c r="Y44" t="s">
        <v>33</v>
      </c>
      <c r="Z44" t="s">
        <v>34</v>
      </c>
      <c r="AA44">
        <v>1</v>
      </c>
    </row>
    <row r="45" spans="1:27" x14ac:dyDescent="0.35">
      <c r="A45" s="13">
        <f t="shared" si="0"/>
        <v>45930</v>
      </c>
      <c r="B45">
        <v>1</v>
      </c>
      <c r="D45" s="14" t="s">
        <v>31</v>
      </c>
      <c r="E45" s="15" t="s">
        <v>32</v>
      </c>
      <c r="F45" s="16" t="s">
        <v>32</v>
      </c>
      <c r="G45" s="17"/>
      <c r="H45" s="31" t="s">
        <v>64</v>
      </c>
      <c r="I45" s="31" t="s">
        <v>64</v>
      </c>
      <c r="K45" s="20">
        <f>AGI!K45</f>
        <v>43</v>
      </c>
      <c r="L45" s="20">
        <f>AGI!L45</f>
        <v>0</v>
      </c>
      <c r="M45" s="21">
        <f>AGI!M45</f>
        <v>47238</v>
      </c>
      <c r="N45" s="21">
        <f>AGI!N45</f>
        <v>47238</v>
      </c>
      <c r="O45" s="21">
        <f>AGI!O45</f>
        <v>47238</v>
      </c>
      <c r="P45" s="95">
        <f>AGI!P45</f>
        <v>8390.977733491969</v>
      </c>
      <c r="V45">
        <v>1</v>
      </c>
      <c r="W45" t="s">
        <v>33</v>
      </c>
      <c r="Y45" t="s">
        <v>33</v>
      </c>
      <c r="Z45" t="s">
        <v>34</v>
      </c>
      <c r="AA45">
        <v>1</v>
      </c>
    </row>
    <row r="46" spans="1:27" x14ac:dyDescent="0.35">
      <c r="A46" s="13">
        <f t="shared" si="0"/>
        <v>45930</v>
      </c>
      <c r="B46">
        <v>1</v>
      </c>
      <c r="D46" s="14" t="s">
        <v>31</v>
      </c>
      <c r="E46" s="15" t="s">
        <v>32</v>
      </c>
      <c r="F46" s="16" t="s">
        <v>32</v>
      </c>
      <c r="G46" s="17"/>
      <c r="H46" s="31" t="s">
        <v>64</v>
      </c>
      <c r="I46" s="31" t="s">
        <v>64</v>
      </c>
      <c r="K46" s="20">
        <f>AGI!K46</f>
        <v>44</v>
      </c>
      <c r="L46" s="20">
        <f>AGI!L46</f>
        <v>0</v>
      </c>
      <c r="M46" s="21">
        <f>AGI!M46</f>
        <v>47269</v>
      </c>
      <c r="N46" s="21">
        <f>AGI!N46</f>
        <v>47269</v>
      </c>
      <c r="O46" s="21">
        <f>AGI!O46</f>
        <v>47269</v>
      </c>
      <c r="P46" s="95">
        <f>AGI!P46</f>
        <v>8390.977733491969</v>
      </c>
      <c r="V46">
        <v>1</v>
      </c>
      <c r="W46" t="s">
        <v>33</v>
      </c>
      <c r="Y46" t="s">
        <v>33</v>
      </c>
      <c r="Z46" t="s">
        <v>34</v>
      </c>
      <c r="AA46">
        <v>1</v>
      </c>
    </row>
    <row r="47" spans="1:27" x14ac:dyDescent="0.35">
      <c r="A47" s="13">
        <f t="shared" si="0"/>
        <v>45930</v>
      </c>
      <c r="B47">
        <v>1</v>
      </c>
      <c r="D47" s="14" t="s">
        <v>31</v>
      </c>
      <c r="E47" s="15" t="s">
        <v>32</v>
      </c>
      <c r="F47" s="16" t="s">
        <v>32</v>
      </c>
      <c r="G47" s="17"/>
      <c r="H47" s="31" t="s">
        <v>64</v>
      </c>
      <c r="I47" s="31" t="s">
        <v>64</v>
      </c>
      <c r="K47" s="20">
        <f>AGI!K47</f>
        <v>45</v>
      </c>
      <c r="L47" s="20">
        <f>AGI!L47</f>
        <v>0</v>
      </c>
      <c r="M47" s="21">
        <f>AGI!M47</f>
        <v>47299</v>
      </c>
      <c r="N47" s="21">
        <f>AGI!N47</f>
        <v>47299</v>
      </c>
      <c r="O47" s="21">
        <f>AGI!O47</f>
        <v>47299</v>
      </c>
      <c r="P47" s="95">
        <f>AGI!P47</f>
        <v>8390.977733491969</v>
      </c>
      <c r="V47">
        <v>1</v>
      </c>
      <c r="W47" t="s">
        <v>33</v>
      </c>
      <c r="Y47" t="s">
        <v>33</v>
      </c>
      <c r="Z47" t="s">
        <v>34</v>
      </c>
      <c r="AA47">
        <v>1</v>
      </c>
    </row>
    <row r="48" spans="1:27" x14ac:dyDescent="0.35">
      <c r="A48" s="13">
        <f t="shared" si="0"/>
        <v>45930</v>
      </c>
      <c r="B48">
        <v>1</v>
      </c>
      <c r="D48" s="14" t="s">
        <v>31</v>
      </c>
      <c r="E48" s="15" t="s">
        <v>32</v>
      </c>
      <c r="F48" s="16" t="s">
        <v>32</v>
      </c>
      <c r="G48" s="17"/>
      <c r="H48" s="31" t="s">
        <v>64</v>
      </c>
      <c r="I48" s="31" t="s">
        <v>64</v>
      </c>
      <c r="K48" s="20">
        <f>AGI!K48</f>
        <v>46</v>
      </c>
      <c r="L48" s="20">
        <f>AGI!L48</f>
        <v>0</v>
      </c>
      <c r="M48" s="21">
        <f>AGI!M48</f>
        <v>47330</v>
      </c>
      <c r="N48" s="21">
        <f>AGI!N48</f>
        <v>47330</v>
      </c>
      <c r="O48" s="21">
        <f>AGI!O48</f>
        <v>47330</v>
      </c>
      <c r="P48" s="95">
        <f>AGI!P48</f>
        <v>8390.977733491969</v>
      </c>
      <c r="V48">
        <v>1</v>
      </c>
      <c r="W48" t="s">
        <v>33</v>
      </c>
      <c r="Y48" t="s">
        <v>33</v>
      </c>
      <c r="Z48" t="s">
        <v>34</v>
      </c>
      <c r="AA48">
        <v>1</v>
      </c>
    </row>
    <row r="49" spans="1:27" x14ac:dyDescent="0.35">
      <c r="A49" s="13">
        <f t="shared" si="0"/>
        <v>45930</v>
      </c>
      <c r="B49">
        <v>1</v>
      </c>
      <c r="D49" s="14" t="s">
        <v>31</v>
      </c>
      <c r="E49" s="15" t="s">
        <v>32</v>
      </c>
      <c r="F49" s="16" t="s">
        <v>32</v>
      </c>
      <c r="G49" s="17"/>
      <c r="H49" s="31" t="s">
        <v>64</v>
      </c>
      <c r="I49" s="31" t="s">
        <v>64</v>
      </c>
      <c r="K49" s="20">
        <f>AGI!K49</f>
        <v>47</v>
      </c>
      <c r="L49" s="20">
        <f>AGI!L49</f>
        <v>0</v>
      </c>
      <c r="M49" s="21">
        <f>AGI!M49</f>
        <v>47361</v>
      </c>
      <c r="N49" s="21">
        <f>AGI!N49</f>
        <v>47361</v>
      </c>
      <c r="O49" s="21">
        <f>AGI!O49</f>
        <v>47361</v>
      </c>
      <c r="P49" s="95">
        <f>AGI!P49</f>
        <v>8390.977733491969</v>
      </c>
      <c r="V49">
        <v>1</v>
      </c>
      <c r="W49" t="s">
        <v>33</v>
      </c>
      <c r="Y49" t="s">
        <v>33</v>
      </c>
      <c r="Z49" t="s">
        <v>34</v>
      </c>
      <c r="AA49">
        <v>1</v>
      </c>
    </row>
    <row r="50" spans="1:27" x14ac:dyDescent="0.35">
      <c r="A50" s="13">
        <f t="shared" si="0"/>
        <v>45930</v>
      </c>
      <c r="B50">
        <v>1</v>
      </c>
      <c r="D50" s="14" t="s">
        <v>31</v>
      </c>
      <c r="E50" s="15" t="s">
        <v>32</v>
      </c>
      <c r="F50" s="16" t="s">
        <v>32</v>
      </c>
      <c r="G50" s="17"/>
      <c r="H50" s="31" t="s">
        <v>64</v>
      </c>
      <c r="I50" s="31" t="s">
        <v>64</v>
      </c>
      <c r="K50" s="20">
        <f>AGI!K50</f>
        <v>48</v>
      </c>
      <c r="L50" s="20">
        <f>AGI!L50</f>
        <v>0</v>
      </c>
      <c r="M50" s="21">
        <f>AGI!M50</f>
        <v>47391</v>
      </c>
      <c r="N50" s="21">
        <f>AGI!N50</f>
        <v>47391</v>
      </c>
      <c r="O50" s="21">
        <f>AGI!O50</f>
        <v>47391</v>
      </c>
      <c r="P50" s="95">
        <f>AGI!P50</f>
        <v>8390.977733491969</v>
      </c>
      <c r="V50">
        <v>1</v>
      </c>
      <c r="W50" t="s">
        <v>33</v>
      </c>
      <c r="Y50" t="s">
        <v>33</v>
      </c>
      <c r="Z50" t="s">
        <v>34</v>
      </c>
      <c r="AA50">
        <v>1</v>
      </c>
    </row>
    <row r="51" spans="1:27" x14ac:dyDescent="0.35">
      <c r="A51" s="13">
        <f t="shared" si="0"/>
        <v>45930</v>
      </c>
      <c r="B51">
        <v>1</v>
      </c>
      <c r="D51" s="14" t="s">
        <v>31</v>
      </c>
      <c r="E51" s="15" t="s">
        <v>32</v>
      </c>
      <c r="F51" s="16" t="s">
        <v>32</v>
      </c>
      <c r="G51" s="17"/>
      <c r="H51" s="31" t="s">
        <v>64</v>
      </c>
      <c r="I51" s="31" t="s">
        <v>64</v>
      </c>
      <c r="K51" s="20">
        <f>AGI!K51</f>
        <v>49</v>
      </c>
      <c r="L51" s="20">
        <f>AGI!L51</f>
        <v>0</v>
      </c>
      <c r="M51" s="21">
        <f>AGI!M51</f>
        <v>47422</v>
      </c>
      <c r="N51" s="21">
        <f>AGI!N51</f>
        <v>47422</v>
      </c>
      <c r="O51" s="21">
        <f>AGI!O51</f>
        <v>47422</v>
      </c>
      <c r="P51" s="95">
        <f>AGI!P51</f>
        <v>8390.977733491969</v>
      </c>
      <c r="V51">
        <v>1</v>
      </c>
      <c r="W51" t="s">
        <v>33</v>
      </c>
      <c r="Y51" t="s">
        <v>33</v>
      </c>
      <c r="Z51" t="s">
        <v>34</v>
      </c>
      <c r="AA51">
        <v>1</v>
      </c>
    </row>
    <row r="52" spans="1:27" x14ac:dyDescent="0.35">
      <c r="A52" s="13">
        <f t="shared" si="0"/>
        <v>45930</v>
      </c>
      <c r="B52">
        <v>1</v>
      </c>
      <c r="D52" s="14" t="s">
        <v>31</v>
      </c>
      <c r="E52" s="15" t="s">
        <v>32</v>
      </c>
      <c r="F52" s="16" t="s">
        <v>32</v>
      </c>
      <c r="G52" s="17"/>
      <c r="H52" s="31" t="s">
        <v>64</v>
      </c>
      <c r="I52" s="31" t="s">
        <v>64</v>
      </c>
      <c r="K52" s="20">
        <f>AGI!K52</f>
        <v>50</v>
      </c>
      <c r="L52" s="20">
        <f>AGI!L52</f>
        <v>0</v>
      </c>
      <c r="M52" s="21">
        <f>AGI!M52</f>
        <v>47452</v>
      </c>
      <c r="N52" s="21">
        <f>AGI!N52</f>
        <v>47452</v>
      </c>
      <c r="O52" s="21">
        <f>AGI!O52</f>
        <v>47452</v>
      </c>
      <c r="P52" s="95">
        <f>AGI!P52</f>
        <v>8390.977733491969</v>
      </c>
      <c r="V52">
        <v>1</v>
      </c>
      <c r="W52" t="s">
        <v>33</v>
      </c>
      <c r="Y52" t="s">
        <v>33</v>
      </c>
      <c r="Z52" t="s">
        <v>34</v>
      </c>
      <c r="AA52">
        <v>1</v>
      </c>
    </row>
    <row r="53" spans="1:27" x14ac:dyDescent="0.35">
      <c r="A53" s="13">
        <f t="shared" si="0"/>
        <v>45930</v>
      </c>
      <c r="B53">
        <v>1</v>
      </c>
      <c r="D53" s="14" t="s">
        <v>31</v>
      </c>
      <c r="E53" s="15" t="s">
        <v>32</v>
      </c>
      <c r="F53" s="16" t="s">
        <v>32</v>
      </c>
      <c r="G53" s="17"/>
      <c r="H53" s="31" t="s">
        <v>64</v>
      </c>
      <c r="I53" s="31" t="s">
        <v>64</v>
      </c>
      <c r="K53" s="20">
        <f>AGI!K53</f>
        <v>51</v>
      </c>
      <c r="L53" s="20">
        <f>AGI!L53</f>
        <v>0</v>
      </c>
      <c r="M53" s="21">
        <f>AGI!M53</f>
        <v>47483</v>
      </c>
      <c r="N53" s="21">
        <f>AGI!N53</f>
        <v>47483</v>
      </c>
      <c r="O53" s="21">
        <f>AGI!O53</f>
        <v>47483</v>
      </c>
      <c r="P53" s="95">
        <f>AGI!P53</f>
        <v>8390.977733491969</v>
      </c>
      <c r="V53">
        <v>1</v>
      </c>
      <c r="W53" t="s">
        <v>33</v>
      </c>
      <c r="Y53" t="s">
        <v>33</v>
      </c>
      <c r="Z53" t="s">
        <v>34</v>
      </c>
      <c r="AA53">
        <v>1</v>
      </c>
    </row>
    <row r="54" spans="1:27" x14ac:dyDescent="0.35">
      <c r="A54" s="13">
        <f t="shared" si="0"/>
        <v>45930</v>
      </c>
      <c r="B54">
        <v>1</v>
      </c>
      <c r="D54" s="14" t="s">
        <v>31</v>
      </c>
      <c r="E54" s="15" t="s">
        <v>32</v>
      </c>
      <c r="F54" s="16" t="s">
        <v>32</v>
      </c>
      <c r="G54" s="17"/>
      <c r="H54" s="31" t="s">
        <v>64</v>
      </c>
      <c r="I54" s="31" t="s">
        <v>64</v>
      </c>
      <c r="K54" s="20">
        <f>AGI!K54</f>
        <v>52</v>
      </c>
      <c r="L54" s="20">
        <f>AGI!L54</f>
        <v>0</v>
      </c>
      <c r="M54" s="21">
        <f>AGI!M54</f>
        <v>47514</v>
      </c>
      <c r="N54" s="21">
        <f>AGI!N54</f>
        <v>47514</v>
      </c>
      <c r="O54" s="21">
        <f>AGI!O54</f>
        <v>47514</v>
      </c>
      <c r="P54" s="95">
        <f>AGI!P54</f>
        <v>8390.977733491969</v>
      </c>
      <c r="V54">
        <v>1</v>
      </c>
      <c r="W54" t="s">
        <v>33</v>
      </c>
      <c r="Y54" t="s">
        <v>33</v>
      </c>
      <c r="Z54" t="s">
        <v>34</v>
      </c>
      <c r="AA54">
        <v>1</v>
      </c>
    </row>
    <row r="55" spans="1:27" x14ac:dyDescent="0.35">
      <c r="A55" s="13">
        <f t="shared" si="0"/>
        <v>45930</v>
      </c>
      <c r="B55">
        <v>1</v>
      </c>
      <c r="D55" s="14" t="s">
        <v>31</v>
      </c>
      <c r="E55" s="15" t="s">
        <v>32</v>
      </c>
      <c r="F55" s="16" t="s">
        <v>32</v>
      </c>
      <c r="G55" s="17"/>
      <c r="H55" s="31" t="s">
        <v>64</v>
      </c>
      <c r="I55" s="31" t="s">
        <v>64</v>
      </c>
      <c r="K55" s="20">
        <f>AGI!K55</f>
        <v>53</v>
      </c>
      <c r="L55" s="20">
        <f>AGI!L55</f>
        <v>0</v>
      </c>
      <c r="M55" s="21">
        <f>AGI!M55</f>
        <v>47542</v>
      </c>
      <c r="N55" s="21">
        <f>AGI!N55</f>
        <v>47542</v>
      </c>
      <c r="O55" s="21">
        <f>AGI!O55</f>
        <v>47542</v>
      </c>
      <c r="P55" s="95">
        <f>AGI!P55</f>
        <v>8390.977733491969</v>
      </c>
      <c r="V55">
        <v>1</v>
      </c>
      <c r="W55" t="s">
        <v>33</v>
      </c>
      <c r="Y55" t="s">
        <v>33</v>
      </c>
      <c r="Z55" t="s">
        <v>34</v>
      </c>
      <c r="AA55">
        <v>1</v>
      </c>
    </row>
    <row r="56" spans="1:27" x14ac:dyDescent="0.35">
      <c r="A56" s="13">
        <f t="shared" si="0"/>
        <v>45930</v>
      </c>
      <c r="B56">
        <v>1</v>
      </c>
      <c r="D56" s="14" t="s">
        <v>31</v>
      </c>
      <c r="E56" s="15" t="s">
        <v>32</v>
      </c>
      <c r="F56" s="16" t="s">
        <v>32</v>
      </c>
      <c r="G56" s="17"/>
      <c r="H56" s="31" t="s">
        <v>64</v>
      </c>
      <c r="I56" s="31" t="s">
        <v>64</v>
      </c>
      <c r="K56" s="20">
        <f>AGI!K56</f>
        <v>54</v>
      </c>
      <c r="L56" s="20">
        <f>AGI!L56</f>
        <v>0</v>
      </c>
      <c r="M56" s="21">
        <f>AGI!M56</f>
        <v>47573</v>
      </c>
      <c r="N56" s="21">
        <f>AGI!N56</f>
        <v>47573</v>
      </c>
      <c r="O56" s="21">
        <f>AGI!O56</f>
        <v>47573</v>
      </c>
      <c r="P56" s="95">
        <f>AGI!P56</f>
        <v>8390.977733491969</v>
      </c>
      <c r="V56">
        <v>1</v>
      </c>
      <c r="W56" t="s">
        <v>33</v>
      </c>
      <c r="Y56" t="s">
        <v>33</v>
      </c>
      <c r="Z56" t="s">
        <v>34</v>
      </c>
      <c r="AA56">
        <v>1</v>
      </c>
    </row>
    <row r="57" spans="1:27" x14ac:dyDescent="0.35">
      <c r="A57" s="13">
        <f t="shared" si="0"/>
        <v>45930</v>
      </c>
      <c r="B57">
        <v>1</v>
      </c>
      <c r="D57" s="14" t="s">
        <v>31</v>
      </c>
      <c r="E57" s="15" t="s">
        <v>32</v>
      </c>
      <c r="F57" s="16" t="s">
        <v>32</v>
      </c>
      <c r="G57" s="17"/>
      <c r="H57" s="31" t="s">
        <v>64</v>
      </c>
      <c r="I57" s="31" t="s">
        <v>64</v>
      </c>
      <c r="K57" s="20">
        <f>AGI!K57</f>
        <v>55</v>
      </c>
      <c r="L57" s="20">
        <f>AGI!L57</f>
        <v>0</v>
      </c>
      <c r="M57" s="21">
        <f>AGI!M57</f>
        <v>47603</v>
      </c>
      <c r="N57" s="21">
        <f>AGI!N57</f>
        <v>47603</v>
      </c>
      <c r="O57" s="21">
        <f>AGI!O57</f>
        <v>47603</v>
      </c>
      <c r="P57" s="95">
        <f>AGI!P57</f>
        <v>8390.977733491969</v>
      </c>
      <c r="V57">
        <v>1</v>
      </c>
      <c r="W57" t="s">
        <v>33</v>
      </c>
      <c r="Y57" t="s">
        <v>33</v>
      </c>
      <c r="Z57" t="s">
        <v>34</v>
      </c>
      <c r="AA57">
        <v>1</v>
      </c>
    </row>
    <row r="58" spans="1:27" x14ac:dyDescent="0.35">
      <c r="A58" s="13">
        <f t="shared" si="0"/>
        <v>45930</v>
      </c>
      <c r="B58">
        <v>1</v>
      </c>
      <c r="D58" s="14" t="s">
        <v>31</v>
      </c>
      <c r="E58" s="15" t="s">
        <v>32</v>
      </c>
      <c r="F58" s="16" t="s">
        <v>32</v>
      </c>
      <c r="G58" s="17"/>
      <c r="H58" s="31" t="s">
        <v>64</v>
      </c>
      <c r="I58" s="31" t="s">
        <v>64</v>
      </c>
      <c r="K58" s="20">
        <f>AGI!K58</f>
        <v>56</v>
      </c>
      <c r="L58" s="20">
        <f>AGI!L58</f>
        <v>0</v>
      </c>
      <c r="M58" s="21">
        <f>AGI!M58</f>
        <v>47634</v>
      </c>
      <c r="N58" s="21">
        <f>AGI!N58</f>
        <v>47634</v>
      </c>
      <c r="O58" s="21">
        <f>AGI!O58</f>
        <v>47634</v>
      </c>
      <c r="P58" s="95">
        <f>AGI!P58</f>
        <v>8390.977733491969</v>
      </c>
      <c r="V58">
        <v>1</v>
      </c>
      <c r="W58" t="s">
        <v>33</v>
      </c>
      <c r="Y58" t="s">
        <v>33</v>
      </c>
      <c r="Z58" t="s">
        <v>34</v>
      </c>
      <c r="AA58">
        <v>1</v>
      </c>
    </row>
    <row r="59" spans="1:27" x14ac:dyDescent="0.35">
      <c r="A59" s="13">
        <f t="shared" si="0"/>
        <v>45930</v>
      </c>
      <c r="B59">
        <v>1</v>
      </c>
      <c r="D59" s="14" t="s">
        <v>31</v>
      </c>
      <c r="E59" s="15" t="s">
        <v>32</v>
      </c>
      <c r="F59" s="16" t="s">
        <v>32</v>
      </c>
      <c r="G59" s="17"/>
      <c r="H59" s="31" t="s">
        <v>64</v>
      </c>
      <c r="I59" s="31" t="s">
        <v>64</v>
      </c>
      <c r="K59" s="20">
        <f>AGI!K59</f>
        <v>57</v>
      </c>
      <c r="L59" s="20">
        <f>AGI!L59</f>
        <v>0</v>
      </c>
      <c r="M59" s="21">
        <f>AGI!M59</f>
        <v>47664</v>
      </c>
      <c r="N59" s="21">
        <f>AGI!N59</f>
        <v>47664</v>
      </c>
      <c r="O59" s="21">
        <f>AGI!O59</f>
        <v>47664</v>
      </c>
      <c r="P59" s="95">
        <f>AGI!P59</f>
        <v>8390.977733491969</v>
      </c>
      <c r="V59">
        <v>1</v>
      </c>
      <c r="W59" t="s">
        <v>33</v>
      </c>
      <c r="Y59" t="s">
        <v>33</v>
      </c>
      <c r="Z59" t="s">
        <v>34</v>
      </c>
      <c r="AA59">
        <v>1</v>
      </c>
    </row>
    <row r="60" spans="1:27" x14ac:dyDescent="0.35">
      <c r="A60" s="13">
        <f t="shared" si="0"/>
        <v>45930</v>
      </c>
      <c r="B60">
        <v>1</v>
      </c>
      <c r="D60" s="14" t="s">
        <v>31</v>
      </c>
      <c r="E60" s="15" t="s">
        <v>32</v>
      </c>
      <c r="F60" s="16" t="s">
        <v>32</v>
      </c>
      <c r="G60" s="17"/>
      <c r="H60" s="31" t="s">
        <v>64</v>
      </c>
      <c r="I60" s="31" t="s">
        <v>64</v>
      </c>
      <c r="K60" s="20">
        <f>AGI!K60</f>
        <v>58</v>
      </c>
      <c r="L60" s="20">
        <f>AGI!L60</f>
        <v>0</v>
      </c>
      <c r="M60" s="21">
        <f>AGI!M60</f>
        <v>47695</v>
      </c>
      <c r="N60" s="21">
        <f>AGI!N60</f>
        <v>47695</v>
      </c>
      <c r="O60" s="21">
        <f>AGI!O60</f>
        <v>47695</v>
      </c>
      <c r="P60" s="95">
        <f>AGI!P60</f>
        <v>8390.977733491969</v>
      </c>
      <c r="V60">
        <v>1</v>
      </c>
      <c r="W60" t="s">
        <v>33</v>
      </c>
      <c r="Y60" t="s">
        <v>33</v>
      </c>
      <c r="Z60" t="s">
        <v>34</v>
      </c>
      <c r="AA60">
        <v>1</v>
      </c>
    </row>
    <row r="61" spans="1:27" x14ac:dyDescent="0.35">
      <c r="A61" s="13">
        <f t="shared" si="0"/>
        <v>45930</v>
      </c>
      <c r="B61">
        <v>1</v>
      </c>
      <c r="D61" s="14" t="s">
        <v>31</v>
      </c>
      <c r="E61" s="15" t="s">
        <v>32</v>
      </c>
      <c r="F61" s="16" t="s">
        <v>32</v>
      </c>
      <c r="G61" s="17"/>
      <c r="H61" s="31" t="s">
        <v>64</v>
      </c>
      <c r="I61" s="31" t="s">
        <v>64</v>
      </c>
      <c r="K61" s="20">
        <f>AGI!K61</f>
        <v>59</v>
      </c>
      <c r="L61" s="20">
        <f>AGI!L61</f>
        <v>0</v>
      </c>
      <c r="M61" s="21">
        <f>AGI!M61</f>
        <v>47726</v>
      </c>
      <c r="N61" s="21">
        <f>AGI!N61</f>
        <v>47726</v>
      </c>
      <c r="O61" s="21">
        <f>AGI!O61</f>
        <v>47726</v>
      </c>
      <c r="P61" s="95">
        <f>AGI!P61</f>
        <v>8390.977733491969</v>
      </c>
      <c r="V61">
        <v>1</v>
      </c>
      <c r="W61" t="s">
        <v>33</v>
      </c>
      <c r="Y61" t="s">
        <v>33</v>
      </c>
      <c r="Z61" t="s">
        <v>34</v>
      </c>
      <c r="AA61">
        <v>1</v>
      </c>
    </row>
    <row r="62" spans="1:27" x14ac:dyDescent="0.35">
      <c r="A62" s="13">
        <f t="shared" si="0"/>
        <v>45930</v>
      </c>
      <c r="B62">
        <v>1</v>
      </c>
      <c r="D62" s="14" t="s">
        <v>31</v>
      </c>
      <c r="E62" s="15" t="s">
        <v>32</v>
      </c>
      <c r="F62" s="16" t="s">
        <v>32</v>
      </c>
      <c r="G62" s="17"/>
      <c r="H62" s="31" t="s">
        <v>64</v>
      </c>
      <c r="I62" s="31" t="s">
        <v>64</v>
      </c>
      <c r="K62" s="20">
        <f>AGI!K62</f>
        <v>60</v>
      </c>
      <c r="L62" s="20">
        <f>AGI!L62</f>
        <v>0</v>
      </c>
      <c r="M62" s="21">
        <f>AGI!M62</f>
        <v>47756</v>
      </c>
      <c r="N62" s="21">
        <f>AGI!N62</f>
        <v>47756</v>
      </c>
      <c r="O62" s="21">
        <f>AGI!O62</f>
        <v>47756</v>
      </c>
      <c r="P62" s="95">
        <f>SUM(AGI!P62:P184)</f>
        <v>568056.76121950964</v>
      </c>
      <c r="V62">
        <v>1</v>
      </c>
      <c r="W62" t="s">
        <v>33</v>
      </c>
      <c r="Y62" t="s">
        <v>33</v>
      </c>
      <c r="Z62" t="s">
        <v>34</v>
      </c>
      <c r="AA62">
        <v>1</v>
      </c>
    </row>
    <row r="63" spans="1:27" x14ac:dyDescent="0.35">
      <c r="A63" s="13">
        <f t="shared" si="0"/>
        <v>45930</v>
      </c>
      <c r="B63">
        <v>1</v>
      </c>
      <c r="D63" s="14" t="s">
        <v>31</v>
      </c>
      <c r="E63" s="15" t="s">
        <v>32</v>
      </c>
      <c r="F63" s="16" t="s">
        <v>32</v>
      </c>
      <c r="G63" s="17"/>
      <c r="H63" s="31" t="s">
        <v>64</v>
      </c>
      <c r="I63" s="31" t="s">
        <v>64</v>
      </c>
      <c r="K63" s="20">
        <f>AGI!K63</f>
        <v>61</v>
      </c>
      <c r="L63" s="20">
        <f>AGI!L63</f>
        <v>0</v>
      </c>
      <c r="M63" s="21">
        <f>AGI!M63</f>
        <v>47787</v>
      </c>
      <c r="N63" s="21">
        <f>AGI!N63</f>
        <v>47787</v>
      </c>
      <c r="O63" s="21">
        <f>AGI!O63</f>
        <v>47787</v>
      </c>
      <c r="P63" s="24">
        <v>0</v>
      </c>
      <c r="V63">
        <v>1</v>
      </c>
      <c r="W63" t="s">
        <v>33</v>
      </c>
      <c r="Y63" t="s">
        <v>33</v>
      </c>
      <c r="Z63" t="s">
        <v>34</v>
      </c>
      <c r="AA63">
        <v>1</v>
      </c>
    </row>
    <row r="64" spans="1:27" x14ac:dyDescent="0.35">
      <c r="A64" s="13">
        <f t="shared" si="0"/>
        <v>45930</v>
      </c>
      <c r="B64">
        <v>1</v>
      </c>
      <c r="D64" s="14" t="s">
        <v>31</v>
      </c>
      <c r="E64" s="15" t="s">
        <v>32</v>
      </c>
      <c r="F64" s="16" t="s">
        <v>32</v>
      </c>
      <c r="G64" s="17"/>
      <c r="H64" s="31" t="s">
        <v>64</v>
      </c>
      <c r="I64" s="31" t="s">
        <v>64</v>
      </c>
      <c r="K64" s="20">
        <f>AGI!K64</f>
        <v>62</v>
      </c>
      <c r="L64" s="20">
        <f>AGI!L64</f>
        <v>0</v>
      </c>
      <c r="M64" s="21">
        <f>AGI!M64</f>
        <v>47817</v>
      </c>
      <c r="N64" s="21">
        <f>AGI!N64</f>
        <v>47817</v>
      </c>
      <c r="O64" s="21">
        <f>AGI!O64</f>
        <v>47817</v>
      </c>
      <c r="P64" s="24">
        <v>0</v>
      </c>
      <c r="V64">
        <v>1</v>
      </c>
      <c r="W64" t="s">
        <v>33</v>
      </c>
      <c r="Y64" t="s">
        <v>33</v>
      </c>
      <c r="Z64" t="s">
        <v>34</v>
      </c>
      <c r="AA64">
        <v>1</v>
      </c>
    </row>
    <row r="65" spans="1:27" x14ac:dyDescent="0.35">
      <c r="A65" s="13">
        <f t="shared" si="0"/>
        <v>45930</v>
      </c>
      <c r="B65">
        <v>1</v>
      </c>
      <c r="D65" s="14" t="s">
        <v>31</v>
      </c>
      <c r="E65" s="15" t="s">
        <v>32</v>
      </c>
      <c r="F65" s="16" t="s">
        <v>32</v>
      </c>
      <c r="G65" s="17"/>
      <c r="H65" s="31" t="s">
        <v>64</v>
      </c>
      <c r="I65" s="31" t="s">
        <v>64</v>
      </c>
      <c r="K65" s="20">
        <f>AGI!K65</f>
        <v>63</v>
      </c>
      <c r="L65" s="20">
        <f>AGI!L65</f>
        <v>0</v>
      </c>
      <c r="M65" s="21">
        <f>AGI!M65</f>
        <v>47848</v>
      </c>
      <c r="N65" s="21">
        <f>AGI!N65</f>
        <v>47848</v>
      </c>
      <c r="O65" s="21">
        <f>AGI!O65</f>
        <v>47848</v>
      </c>
      <c r="P65" s="24">
        <v>0</v>
      </c>
      <c r="V65">
        <v>1</v>
      </c>
      <c r="W65" t="s">
        <v>33</v>
      </c>
      <c r="Y65" t="s">
        <v>33</v>
      </c>
      <c r="Z65" t="s">
        <v>34</v>
      </c>
      <c r="AA65">
        <v>1</v>
      </c>
    </row>
    <row r="66" spans="1:27" x14ac:dyDescent="0.35">
      <c r="A66" s="13">
        <f t="shared" si="0"/>
        <v>45930</v>
      </c>
      <c r="B66">
        <v>1</v>
      </c>
      <c r="D66" s="14" t="s">
        <v>31</v>
      </c>
      <c r="E66" s="15" t="s">
        <v>32</v>
      </c>
      <c r="F66" s="16" t="s">
        <v>32</v>
      </c>
      <c r="G66" s="17"/>
      <c r="H66" s="31" t="s">
        <v>64</v>
      </c>
      <c r="I66" s="31" t="s">
        <v>64</v>
      </c>
      <c r="K66" s="20">
        <f>AGI!K66</f>
        <v>64</v>
      </c>
      <c r="L66" s="20">
        <f>AGI!L66</f>
        <v>0</v>
      </c>
      <c r="M66" s="21">
        <f>AGI!M66</f>
        <v>47879</v>
      </c>
      <c r="N66" s="21">
        <f>AGI!N66</f>
        <v>47879</v>
      </c>
      <c r="O66" s="21">
        <f>AGI!O66</f>
        <v>47879</v>
      </c>
      <c r="P66" s="24">
        <v>0</v>
      </c>
      <c r="V66">
        <v>1</v>
      </c>
      <c r="W66" t="s">
        <v>33</v>
      </c>
      <c r="Y66" t="s">
        <v>33</v>
      </c>
      <c r="Z66" t="s">
        <v>34</v>
      </c>
      <c r="AA66">
        <v>1</v>
      </c>
    </row>
    <row r="67" spans="1:27" x14ac:dyDescent="0.35">
      <c r="A67" s="13">
        <f t="shared" si="0"/>
        <v>45930</v>
      </c>
      <c r="B67">
        <v>1</v>
      </c>
      <c r="D67" s="14" t="s">
        <v>31</v>
      </c>
      <c r="E67" s="15" t="s">
        <v>32</v>
      </c>
      <c r="F67" s="16" t="s">
        <v>32</v>
      </c>
      <c r="G67" s="17"/>
      <c r="H67" s="31" t="s">
        <v>64</v>
      </c>
      <c r="I67" s="31" t="s">
        <v>64</v>
      </c>
      <c r="K67" s="20">
        <f>AGI!K67</f>
        <v>65</v>
      </c>
      <c r="L67" s="20">
        <f>AGI!L67</f>
        <v>0</v>
      </c>
      <c r="M67" s="21">
        <f>AGI!M67</f>
        <v>47907</v>
      </c>
      <c r="N67" s="21">
        <f>AGI!N67</f>
        <v>47907</v>
      </c>
      <c r="O67" s="21">
        <f>AGI!O67</f>
        <v>47907</v>
      </c>
      <c r="P67" s="24">
        <v>0</v>
      </c>
      <c r="V67">
        <v>1</v>
      </c>
      <c r="W67" t="s">
        <v>33</v>
      </c>
      <c r="Y67" t="s">
        <v>33</v>
      </c>
      <c r="Z67" t="s">
        <v>34</v>
      </c>
      <c r="AA67">
        <v>1</v>
      </c>
    </row>
    <row r="68" spans="1:27" x14ac:dyDescent="0.35">
      <c r="A68" s="13">
        <f t="shared" ref="A68:A131" si="1">A67</f>
        <v>45930</v>
      </c>
      <c r="B68">
        <v>1</v>
      </c>
      <c r="D68" s="14" t="s">
        <v>31</v>
      </c>
      <c r="E68" s="15" t="s">
        <v>32</v>
      </c>
      <c r="F68" s="16" t="s">
        <v>32</v>
      </c>
      <c r="G68" s="17"/>
      <c r="H68" s="31" t="s">
        <v>64</v>
      </c>
      <c r="I68" s="31" t="s">
        <v>64</v>
      </c>
      <c r="K68" s="20">
        <f>AGI!K68</f>
        <v>66</v>
      </c>
      <c r="L68" s="20">
        <f>AGI!L68</f>
        <v>0</v>
      </c>
      <c r="M68" s="21">
        <f>AGI!M68</f>
        <v>47938</v>
      </c>
      <c r="N68" s="21">
        <f>AGI!N68</f>
        <v>47938</v>
      </c>
      <c r="O68" s="21">
        <f>AGI!O68</f>
        <v>47938</v>
      </c>
      <c r="P68" s="24">
        <v>0</v>
      </c>
      <c r="V68">
        <v>1</v>
      </c>
      <c r="W68" t="s">
        <v>33</v>
      </c>
      <c r="Y68" t="s">
        <v>33</v>
      </c>
      <c r="Z68" t="s">
        <v>34</v>
      </c>
      <c r="AA68">
        <v>1</v>
      </c>
    </row>
    <row r="69" spans="1:27" x14ac:dyDescent="0.35">
      <c r="A69" s="13">
        <f t="shared" si="1"/>
        <v>45930</v>
      </c>
      <c r="B69">
        <v>1</v>
      </c>
      <c r="D69" s="14" t="s">
        <v>31</v>
      </c>
      <c r="E69" s="15" t="s">
        <v>32</v>
      </c>
      <c r="F69" s="16" t="s">
        <v>32</v>
      </c>
      <c r="G69" s="17"/>
      <c r="H69" s="31" t="s">
        <v>64</v>
      </c>
      <c r="I69" s="31" t="s">
        <v>64</v>
      </c>
      <c r="K69" s="20">
        <f>AGI!K69</f>
        <v>67</v>
      </c>
      <c r="L69" s="20">
        <f>AGI!L69</f>
        <v>0</v>
      </c>
      <c r="M69" s="21">
        <f>AGI!M69</f>
        <v>47968</v>
      </c>
      <c r="N69" s="21">
        <f>AGI!N69</f>
        <v>47968</v>
      </c>
      <c r="O69" s="21">
        <f>AGI!O69</f>
        <v>47968</v>
      </c>
      <c r="P69" s="24">
        <v>0</v>
      </c>
      <c r="V69">
        <v>1</v>
      </c>
      <c r="W69" t="s">
        <v>33</v>
      </c>
      <c r="Y69" t="s">
        <v>33</v>
      </c>
      <c r="Z69" t="s">
        <v>34</v>
      </c>
      <c r="AA69">
        <v>1</v>
      </c>
    </row>
    <row r="70" spans="1:27" x14ac:dyDescent="0.35">
      <c r="A70" s="13">
        <f t="shared" si="1"/>
        <v>45930</v>
      </c>
      <c r="B70">
        <v>1</v>
      </c>
      <c r="D70" s="14" t="s">
        <v>31</v>
      </c>
      <c r="E70" s="15" t="s">
        <v>32</v>
      </c>
      <c r="F70" s="16" t="s">
        <v>32</v>
      </c>
      <c r="G70" s="17"/>
      <c r="H70" s="31" t="s">
        <v>64</v>
      </c>
      <c r="I70" s="31" t="s">
        <v>64</v>
      </c>
      <c r="K70" s="20">
        <f>AGI!K70</f>
        <v>68</v>
      </c>
      <c r="L70" s="20">
        <f>AGI!L70</f>
        <v>0</v>
      </c>
      <c r="M70" s="21">
        <f>AGI!M70</f>
        <v>47999</v>
      </c>
      <c r="N70" s="21">
        <f>AGI!N70</f>
        <v>47999</v>
      </c>
      <c r="O70" s="21">
        <f>AGI!O70</f>
        <v>47999</v>
      </c>
      <c r="P70" s="24">
        <v>0</v>
      </c>
      <c r="V70">
        <v>1</v>
      </c>
      <c r="W70" t="s">
        <v>33</v>
      </c>
      <c r="Y70" t="s">
        <v>33</v>
      </c>
      <c r="Z70" t="s">
        <v>34</v>
      </c>
      <c r="AA70">
        <v>1</v>
      </c>
    </row>
    <row r="71" spans="1:27" x14ac:dyDescent="0.35">
      <c r="A71" s="13">
        <f t="shared" si="1"/>
        <v>45930</v>
      </c>
      <c r="B71">
        <v>1</v>
      </c>
      <c r="D71" s="14" t="s">
        <v>31</v>
      </c>
      <c r="E71" s="15" t="s">
        <v>32</v>
      </c>
      <c r="F71" s="16" t="s">
        <v>32</v>
      </c>
      <c r="G71" s="17"/>
      <c r="H71" s="31" t="s">
        <v>64</v>
      </c>
      <c r="I71" s="31" t="s">
        <v>64</v>
      </c>
      <c r="K71" s="20">
        <f>AGI!K71</f>
        <v>69</v>
      </c>
      <c r="L71" s="20">
        <f>AGI!L71</f>
        <v>0</v>
      </c>
      <c r="M71" s="21">
        <f>AGI!M71</f>
        <v>48029</v>
      </c>
      <c r="N71" s="21">
        <f>AGI!N71</f>
        <v>48029</v>
      </c>
      <c r="O71" s="21">
        <f>AGI!O71</f>
        <v>48029</v>
      </c>
      <c r="P71" s="24">
        <v>0</v>
      </c>
      <c r="V71">
        <v>1</v>
      </c>
      <c r="W71" t="s">
        <v>33</v>
      </c>
      <c r="Y71" t="s">
        <v>33</v>
      </c>
      <c r="Z71" t="s">
        <v>34</v>
      </c>
      <c r="AA71">
        <v>1</v>
      </c>
    </row>
    <row r="72" spans="1:27" x14ac:dyDescent="0.35">
      <c r="A72" s="13">
        <f t="shared" si="1"/>
        <v>45930</v>
      </c>
      <c r="B72">
        <v>1</v>
      </c>
      <c r="D72" s="14" t="s">
        <v>31</v>
      </c>
      <c r="E72" s="15" t="s">
        <v>32</v>
      </c>
      <c r="F72" s="16" t="s">
        <v>32</v>
      </c>
      <c r="G72" s="17"/>
      <c r="H72" s="31" t="s">
        <v>64</v>
      </c>
      <c r="I72" s="31" t="s">
        <v>64</v>
      </c>
      <c r="K72" s="20">
        <f>AGI!K72</f>
        <v>70</v>
      </c>
      <c r="L72" s="20">
        <f>AGI!L72</f>
        <v>0</v>
      </c>
      <c r="M72" s="21">
        <f>AGI!M72</f>
        <v>48060</v>
      </c>
      <c r="N72" s="21">
        <f>AGI!N72</f>
        <v>48060</v>
      </c>
      <c r="O72" s="21">
        <f>AGI!O72</f>
        <v>48060</v>
      </c>
      <c r="P72" s="24">
        <v>0</v>
      </c>
      <c r="V72">
        <v>1</v>
      </c>
      <c r="W72" t="s">
        <v>33</v>
      </c>
      <c r="Y72" t="s">
        <v>33</v>
      </c>
      <c r="Z72" t="s">
        <v>34</v>
      </c>
      <c r="AA72">
        <v>1</v>
      </c>
    </row>
    <row r="73" spans="1:27" x14ac:dyDescent="0.35">
      <c r="A73" s="13">
        <f t="shared" si="1"/>
        <v>45930</v>
      </c>
      <c r="B73">
        <v>1</v>
      </c>
      <c r="D73" s="14" t="s">
        <v>31</v>
      </c>
      <c r="E73" s="15" t="s">
        <v>32</v>
      </c>
      <c r="F73" s="16" t="s">
        <v>32</v>
      </c>
      <c r="G73" s="17"/>
      <c r="H73" s="31" t="s">
        <v>64</v>
      </c>
      <c r="I73" s="31" t="s">
        <v>64</v>
      </c>
      <c r="K73" s="20">
        <f>AGI!K73</f>
        <v>71</v>
      </c>
      <c r="L73" s="20">
        <f>AGI!L73</f>
        <v>0</v>
      </c>
      <c r="M73" s="21">
        <f>AGI!M73</f>
        <v>48091</v>
      </c>
      <c r="N73" s="21">
        <f>AGI!N73</f>
        <v>48091</v>
      </c>
      <c r="O73" s="21">
        <f>AGI!O73</f>
        <v>48091</v>
      </c>
      <c r="P73" s="24">
        <v>0</v>
      </c>
      <c r="V73">
        <v>1</v>
      </c>
      <c r="W73" t="s">
        <v>33</v>
      </c>
      <c r="Y73" t="s">
        <v>33</v>
      </c>
      <c r="Z73" t="s">
        <v>34</v>
      </c>
      <c r="AA73">
        <v>1</v>
      </c>
    </row>
    <row r="74" spans="1:27" x14ac:dyDescent="0.35">
      <c r="A74" s="13">
        <f t="shared" si="1"/>
        <v>45930</v>
      </c>
      <c r="B74">
        <v>1</v>
      </c>
      <c r="D74" s="14" t="s">
        <v>31</v>
      </c>
      <c r="E74" s="15" t="s">
        <v>32</v>
      </c>
      <c r="F74" s="16" t="s">
        <v>32</v>
      </c>
      <c r="G74" s="17"/>
      <c r="H74" s="31" t="s">
        <v>64</v>
      </c>
      <c r="I74" s="31" t="s">
        <v>64</v>
      </c>
      <c r="K74" s="20">
        <f>AGI!K74</f>
        <v>72</v>
      </c>
      <c r="L74" s="20">
        <f>AGI!L74</f>
        <v>0</v>
      </c>
      <c r="M74" s="21">
        <f>AGI!M74</f>
        <v>48121</v>
      </c>
      <c r="N74" s="21">
        <f>AGI!N74</f>
        <v>48121</v>
      </c>
      <c r="O74" s="21">
        <f>AGI!O74</f>
        <v>48121</v>
      </c>
      <c r="P74" s="24">
        <v>0</v>
      </c>
      <c r="V74">
        <v>1</v>
      </c>
      <c r="W74" t="s">
        <v>33</v>
      </c>
      <c r="Y74" t="s">
        <v>33</v>
      </c>
      <c r="Z74" t="s">
        <v>34</v>
      </c>
      <c r="AA74">
        <v>1</v>
      </c>
    </row>
    <row r="75" spans="1:27" x14ac:dyDescent="0.35">
      <c r="A75" s="13">
        <f t="shared" si="1"/>
        <v>45930</v>
      </c>
      <c r="B75">
        <v>1</v>
      </c>
      <c r="D75" s="14" t="s">
        <v>31</v>
      </c>
      <c r="E75" s="15" t="s">
        <v>32</v>
      </c>
      <c r="F75" s="16" t="s">
        <v>32</v>
      </c>
      <c r="G75" s="17"/>
      <c r="H75" s="31" t="s">
        <v>64</v>
      </c>
      <c r="I75" s="31" t="s">
        <v>64</v>
      </c>
      <c r="K75" s="20">
        <f>AGI!K75</f>
        <v>73</v>
      </c>
      <c r="L75" s="20">
        <f>AGI!L75</f>
        <v>0</v>
      </c>
      <c r="M75" s="21">
        <f>AGI!M75</f>
        <v>48152</v>
      </c>
      <c r="N75" s="21">
        <f>AGI!N75</f>
        <v>48152</v>
      </c>
      <c r="O75" s="21">
        <f>AGI!O75</f>
        <v>48152</v>
      </c>
      <c r="P75" s="24">
        <v>0</v>
      </c>
      <c r="V75">
        <v>1</v>
      </c>
      <c r="W75" t="s">
        <v>33</v>
      </c>
      <c r="Y75" t="s">
        <v>33</v>
      </c>
      <c r="Z75" t="s">
        <v>34</v>
      </c>
      <c r="AA75">
        <v>1</v>
      </c>
    </row>
    <row r="76" spans="1:27" x14ac:dyDescent="0.35">
      <c r="A76" s="13">
        <f t="shared" si="1"/>
        <v>45930</v>
      </c>
      <c r="B76">
        <v>1</v>
      </c>
      <c r="D76" s="14" t="s">
        <v>31</v>
      </c>
      <c r="E76" s="15" t="s">
        <v>32</v>
      </c>
      <c r="F76" s="16" t="s">
        <v>32</v>
      </c>
      <c r="G76" s="17"/>
      <c r="H76" s="31" t="s">
        <v>64</v>
      </c>
      <c r="I76" s="31" t="s">
        <v>64</v>
      </c>
      <c r="K76" s="20">
        <f>AGI!K76</f>
        <v>74</v>
      </c>
      <c r="L76" s="20">
        <f>AGI!L76</f>
        <v>0</v>
      </c>
      <c r="M76" s="21">
        <f>AGI!M76</f>
        <v>48182</v>
      </c>
      <c r="N76" s="21">
        <f>AGI!N76</f>
        <v>48182</v>
      </c>
      <c r="O76" s="21">
        <f>AGI!O76</f>
        <v>48182</v>
      </c>
      <c r="P76" s="24">
        <v>0</v>
      </c>
      <c r="V76">
        <v>1</v>
      </c>
      <c r="W76" t="s">
        <v>33</v>
      </c>
      <c r="Y76" t="s">
        <v>33</v>
      </c>
      <c r="Z76" t="s">
        <v>34</v>
      </c>
      <c r="AA76">
        <v>1</v>
      </c>
    </row>
    <row r="77" spans="1:27" x14ac:dyDescent="0.35">
      <c r="A77" s="13">
        <f t="shared" si="1"/>
        <v>45930</v>
      </c>
      <c r="B77">
        <v>1</v>
      </c>
      <c r="D77" s="14" t="s">
        <v>31</v>
      </c>
      <c r="E77" s="15" t="s">
        <v>32</v>
      </c>
      <c r="F77" s="16" t="s">
        <v>32</v>
      </c>
      <c r="G77" s="17"/>
      <c r="H77" s="31" t="s">
        <v>64</v>
      </c>
      <c r="I77" s="31" t="s">
        <v>64</v>
      </c>
      <c r="K77" s="20">
        <f>AGI!K77</f>
        <v>75</v>
      </c>
      <c r="L77" s="20">
        <f>AGI!L77</f>
        <v>0</v>
      </c>
      <c r="M77" s="21">
        <f>AGI!M77</f>
        <v>48213</v>
      </c>
      <c r="N77" s="21">
        <f>AGI!N77</f>
        <v>48213</v>
      </c>
      <c r="O77" s="21">
        <f>AGI!O77</f>
        <v>48213</v>
      </c>
      <c r="P77" s="24">
        <v>0</v>
      </c>
      <c r="V77">
        <v>1</v>
      </c>
      <c r="W77" t="s">
        <v>33</v>
      </c>
      <c r="Y77" t="s">
        <v>33</v>
      </c>
      <c r="Z77" t="s">
        <v>34</v>
      </c>
      <c r="AA77">
        <v>1</v>
      </c>
    </row>
    <row r="78" spans="1:27" x14ac:dyDescent="0.35">
      <c r="A78" s="13">
        <f t="shared" si="1"/>
        <v>45930</v>
      </c>
      <c r="B78">
        <v>1</v>
      </c>
      <c r="D78" s="14" t="s">
        <v>31</v>
      </c>
      <c r="E78" s="15" t="s">
        <v>32</v>
      </c>
      <c r="F78" s="16" t="s">
        <v>32</v>
      </c>
      <c r="G78" s="17"/>
      <c r="H78" s="31" t="s">
        <v>64</v>
      </c>
      <c r="I78" s="31" t="s">
        <v>64</v>
      </c>
      <c r="K78" s="20">
        <f>AGI!K78</f>
        <v>76</v>
      </c>
      <c r="L78" s="20">
        <f>AGI!L78</f>
        <v>0</v>
      </c>
      <c r="M78" s="21">
        <f>AGI!M78</f>
        <v>48244</v>
      </c>
      <c r="N78" s="21">
        <f>AGI!N78</f>
        <v>48244</v>
      </c>
      <c r="O78" s="21">
        <f>AGI!O78</f>
        <v>48244</v>
      </c>
      <c r="P78" s="24">
        <v>0</v>
      </c>
      <c r="V78">
        <v>1</v>
      </c>
      <c r="W78" t="s">
        <v>33</v>
      </c>
      <c r="Y78" t="s">
        <v>33</v>
      </c>
      <c r="Z78" t="s">
        <v>34</v>
      </c>
      <c r="AA78">
        <v>1</v>
      </c>
    </row>
    <row r="79" spans="1:27" x14ac:dyDescent="0.35">
      <c r="A79" s="13">
        <f t="shared" si="1"/>
        <v>45930</v>
      </c>
      <c r="B79">
        <v>1</v>
      </c>
      <c r="D79" s="14" t="s">
        <v>31</v>
      </c>
      <c r="E79" s="15" t="s">
        <v>32</v>
      </c>
      <c r="F79" s="16" t="s">
        <v>32</v>
      </c>
      <c r="G79" s="17"/>
      <c r="H79" s="31" t="s">
        <v>64</v>
      </c>
      <c r="I79" s="31" t="s">
        <v>64</v>
      </c>
      <c r="K79" s="20">
        <f>AGI!K79</f>
        <v>77</v>
      </c>
      <c r="L79" s="20">
        <f>AGI!L79</f>
        <v>0</v>
      </c>
      <c r="M79" s="21">
        <f>AGI!M79</f>
        <v>48273</v>
      </c>
      <c r="N79" s="21">
        <f>AGI!N79</f>
        <v>48273</v>
      </c>
      <c r="O79" s="21">
        <f>AGI!O79</f>
        <v>48273</v>
      </c>
      <c r="P79" s="24">
        <v>0</v>
      </c>
      <c r="V79">
        <v>1</v>
      </c>
      <c r="W79" t="s">
        <v>33</v>
      </c>
      <c r="Y79" t="s">
        <v>33</v>
      </c>
      <c r="Z79" t="s">
        <v>34</v>
      </c>
      <c r="AA79">
        <v>1</v>
      </c>
    </row>
    <row r="80" spans="1:27" x14ac:dyDescent="0.35">
      <c r="A80" s="13">
        <f t="shared" si="1"/>
        <v>45930</v>
      </c>
      <c r="B80">
        <v>1</v>
      </c>
      <c r="D80" s="14" t="s">
        <v>31</v>
      </c>
      <c r="E80" s="15" t="s">
        <v>32</v>
      </c>
      <c r="F80" s="16" t="s">
        <v>32</v>
      </c>
      <c r="G80" s="17"/>
      <c r="H80" s="31" t="s">
        <v>64</v>
      </c>
      <c r="I80" s="31" t="s">
        <v>64</v>
      </c>
      <c r="K80" s="20">
        <f>AGI!K80</f>
        <v>78</v>
      </c>
      <c r="L80" s="20">
        <f>AGI!L80</f>
        <v>0</v>
      </c>
      <c r="M80" s="21">
        <f>AGI!M80</f>
        <v>48304</v>
      </c>
      <c r="N80" s="21">
        <f>AGI!N80</f>
        <v>48304</v>
      </c>
      <c r="O80" s="21">
        <f>AGI!O80</f>
        <v>48304</v>
      </c>
      <c r="P80" s="24">
        <v>0</v>
      </c>
      <c r="V80">
        <v>1</v>
      </c>
      <c r="W80" t="s">
        <v>33</v>
      </c>
      <c r="Y80" t="s">
        <v>33</v>
      </c>
      <c r="Z80" t="s">
        <v>34</v>
      </c>
      <c r="AA80">
        <v>1</v>
      </c>
    </row>
    <row r="81" spans="1:27" x14ac:dyDescent="0.35">
      <c r="A81" s="13">
        <f t="shared" si="1"/>
        <v>45930</v>
      </c>
      <c r="B81">
        <v>1</v>
      </c>
      <c r="D81" s="14" t="s">
        <v>31</v>
      </c>
      <c r="E81" s="15" t="s">
        <v>32</v>
      </c>
      <c r="F81" s="16" t="s">
        <v>32</v>
      </c>
      <c r="G81" s="17"/>
      <c r="H81" s="31" t="s">
        <v>64</v>
      </c>
      <c r="I81" s="31" t="s">
        <v>64</v>
      </c>
      <c r="K81" s="20">
        <f>AGI!K81</f>
        <v>79</v>
      </c>
      <c r="L81" s="20">
        <f>AGI!L81</f>
        <v>0</v>
      </c>
      <c r="M81" s="21">
        <f>AGI!M81</f>
        <v>48334</v>
      </c>
      <c r="N81" s="21">
        <f>AGI!N81</f>
        <v>48334</v>
      </c>
      <c r="O81" s="21">
        <f>AGI!O81</f>
        <v>48334</v>
      </c>
      <c r="P81" s="24">
        <v>0</v>
      </c>
      <c r="V81">
        <v>1</v>
      </c>
      <c r="W81" t="s">
        <v>33</v>
      </c>
      <c r="Y81" t="s">
        <v>33</v>
      </c>
      <c r="Z81" t="s">
        <v>34</v>
      </c>
      <c r="AA81">
        <v>1</v>
      </c>
    </row>
    <row r="82" spans="1:27" x14ac:dyDescent="0.35">
      <c r="A82" s="13">
        <f t="shared" si="1"/>
        <v>45930</v>
      </c>
      <c r="B82">
        <v>1</v>
      </c>
      <c r="D82" s="14" t="s">
        <v>31</v>
      </c>
      <c r="E82" s="15" t="s">
        <v>32</v>
      </c>
      <c r="F82" s="16" t="s">
        <v>32</v>
      </c>
      <c r="G82" s="17"/>
      <c r="H82" s="31" t="s">
        <v>64</v>
      </c>
      <c r="I82" s="31" t="s">
        <v>64</v>
      </c>
      <c r="K82" s="20">
        <f>AGI!K82</f>
        <v>80</v>
      </c>
      <c r="L82" s="20">
        <f>AGI!L82</f>
        <v>0</v>
      </c>
      <c r="M82" s="21">
        <f>AGI!M82</f>
        <v>48365</v>
      </c>
      <c r="N82" s="21">
        <f>AGI!N82</f>
        <v>48365</v>
      </c>
      <c r="O82" s="21">
        <f>AGI!O82</f>
        <v>48365</v>
      </c>
      <c r="P82" s="24">
        <v>0</v>
      </c>
      <c r="V82">
        <v>1</v>
      </c>
      <c r="W82" t="s">
        <v>33</v>
      </c>
      <c r="Y82" t="s">
        <v>33</v>
      </c>
      <c r="Z82" t="s">
        <v>34</v>
      </c>
      <c r="AA82">
        <v>1</v>
      </c>
    </row>
    <row r="83" spans="1:27" x14ac:dyDescent="0.35">
      <c r="A83" s="13">
        <f t="shared" si="1"/>
        <v>45930</v>
      </c>
      <c r="B83">
        <v>1</v>
      </c>
      <c r="D83" s="14" t="s">
        <v>31</v>
      </c>
      <c r="E83" s="15" t="s">
        <v>32</v>
      </c>
      <c r="F83" s="16" t="s">
        <v>32</v>
      </c>
      <c r="G83" s="17"/>
      <c r="H83" s="31" t="s">
        <v>64</v>
      </c>
      <c r="I83" s="31" t="s">
        <v>64</v>
      </c>
      <c r="K83" s="20">
        <f>AGI!K83</f>
        <v>81</v>
      </c>
      <c r="L83" s="20">
        <f>AGI!L83</f>
        <v>0</v>
      </c>
      <c r="M83" s="21">
        <f>AGI!M83</f>
        <v>48395</v>
      </c>
      <c r="N83" s="21">
        <f>AGI!N83</f>
        <v>48395</v>
      </c>
      <c r="O83" s="21">
        <f>AGI!O83</f>
        <v>48395</v>
      </c>
      <c r="P83" s="24">
        <v>0</v>
      </c>
      <c r="V83">
        <v>1</v>
      </c>
      <c r="W83" t="s">
        <v>33</v>
      </c>
      <c r="Y83" t="s">
        <v>33</v>
      </c>
      <c r="Z83" t="s">
        <v>34</v>
      </c>
      <c r="AA83">
        <v>1</v>
      </c>
    </row>
    <row r="84" spans="1:27" x14ac:dyDescent="0.35">
      <c r="A84" s="13">
        <f t="shared" si="1"/>
        <v>45930</v>
      </c>
      <c r="B84">
        <v>1</v>
      </c>
      <c r="D84" s="14" t="s">
        <v>31</v>
      </c>
      <c r="E84" s="15" t="s">
        <v>32</v>
      </c>
      <c r="F84" s="16" t="s">
        <v>32</v>
      </c>
      <c r="G84" s="17"/>
      <c r="H84" s="31" t="s">
        <v>64</v>
      </c>
      <c r="I84" s="31" t="s">
        <v>64</v>
      </c>
      <c r="K84" s="20">
        <f>AGI!K84</f>
        <v>82</v>
      </c>
      <c r="L84" s="20">
        <f>AGI!L84</f>
        <v>0</v>
      </c>
      <c r="M84" s="21">
        <f>AGI!M84</f>
        <v>48426</v>
      </c>
      <c r="N84" s="21">
        <f>AGI!N84</f>
        <v>48426</v>
      </c>
      <c r="O84" s="21">
        <f>AGI!O84</f>
        <v>48426</v>
      </c>
      <c r="P84" s="24">
        <v>0</v>
      </c>
      <c r="V84">
        <v>1</v>
      </c>
      <c r="W84" t="s">
        <v>33</v>
      </c>
      <c r="Y84" t="s">
        <v>33</v>
      </c>
      <c r="Z84" t="s">
        <v>34</v>
      </c>
      <c r="AA84">
        <v>1</v>
      </c>
    </row>
    <row r="85" spans="1:27" x14ac:dyDescent="0.35">
      <c r="A85" s="13">
        <f t="shared" si="1"/>
        <v>45930</v>
      </c>
      <c r="B85">
        <v>1</v>
      </c>
      <c r="D85" s="14" t="s">
        <v>31</v>
      </c>
      <c r="E85" s="15" t="s">
        <v>32</v>
      </c>
      <c r="F85" s="16" t="s">
        <v>32</v>
      </c>
      <c r="G85" s="17"/>
      <c r="H85" s="31" t="s">
        <v>64</v>
      </c>
      <c r="I85" s="31" t="s">
        <v>64</v>
      </c>
      <c r="K85" s="20">
        <f>AGI!K85</f>
        <v>83</v>
      </c>
      <c r="L85" s="20">
        <f>AGI!L85</f>
        <v>0</v>
      </c>
      <c r="M85" s="21">
        <f>AGI!M85</f>
        <v>48457</v>
      </c>
      <c r="N85" s="21">
        <f>AGI!N85</f>
        <v>48457</v>
      </c>
      <c r="O85" s="21">
        <f>AGI!O85</f>
        <v>48457</v>
      </c>
      <c r="P85" s="24">
        <v>0</v>
      </c>
      <c r="V85">
        <v>1</v>
      </c>
      <c r="W85" t="s">
        <v>33</v>
      </c>
      <c r="Y85" t="s">
        <v>33</v>
      </c>
      <c r="Z85" t="s">
        <v>34</v>
      </c>
      <c r="AA85">
        <v>1</v>
      </c>
    </row>
    <row r="86" spans="1:27" x14ac:dyDescent="0.35">
      <c r="A86" s="13">
        <f t="shared" si="1"/>
        <v>45930</v>
      </c>
      <c r="B86">
        <v>1</v>
      </c>
      <c r="D86" s="14" t="s">
        <v>31</v>
      </c>
      <c r="E86" s="15" t="s">
        <v>32</v>
      </c>
      <c r="F86" s="16" t="s">
        <v>32</v>
      </c>
      <c r="G86" s="17"/>
      <c r="H86" s="31" t="s">
        <v>64</v>
      </c>
      <c r="I86" s="31" t="s">
        <v>64</v>
      </c>
      <c r="K86" s="20">
        <f>AGI!K86</f>
        <v>84</v>
      </c>
      <c r="L86" s="20">
        <f>AGI!L86</f>
        <v>0</v>
      </c>
      <c r="M86" s="21">
        <f>AGI!M86</f>
        <v>48487</v>
      </c>
      <c r="N86" s="21">
        <f>AGI!N86</f>
        <v>48487</v>
      </c>
      <c r="O86" s="21">
        <f>AGI!O86</f>
        <v>48487</v>
      </c>
      <c r="P86" s="24">
        <v>0</v>
      </c>
      <c r="V86">
        <v>1</v>
      </c>
      <c r="W86" t="s">
        <v>33</v>
      </c>
      <c r="Y86" t="s">
        <v>33</v>
      </c>
      <c r="Z86" t="s">
        <v>34</v>
      </c>
      <c r="AA86">
        <v>1</v>
      </c>
    </row>
    <row r="87" spans="1:27" x14ac:dyDescent="0.35">
      <c r="A87" s="13">
        <f t="shared" si="1"/>
        <v>45930</v>
      </c>
      <c r="B87">
        <v>1</v>
      </c>
      <c r="D87" s="14" t="s">
        <v>31</v>
      </c>
      <c r="E87" s="15" t="s">
        <v>32</v>
      </c>
      <c r="F87" s="16" t="s">
        <v>32</v>
      </c>
      <c r="G87" s="17"/>
      <c r="H87" s="31" t="s">
        <v>64</v>
      </c>
      <c r="I87" s="31" t="s">
        <v>64</v>
      </c>
      <c r="K87" s="20">
        <f>AGI!K87</f>
        <v>85</v>
      </c>
      <c r="L87" s="20">
        <f>AGI!L87</f>
        <v>0</v>
      </c>
      <c r="M87" s="21">
        <f>AGI!M87</f>
        <v>48518</v>
      </c>
      <c r="N87" s="21">
        <f>AGI!N87</f>
        <v>48518</v>
      </c>
      <c r="O87" s="21">
        <f>AGI!O87</f>
        <v>48518</v>
      </c>
      <c r="P87" s="24">
        <v>0</v>
      </c>
      <c r="V87">
        <v>1</v>
      </c>
      <c r="W87" t="s">
        <v>33</v>
      </c>
      <c r="Y87" t="s">
        <v>33</v>
      </c>
      <c r="Z87" t="s">
        <v>34</v>
      </c>
      <c r="AA87">
        <v>1</v>
      </c>
    </row>
    <row r="88" spans="1:27" x14ac:dyDescent="0.35">
      <c r="A88" s="13">
        <f t="shared" si="1"/>
        <v>45930</v>
      </c>
      <c r="B88">
        <v>1</v>
      </c>
      <c r="D88" s="14" t="s">
        <v>31</v>
      </c>
      <c r="E88" s="15" t="s">
        <v>32</v>
      </c>
      <c r="F88" s="16" t="s">
        <v>32</v>
      </c>
      <c r="G88" s="17"/>
      <c r="H88" s="31" t="s">
        <v>64</v>
      </c>
      <c r="I88" s="31" t="s">
        <v>64</v>
      </c>
      <c r="K88" s="20">
        <f>AGI!K88</f>
        <v>86</v>
      </c>
      <c r="L88" s="20">
        <f>AGI!L88</f>
        <v>0</v>
      </c>
      <c r="M88" s="21">
        <f>AGI!M88</f>
        <v>48548</v>
      </c>
      <c r="N88" s="21">
        <f>AGI!N88</f>
        <v>48548</v>
      </c>
      <c r="O88" s="21">
        <f>AGI!O88</f>
        <v>48548</v>
      </c>
      <c r="P88" s="24">
        <v>0</v>
      </c>
      <c r="V88">
        <v>1</v>
      </c>
      <c r="W88" t="s">
        <v>33</v>
      </c>
      <c r="Y88" t="s">
        <v>33</v>
      </c>
      <c r="Z88" t="s">
        <v>34</v>
      </c>
      <c r="AA88">
        <v>1</v>
      </c>
    </row>
    <row r="89" spans="1:27" x14ac:dyDescent="0.35">
      <c r="A89" s="13">
        <f t="shared" si="1"/>
        <v>45930</v>
      </c>
      <c r="B89">
        <v>1</v>
      </c>
      <c r="D89" s="14" t="s">
        <v>31</v>
      </c>
      <c r="E89" s="15" t="s">
        <v>32</v>
      </c>
      <c r="F89" s="16" t="s">
        <v>32</v>
      </c>
      <c r="G89" s="17"/>
      <c r="H89" s="31" t="s">
        <v>64</v>
      </c>
      <c r="I89" s="31" t="s">
        <v>64</v>
      </c>
      <c r="K89" s="20">
        <f>AGI!K89</f>
        <v>87</v>
      </c>
      <c r="L89" s="20">
        <f>AGI!L89</f>
        <v>0</v>
      </c>
      <c r="M89" s="21">
        <f>AGI!M89</f>
        <v>48579</v>
      </c>
      <c r="N89" s="21">
        <f>AGI!N89</f>
        <v>48579</v>
      </c>
      <c r="O89" s="21">
        <f>AGI!O89</f>
        <v>48579</v>
      </c>
      <c r="P89" s="24">
        <v>0</v>
      </c>
      <c r="V89">
        <v>1</v>
      </c>
      <c r="W89" t="s">
        <v>33</v>
      </c>
      <c r="Y89" t="s">
        <v>33</v>
      </c>
      <c r="Z89" t="s">
        <v>34</v>
      </c>
      <c r="AA89">
        <v>1</v>
      </c>
    </row>
    <row r="90" spans="1:27" x14ac:dyDescent="0.35">
      <c r="A90" s="13">
        <f t="shared" si="1"/>
        <v>45930</v>
      </c>
      <c r="B90">
        <v>1</v>
      </c>
      <c r="D90" s="14" t="s">
        <v>31</v>
      </c>
      <c r="E90" s="15" t="s">
        <v>32</v>
      </c>
      <c r="F90" s="16" t="s">
        <v>32</v>
      </c>
      <c r="G90" s="17"/>
      <c r="H90" s="31" t="s">
        <v>64</v>
      </c>
      <c r="I90" s="31" t="s">
        <v>64</v>
      </c>
      <c r="K90" s="20">
        <f>AGI!K90</f>
        <v>88</v>
      </c>
      <c r="L90" s="20">
        <f>AGI!L90</f>
        <v>0</v>
      </c>
      <c r="M90" s="21">
        <f>AGI!M90</f>
        <v>48610</v>
      </c>
      <c r="N90" s="21">
        <f>AGI!N90</f>
        <v>48610</v>
      </c>
      <c r="O90" s="21">
        <f>AGI!O90</f>
        <v>48610</v>
      </c>
      <c r="P90" s="24">
        <v>0</v>
      </c>
      <c r="V90">
        <v>1</v>
      </c>
      <c r="W90" t="s">
        <v>33</v>
      </c>
      <c r="Y90" t="s">
        <v>33</v>
      </c>
      <c r="Z90" t="s">
        <v>34</v>
      </c>
      <c r="AA90">
        <v>1</v>
      </c>
    </row>
    <row r="91" spans="1:27" x14ac:dyDescent="0.35">
      <c r="A91" s="13">
        <f t="shared" si="1"/>
        <v>45930</v>
      </c>
      <c r="B91">
        <v>1</v>
      </c>
      <c r="D91" s="14" t="s">
        <v>31</v>
      </c>
      <c r="E91" s="15" t="s">
        <v>32</v>
      </c>
      <c r="F91" s="16" t="s">
        <v>32</v>
      </c>
      <c r="G91" s="17"/>
      <c r="H91" s="31" t="s">
        <v>64</v>
      </c>
      <c r="I91" s="31" t="s">
        <v>64</v>
      </c>
      <c r="K91" s="20">
        <f>AGI!K91</f>
        <v>89</v>
      </c>
      <c r="L91" s="20">
        <f>AGI!L91</f>
        <v>0</v>
      </c>
      <c r="M91" s="21">
        <f>AGI!M91</f>
        <v>48638</v>
      </c>
      <c r="N91" s="21">
        <f>AGI!N91</f>
        <v>48638</v>
      </c>
      <c r="O91" s="21">
        <f>AGI!O91</f>
        <v>48638</v>
      </c>
      <c r="P91" s="24">
        <v>0</v>
      </c>
      <c r="V91">
        <v>1</v>
      </c>
      <c r="W91" t="s">
        <v>33</v>
      </c>
      <c r="Y91" t="s">
        <v>33</v>
      </c>
      <c r="Z91" t="s">
        <v>34</v>
      </c>
      <c r="AA91">
        <v>1</v>
      </c>
    </row>
    <row r="92" spans="1:27" x14ac:dyDescent="0.35">
      <c r="A92" s="13">
        <f t="shared" si="1"/>
        <v>45930</v>
      </c>
      <c r="B92">
        <v>1</v>
      </c>
      <c r="D92" s="14" t="s">
        <v>31</v>
      </c>
      <c r="E92" s="15" t="s">
        <v>32</v>
      </c>
      <c r="F92" s="16" t="s">
        <v>32</v>
      </c>
      <c r="G92" s="17"/>
      <c r="H92" s="31" t="s">
        <v>64</v>
      </c>
      <c r="I92" s="31" t="s">
        <v>64</v>
      </c>
      <c r="K92" s="20">
        <f>AGI!K92</f>
        <v>90</v>
      </c>
      <c r="L92" s="20">
        <f>AGI!L92</f>
        <v>0</v>
      </c>
      <c r="M92" s="21">
        <f>AGI!M92</f>
        <v>48669</v>
      </c>
      <c r="N92" s="21">
        <f>AGI!N92</f>
        <v>48669</v>
      </c>
      <c r="O92" s="21">
        <f>AGI!O92</f>
        <v>48669</v>
      </c>
      <c r="P92" s="24">
        <v>0</v>
      </c>
      <c r="V92">
        <v>1</v>
      </c>
      <c r="W92" t="s">
        <v>33</v>
      </c>
      <c r="Y92" t="s">
        <v>33</v>
      </c>
      <c r="Z92" t="s">
        <v>34</v>
      </c>
      <c r="AA92">
        <v>1</v>
      </c>
    </row>
    <row r="93" spans="1:27" x14ac:dyDescent="0.35">
      <c r="A93" s="13">
        <f t="shared" si="1"/>
        <v>45930</v>
      </c>
      <c r="B93">
        <v>1</v>
      </c>
      <c r="D93" s="14" t="s">
        <v>31</v>
      </c>
      <c r="E93" s="15" t="s">
        <v>32</v>
      </c>
      <c r="F93" s="16" t="s">
        <v>32</v>
      </c>
      <c r="G93" s="17"/>
      <c r="H93" s="31" t="s">
        <v>64</v>
      </c>
      <c r="I93" s="31" t="s">
        <v>64</v>
      </c>
      <c r="K93" s="20">
        <f>AGI!K93</f>
        <v>91</v>
      </c>
      <c r="L93" s="20">
        <f>AGI!L93</f>
        <v>0</v>
      </c>
      <c r="M93" s="21">
        <f>AGI!M93</f>
        <v>48699</v>
      </c>
      <c r="N93" s="21">
        <f>AGI!N93</f>
        <v>48699</v>
      </c>
      <c r="O93" s="21">
        <f>AGI!O93</f>
        <v>48699</v>
      </c>
      <c r="P93" s="24">
        <v>0</v>
      </c>
      <c r="V93">
        <v>1</v>
      </c>
      <c r="W93" t="s">
        <v>33</v>
      </c>
      <c r="Y93" t="s">
        <v>33</v>
      </c>
      <c r="Z93" t="s">
        <v>34</v>
      </c>
      <c r="AA93">
        <v>1</v>
      </c>
    </row>
    <row r="94" spans="1:27" x14ac:dyDescent="0.35">
      <c r="A94" s="13">
        <f t="shared" si="1"/>
        <v>45930</v>
      </c>
      <c r="B94">
        <v>1</v>
      </c>
      <c r="D94" s="14" t="s">
        <v>31</v>
      </c>
      <c r="E94" s="15" t="s">
        <v>32</v>
      </c>
      <c r="F94" s="16" t="s">
        <v>32</v>
      </c>
      <c r="G94" s="17"/>
      <c r="H94" s="31" t="s">
        <v>64</v>
      </c>
      <c r="I94" s="31" t="s">
        <v>64</v>
      </c>
      <c r="K94" s="20">
        <f>AGI!K94</f>
        <v>92</v>
      </c>
      <c r="L94" s="20">
        <f>AGI!L94</f>
        <v>0</v>
      </c>
      <c r="M94" s="21">
        <f>AGI!M94</f>
        <v>48730</v>
      </c>
      <c r="N94" s="21">
        <f>AGI!N94</f>
        <v>48730</v>
      </c>
      <c r="O94" s="21">
        <f>AGI!O94</f>
        <v>48730</v>
      </c>
      <c r="P94" s="24">
        <v>0</v>
      </c>
      <c r="V94">
        <v>1</v>
      </c>
      <c r="W94" t="s">
        <v>33</v>
      </c>
      <c r="Y94" t="s">
        <v>33</v>
      </c>
      <c r="Z94" t="s">
        <v>34</v>
      </c>
      <c r="AA94">
        <v>1</v>
      </c>
    </row>
    <row r="95" spans="1:27" x14ac:dyDescent="0.35">
      <c r="A95" s="13">
        <f t="shared" si="1"/>
        <v>45930</v>
      </c>
      <c r="B95">
        <v>1</v>
      </c>
      <c r="D95" s="14" t="s">
        <v>31</v>
      </c>
      <c r="E95" s="15" t="s">
        <v>32</v>
      </c>
      <c r="F95" s="16" t="s">
        <v>32</v>
      </c>
      <c r="G95" s="17"/>
      <c r="H95" s="31" t="s">
        <v>64</v>
      </c>
      <c r="I95" s="31" t="s">
        <v>64</v>
      </c>
      <c r="K95" s="20">
        <f>AGI!K95</f>
        <v>93</v>
      </c>
      <c r="L95" s="20">
        <f>AGI!L95</f>
        <v>0</v>
      </c>
      <c r="M95" s="21">
        <f>AGI!M95</f>
        <v>48760</v>
      </c>
      <c r="N95" s="21">
        <f>AGI!N95</f>
        <v>48760</v>
      </c>
      <c r="O95" s="21">
        <f>AGI!O95</f>
        <v>48760</v>
      </c>
      <c r="P95" s="24">
        <v>0</v>
      </c>
      <c r="V95">
        <v>1</v>
      </c>
      <c r="W95" t="s">
        <v>33</v>
      </c>
      <c r="Y95" t="s">
        <v>33</v>
      </c>
      <c r="Z95" t="s">
        <v>34</v>
      </c>
      <c r="AA95">
        <v>1</v>
      </c>
    </row>
    <row r="96" spans="1:27" x14ac:dyDescent="0.35">
      <c r="A96" s="13">
        <f t="shared" si="1"/>
        <v>45930</v>
      </c>
      <c r="B96">
        <v>1</v>
      </c>
      <c r="D96" s="14" t="s">
        <v>31</v>
      </c>
      <c r="E96" s="15" t="s">
        <v>32</v>
      </c>
      <c r="F96" s="16" t="s">
        <v>32</v>
      </c>
      <c r="G96" s="17"/>
      <c r="H96" s="31" t="s">
        <v>64</v>
      </c>
      <c r="I96" s="31" t="s">
        <v>64</v>
      </c>
      <c r="K96" s="20">
        <f>AGI!K96</f>
        <v>94</v>
      </c>
      <c r="L96" s="20">
        <f>AGI!L96</f>
        <v>0</v>
      </c>
      <c r="M96" s="21">
        <f>AGI!M96</f>
        <v>48791</v>
      </c>
      <c r="N96" s="21">
        <f>AGI!N96</f>
        <v>48791</v>
      </c>
      <c r="O96" s="21">
        <f>AGI!O96</f>
        <v>48791</v>
      </c>
      <c r="P96" s="24">
        <v>0</v>
      </c>
      <c r="V96">
        <v>1</v>
      </c>
      <c r="W96" t="s">
        <v>33</v>
      </c>
      <c r="Y96" t="s">
        <v>33</v>
      </c>
      <c r="Z96" t="s">
        <v>34</v>
      </c>
      <c r="AA96">
        <v>1</v>
      </c>
    </row>
    <row r="97" spans="1:27" x14ac:dyDescent="0.35">
      <c r="A97" s="13">
        <f t="shared" si="1"/>
        <v>45930</v>
      </c>
      <c r="B97">
        <v>1</v>
      </c>
      <c r="D97" s="14" t="s">
        <v>31</v>
      </c>
      <c r="E97" s="15" t="s">
        <v>32</v>
      </c>
      <c r="F97" s="16" t="s">
        <v>32</v>
      </c>
      <c r="G97" s="17"/>
      <c r="H97" s="31" t="s">
        <v>64</v>
      </c>
      <c r="I97" s="31" t="s">
        <v>64</v>
      </c>
      <c r="K97" s="20">
        <f>AGI!K97</f>
        <v>95</v>
      </c>
      <c r="L97" s="20">
        <f>AGI!L97</f>
        <v>0</v>
      </c>
      <c r="M97" s="21">
        <f>AGI!M97</f>
        <v>48822</v>
      </c>
      <c r="N97" s="21">
        <f>AGI!N97</f>
        <v>48822</v>
      </c>
      <c r="O97" s="21">
        <f>AGI!O97</f>
        <v>48822</v>
      </c>
      <c r="P97" s="24">
        <v>0</v>
      </c>
      <c r="V97">
        <v>1</v>
      </c>
      <c r="W97" t="s">
        <v>33</v>
      </c>
      <c r="Y97" t="s">
        <v>33</v>
      </c>
      <c r="Z97" t="s">
        <v>34</v>
      </c>
      <c r="AA97">
        <v>1</v>
      </c>
    </row>
    <row r="98" spans="1:27" x14ac:dyDescent="0.35">
      <c r="A98" s="13">
        <f t="shared" si="1"/>
        <v>45930</v>
      </c>
      <c r="B98">
        <v>1</v>
      </c>
      <c r="D98" s="14" t="s">
        <v>31</v>
      </c>
      <c r="E98" s="15" t="s">
        <v>32</v>
      </c>
      <c r="F98" s="16" t="s">
        <v>32</v>
      </c>
      <c r="G98" s="17"/>
      <c r="H98" s="31" t="s">
        <v>64</v>
      </c>
      <c r="I98" s="31" t="s">
        <v>64</v>
      </c>
      <c r="K98" s="20">
        <f>AGI!K98</f>
        <v>96</v>
      </c>
      <c r="L98" s="20">
        <f>AGI!L98</f>
        <v>0</v>
      </c>
      <c r="M98" s="21">
        <f>AGI!M98</f>
        <v>48852</v>
      </c>
      <c r="N98" s="21">
        <f>AGI!N98</f>
        <v>48852</v>
      </c>
      <c r="O98" s="21">
        <f>AGI!O98</f>
        <v>48852</v>
      </c>
      <c r="P98" s="24">
        <v>0</v>
      </c>
      <c r="V98">
        <v>1</v>
      </c>
      <c r="W98" t="s">
        <v>33</v>
      </c>
      <c r="Y98" t="s">
        <v>33</v>
      </c>
      <c r="Z98" t="s">
        <v>34</v>
      </c>
      <c r="AA98">
        <v>1</v>
      </c>
    </row>
    <row r="99" spans="1:27" x14ac:dyDescent="0.35">
      <c r="A99" s="13">
        <f t="shared" si="1"/>
        <v>45930</v>
      </c>
      <c r="B99">
        <v>1</v>
      </c>
      <c r="D99" s="14" t="s">
        <v>31</v>
      </c>
      <c r="E99" s="15" t="s">
        <v>32</v>
      </c>
      <c r="F99" s="16" t="s">
        <v>32</v>
      </c>
      <c r="G99" s="17"/>
      <c r="H99" s="31" t="s">
        <v>64</v>
      </c>
      <c r="I99" s="31" t="s">
        <v>64</v>
      </c>
      <c r="K99" s="20">
        <f>AGI!K99</f>
        <v>97</v>
      </c>
      <c r="L99" s="20">
        <f>AGI!L99</f>
        <v>0</v>
      </c>
      <c r="M99" s="21">
        <f>AGI!M99</f>
        <v>48883</v>
      </c>
      <c r="N99" s="21">
        <f>AGI!N99</f>
        <v>48883</v>
      </c>
      <c r="O99" s="21">
        <f>AGI!O99</f>
        <v>48883</v>
      </c>
      <c r="P99" s="24">
        <v>0</v>
      </c>
      <c r="V99">
        <v>1</v>
      </c>
      <c r="W99" t="s">
        <v>33</v>
      </c>
      <c r="Y99" t="s">
        <v>33</v>
      </c>
      <c r="Z99" t="s">
        <v>34</v>
      </c>
      <c r="AA99">
        <v>1</v>
      </c>
    </row>
    <row r="100" spans="1:27" x14ac:dyDescent="0.35">
      <c r="A100" s="13">
        <f t="shared" si="1"/>
        <v>45930</v>
      </c>
      <c r="B100">
        <v>1</v>
      </c>
      <c r="D100" s="14" t="s">
        <v>31</v>
      </c>
      <c r="E100" s="15" t="s">
        <v>32</v>
      </c>
      <c r="F100" s="16" t="s">
        <v>32</v>
      </c>
      <c r="G100" s="17"/>
      <c r="H100" s="31" t="s">
        <v>64</v>
      </c>
      <c r="I100" s="31" t="s">
        <v>64</v>
      </c>
      <c r="K100" s="20">
        <f>AGI!K100</f>
        <v>98</v>
      </c>
      <c r="L100" s="20">
        <f>AGI!L100</f>
        <v>0</v>
      </c>
      <c r="M100" s="21">
        <f>AGI!M100</f>
        <v>48913</v>
      </c>
      <c r="N100" s="21">
        <f>AGI!N100</f>
        <v>48913</v>
      </c>
      <c r="O100" s="21">
        <f>AGI!O100</f>
        <v>48913</v>
      </c>
      <c r="P100" s="24">
        <v>0</v>
      </c>
      <c r="V100">
        <v>1</v>
      </c>
      <c r="W100" t="s">
        <v>33</v>
      </c>
      <c r="Y100" t="s">
        <v>33</v>
      </c>
      <c r="Z100" t="s">
        <v>34</v>
      </c>
      <c r="AA100">
        <v>1</v>
      </c>
    </row>
    <row r="101" spans="1:27" x14ac:dyDescent="0.35">
      <c r="A101" s="13">
        <f t="shared" si="1"/>
        <v>45930</v>
      </c>
      <c r="B101">
        <v>1</v>
      </c>
      <c r="D101" s="14" t="s">
        <v>31</v>
      </c>
      <c r="E101" s="15" t="s">
        <v>32</v>
      </c>
      <c r="F101" s="16" t="s">
        <v>32</v>
      </c>
      <c r="G101" s="17"/>
      <c r="H101" s="31" t="s">
        <v>64</v>
      </c>
      <c r="I101" s="31" t="s">
        <v>64</v>
      </c>
      <c r="K101" s="20">
        <f>AGI!K101</f>
        <v>99</v>
      </c>
      <c r="L101" s="20">
        <f>AGI!L101</f>
        <v>0</v>
      </c>
      <c r="M101" s="21">
        <f>AGI!M101</f>
        <v>48944</v>
      </c>
      <c r="N101" s="21">
        <f>AGI!N101</f>
        <v>48944</v>
      </c>
      <c r="O101" s="21">
        <f>AGI!O101</f>
        <v>48944</v>
      </c>
      <c r="P101" s="24">
        <v>0</v>
      </c>
      <c r="V101">
        <v>1</v>
      </c>
      <c r="W101" t="s">
        <v>33</v>
      </c>
      <c r="Y101" t="s">
        <v>33</v>
      </c>
      <c r="Z101" t="s">
        <v>34</v>
      </c>
      <c r="AA101">
        <v>1</v>
      </c>
    </row>
    <row r="102" spans="1:27" x14ac:dyDescent="0.35">
      <c r="A102" s="13">
        <f t="shared" si="1"/>
        <v>45930</v>
      </c>
      <c r="B102">
        <v>1</v>
      </c>
      <c r="D102" s="14" t="s">
        <v>31</v>
      </c>
      <c r="E102" s="15" t="s">
        <v>32</v>
      </c>
      <c r="F102" s="16" t="s">
        <v>32</v>
      </c>
      <c r="G102" s="17"/>
      <c r="H102" s="31" t="s">
        <v>64</v>
      </c>
      <c r="I102" s="31" t="s">
        <v>64</v>
      </c>
      <c r="K102" s="20">
        <f>AGI!K102</f>
        <v>100</v>
      </c>
      <c r="L102" s="20">
        <f>AGI!L102</f>
        <v>0</v>
      </c>
      <c r="M102" s="21">
        <f>AGI!M102</f>
        <v>48975</v>
      </c>
      <c r="N102" s="21">
        <f>AGI!N102</f>
        <v>48975</v>
      </c>
      <c r="O102" s="21">
        <f>AGI!O102</f>
        <v>48975</v>
      </c>
      <c r="P102" s="24">
        <v>0</v>
      </c>
      <c r="V102">
        <v>1</v>
      </c>
      <c r="W102" t="s">
        <v>33</v>
      </c>
      <c r="Y102" t="s">
        <v>33</v>
      </c>
      <c r="Z102" t="s">
        <v>34</v>
      </c>
      <c r="AA102">
        <v>1</v>
      </c>
    </row>
    <row r="103" spans="1:27" x14ac:dyDescent="0.35">
      <c r="A103" s="13">
        <f t="shared" si="1"/>
        <v>45930</v>
      </c>
      <c r="B103">
        <v>1</v>
      </c>
      <c r="D103" s="14" t="s">
        <v>31</v>
      </c>
      <c r="E103" s="15" t="s">
        <v>32</v>
      </c>
      <c r="F103" s="16" t="s">
        <v>32</v>
      </c>
      <c r="G103" s="17"/>
      <c r="H103" s="31" t="s">
        <v>64</v>
      </c>
      <c r="I103" s="31" t="s">
        <v>64</v>
      </c>
      <c r="K103" s="20">
        <f>AGI!K103</f>
        <v>101</v>
      </c>
      <c r="L103" s="20">
        <f>AGI!L103</f>
        <v>0</v>
      </c>
      <c r="M103" s="21">
        <f>AGI!M103</f>
        <v>49003</v>
      </c>
      <c r="N103" s="21">
        <f>AGI!N103</f>
        <v>49003</v>
      </c>
      <c r="O103" s="21">
        <f>AGI!O103</f>
        <v>49003</v>
      </c>
      <c r="P103" s="24">
        <v>0</v>
      </c>
      <c r="V103">
        <v>1</v>
      </c>
      <c r="W103" t="s">
        <v>33</v>
      </c>
      <c r="Y103" t="s">
        <v>33</v>
      </c>
      <c r="Z103" t="s">
        <v>34</v>
      </c>
      <c r="AA103">
        <v>1</v>
      </c>
    </row>
    <row r="104" spans="1:27" x14ac:dyDescent="0.35">
      <c r="A104" s="13">
        <f t="shared" si="1"/>
        <v>45930</v>
      </c>
      <c r="B104">
        <v>1</v>
      </c>
      <c r="D104" s="14" t="s">
        <v>31</v>
      </c>
      <c r="E104" s="15" t="s">
        <v>32</v>
      </c>
      <c r="F104" s="16" t="s">
        <v>32</v>
      </c>
      <c r="G104" s="17"/>
      <c r="H104" s="31" t="s">
        <v>64</v>
      </c>
      <c r="I104" s="31" t="s">
        <v>64</v>
      </c>
      <c r="K104" s="20">
        <f>AGI!K104</f>
        <v>102</v>
      </c>
      <c r="L104" s="20">
        <f>AGI!L104</f>
        <v>0</v>
      </c>
      <c r="M104" s="21">
        <f>AGI!M104</f>
        <v>49034</v>
      </c>
      <c r="N104" s="21">
        <f>AGI!N104</f>
        <v>49034</v>
      </c>
      <c r="O104" s="21">
        <f>AGI!O104</f>
        <v>49034</v>
      </c>
      <c r="P104" s="24">
        <v>0</v>
      </c>
      <c r="V104">
        <v>1</v>
      </c>
      <c r="W104" t="s">
        <v>33</v>
      </c>
      <c r="Y104" t="s">
        <v>33</v>
      </c>
      <c r="Z104" t="s">
        <v>34</v>
      </c>
      <c r="AA104">
        <v>1</v>
      </c>
    </row>
    <row r="105" spans="1:27" x14ac:dyDescent="0.35">
      <c r="A105" s="13">
        <f t="shared" si="1"/>
        <v>45930</v>
      </c>
      <c r="B105">
        <v>1</v>
      </c>
      <c r="D105" s="14" t="s">
        <v>31</v>
      </c>
      <c r="E105" s="15" t="s">
        <v>32</v>
      </c>
      <c r="F105" s="16" t="s">
        <v>32</v>
      </c>
      <c r="G105" s="17"/>
      <c r="H105" s="31" t="s">
        <v>64</v>
      </c>
      <c r="I105" s="31" t="s">
        <v>64</v>
      </c>
      <c r="K105" s="20">
        <f>AGI!K105</f>
        <v>103</v>
      </c>
      <c r="L105" s="20">
        <f>AGI!L105</f>
        <v>0</v>
      </c>
      <c r="M105" s="21">
        <f>AGI!M105</f>
        <v>49064</v>
      </c>
      <c r="N105" s="21">
        <f>AGI!N105</f>
        <v>49064</v>
      </c>
      <c r="O105" s="21">
        <f>AGI!O105</f>
        <v>49064</v>
      </c>
      <c r="P105" s="24">
        <v>0</v>
      </c>
      <c r="V105">
        <v>1</v>
      </c>
      <c r="W105" t="s">
        <v>33</v>
      </c>
      <c r="Y105" t="s">
        <v>33</v>
      </c>
      <c r="Z105" t="s">
        <v>34</v>
      </c>
      <c r="AA105">
        <v>1</v>
      </c>
    </row>
    <row r="106" spans="1:27" x14ac:dyDescent="0.35">
      <c r="A106" s="13">
        <f t="shared" si="1"/>
        <v>45930</v>
      </c>
      <c r="B106">
        <v>1</v>
      </c>
      <c r="D106" s="14" t="s">
        <v>31</v>
      </c>
      <c r="E106" s="15" t="s">
        <v>32</v>
      </c>
      <c r="F106" s="16" t="s">
        <v>32</v>
      </c>
      <c r="G106" s="17"/>
      <c r="H106" s="31" t="s">
        <v>64</v>
      </c>
      <c r="I106" s="31" t="s">
        <v>64</v>
      </c>
      <c r="K106" s="20">
        <f>AGI!K106</f>
        <v>104</v>
      </c>
      <c r="L106" s="20">
        <f>AGI!L106</f>
        <v>0</v>
      </c>
      <c r="M106" s="21">
        <f>AGI!M106</f>
        <v>49095</v>
      </c>
      <c r="N106" s="21">
        <f>AGI!N106</f>
        <v>49095</v>
      </c>
      <c r="O106" s="21">
        <f>AGI!O106</f>
        <v>49095</v>
      </c>
      <c r="P106" s="24">
        <v>0</v>
      </c>
      <c r="V106">
        <v>1</v>
      </c>
      <c r="W106" t="s">
        <v>33</v>
      </c>
      <c r="Y106" t="s">
        <v>33</v>
      </c>
      <c r="Z106" t="s">
        <v>34</v>
      </c>
      <c r="AA106">
        <v>1</v>
      </c>
    </row>
    <row r="107" spans="1:27" x14ac:dyDescent="0.35">
      <c r="A107" s="13">
        <f t="shared" si="1"/>
        <v>45930</v>
      </c>
      <c r="B107">
        <v>1</v>
      </c>
      <c r="D107" s="14" t="s">
        <v>31</v>
      </c>
      <c r="E107" s="15" t="s">
        <v>32</v>
      </c>
      <c r="F107" s="16" t="s">
        <v>32</v>
      </c>
      <c r="G107" s="17"/>
      <c r="H107" s="31" t="s">
        <v>64</v>
      </c>
      <c r="I107" s="31" t="s">
        <v>64</v>
      </c>
      <c r="K107" s="20">
        <f>AGI!K107</f>
        <v>105</v>
      </c>
      <c r="L107" s="20">
        <f>AGI!L107</f>
        <v>0</v>
      </c>
      <c r="M107" s="21">
        <f>AGI!M107</f>
        <v>49125</v>
      </c>
      <c r="N107" s="21">
        <f>AGI!N107</f>
        <v>49125</v>
      </c>
      <c r="O107" s="21">
        <f>AGI!O107</f>
        <v>49125</v>
      </c>
      <c r="P107" s="24">
        <v>0</v>
      </c>
      <c r="V107">
        <v>1</v>
      </c>
      <c r="W107" t="s">
        <v>33</v>
      </c>
      <c r="Y107" t="s">
        <v>33</v>
      </c>
      <c r="Z107" t="s">
        <v>34</v>
      </c>
      <c r="AA107">
        <v>1</v>
      </c>
    </row>
    <row r="108" spans="1:27" x14ac:dyDescent="0.35">
      <c r="A108" s="13">
        <f t="shared" si="1"/>
        <v>45930</v>
      </c>
      <c r="B108">
        <v>1</v>
      </c>
      <c r="D108" s="14" t="s">
        <v>31</v>
      </c>
      <c r="E108" s="15" t="s">
        <v>32</v>
      </c>
      <c r="F108" s="16" t="s">
        <v>32</v>
      </c>
      <c r="G108" s="17"/>
      <c r="H108" s="31" t="s">
        <v>64</v>
      </c>
      <c r="I108" s="31" t="s">
        <v>64</v>
      </c>
      <c r="K108" s="20">
        <f>AGI!K108</f>
        <v>106</v>
      </c>
      <c r="L108" s="20">
        <f>AGI!L108</f>
        <v>0</v>
      </c>
      <c r="M108" s="21">
        <f>AGI!M108</f>
        <v>49156</v>
      </c>
      <c r="N108" s="21">
        <f>AGI!N108</f>
        <v>49156</v>
      </c>
      <c r="O108" s="21">
        <f>AGI!O108</f>
        <v>49156</v>
      </c>
      <c r="P108" s="24">
        <v>0</v>
      </c>
      <c r="V108">
        <v>1</v>
      </c>
      <c r="W108" t="s">
        <v>33</v>
      </c>
      <c r="Y108" t="s">
        <v>33</v>
      </c>
      <c r="Z108" t="s">
        <v>34</v>
      </c>
      <c r="AA108">
        <v>1</v>
      </c>
    </row>
    <row r="109" spans="1:27" x14ac:dyDescent="0.35">
      <c r="A109" s="13">
        <f t="shared" si="1"/>
        <v>45930</v>
      </c>
      <c r="B109">
        <v>1</v>
      </c>
      <c r="D109" s="14" t="s">
        <v>31</v>
      </c>
      <c r="E109" s="15" t="s">
        <v>32</v>
      </c>
      <c r="F109" s="16" t="s">
        <v>32</v>
      </c>
      <c r="G109" s="17"/>
      <c r="H109" s="31" t="s">
        <v>64</v>
      </c>
      <c r="I109" s="31" t="s">
        <v>64</v>
      </c>
      <c r="K109" s="20">
        <f>AGI!K109</f>
        <v>107</v>
      </c>
      <c r="L109" s="20">
        <f>AGI!L109</f>
        <v>0</v>
      </c>
      <c r="M109" s="21">
        <f>AGI!M109</f>
        <v>49187</v>
      </c>
      <c r="N109" s="21">
        <f>AGI!N109</f>
        <v>49187</v>
      </c>
      <c r="O109" s="21">
        <f>AGI!O109</f>
        <v>49187</v>
      </c>
      <c r="P109" s="24">
        <v>0</v>
      </c>
      <c r="V109">
        <v>1</v>
      </c>
      <c r="W109" t="s">
        <v>33</v>
      </c>
      <c r="Y109" t="s">
        <v>33</v>
      </c>
      <c r="Z109" t="s">
        <v>34</v>
      </c>
      <c r="AA109">
        <v>1</v>
      </c>
    </row>
    <row r="110" spans="1:27" x14ac:dyDescent="0.35">
      <c r="A110" s="13">
        <f t="shared" si="1"/>
        <v>45930</v>
      </c>
      <c r="B110">
        <v>1</v>
      </c>
      <c r="D110" s="14" t="s">
        <v>31</v>
      </c>
      <c r="E110" s="15" t="s">
        <v>32</v>
      </c>
      <c r="F110" s="16" t="s">
        <v>32</v>
      </c>
      <c r="G110" s="17"/>
      <c r="H110" s="31" t="s">
        <v>64</v>
      </c>
      <c r="I110" s="31" t="s">
        <v>64</v>
      </c>
      <c r="K110" s="20">
        <f>AGI!K110</f>
        <v>108</v>
      </c>
      <c r="L110" s="20">
        <f>AGI!L110</f>
        <v>0</v>
      </c>
      <c r="M110" s="21">
        <f>AGI!M110</f>
        <v>49217</v>
      </c>
      <c r="N110" s="21">
        <f>AGI!N110</f>
        <v>49217</v>
      </c>
      <c r="O110" s="21">
        <f>AGI!O110</f>
        <v>49217</v>
      </c>
      <c r="P110" s="24">
        <v>0</v>
      </c>
      <c r="V110">
        <v>1</v>
      </c>
      <c r="W110" t="s">
        <v>33</v>
      </c>
      <c r="Y110" t="s">
        <v>33</v>
      </c>
      <c r="Z110" t="s">
        <v>34</v>
      </c>
      <c r="AA110">
        <v>1</v>
      </c>
    </row>
    <row r="111" spans="1:27" x14ac:dyDescent="0.35">
      <c r="A111" s="13">
        <f t="shared" si="1"/>
        <v>45930</v>
      </c>
      <c r="B111">
        <v>1</v>
      </c>
      <c r="D111" s="14" t="s">
        <v>31</v>
      </c>
      <c r="E111" s="15" t="s">
        <v>32</v>
      </c>
      <c r="F111" s="16" t="s">
        <v>32</v>
      </c>
      <c r="G111" s="17"/>
      <c r="H111" s="31" t="s">
        <v>64</v>
      </c>
      <c r="I111" s="31" t="s">
        <v>64</v>
      </c>
      <c r="K111" s="20">
        <f>AGI!K111</f>
        <v>109</v>
      </c>
      <c r="L111" s="20">
        <f>AGI!L111</f>
        <v>0</v>
      </c>
      <c r="M111" s="21">
        <f>AGI!M111</f>
        <v>49248</v>
      </c>
      <c r="N111" s="21">
        <f>AGI!N111</f>
        <v>49248</v>
      </c>
      <c r="O111" s="21">
        <f>AGI!O111</f>
        <v>49248</v>
      </c>
      <c r="P111" s="24">
        <v>0</v>
      </c>
      <c r="V111">
        <v>1</v>
      </c>
      <c r="W111" t="s">
        <v>33</v>
      </c>
      <c r="Y111" t="s">
        <v>33</v>
      </c>
      <c r="Z111" t="s">
        <v>34</v>
      </c>
      <c r="AA111">
        <v>1</v>
      </c>
    </row>
    <row r="112" spans="1:27" x14ac:dyDescent="0.35">
      <c r="A112" s="13">
        <f t="shared" si="1"/>
        <v>45930</v>
      </c>
      <c r="B112">
        <v>1</v>
      </c>
      <c r="D112" s="14" t="s">
        <v>31</v>
      </c>
      <c r="E112" s="15" t="s">
        <v>32</v>
      </c>
      <c r="F112" s="16" t="s">
        <v>32</v>
      </c>
      <c r="G112" s="17"/>
      <c r="H112" s="31" t="s">
        <v>64</v>
      </c>
      <c r="I112" s="31" t="s">
        <v>64</v>
      </c>
      <c r="K112" s="20">
        <f>AGI!K112</f>
        <v>110</v>
      </c>
      <c r="L112" s="20">
        <f>AGI!L112</f>
        <v>0</v>
      </c>
      <c r="M112" s="21">
        <f>AGI!M112</f>
        <v>49278</v>
      </c>
      <c r="N112" s="21">
        <f>AGI!N112</f>
        <v>49278</v>
      </c>
      <c r="O112" s="21">
        <f>AGI!O112</f>
        <v>49278</v>
      </c>
      <c r="P112" s="24">
        <v>0</v>
      </c>
      <c r="V112">
        <v>1</v>
      </c>
      <c r="W112" t="s">
        <v>33</v>
      </c>
      <c r="Y112" t="s">
        <v>33</v>
      </c>
      <c r="Z112" t="s">
        <v>34</v>
      </c>
      <c r="AA112">
        <v>1</v>
      </c>
    </row>
    <row r="113" spans="1:27" x14ac:dyDescent="0.35">
      <c r="A113" s="13">
        <f t="shared" si="1"/>
        <v>45930</v>
      </c>
      <c r="B113">
        <v>1</v>
      </c>
      <c r="D113" s="14" t="s">
        <v>31</v>
      </c>
      <c r="E113" s="15" t="s">
        <v>32</v>
      </c>
      <c r="F113" s="16" t="s">
        <v>32</v>
      </c>
      <c r="G113" s="17"/>
      <c r="H113" s="31" t="s">
        <v>64</v>
      </c>
      <c r="I113" s="31" t="s">
        <v>64</v>
      </c>
      <c r="K113" s="20">
        <f>AGI!K113</f>
        <v>111</v>
      </c>
      <c r="L113" s="20">
        <f>AGI!L113</f>
        <v>0</v>
      </c>
      <c r="M113" s="21">
        <f>AGI!M113</f>
        <v>49309</v>
      </c>
      <c r="N113" s="21">
        <f>AGI!N113</f>
        <v>49309</v>
      </c>
      <c r="O113" s="21">
        <f>AGI!O113</f>
        <v>49309</v>
      </c>
      <c r="P113" s="24">
        <v>0</v>
      </c>
      <c r="V113">
        <v>1</v>
      </c>
      <c r="W113" t="s">
        <v>33</v>
      </c>
      <c r="Y113" t="s">
        <v>33</v>
      </c>
      <c r="Z113" t="s">
        <v>34</v>
      </c>
      <c r="AA113">
        <v>1</v>
      </c>
    </row>
    <row r="114" spans="1:27" x14ac:dyDescent="0.35">
      <c r="A114" s="13">
        <f t="shared" si="1"/>
        <v>45930</v>
      </c>
      <c r="B114">
        <v>1</v>
      </c>
      <c r="D114" s="14" t="s">
        <v>31</v>
      </c>
      <c r="E114" s="15" t="s">
        <v>32</v>
      </c>
      <c r="F114" s="16" t="s">
        <v>32</v>
      </c>
      <c r="G114" s="17"/>
      <c r="H114" s="31" t="s">
        <v>64</v>
      </c>
      <c r="I114" s="31" t="s">
        <v>64</v>
      </c>
      <c r="K114" s="20">
        <f>AGI!K114</f>
        <v>112</v>
      </c>
      <c r="L114" s="20">
        <f>AGI!L114</f>
        <v>0</v>
      </c>
      <c r="M114" s="21">
        <f>AGI!M114</f>
        <v>49340</v>
      </c>
      <c r="N114" s="21">
        <f>AGI!N114</f>
        <v>49340</v>
      </c>
      <c r="O114" s="21">
        <f>AGI!O114</f>
        <v>49340</v>
      </c>
      <c r="P114" s="24">
        <v>0</v>
      </c>
      <c r="V114">
        <v>1</v>
      </c>
      <c r="W114" t="s">
        <v>33</v>
      </c>
      <c r="Y114" t="s">
        <v>33</v>
      </c>
      <c r="Z114" t="s">
        <v>34</v>
      </c>
      <c r="AA114">
        <v>1</v>
      </c>
    </row>
    <row r="115" spans="1:27" x14ac:dyDescent="0.35">
      <c r="A115" s="13">
        <f t="shared" si="1"/>
        <v>45930</v>
      </c>
      <c r="B115">
        <v>1</v>
      </c>
      <c r="D115" s="14" t="s">
        <v>31</v>
      </c>
      <c r="E115" s="15" t="s">
        <v>32</v>
      </c>
      <c r="F115" s="16" t="s">
        <v>32</v>
      </c>
      <c r="G115" s="17"/>
      <c r="H115" s="31" t="s">
        <v>64</v>
      </c>
      <c r="I115" s="31" t="s">
        <v>64</v>
      </c>
      <c r="K115" s="20">
        <f>AGI!K115</f>
        <v>113</v>
      </c>
      <c r="L115" s="20">
        <f>AGI!L115</f>
        <v>0</v>
      </c>
      <c r="M115" s="21">
        <f>AGI!M115</f>
        <v>49368</v>
      </c>
      <c r="N115" s="21">
        <f>AGI!N115</f>
        <v>49368</v>
      </c>
      <c r="O115" s="21">
        <f>AGI!O115</f>
        <v>49368</v>
      </c>
      <c r="P115" s="24">
        <v>0</v>
      </c>
      <c r="V115">
        <v>1</v>
      </c>
      <c r="W115" t="s">
        <v>33</v>
      </c>
      <c r="Y115" t="s">
        <v>33</v>
      </c>
      <c r="Z115" t="s">
        <v>34</v>
      </c>
      <c r="AA115">
        <v>1</v>
      </c>
    </row>
    <row r="116" spans="1:27" x14ac:dyDescent="0.35">
      <c r="A116" s="13">
        <f t="shared" si="1"/>
        <v>45930</v>
      </c>
      <c r="B116">
        <v>1</v>
      </c>
      <c r="D116" s="14" t="s">
        <v>31</v>
      </c>
      <c r="E116" s="15" t="s">
        <v>32</v>
      </c>
      <c r="F116" s="16" t="s">
        <v>32</v>
      </c>
      <c r="G116" s="17"/>
      <c r="H116" s="31" t="s">
        <v>64</v>
      </c>
      <c r="I116" s="31" t="s">
        <v>64</v>
      </c>
      <c r="K116" s="20">
        <f>AGI!K116</f>
        <v>114</v>
      </c>
      <c r="L116" s="20">
        <f>AGI!L116</f>
        <v>0</v>
      </c>
      <c r="M116" s="21">
        <f>AGI!M116</f>
        <v>49399</v>
      </c>
      <c r="N116" s="21">
        <f>AGI!N116</f>
        <v>49399</v>
      </c>
      <c r="O116" s="21">
        <f>AGI!O116</f>
        <v>49399</v>
      </c>
      <c r="P116" s="24">
        <v>0</v>
      </c>
      <c r="V116">
        <v>1</v>
      </c>
      <c r="W116" t="s">
        <v>33</v>
      </c>
      <c r="Y116" t="s">
        <v>33</v>
      </c>
      <c r="Z116" t="s">
        <v>34</v>
      </c>
      <c r="AA116">
        <v>1</v>
      </c>
    </row>
    <row r="117" spans="1:27" x14ac:dyDescent="0.35">
      <c r="A117" s="13">
        <f t="shared" si="1"/>
        <v>45930</v>
      </c>
      <c r="B117">
        <v>1</v>
      </c>
      <c r="D117" s="14" t="s">
        <v>31</v>
      </c>
      <c r="E117" s="15" t="s">
        <v>32</v>
      </c>
      <c r="F117" s="16" t="s">
        <v>32</v>
      </c>
      <c r="G117" s="17"/>
      <c r="H117" s="31" t="s">
        <v>64</v>
      </c>
      <c r="I117" s="31" t="s">
        <v>64</v>
      </c>
      <c r="K117" s="20">
        <f>AGI!K117</f>
        <v>115</v>
      </c>
      <c r="L117" s="20">
        <f>AGI!L117</f>
        <v>0</v>
      </c>
      <c r="M117" s="21">
        <f>AGI!M117</f>
        <v>49429</v>
      </c>
      <c r="N117" s="21">
        <f>AGI!N117</f>
        <v>49429</v>
      </c>
      <c r="O117" s="21">
        <f>AGI!O117</f>
        <v>49429</v>
      </c>
      <c r="P117" s="24">
        <v>0</v>
      </c>
      <c r="V117">
        <v>1</v>
      </c>
      <c r="W117" t="s">
        <v>33</v>
      </c>
      <c r="Y117" t="s">
        <v>33</v>
      </c>
      <c r="Z117" t="s">
        <v>34</v>
      </c>
      <c r="AA117">
        <v>1</v>
      </c>
    </row>
    <row r="118" spans="1:27" x14ac:dyDescent="0.35">
      <c r="A118" s="13">
        <f t="shared" si="1"/>
        <v>45930</v>
      </c>
      <c r="B118">
        <v>1</v>
      </c>
      <c r="D118" s="14" t="s">
        <v>31</v>
      </c>
      <c r="E118" s="15" t="s">
        <v>32</v>
      </c>
      <c r="F118" s="16" t="s">
        <v>32</v>
      </c>
      <c r="G118" s="17"/>
      <c r="H118" s="31" t="s">
        <v>64</v>
      </c>
      <c r="I118" s="31" t="s">
        <v>64</v>
      </c>
      <c r="K118" s="20">
        <f>AGI!K118</f>
        <v>116</v>
      </c>
      <c r="L118" s="20">
        <f>AGI!L118</f>
        <v>0</v>
      </c>
      <c r="M118" s="21">
        <f>AGI!M118</f>
        <v>49460</v>
      </c>
      <c r="N118" s="21">
        <f>AGI!N118</f>
        <v>49460</v>
      </c>
      <c r="O118" s="21">
        <f>AGI!O118</f>
        <v>49460</v>
      </c>
      <c r="P118" s="24">
        <v>0</v>
      </c>
      <c r="V118">
        <v>1</v>
      </c>
      <c r="W118" t="s">
        <v>33</v>
      </c>
      <c r="Y118" t="s">
        <v>33</v>
      </c>
      <c r="Z118" t="s">
        <v>34</v>
      </c>
      <c r="AA118">
        <v>1</v>
      </c>
    </row>
    <row r="119" spans="1:27" x14ac:dyDescent="0.35">
      <c r="A119" s="13">
        <f t="shared" si="1"/>
        <v>45930</v>
      </c>
      <c r="B119">
        <v>1</v>
      </c>
      <c r="D119" s="14" t="s">
        <v>31</v>
      </c>
      <c r="E119" s="15" t="s">
        <v>32</v>
      </c>
      <c r="F119" s="16" t="s">
        <v>32</v>
      </c>
      <c r="G119" s="17"/>
      <c r="H119" s="31" t="s">
        <v>64</v>
      </c>
      <c r="I119" s="31" t="s">
        <v>64</v>
      </c>
      <c r="K119" s="20">
        <f>AGI!K119</f>
        <v>117</v>
      </c>
      <c r="L119" s="20">
        <f>AGI!L119</f>
        <v>0</v>
      </c>
      <c r="M119" s="21">
        <f>AGI!M119</f>
        <v>49490</v>
      </c>
      <c r="N119" s="21">
        <f>AGI!N119</f>
        <v>49490</v>
      </c>
      <c r="O119" s="21">
        <f>AGI!O119</f>
        <v>49490</v>
      </c>
      <c r="P119" s="24">
        <v>0</v>
      </c>
      <c r="V119">
        <v>1</v>
      </c>
      <c r="W119" t="s">
        <v>33</v>
      </c>
      <c r="Y119" t="s">
        <v>33</v>
      </c>
      <c r="Z119" t="s">
        <v>34</v>
      </c>
      <c r="AA119">
        <v>1</v>
      </c>
    </row>
    <row r="120" spans="1:27" x14ac:dyDescent="0.35">
      <c r="A120" s="13">
        <f t="shared" si="1"/>
        <v>45930</v>
      </c>
      <c r="B120">
        <v>1</v>
      </c>
      <c r="D120" s="14" t="s">
        <v>31</v>
      </c>
      <c r="E120" s="15" t="s">
        <v>32</v>
      </c>
      <c r="F120" s="16" t="s">
        <v>32</v>
      </c>
      <c r="G120" s="17"/>
      <c r="H120" s="31" t="s">
        <v>64</v>
      </c>
      <c r="I120" s="31" t="s">
        <v>64</v>
      </c>
      <c r="K120" s="20">
        <f>AGI!K120</f>
        <v>118</v>
      </c>
      <c r="L120" s="20">
        <f>AGI!L120</f>
        <v>0</v>
      </c>
      <c r="M120" s="21">
        <f>AGI!M120</f>
        <v>49521</v>
      </c>
      <c r="N120" s="21">
        <f>AGI!N120</f>
        <v>49521</v>
      </c>
      <c r="O120" s="21">
        <f>AGI!O120</f>
        <v>49521</v>
      </c>
      <c r="P120" s="24">
        <v>0</v>
      </c>
      <c r="V120">
        <v>1</v>
      </c>
      <c r="W120" t="s">
        <v>33</v>
      </c>
      <c r="Y120" t="s">
        <v>33</v>
      </c>
      <c r="Z120" t="s">
        <v>34</v>
      </c>
      <c r="AA120">
        <v>1</v>
      </c>
    </row>
    <row r="121" spans="1:27" x14ac:dyDescent="0.35">
      <c r="A121" s="13">
        <f t="shared" si="1"/>
        <v>45930</v>
      </c>
      <c r="B121">
        <v>1</v>
      </c>
      <c r="D121" s="14" t="s">
        <v>31</v>
      </c>
      <c r="E121" s="15" t="s">
        <v>32</v>
      </c>
      <c r="F121" s="16" t="s">
        <v>32</v>
      </c>
      <c r="G121" s="17"/>
      <c r="H121" s="31" t="s">
        <v>64</v>
      </c>
      <c r="I121" s="31" t="s">
        <v>64</v>
      </c>
      <c r="K121" s="20">
        <f>AGI!K121</f>
        <v>119</v>
      </c>
      <c r="L121" s="20">
        <f>AGI!L121</f>
        <v>0</v>
      </c>
      <c r="M121" s="21">
        <f>AGI!M121</f>
        <v>49552</v>
      </c>
      <c r="N121" s="21">
        <f>AGI!N121</f>
        <v>49552</v>
      </c>
      <c r="O121" s="21">
        <f>AGI!O121</f>
        <v>49552</v>
      </c>
      <c r="P121" s="24">
        <v>0</v>
      </c>
      <c r="V121">
        <v>1</v>
      </c>
      <c r="W121" t="s">
        <v>33</v>
      </c>
      <c r="Y121" t="s">
        <v>33</v>
      </c>
      <c r="Z121" t="s">
        <v>34</v>
      </c>
      <c r="AA121">
        <v>1</v>
      </c>
    </row>
    <row r="122" spans="1:27" x14ac:dyDescent="0.35">
      <c r="A122" s="13">
        <f t="shared" si="1"/>
        <v>45930</v>
      </c>
      <c r="B122">
        <v>1</v>
      </c>
      <c r="D122" s="14" t="s">
        <v>31</v>
      </c>
      <c r="E122" s="15" t="s">
        <v>32</v>
      </c>
      <c r="F122" s="16" t="s">
        <v>32</v>
      </c>
      <c r="G122" s="17"/>
      <c r="H122" s="31" t="s">
        <v>64</v>
      </c>
      <c r="I122" s="31" t="s">
        <v>64</v>
      </c>
      <c r="K122" s="20">
        <f>AGI!K122</f>
        <v>120</v>
      </c>
      <c r="L122" s="20">
        <f>AGI!L122</f>
        <v>0</v>
      </c>
      <c r="M122" s="21">
        <f>AGI!M122</f>
        <v>49582</v>
      </c>
      <c r="N122" s="21">
        <f>AGI!N122</f>
        <v>49582</v>
      </c>
      <c r="O122" s="21">
        <f>AGI!O122</f>
        <v>49582</v>
      </c>
      <c r="P122" s="24">
        <v>0</v>
      </c>
      <c r="V122">
        <v>1</v>
      </c>
      <c r="W122" t="s">
        <v>33</v>
      </c>
      <c r="Y122" t="s">
        <v>33</v>
      </c>
      <c r="Z122" t="s">
        <v>34</v>
      </c>
      <c r="AA122">
        <v>1</v>
      </c>
    </row>
    <row r="123" spans="1:27" x14ac:dyDescent="0.35">
      <c r="A123" s="13">
        <f t="shared" si="1"/>
        <v>45930</v>
      </c>
      <c r="B123">
        <v>1</v>
      </c>
      <c r="D123" s="14" t="s">
        <v>31</v>
      </c>
      <c r="E123" s="15" t="s">
        <v>32</v>
      </c>
      <c r="F123" s="16" t="s">
        <v>32</v>
      </c>
      <c r="G123" s="17"/>
      <c r="H123" s="31" t="s">
        <v>64</v>
      </c>
      <c r="I123" s="31" t="s">
        <v>64</v>
      </c>
      <c r="K123" s="20">
        <f>AGI!K123</f>
        <v>121</v>
      </c>
      <c r="L123" s="20">
        <f>AGI!L123</f>
        <v>0</v>
      </c>
      <c r="M123" s="21">
        <f>AGI!M123</f>
        <v>49613</v>
      </c>
      <c r="N123" s="21">
        <f>AGI!N123</f>
        <v>49613</v>
      </c>
      <c r="O123" s="21">
        <f>AGI!O123</f>
        <v>49613</v>
      </c>
      <c r="P123" s="24">
        <v>0</v>
      </c>
      <c r="V123">
        <v>1</v>
      </c>
      <c r="W123" t="s">
        <v>33</v>
      </c>
      <c r="Y123" t="s">
        <v>33</v>
      </c>
      <c r="Z123" t="s">
        <v>34</v>
      </c>
      <c r="AA123">
        <v>1</v>
      </c>
    </row>
    <row r="124" spans="1:27" x14ac:dyDescent="0.35">
      <c r="A124" s="13">
        <f t="shared" si="1"/>
        <v>45930</v>
      </c>
      <c r="B124">
        <v>1</v>
      </c>
      <c r="D124" s="14" t="s">
        <v>31</v>
      </c>
      <c r="E124" s="15" t="s">
        <v>32</v>
      </c>
      <c r="F124" s="16" t="s">
        <v>32</v>
      </c>
      <c r="G124" s="17"/>
      <c r="H124" s="31" t="s">
        <v>64</v>
      </c>
      <c r="I124" s="31" t="s">
        <v>64</v>
      </c>
      <c r="K124" s="20">
        <f>AGI!K124</f>
        <v>122</v>
      </c>
      <c r="L124" s="20">
        <f>AGI!L124</f>
        <v>0</v>
      </c>
      <c r="M124" s="21">
        <f>AGI!M124</f>
        <v>49643</v>
      </c>
      <c r="N124" s="21">
        <f>AGI!N124</f>
        <v>49643</v>
      </c>
      <c r="O124" s="21">
        <f>AGI!O124</f>
        <v>49643</v>
      </c>
      <c r="P124" s="24">
        <v>0</v>
      </c>
      <c r="V124">
        <v>1</v>
      </c>
      <c r="W124" t="s">
        <v>33</v>
      </c>
      <c r="Y124" t="s">
        <v>33</v>
      </c>
      <c r="Z124" t="s">
        <v>34</v>
      </c>
      <c r="AA124">
        <v>1</v>
      </c>
    </row>
    <row r="125" spans="1:27" x14ac:dyDescent="0.35">
      <c r="A125" s="13">
        <f t="shared" si="1"/>
        <v>45930</v>
      </c>
      <c r="B125">
        <v>1</v>
      </c>
      <c r="D125" s="14" t="s">
        <v>31</v>
      </c>
      <c r="E125" s="15" t="s">
        <v>32</v>
      </c>
      <c r="F125" s="16" t="s">
        <v>32</v>
      </c>
      <c r="G125" s="17"/>
      <c r="H125" s="31" t="s">
        <v>64</v>
      </c>
      <c r="I125" s="31" t="s">
        <v>64</v>
      </c>
      <c r="K125" s="20">
        <f>AGI!K125</f>
        <v>123</v>
      </c>
      <c r="L125" s="20">
        <f>AGI!L125</f>
        <v>0</v>
      </c>
      <c r="M125" s="21">
        <f>AGI!M125</f>
        <v>49674</v>
      </c>
      <c r="N125" s="21">
        <f>AGI!N125</f>
        <v>49674</v>
      </c>
      <c r="O125" s="21">
        <f>AGI!O125</f>
        <v>49674</v>
      </c>
      <c r="P125" s="24">
        <v>0</v>
      </c>
      <c r="V125">
        <v>1</v>
      </c>
      <c r="W125" t="s">
        <v>33</v>
      </c>
      <c r="Y125" t="s">
        <v>33</v>
      </c>
      <c r="Z125" t="s">
        <v>34</v>
      </c>
      <c r="AA125">
        <v>1</v>
      </c>
    </row>
    <row r="126" spans="1:27" x14ac:dyDescent="0.35">
      <c r="A126" s="13">
        <f t="shared" si="1"/>
        <v>45930</v>
      </c>
      <c r="B126">
        <v>1</v>
      </c>
      <c r="D126" s="14" t="s">
        <v>31</v>
      </c>
      <c r="E126" s="15" t="s">
        <v>32</v>
      </c>
      <c r="F126" s="16" t="s">
        <v>32</v>
      </c>
      <c r="G126" s="17"/>
      <c r="H126" s="31" t="s">
        <v>64</v>
      </c>
      <c r="I126" s="31" t="s">
        <v>64</v>
      </c>
      <c r="K126" s="20">
        <f>AGI!K126</f>
        <v>124</v>
      </c>
      <c r="L126" s="20">
        <f>AGI!L126</f>
        <v>0</v>
      </c>
      <c r="M126" s="21">
        <f>AGI!M126</f>
        <v>49705</v>
      </c>
      <c r="N126" s="21">
        <f>AGI!N126</f>
        <v>49705</v>
      </c>
      <c r="O126" s="21">
        <f>AGI!O126</f>
        <v>49705</v>
      </c>
      <c r="P126" s="24">
        <v>0</v>
      </c>
      <c r="V126">
        <v>1</v>
      </c>
      <c r="W126" t="s">
        <v>33</v>
      </c>
      <c r="Y126" t="s">
        <v>33</v>
      </c>
      <c r="Z126" t="s">
        <v>34</v>
      </c>
      <c r="AA126">
        <v>1</v>
      </c>
    </row>
    <row r="127" spans="1:27" x14ac:dyDescent="0.35">
      <c r="A127" s="13">
        <f t="shared" si="1"/>
        <v>45930</v>
      </c>
      <c r="B127">
        <v>1</v>
      </c>
      <c r="D127" s="14" t="s">
        <v>31</v>
      </c>
      <c r="E127" s="15" t="s">
        <v>32</v>
      </c>
      <c r="F127" s="16" t="s">
        <v>32</v>
      </c>
      <c r="G127" s="17"/>
      <c r="H127" s="31" t="s">
        <v>64</v>
      </c>
      <c r="I127" s="31" t="s">
        <v>64</v>
      </c>
      <c r="K127" s="20">
        <f>AGI!K127</f>
        <v>125</v>
      </c>
      <c r="L127" s="20">
        <f>AGI!L127</f>
        <v>0</v>
      </c>
      <c r="M127" s="21">
        <f>AGI!M127</f>
        <v>49734</v>
      </c>
      <c r="N127" s="21">
        <f>AGI!N127</f>
        <v>49734</v>
      </c>
      <c r="O127" s="21">
        <f>AGI!O127</f>
        <v>49734</v>
      </c>
      <c r="P127" s="24">
        <v>0</v>
      </c>
      <c r="V127">
        <v>1</v>
      </c>
      <c r="W127" t="s">
        <v>33</v>
      </c>
      <c r="Y127" t="s">
        <v>33</v>
      </c>
      <c r="Z127" t="s">
        <v>34</v>
      </c>
      <c r="AA127">
        <v>1</v>
      </c>
    </row>
    <row r="128" spans="1:27" x14ac:dyDescent="0.35">
      <c r="A128" s="13">
        <f t="shared" si="1"/>
        <v>45930</v>
      </c>
      <c r="B128">
        <v>1</v>
      </c>
      <c r="D128" s="14" t="s">
        <v>31</v>
      </c>
      <c r="E128" s="15" t="s">
        <v>32</v>
      </c>
      <c r="F128" s="16" t="s">
        <v>32</v>
      </c>
      <c r="G128" s="17"/>
      <c r="H128" s="31" t="s">
        <v>64</v>
      </c>
      <c r="I128" s="31" t="s">
        <v>64</v>
      </c>
      <c r="K128" s="20">
        <f>AGI!K128</f>
        <v>126</v>
      </c>
      <c r="L128" s="20">
        <f>AGI!L128</f>
        <v>0</v>
      </c>
      <c r="M128" s="21">
        <f>AGI!M128</f>
        <v>49765</v>
      </c>
      <c r="N128" s="21">
        <f>AGI!N128</f>
        <v>49765</v>
      </c>
      <c r="O128" s="21">
        <f>AGI!O128</f>
        <v>49765</v>
      </c>
      <c r="P128" s="24">
        <v>0</v>
      </c>
      <c r="V128">
        <v>1</v>
      </c>
      <c r="W128" t="s">
        <v>33</v>
      </c>
      <c r="Y128" t="s">
        <v>33</v>
      </c>
      <c r="Z128" t="s">
        <v>34</v>
      </c>
      <c r="AA128">
        <v>1</v>
      </c>
    </row>
    <row r="129" spans="1:27" x14ac:dyDescent="0.35">
      <c r="A129" s="13">
        <f t="shared" si="1"/>
        <v>45930</v>
      </c>
      <c r="B129">
        <v>1</v>
      </c>
      <c r="D129" s="14" t="s">
        <v>31</v>
      </c>
      <c r="E129" s="15" t="s">
        <v>32</v>
      </c>
      <c r="F129" s="16" t="s">
        <v>32</v>
      </c>
      <c r="G129" s="17"/>
      <c r="H129" s="31" t="s">
        <v>64</v>
      </c>
      <c r="I129" s="31" t="s">
        <v>64</v>
      </c>
      <c r="K129" s="20">
        <f>AGI!K129</f>
        <v>127</v>
      </c>
      <c r="L129" s="20">
        <f>AGI!L129</f>
        <v>0</v>
      </c>
      <c r="M129" s="21">
        <f>AGI!M129</f>
        <v>49795</v>
      </c>
      <c r="N129" s="21">
        <f>AGI!N129</f>
        <v>49795</v>
      </c>
      <c r="O129" s="21">
        <f>AGI!O129</f>
        <v>49795</v>
      </c>
      <c r="P129" s="24">
        <v>0</v>
      </c>
      <c r="V129">
        <v>1</v>
      </c>
      <c r="W129" t="s">
        <v>33</v>
      </c>
      <c r="Y129" t="s">
        <v>33</v>
      </c>
      <c r="Z129" t="s">
        <v>34</v>
      </c>
      <c r="AA129">
        <v>1</v>
      </c>
    </row>
    <row r="130" spans="1:27" x14ac:dyDescent="0.35">
      <c r="A130" s="13">
        <f t="shared" si="1"/>
        <v>45930</v>
      </c>
      <c r="B130">
        <v>1</v>
      </c>
      <c r="D130" s="14" t="s">
        <v>31</v>
      </c>
      <c r="E130" s="15" t="s">
        <v>32</v>
      </c>
      <c r="F130" s="16" t="s">
        <v>32</v>
      </c>
      <c r="G130" s="17"/>
      <c r="H130" s="31" t="s">
        <v>64</v>
      </c>
      <c r="I130" s="31" t="s">
        <v>64</v>
      </c>
      <c r="K130" s="20">
        <f>AGI!K130</f>
        <v>128</v>
      </c>
      <c r="L130" s="20">
        <f>AGI!L130</f>
        <v>0</v>
      </c>
      <c r="M130" s="21">
        <f>AGI!M130</f>
        <v>49826</v>
      </c>
      <c r="N130" s="21">
        <f>AGI!N130</f>
        <v>49826</v>
      </c>
      <c r="O130" s="21">
        <f>AGI!O130</f>
        <v>49826</v>
      </c>
      <c r="P130" s="24">
        <v>0</v>
      </c>
      <c r="V130">
        <v>1</v>
      </c>
      <c r="W130" t="s">
        <v>33</v>
      </c>
      <c r="Y130" t="s">
        <v>33</v>
      </c>
      <c r="Z130" t="s">
        <v>34</v>
      </c>
      <c r="AA130">
        <v>1</v>
      </c>
    </row>
    <row r="131" spans="1:27" x14ac:dyDescent="0.35">
      <c r="A131" s="13">
        <f t="shared" si="1"/>
        <v>45930</v>
      </c>
      <c r="B131">
        <v>1</v>
      </c>
      <c r="D131" s="14" t="s">
        <v>31</v>
      </c>
      <c r="E131" s="15" t="s">
        <v>32</v>
      </c>
      <c r="F131" s="16" t="s">
        <v>32</v>
      </c>
      <c r="G131" s="17"/>
      <c r="H131" s="31" t="s">
        <v>64</v>
      </c>
      <c r="I131" s="31" t="s">
        <v>64</v>
      </c>
      <c r="K131" s="20">
        <f>AGI!K131</f>
        <v>129</v>
      </c>
      <c r="L131" s="20">
        <f>AGI!L131</f>
        <v>0</v>
      </c>
      <c r="M131" s="21">
        <f>AGI!M131</f>
        <v>49856</v>
      </c>
      <c r="N131" s="21">
        <f>AGI!N131</f>
        <v>49856</v>
      </c>
      <c r="O131" s="21">
        <f>AGI!O131</f>
        <v>49856</v>
      </c>
      <c r="P131" s="24">
        <v>0</v>
      </c>
      <c r="V131">
        <v>1</v>
      </c>
      <c r="W131" t="s">
        <v>33</v>
      </c>
      <c r="Y131" t="s">
        <v>33</v>
      </c>
      <c r="Z131" t="s">
        <v>34</v>
      </c>
      <c r="AA131">
        <v>1</v>
      </c>
    </row>
    <row r="132" spans="1:27" x14ac:dyDescent="0.35">
      <c r="A132" s="13">
        <f t="shared" ref="A132:A195" si="2">A131</f>
        <v>45930</v>
      </c>
      <c r="B132">
        <v>1</v>
      </c>
      <c r="D132" s="14" t="s">
        <v>31</v>
      </c>
      <c r="E132" s="15" t="s">
        <v>32</v>
      </c>
      <c r="F132" s="16" t="s">
        <v>32</v>
      </c>
      <c r="G132" s="17"/>
      <c r="H132" s="31" t="s">
        <v>64</v>
      </c>
      <c r="I132" s="31" t="s">
        <v>64</v>
      </c>
      <c r="K132" s="20">
        <f>AGI!K132</f>
        <v>130</v>
      </c>
      <c r="L132" s="20">
        <f>AGI!L132</f>
        <v>0</v>
      </c>
      <c r="M132" s="21">
        <f>AGI!M132</f>
        <v>49887</v>
      </c>
      <c r="N132" s="21">
        <f>AGI!N132</f>
        <v>49887</v>
      </c>
      <c r="O132" s="21">
        <f>AGI!O132</f>
        <v>49887</v>
      </c>
      <c r="P132" s="24">
        <v>0</v>
      </c>
      <c r="V132">
        <v>1</v>
      </c>
      <c r="W132" t="s">
        <v>33</v>
      </c>
      <c r="Y132" t="s">
        <v>33</v>
      </c>
      <c r="Z132" t="s">
        <v>34</v>
      </c>
      <c r="AA132">
        <v>1</v>
      </c>
    </row>
    <row r="133" spans="1:27" x14ac:dyDescent="0.35">
      <c r="A133" s="13">
        <f t="shared" si="2"/>
        <v>45930</v>
      </c>
      <c r="B133">
        <v>1</v>
      </c>
      <c r="D133" s="14" t="s">
        <v>31</v>
      </c>
      <c r="E133" s="15" t="s">
        <v>32</v>
      </c>
      <c r="F133" s="16" t="s">
        <v>32</v>
      </c>
      <c r="G133" s="17"/>
      <c r="H133" s="31" t="s">
        <v>64</v>
      </c>
      <c r="I133" s="31" t="s">
        <v>64</v>
      </c>
      <c r="K133" s="20">
        <f>AGI!K133</f>
        <v>131</v>
      </c>
      <c r="L133" s="20">
        <f>AGI!L133</f>
        <v>0</v>
      </c>
      <c r="M133" s="21">
        <f>AGI!M133</f>
        <v>49918</v>
      </c>
      <c r="N133" s="21">
        <f>AGI!N133</f>
        <v>49918</v>
      </c>
      <c r="O133" s="21">
        <f>AGI!O133</f>
        <v>49918</v>
      </c>
      <c r="P133" s="24">
        <v>0</v>
      </c>
      <c r="V133">
        <v>1</v>
      </c>
      <c r="W133" t="s">
        <v>33</v>
      </c>
      <c r="Y133" t="s">
        <v>33</v>
      </c>
      <c r="Z133" t="s">
        <v>34</v>
      </c>
      <c r="AA133">
        <v>1</v>
      </c>
    </row>
    <row r="134" spans="1:27" x14ac:dyDescent="0.35">
      <c r="A134" s="13">
        <f t="shared" si="2"/>
        <v>45930</v>
      </c>
      <c r="B134">
        <v>1</v>
      </c>
      <c r="D134" s="14" t="s">
        <v>31</v>
      </c>
      <c r="E134" s="15" t="s">
        <v>32</v>
      </c>
      <c r="F134" s="16" t="s">
        <v>32</v>
      </c>
      <c r="G134" s="17"/>
      <c r="H134" s="31" t="s">
        <v>64</v>
      </c>
      <c r="I134" s="31" t="s">
        <v>64</v>
      </c>
      <c r="K134" s="20">
        <f>AGI!K134</f>
        <v>132</v>
      </c>
      <c r="L134" s="20">
        <f>AGI!L134</f>
        <v>0</v>
      </c>
      <c r="M134" s="21">
        <f>AGI!M134</f>
        <v>49948</v>
      </c>
      <c r="N134" s="21">
        <f>AGI!N134</f>
        <v>49948</v>
      </c>
      <c r="O134" s="21">
        <f>AGI!O134</f>
        <v>49948</v>
      </c>
      <c r="P134" s="24">
        <v>0</v>
      </c>
      <c r="V134">
        <v>1</v>
      </c>
      <c r="W134" t="s">
        <v>33</v>
      </c>
      <c r="Y134" t="s">
        <v>33</v>
      </c>
      <c r="Z134" t="s">
        <v>34</v>
      </c>
      <c r="AA134">
        <v>1</v>
      </c>
    </row>
    <row r="135" spans="1:27" x14ac:dyDescent="0.35">
      <c r="A135" s="13">
        <f t="shared" si="2"/>
        <v>45930</v>
      </c>
      <c r="B135">
        <v>1</v>
      </c>
      <c r="D135" s="14" t="s">
        <v>31</v>
      </c>
      <c r="E135" s="15" t="s">
        <v>32</v>
      </c>
      <c r="F135" s="16" t="s">
        <v>32</v>
      </c>
      <c r="G135" s="17"/>
      <c r="H135" s="31" t="s">
        <v>64</v>
      </c>
      <c r="I135" s="31" t="s">
        <v>64</v>
      </c>
      <c r="K135" s="20">
        <f>AGI!K135</f>
        <v>133</v>
      </c>
      <c r="L135" s="20">
        <f>AGI!L135</f>
        <v>0</v>
      </c>
      <c r="M135" s="21">
        <f>AGI!M135</f>
        <v>49979</v>
      </c>
      <c r="N135" s="21">
        <f>AGI!N135</f>
        <v>49979</v>
      </c>
      <c r="O135" s="21">
        <f>AGI!O135</f>
        <v>49979</v>
      </c>
      <c r="P135" s="24">
        <v>0</v>
      </c>
      <c r="V135">
        <v>1</v>
      </c>
      <c r="W135" t="s">
        <v>33</v>
      </c>
      <c r="Y135" t="s">
        <v>33</v>
      </c>
      <c r="Z135" t="s">
        <v>34</v>
      </c>
      <c r="AA135">
        <v>1</v>
      </c>
    </row>
    <row r="136" spans="1:27" x14ac:dyDescent="0.35">
      <c r="A136" s="13">
        <f t="shared" si="2"/>
        <v>45930</v>
      </c>
      <c r="B136">
        <v>1</v>
      </c>
      <c r="D136" s="14" t="s">
        <v>31</v>
      </c>
      <c r="E136" s="15" t="s">
        <v>32</v>
      </c>
      <c r="F136" s="16" t="s">
        <v>32</v>
      </c>
      <c r="G136" s="17"/>
      <c r="H136" s="31" t="s">
        <v>64</v>
      </c>
      <c r="I136" s="31" t="s">
        <v>64</v>
      </c>
      <c r="K136" s="20">
        <f>AGI!K136</f>
        <v>134</v>
      </c>
      <c r="L136" s="20">
        <f>AGI!L136</f>
        <v>0</v>
      </c>
      <c r="M136" s="21">
        <f>AGI!M136</f>
        <v>50009</v>
      </c>
      <c r="N136" s="21">
        <f>AGI!N136</f>
        <v>50009</v>
      </c>
      <c r="O136" s="21">
        <f>AGI!O136</f>
        <v>50009</v>
      </c>
      <c r="P136" s="24">
        <v>0</v>
      </c>
      <c r="V136">
        <v>1</v>
      </c>
      <c r="W136" t="s">
        <v>33</v>
      </c>
      <c r="Y136" t="s">
        <v>33</v>
      </c>
      <c r="Z136" t="s">
        <v>34</v>
      </c>
      <c r="AA136">
        <v>1</v>
      </c>
    </row>
    <row r="137" spans="1:27" x14ac:dyDescent="0.35">
      <c r="A137" s="13">
        <f t="shared" si="2"/>
        <v>45930</v>
      </c>
      <c r="B137">
        <v>1</v>
      </c>
      <c r="D137" s="14" t="s">
        <v>31</v>
      </c>
      <c r="E137" s="15" t="s">
        <v>32</v>
      </c>
      <c r="F137" s="16" t="s">
        <v>32</v>
      </c>
      <c r="G137" s="17"/>
      <c r="H137" s="31" t="s">
        <v>64</v>
      </c>
      <c r="I137" s="31" t="s">
        <v>64</v>
      </c>
      <c r="K137" s="20">
        <f>AGI!K137</f>
        <v>135</v>
      </c>
      <c r="L137" s="20">
        <f>AGI!L137</f>
        <v>0</v>
      </c>
      <c r="M137" s="21">
        <f>AGI!M137</f>
        <v>50040</v>
      </c>
      <c r="N137" s="21">
        <f>AGI!N137</f>
        <v>50040</v>
      </c>
      <c r="O137" s="21">
        <f>AGI!O137</f>
        <v>50040</v>
      </c>
      <c r="P137" s="24">
        <v>0</v>
      </c>
      <c r="V137">
        <v>1</v>
      </c>
      <c r="W137" t="s">
        <v>33</v>
      </c>
      <c r="Y137" t="s">
        <v>33</v>
      </c>
      <c r="Z137" t="s">
        <v>34</v>
      </c>
      <c r="AA137">
        <v>1</v>
      </c>
    </row>
    <row r="138" spans="1:27" x14ac:dyDescent="0.35">
      <c r="A138" s="13">
        <f t="shared" si="2"/>
        <v>45930</v>
      </c>
      <c r="B138">
        <v>1</v>
      </c>
      <c r="D138" s="14" t="s">
        <v>31</v>
      </c>
      <c r="E138" s="15" t="s">
        <v>32</v>
      </c>
      <c r="F138" s="16" t="s">
        <v>32</v>
      </c>
      <c r="G138" s="17"/>
      <c r="H138" s="31" t="s">
        <v>64</v>
      </c>
      <c r="I138" s="31" t="s">
        <v>64</v>
      </c>
      <c r="K138" s="20">
        <f>AGI!K138</f>
        <v>136</v>
      </c>
      <c r="L138" s="20">
        <f>AGI!L138</f>
        <v>0</v>
      </c>
      <c r="M138" s="21">
        <f>AGI!M138</f>
        <v>50071</v>
      </c>
      <c r="N138" s="21">
        <f>AGI!N138</f>
        <v>50071</v>
      </c>
      <c r="O138" s="21">
        <f>AGI!O138</f>
        <v>50071</v>
      </c>
      <c r="P138" s="24">
        <v>0</v>
      </c>
      <c r="V138">
        <v>1</v>
      </c>
      <c r="W138" t="s">
        <v>33</v>
      </c>
      <c r="Y138" t="s">
        <v>33</v>
      </c>
      <c r="Z138" t="s">
        <v>34</v>
      </c>
      <c r="AA138">
        <v>1</v>
      </c>
    </row>
    <row r="139" spans="1:27" x14ac:dyDescent="0.35">
      <c r="A139" s="13">
        <f t="shared" si="2"/>
        <v>45930</v>
      </c>
      <c r="B139">
        <v>1</v>
      </c>
      <c r="D139" s="14" t="s">
        <v>31</v>
      </c>
      <c r="E139" s="15" t="s">
        <v>32</v>
      </c>
      <c r="F139" s="16" t="s">
        <v>32</v>
      </c>
      <c r="G139" s="17"/>
      <c r="H139" s="31" t="s">
        <v>64</v>
      </c>
      <c r="I139" s="31" t="s">
        <v>64</v>
      </c>
      <c r="K139" s="20">
        <f>AGI!K139</f>
        <v>137</v>
      </c>
      <c r="L139" s="20">
        <f>AGI!L139</f>
        <v>0</v>
      </c>
      <c r="M139" s="21">
        <f>AGI!M139</f>
        <v>50099</v>
      </c>
      <c r="N139" s="21">
        <f>AGI!N139</f>
        <v>50099</v>
      </c>
      <c r="O139" s="21">
        <f>AGI!O139</f>
        <v>50099</v>
      </c>
      <c r="P139" s="24">
        <v>0</v>
      </c>
      <c r="V139">
        <v>1</v>
      </c>
      <c r="W139" t="s">
        <v>33</v>
      </c>
      <c r="Y139" t="s">
        <v>33</v>
      </c>
      <c r="Z139" t="s">
        <v>34</v>
      </c>
      <c r="AA139">
        <v>1</v>
      </c>
    </row>
    <row r="140" spans="1:27" x14ac:dyDescent="0.35">
      <c r="A140" s="13">
        <f t="shared" si="2"/>
        <v>45930</v>
      </c>
      <c r="B140">
        <v>1</v>
      </c>
      <c r="D140" s="14" t="s">
        <v>31</v>
      </c>
      <c r="E140" s="15" t="s">
        <v>32</v>
      </c>
      <c r="F140" s="16" t="s">
        <v>32</v>
      </c>
      <c r="G140" s="17"/>
      <c r="H140" s="31" t="s">
        <v>64</v>
      </c>
      <c r="I140" s="31" t="s">
        <v>64</v>
      </c>
      <c r="K140" s="20">
        <f>AGI!K140</f>
        <v>138</v>
      </c>
      <c r="L140" s="20">
        <f>AGI!L140</f>
        <v>0</v>
      </c>
      <c r="M140" s="21">
        <f>AGI!M140</f>
        <v>50130</v>
      </c>
      <c r="N140" s="21">
        <f>AGI!N140</f>
        <v>50130</v>
      </c>
      <c r="O140" s="21">
        <f>AGI!O140</f>
        <v>50130</v>
      </c>
      <c r="P140" s="24">
        <v>0</v>
      </c>
      <c r="V140">
        <v>1</v>
      </c>
      <c r="W140" t="s">
        <v>33</v>
      </c>
      <c r="Y140" t="s">
        <v>33</v>
      </c>
      <c r="Z140" t="s">
        <v>34</v>
      </c>
      <c r="AA140">
        <v>1</v>
      </c>
    </row>
    <row r="141" spans="1:27" x14ac:dyDescent="0.35">
      <c r="A141" s="13">
        <f t="shared" si="2"/>
        <v>45930</v>
      </c>
      <c r="B141">
        <v>1</v>
      </c>
      <c r="D141" s="14" t="s">
        <v>31</v>
      </c>
      <c r="E141" s="15" t="s">
        <v>32</v>
      </c>
      <c r="F141" s="16" t="s">
        <v>32</v>
      </c>
      <c r="G141" s="17"/>
      <c r="H141" s="31" t="s">
        <v>64</v>
      </c>
      <c r="I141" s="31" t="s">
        <v>64</v>
      </c>
      <c r="K141" s="20">
        <f>AGI!K141</f>
        <v>139</v>
      </c>
      <c r="L141" s="20">
        <f>AGI!L141</f>
        <v>0</v>
      </c>
      <c r="M141" s="21">
        <f>AGI!M141</f>
        <v>50160</v>
      </c>
      <c r="N141" s="21">
        <f>AGI!N141</f>
        <v>50160</v>
      </c>
      <c r="O141" s="21">
        <f>AGI!O141</f>
        <v>50160</v>
      </c>
      <c r="P141" s="24">
        <v>0</v>
      </c>
      <c r="V141">
        <v>1</v>
      </c>
      <c r="W141" t="s">
        <v>33</v>
      </c>
      <c r="Y141" t="s">
        <v>33</v>
      </c>
      <c r="Z141" t="s">
        <v>34</v>
      </c>
      <c r="AA141">
        <v>1</v>
      </c>
    </row>
    <row r="142" spans="1:27" x14ac:dyDescent="0.35">
      <c r="A142" s="13">
        <f t="shared" si="2"/>
        <v>45930</v>
      </c>
      <c r="B142">
        <v>1</v>
      </c>
      <c r="D142" s="14" t="s">
        <v>31</v>
      </c>
      <c r="E142" s="15" t="s">
        <v>32</v>
      </c>
      <c r="F142" s="16" t="s">
        <v>32</v>
      </c>
      <c r="G142" s="17"/>
      <c r="H142" s="31" t="s">
        <v>64</v>
      </c>
      <c r="I142" s="31" t="s">
        <v>64</v>
      </c>
      <c r="K142" s="20">
        <f>AGI!K142</f>
        <v>140</v>
      </c>
      <c r="L142" s="20">
        <f>AGI!L142</f>
        <v>0</v>
      </c>
      <c r="M142" s="21">
        <f>AGI!M142</f>
        <v>50191</v>
      </c>
      <c r="N142" s="21">
        <f>AGI!N142</f>
        <v>50191</v>
      </c>
      <c r="O142" s="21">
        <f>AGI!O142</f>
        <v>50191</v>
      </c>
      <c r="P142" s="24">
        <v>0</v>
      </c>
      <c r="V142">
        <v>1</v>
      </c>
      <c r="W142" t="s">
        <v>33</v>
      </c>
      <c r="Y142" t="s">
        <v>33</v>
      </c>
      <c r="Z142" t="s">
        <v>34</v>
      </c>
      <c r="AA142">
        <v>1</v>
      </c>
    </row>
    <row r="143" spans="1:27" x14ac:dyDescent="0.35">
      <c r="A143" s="13">
        <f t="shared" si="2"/>
        <v>45930</v>
      </c>
      <c r="B143">
        <v>1</v>
      </c>
      <c r="D143" s="14" t="s">
        <v>31</v>
      </c>
      <c r="E143" s="15" t="s">
        <v>32</v>
      </c>
      <c r="F143" s="16" t="s">
        <v>32</v>
      </c>
      <c r="G143" s="17"/>
      <c r="H143" s="31" t="s">
        <v>64</v>
      </c>
      <c r="I143" s="31" t="s">
        <v>64</v>
      </c>
      <c r="K143" s="20">
        <f>AGI!K143</f>
        <v>141</v>
      </c>
      <c r="L143" s="20">
        <f>AGI!L143</f>
        <v>0</v>
      </c>
      <c r="M143" s="21">
        <f>AGI!M143</f>
        <v>50221</v>
      </c>
      <c r="N143" s="21">
        <f>AGI!N143</f>
        <v>50221</v>
      </c>
      <c r="O143" s="21">
        <f>AGI!O143</f>
        <v>50221</v>
      </c>
      <c r="P143" s="24">
        <v>0</v>
      </c>
      <c r="V143">
        <v>1</v>
      </c>
      <c r="W143" t="s">
        <v>33</v>
      </c>
      <c r="Y143" t="s">
        <v>33</v>
      </c>
      <c r="Z143" t="s">
        <v>34</v>
      </c>
      <c r="AA143">
        <v>1</v>
      </c>
    </row>
    <row r="144" spans="1:27" x14ac:dyDescent="0.35">
      <c r="A144" s="13">
        <f t="shared" si="2"/>
        <v>45930</v>
      </c>
      <c r="B144">
        <v>1</v>
      </c>
      <c r="D144" s="14" t="s">
        <v>31</v>
      </c>
      <c r="E144" s="15" t="s">
        <v>32</v>
      </c>
      <c r="F144" s="16" t="s">
        <v>32</v>
      </c>
      <c r="G144" s="17"/>
      <c r="H144" s="31" t="s">
        <v>64</v>
      </c>
      <c r="I144" s="31" t="s">
        <v>64</v>
      </c>
      <c r="K144" s="20">
        <f>AGI!K144</f>
        <v>142</v>
      </c>
      <c r="L144" s="20">
        <f>AGI!L144</f>
        <v>0</v>
      </c>
      <c r="M144" s="21">
        <f>AGI!M144</f>
        <v>50252</v>
      </c>
      <c r="N144" s="21">
        <f>AGI!N144</f>
        <v>50252</v>
      </c>
      <c r="O144" s="21">
        <f>AGI!O144</f>
        <v>50252</v>
      </c>
      <c r="P144" s="24">
        <v>0</v>
      </c>
      <c r="V144">
        <v>1</v>
      </c>
      <c r="W144" t="s">
        <v>33</v>
      </c>
      <c r="Y144" t="s">
        <v>33</v>
      </c>
      <c r="Z144" t="s">
        <v>34</v>
      </c>
      <c r="AA144">
        <v>1</v>
      </c>
    </row>
    <row r="145" spans="1:27" x14ac:dyDescent="0.35">
      <c r="A145" s="13">
        <f t="shared" si="2"/>
        <v>45930</v>
      </c>
      <c r="B145">
        <v>1</v>
      </c>
      <c r="D145" s="14" t="s">
        <v>31</v>
      </c>
      <c r="E145" s="15" t="s">
        <v>32</v>
      </c>
      <c r="F145" s="16" t="s">
        <v>32</v>
      </c>
      <c r="G145" s="17"/>
      <c r="H145" s="31" t="s">
        <v>64</v>
      </c>
      <c r="I145" s="31" t="s">
        <v>64</v>
      </c>
      <c r="K145" s="20">
        <f>AGI!K145</f>
        <v>143</v>
      </c>
      <c r="L145" s="20">
        <f>AGI!L145</f>
        <v>0</v>
      </c>
      <c r="M145" s="21">
        <f>AGI!M145</f>
        <v>50283</v>
      </c>
      <c r="N145" s="21">
        <f>AGI!N145</f>
        <v>50283</v>
      </c>
      <c r="O145" s="21">
        <f>AGI!O145</f>
        <v>50283</v>
      </c>
      <c r="P145" s="24">
        <v>0</v>
      </c>
      <c r="V145">
        <v>1</v>
      </c>
      <c r="W145" t="s">
        <v>33</v>
      </c>
      <c r="Y145" t="s">
        <v>33</v>
      </c>
      <c r="Z145" t="s">
        <v>34</v>
      </c>
      <c r="AA145">
        <v>1</v>
      </c>
    </row>
    <row r="146" spans="1:27" x14ac:dyDescent="0.35">
      <c r="A146" s="13">
        <f t="shared" si="2"/>
        <v>45930</v>
      </c>
      <c r="B146">
        <v>1</v>
      </c>
      <c r="D146" s="14" t="s">
        <v>31</v>
      </c>
      <c r="E146" s="15" t="s">
        <v>32</v>
      </c>
      <c r="F146" s="16" t="s">
        <v>32</v>
      </c>
      <c r="G146" s="17"/>
      <c r="H146" s="31" t="s">
        <v>64</v>
      </c>
      <c r="I146" s="31" t="s">
        <v>64</v>
      </c>
      <c r="K146" s="20">
        <f>AGI!K146</f>
        <v>144</v>
      </c>
      <c r="L146" s="20">
        <f>AGI!L146</f>
        <v>0</v>
      </c>
      <c r="M146" s="21">
        <f>AGI!M146</f>
        <v>50313</v>
      </c>
      <c r="N146" s="21">
        <f>AGI!N146</f>
        <v>50313</v>
      </c>
      <c r="O146" s="21">
        <f>AGI!O146</f>
        <v>50313</v>
      </c>
      <c r="P146" s="24">
        <v>0</v>
      </c>
      <c r="V146">
        <v>1</v>
      </c>
      <c r="W146" t="s">
        <v>33</v>
      </c>
      <c r="Y146" t="s">
        <v>33</v>
      </c>
      <c r="Z146" t="s">
        <v>34</v>
      </c>
      <c r="AA146">
        <v>1</v>
      </c>
    </row>
    <row r="147" spans="1:27" x14ac:dyDescent="0.35">
      <c r="A147" s="13">
        <f t="shared" si="2"/>
        <v>45930</v>
      </c>
      <c r="B147">
        <v>1</v>
      </c>
      <c r="D147" s="14" t="s">
        <v>31</v>
      </c>
      <c r="E147" s="15" t="s">
        <v>32</v>
      </c>
      <c r="F147" s="16" t="s">
        <v>32</v>
      </c>
      <c r="G147" s="17"/>
      <c r="H147" s="31" t="s">
        <v>64</v>
      </c>
      <c r="I147" s="31" t="s">
        <v>64</v>
      </c>
      <c r="K147" s="20">
        <f>AGI!K147</f>
        <v>145</v>
      </c>
      <c r="L147" s="20">
        <f>AGI!L147</f>
        <v>0</v>
      </c>
      <c r="M147" s="21">
        <f>AGI!M147</f>
        <v>50344</v>
      </c>
      <c r="N147" s="21">
        <f>AGI!N147</f>
        <v>50344</v>
      </c>
      <c r="O147" s="21">
        <f>AGI!O147</f>
        <v>50344</v>
      </c>
      <c r="P147" s="24">
        <v>0</v>
      </c>
      <c r="V147">
        <v>1</v>
      </c>
      <c r="W147" t="s">
        <v>33</v>
      </c>
      <c r="Y147" t="s">
        <v>33</v>
      </c>
      <c r="Z147" t="s">
        <v>34</v>
      </c>
      <c r="AA147">
        <v>1</v>
      </c>
    </row>
    <row r="148" spans="1:27" x14ac:dyDescent="0.35">
      <c r="A148" s="13">
        <f t="shared" si="2"/>
        <v>45930</v>
      </c>
      <c r="B148">
        <v>1</v>
      </c>
      <c r="D148" s="14" t="s">
        <v>31</v>
      </c>
      <c r="E148" s="15" t="s">
        <v>32</v>
      </c>
      <c r="F148" s="16" t="s">
        <v>32</v>
      </c>
      <c r="G148" s="17"/>
      <c r="H148" s="31" t="s">
        <v>64</v>
      </c>
      <c r="I148" s="31" t="s">
        <v>64</v>
      </c>
      <c r="K148" s="20">
        <f>AGI!K148</f>
        <v>146</v>
      </c>
      <c r="L148" s="20">
        <f>AGI!L148</f>
        <v>0</v>
      </c>
      <c r="M148" s="21">
        <f>AGI!M148</f>
        <v>50374</v>
      </c>
      <c r="N148" s="21">
        <f>AGI!N148</f>
        <v>50374</v>
      </c>
      <c r="O148" s="21">
        <f>AGI!O148</f>
        <v>50374</v>
      </c>
      <c r="P148" s="24">
        <v>0</v>
      </c>
      <c r="V148">
        <v>1</v>
      </c>
      <c r="W148" t="s">
        <v>33</v>
      </c>
      <c r="Y148" t="s">
        <v>33</v>
      </c>
      <c r="Z148" t="s">
        <v>34</v>
      </c>
      <c r="AA148">
        <v>1</v>
      </c>
    </row>
    <row r="149" spans="1:27" x14ac:dyDescent="0.35">
      <c r="A149" s="13">
        <f t="shared" si="2"/>
        <v>45930</v>
      </c>
      <c r="B149">
        <v>1</v>
      </c>
      <c r="D149" s="14" t="s">
        <v>31</v>
      </c>
      <c r="E149" s="15" t="s">
        <v>32</v>
      </c>
      <c r="F149" s="16" t="s">
        <v>32</v>
      </c>
      <c r="G149" s="17"/>
      <c r="H149" s="31" t="s">
        <v>64</v>
      </c>
      <c r="I149" s="31" t="s">
        <v>64</v>
      </c>
      <c r="K149" s="20">
        <f>AGI!K149</f>
        <v>147</v>
      </c>
      <c r="L149" s="20">
        <f>AGI!L149</f>
        <v>0</v>
      </c>
      <c r="M149" s="21">
        <f>AGI!M149</f>
        <v>50405</v>
      </c>
      <c r="N149" s="21">
        <f>AGI!N149</f>
        <v>50405</v>
      </c>
      <c r="O149" s="21">
        <f>AGI!O149</f>
        <v>50405</v>
      </c>
      <c r="P149" s="24">
        <v>0</v>
      </c>
      <c r="V149">
        <v>1</v>
      </c>
      <c r="W149" t="s">
        <v>33</v>
      </c>
      <c r="Y149" t="s">
        <v>33</v>
      </c>
      <c r="Z149" t="s">
        <v>34</v>
      </c>
      <c r="AA149">
        <v>1</v>
      </c>
    </row>
    <row r="150" spans="1:27" x14ac:dyDescent="0.35">
      <c r="A150" s="13">
        <f t="shared" si="2"/>
        <v>45930</v>
      </c>
      <c r="B150">
        <v>1</v>
      </c>
      <c r="D150" s="14" t="s">
        <v>31</v>
      </c>
      <c r="E150" s="15" t="s">
        <v>32</v>
      </c>
      <c r="F150" s="16" t="s">
        <v>32</v>
      </c>
      <c r="G150" s="17"/>
      <c r="H150" s="31" t="s">
        <v>64</v>
      </c>
      <c r="I150" s="31" t="s">
        <v>64</v>
      </c>
      <c r="K150" s="20">
        <f>AGI!K150</f>
        <v>148</v>
      </c>
      <c r="L150" s="20">
        <f>AGI!L150</f>
        <v>0</v>
      </c>
      <c r="M150" s="21">
        <f>AGI!M150</f>
        <v>50436</v>
      </c>
      <c r="N150" s="21">
        <f>AGI!N150</f>
        <v>50436</v>
      </c>
      <c r="O150" s="21">
        <f>AGI!O150</f>
        <v>50436</v>
      </c>
      <c r="P150" s="24">
        <v>0</v>
      </c>
      <c r="V150">
        <v>1</v>
      </c>
      <c r="W150" t="s">
        <v>33</v>
      </c>
      <c r="Y150" t="s">
        <v>33</v>
      </c>
      <c r="Z150" t="s">
        <v>34</v>
      </c>
      <c r="AA150">
        <v>1</v>
      </c>
    </row>
    <row r="151" spans="1:27" x14ac:dyDescent="0.35">
      <c r="A151" s="13">
        <f t="shared" si="2"/>
        <v>45930</v>
      </c>
      <c r="B151">
        <v>1</v>
      </c>
      <c r="D151" s="14" t="s">
        <v>31</v>
      </c>
      <c r="E151" s="15" t="s">
        <v>32</v>
      </c>
      <c r="F151" s="16" t="s">
        <v>32</v>
      </c>
      <c r="G151" s="17"/>
      <c r="H151" s="31" t="s">
        <v>64</v>
      </c>
      <c r="I151" s="31" t="s">
        <v>64</v>
      </c>
      <c r="K151" s="20">
        <f>AGI!K151</f>
        <v>149</v>
      </c>
      <c r="L151" s="20">
        <f>AGI!L151</f>
        <v>0</v>
      </c>
      <c r="M151" s="21">
        <f>AGI!M151</f>
        <v>50464</v>
      </c>
      <c r="N151" s="21">
        <f>AGI!N151</f>
        <v>50464</v>
      </c>
      <c r="O151" s="21">
        <f>AGI!O151</f>
        <v>50464</v>
      </c>
      <c r="P151" s="24">
        <v>0</v>
      </c>
      <c r="V151">
        <v>1</v>
      </c>
      <c r="W151" t="s">
        <v>33</v>
      </c>
      <c r="Y151" t="s">
        <v>33</v>
      </c>
      <c r="Z151" t="s">
        <v>34</v>
      </c>
      <c r="AA151">
        <v>1</v>
      </c>
    </row>
    <row r="152" spans="1:27" x14ac:dyDescent="0.35">
      <c r="A152" s="13">
        <f t="shared" si="2"/>
        <v>45930</v>
      </c>
      <c r="B152">
        <v>1</v>
      </c>
      <c r="D152" s="14" t="s">
        <v>31</v>
      </c>
      <c r="E152" s="15" t="s">
        <v>32</v>
      </c>
      <c r="F152" s="16" t="s">
        <v>32</v>
      </c>
      <c r="G152" s="17"/>
      <c r="H152" s="31" t="s">
        <v>64</v>
      </c>
      <c r="I152" s="31" t="s">
        <v>64</v>
      </c>
      <c r="K152" s="20">
        <f>AGI!K152</f>
        <v>150</v>
      </c>
      <c r="L152" s="20">
        <f>AGI!L152</f>
        <v>0</v>
      </c>
      <c r="M152" s="21">
        <f>AGI!M152</f>
        <v>50495</v>
      </c>
      <c r="N152" s="21">
        <f>AGI!N152</f>
        <v>50495</v>
      </c>
      <c r="O152" s="21">
        <f>AGI!O152</f>
        <v>50495</v>
      </c>
      <c r="P152" s="24">
        <v>0</v>
      </c>
      <c r="V152">
        <v>1</v>
      </c>
      <c r="W152" t="s">
        <v>33</v>
      </c>
      <c r="Y152" t="s">
        <v>33</v>
      </c>
      <c r="Z152" t="s">
        <v>34</v>
      </c>
      <c r="AA152">
        <v>1</v>
      </c>
    </row>
    <row r="153" spans="1:27" x14ac:dyDescent="0.35">
      <c r="A153" s="13">
        <f t="shared" si="2"/>
        <v>45930</v>
      </c>
      <c r="B153">
        <v>1</v>
      </c>
      <c r="D153" s="14" t="s">
        <v>31</v>
      </c>
      <c r="E153" s="15" t="s">
        <v>32</v>
      </c>
      <c r="F153" s="16" t="s">
        <v>32</v>
      </c>
      <c r="G153" s="17"/>
      <c r="H153" s="31" t="s">
        <v>64</v>
      </c>
      <c r="I153" s="31" t="s">
        <v>64</v>
      </c>
      <c r="K153" s="20">
        <f>AGI!K153</f>
        <v>151</v>
      </c>
      <c r="L153" s="20">
        <f>AGI!L153</f>
        <v>0</v>
      </c>
      <c r="M153" s="21">
        <f>AGI!M153</f>
        <v>50525</v>
      </c>
      <c r="N153" s="21">
        <f>AGI!N153</f>
        <v>50525</v>
      </c>
      <c r="O153" s="21">
        <f>AGI!O153</f>
        <v>50525</v>
      </c>
      <c r="P153" s="24">
        <v>0</v>
      </c>
      <c r="V153">
        <v>1</v>
      </c>
      <c r="W153" t="s">
        <v>33</v>
      </c>
      <c r="Y153" t="s">
        <v>33</v>
      </c>
      <c r="Z153" t="s">
        <v>34</v>
      </c>
      <c r="AA153">
        <v>1</v>
      </c>
    </row>
    <row r="154" spans="1:27" x14ac:dyDescent="0.35">
      <c r="A154" s="13">
        <f t="shared" si="2"/>
        <v>45930</v>
      </c>
      <c r="B154">
        <v>1</v>
      </c>
      <c r="D154" s="14" t="s">
        <v>31</v>
      </c>
      <c r="E154" s="15" t="s">
        <v>32</v>
      </c>
      <c r="F154" s="16" t="s">
        <v>32</v>
      </c>
      <c r="G154" s="17"/>
      <c r="H154" s="31" t="s">
        <v>64</v>
      </c>
      <c r="I154" s="31" t="s">
        <v>64</v>
      </c>
      <c r="K154" s="20">
        <f>AGI!K154</f>
        <v>152</v>
      </c>
      <c r="L154" s="20">
        <f>AGI!L154</f>
        <v>0</v>
      </c>
      <c r="M154" s="21">
        <f>AGI!M154</f>
        <v>50556</v>
      </c>
      <c r="N154" s="21">
        <f>AGI!N154</f>
        <v>50556</v>
      </c>
      <c r="O154" s="21">
        <f>AGI!O154</f>
        <v>50556</v>
      </c>
      <c r="P154" s="24">
        <v>0</v>
      </c>
      <c r="V154">
        <v>1</v>
      </c>
      <c r="W154" t="s">
        <v>33</v>
      </c>
      <c r="Y154" t="s">
        <v>33</v>
      </c>
      <c r="Z154" t="s">
        <v>34</v>
      </c>
      <c r="AA154">
        <v>1</v>
      </c>
    </row>
    <row r="155" spans="1:27" x14ac:dyDescent="0.35">
      <c r="A155" s="13">
        <f t="shared" si="2"/>
        <v>45930</v>
      </c>
      <c r="B155">
        <v>1</v>
      </c>
      <c r="D155" s="14" t="s">
        <v>31</v>
      </c>
      <c r="E155" s="15" t="s">
        <v>32</v>
      </c>
      <c r="F155" s="16" t="s">
        <v>32</v>
      </c>
      <c r="G155" s="17"/>
      <c r="H155" s="31" t="s">
        <v>64</v>
      </c>
      <c r="I155" s="31" t="s">
        <v>64</v>
      </c>
      <c r="K155" s="20">
        <f>AGI!K155</f>
        <v>153</v>
      </c>
      <c r="L155" s="20">
        <f>AGI!L155</f>
        <v>0</v>
      </c>
      <c r="M155" s="21">
        <f>AGI!M155</f>
        <v>50586</v>
      </c>
      <c r="N155" s="21">
        <f>AGI!N155</f>
        <v>50586</v>
      </c>
      <c r="O155" s="21">
        <f>AGI!O155</f>
        <v>50586</v>
      </c>
      <c r="P155" s="24">
        <v>0</v>
      </c>
      <c r="V155">
        <v>1</v>
      </c>
      <c r="W155" t="s">
        <v>33</v>
      </c>
      <c r="Y155" t="s">
        <v>33</v>
      </c>
      <c r="Z155" t="s">
        <v>34</v>
      </c>
      <c r="AA155">
        <v>1</v>
      </c>
    </row>
    <row r="156" spans="1:27" x14ac:dyDescent="0.35">
      <c r="A156" s="13">
        <f t="shared" si="2"/>
        <v>45930</v>
      </c>
      <c r="B156">
        <v>1</v>
      </c>
      <c r="D156" s="14" t="s">
        <v>31</v>
      </c>
      <c r="E156" s="15" t="s">
        <v>32</v>
      </c>
      <c r="F156" s="16" t="s">
        <v>32</v>
      </c>
      <c r="G156" s="17"/>
      <c r="H156" s="31" t="s">
        <v>64</v>
      </c>
      <c r="I156" s="31" t="s">
        <v>64</v>
      </c>
      <c r="K156" s="20">
        <f>AGI!K156</f>
        <v>154</v>
      </c>
      <c r="L156" s="20">
        <f>AGI!L156</f>
        <v>0</v>
      </c>
      <c r="M156" s="21">
        <f>AGI!M156</f>
        <v>50617</v>
      </c>
      <c r="N156" s="21">
        <f>AGI!N156</f>
        <v>50617</v>
      </c>
      <c r="O156" s="21">
        <f>AGI!O156</f>
        <v>50617</v>
      </c>
      <c r="P156" s="24">
        <v>0</v>
      </c>
      <c r="V156">
        <v>1</v>
      </c>
      <c r="W156" t="s">
        <v>33</v>
      </c>
      <c r="Y156" t="s">
        <v>33</v>
      </c>
      <c r="Z156" t="s">
        <v>34</v>
      </c>
      <c r="AA156">
        <v>1</v>
      </c>
    </row>
    <row r="157" spans="1:27" x14ac:dyDescent="0.35">
      <c r="A157" s="13">
        <f t="shared" si="2"/>
        <v>45930</v>
      </c>
      <c r="B157">
        <v>1</v>
      </c>
      <c r="D157" s="14" t="s">
        <v>31</v>
      </c>
      <c r="E157" s="15" t="s">
        <v>32</v>
      </c>
      <c r="F157" s="16" t="s">
        <v>32</v>
      </c>
      <c r="G157" s="17"/>
      <c r="H157" s="31" t="s">
        <v>64</v>
      </c>
      <c r="I157" s="31" t="s">
        <v>64</v>
      </c>
      <c r="K157" s="20">
        <f>AGI!K157</f>
        <v>155</v>
      </c>
      <c r="L157" s="20">
        <f>AGI!L157</f>
        <v>0</v>
      </c>
      <c r="M157" s="21">
        <f>AGI!M157</f>
        <v>50648</v>
      </c>
      <c r="N157" s="21">
        <f>AGI!N157</f>
        <v>50648</v>
      </c>
      <c r="O157" s="21">
        <f>AGI!O157</f>
        <v>50648</v>
      </c>
      <c r="P157" s="24">
        <v>0</v>
      </c>
      <c r="V157">
        <v>1</v>
      </c>
      <c r="W157" t="s">
        <v>33</v>
      </c>
      <c r="Y157" t="s">
        <v>33</v>
      </c>
      <c r="Z157" t="s">
        <v>34</v>
      </c>
      <c r="AA157">
        <v>1</v>
      </c>
    </row>
    <row r="158" spans="1:27" x14ac:dyDescent="0.35">
      <c r="A158" s="13">
        <f t="shared" si="2"/>
        <v>45930</v>
      </c>
      <c r="B158">
        <v>1</v>
      </c>
      <c r="D158" s="14" t="s">
        <v>31</v>
      </c>
      <c r="E158" s="15" t="s">
        <v>32</v>
      </c>
      <c r="F158" s="16" t="s">
        <v>32</v>
      </c>
      <c r="G158" s="17"/>
      <c r="H158" s="31" t="s">
        <v>64</v>
      </c>
      <c r="I158" s="31" t="s">
        <v>64</v>
      </c>
      <c r="K158" s="20">
        <f>AGI!K158</f>
        <v>156</v>
      </c>
      <c r="L158" s="20">
        <f>AGI!L158</f>
        <v>0</v>
      </c>
      <c r="M158" s="21">
        <f>AGI!M158</f>
        <v>50678</v>
      </c>
      <c r="N158" s="21">
        <f>AGI!N158</f>
        <v>50678</v>
      </c>
      <c r="O158" s="21">
        <f>AGI!O158</f>
        <v>50678</v>
      </c>
      <c r="P158" s="24">
        <v>0</v>
      </c>
      <c r="V158">
        <v>1</v>
      </c>
      <c r="W158" t="s">
        <v>33</v>
      </c>
      <c r="Y158" t="s">
        <v>33</v>
      </c>
      <c r="Z158" t="s">
        <v>34</v>
      </c>
      <c r="AA158">
        <v>1</v>
      </c>
    </row>
    <row r="159" spans="1:27" x14ac:dyDescent="0.35">
      <c r="A159" s="13">
        <f t="shared" si="2"/>
        <v>45930</v>
      </c>
      <c r="B159">
        <v>1</v>
      </c>
      <c r="D159" s="14" t="s">
        <v>31</v>
      </c>
      <c r="E159" s="15" t="s">
        <v>32</v>
      </c>
      <c r="F159" s="16" t="s">
        <v>32</v>
      </c>
      <c r="G159" s="17"/>
      <c r="H159" s="31" t="s">
        <v>64</v>
      </c>
      <c r="I159" s="31" t="s">
        <v>64</v>
      </c>
      <c r="K159" s="20">
        <f>AGI!K159</f>
        <v>157</v>
      </c>
      <c r="L159" s="20">
        <f>AGI!L159</f>
        <v>0</v>
      </c>
      <c r="M159" s="21">
        <f>AGI!M159</f>
        <v>50709</v>
      </c>
      <c r="N159" s="21">
        <f>AGI!N159</f>
        <v>50709</v>
      </c>
      <c r="O159" s="21">
        <f>AGI!O159</f>
        <v>50709</v>
      </c>
      <c r="P159" s="24">
        <v>0</v>
      </c>
      <c r="V159">
        <v>1</v>
      </c>
      <c r="W159" t="s">
        <v>33</v>
      </c>
      <c r="Y159" t="s">
        <v>33</v>
      </c>
      <c r="Z159" t="s">
        <v>34</v>
      </c>
      <c r="AA159">
        <v>1</v>
      </c>
    </row>
    <row r="160" spans="1:27" x14ac:dyDescent="0.35">
      <c r="A160" s="13">
        <f t="shared" si="2"/>
        <v>45930</v>
      </c>
      <c r="B160">
        <v>1</v>
      </c>
      <c r="D160" s="14" t="s">
        <v>31</v>
      </c>
      <c r="E160" s="15" t="s">
        <v>32</v>
      </c>
      <c r="F160" s="16" t="s">
        <v>32</v>
      </c>
      <c r="G160" s="17"/>
      <c r="H160" s="31" t="s">
        <v>64</v>
      </c>
      <c r="I160" s="31" t="s">
        <v>64</v>
      </c>
      <c r="K160" s="20">
        <f>AGI!K160</f>
        <v>158</v>
      </c>
      <c r="L160" s="20">
        <f>AGI!L160</f>
        <v>0</v>
      </c>
      <c r="M160" s="21">
        <f>AGI!M160</f>
        <v>50739</v>
      </c>
      <c r="N160" s="21">
        <f>AGI!N160</f>
        <v>50739</v>
      </c>
      <c r="O160" s="21">
        <f>AGI!O160</f>
        <v>50739</v>
      </c>
      <c r="P160" s="24">
        <v>0</v>
      </c>
      <c r="V160">
        <v>1</v>
      </c>
      <c r="W160" t="s">
        <v>33</v>
      </c>
      <c r="Y160" t="s">
        <v>33</v>
      </c>
      <c r="Z160" t="s">
        <v>34</v>
      </c>
      <c r="AA160">
        <v>1</v>
      </c>
    </row>
    <row r="161" spans="1:27" x14ac:dyDescent="0.35">
      <c r="A161" s="13">
        <f t="shared" si="2"/>
        <v>45930</v>
      </c>
      <c r="B161">
        <v>1</v>
      </c>
      <c r="D161" s="14" t="s">
        <v>31</v>
      </c>
      <c r="E161" s="15" t="s">
        <v>32</v>
      </c>
      <c r="F161" s="16" t="s">
        <v>32</v>
      </c>
      <c r="G161" s="17"/>
      <c r="H161" s="31" t="s">
        <v>64</v>
      </c>
      <c r="I161" s="31" t="s">
        <v>64</v>
      </c>
      <c r="K161" s="20">
        <f>AGI!K161</f>
        <v>159</v>
      </c>
      <c r="L161" s="20">
        <f>AGI!L161</f>
        <v>0</v>
      </c>
      <c r="M161" s="21">
        <f>AGI!M161</f>
        <v>50770</v>
      </c>
      <c r="N161" s="21">
        <f>AGI!N161</f>
        <v>50770</v>
      </c>
      <c r="O161" s="21">
        <f>AGI!O161</f>
        <v>50770</v>
      </c>
      <c r="P161" s="24">
        <v>0</v>
      </c>
      <c r="V161">
        <v>1</v>
      </c>
      <c r="W161" t="s">
        <v>33</v>
      </c>
      <c r="Y161" t="s">
        <v>33</v>
      </c>
      <c r="Z161" t="s">
        <v>34</v>
      </c>
      <c r="AA161">
        <v>1</v>
      </c>
    </row>
    <row r="162" spans="1:27" x14ac:dyDescent="0.35">
      <c r="A162" s="13">
        <f t="shared" si="2"/>
        <v>45930</v>
      </c>
      <c r="B162">
        <v>1</v>
      </c>
      <c r="D162" s="14" t="s">
        <v>31</v>
      </c>
      <c r="E162" s="15" t="s">
        <v>32</v>
      </c>
      <c r="F162" s="16" t="s">
        <v>32</v>
      </c>
      <c r="G162" s="17"/>
      <c r="H162" s="31" t="s">
        <v>64</v>
      </c>
      <c r="I162" s="31" t="s">
        <v>64</v>
      </c>
      <c r="K162" s="20">
        <f>AGI!K162</f>
        <v>160</v>
      </c>
      <c r="L162" s="20">
        <f>AGI!L162</f>
        <v>0</v>
      </c>
      <c r="M162" s="21">
        <f>AGI!M162</f>
        <v>50801</v>
      </c>
      <c r="N162" s="21">
        <f>AGI!N162</f>
        <v>50801</v>
      </c>
      <c r="O162" s="21">
        <f>AGI!O162</f>
        <v>50801</v>
      </c>
      <c r="P162" s="24">
        <v>0</v>
      </c>
      <c r="V162">
        <v>1</v>
      </c>
      <c r="W162" t="s">
        <v>33</v>
      </c>
      <c r="Y162" t="s">
        <v>33</v>
      </c>
      <c r="Z162" t="s">
        <v>34</v>
      </c>
      <c r="AA162">
        <v>1</v>
      </c>
    </row>
    <row r="163" spans="1:27" x14ac:dyDescent="0.35">
      <c r="A163" s="13">
        <f t="shared" si="2"/>
        <v>45930</v>
      </c>
      <c r="B163">
        <v>1</v>
      </c>
      <c r="D163" s="14" t="s">
        <v>31</v>
      </c>
      <c r="E163" s="15" t="s">
        <v>32</v>
      </c>
      <c r="F163" s="16" t="s">
        <v>32</v>
      </c>
      <c r="G163" s="17"/>
      <c r="H163" s="31" t="s">
        <v>64</v>
      </c>
      <c r="I163" s="31" t="s">
        <v>64</v>
      </c>
      <c r="K163" s="20">
        <f>AGI!K163</f>
        <v>161</v>
      </c>
      <c r="L163" s="20">
        <f>AGI!L163</f>
        <v>0</v>
      </c>
      <c r="M163" s="21">
        <f>AGI!M163</f>
        <v>50829</v>
      </c>
      <c r="N163" s="21">
        <f>AGI!N163</f>
        <v>50829</v>
      </c>
      <c r="O163" s="21">
        <f>AGI!O163</f>
        <v>50829</v>
      </c>
      <c r="P163" s="24">
        <v>0</v>
      </c>
      <c r="V163">
        <v>1</v>
      </c>
      <c r="W163" t="s">
        <v>33</v>
      </c>
      <c r="Y163" t="s">
        <v>33</v>
      </c>
      <c r="Z163" t="s">
        <v>34</v>
      </c>
      <c r="AA163">
        <v>1</v>
      </c>
    </row>
    <row r="164" spans="1:27" x14ac:dyDescent="0.35">
      <c r="A164" s="13">
        <f t="shared" si="2"/>
        <v>45930</v>
      </c>
      <c r="B164">
        <v>1</v>
      </c>
      <c r="D164" s="14" t="s">
        <v>31</v>
      </c>
      <c r="E164" s="15" t="s">
        <v>32</v>
      </c>
      <c r="F164" s="16" t="s">
        <v>32</v>
      </c>
      <c r="G164" s="17"/>
      <c r="H164" s="31" t="s">
        <v>64</v>
      </c>
      <c r="I164" s="31" t="s">
        <v>64</v>
      </c>
      <c r="K164" s="20">
        <f>AGI!K164</f>
        <v>162</v>
      </c>
      <c r="L164" s="20">
        <f>AGI!L164</f>
        <v>0</v>
      </c>
      <c r="M164" s="21">
        <f>AGI!M164</f>
        <v>50860</v>
      </c>
      <c r="N164" s="21">
        <f>AGI!N164</f>
        <v>50860</v>
      </c>
      <c r="O164" s="21">
        <f>AGI!O164</f>
        <v>50860</v>
      </c>
      <c r="P164" s="24">
        <v>0</v>
      </c>
      <c r="V164">
        <v>1</v>
      </c>
      <c r="W164" t="s">
        <v>33</v>
      </c>
      <c r="Y164" t="s">
        <v>33</v>
      </c>
      <c r="Z164" t="s">
        <v>34</v>
      </c>
      <c r="AA164">
        <v>1</v>
      </c>
    </row>
    <row r="165" spans="1:27" x14ac:dyDescent="0.35">
      <c r="A165" s="13">
        <f t="shared" si="2"/>
        <v>45930</v>
      </c>
      <c r="B165">
        <v>1</v>
      </c>
      <c r="D165" s="14" t="s">
        <v>31</v>
      </c>
      <c r="E165" s="15" t="s">
        <v>32</v>
      </c>
      <c r="F165" s="16" t="s">
        <v>32</v>
      </c>
      <c r="G165" s="17"/>
      <c r="H165" s="31" t="s">
        <v>64</v>
      </c>
      <c r="I165" s="31" t="s">
        <v>64</v>
      </c>
      <c r="K165" s="20">
        <f>AGI!K165</f>
        <v>163</v>
      </c>
      <c r="L165" s="20">
        <f>AGI!L165</f>
        <v>0</v>
      </c>
      <c r="M165" s="21">
        <f>AGI!M165</f>
        <v>50890</v>
      </c>
      <c r="N165" s="21">
        <f>AGI!N165</f>
        <v>50890</v>
      </c>
      <c r="O165" s="21">
        <f>AGI!O165</f>
        <v>50890</v>
      </c>
      <c r="P165" s="24">
        <v>0</v>
      </c>
      <c r="V165">
        <v>1</v>
      </c>
      <c r="W165" t="s">
        <v>33</v>
      </c>
      <c r="Y165" t="s">
        <v>33</v>
      </c>
      <c r="Z165" t="s">
        <v>34</v>
      </c>
      <c r="AA165">
        <v>1</v>
      </c>
    </row>
    <row r="166" spans="1:27" x14ac:dyDescent="0.35">
      <c r="A166" s="13">
        <f t="shared" si="2"/>
        <v>45930</v>
      </c>
      <c r="B166">
        <v>1</v>
      </c>
      <c r="D166" s="14" t="s">
        <v>31</v>
      </c>
      <c r="E166" s="15" t="s">
        <v>32</v>
      </c>
      <c r="F166" s="16" t="s">
        <v>32</v>
      </c>
      <c r="G166" s="17"/>
      <c r="H166" s="31" t="s">
        <v>64</v>
      </c>
      <c r="I166" s="31" t="s">
        <v>64</v>
      </c>
      <c r="K166" s="20">
        <f>AGI!K166</f>
        <v>164</v>
      </c>
      <c r="L166" s="20">
        <f>AGI!L166</f>
        <v>0</v>
      </c>
      <c r="M166" s="21">
        <f>AGI!M166</f>
        <v>50921</v>
      </c>
      <c r="N166" s="21">
        <f>AGI!N166</f>
        <v>50921</v>
      </c>
      <c r="O166" s="21">
        <f>AGI!O166</f>
        <v>50921</v>
      </c>
      <c r="P166" s="24">
        <v>0</v>
      </c>
      <c r="V166">
        <v>1</v>
      </c>
      <c r="W166" t="s">
        <v>33</v>
      </c>
      <c r="Y166" t="s">
        <v>33</v>
      </c>
      <c r="Z166" t="s">
        <v>34</v>
      </c>
      <c r="AA166">
        <v>1</v>
      </c>
    </row>
    <row r="167" spans="1:27" x14ac:dyDescent="0.35">
      <c r="A167" s="13">
        <f t="shared" si="2"/>
        <v>45930</v>
      </c>
      <c r="B167">
        <v>1</v>
      </c>
      <c r="D167" s="14" t="s">
        <v>31</v>
      </c>
      <c r="E167" s="15" t="s">
        <v>32</v>
      </c>
      <c r="F167" s="16" t="s">
        <v>32</v>
      </c>
      <c r="G167" s="17"/>
      <c r="H167" s="31" t="s">
        <v>64</v>
      </c>
      <c r="I167" s="31" t="s">
        <v>64</v>
      </c>
      <c r="K167" s="20">
        <f>AGI!K167</f>
        <v>165</v>
      </c>
      <c r="L167" s="20">
        <f>AGI!L167</f>
        <v>0</v>
      </c>
      <c r="M167" s="21">
        <f>AGI!M167</f>
        <v>50951</v>
      </c>
      <c r="N167" s="21">
        <f>AGI!N167</f>
        <v>50951</v>
      </c>
      <c r="O167" s="21">
        <f>AGI!O167</f>
        <v>50951</v>
      </c>
      <c r="P167" s="24">
        <v>0</v>
      </c>
      <c r="V167">
        <v>1</v>
      </c>
      <c r="W167" t="s">
        <v>33</v>
      </c>
      <c r="Y167" t="s">
        <v>33</v>
      </c>
      <c r="Z167" t="s">
        <v>34</v>
      </c>
      <c r="AA167">
        <v>1</v>
      </c>
    </row>
    <row r="168" spans="1:27" x14ac:dyDescent="0.35">
      <c r="A168" s="13">
        <f t="shared" si="2"/>
        <v>45930</v>
      </c>
      <c r="B168">
        <v>1</v>
      </c>
      <c r="D168" s="14" t="s">
        <v>31</v>
      </c>
      <c r="E168" s="15" t="s">
        <v>32</v>
      </c>
      <c r="F168" s="16" t="s">
        <v>32</v>
      </c>
      <c r="G168" s="17"/>
      <c r="H168" s="31" t="s">
        <v>64</v>
      </c>
      <c r="I168" s="31" t="s">
        <v>64</v>
      </c>
      <c r="K168" s="20">
        <f>AGI!K168</f>
        <v>166</v>
      </c>
      <c r="L168" s="20">
        <f>AGI!L168</f>
        <v>0</v>
      </c>
      <c r="M168" s="21">
        <f>AGI!M168</f>
        <v>50982</v>
      </c>
      <c r="N168" s="21">
        <f>AGI!N168</f>
        <v>50982</v>
      </c>
      <c r="O168" s="21">
        <f>AGI!O168</f>
        <v>50982</v>
      </c>
      <c r="P168" s="24">
        <v>0</v>
      </c>
      <c r="V168">
        <v>1</v>
      </c>
      <c r="W168" t="s">
        <v>33</v>
      </c>
      <c r="Y168" t="s">
        <v>33</v>
      </c>
      <c r="Z168" t="s">
        <v>34</v>
      </c>
      <c r="AA168">
        <v>1</v>
      </c>
    </row>
    <row r="169" spans="1:27" x14ac:dyDescent="0.35">
      <c r="A169" s="13">
        <f t="shared" si="2"/>
        <v>45930</v>
      </c>
      <c r="B169">
        <v>1</v>
      </c>
      <c r="D169" s="14" t="s">
        <v>31</v>
      </c>
      <c r="E169" s="15" t="s">
        <v>32</v>
      </c>
      <c r="F169" s="16" t="s">
        <v>32</v>
      </c>
      <c r="G169" s="17"/>
      <c r="H169" s="31" t="s">
        <v>64</v>
      </c>
      <c r="I169" s="31" t="s">
        <v>64</v>
      </c>
      <c r="K169" s="20">
        <f>AGI!K169</f>
        <v>167</v>
      </c>
      <c r="L169" s="20">
        <f>AGI!L169</f>
        <v>0</v>
      </c>
      <c r="M169" s="21">
        <f>AGI!M169</f>
        <v>51013</v>
      </c>
      <c r="N169" s="21">
        <f>AGI!N169</f>
        <v>51013</v>
      </c>
      <c r="O169" s="21">
        <f>AGI!O169</f>
        <v>51013</v>
      </c>
      <c r="P169" s="24">
        <v>0</v>
      </c>
      <c r="V169">
        <v>1</v>
      </c>
      <c r="W169" t="s">
        <v>33</v>
      </c>
      <c r="Y169" t="s">
        <v>33</v>
      </c>
      <c r="Z169" t="s">
        <v>34</v>
      </c>
      <c r="AA169">
        <v>1</v>
      </c>
    </row>
    <row r="170" spans="1:27" x14ac:dyDescent="0.35">
      <c r="A170" s="13">
        <f t="shared" si="2"/>
        <v>45930</v>
      </c>
      <c r="B170">
        <v>1</v>
      </c>
      <c r="D170" s="14" t="s">
        <v>31</v>
      </c>
      <c r="E170" s="15" t="s">
        <v>32</v>
      </c>
      <c r="F170" s="16" t="s">
        <v>32</v>
      </c>
      <c r="G170" s="17"/>
      <c r="H170" s="31" t="s">
        <v>64</v>
      </c>
      <c r="I170" s="31" t="s">
        <v>64</v>
      </c>
      <c r="K170" s="20">
        <f>AGI!K170</f>
        <v>168</v>
      </c>
      <c r="L170" s="20">
        <f>AGI!L170</f>
        <v>0</v>
      </c>
      <c r="M170" s="21">
        <f>AGI!M170</f>
        <v>51043</v>
      </c>
      <c r="N170" s="21">
        <f>AGI!N170</f>
        <v>51043</v>
      </c>
      <c r="O170" s="21">
        <f>AGI!O170</f>
        <v>51043</v>
      </c>
      <c r="P170" s="24">
        <v>0</v>
      </c>
      <c r="V170">
        <v>1</v>
      </c>
      <c r="W170" t="s">
        <v>33</v>
      </c>
      <c r="Y170" t="s">
        <v>33</v>
      </c>
      <c r="Z170" t="s">
        <v>34</v>
      </c>
      <c r="AA170">
        <v>1</v>
      </c>
    </row>
    <row r="171" spans="1:27" x14ac:dyDescent="0.35">
      <c r="A171" s="13">
        <f t="shared" si="2"/>
        <v>45930</v>
      </c>
      <c r="B171">
        <v>1</v>
      </c>
      <c r="D171" s="14" t="s">
        <v>31</v>
      </c>
      <c r="E171" s="15" t="s">
        <v>32</v>
      </c>
      <c r="F171" s="16" t="s">
        <v>32</v>
      </c>
      <c r="G171" s="17"/>
      <c r="H171" s="31" t="s">
        <v>64</v>
      </c>
      <c r="I171" s="31" t="s">
        <v>64</v>
      </c>
      <c r="K171" s="20">
        <f>AGI!K171</f>
        <v>169</v>
      </c>
      <c r="L171" s="20">
        <f>AGI!L171</f>
        <v>0</v>
      </c>
      <c r="M171" s="21">
        <f>AGI!M171</f>
        <v>51074</v>
      </c>
      <c r="N171" s="21">
        <f>AGI!N171</f>
        <v>51074</v>
      </c>
      <c r="O171" s="21">
        <f>AGI!O171</f>
        <v>51074</v>
      </c>
      <c r="P171" s="24">
        <v>0</v>
      </c>
      <c r="V171">
        <v>1</v>
      </c>
      <c r="W171" t="s">
        <v>33</v>
      </c>
      <c r="Y171" t="s">
        <v>33</v>
      </c>
      <c r="Z171" t="s">
        <v>34</v>
      </c>
      <c r="AA171">
        <v>1</v>
      </c>
    </row>
    <row r="172" spans="1:27" x14ac:dyDescent="0.35">
      <c r="A172" s="13">
        <f t="shared" si="2"/>
        <v>45930</v>
      </c>
      <c r="B172">
        <v>1</v>
      </c>
      <c r="D172" s="14" t="s">
        <v>31</v>
      </c>
      <c r="E172" s="15" t="s">
        <v>32</v>
      </c>
      <c r="F172" s="16" t="s">
        <v>32</v>
      </c>
      <c r="G172" s="17"/>
      <c r="H172" s="31" t="s">
        <v>64</v>
      </c>
      <c r="I172" s="31" t="s">
        <v>64</v>
      </c>
      <c r="K172" s="20">
        <f>AGI!K172</f>
        <v>170</v>
      </c>
      <c r="L172" s="20">
        <f>AGI!L172</f>
        <v>0</v>
      </c>
      <c r="M172" s="21">
        <f>AGI!M172</f>
        <v>51104</v>
      </c>
      <c r="N172" s="21">
        <f>AGI!N172</f>
        <v>51104</v>
      </c>
      <c r="O172" s="21">
        <f>AGI!O172</f>
        <v>51104</v>
      </c>
      <c r="P172" s="24">
        <v>0</v>
      </c>
      <c r="V172">
        <v>1</v>
      </c>
      <c r="W172" t="s">
        <v>33</v>
      </c>
      <c r="Y172" t="s">
        <v>33</v>
      </c>
      <c r="Z172" t="s">
        <v>34</v>
      </c>
      <c r="AA172">
        <v>1</v>
      </c>
    </row>
    <row r="173" spans="1:27" x14ac:dyDescent="0.35">
      <c r="A173" s="13">
        <f t="shared" si="2"/>
        <v>45930</v>
      </c>
      <c r="B173">
        <v>1</v>
      </c>
      <c r="D173" s="14" t="s">
        <v>31</v>
      </c>
      <c r="E173" s="15" t="s">
        <v>32</v>
      </c>
      <c r="F173" s="16" t="s">
        <v>32</v>
      </c>
      <c r="G173" s="17"/>
      <c r="H173" s="31" t="s">
        <v>64</v>
      </c>
      <c r="I173" s="31" t="s">
        <v>64</v>
      </c>
      <c r="K173" s="20">
        <f>AGI!K173</f>
        <v>171</v>
      </c>
      <c r="L173" s="20">
        <f>AGI!L173</f>
        <v>0</v>
      </c>
      <c r="M173" s="21">
        <f>AGI!M173</f>
        <v>51135</v>
      </c>
      <c r="N173" s="21">
        <f>AGI!N173</f>
        <v>51135</v>
      </c>
      <c r="O173" s="21">
        <f>AGI!O173</f>
        <v>51135</v>
      </c>
      <c r="P173" s="24">
        <v>0</v>
      </c>
      <c r="V173">
        <v>1</v>
      </c>
      <c r="W173" t="s">
        <v>33</v>
      </c>
      <c r="Y173" t="s">
        <v>33</v>
      </c>
      <c r="Z173" t="s">
        <v>34</v>
      </c>
      <c r="AA173">
        <v>1</v>
      </c>
    </row>
    <row r="174" spans="1:27" x14ac:dyDescent="0.35">
      <c r="A174" s="13">
        <f t="shared" si="2"/>
        <v>45930</v>
      </c>
      <c r="B174">
        <v>1</v>
      </c>
      <c r="D174" s="14" t="s">
        <v>31</v>
      </c>
      <c r="E174" s="15" t="s">
        <v>32</v>
      </c>
      <c r="F174" s="16" t="s">
        <v>32</v>
      </c>
      <c r="G174" s="17"/>
      <c r="H174" s="31" t="s">
        <v>64</v>
      </c>
      <c r="I174" s="31" t="s">
        <v>64</v>
      </c>
      <c r="K174" s="20">
        <f>AGI!K174</f>
        <v>172</v>
      </c>
      <c r="L174" s="20">
        <f>AGI!L174</f>
        <v>0</v>
      </c>
      <c r="M174" s="21">
        <f>AGI!M174</f>
        <v>51166</v>
      </c>
      <c r="N174" s="21">
        <f>AGI!N174</f>
        <v>51166</v>
      </c>
      <c r="O174" s="21">
        <f>AGI!O174</f>
        <v>51166</v>
      </c>
      <c r="P174" s="24">
        <v>0</v>
      </c>
      <c r="V174">
        <v>1</v>
      </c>
      <c r="W174" t="s">
        <v>33</v>
      </c>
      <c r="Y174" t="s">
        <v>33</v>
      </c>
      <c r="Z174" t="s">
        <v>34</v>
      </c>
      <c r="AA174">
        <v>1</v>
      </c>
    </row>
    <row r="175" spans="1:27" x14ac:dyDescent="0.35">
      <c r="A175" s="13">
        <f t="shared" si="2"/>
        <v>45930</v>
      </c>
      <c r="B175">
        <v>1</v>
      </c>
      <c r="D175" s="14" t="s">
        <v>31</v>
      </c>
      <c r="E175" s="15" t="s">
        <v>32</v>
      </c>
      <c r="F175" s="16" t="s">
        <v>32</v>
      </c>
      <c r="G175" s="17"/>
      <c r="H175" s="31" t="s">
        <v>64</v>
      </c>
      <c r="I175" s="31" t="s">
        <v>64</v>
      </c>
      <c r="K175" s="20">
        <f>AGI!K175</f>
        <v>173</v>
      </c>
      <c r="L175" s="20">
        <f>AGI!L175</f>
        <v>0</v>
      </c>
      <c r="M175" s="21">
        <f>AGI!M175</f>
        <v>51195</v>
      </c>
      <c r="N175" s="21">
        <f>AGI!N175</f>
        <v>51195</v>
      </c>
      <c r="O175" s="21">
        <f>AGI!O175</f>
        <v>51195</v>
      </c>
      <c r="P175" s="24">
        <v>0</v>
      </c>
      <c r="V175">
        <v>1</v>
      </c>
      <c r="W175" t="s">
        <v>33</v>
      </c>
      <c r="Y175" t="s">
        <v>33</v>
      </c>
      <c r="Z175" t="s">
        <v>34</v>
      </c>
      <c r="AA175">
        <v>1</v>
      </c>
    </row>
    <row r="176" spans="1:27" x14ac:dyDescent="0.35">
      <c r="A176" s="13">
        <f t="shared" si="2"/>
        <v>45930</v>
      </c>
      <c r="B176">
        <v>1</v>
      </c>
      <c r="D176" s="14" t="s">
        <v>31</v>
      </c>
      <c r="E176" s="15" t="s">
        <v>32</v>
      </c>
      <c r="F176" s="16" t="s">
        <v>32</v>
      </c>
      <c r="G176" s="17"/>
      <c r="H176" s="31" t="s">
        <v>64</v>
      </c>
      <c r="I176" s="31" t="s">
        <v>64</v>
      </c>
      <c r="K176" s="20">
        <f>AGI!K176</f>
        <v>174</v>
      </c>
      <c r="L176" s="20">
        <f>AGI!L176</f>
        <v>0</v>
      </c>
      <c r="M176" s="21">
        <f>AGI!M176</f>
        <v>51226</v>
      </c>
      <c r="N176" s="21">
        <f>AGI!N176</f>
        <v>51226</v>
      </c>
      <c r="O176" s="21">
        <f>AGI!O176</f>
        <v>51226</v>
      </c>
      <c r="P176" s="24">
        <v>0</v>
      </c>
      <c r="V176">
        <v>1</v>
      </c>
      <c r="W176" t="s">
        <v>33</v>
      </c>
      <c r="Y176" t="s">
        <v>33</v>
      </c>
      <c r="Z176" t="s">
        <v>34</v>
      </c>
      <c r="AA176">
        <v>1</v>
      </c>
    </row>
    <row r="177" spans="1:27" x14ac:dyDescent="0.35">
      <c r="A177" s="13">
        <f t="shared" si="2"/>
        <v>45930</v>
      </c>
      <c r="B177">
        <v>1</v>
      </c>
      <c r="D177" s="14" t="s">
        <v>31</v>
      </c>
      <c r="E177" s="15" t="s">
        <v>32</v>
      </c>
      <c r="F177" s="16" t="s">
        <v>32</v>
      </c>
      <c r="G177" s="17"/>
      <c r="H177" s="31" t="s">
        <v>64</v>
      </c>
      <c r="I177" s="31" t="s">
        <v>64</v>
      </c>
      <c r="K177" s="20">
        <f>AGI!K177</f>
        <v>175</v>
      </c>
      <c r="L177" s="20">
        <f>AGI!L177</f>
        <v>0</v>
      </c>
      <c r="M177" s="21">
        <f>AGI!M177</f>
        <v>51256</v>
      </c>
      <c r="N177" s="21">
        <f>AGI!N177</f>
        <v>51256</v>
      </c>
      <c r="O177" s="21">
        <f>AGI!O177</f>
        <v>51256</v>
      </c>
      <c r="P177" s="24">
        <v>0</v>
      </c>
      <c r="V177">
        <v>1</v>
      </c>
      <c r="W177" t="s">
        <v>33</v>
      </c>
      <c r="Y177" t="s">
        <v>33</v>
      </c>
      <c r="Z177" t="s">
        <v>34</v>
      </c>
      <c r="AA177">
        <v>1</v>
      </c>
    </row>
    <row r="178" spans="1:27" x14ac:dyDescent="0.35">
      <c r="A178" s="13">
        <f t="shared" si="2"/>
        <v>45930</v>
      </c>
      <c r="B178">
        <v>1</v>
      </c>
      <c r="D178" s="14" t="s">
        <v>31</v>
      </c>
      <c r="E178" s="15" t="s">
        <v>32</v>
      </c>
      <c r="F178" s="16" t="s">
        <v>32</v>
      </c>
      <c r="G178" s="17"/>
      <c r="H178" s="31" t="s">
        <v>64</v>
      </c>
      <c r="I178" s="31" t="s">
        <v>64</v>
      </c>
      <c r="K178" s="20">
        <f>AGI!K178</f>
        <v>176</v>
      </c>
      <c r="L178" s="20">
        <f>AGI!L178</f>
        <v>0</v>
      </c>
      <c r="M178" s="21">
        <f>AGI!M178</f>
        <v>51287</v>
      </c>
      <c r="N178" s="21">
        <f>AGI!N178</f>
        <v>51287</v>
      </c>
      <c r="O178" s="21">
        <f>AGI!O178</f>
        <v>51287</v>
      </c>
      <c r="P178" s="24">
        <v>0</v>
      </c>
      <c r="V178">
        <v>1</v>
      </c>
      <c r="W178" t="s">
        <v>33</v>
      </c>
      <c r="Y178" t="s">
        <v>33</v>
      </c>
      <c r="Z178" t="s">
        <v>34</v>
      </c>
      <c r="AA178">
        <v>1</v>
      </c>
    </row>
    <row r="179" spans="1:27" x14ac:dyDescent="0.35">
      <c r="A179" s="13">
        <f t="shared" si="2"/>
        <v>45930</v>
      </c>
      <c r="B179">
        <v>1</v>
      </c>
      <c r="D179" s="14" t="s">
        <v>31</v>
      </c>
      <c r="E179" s="15" t="s">
        <v>32</v>
      </c>
      <c r="F179" s="16" t="s">
        <v>32</v>
      </c>
      <c r="G179" s="17"/>
      <c r="H179" s="31" t="s">
        <v>64</v>
      </c>
      <c r="I179" s="31" t="s">
        <v>64</v>
      </c>
      <c r="K179" s="20">
        <f>AGI!K179</f>
        <v>177</v>
      </c>
      <c r="L179" s="20">
        <f>AGI!L179</f>
        <v>0</v>
      </c>
      <c r="M179" s="21">
        <f>AGI!M179</f>
        <v>51317</v>
      </c>
      <c r="N179" s="21">
        <f>AGI!N179</f>
        <v>51317</v>
      </c>
      <c r="O179" s="21">
        <f>AGI!O179</f>
        <v>51317</v>
      </c>
      <c r="P179" s="24">
        <v>0</v>
      </c>
      <c r="V179">
        <v>1</v>
      </c>
      <c r="W179" t="s">
        <v>33</v>
      </c>
      <c r="Y179" t="s">
        <v>33</v>
      </c>
      <c r="Z179" t="s">
        <v>34</v>
      </c>
      <c r="AA179">
        <v>1</v>
      </c>
    </row>
    <row r="180" spans="1:27" x14ac:dyDescent="0.35">
      <c r="A180" s="13">
        <f t="shared" si="2"/>
        <v>45930</v>
      </c>
      <c r="B180">
        <v>1</v>
      </c>
      <c r="D180" s="14" t="s">
        <v>31</v>
      </c>
      <c r="E180" s="15" t="s">
        <v>32</v>
      </c>
      <c r="F180" s="16" t="s">
        <v>32</v>
      </c>
      <c r="G180" s="17"/>
      <c r="H180" s="31" t="s">
        <v>64</v>
      </c>
      <c r="I180" s="31" t="s">
        <v>64</v>
      </c>
      <c r="K180" s="20">
        <f>AGI!K180</f>
        <v>178</v>
      </c>
      <c r="L180" s="20">
        <f>AGI!L180</f>
        <v>0</v>
      </c>
      <c r="M180" s="21">
        <f>AGI!M180</f>
        <v>51348</v>
      </c>
      <c r="N180" s="21">
        <f>AGI!N180</f>
        <v>51348</v>
      </c>
      <c r="O180" s="21">
        <f>AGI!O180</f>
        <v>51348</v>
      </c>
      <c r="P180" s="24">
        <v>0</v>
      </c>
      <c r="V180">
        <v>1</v>
      </c>
      <c r="W180" t="s">
        <v>33</v>
      </c>
      <c r="Y180" t="s">
        <v>33</v>
      </c>
      <c r="Z180" t="s">
        <v>34</v>
      </c>
      <c r="AA180">
        <v>1</v>
      </c>
    </row>
    <row r="181" spans="1:27" x14ac:dyDescent="0.35">
      <c r="A181" s="13">
        <f t="shared" si="2"/>
        <v>45930</v>
      </c>
      <c r="B181">
        <v>1</v>
      </c>
      <c r="D181" s="14" t="s">
        <v>31</v>
      </c>
      <c r="E181" s="15" t="s">
        <v>32</v>
      </c>
      <c r="F181" s="16" t="s">
        <v>32</v>
      </c>
      <c r="G181" s="17"/>
      <c r="H181" s="31" t="s">
        <v>64</v>
      </c>
      <c r="I181" s="31" t="s">
        <v>64</v>
      </c>
      <c r="K181" s="20">
        <f>AGI!K181</f>
        <v>179</v>
      </c>
      <c r="L181" s="20">
        <f>AGI!L181</f>
        <v>0</v>
      </c>
      <c r="M181" s="21">
        <f>AGI!M181</f>
        <v>51379</v>
      </c>
      <c r="N181" s="21">
        <f>AGI!N181</f>
        <v>51379</v>
      </c>
      <c r="O181" s="21">
        <f>AGI!O181</f>
        <v>51379</v>
      </c>
      <c r="P181" s="24">
        <v>0</v>
      </c>
      <c r="V181">
        <v>1</v>
      </c>
      <c r="W181" t="s">
        <v>33</v>
      </c>
      <c r="Y181" t="s">
        <v>33</v>
      </c>
      <c r="Z181" t="s">
        <v>34</v>
      </c>
      <c r="AA181">
        <v>1</v>
      </c>
    </row>
    <row r="182" spans="1:27" x14ac:dyDescent="0.35">
      <c r="A182" s="13">
        <f t="shared" si="2"/>
        <v>45930</v>
      </c>
      <c r="B182">
        <v>1</v>
      </c>
      <c r="D182" s="14" t="s">
        <v>31</v>
      </c>
      <c r="E182" s="15" t="s">
        <v>32</v>
      </c>
      <c r="F182" s="16" t="s">
        <v>32</v>
      </c>
      <c r="G182" s="17"/>
      <c r="H182" s="31" t="s">
        <v>64</v>
      </c>
      <c r="I182" s="31" t="s">
        <v>64</v>
      </c>
      <c r="K182" s="20">
        <f>AGI!K182</f>
        <v>180</v>
      </c>
      <c r="L182" s="20">
        <f>AGI!L182</f>
        <v>0</v>
      </c>
      <c r="M182" s="21">
        <f>AGI!M182</f>
        <v>51409</v>
      </c>
      <c r="N182" s="21">
        <f>AGI!N182</f>
        <v>51409</v>
      </c>
      <c r="O182" s="21">
        <f>AGI!O182</f>
        <v>51409</v>
      </c>
      <c r="P182" s="24">
        <v>0</v>
      </c>
      <c r="V182">
        <v>1</v>
      </c>
      <c r="W182" t="s">
        <v>33</v>
      </c>
      <c r="Y182" t="s">
        <v>33</v>
      </c>
      <c r="Z182" t="s">
        <v>34</v>
      </c>
      <c r="AA182">
        <v>1</v>
      </c>
    </row>
    <row r="183" spans="1:27" x14ac:dyDescent="0.35">
      <c r="A183" s="13">
        <f t="shared" si="2"/>
        <v>45930</v>
      </c>
      <c r="B183">
        <v>1</v>
      </c>
      <c r="D183" s="14" t="s">
        <v>31</v>
      </c>
      <c r="E183" s="15" t="s">
        <v>32</v>
      </c>
      <c r="F183" s="16" t="s">
        <v>32</v>
      </c>
      <c r="G183" s="17"/>
      <c r="H183" s="31" t="s">
        <v>64</v>
      </c>
      <c r="I183" s="31" t="s">
        <v>64</v>
      </c>
      <c r="K183" s="20">
        <f>AGI!K183</f>
        <v>181</v>
      </c>
      <c r="L183" s="20">
        <f>AGI!L183</f>
        <v>0</v>
      </c>
      <c r="M183" s="21">
        <f>AGI!M183</f>
        <v>51440</v>
      </c>
      <c r="N183" s="21">
        <f>AGI!N183</f>
        <v>51440</v>
      </c>
      <c r="O183" s="21">
        <f>AGI!O183</f>
        <v>51440</v>
      </c>
      <c r="P183" s="24">
        <v>0</v>
      </c>
      <c r="V183">
        <v>1</v>
      </c>
      <c r="W183" t="s">
        <v>33</v>
      </c>
      <c r="Y183" t="s">
        <v>33</v>
      </c>
      <c r="Z183" t="s">
        <v>34</v>
      </c>
      <c r="AA183">
        <v>1</v>
      </c>
    </row>
    <row r="184" spans="1:27" x14ac:dyDescent="0.35">
      <c r="A184" s="13">
        <f t="shared" si="2"/>
        <v>45930</v>
      </c>
      <c r="B184">
        <v>1</v>
      </c>
      <c r="D184" s="14" t="s">
        <v>31</v>
      </c>
      <c r="E184" s="15" t="s">
        <v>32</v>
      </c>
      <c r="F184" s="16" t="s">
        <v>32</v>
      </c>
      <c r="G184" s="17"/>
      <c r="H184" s="31" t="s">
        <v>64</v>
      </c>
      <c r="I184" s="31" t="s">
        <v>64</v>
      </c>
      <c r="K184" s="20">
        <f>AGI!K184</f>
        <v>182</v>
      </c>
      <c r="L184" s="20">
        <f>AGI!L184</f>
        <v>0</v>
      </c>
      <c r="M184" s="21">
        <f>AGI!M184</f>
        <v>51470</v>
      </c>
      <c r="N184" s="21">
        <f>AGI!N184</f>
        <v>51470</v>
      </c>
      <c r="O184" s="21">
        <f>AGI!O184</f>
        <v>51470</v>
      </c>
      <c r="P184" s="24">
        <v>0</v>
      </c>
      <c r="V184">
        <v>1</v>
      </c>
      <c r="W184" t="s">
        <v>33</v>
      </c>
      <c r="Y184" t="s">
        <v>33</v>
      </c>
      <c r="Z184" t="s">
        <v>34</v>
      </c>
      <c r="AA184">
        <v>1</v>
      </c>
    </row>
    <row r="185" spans="1:27" x14ac:dyDescent="0.35">
      <c r="A185" s="13">
        <f t="shared" si="2"/>
        <v>45930</v>
      </c>
      <c r="B185">
        <v>1</v>
      </c>
      <c r="D185" s="14" t="s">
        <v>31</v>
      </c>
      <c r="E185" s="15" t="s">
        <v>32</v>
      </c>
      <c r="F185" s="16" t="s">
        <v>32</v>
      </c>
      <c r="G185" s="17"/>
      <c r="H185" s="31" t="s">
        <v>64</v>
      </c>
      <c r="I185" s="31" t="s">
        <v>64</v>
      </c>
      <c r="K185" s="20">
        <f>AGI!K185</f>
        <v>183</v>
      </c>
      <c r="L185" s="20">
        <f>AGI!L185</f>
        <v>0</v>
      </c>
      <c r="M185" s="21">
        <f>AGI!M185</f>
        <v>51501</v>
      </c>
      <c r="N185" s="21">
        <f>AGI!N185</f>
        <v>51501</v>
      </c>
      <c r="O185" s="21">
        <f>AGI!O185</f>
        <v>51501</v>
      </c>
      <c r="P185" s="95">
        <f>AGI!P185</f>
        <v>104.66523349196908</v>
      </c>
      <c r="V185">
        <v>1</v>
      </c>
      <c r="W185" t="s">
        <v>33</v>
      </c>
      <c r="Y185" t="s">
        <v>33</v>
      </c>
      <c r="Z185" t="s">
        <v>34</v>
      </c>
      <c r="AA185">
        <v>1</v>
      </c>
    </row>
    <row r="186" spans="1:27" x14ac:dyDescent="0.35">
      <c r="A186" s="13">
        <f t="shared" si="2"/>
        <v>45930</v>
      </c>
      <c r="B186">
        <v>1</v>
      </c>
      <c r="D186" s="14" t="s">
        <v>31</v>
      </c>
      <c r="E186" s="15" t="s">
        <v>32</v>
      </c>
      <c r="F186" s="16" t="s">
        <v>32</v>
      </c>
      <c r="G186" s="17"/>
      <c r="H186" s="31" t="s">
        <v>64</v>
      </c>
      <c r="I186" s="31" t="s">
        <v>64</v>
      </c>
      <c r="K186" s="20">
        <f>AGI!K186</f>
        <v>184</v>
      </c>
      <c r="L186" s="20">
        <f>AGI!L186</f>
        <v>0</v>
      </c>
      <c r="M186" s="21">
        <f>AGI!M186</f>
        <v>51532</v>
      </c>
      <c r="N186" s="21">
        <f>AGI!N186</f>
        <v>51532</v>
      </c>
      <c r="O186" s="21">
        <f>AGI!O186</f>
        <v>51532</v>
      </c>
      <c r="P186" s="95">
        <f>AGI!P186</f>
        <v>104.66523349196908</v>
      </c>
      <c r="V186">
        <v>1</v>
      </c>
      <c r="W186" t="s">
        <v>33</v>
      </c>
      <c r="Y186" t="s">
        <v>33</v>
      </c>
      <c r="Z186" t="s">
        <v>34</v>
      </c>
      <c r="AA186">
        <v>1</v>
      </c>
    </row>
    <row r="187" spans="1:27" x14ac:dyDescent="0.35">
      <c r="A187" s="13">
        <f t="shared" si="2"/>
        <v>45930</v>
      </c>
      <c r="B187">
        <v>1</v>
      </c>
      <c r="D187" s="14" t="s">
        <v>31</v>
      </c>
      <c r="E187" s="15" t="s">
        <v>32</v>
      </c>
      <c r="F187" s="16" t="s">
        <v>32</v>
      </c>
      <c r="G187" s="17"/>
      <c r="H187" s="31" t="s">
        <v>64</v>
      </c>
      <c r="I187" s="31" t="s">
        <v>64</v>
      </c>
      <c r="K187" s="20">
        <f>AGI!K187</f>
        <v>185</v>
      </c>
      <c r="L187" s="20">
        <f>AGI!L187</f>
        <v>0</v>
      </c>
      <c r="M187" s="21">
        <f>AGI!M187</f>
        <v>51560</v>
      </c>
      <c r="N187" s="21">
        <f>AGI!N187</f>
        <v>51560</v>
      </c>
      <c r="O187" s="21">
        <f>AGI!O187</f>
        <v>51560</v>
      </c>
      <c r="P187" s="95">
        <f>AGI!P187</f>
        <v>104.66523349196908</v>
      </c>
      <c r="V187">
        <v>1</v>
      </c>
      <c r="W187" t="s">
        <v>33</v>
      </c>
      <c r="Y187" t="s">
        <v>33</v>
      </c>
      <c r="Z187" t="s">
        <v>34</v>
      </c>
      <c r="AA187">
        <v>1</v>
      </c>
    </row>
    <row r="188" spans="1:27" x14ac:dyDescent="0.35">
      <c r="A188" s="13">
        <f t="shared" si="2"/>
        <v>45930</v>
      </c>
      <c r="B188">
        <v>1</v>
      </c>
      <c r="D188" s="14" t="s">
        <v>31</v>
      </c>
      <c r="E188" s="15" t="s">
        <v>32</v>
      </c>
      <c r="F188" s="16" t="s">
        <v>32</v>
      </c>
      <c r="G188" s="17"/>
      <c r="H188" s="31" t="s">
        <v>64</v>
      </c>
      <c r="I188" s="31" t="s">
        <v>64</v>
      </c>
      <c r="K188" s="20">
        <f>AGI!K188</f>
        <v>186</v>
      </c>
      <c r="L188" s="20">
        <f>AGI!L188</f>
        <v>0</v>
      </c>
      <c r="M188" s="21">
        <f>AGI!M188</f>
        <v>51591</v>
      </c>
      <c r="N188" s="21">
        <f>AGI!N188</f>
        <v>51591</v>
      </c>
      <c r="O188" s="21">
        <f>AGI!O188</f>
        <v>51591</v>
      </c>
      <c r="P188" s="95">
        <f>AGI!P188</f>
        <v>104.66523349196908</v>
      </c>
      <c r="V188">
        <v>1</v>
      </c>
      <c r="W188" t="s">
        <v>33</v>
      </c>
      <c r="Y188" t="s">
        <v>33</v>
      </c>
      <c r="Z188" t="s">
        <v>34</v>
      </c>
      <c r="AA188">
        <v>1</v>
      </c>
    </row>
    <row r="189" spans="1:27" x14ac:dyDescent="0.35">
      <c r="A189" s="13">
        <f t="shared" si="2"/>
        <v>45930</v>
      </c>
      <c r="B189">
        <v>1</v>
      </c>
      <c r="D189" s="14" t="s">
        <v>31</v>
      </c>
      <c r="E189" s="15" t="s">
        <v>32</v>
      </c>
      <c r="F189" s="16" t="s">
        <v>32</v>
      </c>
      <c r="G189" s="17"/>
      <c r="H189" s="31" t="s">
        <v>64</v>
      </c>
      <c r="I189" s="31" t="s">
        <v>64</v>
      </c>
      <c r="K189" s="20">
        <f>AGI!K189</f>
        <v>187</v>
      </c>
      <c r="L189" s="20">
        <f>AGI!L189</f>
        <v>0</v>
      </c>
      <c r="M189" s="21">
        <f>AGI!M189</f>
        <v>51621</v>
      </c>
      <c r="N189" s="21">
        <f>AGI!N189</f>
        <v>51621</v>
      </c>
      <c r="O189" s="21">
        <f>AGI!O189</f>
        <v>51621</v>
      </c>
      <c r="P189" s="95">
        <f>AGI!P189</f>
        <v>104.66523349196908</v>
      </c>
      <c r="V189">
        <v>1</v>
      </c>
      <c r="W189" t="s">
        <v>33</v>
      </c>
      <c r="Y189" t="s">
        <v>33</v>
      </c>
      <c r="Z189" t="s">
        <v>34</v>
      </c>
      <c r="AA189">
        <v>1</v>
      </c>
    </row>
    <row r="190" spans="1:27" x14ac:dyDescent="0.35">
      <c r="A190" s="13">
        <f t="shared" si="2"/>
        <v>45930</v>
      </c>
      <c r="B190">
        <v>1</v>
      </c>
      <c r="D190" s="14" t="s">
        <v>31</v>
      </c>
      <c r="E190" s="15" t="s">
        <v>32</v>
      </c>
      <c r="F190" s="16" t="s">
        <v>32</v>
      </c>
      <c r="G190" s="17"/>
      <c r="H190" s="31" t="s">
        <v>64</v>
      </c>
      <c r="I190" s="31" t="s">
        <v>64</v>
      </c>
      <c r="K190" s="20">
        <f>AGI!K190</f>
        <v>188</v>
      </c>
      <c r="L190" s="20">
        <f>AGI!L190</f>
        <v>0</v>
      </c>
      <c r="M190" s="21">
        <f>AGI!M190</f>
        <v>51652</v>
      </c>
      <c r="N190" s="21">
        <f>AGI!N190</f>
        <v>51652</v>
      </c>
      <c r="O190" s="21">
        <f>AGI!O190</f>
        <v>51652</v>
      </c>
      <c r="P190" s="95">
        <f>AGI!P190</f>
        <v>104.66523349196908</v>
      </c>
      <c r="V190">
        <v>1</v>
      </c>
      <c r="W190" t="s">
        <v>33</v>
      </c>
      <c r="Y190" t="s">
        <v>33</v>
      </c>
      <c r="Z190" t="s">
        <v>34</v>
      </c>
      <c r="AA190">
        <v>1</v>
      </c>
    </row>
    <row r="191" spans="1:27" x14ac:dyDescent="0.35">
      <c r="A191" s="13">
        <f t="shared" si="2"/>
        <v>45930</v>
      </c>
      <c r="B191">
        <v>1</v>
      </c>
      <c r="D191" s="14" t="s">
        <v>31</v>
      </c>
      <c r="E191" s="15" t="s">
        <v>32</v>
      </c>
      <c r="F191" s="16" t="s">
        <v>32</v>
      </c>
      <c r="G191" s="17"/>
      <c r="H191" s="31" t="s">
        <v>64</v>
      </c>
      <c r="I191" s="31" t="s">
        <v>64</v>
      </c>
      <c r="K191" s="20">
        <f>AGI!K191</f>
        <v>189</v>
      </c>
      <c r="L191" s="20">
        <f>AGI!L191</f>
        <v>0</v>
      </c>
      <c r="M191" s="21">
        <f>AGI!M191</f>
        <v>51682</v>
      </c>
      <c r="N191" s="21">
        <f>AGI!N191</f>
        <v>51682</v>
      </c>
      <c r="O191" s="21">
        <f>AGI!O191</f>
        <v>51682</v>
      </c>
      <c r="P191" s="95">
        <f>AGI!P191</f>
        <v>104.66523349196908</v>
      </c>
      <c r="V191">
        <v>1</v>
      </c>
      <c r="W191" t="s">
        <v>33</v>
      </c>
      <c r="Y191" t="s">
        <v>33</v>
      </c>
      <c r="Z191" t="s">
        <v>34</v>
      </c>
      <c r="AA191">
        <v>1</v>
      </c>
    </row>
    <row r="192" spans="1:27" x14ac:dyDescent="0.35">
      <c r="A192" s="13">
        <f t="shared" si="2"/>
        <v>45930</v>
      </c>
      <c r="B192">
        <v>1</v>
      </c>
      <c r="D192" s="14" t="s">
        <v>31</v>
      </c>
      <c r="E192" s="15" t="s">
        <v>32</v>
      </c>
      <c r="F192" s="16" t="s">
        <v>32</v>
      </c>
      <c r="G192" s="17"/>
      <c r="H192" s="31" t="s">
        <v>64</v>
      </c>
      <c r="I192" s="31" t="s">
        <v>64</v>
      </c>
      <c r="K192" s="20">
        <f>AGI!K192</f>
        <v>190</v>
      </c>
      <c r="L192" s="20">
        <f>AGI!L192</f>
        <v>0</v>
      </c>
      <c r="M192" s="21">
        <f>AGI!M192</f>
        <v>51713</v>
      </c>
      <c r="N192" s="21">
        <f>AGI!N192</f>
        <v>51713</v>
      </c>
      <c r="O192" s="21">
        <f>AGI!O192</f>
        <v>51713</v>
      </c>
      <c r="P192" s="95">
        <f>AGI!P192</f>
        <v>104.66523349196908</v>
      </c>
      <c r="V192">
        <v>1</v>
      </c>
      <c r="W192" t="s">
        <v>33</v>
      </c>
      <c r="Y192" t="s">
        <v>33</v>
      </c>
      <c r="Z192" t="s">
        <v>34</v>
      </c>
      <c r="AA192">
        <v>1</v>
      </c>
    </row>
    <row r="193" spans="1:27" x14ac:dyDescent="0.35">
      <c r="A193" s="13">
        <f t="shared" si="2"/>
        <v>45930</v>
      </c>
      <c r="B193">
        <v>1</v>
      </c>
      <c r="D193" s="14" t="s">
        <v>31</v>
      </c>
      <c r="E193" s="15" t="s">
        <v>32</v>
      </c>
      <c r="F193" s="16" t="s">
        <v>32</v>
      </c>
      <c r="G193" s="17"/>
      <c r="H193" s="31" t="s">
        <v>64</v>
      </c>
      <c r="I193" s="31" t="s">
        <v>64</v>
      </c>
      <c r="K193" s="20">
        <f>AGI!K193</f>
        <v>191</v>
      </c>
      <c r="L193" s="20">
        <f>AGI!L193</f>
        <v>0</v>
      </c>
      <c r="M193" s="21">
        <f>AGI!M193</f>
        <v>51744</v>
      </c>
      <c r="N193" s="21">
        <f>AGI!N193</f>
        <v>51744</v>
      </c>
      <c r="O193" s="21">
        <f>AGI!O193</f>
        <v>51744</v>
      </c>
      <c r="P193" s="95">
        <f>AGI!P193</f>
        <v>104.66523349196908</v>
      </c>
      <c r="V193">
        <v>1</v>
      </c>
      <c r="W193" t="s">
        <v>33</v>
      </c>
      <c r="Y193" t="s">
        <v>33</v>
      </c>
      <c r="Z193" t="s">
        <v>34</v>
      </c>
      <c r="AA193">
        <v>1</v>
      </c>
    </row>
    <row r="194" spans="1:27" x14ac:dyDescent="0.35">
      <c r="A194" s="13">
        <f t="shared" si="2"/>
        <v>45930</v>
      </c>
      <c r="B194">
        <v>1</v>
      </c>
      <c r="D194" s="14" t="s">
        <v>31</v>
      </c>
      <c r="E194" s="15" t="s">
        <v>32</v>
      </c>
      <c r="F194" s="16" t="s">
        <v>32</v>
      </c>
      <c r="G194" s="17"/>
      <c r="H194" s="31" t="s">
        <v>64</v>
      </c>
      <c r="I194" s="31" t="s">
        <v>64</v>
      </c>
      <c r="K194" s="20">
        <f>AGI!K194</f>
        <v>192</v>
      </c>
      <c r="L194" s="20">
        <f>AGI!L194</f>
        <v>0</v>
      </c>
      <c r="M194" s="21">
        <f>AGI!M194</f>
        <v>51774</v>
      </c>
      <c r="N194" s="21">
        <f>AGI!N194</f>
        <v>51774</v>
      </c>
      <c r="O194" s="21">
        <f>AGI!O194</f>
        <v>51774</v>
      </c>
      <c r="P194" s="95">
        <f>AGI!P194</f>
        <v>104.66523349196908</v>
      </c>
      <c r="V194">
        <v>1</v>
      </c>
      <c r="W194" t="s">
        <v>33</v>
      </c>
      <c r="Y194" t="s">
        <v>33</v>
      </c>
      <c r="Z194" t="s">
        <v>34</v>
      </c>
      <c r="AA194">
        <v>1</v>
      </c>
    </row>
    <row r="195" spans="1:27" x14ac:dyDescent="0.35">
      <c r="A195" s="13">
        <f t="shared" si="2"/>
        <v>45930</v>
      </c>
      <c r="B195">
        <v>1</v>
      </c>
      <c r="D195" s="14" t="s">
        <v>31</v>
      </c>
      <c r="E195" s="15" t="s">
        <v>32</v>
      </c>
      <c r="F195" s="16" t="s">
        <v>32</v>
      </c>
      <c r="G195" s="17"/>
      <c r="H195" s="31" t="s">
        <v>64</v>
      </c>
      <c r="I195" s="31" t="s">
        <v>64</v>
      </c>
      <c r="K195" s="20">
        <f>AGI!K195</f>
        <v>193</v>
      </c>
      <c r="L195" s="20">
        <f>AGI!L195</f>
        <v>0</v>
      </c>
      <c r="M195" s="21">
        <f>AGI!M195</f>
        <v>51805</v>
      </c>
      <c r="N195" s="21">
        <f>AGI!N195</f>
        <v>51805</v>
      </c>
      <c r="O195" s="21">
        <f>AGI!O195</f>
        <v>51805</v>
      </c>
      <c r="P195" s="95">
        <f>AGI!P195</f>
        <v>104.66523349196908</v>
      </c>
      <c r="V195">
        <v>1</v>
      </c>
      <c r="W195" t="s">
        <v>33</v>
      </c>
      <c r="Y195" t="s">
        <v>33</v>
      </c>
      <c r="Z195" t="s">
        <v>34</v>
      </c>
      <c r="AA195">
        <v>1</v>
      </c>
    </row>
    <row r="196" spans="1:27" x14ac:dyDescent="0.35">
      <c r="A196" s="13">
        <f t="shared" ref="A196:A217" si="3">A195</f>
        <v>45930</v>
      </c>
      <c r="B196">
        <v>1</v>
      </c>
      <c r="D196" s="14" t="s">
        <v>31</v>
      </c>
      <c r="E196" s="15" t="s">
        <v>32</v>
      </c>
      <c r="F196" s="16" t="s">
        <v>32</v>
      </c>
      <c r="G196" s="17"/>
      <c r="H196" s="31" t="s">
        <v>64</v>
      </c>
      <c r="I196" s="31" t="s">
        <v>64</v>
      </c>
      <c r="K196" s="20">
        <f>AGI!K196</f>
        <v>194</v>
      </c>
      <c r="L196" s="20">
        <f>AGI!L196</f>
        <v>0</v>
      </c>
      <c r="M196" s="21">
        <f>AGI!M196</f>
        <v>51835</v>
      </c>
      <c r="N196" s="21">
        <f>AGI!N196</f>
        <v>51835</v>
      </c>
      <c r="O196" s="21">
        <f>AGI!O196</f>
        <v>51835</v>
      </c>
      <c r="P196" s="95">
        <f>AGI!P196</f>
        <v>104.66523349196908</v>
      </c>
      <c r="V196">
        <v>1</v>
      </c>
      <c r="W196" t="s">
        <v>33</v>
      </c>
      <c r="Y196" t="s">
        <v>33</v>
      </c>
      <c r="Z196" t="s">
        <v>34</v>
      </c>
      <c r="AA196">
        <v>1</v>
      </c>
    </row>
    <row r="197" spans="1:27" x14ac:dyDescent="0.35">
      <c r="A197" s="13">
        <f t="shared" si="3"/>
        <v>45930</v>
      </c>
      <c r="B197">
        <v>1</v>
      </c>
      <c r="D197" s="14" t="s">
        <v>31</v>
      </c>
      <c r="E197" s="15" t="s">
        <v>32</v>
      </c>
      <c r="F197" s="16" t="s">
        <v>32</v>
      </c>
      <c r="G197" s="17"/>
      <c r="H197" s="31" t="s">
        <v>64</v>
      </c>
      <c r="I197" s="31" t="s">
        <v>64</v>
      </c>
      <c r="K197" s="20">
        <f>AGI!K197</f>
        <v>195</v>
      </c>
      <c r="L197" s="20">
        <f>AGI!L197</f>
        <v>0</v>
      </c>
      <c r="M197" s="21">
        <f>AGI!M197</f>
        <v>51866</v>
      </c>
      <c r="N197" s="21">
        <f>AGI!N197</f>
        <v>51866</v>
      </c>
      <c r="O197" s="21">
        <f>AGI!O197</f>
        <v>51866</v>
      </c>
      <c r="P197" s="95">
        <f>AGI!P197</f>
        <v>104.66523349196908</v>
      </c>
      <c r="V197">
        <v>1</v>
      </c>
      <c r="W197" t="s">
        <v>33</v>
      </c>
      <c r="Y197" t="s">
        <v>33</v>
      </c>
      <c r="Z197" t="s">
        <v>34</v>
      </c>
      <c r="AA197">
        <v>1</v>
      </c>
    </row>
    <row r="198" spans="1:27" x14ac:dyDescent="0.35">
      <c r="A198" s="13">
        <f t="shared" si="3"/>
        <v>45930</v>
      </c>
      <c r="B198">
        <v>1</v>
      </c>
      <c r="D198" s="14" t="s">
        <v>31</v>
      </c>
      <c r="E198" s="15" t="s">
        <v>32</v>
      </c>
      <c r="F198" s="16" t="s">
        <v>32</v>
      </c>
      <c r="G198" s="17"/>
      <c r="H198" s="31" t="s">
        <v>64</v>
      </c>
      <c r="I198" s="31" t="s">
        <v>64</v>
      </c>
      <c r="K198" s="20">
        <f>AGI!K198</f>
        <v>196</v>
      </c>
      <c r="L198" s="20">
        <f>AGI!L198</f>
        <v>0</v>
      </c>
      <c r="M198" s="21">
        <f>AGI!M198</f>
        <v>51897</v>
      </c>
      <c r="N198" s="21">
        <f>AGI!N198</f>
        <v>51897</v>
      </c>
      <c r="O198" s="21">
        <f>AGI!O198</f>
        <v>51897</v>
      </c>
      <c r="P198" s="95">
        <f>AGI!P198</f>
        <v>104.66523349196908</v>
      </c>
      <c r="V198">
        <v>1</v>
      </c>
      <c r="W198" t="s">
        <v>33</v>
      </c>
      <c r="Y198" t="s">
        <v>33</v>
      </c>
      <c r="Z198" t="s">
        <v>34</v>
      </c>
      <c r="AA198">
        <v>1</v>
      </c>
    </row>
    <row r="199" spans="1:27" x14ac:dyDescent="0.35">
      <c r="A199" s="13">
        <f t="shared" si="3"/>
        <v>45930</v>
      </c>
      <c r="B199">
        <v>1</v>
      </c>
      <c r="D199" s="14" t="s">
        <v>31</v>
      </c>
      <c r="E199" s="15" t="s">
        <v>32</v>
      </c>
      <c r="F199" s="16" t="s">
        <v>32</v>
      </c>
      <c r="G199" s="17"/>
      <c r="H199" s="31" t="s">
        <v>64</v>
      </c>
      <c r="I199" s="31" t="s">
        <v>64</v>
      </c>
      <c r="K199" s="20">
        <f>AGI!K199</f>
        <v>197</v>
      </c>
      <c r="L199" s="20">
        <f>AGI!L199</f>
        <v>0</v>
      </c>
      <c r="M199" s="21">
        <f>AGI!M199</f>
        <v>51925</v>
      </c>
      <c r="N199" s="21">
        <f>AGI!N199</f>
        <v>51925</v>
      </c>
      <c r="O199" s="21">
        <f>AGI!O199</f>
        <v>51925</v>
      </c>
      <c r="P199" s="95">
        <f>AGI!P199</f>
        <v>104.66523349196908</v>
      </c>
      <c r="V199">
        <v>1</v>
      </c>
      <c r="W199" t="s">
        <v>33</v>
      </c>
      <c r="Y199" t="s">
        <v>33</v>
      </c>
      <c r="Z199" t="s">
        <v>34</v>
      </c>
      <c r="AA199">
        <v>1</v>
      </c>
    </row>
    <row r="200" spans="1:27" x14ac:dyDescent="0.35">
      <c r="A200" s="13">
        <f t="shared" si="3"/>
        <v>45930</v>
      </c>
      <c r="B200">
        <v>1</v>
      </c>
      <c r="D200" s="14" t="s">
        <v>31</v>
      </c>
      <c r="E200" s="15" t="s">
        <v>32</v>
      </c>
      <c r="F200" s="16" t="s">
        <v>32</v>
      </c>
      <c r="G200" s="17"/>
      <c r="H200" s="31" t="s">
        <v>64</v>
      </c>
      <c r="I200" s="31" t="s">
        <v>64</v>
      </c>
      <c r="K200" s="20">
        <f>AGI!K200</f>
        <v>198</v>
      </c>
      <c r="L200" s="20">
        <f>AGI!L200</f>
        <v>0</v>
      </c>
      <c r="M200" s="21">
        <f>AGI!M200</f>
        <v>51956</v>
      </c>
      <c r="N200" s="21">
        <f>AGI!N200</f>
        <v>51956</v>
      </c>
      <c r="O200" s="21">
        <f>AGI!O200</f>
        <v>51956</v>
      </c>
      <c r="P200" s="95">
        <f>AGI!P200</f>
        <v>104.66523349196908</v>
      </c>
      <c r="V200">
        <v>1</v>
      </c>
      <c r="W200" t="s">
        <v>33</v>
      </c>
      <c r="Y200" t="s">
        <v>33</v>
      </c>
      <c r="Z200" t="s">
        <v>34</v>
      </c>
      <c r="AA200">
        <v>1</v>
      </c>
    </row>
    <row r="201" spans="1:27" x14ac:dyDescent="0.35">
      <c r="A201" s="13">
        <f t="shared" si="3"/>
        <v>45930</v>
      </c>
      <c r="B201">
        <v>1</v>
      </c>
      <c r="D201" s="14" t="s">
        <v>31</v>
      </c>
      <c r="E201" s="15" t="s">
        <v>32</v>
      </c>
      <c r="F201" s="16" t="s">
        <v>32</v>
      </c>
      <c r="G201" s="17"/>
      <c r="H201" s="31" t="s">
        <v>64</v>
      </c>
      <c r="I201" s="31" t="s">
        <v>64</v>
      </c>
      <c r="K201" s="20">
        <f>AGI!K201</f>
        <v>199</v>
      </c>
      <c r="L201" s="20">
        <f>AGI!L201</f>
        <v>0</v>
      </c>
      <c r="M201" s="21">
        <f>AGI!M201</f>
        <v>51986</v>
      </c>
      <c r="N201" s="21">
        <f>AGI!N201</f>
        <v>51986</v>
      </c>
      <c r="O201" s="21">
        <f>AGI!O201</f>
        <v>51986</v>
      </c>
      <c r="P201" s="95">
        <f>AGI!P201</f>
        <v>104.66523349196908</v>
      </c>
      <c r="V201">
        <v>1</v>
      </c>
      <c r="W201" t="s">
        <v>33</v>
      </c>
      <c r="Y201" t="s">
        <v>33</v>
      </c>
      <c r="Z201" t="s">
        <v>34</v>
      </c>
      <c r="AA201">
        <v>1</v>
      </c>
    </row>
    <row r="202" spans="1:27" x14ac:dyDescent="0.35">
      <c r="A202" s="13">
        <f t="shared" si="3"/>
        <v>45930</v>
      </c>
      <c r="B202">
        <v>1</v>
      </c>
      <c r="D202" s="14" t="s">
        <v>31</v>
      </c>
      <c r="E202" s="15" t="s">
        <v>32</v>
      </c>
      <c r="F202" s="16" t="s">
        <v>32</v>
      </c>
      <c r="G202" s="17"/>
      <c r="H202" s="31" t="s">
        <v>64</v>
      </c>
      <c r="I202" s="31" t="s">
        <v>64</v>
      </c>
      <c r="K202" s="20">
        <f>AGI!K202</f>
        <v>200</v>
      </c>
      <c r="L202" s="20">
        <f>AGI!L202</f>
        <v>0</v>
      </c>
      <c r="M202" s="21">
        <f>AGI!M202</f>
        <v>52017</v>
      </c>
      <c r="N202" s="21">
        <f>AGI!N202</f>
        <v>52017</v>
      </c>
      <c r="O202" s="21">
        <f>AGI!O202</f>
        <v>52017</v>
      </c>
      <c r="P202" s="95">
        <f>AGI!P202</f>
        <v>104.66523349196908</v>
      </c>
      <c r="V202">
        <v>1</v>
      </c>
      <c r="W202" t="s">
        <v>33</v>
      </c>
      <c r="Y202" t="s">
        <v>33</v>
      </c>
      <c r="Z202" t="s">
        <v>34</v>
      </c>
      <c r="AA202">
        <v>1</v>
      </c>
    </row>
    <row r="203" spans="1:27" x14ac:dyDescent="0.35">
      <c r="A203" s="13">
        <f t="shared" si="3"/>
        <v>45930</v>
      </c>
      <c r="B203">
        <v>1</v>
      </c>
      <c r="D203" s="14" t="s">
        <v>31</v>
      </c>
      <c r="E203" s="15" t="s">
        <v>32</v>
      </c>
      <c r="F203" s="16" t="s">
        <v>32</v>
      </c>
      <c r="G203" s="17"/>
      <c r="H203" s="31" t="s">
        <v>64</v>
      </c>
      <c r="I203" s="31" t="s">
        <v>64</v>
      </c>
      <c r="K203" s="20">
        <f>AGI!K203</f>
        <v>201</v>
      </c>
      <c r="L203" s="20">
        <f>AGI!L203</f>
        <v>0</v>
      </c>
      <c r="M203" s="21">
        <f>AGI!M203</f>
        <v>52047</v>
      </c>
      <c r="N203" s="21">
        <f>AGI!N203</f>
        <v>52047</v>
      </c>
      <c r="O203" s="21">
        <f>AGI!O203</f>
        <v>52047</v>
      </c>
      <c r="P203" s="95">
        <f>AGI!P203</f>
        <v>104.66523349196908</v>
      </c>
      <c r="V203">
        <v>1</v>
      </c>
      <c r="W203" t="s">
        <v>33</v>
      </c>
      <c r="Y203" t="s">
        <v>33</v>
      </c>
      <c r="Z203" t="s">
        <v>34</v>
      </c>
      <c r="AA203">
        <v>1</v>
      </c>
    </row>
    <row r="204" spans="1:27" x14ac:dyDescent="0.35">
      <c r="A204" s="13">
        <f t="shared" si="3"/>
        <v>45930</v>
      </c>
      <c r="B204">
        <v>1</v>
      </c>
      <c r="D204" s="14" t="s">
        <v>31</v>
      </c>
      <c r="E204" s="15" t="s">
        <v>32</v>
      </c>
      <c r="F204" s="16" t="s">
        <v>32</v>
      </c>
      <c r="G204" s="17"/>
      <c r="H204" s="31" t="s">
        <v>64</v>
      </c>
      <c r="I204" s="31" t="s">
        <v>64</v>
      </c>
      <c r="K204" s="20">
        <f>AGI!K204</f>
        <v>202</v>
      </c>
      <c r="L204" s="20">
        <f>AGI!L204</f>
        <v>0</v>
      </c>
      <c r="M204" s="21">
        <f>AGI!M204</f>
        <v>52078</v>
      </c>
      <c r="N204" s="21">
        <f>AGI!N204</f>
        <v>52078</v>
      </c>
      <c r="O204" s="21">
        <f>AGI!O204</f>
        <v>52078</v>
      </c>
      <c r="P204" s="95">
        <f>AGI!P204</f>
        <v>104.66523349196908</v>
      </c>
      <c r="V204">
        <v>1</v>
      </c>
      <c r="W204" t="s">
        <v>33</v>
      </c>
      <c r="Y204" t="s">
        <v>33</v>
      </c>
      <c r="Z204" t="s">
        <v>34</v>
      </c>
      <c r="AA204">
        <v>1</v>
      </c>
    </row>
    <row r="205" spans="1:27" x14ac:dyDescent="0.35">
      <c r="A205" s="13">
        <f t="shared" si="3"/>
        <v>45930</v>
      </c>
      <c r="B205">
        <v>1</v>
      </c>
      <c r="D205" s="14" t="s">
        <v>31</v>
      </c>
      <c r="E205" s="15" t="s">
        <v>32</v>
      </c>
      <c r="F205" s="16" t="s">
        <v>32</v>
      </c>
      <c r="G205" s="17"/>
      <c r="H205" s="31" t="s">
        <v>64</v>
      </c>
      <c r="I205" s="31" t="s">
        <v>64</v>
      </c>
      <c r="K205" s="20">
        <f>AGI!K205</f>
        <v>203</v>
      </c>
      <c r="L205" s="20">
        <f>AGI!L205</f>
        <v>0</v>
      </c>
      <c r="M205" s="21">
        <f>AGI!M205</f>
        <v>52109</v>
      </c>
      <c r="N205" s="21">
        <f>AGI!N205</f>
        <v>52109</v>
      </c>
      <c r="O205" s="21">
        <f>AGI!O205</f>
        <v>52109</v>
      </c>
      <c r="P205" s="95">
        <f>AGI!P205</f>
        <v>104.66523349196908</v>
      </c>
      <c r="V205">
        <v>1</v>
      </c>
      <c r="W205" t="s">
        <v>33</v>
      </c>
      <c r="Y205" t="s">
        <v>33</v>
      </c>
      <c r="Z205" t="s">
        <v>34</v>
      </c>
      <c r="AA205">
        <v>1</v>
      </c>
    </row>
    <row r="206" spans="1:27" x14ac:dyDescent="0.35">
      <c r="A206" s="13">
        <f t="shared" si="3"/>
        <v>45930</v>
      </c>
      <c r="B206">
        <v>1</v>
      </c>
      <c r="D206" s="14" t="s">
        <v>31</v>
      </c>
      <c r="E206" s="15" t="s">
        <v>32</v>
      </c>
      <c r="F206" s="16" t="s">
        <v>32</v>
      </c>
      <c r="G206" s="17"/>
      <c r="H206" s="31" t="s">
        <v>64</v>
      </c>
      <c r="I206" s="31" t="s">
        <v>64</v>
      </c>
      <c r="K206" s="20">
        <f>AGI!K206</f>
        <v>204</v>
      </c>
      <c r="L206" s="20">
        <f>AGI!L206</f>
        <v>0</v>
      </c>
      <c r="M206" s="21">
        <f>AGI!M206</f>
        <v>52139</v>
      </c>
      <c r="N206" s="21">
        <f>AGI!N206</f>
        <v>52139</v>
      </c>
      <c r="O206" s="21">
        <f>AGI!O206</f>
        <v>52139</v>
      </c>
      <c r="P206" s="95">
        <f>AGI!P206</f>
        <v>104.66523349196908</v>
      </c>
      <c r="V206">
        <v>1</v>
      </c>
      <c r="W206" t="s">
        <v>33</v>
      </c>
      <c r="Y206" t="s">
        <v>33</v>
      </c>
      <c r="Z206" t="s">
        <v>34</v>
      </c>
      <c r="AA206">
        <v>1</v>
      </c>
    </row>
    <row r="207" spans="1:27" x14ac:dyDescent="0.35">
      <c r="A207" s="13">
        <f t="shared" si="3"/>
        <v>45930</v>
      </c>
      <c r="B207">
        <v>1</v>
      </c>
      <c r="D207" s="14" t="s">
        <v>31</v>
      </c>
      <c r="E207" s="15" t="s">
        <v>32</v>
      </c>
      <c r="F207" s="16" t="s">
        <v>32</v>
      </c>
      <c r="G207" s="17"/>
      <c r="H207" s="31" t="s">
        <v>64</v>
      </c>
      <c r="I207" s="31" t="s">
        <v>64</v>
      </c>
      <c r="K207" s="20">
        <f>AGI!K207</f>
        <v>205</v>
      </c>
      <c r="L207" s="20">
        <f>AGI!L207</f>
        <v>0</v>
      </c>
      <c r="M207" s="21">
        <f>AGI!M207</f>
        <v>52170</v>
      </c>
      <c r="N207" s="21">
        <f>AGI!N207</f>
        <v>52170</v>
      </c>
      <c r="O207" s="21">
        <f>AGI!O207</f>
        <v>52170</v>
      </c>
      <c r="P207" s="95">
        <f>AGI!P207</f>
        <v>90.917367638310537</v>
      </c>
      <c r="V207">
        <v>1</v>
      </c>
      <c r="W207" t="s">
        <v>33</v>
      </c>
      <c r="Y207" t="s">
        <v>33</v>
      </c>
      <c r="Z207" t="s">
        <v>34</v>
      </c>
      <c r="AA207">
        <v>1</v>
      </c>
    </row>
    <row r="208" spans="1:27" x14ac:dyDescent="0.35">
      <c r="A208" s="13">
        <f t="shared" si="3"/>
        <v>45930</v>
      </c>
      <c r="B208">
        <v>1</v>
      </c>
      <c r="D208" s="14" t="s">
        <v>31</v>
      </c>
      <c r="E208" s="15" t="s">
        <v>32</v>
      </c>
      <c r="F208" s="16" t="s">
        <v>32</v>
      </c>
      <c r="G208" s="17"/>
      <c r="H208" s="31" t="s">
        <v>64</v>
      </c>
      <c r="I208" s="31" t="s">
        <v>64</v>
      </c>
      <c r="K208" s="20">
        <f>AGI!K208</f>
        <v>206</v>
      </c>
      <c r="L208" s="20">
        <f>AGI!L208</f>
        <v>0</v>
      </c>
      <c r="M208" s="21">
        <f>AGI!M208</f>
        <v>52200</v>
      </c>
      <c r="N208" s="21">
        <f>AGI!N208</f>
        <v>52200</v>
      </c>
      <c r="O208" s="21">
        <f>AGI!O208</f>
        <v>52200</v>
      </c>
      <c r="P208" s="95">
        <f>AGI!P208</f>
        <v>0</v>
      </c>
      <c r="V208">
        <v>1</v>
      </c>
      <c r="W208" t="s">
        <v>33</v>
      </c>
      <c r="Y208" t="s">
        <v>33</v>
      </c>
      <c r="Z208" t="s">
        <v>34</v>
      </c>
      <c r="AA208">
        <v>1</v>
      </c>
    </row>
    <row r="209" spans="1:27" x14ac:dyDescent="0.35">
      <c r="A209" s="13">
        <f t="shared" si="3"/>
        <v>45930</v>
      </c>
      <c r="B209">
        <v>1</v>
      </c>
      <c r="D209" s="14" t="s">
        <v>31</v>
      </c>
      <c r="E209" s="15" t="s">
        <v>32</v>
      </c>
      <c r="F209" s="16" t="s">
        <v>32</v>
      </c>
      <c r="G209" s="17"/>
      <c r="H209" s="31" t="s">
        <v>64</v>
      </c>
      <c r="I209" s="31" t="s">
        <v>64</v>
      </c>
      <c r="K209" s="20">
        <f>AGI!K209</f>
        <v>207</v>
      </c>
      <c r="L209" s="20">
        <f>AGI!L209</f>
        <v>0</v>
      </c>
      <c r="M209" s="21">
        <f>AGI!M209</f>
        <v>52231</v>
      </c>
      <c r="N209" s="21">
        <f>AGI!N209</f>
        <v>52231</v>
      </c>
      <c r="O209" s="21">
        <f>AGI!O209</f>
        <v>52231</v>
      </c>
      <c r="P209" s="95">
        <f>AGI!P209</f>
        <v>0</v>
      </c>
      <c r="V209">
        <v>1</v>
      </c>
      <c r="W209" t="s">
        <v>33</v>
      </c>
      <c r="Y209" t="s">
        <v>33</v>
      </c>
      <c r="Z209" t="s">
        <v>34</v>
      </c>
      <c r="AA209">
        <v>1</v>
      </c>
    </row>
    <row r="210" spans="1:27" x14ac:dyDescent="0.35">
      <c r="A210" s="13">
        <f t="shared" si="3"/>
        <v>45930</v>
      </c>
      <c r="B210">
        <v>1</v>
      </c>
      <c r="D210" s="14" t="s">
        <v>31</v>
      </c>
      <c r="E210" s="15" t="s">
        <v>32</v>
      </c>
      <c r="F210" s="16" t="s">
        <v>32</v>
      </c>
      <c r="G210" s="17"/>
      <c r="H210" s="31" t="s">
        <v>64</v>
      </c>
      <c r="I210" s="31" t="s">
        <v>64</v>
      </c>
      <c r="K210" s="20">
        <f>AGI!K210</f>
        <v>208</v>
      </c>
      <c r="L210" s="20">
        <f>AGI!L210</f>
        <v>0</v>
      </c>
      <c r="M210" s="21">
        <f>AGI!M210</f>
        <v>52262</v>
      </c>
      <c r="N210" s="21">
        <f>AGI!N210</f>
        <v>52262</v>
      </c>
      <c r="O210" s="21">
        <f>AGI!O210</f>
        <v>52262</v>
      </c>
      <c r="P210" s="95">
        <f>AGI!P210</f>
        <v>0</v>
      </c>
      <c r="V210">
        <v>1</v>
      </c>
      <c r="W210" t="s">
        <v>33</v>
      </c>
      <c r="Y210" t="s">
        <v>33</v>
      </c>
      <c r="Z210" t="s">
        <v>34</v>
      </c>
      <c r="AA210">
        <v>1</v>
      </c>
    </row>
    <row r="211" spans="1:27" x14ac:dyDescent="0.35">
      <c r="A211" s="13">
        <f t="shared" si="3"/>
        <v>45930</v>
      </c>
      <c r="B211">
        <v>1</v>
      </c>
      <c r="D211" s="14" t="s">
        <v>31</v>
      </c>
      <c r="E211" s="15" t="s">
        <v>32</v>
      </c>
      <c r="F211" s="16" t="s">
        <v>32</v>
      </c>
      <c r="G211" s="17"/>
      <c r="H211" s="31" t="s">
        <v>64</v>
      </c>
      <c r="I211" s="31" t="s">
        <v>64</v>
      </c>
      <c r="K211" s="20">
        <f>AGI!K211</f>
        <v>209</v>
      </c>
      <c r="L211" s="20">
        <f>AGI!L211</f>
        <v>0</v>
      </c>
      <c r="M211" s="21">
        <f>AGI!M211</f>
        <v>52290</v>
      </c>
      <c r="N211" s="21">
        <f>AGI!N211</f>
        <v>52290</v>
      </c>
      <c r="O211" s="21">
        <f>AGI!O211</f>
        <v>52290</v>
      </c>
      <c r="P211" s="95">
        <f>AGI!P211</f>
        <v>0</v>
      </c>
      <c r="V211">
        <v>1</v>
      </c>
      <c r="W211" t="s">
        <v>33</v>
      </c>
      <c r="Y211" t="s">
        <v>33</v>
      </c>
      <c r="Z211" t="s">
        <v>34</v>
      </c>
      <c r="AA211">
        <v>1</v>
      </c>
    </row>
    <row r="212" spans="1:27" x14ac:dyDescent="0.35">
      <c r="A212" s="13">
        <f t="shared" si="3"/>
        <v>45930</v>
      </c>
      <c r="B212">
        <v>1</v>
      </c>
      <c r="D212" s="14" t="s">
        <v>31</v>
      </c>
      <c r="E212" s="15" t="s">
        <v>32</v>
      </c>
      <c r="F212" s="16" t="s">
        <v>32</v>
      </c>
      <c r="G212" s="17"/>
      <c r="H212" s="31" t="s">
        <v>64</v>
      </c>
      <c r="I212" s="31" t="s">
        <v>64</v>
      </c>
      <c r="K212" s="20">
        <f>AGI!K212</f>
        <v>210</v>
      </c>
      <c r="L212" s="20">
        <f>AGI!L212</f>
        <v>0</v>
      </c>
      <c r="M212" s="21">
        <f>AGI!M212</f>
        <v>52321</v>
      </c>
      <c r="N212" s="21">
        <f>AGI!N212</f>
        <v>52321</v>
      </c>
      <c r="O212" s="21">
        <f>AGI!O212</f>
        <v>52321</v>
      </c>
      <c r="P212" s="95">
        <f>AGI!P212</f>
        <v>0</v>
      </c>
      <c r="V212">
        <v>1</v>
      </c>
      <c r="W212" t="s">
        <v>33</v>
      </c>
      <c r="Y212" t="s">
        <v>33</v>
      </c>
      <c r="Z212" t="s">
        <v>34</v>
      </c>
      <c r="AA212">
        <v>1</v>
      </c>
    </row>
    <row r="213" spans="1:27" x14ac:dyDescent="0.35">
      <c r="A213" s="13">
        <f t="shared" si="3"/>
        <v>45930</v>
      </c>
      <c r="B213">
        <v>1</v>
      </c>
      <c r="D213" s="14" t="s">
        <v>31</v>
      </c>
      <c r="E213" s="15" t="s">
        <v>32</v>
      </c>
      <c r="F213" s="16" t="s">
        <v>32</v>
      </c>
      <c r="G213" s="17"/>
      <c r="H213" s="31" t="s">
        <v>64</v>
      </c>
      <c r="I213" s="31" t="s">
        <v>64</v>
      </c>
      <c r="K213" s="20">
        <f>AGI!K213</f>
        <v>211</v>
      </c>
      <c r="L213" s="20">
        <f>AGI!L213</f>
        <v>0</v>
      </c>
      <c r="M213" s="21">
        <f>AGI!M213</f>
        <v>52351</v>
      </c>
      <c r="N213" s="21">
        <f>AGI!N213</f>
        <v>52351</v>
      </c>
      <c r="O213" s="21">
        <f>AGI!O213</f>
        <v>52351</v>
      </c>
      <c r="P213" s="95">
        <f>AGI!P213</f>
        <v>0</v>
      </c>
      <c r="V213">
        <v>1</v>
      </c>
      <c r="W213" t="s">
        <v>33</v>
      </c>
      <c r="Y213" t="s">
        <v>33</v>
      </c>
      <c r="Z213" t="s">
        <v>34</v>
      </c>
      <c r="AA213">
        <v>1</v>
      </c>
    </row>
    <row r="214" spans="1:27" x14ac:dyDescent="0.35">
      <c r="A214" s="13">
        <f t="shared" si="3"/>
        <v>45930</v>
      </c>
      <c r="B214">
        <v>1</v>
      </c>
      <c r="D214" s="14" t="s">
        <v>31</v>
      </c>
      <c r="E214" s="15" t="s">
        <v>32</v>
      </c>
      <c r="F214" s="16" t="s">
        <v>32</v>
      </c>
      <c r="G214" s="17"/>
      <c r="H214" s="31" t="s">
        <v>64</v>
      </c>
      <c r="I214" s="31" t="s">
        <v>64</v>
      </c>
      <c r="K214" s="20">
        <f>AGI!K214</f>
        <v>212</v>
      </c>
      <c r="L214" s="20">
        <f>AGI!L214</f>
        <v>0</v>
      </c>
      <c r="M214" s="21">
        <f>AGI!M214</f>
        <v>52382</v>
      </c>
      <c r="N214" s="21">
        <f>AGI!N214</f>
        <v>52382</v>
      </c>
      <c r="O214" s="21">
        <f>AGI!O214</f>
        <v>52382</v>
      </c>
      <c r="P214" s="95">
        <f>AGI!P214</f>
        <v>0</v>
      </c>
      <c r="V214">
        <v>1</v>
      </c>
      <c r="W214" t="s">
        <v>33</v>
      </c>
      <c r="Y214" t="s">
        <v>33</v>
      </c>
      <c r="Z214" t="s">
        <v>34</v>
      </c>
      <c r="AA214">
        <v>1</v>
      </c>
    </row>
    <row r="215" spans="1:27" x14ac:dyDescent="0.35">
      <c r="A215" s="13">
        <f t="shared" si="3"/>
        <v>45930</v>
      </c>
      <c r="B215">
        <v>1</v>
      </c>
      <c r="D215" s="14" t="s">
        <v>31</v>
      </c>
      <c r="E215" s="15" t="s">
        <v>32</v>
      </c>
      <c r="F215" s="16" t="s">
        <v>32</v>
      </c>
      <c r="G215" s="17"/>
      <c r="H215" s="31" t="s">
        <v>64</v>
      </c>
      <c r="I215" s="31" t="s">
        <v>64</v>
      </c>
      <c r="K215" s="20">
        <f>AGI!K215</f>
        <v>213</v>
      </c>
      <c r="L215" s="20">
        <f>AGI!L215</f>
        <v>0</v>
      </c>
      <c r="M215" s="21">
        <f>AGI!M215</f>
        <v>52412</v>
      </c>
      <c r="N215" s="21">
        <f>AGI!N215</f>
        <v>52412</v>
      </c>
      <c r="O215" s="21">
        <f>AGI!O215</f>
        <v>52412</v>
      </c>
      <c r="P215" s="95">
        <f>AGI!P215</f>
        <v>0</v>
      </c>
      <c r="V215">
        <v>1</v>
      </c>
      <c r="W215" t="s">
        <v>33</v>
      </c>
      <c r="Y215" t="s">
        <v>33</v>
      </c>
      <c r="Z215" t="s">
        <v>34</v>
      </c>
      <c r="AA215">
        <v>1</v>
      </c>
    </row>
    <row r="216" spans="1:27" x14ac:dyDescent="0.35">
      <c r="A216" s="13">
        <f t="shared" si="3"/>
        <v>45930</v>
      </c>
      <c r="B216">
        <v>1</v>
      </c>
      <c r="D216" s="14" t="s">
        <v>31</v>
      </c>
      <c r="E216" s="15" t="s">
        <v>32</v>
      </c>
      <c r="F216" s="16" t="s">
        <v>32</v>
      </c>
      <c r="G216" s="17"/>
      <c r="H216" s="31" t="s">
        <v>64</v>
      </c>
      <c r="I216" s="31" t="s">
        <v>64</v>
      </c>
      <c r="K216" s="20">
        <f>AGI!K216</f>
        <v>214</v>
      </c>
      <c r="L216" s="20">
        <f>AGI!L216</f>
        <v>0</v>
      </c>
      <c r="M216" s="21">
        <f>AGI!M216</f>
        <v>52443</v>
      </c>
      <c r="N216" s="21">
        <f>AGI!N216</f>
        <v>52443</v>
      </c>
      <c r="O216" s="21">
        <f>AGI!O216</f>
        <v>52443</v>
      </c>
      <c r="P216" s="95">
        <f>AGI!P216</f>
        <v>0</v>
      </c>
      <c r="V216">
        <v>1</v>
      </c>
      <c r="W216" t="s">
        <v>33</v>
      </c>
      <c r="Y216" t="s">
        <v>33</v>
      </c>
      <c r="Z216" t="s">
        <v>34</v>
      </c>
      <c r="AA216">
        <v>1</v>
      </c>
    </row>
    <row r="217" spans="1:27" x14ac:dyDescent="0.35">
      <c r="A217" s="13">
        <f t="shared" si="3"/>
        <v>45930</v>
      </c>
      <c r="B217">
        <v>1</v>
      </c>
      <c r="D217" s="14" t="s">
        <v>31</v>
      </c>
      <c r="E217" s="15" t="s">
        <v>32</v>
      </c>
      <c r="F217" s="16" t="s">
        <v>32</v>
      </c>
      <c r="G217" s="17"/>
      <c r="H217" s="31" t="s">
        <v>64</v>
      </c>
      <c r="I217" s="31" t="s">
        <v>64</v>
      </c>
      <c r="K217" s="20">
        <f>AGI!K217</f>
        <v>215</v>
      </c>
      <c r="L217" s="20">
        <f>AGI!L217</f>
        <v>0</v>
      </c>
      <c r="M217" s="21">
        <f>AGI!M217</f>
        <v>52474</v>
      </c>
      <c r="N217" s="21">
        <f>AGI!N217</f>
        <v>52474</v>
      </c>
      <c r="O217" s="21">
        <f>AGI!O217</f>
        <v>52474</v>
      </c>
      <c r="P217" s="95">
        <f>AGI!P217</f>
        <v>0</v>
      </c>
      <c r="V217">
        <v>1</v>
      </c>
      <c r="W217" t="s">
        <v>33</v>
      </c>
      <c r="Y217" t="s">
        <v>33</v>
      </c>
      <c r="Z217" t="s">
        <v>34</v>
      </c>
      <c r="AA217">
        <v>1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1">
    <tabColor theme="5" tint="0.39997558519241921"/>
  </sheetPr>
  <dimension ref="A1:AE217"/>
  <sheetViews>
    <sheetView workbookViewId="0">
      <selection activeCell="A2" sqref="A2:AE217"/>
    </sheetView>
  </sheetViews>
  <sheetFormatPr baseColWidth="10" defaultRowHeight="14.5" x14ac:dyDescent="0.35"/>
  <cols>
    <col min="8" max="8" width="19.1796875" bestFit="1" customWidth="1"/>
    <col min="9" max="9" width="27.1796875" bestFit="1" customWidth="1"/>
  </cols>
  <sheetData>
    <row r="1" spans="1:31" x14ac:dyDescent="0.35">
      <c r="A1" s="1" t="s">
        <v>0</v>
      </c>
      <c r="B1" s="2" t="s">
        <v>1</v>
      </c>
      <c r="C1" s="2" t="s">
        <v>2</v>
      </c>
      <c r="D1" s="3" t="s">
        <v>3</v>
      </c>
      <c r="E1" s="4" t="s">
        <v>4</v>
      </c>
      <c r="F1" s="5" t="s">
        <v>5</v>
      </c>
      <c r="G1" s="6" t="s">
        <v>6</v>
      </c>
      <c r="H1" s="1" t="s">
        <v>7</v>
      </c>
      <c r="I1" s="7" t="s">
        <v>8</v>
      </c>
      <c r="J1" s="8" t="s">
        <v>9</v>
      </c>
      <c r="K1" s="9" t="s">
        <v>10</v>
      </c>
      <c r="L1" s="10" t="s">
        <v>11</v>
      </c>
      <c r="M1" s="1" t="s">
        <v>12</v>
      </c>
      <c r="N1" s="11" t="s">
        <v>13</v>
      </c>
      <c r="O1" s="11" t="s">
        <v>14</v>
      </c>
      <c r="P1" s="7" t="s">
        <v>15</v>
      </c>
      <c r="Q1" s="7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12" t="s">
        <v>21</v>
      </c>
      <c r="W1" s="12" t="s">
        <v>22</v>
      </c>
      <c r="X1" s="2" t="s">
        <v>23</v>
      </c>
      <c r="Y1" s="12" t="s">
        <v>24</v>
      </c>
      <c r="Z1" s="2" t="s">
        <v>25</v>
      </c>
      <c r="AA1" s="2" t="s">
        <v>26</v>
      </c>
      <c r="AB1" s="2" t="s">
        <v>27</v>
      </c>
      <c r="AC1" s="4" t="s">
        <v>28</v>
      </c>
      <c r="AD1" s="2" t="s">
        <v>29</v>
      </c>
      <c r="AE1" s="2" t="s">
        <v>30</v>
      </c>
    </row>
    <row r="2" spans="1:31" x14ac:dyDescent="0.35">
      <c r="A2" s="13">
        <f>Cta_Cte!A3</f>
        <v>45930</v>
      </c>
      <c r="B2">
        <v>1</v>
      </c>
      <c r="D2" s="14" t="s">
        <v>31</v>
      </c>
      <c r="E2" s="15" t="s">
        <v>32</v>
      </c>
      <c r="F2" s="16" t="s">
        <v>32</v>
      </c>
      <c r="G2" s="17"/>
      <c r="H2" s="33" t="s">
        <v>63</v>
      </c>
      <c r="I2" s="33" t="s">
        <v>63</v>
      </c>
      <c r="J2" s="19"/>
      <c r="K2" s="20"/>
      <c r="L2" s="21"/>
      <c r="M2" s="13">
        <f>A2+1</f>
        <v>45931</v>
      </c>
      <c r="N2" s="13">
        <f>M2</f>
        <v>45931</v>
      </c>
      <c r="O2" s="13">
        <f>N2</f>
        <v>45931</v>
      </c>
      <c r="P2" s="24">
        <f>Montos!E5</f>
        <v>974142</v>
      </c>
      <c r="Q2" s="18"/>
      <c r="V2">
        <v>1</v>
      </c>
      <c r="W2" t="s">
        <v>33</v>
      </c>
      <c r="Y2" t="s">
        <v>33</v>
      </c>
      <c r="Z2" t="s">
        <v>34</v>
      </c>
      <c r="AA2">
        <v>1</v>
      </c>
      <c r="AC2" s="15"/>
    </row>
    <row r="3" spans="1:31" x14ac:dyDescent="0.35">
      <c r="A3" s="13">
        <f>A2</f>
        <v>45930</v>
      </c>
      <c r="B3">
        <v>1</v>
      </c>
      <c r="D3" s="14" t="s">
        <v>31</v>
      </c>
      <c r="E3" s="15" t="s">
        <v>32</v>
      </c>
      <c r="F3" s="16" t="s">
        <v>32</v>
      </c>
      <c r="G3" s="17"/>
      <c r="H3" s="33" t="s">
        <v>63</v>
      </c>
      <c r="I3" s="33" t="s">
        <v>63</v>
      </c>
      <c r="J3" s="19"/>
      <c r="K3" s="20">
        <f>AGD!K3</f>
        <v>1</v>
      </c>
      <c r="L3" s="20">
        <f>AGD!L3</f>
        <v>0</v>
      </c>
      <c r="M3" s="21">
        <f>AGD!M3</f>
        <v>45961</v>
      </c>
      <c r="N3" s="21">
        <f>AGD!N3</f>
        <v>45961</v>
      </c>
      <c r="O3" s="21">
        <f>AGD!O3</f>
        <v>45961</v>
      </c>
      <c r="P3" s="95">
        <f>AGD!P3</f>
        <v>26803.587027067224</v>
      </c>
      <c r="Q3" s="18"/>
      <c r="V3">
        <v>1</v>
      </c>
      <c r="W3" t="s">
        <v>33</v>
      </c>
      <c r="Y3" t="s">
        <v>33</v>
      </c>
      <c r="Z3" t="s">
        <v>34</v>
      </c>
      <c r="AA3">
        <v>1</v>
      </c>
      <c r="AC3" s="15"/>
    </row>
    <row r="4" spans="1:31" x14ac:dyDescent="0.35">
      <c r="A4" s="13">
        <f t="shared" ref="A4:A67" si="0">A3</f>
        <v>45930</v>
      </c>
      <c r="B4">
        <v>1</v>
      </c>
      <c r="D4" s="14" t="s">
        <v>31</v>
      </c>
      <c r="E4" s="15" t="s">
        <v>32</v>
      </c>
      <c r="F4" s="16" t="s">
        <v>32</v>
      </c>
      <c r="G4" s="17"/>
      <c r="H4" s="33" t="s">
        <v>63</v>
      </c>
      <c r="I4" s="33" t="s">
        <v>63</v>
      </c>
      <c r="K4" s="20">
        <f>AGD!K4</f>
        <v>2</v>
      </c>
      <c r="L4" s="20">
        <f>AGD!L4</f>
        <v>0</v>
      </c>
      <c r="M4" s="21">
        <f>AGD!M4</f>
        <v>45991</v>
      </c>
      <c r="N4" s="21">
        <f>AGD!N4</f>
        <v>45991</v>
      </c>
      <c r="O4" s="21">
        <f>AGD!O4</f>
        <v>45991</v>
      </c>
      <c r="P4" s="95">
        <f>AGD!P4</f>
        <v>26803.587027067224</v>
      </c>
      <c r="V4">
        <v>1</v>
      </c>
      <c r="W4" t="s">
        <v>33</v>
      </c>
      <c r="Y4" t="s">
        <v>33</v>
      </c>
      <c r="Z4" t="s">
        <v>34</v>
      </c>
      <c r="AA4">
        <v>1</v>
      </c>
      <c r="AC4" s="15"/>
    </row>
    <row r="5" spans="1:31" x14ac:dyDescent="0.35">
      <c r="A5" s="13">
        <f t="shared" si="0"/>
        <v>45930</v>
      </c>
      <c r="B5">
        <v>1</v>
      </c>
      <c r="D5" s="14" t="s">
        <v>31</v>
      </c>
      <c r="E5" s="15" t="s">
        <v>32</v>
      </c>
      <c r="F5" s="16" t="s">
        <v>32</v>
      </c>
      <c r="G5" s="17"/>
      <c r="H5" s="33" t="s">
        <v>63</v>
      </c>
      <c r="I5" s="33" t="s">
        <v>63</v>
      </c>
      <c r="K5" s="20">
        <f>AGD!K5</f>
        <v>3</v>
      </c>
      <c r="L5" s="20">
        <f>AGD!L5</f>
        <v>0</v>
      </c>
      <c r="M5" s="21">
        <f>AGD!M5</f>
        <v>46022</v>
      </c>
      <c r="N5" s="21">
        <f>AGD!N5</f>
        <v>46022</v>
      </c>
      <c r="O5" s="21">
        <f>AGD!O5</f>
        <v>46022</v>
      </c>
      <c r="P5" s="95">
        <f>AGD!P5</f>
        <v>26803.587027067224</v>
      </c>
      <c r="V5">
        <v>1</v>
      </c>
      <c r="W5" t="s">
        <v>33</v>
      </c>
      <c r="Y5" t="s">
        <v>33</v>
      </c>
      <c r="Z5" t="s">
        <v>34</v>
      </c>
      <c r="AA5">
        <v>1</v>
      </c>
      <c r="AC5" s="15"/>
    </row>
    <row r="6" spans="1:31" x14ac:dyDescent="0.35">
      <c r="A6" s="13">
        <f t="shared" si="0"/>
        <v>45930</v>
      </c>
      <c r="B6">
        <v>1</v>
      </c>
      <c r="D6" s="14" t="s">
        <v>31</v>
      </c>
      <c r="E6" s="15" t="s">
        <v>32</v>
      </c>
      <c r="F6" s="16" t="s">
        <v>32</v>
      </c>
      <c r="G6" s="17"/>
      <c r="H6" s="33" t="s">
        <v>63</v>
      </c>
      <c r="I6" s="33" t="s">
        <v>63</v>
      </c>
      <c r="K6" s="20">
        <f>AGD!K6</f>
        <v>4</v>
      </c>
      <c r="L6" s="20">
        <f>AGD!L6</f>
        <v>0</v>
      </c>
      <c r="M6" s="21">
        <f>AGD!M6</f>
        <v>46053</v>
      </c>
      <c r="N6" s="21">
        <f>AGD!N6</f>
        <v>46053</v>
      </c>
      <c r="O6" s="21">
        <f>AGD!O6</f>
        <v>46053</v>
      </c>
      <c r="P6" s="95">
        <f>AGD!P6</f>
        <v>26803.587027067224</v>
      </c>
      <c r="V6">
        <v>1</v>
      </c>
      <c r="W6" t="s">
        <v>33</v>
      </c>
      <c r="Y6" t="s">
        <v>33</v>
      </c>
      <c r="Z6" t="s">
        <v>34</v>
      </c>
      <c r="AA6">
        <v>1</v>
      </c>
      <c r="AC6" s="15"/>
    </row>
    <row r="7" spans="1:31" x14ac:dyDescent="0.35">
      <c r="A7" s="13">
        <f t="shared" si="0"/>
        <v>45930</v>
      </c>
      <c r="B7">
        <v>1</v>
      </c>
      <c r="D7" s="14" t="s">
        <v>31</v>
      </c>
      <c r="E7" s="15" t="s">
        <v>32</v>
      </c>
      <c r="F7" s="16" t="s">
        <v>32</v>
      </c>
      <c r="G7" s="17"/>
      <c r="H7" s="33" t="s">
        <v>63</v>
      </c>
      <c r="I7" s="33" t="s">
        <v>63</v>
      </c>
      <c r="K7" s="20">
        <f>AGD!K7</f>
        <v>5</v>
      </c>
      <c r="L7" s="20">
        <f>AGD!L7</f>
        <v>0</v>
      </c>
      <c r="M7" s="21">
        <f>AGD!M7</f>
        <v>46081</v>
      </c>
      <c r="N7" s="21">
        <f>AGD!N7</f>
        <v>46081</v>
      </c>
      <c r="O7" s="21">
        <f>AGD!O7</f>
        <v>46081</v>
      </c>
      <c r="P7" s="95">
        <f>AGD!P7</f>
        <v>26803.587027067224</v>
      </c>
      <c r="V7">
        <v>1</v>
      </c>
      <c r="W7" t="s">
        <v>33</v>
      </c>
      <c r="Y7" t="s">
        <v>33</v>
      </c>
      <c r="Z7" t="s">
        <v>34</v>
      </c>
      <c r="AA7">
        <v>1</v>
      </c>
      <c r="AC7" s="15"/>
    </row>
    <row r="8" spans="1:31" x14ac:dyDescent="0.35">
      <c r="A8" s="13">
        <f t="shared" si="0"/>
        <v>45930</v>
      </c>
      <c r="B8">
        <v>1</v>
      </c>
      <c r="D8" s="14" t="s">
        <v>31</v>
      </c>
      <c r="E8" s="15" t="s">
        <v>32</v>
      </c>
      <c r="F8" s="16" t="s">
        <v>32</v>
      </c>
      <c r="G8" s="17"/>
      <c r="H8" s="33" t="s">
        <v>63</v>
      </c>
      <c r="I8" s="33" t="s">
        <v>63</v>
      </c>
      <c r="K8" s="20">
        <f>AGD!K8</f>
        <v>6</v>
      </c>
      <c r="L8" s="20">
        <f>AGD!L8</f>
        <v>0</v>
      </c>
      <c r="M8" s="21">
        <f>AGD!M8</f>
        <v>46112</v>
      </c>
      <c r="N8" s="21">
        <f>AGD!N8</f>
        <v>46112</v>
      </c>
      <c r="O8" s="21">
        <f>AGD!O8</f>
        <v>46112</v>
      </c>
      <c r="P8" s="95">
        <f>AGD!P8</f>
        <v>26803.587027067224</v>
      </c>
      <c r="V8">
        <v>1</v>
      </c>
      <c r="W8" t="s">
        <v>33</v>
      </c>
      <c r="Y8" t="s">
        <v>33</v>
      </c>
      <c r="Z8" t="s">
        <v>34</v>
      </c>
      <c r="AA8">
        <v>1</v>
      </c>
      <c r="AC8" s="15"/>
    </row>
    <row r="9" spans="1:31" x14ac:dyDescent="0.35">
      <c r="A9" s="13">
        <f t="shared" si="0"/>
        <v>45930</v>
      </c>
      <c r="B9">
        <v>1</v>
      </c>
      <c r="D9" s="14" t="s">
        <v>31</v>
      </c>
      <c r="E9" s="15" t="s">
        <v>32</v>
      </c>
      <c r="F9" s="16" t="s">
        <v>32</v>
      </c>
      <c r="G9" s="17"/>
      <c r="H9" s="33" t="s">
        <v>63</v>
      </c>
      <c r="I9" s="33" t="s">
        <v>63</v>
      </c>
      <c r="K9" s="20">
        <f>AGD!K9</f>
        <v>7</v>
      </c>
      <c r="L9" s="20">
        <f>AGD!L9</f>
        <v>0</v>
      </c>
      <c r="M9" s="21">
        <f>AGD!M9</f>
        <v>46142</v>
      </c>
      <c r="N9" s="21">
        <f>AGD!N9</f>
        <v>46142</v>
      </c>
      <c r="O9" s="21">
        <f>AGD!O9</f>
        <v>46142</v>
      </c>
      <c r="P9" s="95">
        <f>AGD!P9</f>
        <v>26803.587027067224</v>
      </c>
      <c r="V9">
        <v>1</v>
      </c>
      <c r="W9" t="s">
        <v>33</v>
      </c>
      <c r="Y9" t="s">
        <v>33</v>
      </c>
      <c r="Z9" t="s">
        <v>34</v>
      </c>
      <c r="AA9">
        <v>1</v>
      </c>
      <c r="AC9" s="15"/>
    </row>
    <row r="10" spans="1:31" x14ac:dyDescent="0.35">
      <c r="A10" s="13">
        <f t="shared" si="0"/>
        <v>45930</v>
      </c>
      <c r="B10">
        <v>1</v>
      </c>
      <c r="D10" s="14" t="s">
        <v>31</v>
      </c>
      <c r="E10" s="15" t="s">
        <v>32</v>
      </c>
      <c r="F10" s="16" t="s">
        <v>32</v>
      </c>
      <c r="G10" s="17"/>
      <c r="H10" s="33" t="s">
        <v>63</v>
      </c>
      <c r="I10" s="33" t="s">
        <v>63</v>
      </c>
      <c r="K10" s="20">
        <f>AGD!K10</f>
        <v>8</v>
      </c>
      <c r="L10" s="20">
        <f>AGD!L10</f>
        <v>0</v>
      </c>
      <c r="M10" s="21">
        <f>AGD!M10</f>
        <v>46173</v>
      </c>
      <c r="N10" s="21">
        <f>AGD!N10</f>
        <v>46173</v>
      </c>
      <c r="O10" s="21">
        <f>AGD!O10</f>
        <v>46173</v>
      </c>
      <c r="P10" s="95">
        <f>AGD!P10</f>
        <v>26803.587027067224</v>
      </c>
      <c r="V10">
        <v>1</v>
      </c>
      <c r="W10" t="s">
        <v>33</v>
      </c>
      <c r="Y10" t="s">
        <v>33</v>
      </c>
      <c r="Z10" t="s">
        <v>34</v>
      </c>
      <c r="AA10">
        <v>1</v>
      </c>
      <c r="AC10" s="15"/>
    </row>
    <row r="11" spans="1:31" x14ac:dyDescent="0.35">
      <c r="A11" s="13">
        <f t="shared" si="0"/>
        <v>45930</v>
      </c>
      <c r="B11">
        <v>1</v>
      </c>
      <c r="D11" s="14" t="s">
        <v>31</v>
      </c>
      <c r="E11" s="15" t="s">
        <v>32</v>
      </c>
      <c r="F11" s="16" t="s">
        <v>32</v>
      </c>
      <c r="G11" s="17"/>
      <c r="H11" s="33" t="s">
        <v>63</v>
      </c>
      <c r="I11" s="33" t="s">
        <v>63</v>
      </c>
      <c r="K11" s="20">
        <f>AGD!K11</f>
        <v>9</v>
      </c>
      <c r="L11" s="20">
        <f>AGD!L11</f>
        <v>0</v>
      </c>
      <c r="M11" s="21">
        <f>AGD!M11</f>
        <v>46203</v>
      </c>
      <c r="N11" s="21">
        <f>AGD!N11</f>
        <v>46203</v>
      </c>
      <c r="O11" s="21">
        <f>AGD!O11</f>
        <v>46203</v>
      </c>
      <c r="P11" s="95">
        <f>AGD!P11</f>
        <v>26803.587027067224</v>
      </c>
      <c r="V11">
        <v>1</v>
      </c>
      <c r="W11" t="s">
        <v>33</v>
      </c>
      <c r="Y11" t="s">
        <v>33</v>
      </c>
      <c r="Z11" t="s">
        <v>34</v>
      </c>
      <c r="AA11">
        <v>1</v>
      </c>
      <c r="AC11" s="15"/>
    </row>
    <row r="12" spans="1:31" x14ac:dyDescent="0.35">
      <c r="A12" s="13">
        <f t="shared" si="0"/>
        <v>45930</v>
      </c>
      <c r="B12">
        <v>1</v>
      </c>
      <c r="D12" s="14" t="s">
        <v>31</v>
      </c>
      <c r="E12" s="15" t="s">
        <v>32</v>
      </c>
      <c r="F12" s="16" t="s">
        <v>32</v>
      </c>
      <c r="G12" s="17"/>
      <c r="H12" s="33" t="s">
        <v>63</v>
      </c>
      <c r="I12" s="33" t="s">
        <v>63</v>
      </c>
      <c r="K12" s="20">
        <f>AGD!K12</f>
        <v>10</v>
      </c>
      <c r="L12" s="20">
        <f>AGD!L12</f>
        <v>0</v>
      </c>
      <c r="M12" s="21">
        <f>AGD!M12</f>
        <v>46234</v>
      </c>
      <c r="N12" s="21">
        <f>AGD!N12</f>
        <v>46234</v>
      </c>
      <c r="O12" s="21">
        <f>AGD!O12</f>
        <v>46234</v>
      </c>
      <c r="P12" s="95">
        <f>AGD!P12</f>
        <v>26803.587027067224</v>
      </c>
      <c r="V12">
        <v>1</v>
      </c>
      <c r="W12" t="s">
        <v>33</v>
      </c>
      <c r="Y12" t="s">
        <v>33</v>
      </c>
      <c r="Z12" t="s">
        <v>34</v>
      </c>
      <c r="AA12">
        <v>1</v>
      </c>
      <c r="AC12" s="15"/>
    </row>
    <row r="13" spans="1:31" x14ac:dyDescent="0.35">
      <c r="A13" s="13">
        <f t="shared" si="0"/>
        <v>45930</v>
      </c>
      <c r="B13">
        <v>1</v>
      </c>
      <c r="D13" s="14" t="s">
        <v>31</v>
      </c>
      <c r="E13" s="15" t="s">
        <v>32</v>
      </c>
      <c r="F13" s="16" t="s">
        <v>32</v>
      </c>
      <c r="G13" s="17"/>
      <c r="H13" s="33" t="s">
        <v>63</v>
      </c>
      <c r="I13" s="33" t="s">
        <v>63</v>
      </c>
      <c r="K13" s="20">
        <f>AGD!K13</f>
        <v>11</v>
      </c>
      <c r="L13" s="20">
        <f>AGD!L13</f>
        <v>0</v>
      </c>
      <c r="M13" s="21">
        <f>AGD!M13</f>
        <v>46265</v>
      </c>
      <c r="N13" s="21">
        <f>AGD!N13</f>
        <v>46265</v>
      </c>
      <c r="O13" s="21">
        <f>AGD!O13</f>
        <v>46265</v>
      </c>
      <c r="P13" s="95">
        <f>AGD!P13</f>
        <v>26803.587027067224</v>
      </c>
      <c r="V13">
        <v>1</v>
      </c>
      <c r="W13" t="s">
        <v>33</v>
      </c>
      <c r="Y13" t="s">
        <v>33</v>
      </c>
      <c r="Z13" t="s">
        <v>34</v>
      </c>
      <c r="AA13">
        <v>1</v>
      </c>
      <c r="AC13" s="15"/>
    </row>
    <row r="14" spans="1:31" x14ac:dyDescent="0.35">
      <c r="A14" s="13">
        <f t="shared" si="0"/>
        <v>45930</v>
      </c>
      <c r="B14">
        <v>1</v>
      </c>
      <c r="D14" s="14" t="s">
        <v>31</v>
      </c>
      <c r="E14" s="15" t="s">
        <v>32</v>
      </c>
      <c r="F14" s="16" t="s">
        <v>32</v>
      </c>
      <c r="G14" s="17"/>
      <c r="H14" s="33" t="s">
        <v>63</v>
      </c>
      <c r="I14" s="33" t="s">
        <v>63</v>
      </c>
      <c r="K14" s="20">
        <f>AGD!K14</f>
        <v>12</v>
      </c>
      <c r="L14" s="20">
        <f>AGD!L14</f>
        <v>0</v>
      </c>
      <c r="M14" s="21">
        <f>AGD!M14</f>
        <v>46295</v>
      </c>
      <c r="N14" s="21">
        <f>AGD!N14</f>
        <v>46295</v>
      </c>
      <c r="O14" s="21">
        <f>AGD!O14</f>
        <v>46295</v>
      </c>
      <c r="P14" s="95">
        <f>AGD!P14</f>
        <v>26803.587027067224</v>
      </c>
      <c r="V14">
        <v>1</v>
      </c>
      <c r="W14" t="s">
        <v>33</v>
      </c>
      <c r="Y14" t="s">
        <v>33</v>
      </c>
      <c r="Z14" t="s">
        <v>34</v>
      </c>
      <c r="AA14">
        <v>1</v>
      </c>
      <c r="AC14" s="15"/>
    </row>
    <row r="15" spans="1:31" x14ac:dyDescent="0.35">
      <c r="A15" s="13">
        <f t="shared" si="0"/>
        <v>45930</v>
      </c>
      <c r="B15">
        <v>1</v>
      </c>
      <c r="D15" s="14" t="s">
        <v>31</v>
      </c>
      <c r="E15" s="15" t="s">
        <v>32</v>
      </c>
      <c r="F15" s="16" t="s">
        <v>32</v>
      </c>
      <c r="G15" s="17"/>
      <c r="H15" s="33" t="s">
        <v>63</v>
      </c>
      <c r="I15" s="33" t="s">
        <v>63</v>
      </c>
      <c r="K15" s="20">
        <f>AGD!K15</f>
        <v>13</v>
      </c>
      <c r="L15" s="20">
        <f>AGD!L15</f>
        <v>0</v>
      </c>
      <c r="M15" s="21">
        <f>AGD!M15</f>
        <v>46326</v>
      </c>
      <c r="N15" s="21">
        <f>AGD!N15</f>
        <v>46326</v>
      </c>
      <c r="O15" s="21">
        <f>AGD!O15</f>
        <v>46326</v>
      </c>
      <c r="P15" s="95">
        <f>AGD!P15</f>
        <v>26803.587027067224</v>
      </c>
      <c r="V15">
        <v>1</v>
      </c>
      <c r="W15" t="s">
        <v>33</v>
      </c>
      <c r="Y15" t="s">
        <v>33</v>
      </c>
      <c r="Z15" t="s">
        <v>34</v>
      </c>
      <c r="AA15">
        <v>1</v>
      </c>
      <c r="AC15" s="15"/>
    </row>
    <row r="16" spans="1:31" x14ac:dyDescent="0.35">
      <c r="A16" s="13">
        <f t="shared" si="0"/>
        <v>45930</v>
      </c>
      <c r="B16">
        <v>1</v>
      </c>
      <c r="D16" s="14" t="s">
        <v>31</v>
      </c>
      <c r="E16" s="15" t="s">
        <v>32</v>
      </c>
      <c r="F16" s="16" t="s">
        <v>32</v>
      </c>
      <c r="G16" s="17"/>
      <c r="H16" s="33" t="s">
        <v>63</v>
      </c>
      <c r="I16" s="33" t="s">
        <v>63</v>
      </c>
      <c r="K16" s="20">
        <f>AGD!K16</f>
        <v>14</v>
      </c>
      <c r="L16" s="20">
        <f>AGD!L16</f>
        <v>0</v>
      </c>
      <c r="M16" s="21">
        <f>AGD!M16</f>
        <v>46356</v>
      </c>
      <c r="N16" s="21">
        <f>AGD!N16</f>
        <v>46356</v>
      </c>
      <c r="O16" s="21">
        <f>AGD!O16</f>
        <v>46356</v>
      </c>
      <c r="P16" s="95">
        <f>AGD!P16</f>
        <v>26803.587027067224</v>
      </c>
      <c r="V16">
        <v>1</v>
      </c>
      <c r="W16" t="s">
        <v>33</v>
      </c>
      <c r="Y16" t="s">
        <v>33</v>
      </c>
      <c r="Z16" t="s">
        <v>34</v>
      </c>
      <c r="AA16">
        <v>1</v>
      </c>
      <c r="AC16" s="15"/>
    </row>
    <row r="17" spans="1:29" x14ac:dyDescent="0.35">
      <c r="A17" s="13">
        <f t="shared" si="0"/>
        <v>45930</v>
      </c>
      <c r="B17">
        <v>1</v>
      </c>
      <c r="D17" s="14" t="s">
        <v>31</v>
      </c>
      <c r="E17" s="15" t="s">
        <v>32</v>
      </c>
      <c r="F17" s="16" t="s">
        <v>32</v>
      </c>
      <c r="G17" s="17"/>
      <c r="H17" s="33" t="s">
        <v>63</v>
      </c>
      <c r="I17" s="33" t="s">
        <v>63</v>
      </c>
      <c r="K17" s="20">
        <f>AGD!K17</f>
        <v>15</v>
      </c>
      <c r="L17" s="20">
        <f>AGD!L17</f>
        <v>0</v>
      </c>
      <c r="M17" s="21">
        <f>AGD!M17</f>
        <v>46387</v>
      </c>
      <c r="N17" s="21">
        <f>AGD!N17</f>
        <v>46387</v>
      </c>
      <c r="O17" s="21">
        <f>AGD!O17</f>
        <v>46387</v>
      </c>
      <c r="P17" s="95">
        <f>AGD!P17</f>
        <v>26803.587027067224</v>
      </c>
      <c r="V17">
        <v>1</v>
      </c>
      <c r="W17" t="s">
        <v>33</v>
      </c>
      <c r="Y17" t="s">
        <v>33</v>
      </c>
      <c r="Z17" t="s">
        <v>34</v>
      </c>
      <c r="AA17">
        <v>1</v>
      </c>
      <c r="AC17" s="15"/>
    </row>
    <row r="18" spans="1:29" x14ac:dyDescent="0.35">
      <c r="A18" s="13">
        <f t="shared" si="0"/>
        <v>45930</v>
      </c>
      <c r="B18">
        <v>1</v>
      </c>
      <c r="D18" s="14" t="s">
        <v>31</v>
      </c>
      <c r="E18" s="15" t="s">
        <v>32</v>
      </c>
      <c r="F18" s="16" t="s">
        <v>32</v>
      </c>
      <c r="G18" s="17"/>
      <c r="H18" s="33" t="s">
        <v>63</v>
      </c>
      <c r="I18" s="33" t="s">
        <v>63</v>
      </c>
      <c r="K18" s="20">
        <f>AGD!K18</f>
        <v>16</v>
      </c>
      <c r="L18" s="20">
        <f>AGD!L18</f>
        <v>0</v>
      </c>
      <c r="M18" s="21">
        <f>AGD!M18</f>
        <v>46418</v>
      </c>
      <c r="N18" s="21">
        <f>AGD!N18</f>
        <v>46418</v>
      </c>
      <c r="O18" s="21">
        <f>AGD!O18</f>
        <v>46418</v>
      </c>
      <c r="P18" s="95">
        <f>AGD!P18</f>
        <v>26803.587027067224</v>
      </c>
      <c r="V18">
        <v>1</v>
      </c>
      <c r="W18" t="s">
        <v>33</v>
      </c>
      <c r="Y18" t="s">
        <v>33</v>
      </c>
      <c r="Z18" t="s">
        <v>34</v>
      </c>
      <c r="AA18">
        <v>1</v>
      </c>
      <c r="AC18" s="15"/>
    </row>
    <row r="19" spans="1:29" x14ac:dyDescent="0.35">
      <c r="A19" s="13">
        <f t="shared" si="0"/>
        <v>45930</v>
      </c>
      <c r="B19">
        <v>1</v>
      </c>
      <c r="D19" s="14" t="s">
        <v>31</v>
      </c>
      <c r="E19" s="15" t="s">
        <v>32</v>
      </c>
      <c r="F19" s="16" t="s">
        <v>32</v>
      </c>
      <c r="G19" s="17"/>
      <c r="H19" s="33" t="s">
        <v>63</v>
      </c>
      <c r="I19" s="33" t="s">
        <v>63</v>
      </c>
      <c r="K19" s="20">
        <f>AGD!K19</f>
        <v>17</v>
      </c>
      <c r="L19" s="20">
        <f>AGD!L19</f>
        <v>0</v>
      </c>
      <c r="M19" s="21">
        <f>AGD!M19</f>
        <v>46446</v>
      </c>
      <c r="N19" s="21">
        <f>AGD!N19</f>
        <v>46446</v>
      </c>
      <c r="O19" s="21">
        <f>AGD!O19</f>
        <v>46446</v>
      </c>
      <c r="P19" s="95">
        <f>AGD!P19</f>
        <v>26803.587027067224</v>
      </c>
      <c r="V19">
        <v>1</v>
      </c>
      <c r="W19" t="s">
        <v>33</v>
      </c>
      <c r="Y19" t="s">
        <v>33</v>
      </c>
      <c r="Z19" t="s">
        <v>34</v>
      </c>
      <c r="AA19">
        <v>1</v>
      </c>
      <c r="AC19" s="15"/>
    </row>
    <row r="20" spans="1:29" x14ac:dyDescent="0.35">
      <c r="A20" s="13">
        <f t="shared" si="0"/>
        <v>45930</v>
      </c>
      <c r="B20">
        <v>1</v>
      </c>
      <c r="D20" s="14" t="s">
        <v>31</v>
      </c>
      <c r="E20" s="15" t="s">
        <v>32</v>
      </c>
      <c r="F20" s="16" t="s">
        <v>32</v>
      </c>
      <c r="G20" s="17"/>
      <c r="H20" s="33" t="s">
        <v>63</v>
      </c>
      <c r="I20" s="33" t="s">
        <v>63</v>
      </c>
      <c r="K20" s="20">
        <f>AGD!K20</f>
        <v>18</v>
      </c>
      <c r="L20" s="20">
        <f>AGD!L20</f>
        <v>0</v>
      </c>
      <c r="M20" s="21">
        <f>AGD!M20</f>
        <v>46477</v>
      </c>
      <c r="N20" s="21">
        <f>AGD!N20</f>
        <v>46477</v>
      </c>
      <c r="O20" s="21">
        <f>AGD!O20</f>
        <v>46477</v>
      </c>
      <c r="P20" s="95">
        <f>AGD!P20</f>
        <v>26803.587027067224</v>
      </c>
      <c r="V20">
        <v>1</v>
      </c>
      <c r="W20" t="s">
        <v>33</v>
      </c>
      <c r="Y20" t="s">
        <v>33</v>
      </c>
      <c r="Z20" t="s">
        <v>34</v>
      </c>
      <c r="AA20">
        <v>1</v>
      </c>
    </row>
    <row r="21" spans="1:29" x14ac:dyDescent="0.35">
      <c r="A21" s="13">
        <f t="shared" si="0"/>
        <v>45930</v>
      </c>
      <c r="B21">
        <v>1</v>
      </c>
      <c r="D21" s="14" t="s">
        <v>31</v>
      </c>
      <c r="E21" s="15" t="s">
        <v>32</v>
      </c>
      <c r="F21" s="16" t="s">
        <v>32</v>
      </c>
      <c r="G21" s="17"/>
      <c r="H21" s="33" t="s">
        <v>63</v>
      </c>
      <c r="I21" s="33" t="s">
        <v>63</v>
      </c>
      <c r="K21" s="20">
        <f>AGD!K21</f>
        <v>19</v>
      </c>
      <c r="L21" s="20">
        <f>AGD!L21</f>
        <v>0</v>
      </c>
      <c r="M21" s="21">
        <f>AGD!M21</f>
        <v>46507</v>
      </c>
      <c r="N21" s="21">
        <f>AGD!N21</f>
        <v>46507</v>
      </c>
      <c r="O21" s="21">
        <f>AGD!O21</f>
        <v>46507</v>
      </c>
      <c r="P21" s="95">
        <f>AGD!P21</f>
        <v>26803.587027067224</v>
      </c>
      <c r="V21">
        <v>1</v>
      </c>
      <c r="W21" t="s">
        <v>33</v>
      </c>
      <c r="Y21" t="s">
        <v>33</v>
      </c>
      <c r="Z21" t="s">
        <v>34</v>
      </c>
      <c r="AA21">
        <v>1</v>
      </c>
    </row>
    <row r="22" spans="1:29" x14ac:dyDescent="0.35">
      <c r="A22" s="13">
        <f t="shared" si="0"/>
        <v>45930</v>
      </c>
      <c r="B22">
        <v>1</v>
      </c>
      <c r="D22" s="14" t="s">
        <v>31</v>
      </c>
      <c r="E22" s="15" t="s">
        <v>32</v>
      </c>
      <c r="F22" s="16" t="s">
        <v>32</v>
      </c>
      <c r="G22" s="17"/>
      <c r="H22" s="33" t="s">
        <v>63</v>
      </c>
      <c r="I22" s="33" t="s">
        <v>63</v>
      </c>
      <c r="K22" s="20">
        <f>AGD!K22</f>
        <v>20</v>
      </c>
      <c r="L22" s="20">
        <f>AGD!L22</f>
        <v>0</v>
      </c>
      <c r="M22" s="21">
        <f>AGD!M22</f>
        <v>46538</v>
      </c>
      <c r="N22" s="21">
        <f>AGD!N22</f>
        <v>46538</v>
      </c>
      <c r="O22" s="21">
        <f>AGD!O22</f>
        <v>46538</v>
      </c>
      <c r="P22" s="95">
        <f>AGD!P22</f>
        <v>26803.587027067224</v>
      </c>
      <c r="V22">
        <v>1</v>
      </c>
      <c r="W22" t="s">
        <v>33</v>
      </c>
      <c r="Y22" t="s">
        <v>33</v>
      </c>
      <c r="Z22" t="s">
        <v>34</v>
      </c>
      <c r="AA22">
        <v>1</v>
      </c>
    </row>
    <row r="23" spans="1:29" x14ac:dyDescent="0.35">
      <c r="A23" s="13">
        <f t="shared" si="0"/>
        <v>45930</v>
      </c>
      <c r="B23">
        <v>1</v>
      </c>
      <c r="D23" s="14" t="s">
        <v>31</v>
      </c>
      <c r="E23" s="15" t="s">
        <v>32</v>
      </c>
      <c r="F23" s="16" t="s">
        <v>32</v>
      </c>
      <c r="G23" s="17"/>
      <c r="H23" s="33" t="s">
        <v>63</v>
      </c>
      <c r="I23" s="33" t="s">
        <v>63</v>
      </c>
      <c r="K23" s="20">
        <f>AGD!K23</f>
        <v>21</v>
      </c>
      <c r="L23" s="20">
        <f>AGD!L23</f>
        <v>0</v>
      </c>
      <c r="M23" s="21">
        <f>AGD!M23</f>
        <v>46568</v>
      </c>
      <c r="N23" s="21">
        <f>AGD!N23</f>
        <v>46568</v>
      </c>
      <c r="O23" s="21">
        <f>AGD!O23</f>
        <v>46568</v>
      </c>
      <c r="P23" s="95">
        <f>AGD!P23</f>
        <v>26803.587027067224</v>
      </c>
      <c r="V23">
        <v>1</v>
      </c>
      <c r="W23" t="s">
        <v>33</v>
      </c>
      <c r="Y23" t="s">
        <v>33</v>
      </c>
      <c r="Z23" t="s">
        <v>34</v>
      </c>
      <c r="AA23">
        <v>1</v>
      </c>
    </row>
    <row r="24" spans="1:29" x14ac:dyDescent="0.35">
      <c r="A24" s="13">
        <f t="shared" si="0"/>
        <v>45930</v>
      </c>
      <c r="B24">
        <v>1</v>
      </c>
      <c r="D24" s="14" t="s">
        <v>31</v>
      </c>
      <c r="E24" s="15" t="s">
        <v>32</v>
      </c>
      <c r="F24" s="16" t="s">
        <v>32</v>
      </c>
      <c r="G24" s="17"/>
      <c r="H24" s="33" t="s">
        <v>63</v>
      </c>
      <c r="I24" s="33" t="s">
        <v>63</v>
      </c>
      <c r="K24" s="20">
        <f>AGD!K24</f>
        <v>22</v>
      </c>
      <c r="L24" s="20">
        <f>AGD!L24</f>
        <v>0</v>
      </c>
      <c r="M24" s="21">
        <f>AGD!M24</f>
        <v>46599</v>
      </c>
      <c r="N24" s="21">
        <f>AGD!N24</f>
        <v>46599</v>
      </c>
      <c r="O24" s="21">
        <f>AGD!O24</f>
        <v>46599</v>
      </c>
      <c r="P24" s="95">
        <f>AGD!P24</f>
        <v>26803.587027067224</v>
      </c>
      <c r="V24">
        <v>1</v>
      </c>
      <c r="W24" t="s">
        <v>33</v>
      </c>
      <c r="Y24" t="s">
        <v>33</v>
      </c>
      <c r="Z24" t="s">
        <v>34</v>
      </c>
      <c r="AA24">
        <v>1</v>
      </c>
    </row>
    <row r="25" spans="1:29" x14ac:dyDescent="0.35">
      <c r="A25" s="13">
        <f t="shared" si="0"/>
        <v>45930</v>
      </c>
      <c r="B25">
        <v>1</v>
      </c>
      <c r="D25" s="14" t="s">
        <v>31</v>
      </c>
      <c r="E25" s="15" t="s">
        <v>32</v>
      </c>
      <c r="F25" s="16" t="s">
        <v>32</v>
      </c>
      <c r="G25" s="17"/>
      <c r="H25" s="33" t="s">
        <v>63</v>
      </c>
      <c r="I25" s="33" t="s">
        <v>63</v>
      </c>
      <c r="K25" s="20">
        <f>AGD!K25</f>
        <v>23</v>
      </c>
      <c r="L25" s="20">
        <f>AGD!L25</f>
        <v>0</v>
      </c>
      <c r="M25" s="21">
        <f>AGD!M25</f>
        <v>46630</v>
      </c>
      <c r="N25" s="21">
        <f>AGD!N25</f>
        <v>46630</v>
      </c>
      <c r="O25" s="21">
        <f>AGD!O25</f>
        <v>46630</v>
      </c>
      <c r="P25" s="95">
        <f>AGD!P25</f>
        <v>26803.587027067224</v>
      </c>
      <c r="V25">
        <v>1</v>
      </c>
      <c r="W25" t="s">
        <v>33</v>
      </c>
      <c r="Y25" t="s">
        <v>33</v>
      </c>
      <c r="Z25" t="s">
        <v>34</v>
      </c>
      <c r="AA25">
        <v>1</v>
      </c>
    </row>
    <row r="26" spans="1:29" x14ac:dyDescent="0.35">
      <c r="A26" s="13">
        <f t="shared" si="0"/>
        <v>45930</v>
      </c>
      <c r="B26">
        <v>1</v>
      </c>
      <c r="D26" s="14" t="s">
        <v>31</v>
      </c>
      <c r="E26" s="15" t="s">
        <v>32</v>
      </c>
      <c r="F26" s="16" t="s">
        <v>32</v>
      </c>
      <c r="G26" s="17"/>
      <c r="H26" s="33" t="s">
        <v>63</v>
      </c>
      <c r="I26" s="33" t="s">
        <v>63</v>
      </c>
      <c r="K26" s="20">
        <f>AGD!K26</f>
        <v>24</v>
      </c>
      <c r="L26" s="20">
        <f>AGD!L26</f>
        <v>0</v>
      </c>
      <c r="M26" s="21">
        <f>AGD!M26</f>
        <v>46660</v>
      </c>
      <c r="N26" s="21">
        <f>AGD!N26</f>
        <v>46660</v>
      </c>
      <c r="O26" s="21">
        <f>AGD!O26</f>
        <v>46660</v>
      </c>
      <c r="P26" s="95">
        <f>AGD!P26</f>
        <v>26803.587027067224</v>
      </c>
      <c r="V26">
        <v>1</v>
      </c>
      <c r="W26" t="s">
        <v>33</v>
      </c>
      <c r="Y26" t="s">
        <v>33</v>
      </c>
      <c r="Z26" t="s">
        <v>34</v>
      </c>
      <c r="AA26">
        <v>1</v>
      </c>
    </row>
    <row r="27" spans="1:29" x14ac:dyDescent="0.35">
      <c r="A27" s="13">
        <f t="shared" si="0"/>
        <v>45930</v>
      </c>
      <c r="B27">
        <v>1</v>
      </c>
      <c r="D27" s="14" t="s">
        <v>31</v>
      </c>
      <c r="E27" s="15" t="s">
        <v>32</v>
      </c>
      <c r="F27" s="16" t="s">
        <v>32</v>
      </c>
      <c r="G27" s="17"/>
      <c r="H27" s="33" t="s">
        <v>63</v>
      </c>
      <c r="I27" s="33" t="s">
        <v>63</v>
      </c>
      <c r="K27" s="20">
        <f>AGD!K27</f>
        <v>25</v>
      </c>
      <c r="L27" s="20">
        <f>AGD!L27</f>
        <v>0</v>
      </c>
      <c r="M27" s="21">
        <f>AGD!M27</f>
        <v>46691</v>
      </c>
      <c r="N27" s="21">
        <f>AGD!N27</f>
        <v>46691</v>
      </c>
      <c r="O27" s="21">
        <f>AGD!O27</f>
        <v>46691</v>
      </c>
      <c r="P27" s="95">
        <f>AGD!P27</f>
        <v>26803.587027067224</v>
      </c>
      <c r="V27">
        <v>1</v>
      </c>
      <c r="W27" t="s">
        <v>33</v>
      </c>
      <c r="Y27" t="s">
        <v>33</v>
      </c>
      <c r="Z27" t="s">
        <v>34</v>
      </c>
      <c r="AA27">
        <v>1</v>
      </c>
    </row>
    <row r="28" spans="1:29" x14ac:dyDescent="0.35">
      <c r="A28" s="13">
        <f t="shared" si="0"/>
        <v>45930</v>
      </c>
      <c r="B28">
        <v>1</v>
      </c>
      <c r="D28" s="14" t="s">
        <v>31</v>
      </c>
      <c r="E28" s="15" t="s">
        <v>32</v>
      </c>
      <c r="F28" s="16" t="s">
        <v>32</v>
      </c>
      <c r="G28" s="17"/>
      <c r="H28" s="33" t="s">
        <v>63</v>
      </c>
      <c r="I28" s="33" t="s">
        <v>63</v>
      </c>
      <c r="K28" s="20">
        <f>AGD!K28</f>
        <v>26</v>
      </c>
      <c r="L28" s="20">
        <f>AGD!L28</f>
        <v>0</v>
      </c>
      <c r="M28" s="21">
        <f>AGD!M28</f>
        <v>46721</v>
      </c>
      <c r="N28" s="21">
        <f>AGD!N28</f>
        <v>46721</v>
      </c>
      <c r="O28" s="21">
        <f>AGD!O28</f>
        <v>46721</v>
      </c>
      <c r="P28" s="95">
        <f>AGD!P28</f>
        <v>26803.587027067224</v>
      </c>
      <c r="V28">
        <v>1</v>
      </c>
      <c r="W28" t="s">
        <v>33</v>
      </c>
      <c r="Y28" t="s">
        <v>33</v>
      </c>
      <c r="Z28" t="s">
        <v>34</v>
      </c>
      <c r="AA28">
        <v>1</v>
      </c>
    </row>
    <row r="29" spans="1:29" x14ac:dyDescent="0.35">
      <c r="A29" s="13">
        <f t="shared" si="0"/>
        <v>45930</v>
      </c>
      <c r="B29">
        <v>1</v>
      </c>
      <c r="D29" s="14" t="s">
        <v>31</v>
      </c>
      <c r="E29" s="15" t="s">
        <v>32</v>
      </c>
      <c r="F29" s="16" t="s">
        <v>32</v>
      </c>
      <c r="G29" s="17"/>
      <c r="H29" s="33" t="s">
        <v>63</v>
      </c>
      <c r="I29" s="33" t="s">
        <v>63</v>
      </c>
      <c r="K29" s="20">
        <f>AGD!K29</f>
        <v>27</v>
      </c>
      <c r="L29" s="20">
        <f>AGD!L29</f>
        <v>0</v>
      </c>
      <c r="M29" s="21">
        <f>AGD!M29</f>
        <v>46752</v>
      </c>
      <c r="N29" s="21">
        <f>AGD!N29</f>
        <v>46752</v>
      </c>
      <c r="O29" s="21">
        <f>AGD!O29</f>
        <v>46752</v>
      </c>
      <c r="P29" s="95">
        <f>AGD!P29</f>
        <v>26803.587027067224</v>
      </c>
      <c r="V29">
        <v>1</v>
      </c>
      <c r="W29" t="s">
        <v>33</v>
      </c>
      <c r="Y29" t="s">
        <v>33</v>
      </c>
      <c r="Z29" t="s">
        <v>34</v>
      </c>
      <c r="AA29">
        <v>1</v>
      </c>
    </row>
    <row r="30" spans="1:29" x14ac:dyDescent="0.35">
      <c r="A30" s="13">
        <f t="shared" si="0"/>
        <v>45930</v>
      </c>
      <c r="B30">
        <v>1</v>
      </c>
      <c r="D30" s="14" t="s">
        <v>31</v>
      </c>
      <c r="E30" s="15" t="s">
        <v>32</v>
      </c>
      <c r="F30" s="16" t="s">
        <v>32</v>
      </c>
      <c r="G30" s="17"/>
      <c r="H30" s="33" t="s">
        <v>63</v>
      </c>
      <c r="I30" s="33" t="s">
        <v>63</v>
      </c>
      <c r="K30" s="20">
        <f>AGD!K30</f>
        <v>28</v>
      </c>
      <c r="L30" s="20">
        <f>AGD!L30</f>
        <v>0</v>
      </c>
      <c r="M30" s="21">
        <f>AGD!M30</f>
        <v>46783</v>
      </c>
      <c r="N30" s="21">
        <f>AGD!N30</f>
        <v>46783</v>
      </c>
      <c r="O30" s="21">
        <f>AGD!O30</f>
        <v>46783</v>
      </c>
      <c r="P30" s="95">
        <f>AGD!P30</f>
        <v>26803.587027067224</v>
      </c>
      <c r="V30">
        <v>1</v>
      </c>
      <c r="W30" t="s">
        <v>33</v>
      </c>
      <c r="Y30" t="s">
        <v>33</v>
      </c>
      <c r="Z30" t="s">
        <v>34</v>
      </c>
      <c r="AA30">
        <v>1</v>
      </c>
    </row>
    <row r="31" spans="1:29" x14ac:dyDescent="0.35">
      <c r="A31" s="13">
        <f t="shared" si="0"/>
        <v>45930</v>
      </c>
      <c r="B31">
        <v>1</v>
      </c>
      <c r="D31" s="14" t="s">
        <v>31</v>
      </c>
      <c r="E31" s="15" t="s">
        <v>32</v>
      </c>
      <c r="F31" s="16" t="s">
        <v>32</v>
      </c>
      <c r="G31" s="17"/>
      <c r="H31" s="33" t="s">
        <v>63</v>
      </c>
      <c r="I31" s="33" t="s">
        <v>63</v>
      </c>
      <c r="K31" s="20">
        <f>AGD!K31</f>
        <v>29</v>
      </c>
      <c r="L31" s="20">
        <f>AGD!L31</f>
        <v>0</v>
      </c>
      <c r="M31" s="21">
        <f>AGD!M31</f>
        <v>46812</v>
      </c>
      <c r="N31" s="21">
        <f>AGD!N31</f>
        <v>46812</v>
      </c>
      <c r="O31" s="21">
        <f>AGD!O31</f>
        <v>46812</v>
      </c>
      <c r="P31" s="95">
        <f>AGD!P31</f>
        <v>26803.587027067224</v>
      </c>
      <c r="V31">
        <v>1</v>
      </c>
      <c r="W31" t="s">
        <v>33</v>
      </c>
      <c r="Y31" t="s">
        <v>33</v>
      </c>
      <c r="Z31" t="s">
        <v>34</v>
      </c>
      <c r="AA31">
        <v>1</v>
      </c>
    </row>
    <row r="32" spans="1:29" x14ac:dyDescent="0.35">
      <c r="A32" s="13">
        <f t="shared" si="0"/>
        <v>45930</v>
      </c>
      <c r="B32">
        <v>1</v>
      </c>
      <c r="D32" s="14" t="s">
        <v>31</v>
      </c>
      <c r="E32" s="15" t="s">
        <v>32</v>
      </c>
      <c r="F32" s="16" t="s">
        <v>32</v>
      </c>
      <c r="G32" s="17"/>
      <c r="H32" s="33" t="s">
        <v>63</v>
      </c>
      <c r="I32" s="33" t="s">
        <v>63</v>
      </c>
      <c r="K32" s="20">
        <f>AGD!K32</f>
        <v>30</v>
      </c>
      <c r="L32" s="20">
        <f>AGD!L32</f>
        <v>0</v>
      </c>
      <c r="M32" s="21">
        <f>AGD!M32</f>
        <v>46843</v>
      </c>
      <c r="N32" s="21">
        <f>AGD!N32</f>
        <v>46843</v>
      </c>
      <c r="O32" s="21">
        <f>AGD!O32</f>
        <v>46843</v>
      </c>
      <c r="P32" s="95">
        <f>AGD!P32</f>
        <v>26803.587027067224</v>
      </c>
      <c r="V32">
        <v>1</v>
      </c>
      <c r="W32" t="s">
        <v>33</v>
      </c>
      <c r="Y32" t="s">
        <v>33</v>
      </c>
      <c r="Z32" t="s">
        <v>34</v>
      </c>
      <c r="AA32">
        <v>1</v>
      </c>
    </row>
    <row r="33" spans="1:27" x14ac:dyDescent="0.35">
      <c r="A33" s="13">
        <f t="shared" si="0"/>
        <v>45930</v>
      </c>
      <c r="B33">
        <v>1</v>
      </c>
      <c r="D33" s="14" t="s">
        <v>31</v>
      </c>
      <c r="E33" s="15" t="s">
        <v>32</v>
      </c>
      <c r="F33" s="16" t="s">
        <v>32</v>
      </c>
      <c r="G33" s="17"/>
      <c r="H33" s="33" t="s">
        <v>63</v>
      </c>
      <c r="I33" s="33" t="s">
        <v>63</v>
      </c>
      <c r="K33" s="20">
        <f>AGD!K33</f>
        <v>31</v>
      </c>
      <c r="L33" s="20">
        <f>AGD!L33</f>
        <v>0</v>
      </c>
      <c r="M33" s="21">
        <f>AGD!M33</f>
        <v>46873</v>
      </c>
      <c r="N33" s="21">
        <f>AGD!N33</f>
        <v>46873</v>
      </c>
      <c r="O33" s="21">
        <f>AGD!O33</f>
        <v>46873</v>
      </c>
      <c r="P33" s="95">
        <f>AGD!P33</f>
        <v>26803.587027067224</v>
      </c>
      <c r="V33">
        <v>1</v>
      </c>
      <c r="W33" t="s">
        <v>33</v>
      </c>
      <c r="Y33" t="s">
        <v>33</v>
      </c>
      <c r="Z33" t="s">
        <v>34</v>
      </c>
      <c r="AA33">
        <v>1</v>
      </c>
    </row>
    <row r="34" spans="1:27" x14ac:dyDescent="0.35">
      <c r="A34" s="13">
        <f t="shared" si="0"/>
        <v>45930</v>
      </c>
      <c r="B34">
        <v>1</v>
      </c>
      <c r="D34" s="14" t="s">
        <v>31</v>
      </c>
      <c r="E34" s="15" t="s">
        <v>32</v>
      </c>
      <c r="F34" s="16" t="s">
        <v>32</v>
      </c>
      <c r="G34" s="17"/>
      <c r="H34" s="33" t="s">
        <v>63</v>
      </c>
      <c r="I34" s="33" t="s">
        <v>63</v>
      </c>
      <c r="K34" s="20">
        <f>AGD!K34</f>
        <v>32</v>
      </c>
      <c r="L34" s="20">
        <f>AGD!L34</f>
        <v>0</v>
      </c>
      <c r="M34" s="21">
        <f>AGD!M34</f>
        <v>46904</v>
      </c>
      <c r="N34" s="21">
        <f>AGD!N34</f>
        <v>46904</v>
      </c>
      <c r="O34" s="21">
        <f>AGD!O34</f>
        <v>46904</v>
      </c>
      <c r="P34" s="95">
        <f>AGD!P34</f>
        <v>26803.587027067224</v>
      </c>
      <c r="V34">
        <v>1</v>
      </c>
      <c r="W34" t="s">
        <v>33</v>
      </c>
      <c r="Y34" t="s">
        <v>33</v>
      </c>
      <c r="Z34" t="s">
        <v>34</v>
      </c>
      <c r="AA34">
        <v>1</v>
      </c>
    </row>
    <row r="35" spans="1:27" x14ac:dyDescent="0.35">
      <c r="A35" s="13">
        <f t="shared" si="0"/>
        <v>45930</v>
      </c>
      <c r="B35">
        <v>1</v>
      </c>
      <c r="D35" s="14" t="s">
        <v>31</v>
      </c>
      <c r="E35" s="15" t="s">
        <v>32</v>
      </c>
      <c r="F35" s="16" t="s">
        <v>32</v>
      </c>
      <c r="G35" s="17"/>
      <c r="H35" s="33" t="s">
        <v>63</v>
      </c>
      <c r="I35" s="33" t="s">
        <v>63</v>
      </c>
      <c r="K35" s="20">
        <f>AGD!K35</f>
        <v>33</v>
      </c>
      <c r="L35" s="20">
        <f>AGD!L35</f>
        <v>0</v>
      </c>
      <c r="M35" s="21">
        <f>AGD!M35</f>
        <v>46934</v>
      </c>
      <c r="N35" s="21">
        <f>AGD!N35</f>
        <v>46934</v>
      </c>
      <c r="O35" s="21">
        <f>AGD!O35</f>
        <v>46934</v>
      </c>
      <c r="P35" s="95">
        <f>AGD!P35</f>
        <v>26803.587027067224</v>
      </c>
      <c r="V35">
        <v>1</v>
      </c>
      <c r="W35" t="s">
        <v>33</v>
      </c>
      <c r="Y35" t="s">
        <v>33</v>
      </c>
      <c r="Z35" t="s">
        <v>34</v>
      </c>
      <c r="AA35">
        <v>1</v>
      </c>
    </row>
    <row r="36" spans="1:27" x14ac:dyDescent="0.35">
      <c r="A36" s="13">
        <f t="shared" si="0"/>
        <v>45930</v>
      </c>
      <c r="B36">
        <v>1</v>
      </c>
      <c r="D36" s="14" t="s">
        <v>31</v>
      </c>
      <c r="E36" s="15" t="s">
        <v>32</v>
      </c>
      <c r="F36" s="16" t="s">
        <v>32</v>
      </c>
      <c r="G36" s="17"/>
      <c r="H36" s="33" t="s">
        <v>63</v>
      </c>
      <c r="I36" s="33" t="s">
        <v>63</v>
      </c>
      <c r="K36" s="20">
        <f>AGD!K36</f>
        <v>34</v>
      </c>
      <c r="L36" s="20">
        <f>AGD!L36</f>
        <v>0</v>
      </c>
      <c r="M36" s="21">
        <f>AGD!M36</f>
        <v>46965</v>
      </c>
      <c r="N36" s="21">
        <f>AGD!N36</f>
        <v>46965</v>
      </c>
      <c r="O36" s="21">
        <f>AGD!O36</f>
        <v>46965</v>
      </c>
      <c r="P36" s="95">
        <f>AGD!P36</f>
        <v>26803.587027067224</v>
      </c>
      <c r="V36">
        <v>1</v>
      </c>
      <c r="W36" t="s">
        <v>33</v>
      </c>
      <c r="Y36" t="s">
        <v>33</v>
      </c>
      <c r="Z36" t="s">
        <v>34</v>
      </c>
      <c r="AA36">
        <v>1</v>
      </c>
    </row>
    <row r="37" spans="1:27" x14ac:dyDescent="0.35">
      <c r="A37" s="13">
        <f t="shared" si="0"/>
        <v>45930</v>
      </c>
      <c r="B37">
        <v>1</v>
      </c>
      <c r="D37" s="14" t="s">
        <v>31</v>
      </c>
      <c r="E37" s="15" t="s">
        <v>32</v>
      </c>
      <c r="F37" s="16" t="s">
        <v>32</v>
      </c>
      <c r="G37" s="17"/>
      <c r="H37" s="33" t="s">
        <v>63</v>
      </c>
      <c r="I37" s="33" t="s">
        <v>63</v>
      </c>
      <c r="K37" s="20">
        <f>AGD!K37</f>
        <v>35</v>
      </c>
      <c r="L37" s="20">
        <f>AGD!L37</f>
        <v>0</v>
      </c>
      <c r="M37" s="21">
        <f>AGD!M37</f>
        <v>46996</v>
      </c>
      <c r="N37" s="21">
        <f>AGD!N37</f>
        <v>46996</v>
      </c>
      <c r="O37" s="21">
        <f>AGD!O37</f>
        <v>46996</v>
      </c>
      <c r="P37" s="95">
        <f>AGD!P37</f>
        <v>26803.587027067224</v>
      </c>
      <c r="V37">
        <v>1</v>
      </c>
      <c r="W37" t="s">
        <v>33</v>
      </c>
      <c r="Y37" t="s">
        <v>33</v>
      </c>
      <c r="Z37" t="s">
        <v>34</v>
      </c>
      <c r="AA37">
        <v>1</v>
      </c>
    </row>
    <row r="38" spans="1:27" x14ac:dyDescent="0.35">
      <c r="A38" s="13">
        <f t="shared" si="0"/>
        <v>45930</v>
      </c>
      <c r="B38">
        <v>1</v>
      </c>
      <c r="D38" s="14" t="s">
        <v>31</v>
      </c>
      <c r="E38" s="15" t="s">
        <v>32</v>
      </c>
      <c r="F38" s="16" t="s">
        <v>32</v>
      </c>
      <c r="G38" s="17"/>
      <c r="H38" s="33" t="s">
        <v>63</v>
      </c>
      <c r="I38" s="33" t="s">
        <v>63</v>
      </c>
      <c r="K38" s="20">
        <f>AGD!K38</f>
        <v>36</v>
      </c>
      <c r="L38" s="20">
        <f>AGD!L38</f>
        <v>0</v>
      </c>
      <c r="M38" s="21">
        <f>AGD!M38</f>
        <v>47026</v>
      </c>
      <c r="N38" s="21">
        <f>AGD!N38</f>
        <v>47026</v>
      </c>
      <c r="O38" s="21">
        <f>AGD!O38</f>
        <v>47026</v>
      </c>
      <c r="P38" s="95">
        <f>AGD!P38</f>
        <v>26803.587027067224</v>
      </c>
      <c r="V38">
        <v>1</v>
      </c>
      <c r="W38" t="s">
        <v>33</v>
      </c>
      <c r="Y38" t="s">
        <v>33</v>
      </c>
      <c r="Z38" t="s">
        <v>34</v>
      </c>
      <c r="AA38">
        <v>1</v>
      </c>
    </row>
    <row r="39" spans="1:27" x14ac:dyDescent="0.35">
      <c r="A39" s="13">
        <f t="shared" si="0"/>
        <v>45930</v>
      </c>
      <c r="B39">
        <v>1</v>
      </c>
      <c r="D39" s="14" t="s">
        <v>31</v>
      </c>
      <c r="E39" s="15" t="s">
        <v>32</v>
      </c>
      <c r="F39" s="16" t="s">
        <v>32</v>
      </c>
      <c r="G39" s="17"/>
      <c r="H39" s="33" t="s">
        <v>63</v>
      </c>
      <c r="I39" s="33" t="s">
        <v>63</v>
      </c>
      <c r="K39" s="20">
        <f>AGD!K39</f>
        <v>37</v>
      </c>
      <c r="L39" s="20">
        <f>AGD!L39</f>
        <v>0</v>
      </c>
      <c r="M39" s="21">
        <f>AGD!M39</f>
        <v>47057</v>
      </c>
      <c r="N39" s="21">
        <f>AGD!N39</f>
        <v>47057</v>
      </c>
      <c r="O39" s="21">
        <f>AGD!O39</f>
        <v>47057</v>
      </c>
      <c r="P39" s="95">
        <f>AGD!P39</f>
        <v>26803.587027067224</v>
      </c>
      <c r="V39">
        <v>1</v>
      </c>
      <c r="W39" t="s">
        <v>33</v>
      </c>
      <c r="Y39" t="s">
        <v>33</v>
      </c>
      <c r="Z39" t="s">
        <v>34</v>
      </c>
      <c r="AA39">
        <v>1</v>
      </c>
    </row>
    <row r="40" spans="1:27" x14ac:dyDescent="0.35">
      <c r="A40" s="13">
        <f t="shared" si="0"/>
        <v>45930</v>
      </c>
      <c r="B40">
        <v>1</v>
      </c>
      <c r="D40" s="14" t="s">
        <v>31</v>
      </c>
      <c r="E40" s="15" t="s">
        <v>32</v>
      </c>
      <c r="F40" s="16" t="s">
        <v>32</v>
      </c>
      <c r="G40" s="17"/>
      <c r="H40" s="33" t="s">
        <v>63</v>
      </c>
      <c r="I40" s="33" t="s">
        <v>63</v>
      </c>
      <c r="K40" s="20">
        <f>AGD!K40</f>
        <v>38</v>
      </c>
      <c r="L40" s="20">
        <f>AGD!L40</f>
        <v>0</v>
      </c>
      <c r="M40" s="21">
        <f>AGD!M40</f>
        <v>47087</v>
      </c>
      <c r="N40" s="21">
        <f>AGD!N40</f>
        <v>47087</v>
      </c>
      <c r="O40" s="21">
        <f>AGD!O40</f>
        <v>47087</v>
      </c>
      <c r="P40" s="95">
        <f>AGD!P40</f>
        <v>26803.587027067224</v>
      </c>
      <c r="V40">
        <v>1</v>
      </c>
      <c r="W40" t="s">
        <v>33</v>
      </c>
      <c r="Y40" t="s">
        <v>33</v>
      </c>
      <c r="Z40" t="s">
        <v>34</v>
      </c>
      <c r="AA40">
        <v>1</v>
      </c>
    </row>
    <row r="41" spans="1:27" x14ac:dyDescent="0.35">
      <c r="A41" s="13">
        <f t="shared" si="0"/>
        <v>45930</v>
      </c>
      <c r="B41">
        <v>1</v>
      </c>
      <c r="D41" s="14" t="s">
        <v>31</v>
      </c>
      <c r="E41" s="15" t="s">
        <v>32</v>
      </c>
      <c r="F41" s="16" t="s">
        <v>32</v>
      </c>
      <c r="G41" s="17"/>
      <c r="H41" s="33" t="s">
        <v>63</v>
      </c>
      <c r="I41" s="33" t="s">
        <v>63</v>
      </c>
      <c r="K41" s="20">
        <f>AGD!K41</f>
        <v>39</v>
      </c>
      <c r="L41" s="20">
        <f>AGD!L41</f>
        <v>0</v>
      </c>
      <c r="M41" s="21">
        <f>AGD!M41</f>
        <v>47118</v>
      </c>
      <c r="N41" s="21">
        <f>AGD!N41</f>
        <v>47118</v>
      </c>
      <c r="O41" s="21">
        <f>AGD!O41</f>
        <v>47118</v>
      </c>
      <c r="P41" s="95">
        <f>AGD!P41</f>
        <v>26803.587027067224</v>
      </c>
      <c r="V41">
        <v>1</v>
      </c>
      <c r="W41" t="s">
        <v>33</v>
      </c>
      <c r="Y41" t="s">
        <v>33</v>
      </c>
      <c r="Z41" t="s">
        <v>34</v>
      </c>
      <c r="AA41">
        <v>1</v>
      </c>
    </row>
    <row r="42" spans="1:27" x14ac:dyDescent="0.35">
      <c r="A42" s="13">
        <f t="shared" si="0"/>
        <v>45930</v>
      </c>
      <c r="B42">
        <v>1</v>
      </c>
      <c r="D42" s="14" t="s">
        <v>31</v>
      </c>
      <c r="E42" s="15" t="s">
        <v>32</v>
      </c>
      <c r="F42" s="16" t="s">
        <v>32</v>
      </c>
      <c r="G42" s="17"/>
      <c r="H42" s="33" t="s">
        <v>63</v>
      </c>
      <c r="I42" s="33" t="s">
        <v>63</v>
      </c>
      <c r="K42" s="20">
        <f>AGD!K42</f>
        <v>40</v>
      </c>
      <c r="L42" s="20">
        <f>AGD!L42</f>
        <v>0</v>
      </c>
      <c r="M42" s="21">
        <f>AGD!M42</f>
        <v>47149</v>
      </c>
      <c r="N42" s="21">
        <f>AGD!N42</f>
        <v>47149</v>
      </c>
      <c r="O42" s="21">
        <f>AGD!O42</f>
        <v>47149</v>
      </c>
      <c r="P42" s="95">
        <f>AGD!P42</f>
        <v>26803.587027067224</v>
      </c>
      <c r="V42">
        <v>1</v>
      </c>
      <c r="W42" t="s">
        <v>33</v>
      </c>
      <c r="Y42" t="s">
        <v>33</v>
      </c>
      <c r="Z42" t="s">
        <v>34</v>
      </c>
      <c r="AA42">
        <v>1</v>
      </c>
    </row>
    <row r="43" spans="1:27" x14ac:dyDescent="0.35">
      <c r="A43" s="13">
        <f t="shared" si="0"/>
        <v>45930</v>
      </c>
      <c r="B43">
        <v>1</v>
      </c>
      <c r="D43" s="14" t="s">
        <v>31</v>
      </c>
      <c r="E43" s="15" t="s">
        <v>32</v>
      </c>
      <c r="F43" s="16" t="s">
        <v>32</v>
      </c>
      <c r="G43" s="17"/>
      <c r="H43" s="33" t="s">
        <v>63</v>
      </c>
      <c r="I43" s="33" t="s">
        <v>63</v>
      </c>
      <c r="K43" s="20">
        <f>AGD!K43</f>
        <v>41</v>
      </c>
      <c r="L43" s="20">
        <f>AGD!L43</f>
        <v>0</v>
      </c>
      <c r="M43" s="21">
        <f>AGD!M43</f>
        <v>47177</v>
      </c>
      <c r="N43" s="21">
        <f>AGD!N43</f>
        <v>47177</v>
      </c>
      <c r="O43" s="21">
        <f>AGD!O43</f>
        <v>47177</v>
      </c>
      <c r="P43" s="95">
        <f>AGD!P43</f>
        <v>26803.587027067224</v>
      </c>
      <c r="V43">
        <v>1</v>
      </c>
      <c r="W43" t="s">
        <v>33</v>
      </c>
      <c r="Y43" t="s">
        <v>33</v>
      </c>
      <c r="Z43" t="s">
        <v>34</v>
      </c>
      <c r="AA43">
        <v>1</v>
      </c>
    </row>
    <row r="44" spans="1:27" x14ac:dyDescent="0.35">
      <c r="A44" s="13">
        <f t="shared" si="0"/>
        <v>45930</v>
      </c>
      <c r="B44">
        <v>1</v>
      </c>
      <c r="D44" s="14" t="s">
        <v>31</v>
      </c>
      <c r="E44" s="15" t="s">
        <v>32</v>
      </c>
      <c r="F44" s="16" t="s">
        <v>32</v>
      </c>
      <c r="G44" s="17"/>
      <c r="H44" s="33" t="s">
        <v>63</v>
      </c>
      <c r="I44" s="33" t="s">
        <v>63</v>
      </c>
      <c r="K44" s="20">
        <f>AGD!K44</f>
        <v>42</v>
      </c>
      <c r="L44" s="20">
        <f>AGD!L44</f>
        <v>0</v>
      </c>
      <c r="M44" s="21">
        <f>AGD!M44</f>
        <v>47208</v>
      </c>
      <c r="N44" s="21">
        <f>AGD!N44</f>
        <v>47208</v>
      </c>
      <c r="O44" s="21">
        <f>AGD!O44</f>
        <v>47208</v>
      </c>
      <c r="P44" s="95">
        <f>AGD!P44</f>
        <v>26803.587027067224</v>
      </c>
      <c r="V44">
        <v>1</v>
      </c>
      <c r="W44" t="s">
        <v>33</v>
      </c>
      <c r="Y44" t="s">
        <v>33</v>
      </c>
      <c r="Z44" t="s">
        <v>34</v>
      </c>
      <c r="AA44">
        <v>1</v>
      </c>
    </row>
    <row r="45" spans="1:27" x14ac:dyDescent="0.35">
      <c r="A45" s="13">
        <f t="shared" si="0"/>
        <v>45930</v>
      </c>
      <c r="B45">
        <v>1</v>
      </c>
      <c r="D45" s="14" t="s">
        <v>31</v>
      </c>
      <c r="E45" s="15" t="s">
        <v>32</v>
      </c>
      <c r="F45" s="16" t="s">
        <v>32</v>
      </c>
      <c r="G45" s="17"/>
      <c r="H45" s="33" t="s">
        <v>63</v>
      </c>
      <c r="I45" s="33" t="s">
        <v>63</v>
      </c>
      <c r="K45" s="20">
        <f>AGD!K45</f>
        <v>43</v>
      </c>
      <c r="L45" s="20">
        <f>AGD!L45</f>
        <v>0</v>
      </c>
      <c r="M45" s="21">
        <f>AGD!M45</f>
        <v>47238</v>
      </c>
      <c r="N45" s="21">
        <f>AGD!N45</f>
        <v>47238</v>
      </c>
      <c r="O45" s="21">
        <f>AGD!O45</f>
        <v>47238</v>
      </c>
      <c r="P45" s="95">
        <f>AGD!P45</f>
        <v>26803.587027067224</v>
      </c>
      <c r="V45">
        <v>1</v>
      </c>
      <c r="W45" t="s">
        <v>33</v>
      </c>
      <c r="Y45" t="s">
        <v>33</v>
      </c>
      <c r="Z45" t="s">
        <v>34</v>
      </c>
      <c r="AA45">
        <v>1</v>
      </c>
    </row>
    <row r="46" spans="1:27" x14ac:dyDescent="0.35">
      <c r="A46" s="13">
        <f t="shared" si="0"/>
        <v>45930</v>
      </c>
      <c r="B46">
        <v>1</v>
      </c>
      <c r="D46" s="14" t="s">
        <v>31</v>
      </c>
      <c r="E46" s="15" t="s">
        <v>32</v>
      </c>
      <c r="F46" s="16" t="s">
        <v>32</v>
      </c>
      <c r="G46" s="17"/>
      <c r="H46" s="33" t="s">
        <v>63</v>
      </c>
      <c r="I46" s="33" t="s">
        <v>63</v>
      </c>
      <c r="K46" s="20">
        <f>AGD!K46</f>
        <v>44</v>
      </c>
      <c r="L46" s="20">
        <f>AGD!L46</f>
        <v>0</v>
      </c>
      <c r="M46" s="21">
        <f>AGD!M46</f>
        <v>47269</v>
      </c>
      <c r="N46" s="21">
        <f>AGD!N46</f>
        <v>47269</v>
      </c>
      <c r="O46" s="21">
        <f>AGD!O46</f>
        <v>47269</v>
      </c>
      <c r="P46" s="95">
        <f>AGD!P46</f>
        <v>26803.587027067224</v>
      </c>
      <c r="V46">
        <v>1</v>
      </c>
      <c r="W46" t="s">
        <v>33</v>
      </c>
      <c r="Y46" t="s">
        <v>33</v>
      </c>
      <c r="Z46" t="s">
        <v>34</v>
      </c>
      <c r="AA46">
        <v>1</v>
      </c>
    </row>
    <row r="47" spans="1:27" x14ac:dyDescent="0.35">
      <c r="A47" s="13">
        <f t="shared" si="0"/>
        <v>45930</v>
      </c>
      <c r="B47">
        <v>1</v>
      </c>
      <c r="D47" s="14" t="s">
        <v>31</v>
      </c>
      <c r="E47" s="15" t="s">
        <v>32</v>
      </c>
      <c r="F47" s="16" t="s">
        <v>32</v>
      </c>
      <c r="G47" s="17"/>
      <c r="H47" s="33" t="s">
        <v>63</v>
      </c>
      <c r="I47" s="33" t="s">
        <v>63</v>
      </c>
      <c r="K47" s="20">
        <f>AGD!K47</f>
        <v>45</v>
      </c>
      <c r="L47" s="20">
        <f>AGD!L47</f>
        <v>0</v>
      </c>
      <c r="M47" s="21">
        <f>AGD!M47</f>
        <v>47299</v>
      </c>
      <c r="N47" s="21">
        <f>AGD!N47</f>
        <v>47299</v>
      </c>
      <c r="O47" s="21">
        <f>AGD!O47</f>
        <v>47299</v>
      </c>
      <c r="P47" s="95">
        <f>AGD!P47</f>
        <v>26803.587027067224</v>
      </c>
      <c r="V47">
        <v>1</v>
      </c>
      <c r="W47" t="s">
        <v>33</v>
      </c>
      <c r="Y47" t="s">
        <v>33</v>
      </c>
      <c r="Z47" t="s">
        <v>34</v>
      </c>
      <c r="AA47">
        <v>1</v>
      </c>
    </row>
    <row r="48" spans="1:27" x14ac:dyDescent="0.35">
      <c r="A48" s="13">
        <f t="shared" si="0"/>
        <v>45930</v>
      </c>
      <c r="B48">
        <v>1</v>
      </c>
      <c r="D48" s="14" t="s">
        <v>31</v>
      </c>
      <c r="E48" s="15" t="s">
        <v>32</v>
      </c>
      <c r="F48" s="16" t="s">
        <v>32</v>
      </c>
      <c r="G48" s="17"/>
      <c r="H48" s="33" t="s">
        <v>63</v>
      </c>
      <c r="I48" s="33" t="s">
        <v>63</v>
      </c>
      <c r="K48" s="20">
        <f>AGD!K48</f>
        <v>46</v>
      </c>
      <c r="L48" s="20">
        <f>AGD!L48</f>
        <v>0</v>
      </c>
      <c r="M48" s="21">
        <f>AGD!M48</f>
        <v>47330</v>
      </c>
      <c r="N48" s="21">
        <f>AGD!N48</f>
        <v>47330</v>
      </c>
      <c r="O48" s="21">
        <f>AGD!O48</f>
        <v>47330</v>
      </c>
      <c r="P48" s="95">
        <f>AGD!P48</f>
        <v>26803.587027067224</v>
      </c>
      <c r="V48">
        <v>1</v>
      </c>
      <c r="W48" t="s">
        <v>33</v>
      </c>
      <c r="Y48" t="s">
        <v>33</v>
      </c>
      <c r="Z48" t="s">
        <v>34</v>
      </c>
      <c r="AA48">
        <v>1</v>
      </c>
    </row>
    <row r="49" spans="1:27" x14ac:dyDescent="0.35">
      <c r="A49" s="13">
        <f t="shared" si="0"/>
        <v>45930</v>
      </c>
      <c r="B49">
        <v>1</v>
      </c>
      <c r="D49" s="14" t="s">
        <v>31</v>
      </c>
      <c r="E49" s="15" t="s">
        <v>32</v>
      </c>
      <c r="F49" s="16" t="s">
        <v>32</v>
      </c>
      <c r="G49" s="17"/>
      <c r="H49" s="33" t="s">
        <v>63</v>
      </c>
      <c r="I49" s="33" t="s">
        <v>63</v>
      </c>
      <c r="K49" s="20">
        <f>AGD!K49</f>
        <v>47</v>
      </c>
      <c r="L49" s="20">
        <f>AGD!L49</f>
        <v>0</v>
      </c>
      <c r="M49" s="21">
        <f>AGD!M49</f>
        <v>47361</v>
      </c>
      <c r="N49" s="21">
        <f>AGD!N49</f>
        <v>47361</v>
      </c>
      <c r="O49" s="21">
        <f>AGD!O49</f>
        <v>47361</v>
      </c>
      <c r="P49" s="95">
        <f>AGD!P49</f>
        <v>26803.587027067224</v>
      </c>
      <c r="V49">
        <v>1</v>
      </c>
      <c r="W49" t="s">
        <v>33</v>
      </c>
      <c r="Y49" t="s">
        <v>33</v>
      </c>
      <c r="Z49" t="s">
        <v>34</v>
      </c>
      <c r="AA49">
        <v>1</v>
      </c>
    </row>
    <row r="50" spans="1:27" x14ac:dyDescent="0.35">
      <c r="A50" s="13">
        <f t="shared" si="0"/>
        <v>45930</v>
      </c>
      <c r="B50">
        <v>1</v>
      </c>
      <c r="D50" s="14" t="s">
        <v>31</v>
      </c>
      <c r="E50" s="15" t="s">
        <v>32</v>
      </c>
      <c r="F50" s="16" t="s">
        <v>32</v>
      </c>
      <c r="G50" s="17"/>
      <c r="H50" s="33" t="s">
        <v>63</v>
      </c>
      <c r="I50" s="33" t="s">
        <v>63</v>
      </c>
      <c r="K50" s="20">
        <f>AGD!K50</f>
        <v>48</v>
      </c>
      <c r="L50" s="20">
        <f>AGD!L50</f>
        <v>0</v>
      </c>
      <c r="M50" s="21">
        <f>AGD!M50</f>
        <v>47391</v>
      </c>
      <c r="N50" s="21">
        <f>AGD!N50</f>
        <v>47391</v>
      </c>
      <c r="O50" s="21">
        <f>AGD!O50</f>
        <v>47391</v>
      </c>
      <c r="P50" s="95">
        <f>AGD!P50</f>
        <v>26803.587027067224</v>
      </c>
      <c r="V50">
        <v>1</v>
      </c>
      <c r="W50" t="s">
        <v>33</v>
      </c>
      <c r="Y50" t="s">
        <v>33</v>
      </c>
      <c r="Z50" t="s">
        <v>34</v>
      </c>
      <c r="AA50">
        <v>1</v>
      </c>
    </row>
    <row r="51" spans="1:27" x14ac:dyDescent="0.35">
      <c r="A51" s="13">
        <f t="shared" si="0"/>
        <v>45930</v>
      </c>
      <c r="B51">
        <v>1</v>
      </c>
      <c r="D51" s="14" t="s">
        <v>31</v>
      </c>
      <c r="E51" s="15" t="s">
        <v>32</v>
      </c>
      <c r="F51" s="16" t="s">
        <v>32</v>
      </c>
      <c r="G51" s="17"/>
      <c r="H51" s="33" t="s">
        <v>63</v>
      </c>
      <c r="I51" s="33" t="s">
        <v>63</v>
      </c>
      <c r="K51" s="20">
        <f>AGD!K51</f>
        <v>49</v>
      </c>
      <c r="L51" s="20">
        <f>AGD!L51</f>
        <v>0</v>
      </c>
      <c r="M51" s="21">
        <f>AGD!M51</f>
        <v>47422</v>
      </c>
      <c r="N51" s="21">
        <f>AGD!N51</f>
        <v>47422</v>
      </c>
      <c r="O51" s="21">
        <f>AGD!O51</f>
        <v>47422</v>
      </c>
      <c r="P51" s="95">
        <f>AGD!P51</f>
        <v>26803.587027067224</v>
      </c>
      <c r="V51">
        <v>1</v>
      </c>
      <c r="W51" t="s">
        <v>33</v>
      </c>
      <c r="Y51" t="s">
        <v>33</v>
      </c>
      <c r="Z51" t="s">
        <v>34</v>
      </c>
      <c r="AA51">
        <v>1</v>
      </c>
    </row>
    <row r="52" spans="1:27" x14ac:dyDescent="0.35">
      <c r="A52" s="13">
        <f t="shared" si="0"/>
        <v>45930</v>
      </c>
      <c r="B52">
        <v>1</v>
      </c>
      <c r="D52" s="14" t="s">
        <v>31</v>
      </c>
      <c r="E52" s="15" t="s">
        <v>32</v>
      </c>
      <c r="F52" s="16" t="s">
        <v>32</v>
      </c>
      <c r="G52" s="17"/>
      <c r="H52" s="33" t="s">
        <v>63</v>
      </c>
      <c r="I52" s="33" t="s">
        <v>63</v>
      </c>
      <c r="K52" s="20">
        <f>AGD!K52</f>
        <v>50</v>
      </c>
      <c r="L52" s="20">
        <f>AGD!L52</f>
        <v>0</v>
      </c>
      <c r="M52" s="21">
        <f>AGD!M52</f>
        <v>47452</v>
      </c>
      <c r="N52" s="21">
        <f>AGD!N52</f>
        <v>47452</v>
      </c>
      <c r="O52" s="21">
        <f>AGD!O52</f>
        <v>47452</v>
      </c>
      <c r="P52" s="95">
        <f>AGD!P52</f>
        <v>26803.587027067224</v>
      </c>
      <c r="V52">
        <v>1</v>
      </c>
      <c r="W52" t="s">
        <v>33</v>
      </c>
      <c r="Y52" t="s">
        <v>33</v>
      </c>
      <c r="Z52" t="s">
        <v>34</v>
      </c>
      <c r="AA52">
        <v>1</v>
      </c>
    </row>
    <row r="53" spans="1:27" x14ac:dyDescent="0.35">
      <c r="A53" s="13">
        <f t="shared" si="0"/>
        <v>45930</v>
      </c>
      <c r="B53">
        <v>1</v>
      </c>
      <c r="D53" s="14" t="s">
        <v>31</v>
      </c>
      <c r="E53" s="15" t="s">
        <v>32</v>
      </c>
      <c r="F53" s="16" t="s">
        <v>32</v>
      </c>
      <c r="G53" s="17"/>
      <c r="H53" s="33" t="s">
        <v>63</v>
      </c>
      <c r="I53" s="33" t="s">
        <v>63</v>
      </c>
      <c r="K53" s="20">
        <f>AGD!K53</f>
        <v>51</v>
      </c>
      <c r="L53" s="20">
        <f>AGD!L53</f>
        <v>0</v>
      </c>
      <c r="M53" s="21">
        <f>AGD!M53</f>
        <v>47483</v>
      </c>
      <c r="N53" s="21">
        <f>AGD!N53</f>
        <v>47483</v>
      </c>
      <c r="O53" s="21">
        <f>AGD!O53</f>
        <v>47483</v>
      </c>
      <c r="P53" s="95">
        <f>AGD!P53</f>
        <v>26803.587027067224</v>
      </c>
      <c r="V53">
        <v>1</v>
      </c>
      <c r="W53" t="s">
        <v>33</v>
      </c>
      <c r="Y53" t="s">
        <v>33</v>
      </c>
      <c r="Z53" t="s">
        <v>34</v>
      </c>
      <c r="AA53">
        <v>1</v>
      </c>
    </row>
    <row r="54" spans="1:27" x14ac:dyDescent="0.35">
      <c r="A54" s="13">
        <f t="shared" si="0"/>
        <v>45930</v>
      </c>
      <c r="B54">
        <v>1</v>
      </c>
      <c r="D54" s="14" t="s">
        <v>31</v>
      </c>
      <c r="E54" s="15" t="s">
        <v>32</v>
      </c>
      <c r="F54" s="16" t="s">
        <v>32</v>
      </c>
      <c r="G54" s="17"/>
      <c r="H54" s="33" t="s">
        <v>63</v>
      </c>
      <c r="I54" s="33" t="s">
        <v>63</v>
      </c>
      <c r="K54" s="20">
        <f>AGD!K54</f>
        <v>52</v>
      </c>
      <c r="L54" s="20">
        <f>AGD!L54</f>
        <v>0</v>
      </c>
      <c r="M54" s="21">
        <f>AGD!M54</f>
        <v>47514</v>
      </c>
      <c r="N54" s="21">
        <f>AGD!N54</f>
        <v>47514</v>
      </c>
      <c r="O54" s="21">
        <f>AGD!O54</f>
        <v>47514</v>
      </c>
      <c r="P54" s="95">
        <f>AGD!P54</f>
        <v>26803.587027067224</v>
      </c>
      <c r="V54">
        <v>1</v>
      </c>
      <c r="W54" t="s">
        <v>33</v>
      </c>
      <c r="Y54" t="s">
        <v>33</v>
      </c>
      <c r="Z54" t="s">
        <v>34</v>
      </c>
      <c r="AA54">
        <v>1</v>
      </c>
    </row>
    <row r="55" spans="1:27" x14ac:dyDescent="0.35">
      <c r="A55" s="13">
        <f t="shared" si="0"/>
        <v>45930</v>
      </c>
      <c r="B55">
        <v>1</v>
      </c>
      <c r="D55" s="14" t="s">
        <v>31</v>
      </c>
      <c r="E55" s="15" t="s">
        <v>32</v>
      </c>
      <c r="F55" s="16" t="s">
        <v>32</v>
      </c>
      <c r="G55" s="17"/>
      <c r="H55" s="33" t="s">
        <v>63</v>
      </c>
      <c r="I55" s="33" t="s">
        <v>63</v>
      </c>
      <c r="K55" s="20">
        <f>AGD!K55</f>
        <v>53</v>
      </c>
      <c r="L55" s="20">
        <f>AGD!L55</f>
        <v>0</v>
      </c>
      <c r="M55" s="21">
        <f>AGD!M55</f>
        <v>47542</v>
      </c>
      <c r="N55" s="21">
        <f>AGD!N55</f>
        <v>47542</v>
      </c>
      <c r="O55" s="21">
        <f>AGD!O55</f>
        <v>47542</v>
      </c>
      <c r="P55" s="95">
        <f>AGD!P55</f>
        <v>26803.587027067224</v>
      </c>
      <c r="V55">
        <v>1</v>
      </c>
      <c r="W55" t="s">
        <v>33</v>
      </c>
      <c r="Y55" t="s">
        <v>33</v>
      </c>
      <c r="Z55" t="s">
        <v>34</v>
      </c>
      <c r="AA55">
        <v>1</v>
      </c>
    </row>
    <row r="56" spans="1:27" x14ac:dyDescent="0.35">
      <c r="A56" s="13">
        <f t="shared" si="0"/>
        <v>45930</v>
      </c>
      <c r="B56">
        <v>1</v>
      </c>
      <c r="D56" s="14" t="s">
        <v>31</v>
      </c>
      <c r="E56" s="15" t="s">
        <v>32</v>
      </c>
      <c r="F56" s="16" t="s">
        <v>32</v>
      </c>
      <c r="G56" s="17"/>
      <c r="H56" s="33" t="s">
        <v>63</v>
      </c>
      <c r="I56" s="33" t="s">
        <v>63</v>
      </c>
      <c r="K56" s="20">
        <f>AGD!K56</f>
        <v>54</v>
      </c>
      <c r="L56" s="20">
        <f>AGD!L56</f>
        <v>0</v>
      </c>
      <c r="M56" s="21">
        <f>AGD!M56</f>
        <v>47573</v>
      </c>
      <c r="N56" s="21">
        <f>AGD!N56</f>
        <v>47573</v>
      </c>
      <c r="O56" s="21">
        <f>AGD!O56</f>
        <v>47573</v>
      </c>
      <c r="P56" s="95">
        <f>AGD!P56</f>
        <v>26803.587027067224</v>
      </c>
      <c r="V56">
        <v>1</v>
      </c>
      <c r="W56" t="s">
        <v>33</v>
      </c>
      <c r="Y56" t="s">
        <v>33</v>
      </c>
      <c r="Z56" t="s">
        <v>34</v>
      </c>
      <c r="AA56">
        <v>1</v>
      </c>
    </row>
    <row r="57" spans="1:27" x14ac:dyDescent="0.35">
      <c r="A57" s="13">
        <f t="shared" si="0"/>
        <v>45930</v>
      </c>
      <c r="B57">
        <v>1</v>
      </c>
      <c r="D57" s="14" t="s">
        <v>31</v>
      </c>
      <c r="E57" s="15" t="s">
        <v>32</v>
      </c>
      <c r="F57" s="16" t="s">
        <v>32</v>
      </c>
      <c r="G57" s="17"/>
      <c r="H57" s="33" t="s">
        <v>63</v>
      </c>
      <c r="I57" s="33" t="s">
        <v>63</v>
      </c>
      <c r="K57" s="20">
        <f>AGD!K57</f>
        <v>55</v>
      </c>
      <c r="L57" s="20">
        <f>AGD!L57</f>
        <v>0</v>
      </c>
      <c r="M57" s="21">
        <f>AGD!M57</f>
        <v>47603</v>
      </c>
      <c r="N57" s="21">
        <f>AGD!N57</f>
        <v>47603</v>
      </c>
      <c r="O57" s="21">
        <f>AGD!O57</f>
        <v>47603</v>
      </c>
      <c r="P57" s="95">
        <f>AGD!P57</f>
        <v>26803.587027067224</v>
      </c>
      <c r="V57">
        <v>1</v>
      </c>
      <c r="W57" t="s">
        <v>33</v>
      </c>
      <c r="Y57" t="s">
        <v>33</v>
      </c>
      <c r="Z57" t="s">
        <v>34</v>
      </c>
      <c r="AA57">
        <v>1</v>
      </c>
    </row>
    <row r="58" spans="1:27" x14ac:dyDescent="0.35">
      <c r="A58" s="13">
        <f t="shared" si="0"/>
        <v>45930</v>
      </c>
      <c r="B58">
        <v>1</v>
      </c>
      <c r="D58" s="14" t="s">
        <v>31</v>
      </c>
      <c r="E58" s="15" t="s">
        <v>32</v>
      </c>
      <c r="F58" s="16" t="s">
        <v>32</v>
      </c>
      <c r="G58" s="17"/>
      <c r="H58" s="33" t="s">
        <v>63</v>
      </c>
      <c r="I58" s="33" t="s">
        <v>63</v>
      </c>
      <c r="K58" s="20">
        <f>AGD!K58</f>
        <v>56</v>
      </c>
      <c r="L58" s="20">
        <f>AGD!L58</f>
        <v>0</v>
      </c>
      <c r="M58" s="21">
        <f>AGD!M58</f>
        <v>47634</v>
      </c>
      <c r="N58" s="21">
        <f>AGD!N58</f>
        <v>47634</v>
      </c>
      <c r="O58" s="21">
        <f>AGD!O58</f>
        <v>47634</v>
      </c>
      <c r="P58" s="95">
        <f>AGD!P58</f>
        <v>26803.587027067224</v>
      </c>
      <c r="V58">
        <v>1</v>
      </c>
      <c r="W58" t="s">
        <v>33</v>
      </c>
      <c r="Y58" t="s">
        <v>33</v>
      </c>
      <c r="Z58" t="s">
        <v>34</v>
      </c>
      <c r="AA58">
        <v>1</v>
      </c>
    </row>
    <row r="59" spans="1:27" x14ac:dyDescent="0.35">
      <c r="A59" s="13">
        <f t="shared" si="0"/>
        <v>45930</v>
      </c>
      <c r="B59">
        <v>1</v>
      </c>
      <c r="D59" s="14" t="s">
        <v>31</v>
      </c>
      <c r="E59" s="15" t="s">
        <v>32</v>
      </c>
      <c r="F59" s="16" t="s">
        <v>32</v>
      </c>
      <c r="G59" s="17"/>
      <c r="H59" s="33" t="s">
        <v>63</v>
      </c>
      <c r="I59" s="33" t="s">
        <v>63</v>
      </c>
      <c r="K59" s="20">
        <f>AGD!K59</f>
        <v>57</v>
      </c>
      <c r="L59" s="20">
        <f>AGD!L59</f>
        <v>0</v>
      </c>
      <c r="M59" s="21">
        <f>AGD!M59</f>
        <v>47664</v>
      </c>
      <c r="N59" s="21">
        <f>AGD!N59</f>
        <v>47664</v>
      </c>
      <c r="O59" s="21">
        <f>AGD!O59</f>
        <v>47664</v>
      </c>
      <c r="P59" s="95">
        <f>AGD!P59</f>
        <v>26803.587027067224</v>
      </c>
      <c r="V59">
        <v>1</v>
      </c>
      <c r="W59" t="s">
        <v>33</v>
      </c>
      <c r="Y59" t="s">
        <v>33</v>
      </c>
      <c r="Z59" t="s">
        <v>34</v>
      </c>
      <c r="AA59">
        <v>1</v>
      </c>
    </row>
    <row r="60" spans="1:27" x14ac:dyDescent="0.35">
      <c r="A60" s="13">
        <f t="shared" si="0"/>
        <v>45930</v>
      </c>
      <c r="B60">
        <v>1</v>
      </c>
      <c r="D60" s="14" t="s">
        <v>31</v>
      </c>
      <c r="E60" s="15" t="s">
        <v>32</v>
      </c>
      <c r="F60" s="16" t="s">
        <v>32</v>
      </c>
      <c r="G60" s="17"/>
      <c r="H60" s="33" t="s">
        <v>63</v>
      </c>
      <c r="I60" s="33" t="s">
        <v>63</v>
      </c>
      <c r="K60" s="20">
        <f>AGD!K60</f>
        <v>58</v>
      </c>
      <c r="L60" s="20">
        <f>AGD!L60</f>
        <v>0</v>
      </c>
      <c r="M60" s="21">
        <f>AGD!M60</f>
        <v>47695</v>
      </c>
      <c r="N60" s="21">
        <f>AGD!N60</f>
        <v>47695</v>
      </c>
      <c r="O60" s="21">
        <f>AGD!O60</f>
        <v>47695</v>
      </c>
      <c r="P60" s="95">
        <f>AGD!P60</f>
        <v>26803.587027067224</v>
      </c>
      <c r="V60">
        <v>1</v>
      </c>
      <c r="W60" t="s">
        <v>33</v>
      </c>
      <c r="Y60" t="s">
        <v>33</v>
      </c>
      <c r="Z60" t="s">
        <v>34</v>
      </c>
      <c r="AA60">
        <v>1</v>
      </c>
    </row>
    <row r="61" spans="1:27" x14ac:dyDescent="0.35">
      <c r="A61" s="13">
        <f t="shared" si="0"/>
        <v>45930</v>
      </c>
      <c r="B61">
        <v>1</v>
      </c>
      <c r="D61" s="14" t="s">
        <v>31</v>
      </c>
      <c r="E61" s="15" t="s">
        <v>32</v>
      </c>
      <c r="F61" s="16" t="s">
        <v>32</v>
      </c>
      <c r="G61" s="17"/>
      <c r="H61" s="33" t="s">
        <v>63</v>
      </c>
      <c r="I61" s="33" t="s">
        <v>63</v>
      </c>
      <c r="K61" s="20">
        <f>AGD!K61</f>
        <v>59</v>
      </c>
      <c r="L61" s="20">
        <f>AGD!L61</f>
        <v>0</v>
      </c>
      <c r="M61" s="21">
        <f>AGD!M61</f>
        <v>47726</v>
      </c>
      <c r="N61" s="21">
        <f>AGD!N61</f>
        <v>47726</v>
      </c>
      <c r="O61" s="21">
        <f>AGD!O61</f>
        <v>47726</v>
      </c>
      <c r="P61" s="95">
        <f>AGD!P61</f>
        <v>26803.587027067224</v>
      </c>
      <c r="V61">
        <v>1</v>
      </c>
      <c r="W61" t="s">
        <v>33</v>
      </c>
      <c r="Y61" t="s">
        <v>33</v>
      </c>
      <c r="Z61" t="s">
        <v>34</v>
      </c>
      <c r="AA61">
        <v>1</v>
      </c>
    </row>
    <row r="62" spans="1:27" x14ac:dyDescent="0.35">
      <c r="A62" s="13">
        <f t="shared" si="0"/>
        <v>45930</v>
      </c>
      <c r="B62">
        <v>1</v>
      </c>
      <c r="D62" s="14" t="s">
        <v>31</v>
      </c>
      <c r="E62" s="15" t="s">
        <v>32</v>
      </c>
      <c r="F62" s="16" t="s">
        <v>32</v>
      </c>
      <c r="G62" s="17"/>
      <c r="H62" s="33" t="s">
        <v>63</v>
      </c>
      <c r="I62" s="33" t="s">
        <v>63</v>
      </c>
      <c r="K62" s="20">
        <f>AGD!K62</f>
        <v>60</v>
      </c>
      <c r="L62" s="20">
        <f>AGD!L62</f>
        <v>0</v>
      </c>
      <c r="M62" s="21">
        <f>AGD!M62</f>
        <v>47756</v>
      </c>
      <c r="N62" s="21">
        <f>AGD!N62</f>
        <v>47756</v>
      </c>
      <c r="O62" s="21">
        <f>AGD!O62</f>
        <v>47756</v>
      </c>
      <c r="P62" s="95">
        <f>SUM(AGD!P62:P184)</f>
        <v>1918655.8293292758</v>
      </c>
      <c r="Q62" s="25"/>
      <c r="V62">
        <v>1</v>
      </c>
      <c r="W62" t="s">
        <v>33</v>
      </c>
      <c r="Y62" t="s">
        <v>33</v>
      </c>
      <c r="Z62" t="s">
        <v>34</v>
      </c>
      <c r="AA62">
        <v>1</v>
      </c>
    </row>
    <row r="63" spans="1:27" x14ac:dyDescent="0.35">
      <c r="A63" s="13">
        <f t="shared" si="0"/>
        <v>45930</v>
      </c>
      <c r="B63">
        <v>1</v>
      </c>
      <c r="D63" s="14" t="s">
        <v>31</v>
      </c>
      <c r="E63" s="15" t="s">
        <v>32</v>
      </c>
      <c r="F63" s="16" t="s">
        <v>32</v>
      </c>
      <c r="G63" s="17"/>
      <c r="H63" s="33" t="s">
        <v>63</v>
      </c>
      <c r="I63" s="33" t="s">
        <v>63</v>
      </c>
      <c r="K63" s="20">
        <f>AGD!K63</f>
        <v>61</v>
      </c>
      <c r="L63" s="20">
        <f>AGD!L63</f>
        <v>0</v>
      </c>
      <c r="M63" s="21">
        <f>AGD!M63</f>
        <v>47787</v>
      </c>
      <c r="N63" s="21">
        <f>AGD!N63</f>
        <v>47787</v>
      </c>
      <c r="O63" s="21">
        <f>AGD!O63</f>
        <v>47787</v>
      </c>
      <c r="P63" s="95">
        <v>0</v>
      </c>
      <c r="V63">
        <v>1</v>
      </c>
      <c r="W63" t="s">
        <v>33</v>
      </c>
      <c r="Y63" t="s">
        <v>33</v>
      </c>
      <c r="Z63" t="s">
        <v>34</v>
      </c>
      <c r="AA63">
        <v>1</v>
      </c>
    </row>
    <row r="64" spans="1:27" x14ac:dyDescent="0.35">
      <c r="A64" s="13">
        <f t="shared" si="0"/>
        <v>45930</v>
      </c>
      <c r="B64">
        <v>1</v>
      </c>
      <c r="D64" s="14" t="s">
        <v>31</v>
      </c>
      <c r="E64" s="15" t="s">
        <v>32</v>
      </c>
      <c r="F64" s="16" t="s">
        <v>32</v>
      </c>
      <c r="G64" s="17"/>
      <c r="H64" s="33" t="s">
        <v>63</v>
      </c>
      <c r="I64" s="33" t="s">
        <v>63</v>
      </c>
      <c r="K64" s="20">
        <f>AGD!K64</f>
        <v>62</v>
      </c>
      <c r="L64" s="20">
        <f>AGD!L64</f>
        <v>0</v>
      </c>
      <c r="M64" s="21">
        <f>AGD!M64</f>
        <v>47817</v>
      </c>
      <c r="N64" s="21">
        <f>AGD!N64</f>
        <v>47817</v>
      </c>
      <c r="O64" s="21">
        <f>AGD!O64</f>
        <v>47817</v>
      </c>
      <c r="P64" s="95">
        <v>0</v>
      </c>
      <c r="V64">
        <v>1</v>
      </c>
      <c r="W64" t="s">
        <v>33</v>
      </c>
      <c r="Y64" t="s">
        <v>33</v>
      </c>
      <c r="Z64" t="s">
        <v>34</v>
      </c>
      <c r="AA64">
        <v>1</v>
      </c>
    </row>
    <row r="65" spans="1:27" x14ac:dyDescent="0.35">
      <c r="A65" s="13">
        <f t="shared" si="0"/>
        <v>45930</v>
      </c>
      <c r="B65">
        <v>1</v>
      </c>
      <c r="D65" s="14" t="s">
        <v>31</v>
      </c>
      <c r="E65" s="15" t="s">
        <v>32</v>
      </c>
      <c r="F65" s="16" t="s">
        <v>32</v>
      </c>
      <c r="G65" s="17"/>
      <c r="H65" s="33" t="s">
        <v>63</v>
      </c>
      <c r="I65" s="33" t="s">
        <v>63</v>
      </c>
      <c r="K65" s="20">
        <f>AGD!K65</f>
        <v>63</v>
      </c>
      <c r="L65" s="20">
        <f>AGD!L65</f>
        <v>0</v>
      </c>
      <c r="M65" s="21">
        <f>AGD!M65</f>
        <v>47848</v>
      </c>
      <c r="N65" s="21">
        <f>AGD!N65</f>
        <v>47848</v>
      </c>
      <c r="O65" s="21">
        <f>AGD!O65</f>
        <v>47848</v>
      </c>
      <c r="P65" s="95">
        <v>0</v>
      </c>
      <c r="V65">
        <v>1</v>
      </c>
      <c r="W65" t="s">
        <v>33</v>
      </c>
      <c r="Y65" t="s">
        <v>33</v>
      </c>
      <c r="Z65" t="s">
        <v>34</v>
      </c>
      <c r="AA65">
        <v>1</v>
      </c>
    </row>
    <row r="66" spans="1:27" x14ac:dyDescent="0.35">
      <c r="A66" s="13">
        <f t="shared" si="0"/>
        <v>45930</v>
      </c>
      <c r="B66">
        <v>1</v>
      </c>
      <c r="D66" s="14" t="s">
        <v>31</v>
      </c>
      <c r="E66" s="15" t="s">
        <v>32</v>
      </c>
      <c r="F66" s="16" t="s">
        <v>32</v>
      </c>
      <c r="G66" s="17"/>
      <c r="H66" s="33" t="s">
        <v>63</v>
      </c>
      <c r="I66" s="33" t="s">
        <v>63</v>
      </c>
      <c r="K66" s="20">
        <f>AGD!K66</f>
        <v>64</v>
      </c>
      <c r="L66" s="20">
        <f>AGD!L66</f>
        <v>0</v>
      </c>
      <c r="M66" s="21">
        <f>AGD!M66</f>
        <v>47879</v>
      </c>
      <c r="N66" s="21">
        <f>AGD!N66</f>
        <v>47879</v>
      </c>
      <c r="O66" s="21">
        <f>AGD!O66</f>
        <v>47879</v>
      </c>
      <c r="P66" s="95">
        <v>0</v>
      </c>
      <c r="V66">
        <v>1</v>
      </c>
      <c r="W66" t="s">
        <v>33</v>
      </c>
      <c r="Y66" t="s">
        <v>33</v>
      </c>
      <c r="Z66" t="s">
        <v>34</v>
      </c>
      <c r="AA66">
        <v>1</v>
      </c>
    </row>
    <row r="67" spans="1:27" x14ac:dyDescent="0.35">
      <c r="A67" s="13">
        <f t="shared" si="0"/>
        <v>45930</v>
      </c>
      <c r="B67">
        <v>1</v>
      </c>
      <c r="D67" s="14" t="s">
        <v>31</v>
      </c>
      <c r="E67" s="15" t="s">
        <v>32</v>
      </c>
      <c r="F67" s="16" t="s">
        <v>32</v>
      </c>
      <c r="G67" s="17"/>
      <c r="H67" s="33" t="s">
        <v>63</v>
      </c>
      <c r="I67" s="33" t="s">
        <v>63</v>
      </c>
      <c r="K67" s="20">
        <f>AGD!K67</f>
        <v>65</v>
      </c>
      <c r="L67" s="20">
        <f>AGD!L67</f>
        <v>0</v>
      </c>
      <c r="M67" s="21">
        <f>AGD!M67</f>
        <v>47907</v>
      </c>
      <c r="N67" s="21">
        <f>AGD!N67</f>
        <v>47907</v>
      </c>
      <c r="O67" s="21">
        <f>AGD!O67</f>
        <v>47907</v>
      </c>
      <c r="P67" s="95">
        <v>0</v>
      </c>
      <c r="V67">
        <v>1</v>
      </c>
      <c r="W67" t="s">
        <v>33</v>
      </c>
      <c r="Y67" t="s">
        <v>33</v>
      </c>
      <c r="Z67" t="s">
        <v>34</v>
      </c>
      <c r="AA67">
        <v>1</v>
      </c>
    </row>
    <row r="68" spans="1:27" x14ac:dyDescent="0.35">
      <c r="A68" s="13">
        <f t="shared" ref="A68:A131" si="1">A67</f>
        <v>45930</v>
      </c>
      <c r="B68">
        <v>1</v>
      </c>
      <c r="D68" s="14" t="s">
        <v>31</v>
      </c>
      <c r="E68" s="15" t="s">
        <v>32</v>
      </c>
      <c r="F68" s="16" t="s">
        <v>32</v>
      </c>
      <c r="G68" s="17"/>
      <c r="H68" s="33" t="s">
        <v>63</v>
      </c>
      <c r="I68" s="33" t="s">
        <v>63</v>
      </c>
      <c r="K68" s="20">
        <f>AGD!K68</f>
        <v>66</v>
      </c>
      <c r="L68" s="20">
        <f>AGD!L68</f>
        <v>0</v>
      </c>
      <c r="M68" s="21">
        <f>AGD!M68</f>
        <v>47938</v>
      </c>
      <c r="N68" s="21">
        <f>AGD!N68</f>
        <v>47938</v>
      </c>
      <c r="O68" s="21">
        <f>AGD!O68</f>
        <v>47938</v>
      </c>
      <c r="P68" s="95">
        <v>0</v>
      </c>
      <c r="V68">
        <v>1</v>
      </c>
      <c r="W68" t="s">
        <v>33</v>
      </c>
      <c r="Y68" t="s">
        <v>33</v>
      </c>
      <c r="Z68" t="s">
        <v>34</v>
      </c>
      <c r="AA68">
        <v>1</v>
      </c>
    </row>
    <row r="69" spans="1:27" x14ac:dyDescent="0.35">
      <c r="A69" s="13">
        <f t="shared" si="1"/>
        <v>45930</v>
      </c>
      <c r="B69">
        <v>1</v>
      </c>
      <c r="D69" s="14" t="s">
        <v>31</v>
      </c>
      <c r="E69" s="15" t="s">
        <v>32</v>
      </c>
      <c r="F69" s="16" t="s">
        <v>32</v>
      </c>
      <c r="G69" s="17"/>
      <c r="H69" s="33" t="s">
        <v>63</v>
      </c>
      <c r="I69" s="33" t="s">
        <v>63</v>
      </c>
      <c r="K69" s="20">
        <f>AGD!K69</f>
        <v>67</v>
      </c>
      <c r="L69" s="20">
        <f>AGD!L69</f>
        <v>0</v>
      </c>
      <c r="M69" s="21">
        <f>AGD!M69</f>
        <v>47968</v>
      </c>
      <c r="N69" s="21">
        <f>AGD!N69</f>
        <v>47968</v>
      </c>
      <c r="O69" s="21">
        <f>AGD!O69</f>
        <v>47968</v>
      </c>
      <c r="P69" s="95">
        <v>0</v>
      </c>
      <c r="V69">
        <v>1</v>
      </c>
      <c r="W69" t="s">
        <v>33</v>
      </c>
      <c r="Y69" t="s">
        <v>33</v>
      </c>
      <c r="Z69" t="s">
        <v>34</v>
      </c>
      <c r="AA69">
        <v>1</v>
      </c>
    </row>
    <row r="70" spans="1:27" x14ac:dyDescent="0.35">
      <c r="A70" s="13">
        <f t="shared" si="1"/>
        <v>45930</v>
      </c>
      <c r="B70">
        <v>1</v>
      </c>
      <c r="D70" s="14" t="s">
        <v>31</v>
      </c>
      <c r="E70" s="15" t="s">
        <v>32</v>
      </c>
      <c r="F70" s="16" t="s">
        <v>32</v>
      </c>
      <c r="G70" s="17"/>
      <c r="H70" s="33" t="s">
        <v>63</v>
      </c>
      <c r="I70" s="33" t="s">
        <v>63</v>
      </c>
      <c r="K70" s="20">
        <f>AGD!K70</f>
        <v>68</v>
      </c>
      <c r="L70" s="20">
        <f>AGD!L70</f>
        <v>0</v>
      </c>
      <c r="M70" s="21">
        <f>AGD!M70</f>
        <v>47999</v>
      </c>
      <c r="N70" s="21">
        <f>AGD!N70</f>
        <v>47999</v>
      </c>
      <c r="O70" s="21">
        <f>AGD!O70</f>
        <v>47999</v>
      </c>
      <c r="P70" s="95">
        <v>0</v>
      </c>
      <c r="V70">
        <v>1</v>
      </c>
      <c r="W70" t="s">
        <v>33</v>
      </c>
      <c r="Y70" t="s">
        <v>33</v>
      </c>
      <c r="Z70" t="s">
        <v>34</v>
      </c>
      <c r="AA70">
        <v>1</v>
      </c>
    </row>
    <row r="71" spans="1:27" x14ac:dyDescent="0.35">
      <c r="A71" s="13">
        <f t="shared" si="1"/>
        <v>45930</v>
      </c>
      <c r="B71">
        <v>1</v>
      </c>
      <c r="D71" s="14" t="s">
        <v>31</v>
      </c>
      <c r="E71" s="15" t="s">
        <v>32</v>
      </c>
      <c r="F71" s="16" t="s">
        <v>32</v>
      </c>
      <c r="G71" s="17"/>
      <c r="H71" s="33" t="s">
        <v>63</v>
      </c>
      <c r="I71" s="33" t="s">
        <v>63</v>
      </c>
      <c r="K71" s="20">
        <f>AGD!K71</f>
        <v>69</v>
      </c>
      <c r="L71" s="20">
        <f>AGD!L71</f>
        <v>0</v>
      </c>
      <c r="M71" s="21">
        <f>AGD!M71</f>
        <v>48029</v>
      </c>
      <c r="N71" s="21">
        <f>AGD!N71</f>
        <v>48029</v>
      </c>
      <c r="O71" s="21">
        <f>AGD!O71</f>
        <v>48029</v>
      </c>
      <c r="P71" s="95">
        <v>0</v>
      </c>
      <c r="V71">
        <v>1</v>
      </c>
      <c r="W71" t="s">
        <v>33</v>
      </c>
      <c r="Y71" t="s">
        <v>33</v>
      </c>
      <c r="Z71" t="s">
        <v>34</v>
      </c>
      <c r="AA71">
        <v>1</v>
      </c>
    </row>
    <row r="72" spans="1:27" x14ac:dyDescent="0.35">
      <c r="A72" s="13">
        <f t="shared" si="1"/>
        <v>45930</v>
      </c>
      <c r="B72">
        <v>1</v>
      </c>
      <c r="D72" s="14" t="s">
        <v>31</v>
      </c>
      <c r="E72" s="15" t="s">
        <v>32</v>
      </c>
      <c r="F72" s="16" t="s">
        <v>32</v>
      </c>
      <c r="G72" s="17"/>
      <c r="H72" s="33" t="s">
        <v>63</v>
      </c>
      <c r="I72" s="33" t="s">
        <v>63</v>
      </c>
      <c r="K72" s="20">
        <f>AGD!K72</f>
        <v>70</v>
      </c>
      <c r="L72" s="20">
        <f>AGD!L72</f>
        <v>0</v>
      </c>
      <c r="M72" s="21">
        <f>AGD!M72</f>
        <v>48060</v>
      </c>
      <c r="N72" s="21">
        <f>AGD!N72</f>
        <v>48060</v>
      </c>
      <c r="O72" s="21">
        <f>AGD!O72</f>
        <v>48060</v>
      </c>
      <c r="P72" s="95">
        <v>0</v>
      </c>
      <c r="V72">
        <v>1</v>
      </c>
      <c r="W72" t="s">
        <v>33</v>
      </c>
      <c r="Y72" t="s">
        <v>33</v>
      </c>
      <c r="Z72" t="s">
        <v>34</v>
      </c>
      <c r="AA72">
        <v>1</v>
      </c>
    </row>
    <row r="73" spans="1:27" x14ac:dyDescent="0.35">
      <c r="A73" s="13">
        <f t="shared" si="1"/>
        <v>45930</v>
      </c>
      <c r="B73">
        <v>1</v>
      </c>
      <c r="D73" s="14" t="s">
        <v>31</v>
      </c>
      <c r="E73" s="15" t="s">
        <v>32</v>
      </c>
      <c r="F73" s="16" t="s">
        <v>32</v>
      </c>
      <c r="G73" s="17"/>
      <c r="H73" s="33" t="s">
        <v>63</v>
      </c>
      <c r="I73" s="33" t="s">
        <v>63</v>
      </c>
      <c r="K73" s="20">
        <f>AGD!K73</f>
        <v>71</v>
      </c>
      <c r="L73" s="20">
        <f>AGD!L73</f>
        <v>0</v>
      </c>
      <c r="M73" s="21">
        <f>AGD!M73</f>
        <v>48091</v>
      </c>
      <c r="N73" s="21">
        <f>AGD!N73</f>
        <v>48091</v>
      </c>
      <c r="O73" s="21">
        <f>AGD!O73</f>
        <v>48091</v>
      </c>
      <c r="P73" s="95">
        <v>0</v>
      </c>
      <c r="V73">
        <v>1</v>
      </c>
      <c r="W73" t="s">
        <v>33</v>
      </c>
      <c r="Y73" t="s">
        <v>33</v>
      </c>
      <c r="Z73" t="s">
        <v>34</v>
      </c>
      <c r="AA73">
        <v>1</v>
      </c>
    </row>
    <row r="74" spans="1:27" x14ac:dyDescent="0.35">
      <c r="A74" s="13">
        <f t="shared" si="1"/>
        <v>45930</v>
      </c>
      <c r="B74">
        <v>1</v>
      </c>
      <c r="D74" s="14" t="s">
        <v>31</v>
      </c>
      <c r="E74" s="15" t="s">
        <v>32</v>
      </c>
      <c r="F74" s="16" t="s">
        <v>32</v>
      </c>
      <c r="G74" s="17"/>
      <c r="H74" s="33" t="s">
        <v>63</v>
      </c>
      <c r="I74" s="33" t="s">
        <v>63</v>
      </c>
      <c r="K74" s="20">
        <f>AGD!K74</f>
        <v>72</v>
      </c>
      <c r="L74" s="20">
        <f>AGD!L74</f>
        <v>0</v>
      </c>
      <c r="M74" s="21">
        <f>AGD!M74</f>
        <v>48121</v>
      </c>
      <c r="N74" s="21">
        <f>AGD!N74</f>
        <v>48121</v>
      </c>
      <c r="O74" s="21">
        <f>AGD!O74</f>
        <v>48121</v>
      </c>
      <c r="P74" s="95">
        <v>0</v>
      </c>
      <c r="V74">
        <v>1</v>
      </c>
      <c r="W74" t="s">
        <v>33</v>
      </c>
      <c r="Y74" t="s">
        <v>33</v>
      </c>
      <c r="Z74" t="s">
        <v>34</v>
      </c>
      <c r="AA74">
        <v>1</v>
      </c>
    </row>
    <row r="75" spans="1:27" x14ac:dyDescent="0.35">
      <c r="A75" s="13">
        <f t="shared" si="1"/>
        <v>45930</v>
      </c>
      <c r="B75">
        <v>1</v>
      </c>
      <c r="D75" s="14" t="s">
        <v>31</v>
      </c>
      <c r="E75" s="15" t="s">
        <v>32</v>
      </c>
      <c r="F75" s="16" t="s">
        <v>32</v>
      </c>
      <c r="G75" s="17"/>
      <c r="H75" s="33" t="s">
        <v>63</v>
      </c>
      <c r="I75" s="33" t="s">
        <v>63</v>
      </c>
      <c r="K75" s="20">
        <f>AGD!K75</f>
        <v>73</v>
      </c>
      <c r="L75" s="20">
        <f>AGD!L75</f>
        <v>0</v>
      </c>
      <c r="M75" s="21">
        <f>AGD!M75</f>
        <v>48152</v>
      </c>
      <c r="N75" s="21">
        <f>AGD!N75</f>
        <v>48152</v>
      </c>
      <c r="O75" s="21">
        <f>AGD!O75</f>
        <v>48152</v>
      </c>
      <c r="P75" s="95">
        <v>0</v>
      </c>
      <c r="V75">
        <v>1</v>
      </c>
      <c r="W75" t="s">
        <v>33</v>
      </c>
      <c r="Y75" t="s">
        <v>33</v>
      </c>
      <c r="Z75" t="s">
        <v>34</v>
      </c>
      <c r="AA75">
        <v>1</v>
      </c>
    </row>
    <row r="76" spans="1:27" x14ac:dyDescent="0.35">
      <c r="A76" s="13">
        <f t="shared" si="1"/>
        <v>45930</v>
      </c>
      <c r="B76">
        <v>1</v>
      </c>
      <c r="D76" s="14" t="s">
        <v>31</v>
      </c>
      <c r="E76" s="15" t="s">
        <v>32</v>
      </c>
      <c r="F76" s="16" t="s">
        <v>32</v>
      </c>
      <c r="G76" s="17"/>
      <c r="H76" s="33" t="s">
        <v>63</v>
      </c>
      <c r="I76" s="33" t="s">
        <v>63</v>
      </c>
      <c r="K76" s="20">
        <f>AGD!K76</f>
        <v>74</v>
      </c>
      <c r="L76" s="20">
        <f>AGD!L76</f>
        <v>0</v>
      </c>
      <c r="M76" s="21">
        <f>AGD!M76</f>
        <v>48182</v>
      </c>
      <c r="N76" s="21">
        <f>AGD!N76</f>
        <v>48182</v>
      </c>
      <c r="O76" s="21">
        <f>AGD!O76</f>
        <v>48182</v>
      </c>
      <c r="P76" s="95">
        <v>0</v>
      </c>
      <c r="V76">
        <v>1</v>
      </c>
      <c r="W76" t="s">
        <v>33</v>
      </c>
      <c r="Y76" t="s">
        <v>33</v>
      </c>
      <c r="Z76" t="s">
        <v>34</v>
      </c>
      <c r="AA76">
        <v>1</v>
      </c>
    </row>
    <row r="77" spans="1:27" x14ac:dyDescent="0.35">
      <c r="A77" s="13">
        <f t="shared" si="1"/>
        <v>45930</v>
      </c>
      <c r="B77">
        <v>1</v>
      </c>
      <c r="D77" s="14" t="s">
        <v>31</v>
      </c>
      <c r="E77" s="15" t="s">
        <v>32</v>
      </c>
      <c r="F77" s="16" t="s">
        <v>32</v>
      </c>
      <c r="G77" s="17"/>
      <c r="H77" s="33" t="s">
        <v>63</v>
      </c>
      <c r="I77" s="33" t="s">
        <v>63</v>
      </c>
      <c r="K77" s="20">
        <f>AGD!K77</f>
        <v>75</v>
      </c>
      <c r="L77" s="20">
        <f>AGD!L77</f>
        <v>0</v>
      </c>
      <c r="M77" s="21">
        <f>AGD!M77</f>
        <v>48213</v>
      </c>
      <c r="N77" s="21">
        <f>AGD!N77</f>
        <v>48213</v>
      </c>
      <c r="O77" s="21">
        <f>AGD!O77</f>
        <v>48213</v>
      </c>
      <c r="P77" s="95">
        <v>0</v>
      </c>
      <c r="V77">
        <v>1</v>
      </c>
      <c r="W77" t="s">
        <v>33</v>
      </c>
      <c r="Y77" t="s">
        <v>33</v>
      </c>
      <c r="Z77" t="s">
        <v>34</v>
      </c>
      <c r="AA77">
        <v>1</v>
      </c>
    </row>
    <row r="78" spans="1:27" x14ac:dyDescent="0.35">
      <c r="A78" s="13">
        <f t="shared" si="1"/>
        <v>45930</v>
      </c>
      <c r="B78">
        <v>1</v>
      </c>
      <c r="D78" s="14" t="s">
        <v>31</v>
      </c>
      <c r="E78" s="15" t="s">
        <v>32</v>
      </c>
      <c r="F78" s="16" t="s">
        <v>32</v>
      </c>
      <c r="G78" s="17"/>
      <c r="H78" s="33" t="s">
        <v>63</v>
      </c>
      <c r="I78" s="33" t="s">
        <v>63</v>
      </c>
      <c r="K78" s="20">
        <f>AGD!K78</f>
        <v>76</v>
      </c>
      <c r="L78" s="20">
        <f>AGD!L78</f>
        <v>0</v>
      </c>
      <c r="M78" s="21">
        <f>AGD!M78</f>
        <v>48244</v>
      </c>
      <c r="N78" s="21">
        <f>AGD!N78</f>
        <v>48244</v>
      </c>
      <c r="O78" s="21">
        <f>AGD!O78</f>
        <v>48244</v>
      </c>
      <c r="P78" s="95">
        <v>0</v>
      </c>
      <c r="V78">
        <v>1</v>
      </c>
      <c r="W78" t="s">
        <v>33</v>
      </c>
      <c r="Y78" t="s">
        <v>33</v>
      </c>
      <c r="Z78" t="s">
        <v>34</v>
      </c>
      <c r="AA78">
        <v>1</v>
      </c>
    </row>
    <row r="79" spans="1:27" x14ac:dyDescent="0.35">
      <c r="A79" s="13">
        <f t="shared" si="1"/>
        <v>45930</v>
      </c>
      <c r="B79">
        <v>1</v>
      </c>
      <c r="D79" s="14" t="s">
        <v>31</v>
      </c>
      <c r="E79" s="15" t="s">
        <v>32</v>
      </c>
      <c r="F79" s="16" t="s">
        <v>32</v>
      </c>
      <c r="G79" s="17"/>
      <c r="H79" s="33" t="s">
        <v>63</v>
      </c>
      <c r="I79" s="33" t="s">
        <v>63</v>
      </c>
      <c r="K79" s="20">
        <f>AGD!K79</f>
        <v>77</v>
      </c>
      <c r="L79" s="20">
        <f>AGD!L79</f>
        <v>0</v>
      </c>
      <c r="M79" s="21">
        <f>AGD!M79</f>
        <v>48273</v>
      </c>
      <c r="N79" s="21">
        <f>AGD!N79</f>
        <v>48273</v>
      </c>
      <c r="O79" s="21">
        <f>AGD!O79</f>
        <v>48273</v>
      </c>
      <c r="P79" s="95">
        <v>0</v>
      </c>
      <c r="V79">
        <v>1</v>
      </c>
      <c r="W79" t="s">
        <v>33</v>
      </c>
      <c r="Y79" t="s">
        <v>33</v>
      </c>
      <c r="Z79" t="s">
        <v>34</v>
      </c>
      <c r="AA79">
        <v>1</v>
      </c>
    </row>
    <row r="80" spans="1:27" x14ac:dyDescent="0.35">
      <c r="A80" s="13">
        <f t="shared" si="1"/>
        <v>45930</v>
      </c>
      <c r="B80">
        <v>1</v>
      </c>
      <c r="D80" s="14" t="s">
        <v>31</v>
      </c>
      <c r="E80" s="15" t="s">
        <v>32</v>
      </c>
      <c r="F80" s="16" t="s">
        <v>32</v>
      </c>
      <c r="G80" s="17"/>
      <c r="H80" s="33" t="s">
        <v>63</v>
      </c>
      <c r="I80" s="33" t="s">
        <v>63</v>
      </c>
      <c r="K80" s="20">
        <f>AGD!K80</f>
        <v>78</v>
      </c>
      <c r="L80" s="20">
        <f>AGD!L80</f>
        <v>0</v>
      </c>
      <c r="M80" s="21">
        <f>AGD!M80</f>
        <v>48304</v>
      </c>
      <c r="N80" s="21">
        <f>AGD!N80</f>
        <v>48304</v>
      </c>
      <c r="O80" s="21">
        <f>AGD!O80</f>
        <v>48304</v>
      </c>
      <c r="P80" s="95">
        <v>0</v>
      </c>
      <c r="V80">
        <v>1</v>
      </c>
      <c r="W80" t="s">
        <v>33</v>
      </c>
      <c r="Y80" t="s">
        <v>33</v>
      </c>
      <c r="Z80" t="s">
        <v>34</v>
      </c>
      <c r="AA80">
        <v>1</v>
      </c>
    </row>
    <row r="81" spans="1:27" x14ac:dyDescent="0.35">
      <c r="A81" s="13">
        <f t="shared" si="1"/>
        <v>45930</v>
      </c>
      <c r="B81">
        <v>1</v>
      </c>
      <c r="D81" s="14" t="s">
        <v>31</v>
      </c>
      <c r="E81" s="15" t="s">
        <v>32</v>
      </c>
      <c r="F81" s="16" t="s">
        <v>32</v>
      </c>
      <c r="G81" s="17"/>
      <c r="H81" s="33" t="s">
        <v>63</v>
      </c>
      <c r="I81" s="33" t="s">
        <v>63</v>
      </c>
      <c r="K81" s="20">
        <f>AGD!K81</f>
        <v>79</v>
      </c>
      <c r="L81" s="20">
        <f>AGD!L81</f>
        <v>0</v>
      </c>
      <c r="M81" s="21">
        <f>AGD!M81</f>
        <v>48334</v>
      </c>
      <c r="N81" s="21">
        <f>AGD!N81</f>
        <v>48334</v>
      </c>
      <c r="O81" s="21">
        <f>AGD!O81</f>
        <v>48334</v>
      </c>
      <c r="P81" s="95">
        <v>0</v>
      </c>
      <c r="V81">
        <v>1</v>
      </c>
      <c r="W81" t="s">
        <v>33</v>
      </c>
      <c r="Y81" t="s">
        <v>33</v>
      </c>
      <c r="Z81" t="s">
        <v>34</v>
      </c>
      <c r="AA81">
        <v>1</v>
      </c>
    </row>
    <row r="82" spans="1:27" x14ac:dyDescent="0.35">
      <c r="A82" s="13">
        <f t="shared" si="1"/>
        <v>45930</v>
      </c>
      <c r="B82">
        <v>1</v>
      </c>
      <c r="D82" s="14" t="s">
        <v>31</v>
      </c>
      <c r="E82" s="15" t="s">
        <v>32</v>
      </c>
      <c r="F82" s="16" t="s">
        <v>32</v>
      </c>
      <c r="G82" s="17"/>
      <c r="H82" s="33" t="s">
        <v>63</v>
      </c>
      <c r="I82" s="33" t="s">
        <v>63</v>
      </c>
      <c r="K82" s="20">
        <f>AGD!K82</f>
        <v>80</v>
      </c>
      <c r="L82" s="20">
        <f>AGD!L82</f>
        <v>0</v>
      </c>
      <c r="M82" s="21">
        <f>AGD!M82</f>
        <v>48365</v>
      </c>
      <c r="N82" s="21">
        <f>AGD!N82</f>
        <v>48365</v>
      </c>
      <c r="O82" s="21">
        <f>AGD!O82</f>
        <v>48365</v>
      </c>
      <c r="P82" s="95">
        <v>0</v>
      </c>
      <c r="V82">
        <v>1</v>
      </c>
      <c r="W82" t="s">
        <v>33</v>
      </c>
      <c r="Y82" t="s">
        <v>33</v>
      </c>
      <c r="Z82" t="s">
        <v>34</v>
      </c>
      <c r="AA82">
        <v>1</v>
      </c>
    </row>
    <row r="83" spans="1:27" x14ac:dyDescent="0.35">
      <c r="A83" s="13">
        <f t="shared" si="1"/>
        <v>45930</v>
      </c>
      <c r="B83">
        <v>1</v>
      </c>
      <c r="D83" s="14" t="s">
        <v>31</v>
      </c>
      <c r="E83" s="15" t="s">
        <v>32</v>
      </c>
      <c r="F83" s="16" t="s">
        <v>32</v>
      </c>
      <c r="G83" s="17"/>
      <c r="H83" s="33" t="s">
        <v>63</v>
      </c>
      <c r="I83" s="33" t="s">
        <v>63</v>
      </c>
      <c r="K83" s="20">
        <f>AGD!K83</f>
        <v>81</v>
      </c>
      <c r="L83" s="20">
        <f>AGD!L83</f>
        <v>0</v>
      </c>
      <c r="M83" s="21">
        <f>AGD!M83</f>
        <v>48395</v>
      </c>
      <c r="N83" s="21">
        <f>AGD!N83</f>
        <v>48395</v>
      </c>
      <c r="O83" s="21">
        <f>AGD!O83</f>
        <v>48395</v>
      </c>
      <c r="P83" s="95">
        <v>0</v>
      </c>
      <c r="V83">
        <v>1</v>
      </c>
      <c r="W83" t="s">
        <v>33</v>
      </c>
      <c r="Y83" t="s">
        <v>33</v>
      </c>
      <c r="Z83" t="s">
        <v>34</v>
      </c>
      <c r="AA83">
        <v>1</v>
      </c>
    </row>
    <row r="84" spans="1:27" x14ac:dyDescent="0.35">
      <c r="A84" s="13">
        <f t="shared" si="1"/>
        <v>45930</v>
      </c>
      <c r="B84">
        <v>1</v>
      </c>
      <c r="D84" s="14" t="s">
        <v>31</v>
      </c>
      <c r="E84" s="15" t="s">
        <v>32</v>
      </c>
      <c r="F84" s="16" t="s">
        <v>32</v>
      </c>
      <c r="G84" s="17"/>
      <c r="H84" s="33" t="s">
        <v>63</v>
      </c>
      <c r="I84" s="33" t="s">
        <v>63</v>
      </c>
      <c r="K84" s="20">
        <f>AGD!K84</f>
        <v>82</v>
      </c>
      <c r="L84" s="20">
        <f>AGD!L84</f>
        <v>0</v>
      </c>
      <c r="M84" s="21">
        <f>AGD!M84</f>
        <v>48426</v>
      </c>
      <c r="N84" s="21">
        <f>AGD!N84</f>
        <v>48426</v>
      </c>
      <c r="O84" s="21">
        <f>AGD!O84</f>
        <v>48426</v>
      </c>
      <c r="P84" s="95">
        <v>0</v>
      </c>
      <c r="V84">
        <v>1</v>
      </c>
      <c r="W84" t="s">
        <v>33</v>
      </c>
      <c r="Y84" t="s">
        <v>33</v>
      </c>
      <c r="Z84" t="s">
        <v>34</v>
      </c>
      <c r="AA84">
        <v>1</v>
      </c>
    </row>
    <row r="85" spans="1:27" x14ac:dyDescent="0.35">
      <c r="A85" s="13">
        <f t="shared" si="1"/>
        <v>45930</v>
      </c>
      <c r="B85">
        <v>1</v>
      </c>
      <c r="D85" s="14" t="s">
        <v>31</v>
      </c>
      <c r="E85" s="15" t="s">
        <v>32</v>
      </c>
      <c r="F85" s="16" t="s">
        <v>32</v>
      </c>
      <c r="G85" s="17"/>
      <c r="H85" s="33" t="s">
        <v>63</v>
      </c>
      <c r="I85" s="33" t="s">
        <v>63</v>
      </c>
      <c r="K85" s="20">
        <f>AGD!K85</f>
        <v>83</v>
      </c>
      <c r="L85" s="20">
        <f>AGD!L85</f>
        <v>0</v>
      </c>
      <c r="M85" s="21">
        <f>AGD!M85</f>
        <v>48457</v>
      </c>
      <c r="N85" s="21">
        <f>AGD!N85</f>
        <v>48457</v>
      </c>
      <c r="O85" s="21">
        <f>AGD!O85</f>
        <v>48457</v>
      </c>
      <c r="P85" s="95">
        <v>0</v>
      </c>
      <c r="V85">
        <v>1</v>
      </c>
      <c r="W85" t="s">
        <v>33</v>
      </c>
      <c r="Y85" t="s">
        <v>33</v>
      </c>
      <c r="Z85" t="s">
        <v>34</v>
      </c>
      <c r="AA85">
        <v>1</v>
      </c>
    </row>
    <row r="86" spans="1:27" x14ac:dyDescent="0.35">
      <c r="A86" s="13">
        <f t="shared" si="1"/>
        <v>45930</v>
      </c>
      <c r="B86">
        <v>1</v>
      </c>
      <c r="D86" s="14" t="s">
        <v>31</v>
      </c>
      <c r="E86" s="15" t="s">
        <v>32</v>
      </c>
      <c r="F86" s="16" t="s">
        <v>32</v>
      </c>
      <c r="G86" s="17"/>
      <c r="H86" s="33" t="s">
        <v>63</v>
      </c>
      <c r="I86" s="33" t="s">
        <v>63</v>
      </c>
      <c r="K86" s="20">
        <f>AGD!K86</f>
        <v>84</v>
      </c>
      <c r="L86" s="20">
        <f>AGD!L86</f>
        <v>0</v>
      </c>
      <c r="M86" s="21">
        <f>AGD!M86</f>
        <v>48487</v>
      </c>
      <c r="N86" s="21">
        <f>AGD!N86</f>
        <v>48487</v>
      </c>
      <c r="O86" s="21">
        <f>AGD!O86</f>
        <v>48487</v>
      </c>
      <c r="P86" s="95">
        <v>0</v>
      </c>
      <c r="V86">
        <v>1</v>
      </c>
      <c r="W86" t="s">
        <v>33</v>
      </c>
      <c r="Y86" t="s">
        <v>33</v>
      </c>
      <c r="Z86" t="s">
        <v>34</v>
      </c>
      <c r="AA86">
        <v>1</v>
      </c>
    </row>
    <row r="87" spans="1:27" x14ac:dyDescent="0.35">
      <c r="A87" s="13">
        <f t="shared" si="1"/>
        <v>45930</v>
      </c>
      <c r="B87">
        <v>1</v>
      </c>
      <c r="D87" s="14" t="s">
        <v>31</v>
      </c>
      <c r="E87" s="15" t="s">
        <v>32</v>
      </c>
      <c r="F87" s="16" t="s">
        <v>32</v>
      </c>
      <c r="G87" s="17"/>
      <c r="H87" s="33" t="s">
        <v>63</v>
      </c>
      <c r="I87" s="33" t="s">
        <v>63</v>
      </c>
      <c r="K87" s="20">
        <f>AGD!K87</f>
        <v>85</v>
      </c>
      <c r="L87" s="20">
        <f>AGD!L87</f>
        <v>0</v>
      </c>
      <c r="M87" s="21">
        <f>AGD!M87</f>
        <v>48518</v>
      </c>
      <c r="N87" s="21">
        <f>AGD!N87</f>
        <v>48518</v>
      </c>
      <c r="O87" s="21">
        <f>AGD!O87</f>
        <v>48518</v>
      </c>
      <c r="P87" s="95">
        <v>0</v>
      </c>
      <c r="V87">
        <v>1</v>
      </c>
      <c r="W87" t="s">
        <v>33</v>
      </c>
      <c r="Y87" t="s">
        <v>33</v>
      </c>
      <c r="Z87" t="s">
        <v>34</v>
      </c>
      <c r="AA87">
        <v>1</v>
      </c>
    </row>
    <row r="88" spans="1:27" x14ac:dyDescent="0.35">
      <c r="A88" s="13">
        <f t="shared" si="1"/>
        <v>45930</v>
      </c>
      <c r="B88">
        <v>1</v>
      </c>
      <c r="D88" s="14" t="s">
        <v>31</v>
      </c>
      <c r="E88" s="15" t="s">
        <v>32</v>
      </c>
      <c r="F88" s="16" t="s">
        <v>32</v>
      </c>
      <c r="G88" s="17"/>
      <c r="H88" s="33" t="s">
        <v>63</v>
      </c>
      <c r="I88" s="33" t="s">
        <v>63</v>
      </c>
      <c r="K88" s="20">
        <f>AGD!K88</f>
        <v>86</v>
      </c>
      <c r="L88" s="20">
        <f>AGD!L88</f>
        <v>0</v>
      </c>
      <c r="M88" s="21">
        <f>AGD!M88</f>
        <v>48548</v>
      </c>
      <c r="N88" s="21">
        <f>AGD!N88</f>
        <v>48548</v>
      </c>
      <c r="O88" s="21">
        <f>AGD!O88</f>
        <v>48548</v>
      </c>
      <c r="P88" s="95">
        <v>0</v>
      </c>
      <c r="V88">
        <v>1</v>
      </c>
      <c r="W88" t="s">
        <v>33</v>
      </c>
      <c r="Y88" t="s">
        <v>33</v>
      </c>
      <c r="Z88" t="s">
        <v>34</v>
      </c>
      <c r="AA88">
        <v>1</v>
      </c>
    </row>
    <row r="89" spans="1:27" x14ac:dyDescent="0.35">
      <c r="A89" s="13">
        <f t="shared" si="1"/>
        <v>45930</v>
      </c>
      <c r="B89">
        <v>1</v>
      </c>
      <c r="D89" s="14" t="s">
        <v>31</v>
      </c>
      <c r="E89" s="15" t="s">
        <v>32</v>
      </c>
      <c r="F89" s="16" t="s">
        <v>32</v>
      </c>
      <c r="G89" s="17"/>
      <c r="H89" s="33" t="s">
        <v>63</v>
      </c>
      <c r="I89" s="33" t="s">
        <v>63</v>
      </c>
      <c r="K89" s="20">
        <f>AGD!K89</f>
        <v>87</v>
      </c>
      <c r="L89" s="20">
        <f>AGD!L89</f>
        <v>0</v>
      </c>
      <c r="M89" s="21">
        <f>AGD!M89</f>
        <v>48579</v>
      </c>
      <c r="N89" s="21">
        <f>AGD!N89</f>
        <v>48579</v>
      </c>
      <c r="O89" s="21">
        <f>AGD!O89</f>
        <v>48579</v>
      </c>
      <c r="P89" s="95">
        <v>0</v>
      </c>
      <c r="V89">
        <v>1</v>
      </c>
      <c r="W89" t="s">
        <v>33</v>
      </c>
      <c r="Y89" t="s">
        <v>33</v>
      </c>
      <c r="Z89" t="s">
        <v>34</v>
      </c>
      <c r="AA89">
        <v>1</v>
      </c>
    </row>
    <row r="90" spans="1:27" x14ac:dyDescent="0.35">
      <c r="A90" s="13">
        <f t="shared" si="1"/>
        <v>45930</v>
      </c>
      <c r="B90">
        <v>1</v>
      </c>
      <c r="D90" s="14" t="s">
        <v>31</v>
      </c>
      <c r="E90" s="15" t="s">
        <v>32</v>
      </c>
      <c r="F90" s="16" t="s">
        <v>32</v>
      </c>
      <c r="G90" s="17"/>
      <c r="H90" s="33" t="s">
        <v>63</v>
      </c>
      <c r="I90" s="33" t="s">
        <v>63</v>
      </c>
      <c r="K90" s="20">
        <f>AGD!K90</f>
        <v>88</v>
      </c>
      <c r="L90" s="20">
        <f>AGD!L90</f>
        <v>0</v>
      </c>
      <c r="M90" s="21">
        <f>AGD!M90</f>
        <v>48610</v>
      </c>
      <c r="N90" s="21">
        <f>AGD!N90</f>
        <v>48610</v>
      </c>
      <c r="O90" s="21">
        <f>AGD!O90</f>
        <v>48610</v>
      </c>
      <c r="P90" s="95">
        <v>0</v>
      </c>
      <c r="V90">
        <v>1</v>
      </c>
      <c r="W90" t="s">
        <v>33</v>
      </c>
      <c r="Y90" t="s">
        <v>33</v>
      </c>
      <c r="Z90" t="s">
        <v>34</v>
      </c>
      <c r="AA90">
        <v>1</v>
      </c>
    </row>
    <row r="91" spans="1:27" x14ac:dyDescent="0.35">
      <c r="A91" s="13">
        <f t="shared" si="1"/>
        <v>45930</v>
      </c>
      <c r="B91">
        <v>1</v>
      </c>
      <c r="D91" s="14" t="s">
        <v>31</v>
      </c>
      <c r="E91" s="15" t="s">
        <v>32</v>
      </c>
      <c r="F91" s="16" t="s">
        <v>32</v>
      </c>
      <c r="G91" s="17"/>
      <c r="H91" s="33" t="s">
        <v>63</v>
      </c>
      <c r="I91" s="33" t="s">
        <v>63</v>
      </c>
      <c r="K91" s="20">
        <f>AGD!K91</f>
        <v>89</v>
      </c>
      <c r="L91" s="20">
        <f>AGD!L91</f>
        <v>0</v>
      </c>
      <c r="M91" s="21">
        <f>AGD!M91</f>
        <v>48638</v>
      </c>
      <c r="N91" s="21">
        <f>AGD!N91</f>
        <v>48638</v>
      </c>
      <c r="O91" s="21">
        <f>AGD!O91</f>
        <v>48638</v>
      </c>
      <c r="P91" s="95">
        <v>0</v>
      </c>
      <c r="V91">
        <v>1</v>
      </c>
      <c r="W91" t="s">
        <v>33</v>
      </c>
      <c r="Y91" t="s">
        <v>33</v>
      </c>
      <c r="Z91" t="s">
        <v>34</v>
      </c>
      <c r="AA91">
        <v>1</v>
      </c>
    </row>
    <row r="92" spans="1:27" x14ac:dyDescent="0.35">
      <c r="A92" s="13">
        <f t="shared" si="1"/>
        <v>45930</v>
      </c>
      <c r="B92">
        <v>1</v>
      </c>
      <c r="D92" s="14" t="s">
        <v>31</v>
      </c>
      <c r="E92" s="15" t="s">
        <v>32</v>
      </c>
      <c r="F92" s="16" t="s">
        <v>32</v>
      </c>
      <c r="G92" s="17"/>
      <c r="H92" s="33" t="s">
        <v>63</v>
      </c>
      <c r="I92" s="33" t="s">
        <v>63</v>
      </c>
      <c r="K92" s="20">
        <f>AGD!K92</f>
        <v>90</v>
      </c>
      <c r="L92" s="20">
        <f>AGD!L92</f>
        <v>0</v>
      </c>
      <c r="M92" s="21">
        <f>AGD!M92</f>
        <v>48669</v>
      </c>
      <c r="N92" s="21">
        <f>AGD!N92</f>
        <v>48669</v>
      </c>
      <c r="O92" s="21">
        <f>AGD!O92</f>
        <v>48669</v>
      </c>
      <c r="P92" s="95">
        <v>0</v>
      </c>
      <c r="V92">
        <v>1</v>
      </c>
      <c r="W92" t="s">
        <v>33</v>
      </c>
      <c r="Y92" t="s">
        <v>33</v>
      </c>
      <c r="Z92" t="s">
        <v>34</v>
      </c>
      <c r="AA92">
        <v>1</v>
      </c>
    </row>
    <row r="93" spans="1:27" x14ac:dyDescent="0.35">
      <c r="A93" s="13">
        <f t="shared" si="1"/>
        <v>45930</v>
      </c>
      <c r="B93">
        <v>1</v>
      </c>
      <c r="D93" s="14" t="s">
        <v>31</v>
      </c>
      <c r="E93" s="15" t="s">
        <v>32</v>
      </c>
      <c r="F93" s="16" t="s">
        <v>32</v>
      </c>
      <c r="G93" s="17"/>
      <c r="H93" s="33" t="s">
        <v>63</v>
      </c>
      <c r="I93" s="33" t="s">
        <v>63</v>
      </c>
      <c r="K93" s="20">
        <f>AGD!K93</f>
        <v>91</v>
      </c>
      <c r="L93" s="20">
        <f>AGD!L93</f>
        <v>0</v>
      </c>
      <c r="M93" s="21">
        <f>AGD!M93</f>
        <v>48699</v>
      </c>
      <c r="N93" s="21">
        <f>AGD!N93</f>
        <v>48699</v>
      </c>
      <c r="O93" s="21">
        <f>AGD!O93</f>
        <v>48699</v>
      </c>
      <c r="P93" s="95">
        <v>0</v>
      </c>
      <c r="V93">
        <v>1</v>
      </c>
      <c r="W93" t="s">
        <v>33</v>
      </c>
      <c r="Y93" t="s">
        <v>33</v>
      </c>
      <c r="Z93" t="s">
        <v>34</v>
      </c>
      <c r="AA93">
        <v>1</v>
      </c>
    </row>
    <row r="94" spans="1:27" x14ac:dyDescent="0.35">
      <c r="A94" s="13">
        <f t="shared" si="1"/>
        <v>45930</v>
      </c>
      <c r="B94">
        <v>1</v>
      </c>
      <c r="D94" s="14" t="s">
        <v>31</v>
      </c>
      <c r="E94" s="15" t="s">
        <v>32</v>
      </c>
      <c r="F94" s="16" t="s">
        <v>32</v>
      </c>
      <c r="G94" s="17"/>
      <c r="H94" s="33" t="s">
        <v>63</v>
      </c>
      <c r="I94" s="33" t="s">
        <v>63</v>
      </c>
      <c r="K94" s="20">
        <f>AGD!K94</f>
        <v>92</v>
      </c>
      <c r="L94" s="20">
        <f>AGD!L94</f>
        <v>0</v>
      </c>
      <c r="M94" s="21">
        <f>AGD!M94</f>
        <v>48730</v>
      </c>
      <c r="N94" s="21">
        <f>AGD!N94</f>
        <v>48730</v>
      </c>
      <c r="O94" s="21">
        <f>AGD!O94</f>
        <v>48730</v>
      </c>
      <c r="P94" s="95">
        <v>0</v>
      </c>
      <c r="V94">
        <v>1</v>
      </c>
      <c r="W94" t="s">
        <v>33</v>
      </c>
      <c r="Y94" t="s">
        <v>33</v>
      </c>
      <c r="Z94" t="s">
        <v>34</v>
      </c>
      <c r="AA94">
        <v>1</v>
      </c>
    </row>
    <row r="95" spans="1:27" x14ac:dyDescent="0.35">
      <c r="A95" s="13">
        <f t="shared" si="1"/>
        <v>45930</v>
      </c>
      <c r="B95">
        <v>1</v>
      </c>
      <c r="D95" s="14" t="s">
        <v>31</v>
      </c>
      <c r="E95" s="15" t="s">
        <v>32</v>
      </c>
      <c r="F95" s="16" t="s">
        <v>32</v>
      </c>
      <c r="G95" s="17"/>
      <c r="H95" s="33" t="s">
        <v>63</v>
      </c>
      <c r="I95" s="33" t="s">
        <v>63</v>
      </c>
      <c r="K95" s="20">
        <f>AGD!K95</f>
        <v>93</v>
      </c>
      <c r="L95" s="20">
        <f>AGD!L95</f>
        <v>0</v>
      </c>
      <c r="M95" s="21">
        <f>AGD!M95</f>
        <v>48760</v>
      </c>
      <c r="N95" s="21">
        <f>AGD!N95</f>
        <v>48760</v>
      </c>
      <c r="O95" s="21">
        <f>AGD!O95</f>
        <v>48760</v>
      </c>
      <c r="P95" s="95">
        <v>0</v>
      </c>
      <c r="V95">
        <v>1</v>
      </c>
      <c r="W95" t="s">
        <v>33</v>
      </c>
      <c r="Y95" t="s">
        <v>33</v>
      </c>
      <c r="Z95" t="s">
        <v>34</v>
      </c>
      <c r="AA95">
        <v>1</v>
      </c>
    </row>
    <row r="96" spans="1:27" x14ac:dyDescent="0.35">
      <c r="A96" s="13">
        <f t="shared" si="1"/>
        <v>45930</v>
      </c>
      <c r="B96">
        <v>1</v>
      </c>
      <c r="D96" s="14" t="s">
        <v>31</v>
      </c>
      <c r="E96" s="15" t="s">
        <v>32</v>
      </c>
      <c r="F96" s="16" t="s">
        <v>32</v>
      </c>
      <c r="G96" s="17"/>
      <c r="H96" s="33" t="s">
        <v>63</v>
      </c>
      <c r="I96" s="33" t="s">
        <v>63</v>
      </c>
      <c r="K96" s="20">
        <f>AGD!K96</f>
        <v>94</v>
      </c>
      <c r="L96" s="20">
        <f>AGD!L96</f>
        <v>0</v>
      </c>
      <c r="M96" s="21">
        <f>AGD!M96</f>
        <v>48791</v>
      </c>
      <c r="N96" s="21">
        <f>AGD!N96</f>
        <v>48791</v>
      </c>
      <c r="O96" s="21">
        <f>AGD!O96</f>
        <v>48791</v>
      </c>
      <c r="P96" s="95">
        <v>0</v>
      </c>
      <c r="V96">
        <v>1</v>
      </c>
      <c r="W96" t="s">
        <v>33</v>
      </c>
      <c r="Y96" t="s">
        <v>33</v>
      </c>
      <c r="Z96" t="s">
        <v>34</v>
      </c>
      <c r="AA96">
        <v>1</v>
      </c>
    </row>
    <row r="97" spans="1:27" x14ac:dyDescent="0.35">
      <c r="A97" s="13">
        <f t="shared" si="1"/>
        <v>45930</v>
      </c>
      <c r="B97">
        <v>1</v>
      </c>
      <c r="D97" s="14" t="s">
        <v>31</v>
      </c>
      <c r="E97" s="15" t="s">
        <v>32</v>
      </c>
      <c r="F97" s="16" t="s">
        <v>32</v>
      </c>
      <c r="G97" s="17"/>
      <c r="H97" s="33" t="s">
        <v>63</v>
      </c>
      <c r="I97" s="33" t="s">
        <v>63</v>
      </c>
      <c r="K97" s="20">
        <f>AGD!K97</f>
        <v>95</v>
      </c>
      <c r="L97" s="20">
        <f>AGD!L97</f>
        <v>0</v>
      </c>
      <c r="M97" s="21">
        <f>AGD!M97</f>
        <v>48822</v>
      </c>
      <c r="N97" s="21">
        <f>AGD!N97</f>
        <v>48822</v>
      </c>
      <c r="O97" s="21">
        <f>AGD!O97</f>
        <v>48822</v>
      </c>
      <c r="P97" s="95">
        <v>0</v>
      </c>
      <c r="V97">
        <v>1</v>
      </c>
      <c r="W97" t="s">
        <v>33</v>
      </c>
      <c r="Y97" t="s">
        <v>33</v>
      </c>
      <c r="Z97" t="s">
        <v>34</v>
      </c>
      <c r="AA97">
        <v>1</v>
      </c>
    </row>
    <row r="98" spans="1:27" x14ac:dyDescent="0.35">
      <c r="A98" s="13">
        <f t="shared" si="1"/>
        <v>45930</v>
      </c>
      <c r="B98">
        <v>1</v>
      </c>
      <c r="D98" s="14" t="s">
        <v>31</v>
      </c>
      <c r="E98" s="15" t="s">
        <v>32</v>
      </c>
      <c r="F98" s="16" t="s">
        <v>32</v>
      </c>
      <c r="G98" s="17"/>
      <c r="H98" s="33" t="s">
        <v>63</v>
      </c>
      <c r="I98" s="33" t="s">
        <v>63</v>
      </c>
      <c r="K98" s="20">
        <f>AGD!K98</f>
        <v>96</v>
      </c>
      <c r="L98" s="20">
        <f>AGD!L98</f>
        <v>0</v>
      </c>
      <c r="M98" s="21">
        <f>AGD!M98</f>
        <v>48852</v>
      </c>
      <c r="N98" s="21">
        <f>AGD!N98</f>
        <v>48852</v>
      </c>
      <c r="O98" s="21">
        <f>AGD!O98</f>
        <v>48852</v>
      </c>
      <c r="P98" s="95">
        <v>0</v>
      </c>
      <c r="V98">
        <v>1</v>
      </c>
      <c r="W98" t="s">
        <v>33</v>
      </c>
      <c r="Y98" t="s">
        <v>33</v>
      </c>
      <c r="Z98" t="s">
        <v>34</v>
      </c>
      <c r="AA98">
        <v>1</v>
      </c>
    </row>
    <row r="99" spans="1:27" x14ac:dyDescent="0.35">
      <c r="A99" s="13">
        <f t="shared" si="1"/>
        <v>45930</v>
      </c>
      <c r="B99">
        <v>1</v>
      </c>
      <c r="D99" s="14" t="s">
        <v>31</v>
      </c>
      <c r="E99" s="15" t="s">
        <v>32</v>
      </c>
      <c r="F99" s="16" t="s">
        <v>32</v>
      </c>
      <c r="G99" s="17"/>
      <c r="H99" s="33" t="s">
        <v>63</v>
      </c>
      <c r="I99" s="33" t="s">
        <v>63</v>
      </c>
      <c r="K99" s="20">
        <f>AGD!K99</f>
        <v>97</v>
      </c>
      <c r="L99" s="20">
        <f>AGD!L99</f>
        <v>0</v>
      </c>
      <c r="M99" s="21">
        <f>AGD!M99</f>
        <v>48883</v>
      </c>
      <c r="N99" s="21">
        <f>AGD!N99</f>
        <v>48883</v>
      </c>
      <c r="O99" s="21">
        <f>AGD!O99</f>
        <v>48883</v>
      </c>
      <c r="P99" s="95">
        <v>0</v>
      </c>
      <c r="V99">
        <v>1</v>
      </c>
      <c r="W99" t="s">
        <v>33</v>
      </c>
      <c r="Y99" t="s">
        <v>33</v>
      </c>
      <c r="Z99" t="s">
        <v>34</v>
      </c>
      <c r="AA99">
        <v>1</v>
      </c>
    </row>
    <row r="100" spans="1:27" x14ac:dyDescent="0.35">
      <c r="A100" s="13">
        <f t="shared" si="1"/>
        <v>45930</v>
      </c>
      <c r="B100">
        <v>1</v>
      </c>
      <c r="D100" s="14" t="s">
        <v>31</v>
      </c>
      <c r="E100" s="15" t="s">
        <v>32</v>
      </c>
      <c r="F100" s="16" t="s">
        <v>32</v>
      </c>
      <c r="G100" s="17"/>
      <c r="H100" s="33" t="s">
        <v>63</v>
      </c>
      <c r="I100" s="33" t="s">
        <v>63</v>
      </c>
      <c r="K100" s="20">
        <f>AGD!K100</f>
        <v>98</v>
      </c>
      <c r="L100" s="20">
        <f>AGD!L100</f>
        <v>0</v>
      </c>
      <c r="M100" s="21">
        <f>AGD!M100</f>
        <v>48913</v>
      </c>
      <c r="N100" s="21">
        <f>AGD!N100</f>
        <v>48913</v>
      </c>
      <c r="O100" s="21">
        <f>AGD!O100</f>
        <v>48913</v>
      </c>
      <c r="P100" s="95">
        <v>0</v>
      </c>
      <c r="V100">
        <v>1</v>
      </c>
      <c r="W100" t="s">
        <v>33</v>
      </c>
      <c r="Y100" t="s">
        <v>33</v>
      </c>
      <c r="Z100" t="s">
        <v>34</v>
      </c>
      <c r="AA100">
        <v>1</v>
      </c>
    </row>
    <row r="101" spans="1:27" x14ac:dyDescent="0.35">
      <c r="A101" s="13">
        <f t="shared" si="1"/>
        <v>45930</v>
      </c>
      <c r="B101">
        <v>1</v>
      </c>
      <c r="D101" s="14" t="s">
        <v>31</v>
      </c>
      <c r="E101" s="15" t="s">
        <v>32</v>
      </c>
      <c r="F101" s="16" t="s">
        <v>32</v>
      </c>
      <c r="G101" s="17"/>
      <c r="H101" s="33" t="s">
        <v>63</v>
      </c>
      <c r="I101" s="33" t="s">
        <v>63</v>
      </c>
      <c r="K101" s="20">
        <f>AGD!K101</f>
        <v>99</v>
      </c>
      <c r="L101" s="20">
        <f>AGD!L101</f>
        <v>0</v>
      </c>
      <c r="M101" s="21">
        <f>AGD!M101</f>
        <v>48944</v>
      </c>
      <c r="N101" s="21">
        <f>AGD!N101</f>
        <v>48944</v>
      </c>
      <c r="O101" s="21">
        <f>AGD!O101</f>
        <v>48944</v>
      </c>
      <c r="P101" s="95">
        <v>0</v>
      </c>
      <c r="V101">
        <v>1</v>
      </c>
      <c r="W101" t="s">
        <v>33</v>
      </c>
      <c r="Y101" t="s">
        <v>33</v>
      </c>
      <c r="Z101" t="s">
        <v>34</v>
      </c>
      <c r="AA101">
        <v>1</v>
      </c>
    </row>
    <row r="102" spans="1:27" x14ac:dyDescent="0.35">
      <c r="A102" s="13">
        <f t="shared" si="1"/>
        <v>45930</v>
      </c>
      <c r="B102">
        <v>1</v>
      </c>
      <c r="D102" s="14" t="s">
        <v>31</v>
      </c>
      <c r="E102" s="15" t="s">
        <v>32</v>
      </c>
      <c r="F102" s="16" t="s">
        <v>32</v>
      </c>
      <c r="G102" s="17"/>
      <c r="H102" s="33" t="s">
        <v>63</v>
      </c>
      <c r="I102" s="33" t="s">
        <v>63</v>
      </c>
      <c r="K102" s="20">
        <f>AGD!K102</f>
        <v>100</v>
      </c>
      <c r="L102" s="20">
        <f>AGD!L102</f>
        <v>0</v>
      </c>
      <c r="M102" s="21">
        <f>AGD!M102</f>
        <v>48975</v>
      </c>
      <c r="N102" s="21">
        <f>AGD!N102</f>
        <v>48975</v>
      </c>
      <c r="O102" s="21">
        <f>AGD!O102</f>
        <v>48975</v>
      </c>
      <c r="P102" s="95">
        <v>0</v>
      </c>
      <c r="V102">
        <v>1</v>
      </c>
      <c r="W102" t="s">
        <v>33</v>
      </c>
      <c r="Y102" t="s">
        <v>33</v>
      </c>
      <c r="Z102" t="s">
        <v>34</v>
      </c>
      <c r="AA102">
        <v>1</v>
      </c>
    </row>
    <row r="103" spans="1:27" x14ac:dyDescent="0.35">
      <c r="A103" s="13">
        <f t="shared" si="1"/>
        <v>45930</v>
      </c>
      <c r="B103">
        <v>1</v>
      </c>
      <c r="D103" s="14" t="s">
        <v>31</v>
      </c>
      <c r="E103" s="15" t="s">
        <v>32</v>
      </c>
      <c r="F103" s="16" t="s">
        <v>32</v>
      </c>
      <c r="G103" s="17"/>
      <c r="H103" s="33" t="s">
        <v>63</v>
      </c>
      <c r="I103" s="33" t="s">
        <v>63</v>
      </c>
      <c r="K103" s="20">
        <f>AGD!K103</f>
        <v>101</v>
      </c>
      <c r="L103" s="20">
        <f>AGD!L103</f>
        <v>0</v>
      </c>
      <c r="M103" s="21">
        <f>AGD!M103</f>
        <v>49003</v>
      </c>
      <c r="N103" s="21">
        <f>AGD!N103</f>
        <v>49003</v>
      </c>
      <c r="O103" s="21">
        <f>AGD!O103</f>
        <v>49003</v>
      </c>
      <c r="P103" s="95">
        <v>0</v>
      </c>
      <c r="V103">
        <v>1</v>
      </c>
      <c r="W103" t="s">
        <v>33</v>
      </c>
      <c r="Y103" t="s">
        <v>33</v>
      </c>
      <c r="Z103" t="s">
        <v>34</v>
      </c>
      <c r="AA103">
        <v>1</v>
      </c>
    </row>
    <row r="104" spans="1:27" x14ac:dyDescent="0.35">
      <c r="A104" s="13">
        <f t="shared" si="1"/>
        <v>45930</v>
      </c>
      <c r="B104">
        <v>1</v>
      </c>
      <c r="D104" s="14" t="s">
        <v>31</v>
      </c>
      <c r="E104" s="15" t="s">
        <v>32</v>
      </c>
      <c r="F104" s="16" t="s">
        <v>32</v>
      </c>
      <c r="G104" s="17"/>
      <c r="H104" s="33" t="s">
        <v>63</v>
      </c>
      <c r="I104" s="33" t="s">
        <v>63</v>
      </c>
      <c r="K104" s="20">
        <f>AGD!K104</f>
        <v>102</v>
      </c>
      <c r="L104" s="20">
        <f>AGD!L104</f>
        <v>0</v>
      </c>
      <c r="M104" s="21">
        <f>AGD!M104</f>
        <v>49034</v>
      </c>
      <c r="N104" s="21">
        <f>AGD!N104</f>
        <v>49034</v>
      </c>
      <c r="O104" s="21">
        <f>AGD!O104</f>
        <v>49034</v>
      </c>
      <c r="P104" s="95">
        <v>0</v>
      </c>
      <c r="V104">
        <v>1</v>
      </c>
      <c r="W104" t="s">
        <v>33</v>
      </c>
      <c r="Y104" t="s">
        <v>33</v>
      </c>
      <c r="Z104" t="s">
        <v>34</v>
      </c>
      <c r="AA104">
        <v>1</v>
      </c>
    </row>
    <row r="105" spans="1:27" x14ac:dyDescent="0.35">
      <c r="A105" s="13">
        <f t="shared" si="1"/>
        <v>45930</v>
      </c>
      <c r="B105">
        <v>1</v>
      </c>
      <c r="D105" s="14" t="s">
        <v>31</v>
      </c>
      <c r="E105" s="15" t="s">
        <v>32</v>
      </c>
      <c r="F105" s="16" t="s">
        <v>32</v>
      </c>
      <c r="G105" s="17"/>
      <c r="H105" s="33" t="s">
        <v>63</v>
      </c>
      <c r="I105" s="33" t="s">
        <v>63</v>
      </c>
      <c r="K105" s="20">
        <f>AGD!K105</f>
        <v>103</v>
      </c>
      <c r="L105" s="20">
        <f>AGD!L105</f>
        <v>0</v>
      </c>
      <c r="M105" s="21">
        <f>AGD!M105</f>
        <v>49064</v>
      </c>
      <c r="N105" s="21">
        <f>AGD!N105</f>
        <v>49064</v>
      </c>
      <c r="O105" s="21">
        <f>AGD!O105</f>
        <v>49064</v>
      </c>
      <c r="P105" s="95">
        <v>0</v>
      </c>
      <c r="V105">
        <v>1</v>
      </c>
      <c r="W105" t="s">
        <v>33</v>
      </c>
      <c r="Y105" t="s">
        <v>33</v>
      </c>
      <c r="Z105" t="s">
        <v>34</v>
      </c>
      <c r="AA105">
        <v>1</v>
      </c>
    </row>
    <row r="106" spans="1:27" x14ac:dyDescent="0.35">
      <c r="A106" s="13">
        <f t="shared" si="1"/>
        <v>45930</v>
      </c>
      <c r="B106">
        <v>1</v>
      </c>
      <c r="D106" s="14" t="s">
        <v>31</v>
      </c>
      <c r="E106" s="15" t="s">
        <v>32</v>
      </c>
      <c r="F106" s="16" t="s">
        <v>32</v>
      </c>
      <c r="G106" s="17"/>
      <c r="H106" s="33" t="s">
        <v>63</v>
      </c>
      <c r="I106" s="33" t="s">
        <v>63</v>
      </c>
      <c r="K106" s="20">
        <f>AGD!K106</f>
        <v>104</v>
      </c>
      <c r="L106" s="20">
        <f>AGD!L106</f>
        <v>0</v>
      </c>
      <c r="M106" s="21">
        <f>AGD!M106</f>
        <v>49095</v>
      </c>
      <c r="N106" s="21">
        <f>AGD!N106</f>
        <v>49095</v>
      </c>
      <c r="O106" s="21">
        <f>AGD!O106</f>
        <v>49095</v>
      </c>
      <c r="P106" s="95">
        <v>0</v>
      </c>
      <c r="V106">
        <v>1</v>
      </c>
      <c r="W106" t="s">
        <v>33</v>
      </c>
      <c r="Y106" t="s">
        <v>33</v>
      </c>
      <c r="Z106" t="s">
        <v>34</v>
      </c>
      <c r="AA106">
        <v>1</v>
      </c>
    </row>
    <row r="107" spans="1:27" x14ac:dyDescent="0.35">
      <c r="A107" s="13">
        <f t="shared" si="1"/>
        <v>45930</v>
      </c>
      <c r="B107">
        <v>1</v>
      </c>
      <c r="D107" s="14" t="s">
        <v>31</v>
      </c>
      <c r="E107" s="15" t="s">
        <v>32</v>
      </c>
      <c r="F107" s="16" t="s">
        <v>32</v>
      </c>
      <c r="G107" s="17"/>
      <c r="H107" s="33" t="s">
        <v>63</v>
      </c>
      <c r="I107" s="33" t="s">
        <v>63</v>
      </c>
      <c r="K107" s="20">
        <f>AGD!K107</f>
        <v>105</v>
      </c>
      <c r="L107" s="20">
        <f>AGD!L107</f>
        <v>0</v>
      </c>
      <c r="M107" s="21">
        <f>AGD!M107</f>
        <v>49125</v>
      </c>
      <c r="N107" s="21">
        <f>AGD!N107</f>
        <v>49125</v>
      </c>
      <c r="O107" s="21">
        <f>AGD!O107</f>
        <v>49125</v>
      </c>
      <c r="P107" s="95">
        <v>0</v>
      </c>
      <c r="V107">
        <v>1</v>
      </c>
      <c r="W107" t="s">
        <v>33</v>
      </c>
      <c r="Y107" t="s">
        <v>33</v>
      </c>
      <c r="Z107" t="s">
        <v>34</v>
      </c>
      <c r="AA107">
        <v>1</v>
      </c>
    </row>
    <row r="108" spans="1:27" x14ac:dyDescent="0.35">
      <c r="A108" s="13">
        <f t="shared" si="1"/>
        <v>45930</v>
      </c>
      <c r="B108">
        <v>1</v>
      </c>
      <c r="D108" s="14" t="s">
        <v>31</v>
      </c>
      <c r="E108" s="15" t="s">
        <v>32</v>
      </c>
      <c r="F108" s="16" t="s">
        <v>32</v>
      </c>
      <c r="G108" s="17"/>
      <c r="H108" s="33" t="s">
        <v>63</v>
      </c>
      <c r="I108" s="33" t="s">
        <v>63</v>
      </c>
      <c r="K108" s="20">
        <f>AGD!K108</f>
        <v>106</v>
      </c>
      <c r="L108" s="20">
        <f>AGD!L108</f>
        <v>0</v>
      </c>
      <c r="M108" s="21">
        <f>AGD!M108</f>
        <v>49156</v>
      </c>
      <c r="N108" s="21">
        <f>AGD!N108</f>
        <v>49156</v>
      </c>
      <c r="O108" s="21">
        <f>AGD!O108</f>
        <v>49156</v>
      </c>
      <c r="P108" s="95">
        <v>0</v>
      </c>
      <c r="V108">
        <v>1</v>
      </c>
      <c r="W108" t="s">
        <v>33</v>
      </c>
      <c r="Y108" t="s">
        <v>33</v>
      </c>
      <c r="Z108" t="s">
        <v>34</v>
      </c>
      <c r="AA108">
        <v>1</v>
      </c>
    </row>
    <row r="109" spans="1:27" x14ac:dyDescent="0.35">
      <c r="A109" s="13">
        <f t="shared" si="1"/>
        <v>45930</v>
      </c>
      <c r="B109">
        <v>1</v>
      </c>
      <c r="D109" s="14" t="s">
        <v>31</v>
      </c>
      <c r="E109" s="15" t="s">
        <v>32</v>
      </c>
      <c r="F109" s="16" t="s">
        <v>32</v>
      </c>
      <c r="G109" s="17"/>
      <c r="H109" s="33" t="s">
        <v>63</v>
      </c>
      <c r="I109" s="33" t="s">
        <v>63</v>
      </c>
      <c r="K109" s="20">
        <f>AGD!K109</f>
        <v>107</v>
      </c>
      <c r="L109" s="20">
        <f>AGD!L109</f>
        <v>0</v>
      </c>
      <c r="M109" s="21">
        <f>AGD!M109</f>
        <v>49187</v>
      </c>
      <c r="N109" s="21">
        <f>AGD!N109</f>
        <v>49187</v>
      </c>
      <c r="O109" s="21">
        <f>AGD!O109</f>
        <v>49187</v>
      </c>
      <c r="P109" s="95">
        <v>0</v>
      </c>
      <c r="V109">
        <v>1</v>
      </c>
      <c r="W109" t="s">
        <v>33</v>
      </c>
      <c r="Y109" t="s">
        <v>33</v>
      </c>
      <c r="Z109" t="s">
        <v>34</v>
      </c>
      <c r="AA109">
        <v>1</v>
      </c>
    </row>
    <row r="110" spans="1:27" x14ac:dyDescent="0.35">
      <c r="A110" s="13">
        <f t="shared" si="1"/>
        <v>45930</v>
      </c>
      <c r="B110">
        <v>1</v>
      </c>
      <c r="D110" s="14" t="s">
        <v>31</v>
      </c>
      <c r="E110" s="15" t="s">
        <v>32</v>
      </c>
      <c r="F110" s="16" t="s">
        <v>32</v>
      </c>
      <c r="G110" s="17"/>
      <c r="H110" s="33" t="s">
        <v>63</v>
      </c>
      <c r="I110" s="33" t="s">
        <v>63</v>
      </c>
      <c r="K110" s="20">
        <f>AGD!K110</f>
        <v>108</v>
      </c>
      <c r="L110" s="20">
        <f>AGD!L110</f>
        <v>0</v>
      </c>
      <c r="M110" s="21">
        <f>AGD!M110</f>
        <v>49217</v>
      </c>
      <c r="N110" s="21">
        <f>AGD!N110</f>
        <v>49217</v>
      </c>
      <c r="O110" s="21">
        <f>AGD!O110</f>
        <v>49217</v>
      </c>
      <c r="P110" s="95">
        <v>0</v>
      </c>
      <c r="V110">
        <v>1</v>
      </c>
      <c r="W110" t="s">
        <v>33</v>
      </c>
      <c r="Y110" t="s">
        <v>33</v>
      </c>
      <c r="Z110" t="s">
        <v>34</v>
      </c>
      <c r="AA110">
        <v>1</v>
      </c>
    </row>
    <row r="111" spans="1:27" x14ac:dyDescent="0.35">
      <c r="A111" s="13">
        <f t="shared" si="1"/>
        <v>45930</v>
      </c>
      <c r="B111">
        <v>1</v>
      </c>
      <c r="D111" s="14" t="s">
        <v>31</v>
      </c>
      <c r="E111" s="15" t="s">
        <v>32</v>
      </c>
      <c r="F111" s="16" t="s">
        <v>32</v>
      </c>
      <c r="G111" s="17"/>
      <c r="H111" s="33" t="s">
        <v>63</v>
      </c>
      <c r="I111" s="33" t="s">
        <v>63</v>
      </c>
      <c r="K111" s="20">
        <f>AGD!K111</f>
        <v>109</v>
      </c>
      <c r="L111" s="20">
        <f>AGD!L111</f>
        <v>0</v>
      </c>
      <c r="M111" s="21">
        <f>AGD!M111</f>
        <v>49248</v>
      </c>
      <c r="N111" s="21">
        <f>AGD!N111</f>
        <v>49248</v>
      </c>
      <c r="O111" s="21">
        <f>AGD!O111</f>
        <v>49248</v>
      </c>
      <c r="P111" s="95">
        <v>0</v>
      </c>
      <c r="V111">
        <v>1</v>
      </c>
      <c r="W111" t="s">
        <v>33</v>
      </c>
      <c r="Y111" t="s">
        <v>33</v>
      </c>
      <c r="Z111" t="s">
        <v>34</v>
      </c>
      <c r="AA111">
        <v>1</v>
      </c>
    </row>
    <row r="112" spans="1:27" x14ac:dyDescent="0.35">
      <c r="A112" s="13">
        <f t="shared" si="1"/>
        <v>45930</v>
      </c>
      <c r="B112">
        <v>1</v>
      </c>
      <c r="D112" s="14" t="s">
        <v>31</v>
      </c>
      <c r="E112" s="15" t="s">
        <v>32</v>
      </c>
      <c r="F112" s="16" t="s">
        <v>32</v>
      </c>
      <c r="G112" s="17"/>
      <c r="H112" s="33" t="s">
        <v>63</v>
      </c>
      <c r="I112" s="33" t="s">
        <v>63</v>
      </c>
      <c r="K112" s="20">
        <f>AGD!K112</f>
        <v>110</v>
      </c>
      <c r="L112" s="20">
        <f>AGD!L112</f>
        <v>0</v>
      </c>
      <c r="M112" s="21">
        <f>AGD!M112</f>
        <v>49278</v>
      </c>
      <c r="N112" s="21">
        <f>AGD!N112</f>
        <v>49278</v>
      </c>
      <c r="O112" s="21">
        <f>AGD!O112</f>
        <v>49278</v>
      </c>
      <c r="P112" s="95">
        <v>0</v>
      </c>
      <c r="V112">
        <v>1</v>
      </c>
      <c r="W112" t="s">
        <v>33</v>
      </c>
      <c r="Y112" t="s">
        <v>33</v>
      </c>
      <c r="Z112" t="s">
        <v>34</v>
      </c>
      <c r="AA112">
        <v>1</v>
      </c>
    </row>
    <row r="113" spans="1:27" x14ac:dyDescent="0.35">
      <c r="A113" s="13">
        <f t="shared" si="1"/>
        <v>45930</v>
      </c>
      <c r="B113">
        <v>1</v>
      </c>
      <c r="D113" s="14" t="s">
        <v>31</v>
      </c>
      <c r="E113" s="15" t="s">
        <v>32</v>
      </c>
      <c r="F113" s="16" t="s">
        <v>32</v>
      </c>
      <c r="G113" s="17"/>
      <c r="H113" s="33" t="s">
        <v>63</v>
      </c>
      <c r="I113" s="33" t="s">
        <v>63</v>
      </c>
      <c r="K113" s="20">
        <f>AGD!K113</f>
        <v>111</v>
      </c>
      <c r="L113" s="20">
        <f>AGD!L113</f>
        <v>0</v>
      </c>
      <c r="M113" s="21">
        <f>AGD!M113</f>
        <v>49309</v>
      </c>
      <c r="N113" s="21">
        <f>AGD!N113</f>
        <v>49309</v>
      </c>
      <c r="O113" s="21">
        <f>AGD!O113</f>
        <v>49309</v>
      </c>
      <c r="P113" s="95">
        <v>0</v>
      </c>
      <c r="V113">
        <v>1</v>
      </c>
      <c r="W113" t="s">
        <v>33</v>
      </c>
      <c r="Y113" t="s">
        <v>33</v>
      </c>
      <c r="Z113" t="s">
        <v>34</v>
      </c>
      <c r="AA113">
        <v>1</v>
      </c>
    </row>
    <row r="114" spans="1:27" x14ac:dyDescent="0.35">
      <c r="A114" s="13">
        <f t="shared" si="1"/>
        <v>45930</v>
      </c>
      <c r="B114">
        <v>1</v>
      </c>
      <c r="D114" s="14" t="s">
        <v>31</v>
      </c>
      <c r="E114" s="15" t="s">
        <v>32</v>
      </c>
      <c r="F114" s="16" t="s">
        <v>32</v>
      </c>
      <c r="G114" s="17"/>
      <c r="H114" s="33" t="s">
        <v>63</v>
      </c>
      <c r="I114" s="33" t="s">
        <v>63</v>
      </c>
      <c r="K114" s="20">
        <f>AGD!K114</f>
        <v>112</v>
      </c>
      <c r="L114" s="20">
        <f>AGD!L114</f>
        <v>0</v>
      </c>
      <c r="M114" s="21">
        <f>AGD!M114</f>
        <v>49340</v>
      </c>
      <c r="N114" s="21">
        <f>AGD!N114</f>
        <v>49340</v>
      </c>
      <c r="O114" s="21">
        <f>AGD!O114</f>
        <v>49340</v>
      </c>
      <c r="P114" s="95">
        <v>0</v>
      </c>
      <c r="V114">
        <v>1</v>
      </c>
      <c r="W114" t="s">
        <v>33</v>
      </c>
      <c r="Y114" t="s">
        <v>33</v>
      </c>
      <c r="Z114" t="s">
        <v>34</v>
      </c>
      <c r="AA114">
        <v>1</v>
      </c>
    </row>
    <row r="115" spans="1:27" x14ac:dyDescent="0.35">
      <c r="A115" s="13">
        <f t="shared" si="1"/>
        <v>45930</v>
      </c>
      <c r="B115">
        <v>1</v>
      </c>
      <c r="D115" s="14" t="s">
        <v>31</v>
      </c>
      <c r="E115" s="15" t="s">
        <v>32</v>
      </c>
      <c r="F115" s="16" t="s">
        <v>32</v>
      </c>
      <c r="G115" s="17"/>
      <c r="H115" s="33" t="s">
        <v>63</v>
      </c>
      <c r="I115" s="33" t="s">
        <v>63</v>
      </c>
      <c r="K115" s="20">
        <f>AGD!K115</f>
        <v>113</v>
      </c>
      <c r="L115" s="20">
        <f>AGD!L115</f>
        <v>0</v>
      </c>
      <c r="M115" s="21">
        <f>AGD!M115</f>
        <v>49368</v>
      </c>
      <c r="N115" s="21">
        <f>AGD!N115</f>
        <v>49368</v>
      </c>
      <c r="O115" s="21">
        <f>AGD!O115</f>
        <v>49368</v>
      </c>
      <c r="P115" s="95">
        <v>0</v>
      </c>
      <c r="V115">
        <v>1</v>
      </c>
      <c r="W115" t="s">
        <v>33</v>
      </c>
      <c r="Y115" t="s">
        <v>33</v>
      </c>
      <c r="Z115" t="s">
        <v>34</v>
      </c>
      <c r="AA115">
        <v>1</v>
      </c>
    </row>
    <row r="116" spans="1:27" x14ac:dyDescent="0.35">
      <c r="A116" s="13">
        <f t="shared" si="1"/>
        <v>45930</v>
      </c>
      <c r="B116">
        <v>1</v>
      </c>
      <c r="D116" s="14" t="s">
        <v>31</v>
      </c>
      <c r="E116" s="15" t="s">
        <v>32</v>
      </c>
      <c r="F116" s="16" t="s">
        <v>32</v>
      </c>
      <c r="G116" s="17"/>
      <c r="H116" s="33" t="s">
        <v>63</v>
      </c>
      <c r="I116" s="33" t="s">
        <v>63</v>
      </c>
      <c r="K116" s="20">
        <f>AGD!K116</f>
        <v>114</v>
      </c>
      <c r="L116" s="20">
        <f>AGD!L116</f>
        <v>0</v>
      </c>
      <c r="M116" s="21">
        <f>AGD!M116</f>
        <v>49399</v>
      </c>
      <c r="N116" s="21">
        <f>AGD!N116</f>
        <v>49399</v>
      </c>
      <c r="O116" s="21">
        <f>AGD!O116</f>
        <v>49399</v>
      </c>
      <c r="P116" s="95">
        <v>0</v>
      </c>
      <c r="V116">
        <v>1</v>
      </c>
      <c r="W116" t="s">
        <v>33</v>
      </c>
      <c r="Y116" t="s">
        <v>33</v>
      </c>
      <c r="Z116" t="s">
        <v>34</v>
      </c>
      <c r="AA116">
        <v>1</v>
      </c>
    </row>
    <row r="117" spans="1:27" x14ac:dyDescent="0.35">
      <c r="A117" s="13">
        <f t="shared" si="1"/>
        <v>45930</v>
      </c>
      <c r="B117">
        <v>1</v>
      </c>
      <c r="D117" s="14" t="s">
        <v>31</v>
      </c>
      <c r="E117" s="15" t="s">
        <v>32</v>
      </c>
      <c r="F117" s="16" t="s">
        <v>32</v>
      </c>
      <c r="G117" s="17"/>
      <c r="H117" s="33" t="s">
        <v>63</v>
      </c>
      <c r="I117" s="33" t="s">
        <v>63</v>
      </c>
      <c r="K117" s="20">
        <f>AGD!K117</f>
        <v>115</v>
      </c>
      <c r="L117" s="20">
        <f>AGD!L117</f>
        <v>0</v>
      </c>
      <c r="M117" s="21">
        <f>AGD!M117</f>
        <v>49429</v>
      </c>
      <c r="N117" s="21">
        <f>AGD!N117</f>
        <v>49429</v>
      </c>
      <c r="O117" s="21">
        <f>AGD!O117</f>
        <v>49429</v>
      </c>
      <c r="P117" s="95">
        <v>0</v>
      </c>
      <c r="V117">
        <v>1</v>
      </c>
      <c r="W117" t="s">
        <v>33</v>
      </c>
      <c r="Y117" t="s">
        <v>33</v>
      </c>
      <c r="Z117" t="s">
        <v>34</v>
      </c>
      <c r="AA117">
        <v>1</v>
      </c>
    </row>
    <row r="118" spans="1:27" x14ac:dyDescent="0.35">
      <c r="A118" s="13">
        <f t="shared" si="1"/>
        <v>45930</v>
      </c>
      <c r="B118">
        <v>1</v>
      </c>
      <c r="D118" s="14" t="s">
        <v>31</v>
      </c>
      <c r="E118" s="15" t="s">
        <v>32</v>
      </c>
      <c r="F118" s="16" t="s">
        <v>32</v>
      </c>
      <c r="G118" s="17"/>
      <c r="H118" s="33" t="s">
        <v>63</v>
      </c>
      <c r="I118" s="33" t="s">
        <v>63</v>
      </c>
      <c r="K118" s="20">
        <f>AGD!K118</f>
        <v>116</v>
      </c>
      <c r="L118" s="20">
        <f>AGD!L118</f>
        <v>0</v>
      </c>
      <c r="M118" s="21">
        <f>AGD!M118</f>
        <v>49460</v>
      </c>
      <c r="N118" s="21">
        <f>AGD!N118</f>
        <v>49460</v>
      </c>
      <c r="O118" s="21">
        <f>AGD!O118</f>
        <v>49460</v>
      </c>
      <c r="P118" s="95">
        <v>0</v>
      </c>
      <c r="V118">
        <v>1</v>
      </c>
      <c r="W118" t="s">
        <v>33</v>
      </c>
      <c r="Y118" t="s">
        <v>33</v>
      </c>
      <c r="Z118" t="s">
        <v>34</v>
      </c>
      <c r="AA118">
        <v>1</v>
      </c>
    </row>
    <row r="119" spans="1:27" x14ac:dyDescent="0.35">
      <c r="A119" s="13">
        <f t="shared" si="1"/>
        <v>45930</v>
      </c>
      <c r="B119">
        <v>1</v>
      </c>
      <c r="D119" s="14" t="s">
        <v>31</v>
      </c>
      <c r="E119" s="15" t="s">
        <v>32</v>
      </c>
      <c r="F119" s="16" t="s">
        <v>32</v>
      </c>
      <c r="G119" s="17"/>
      <c r="H119" s="33" t="s">
        <v>63</v>
      </c>
      <c r="I119" s="33" t="s">
        <v>63</v>
      </c>
      <c r="K119" s="20">
        <f>AGD!K119</f>
        <v>117</v>
      </c>
      <c r="L119" s="20">
        <f>AGD!L119</f>
        <v>0</v>
      </c>
      <c r="M119" s="21">
        <f>AGD!M119</f>
        <v>49490</v>
      </c>
      <c r="N119" s="21">
        <f>AGD!N119</f>
        <v>49490</v>
      </c>
      <c r="O119" s="21">
        <f>AGD!O119</f>
        <v>49490</v>
      </c>
      <c r="P119" s="95">
        <v>0</v>
      </c>
      <c r="V119">
        <v>1</v>
      </c>
      <c r="W119" t="s">
        <v>33</v>
      </c>
      <c r="Y119" t="s">
        <v>33</v>
      </c>
      <c r="Z119" t="s">
        <v>34</v>
      </c>
      <c r="AA119">
        <v>1</v>
      </c>
    </row>
    <row r="120" spans="1:27" x14ac:dyDescent="0.35">
      <c r="A120" s="13">
        <f t="shared" si="1"/>
        <v>45930</v>
      </c>
      <c r="B120">
        <v>1</v>
      </c>
      <c r="D120" s="14" t="s">
        <v>31</v>
      </c>
      <c r="E120" s="15" t="s">
        <v>32</v>
      </c>
      <c r="F120" s="16" t="s">
        <v>32</v>
      </c>
      <c r="G120" s="17"/>
      <c r="H120" s="33" t="s">
        <v>63</v>
      </c>
      <c r="I120" s="33" t="s">
        <v>63</v>
      </c>
      <c r="K120" s="20">
        <f>AGD!K120</f>
        <v>118</v>
      </c>
      <c r="L120" s="20">
        <f>AGD!L120</f>
        <v>0</v>
      </c>
      <c r="M120" s="21">
        <f>AGD!M120</f>
        <v>49521</v>
      </c>
      <c r="N120" s="21">
        <f>AGD!N120</f>
        <v>49521</v>
      </c>
      <c r="O120" s="21">
        <f>AGD!O120</f>
        <v>49521</v>
      </c>
      <c r="P120" s="95">
        <v>0</v>
      </c>
      <c r="V120">
        <v>1</v>
      </c>
      <c r="W120" t="s">
        <v>33</v>
      </c>
      <c r="Y120" t="s">
        <v>33</v>
      </c>
      <c r="Z120" t="s">
        <v>34</v>
      </c>
      <c r="AA120">
        <v>1</v>
      </c>
    </row>
    <row r="121" spans="1:27" x14ac:dyDescent="0.35">
      <c r="A121" s="13">
        <f t="shared" si="1"/>
        <v>45930</v>
      </c>
      <c r="B121">
        <v>1</v>
      </c>
      <c r="D121" s="14" t="s">
        <v>31</v>
      </c>
      <c r="E121" s="15" t="s">
        <v>32</v>
      </c>
      <c r="F121" s="16" t="s">
        <v>32</v>
      </c>
      <c r="G121" s="17"/>
      <c r="H121" s="33" t="s">
        <v>63</v>
      </c>
      <c r="I121" s="33" t="s">
        <v>63</v>
      </c>
      <c r="K121" s="20">
        <f>AGD!K121</f>
        <v>119</v>
      </c>
      <c r="L121" s="20">
        <f>AGD!L121</f>
        <v>0</v>
      </c>
      <c r="M121" s="21">
        <f>AGD!M121</f>
        <v>49552</v>
      </c>
      <c r="N121" s="21">
        <f>AGD!N121</f>
        <v>49552</v>
      </c>
      <c r="O121" s="21">
        <f>AGD!O121</f>
        <v>49552</v>
      </c>
      <c r="P121" s="95">
        <v>0</v>
      </c>
      <c r="V121">
        <v>1</v>
      </c>
      <c r="W121" t="s">
        <v>33</v>
      </c>
      <c r="Y121" t="s">
        <v>33</v>
      </c>
      <c r="Z121" t="s">
        <v>34</v>
      </c>
      <c r="AA121">
        <v>1</v>
      </c>
    </row>
    <row r="122" spans="1:27" x14ac:dyDescent="0.35">
      <c r="A122" s="13">
        <f t="shared" si="1"/>
        <v>45930</v>
      </c>
      <c r="B122">
        <v>1</v>
      </c>
      <c r="D122" s="14" t="s">
        <v>31</v>
      </c>
      <c r="E122" s="15" t="s">
        <v>32</v>
      </c>
      <c r="F122" s="16" t="s">
        <v>32</v>
      </c>
      <c r="G122" s="17"/>
      <c r="H122" s="33" t="s">
        <v>63</v>
      </c>
      <c r="I122" s="33" t="s">
        <v>63</v>
      </c>
      <c r="K122" s="20">
        <f>AGD!K122</f>
        <v>120</v>
      </c>
      <c r="L122" s="20">
        <f>AGD!L122</f>
        <v>0</v>
      </c>
      <c r="M122" s="21">
        <f>AGD!M122</f>
        <v>49582</v>
      </c>
      <c r="N122" s="21">
        <f>AGD!N122</f>
        <v>49582</v>
      </c>
      <c r="O122" s="21">
        <f>AGD!O122</f>
        <v>49582</v>
      </c>
      <c r="P122" s="95">
        <v>0</v>
      </c>
      <c r="V122">
        <v>1</v>
      </c>
      <c r="W122" t="s">
        <v>33</v>
      </c>
      <c r="Y122" t="s">
        <v>33</v>
      </c>
      <c r="Z122" t="s">
        <v>34</v>
      </c>
      <c r="AA122">
        <v>1</v>
      </c>
    </row>
    <row r="123" spans="1:27" x14ac:dyDescent="0.35">
      <c r="A123" s="13">
        <f t="shared" si="1"/>
        <v>45930</v>
      </c>
      <c r="B123">
        <v>1</v>
      </c>
      <c r="D123" s="14" t="s">
        <v>31</v>
      </c>
      <c r="E123" s="15" t="s">
        <v>32</v>
      </c>
      <c r="F123" s="16" t="s">
        <v>32</v>
      </c>
      <c r="G123" s="17"/>
      <c r="H123" s="33" t="s">
        <v>63</v>
      </c>
      <c r="I123" s="33" t="s">
        <v>63</v>
      </c>
      <c r="K123" s="20">
        <f>AGD!K123</f>
        <v>121</v>
      </c>
      <c r="L123" s="20">
        <f>AGD!L123</f>
        <v>0</v>
      </c>
      <c r="M123" s="21">
        <f>AGD!M123</f>
        <v>49613</v>
      </c>
      <c r="N123" s="21">
        <f>AGD!N123</f>
        <v>49613</v>
      </c>
      <c r="O123" s="21">
        <f>AGD!O123</f>
        <v>49613</v>
      </c>
      <c r="P123" s="95">
        <v>0</v>
      </c>
      <c r="V123">
        <v>1</v>
      </c>
      <c r="W123" t="s">
        <v>33</v>
      </c>
      <c r="Y123" t="s">
        <v>33</v>
      </c>
      <c r="Z123" t="s">
        <v>34</v>
      </c>
      <c r="AA123">
        <v>1</v>
      </c>
    </row>
    <row r="124" spans="1:27" x14ac:dyDescent="0.35">
      <c r="A124" s="13">
        <f t="shared" si="1"/>
        <v>45930</v>
      </c>
      <c r="B124">
        <v>1</v>
      </c>
      <c r="D124" s="14" t="s">
        <v>31</v>
      </c>
      <c r="E124" s="15" t="s">
        <v>32</v>
      </c>
      <c r="F124" s="16" t="s">
        <v>32</v>
      </c>
      <c r="G124" s="17"/>
      <c r="H124" s="33" t="s">
        <v>63</v>
      </c>
      <c r="I124" s="33" t="s">
        <v>63</v>
      </c>
      <c r="K124" s="20">
        <f>AGD!K124</f>
        <v>122</v>
      </c>
      <c r="L124" s="20">
        <f>AGD!L124</f>
        <v>0</v>
      </c>
      <c r="M124" s="21">
        <f>AGD!M124</f>
        <v>49643</v>
      </c>
      <c r="N124" s="21">
        <f>AGD!N124</f>
        <v>49643</v>
      </c>
      <c r="O124" s="21">
        <f>AGD!O124</f>
        <v>49643</v>
      </c>
      <c r="P124" s="95">
        <v>0</v>
      </c>
      <c r="V124">
        <v>1</v>
      </c>
      <c r="W124" t="s">
        <v>33</v>
      </c>
      <c r="Y124" t="s">
        <v>33</v>
      </c>
      <c r="Z124" t="s">
        <v>34</v>
      </c>
      <c r="AA124">
        <v>1</v>
      </c>
    </row>
    <row r="125" spans="1:27" x14ac:dyDescent="0.35">
      <c r="A125" s="13">
        <f t="shared" si="1"/>
        <v>45930</v>
      </c>
      <c r="B125">
        <v>1</v>
      </c>
      <c r="D125" s="14" t="s">
        <v>31</v>
      </c>
      <c r="E125" s="15" t="s">
        <v>32</v>
      </c>
      <c r="F125" s="16" t="s">
        <v>32</v>
      </c>
      <c r="G125" s="17"/>
      <c r="H125" s="33" t="s">
        <v>63</v>
      </c>
      <c r="I125" s="33" t="s">
        <v>63</v>
      </c>
      <c r="K125" s="20">
        <f>AGD!K125</f>
        <v>123</v>
      </c>
      <c r="L125" s="20">
        <f>AGD!L125</f>
        <v>0</v>
      </c>
      <c r="M125" s="21">
        <f>AGD!M125</f>
        <v>49674</v>
      </c>
      <c r="N125" s="21">
        <f>AGD!N125</f>
        <v>49674</v>
      </c>
      <c r="O125" s="21">
        <f>AGD!O125</f>
        <v>49674</v>
      </c>
      <c r="P125" s="95">
        <v>0</v>
      </c>
      <c r="V125">
        <v>1</v>
      </c>
      <c r="W125" t="s">
        <v>33</v>
      </c>
      <c r="Y125" t="s">
        <v>33</v>
      </c>
      <c r="Z125" t="s">
        <v>34</v>
      </c>
      <c r="AA125">
        <v>1</v>
      </c>
    </row>
    <row r="126" spans="1:27" x14ac:dyDescent="0.35">
      <c r="A126" s="13">
        <f t="shared" si="1"/>
        <v>45930</v>
      </c>
      <c r="B126">
        <v>1</v>
      </c>
      <c r="D126" s="14" t="s">
        <v>31</v>
      </c>
      <c r="E126" s="15" t="s">
        <v>32</v>
      </c>
      <c r="F126" s="16" t="s">
        <v>32</v>
      </c>
      <c r="G126" s="17"/>
      <c r="H126" s="33" t="s">
        <v>63</v>
      </c>
      <c r="I126" s="33" t="s">
        <v>63</v>
      </c>
      <c r="K126" s="20">
        <f>AGD!K126</f>
        <v>124</v>
      </c>
      <c r="L126" s="20">
        <f>AGD!L126</f>
        <v>0</v>
      </c>
      <c r="M126" s="21">
        <f>AGD!M126</f>
        <v>49705</v>
      </c>
      <c r="N126" s="21">
        <f>AGD!N126</f>
        <v>49705</v>
      </c>
      <c r="O126" s="21">
        <f>AGD!O126</f>
        <v>49705</v>
      </c>
      <c r="P126" s="95">
        <v>0</v>
      </c>
      <c r="V126">
        <v>1</v>
      </c>
      <c r="W126" t="s">
        <v>33</v>
      </c>
      <c r="Y126" t="s">
        <v>33</v>
      </c>
      <c r="Z126" t="s">
        <v>34</v>
      </c>
      <c r="AA126">
        <v>1</v>
      </c>
    </row>
    <row r="127" spans="1:27" x14ac:dyDescent="0.35">
      <c r="A127" s="13">
        <f t="shared" si="1"/>
        <v>45930</v>
      </c>
      <c r="B127">
        <v>1</v>
      </c>
      <c r="D127" s="14" t="s">
        <v>31</v>
      </c>
      <c r="E127" s="15" t="s">
        <v>32</v>
      </c>
      <c r="F127" s="16" t="s">
        <v>32</v>
      </c>
      <c r="G127" s="17"/>
      <c r="H127" s="33" t="s">
        <v>63</v>
      </c>
      <c r="I127" s="33" t="s">
        <v>63</v>
      </c>
      <c r="K127" s="20">
        <f>AGD!K127</f>
        <v>125</v>
      </c>
      <c r="L127" s="20">
        <f>AGD!L127</f>
        <v>0</v>
      </c>
      <c r="M127" s="21">
        <f>AGD!M127</f>
        <v>49734</v>
      </c>
      <c r="N127" s="21">
        <f>AGD!N127</f>
        <v>49734</v>
      </c>
      <c r="O127" s="21">
        <f>AGD!O127</f>
        <v>49734</v>
      </c>
      <c r="P127" s="95">
        <v>0</v>
      </c>
      <c r="V127">
        <v>1</v>
      </c>
      <c r="W127" t="s">
        <v>33</v>
      </c>
      <c r="Y127" t="s">
        <v>33</v>
      </c>
      <c r="Z127" t="s">
        <v>34</v>
      </c>
      <c r="AA127">
        <v>1</v>
      </c>
    </row>
    <row r="128" spans="1:27" x14ac:dyDescent="0.35">
      <c r="A128" s="13">
        <f t="shared" si="1"/>
        <v>45930</v>
      </c>
      <c r="B128">
        <v>1</v>
      </c>
      <c r="D128" s="14" t="s">
        <v>31</v>
      </c>
      <c r="E128" s="15" t="s">
        <v>32</v>
      </c>
      <c r="F128" s="16" t="s">
        <v>32</v>
      </c>
      <c r="G128" s="17"/>
      <c r="H128" s="33" t="s">
        <v>63</v>
      </c>
      <c r="I128" s="33" t="s">
        <v>63</v>
      </c>
      <c r="K128" s="20">
        <f>AGD!K128</f>
        <v>126</v>
      </c>
      <c r="L128" s="20">
        <f>AGD!L128</f>
        <v>0</v>
      </c>
      <c r="M128" s="21">
        <f>AGD!M128</f>
        <v>49765</v>
      </c>
      <c r="N128" s="21">
        <f>AGD!N128</f>
        <v>49765</v>
      </c>
      <c r="O128" s="21">
        <f>AGD!O128</f>
        <v>49765</v>
      </c>
      <c r="P128" s="95">
        <v>0</v>
      </c>
      <c r="V128">
        <v>1</v>
      </c>
      <c r="W128" t="s">
        <v>33</v>
      </c>
      <c r="Y128" t="s">
        <v>33</v>
      </c>
      <c r="Z128" t="s">
        <v>34</v>
      </c>
      <c r="AA128">
        <v>1</v>
      </c>
    </row>
    <row r="129" spans="1:27" x14ac:dyDescent="0.35">
      <c r="A129" s="13">
        <f t="shared" si="1"/>
        <v>45930</v>
      </c>
      <c r="B129">
        <v>1</v>
      </c>
      <c r="D129" s="14" t="s">
        <v>31</v>
      </c>
      <c r="E129" s="15" t="s">
        <v>32</v>
      </c>
      <c r="F129" s="16" t="s">
        <v>32</v>
      </c>
      <c r="G129" s="17"/>
      <c r="H129" s="33" t="s">
        <v>63</v>
      </c>
      <c r="I129" s="33" t="s">
        <v>63</v>
      </c>
      <c r="K129" s="20">
        <f>AGD!K129</f>
        <v>127</v>
      </c>
      <c r="L129" s="20">
        <f>AGD!L129</f>
        <v>0</v>
      </c>
      <c r="M129" s="21">
        <f>AGD!M129</f>
        <v>49795</v>
      </c>
      <c r="N129" s="21">
        <f>AGD!N129</f>
        <v>49795</v>
      </c>
      <c r="O129" s="21">
        <f>AGD!O129</f>
        <v>49795</v>
      </c>
      <c r="P129" s="95">
        <v>0</v>
      </c>
      <c r="V129">
        <v>1</v>
      </c>
      <c r="W129" t="s">
        <v>33</v>
      </c>
      <c r="Y129" t="s">
        <v>33</v>
      </c>
      <c r="Z129" t="s">
        <v>34</v>
      </c>
      <c r="AA129">
        <v>1</v>
      </c>
    </row>
    <row r="130" spans="1:27" x14ac:dyDescent="0.35">
      <c r="A130" s="13">
        <f t="shared" si="1"/>
        <v>45930</v>
      </c>
      <c r="B130">
        <v>1</v>
      </c>
      <c r="D130" s="14" t="s">
        <v>31</v>
      </c>
      <c r="E130" s="15" t="s">
        <v>32</v>
      </c>
      <c r="F130" s="16" t="s">
        <v>32</v>
      </c>
      <c r="G130" s="17"/>
      <c r="H130" s="33" t="s">
        <v>63</v>
      </c>
      <c r="I130" s="33" t="s">
        <v>63</v>
      </c>
      <c r="K130" s="20">
        <f>AGD!K130</f>
        <v>128</v>
      </c>
      <c r="L130" s="20">
        <f>AGD!L130</f>
        <v>0</v>
      </c>
      <c r="M130" s="21">
        <f>AGD!M130</f>
        <v>49826</v>
      </c>
      <c r="N130" s="21">
        <f>AGD!N130</f>
        <v>49826</v>
      </c>
      <c r="O130" s="21">
        <f>AGD!O130</f>
        <v>49826</v>
      </c>
      <c r="P130" s="95">
        <v>0</v>
      </c>
      <c r="V130">
        <v>1</v>
      </c>
      <c r="W130" t="s">
        <v>33</v>
      </c>
      <c r="Y130" t="s">
        <v>33</v>
      </c>
      <c r="Z130" t="s">
        <v>34</v>
      </c>
      <c r="AA130">
        <v>1</v>
      </c>
    </row>
    <row r="131" spans="1:27" x14ac:dyDescent="0.35">
      <c r="A131" s="13">
        <f t="shared" si="1"/>
        <v>45930</v>
      </c>
      <c r="B131">
        <v>1</v>
      </c>
      <c r="D131" s="14" t="s">
        <v>31</v>
      </c>
      <c r="E131" s="15" t="s">
        <v>32</v>
      </c>
      <c r="F131" s="16" t="s">
        <v>32</v>
      </c>
      <c r="G131" s="17"/>
      <c r="H131" s="33" t="s">
        <v>63</v>
      </c>
      <c r="I131" s="33" t="s">
        <v>63</v>
      </c>
      <c r="K131" s="20">
        <f>AGD!K131</f>
        <v>129</v>
      </c>
      <c r="L131" s="20">
        <f>AGD!L131</f>
        <v>0</v>
      </c>
      <c r="M131" s="21">
        <f>AGD!M131</f>
        <v>49856</v>
      </c>
      <c r="N131" s="21">
        <f>AGD!N131</f>
        <v>49856</v>
      </c>
      <c r="O131" s="21">
        <f>AGD!O131</f>
        <v>49856</v>
      </c>
      <c r="P131" s="95">
        <v>0</v>
      </c>
      <c r="V131">
        <v>1</v>
      </c>
      <c r="W131" t="s">
        <v>33</v>
      </c>
      <c r="Y131" t="s">
        <v>33</v>
      </c>
      <c r="Z131" t="s">
        <v>34</v>
      </c>
      <c r="AA131">
        <v>1</v>
      </c>
    </row>
    <row r="132" spans="1:27" x14ac:dyDescent="0.35">
      <c r="A132" s="13">
        <f t="shared" ref="A132:A195" si="2">A131</f>
        <v>45930</v>
      </c>
      <c r="B132">
        <v>1</v>
      </c>
      <c r="D132" s="14" t="s">
        <v>31</v>
      </c>
      <c r="E132" s="15" t="s">
        <v>32</v>
      </c>
      <c r="F132" s="16" t="s">
        <v>32</v>
      </c>
      <c r="G132" s="17"/>
      <c r="H132" s="33" t="s">
        <v>63</v>
      </c>
      <c r="I132" s="33" t="s">
        <v>63</v>
      </c>
      <c r="K132" s="20">
        <f>AGD!K132</f>
        <v>130</v>
      </c>
      <c r="L132" s="20">
        <f>AGD!L132</f>
        <v>0</v>
      </c>
      <c r="M132" s="21">
        <f>AGD!M132</f>
        <v>49887</v>
      </c>
      <c r="N132" s="21">
        <f>AGD!N132</f>
        <v>49887</v>
      </c>
      <c r="O132" s="21">
        <f>AGD!O132</f>
        <v>49887</v>
      </c>
      <c r="P132" s="95">
        <v>0</v>
      </c>
      <c r="V132">
        <v>1</v>
      </c>
      <c r="W132" t="s">
        <v>33</v>
      </c>
      <c r="Y132" t="s">
        <v>33</v>
      </c>
      <c r="Z132" t="s">
        <v>34</v>
      </c>
      <c r="AA132">
        <v>1</v>
      </c>
    </row>
    <row r="133" spans="1:27" x14ac:dyDescent="0.35">
      <c r="A133" s="13">
        <f t="shared" si="2"/>
        <v>45930</v>
      </c>
      <c r="B133">
        <v>1</v>
      </c>
      <c r="D133" s="14" t="s">
        <v>31</v>
      </c>
      <c r="E133" s="15" t="s">
        <v>32</v>
      </c>
      <c r="F133" s="16" t="s">
        <v>32</v>
      </c>
      <c r="G133" s="17"/>
      <c r="H133" s="33" t="s">
        <v>63</v>
      </c>
      <c r="I133" s="33" t="s">
        <v>63</v>
      </c>
      <c r="K133" s="20">
        <f>AGD!K133</f>
        <v>131</v>
      </c>
      <c r="L133" s="20">
        <f>AGD!L133</f>
        <v>0</v>
      </c>
      <c r="M133" s="21">
        <f>AGD!M133</f>
        <v>49918</v>
      </c>
      <c r="N133" s="21">
        <f>AGD!N133</f>
        <v>49918</v>
      </c>
      <c r="O133" s="21">
        <f>AGD!O133</f>
        <v>49918</v>
      </c>
      <c r="P133" s="95">
        <v>0</v>
      </c>
      <c r="V133">
        <v>1</v>
      </c>
      <c r="W133" t="s">
        <v>33</v>
      </c>
      <c r="Y133" t="s">
        <v>33</v>
      </c>
      <c r="Z133" t="s">
        <v>34</v>
      </c>
      <c r="AA133">
        <v>1</v>
      </c>
    </row>
    <row r="134" spans="1:27" x14ac:dyDescent="0.35">
      <c r="A134" s="13">
        <f t="shared" si="2"/>
        <v>45930</v>
      </c>
      <c r="B134">
        <v>1</v>
      </c>
      <c r="D134" s="14" t="s">
        <v>31</v>
      </c>
      <c r="E134" s="15" t="s">
        <v>32</v>
      </c>
      <c r="F134" s="16" t="s">
        <v>32</v>
      </c>
      <c r="G134" s="17"/>
      <c r="H134" s="33" t="s">
        <v>63</v>
      </c>
      <c r="I134" s="33" t="s">
        <v>63</v>
      </c>
      <c r="K134" s="20">
        <f>AGD!K134</f>
        <v>132</v>
      </c>
      <c r="L134" s="20">
        <f>AGD!L134</f>
        <v>0</v>
      </c>
      <c r="M134" s="21">
        <f>AGD!M134</f>
        <v>49948</v>
      </c>
      <c r="N134" s="21">
        <f>AGD!N134</f>
        <v>49948</v>
      </c>
      <c r="O134" s="21">
        <f>AGD!O134</f>
        <v>49948</v>
      </c>
      <c r="P134" s="95">
        <v>0</v>
      </c>
      <c r="V134">
        <v>1</v>
      </c>
      <c r="W134" t="s">
        <v>33</v>
      </c>
      <c r="Y134" t="s">
        <v>33</v>
      </c>
      <c r="Z134" t="s">
        <v>34</v>
      </c>
      <c r="AA134">
        <v>1</v>
      </c>
    </row>
    <row r="135" spans="1:27" x14ac:dyDescent="0.35">
      <c r="A135" s="13">
        <f t="shared" si="2"/>
        <v>45930</v>
      </c>
      <c r="B135">
        <v>1</v>
      </c>
      <c r="D135" s="14" t="s">
        <v>31</v>
      </c>
      <c r="E135" s="15" t="s">
        <v>32</v>
      </c>
      <c r="F135" s="16" t="s">
        <v>32</v>
      </c>
      <c r="G135" s="17"/>
      <c r="H135" s="33" t="s">
        <v>63</v>
      </c>
      <c r="I135" s="33" t="s">
        <v>63</v>
      </c>
      <c r="K135" s="20">
        <f>AGD!K135</f>
        <v>133</v>
      </c>
      <c r="L135" s="20">
        <f>AGD!L135</f>
        <v>0</v>
      </c>
      <c r="M135" s="21">
        <f>AGD!M135</f>
        <v>49979</v>
      </c>
      <c r="N135" s="21">
        <f>AGD!N135</f>
        <v>49979</v>
      </c>
      <c r="O135" s="21">
        <f>AGD!O135</f>
        <v>49979</v>
      </c>
      <c r="P135" s="95">
        <v>0</v>
      </c>
      <c r="V135">
        <v>1</v>
      </c>
      <c r="W135" t="s">
        <v>33</v>
      </c>
      <c r="Y135" t="s">
        <v>33</v>
      </c>
      <c r="Z135" t="s">
        <v>34</v>
      </c>
      <c r="AA135">
        <v>1</v>
      </c>
    </row>
    <row r="136" spans="1:27" x14ac:dyDescent="0.35">
      <c r="A136" s="13">
        <f t="shared" si="2"/>
        <v>45930</v>
      </c>
      <c r="B136">
        <v>1</v>
      </c>
      <c r="D136" s="14" t="s">
        <v>31</v>
      </c>
      <c r="E136" s="15" t="s">
        <v>32</v>
      </c>
      <c r="F136" s="16" t="s">
        <v>32</v>
      </c>
      <c r="G136" s="17"/>
      <c r="H136" s="33" t="s">
        <v>63</v>
      </c>
      <c r="I136" s="33" t="s">
        <v>63</v>
      </c>
      <c r="K136" s="20">
        <f>AGD!K136</f>
        <v>134</v>
      </c>
      <c r="L136" s="20">
        <f>AGD!L136</f>
        <v>0</v>
      </c>
      <c r="M136" s="21">
        <f>AGD!M136</f>
        <v>50009</v>
      </c>
      <c r="N136" s="21">
        <f>AGD!N136</f>
        <v>50009</v>
      </c>
      <c r="O136" s="21">
        <f>AGD!O136</f>
        <v>50009</v>
      </c>
      <c r="P136" s="95">
        <v>0</v>
      </c>
      <c r="V136">
        <v>1</v>
      </c>
      <c r="W136" t="s">
        <v>33</v>
      </c>
      <c r="Y136" t="s">
        <v>33</v>
      </c>
      <c r="Z136" t="s">
        <v>34</v>
      </c>
      <c r="AA136">
        <v>1</v>
      </c>
    </row>
    <row r="137" spans="1:27" x14ac:dyDescent="0.35">
      <c r="A137" s="13">
        <f t="shared" si="2"/>
        <v>45930</v>
      </c>
      <c r="B137">
        <v>1</v>
      </c>
      <c r="D137" s="14" t="s">
        <v>31</v>
      </c>
      <c r="E137" s="15" t="s">
        <v>32</v>
      </c>
      <c r="F137" s="16" t="s">
        <v>32</v>
      </c>
      <c r="G137" s="17"/>
      <c r="H137" s="33" t="s">
        <v>63</v>
      </c>
      <c r="I137" s="33" t="s">
        <v>63</v>
      </c>
      <c r="K137" s="20">
        <f>AGD!K137</f>
        <v>135</v>
      </c>
      <c r="L137" s="20">
        <f>AGD!L137</f>
        <v>0</v>
      </c>
      <c r="M137" s="21">
        <f>AGD!M137</f>
        <v>50040</v>
      </c>
      <c r="N137" s="21">
        <f>AGD!N137</f>
        <v>50040</v>
      </c>
      <c r="O137" s="21">
        <f>AGD!O137</f>
        <v>50040</v>
      </c>
      <c r="P137" s="95">
        <v>0</v>
      </c>
      <c r="V137">
        <v>1</v>
      </c>
      <c r="W137" t="s">
        <v>33</v>
      </c>
      <c r="Y137" t="s">
        <v>33</v>
      </c>
      <c r="Z137" t="s">
        <v>34</v>
      </c>
      <c r="AA137">
        <v>1</v>
      </c>
    </row>
    <row r="138" spans="1:27" x14ac:dyDescent="0.35">
      <c r="A138" s="13">
        <f t="shared" si="2"/>
        <v>45930</v>
      </c>
      <c r="B138">
        <v>1</v>
      </c>
      <c r="D138" s="14" t="s">
        <v>31</v>
      </c>
      <c r="E138" s="15" t="s">
        <v>32</v>
      </c>
      <c r="F138" s="16" t="s">
        <v>32</v>
      </c>
      <c r="G138" s="17"/>
      <c r="H138" s="33" t="s">
        <v>63</v>
      </c>
      <c r="I138" s="33" t="s">
        <v>63</v>
      </c>
      <c r="K138" s="20">
        <f>AGD!K138</f>
        <v>136</v>
      </c>
      <c r="L138" s="20">
        <f>AGD!L138</f>
        <v>0</v>
      </c>
      <c r="M138" s="21">
        <f>AGD!M138</f>
        <v>50071</v>
      </c>
      <c r="N138" s="21">
        <f>AGD!N138</f>
        <v>50071</v>
      </c>
      <c r="O138" s="21">
        <f>AGD!O138</f>
        <v>50071</v>
      </c>
      <c r="P138" s="95">
        <v>0</v>
      </c>
      <c r="V138">
        <v>1</v>
      </c>
      <c r="W138" t="s">
        <v>33</v>
      </c>
      <c r="Y138" t="s">
        <v>33</v>
      </c>
      <c r="Z138" t="s">
        <v>34</v>
      </c>
      <c r="AA138">
        <v>1</v>
      </c>
    </row>
    <row r="139" spans="1:27" x14ac:dyDescent="0.35">
      <c r="A139" s="13">
        <f t="shared" si="2"/>
        <v>45930</v>
      </c>
      <c r="B139">
        <v>1</v>
      </c>
      <c r="D139" s="14" t="s">
        <v>31</v>
      </c>
      <c r="E139" s="15" t="s">
        <v>32</v>
      </c>
      <c r="F139" s="16" t="s">
        <v>32</v>
      </c>
      <c r="G139" s="17"/>
      <c r="H139" s="33" t="s">
        <v>63</v>
      </c>
      <c r="I139" s="33" t="s">
        <v>63</v>
      </c>
      <c r="K139" s="20">
        <f>AGD!K139</f>
        <v>137</v>
      </c>
      <c r="L139" s="20">
        <f>AGD!L139</f>
        <v>0</v>
      </c>
      <c r="M139" s="21">
        <f>AGD!M139</f>
        <v>50099</v>
      </c>
      <c r="N139" s="21">
        <f>AGD!N139</f>
        <v>50099</v>
      </c>
      <c r="O139" s="21">
        <f>AGD!O139</f>
        <v>50099</v>
      </c>
      <c r="P139" s="95">
        <v>0</v>
      </c>
      <c r="V139">
        <v>1</v>
      </c>
      <c r="W139" t="s">
        <v>33</v>
      </c>
      <c r="Y139" t="s">
        <v>33</v>
      </c>
      <c r="Z139" t="s">
        <v>34</v>
      </c>
      <c r="AA139">
        <v>1</v>
      </c>
    </row>
    <row r="140" spans="1:27" x14ac:dyDescent="0.35">
      <c r="A140" s="13">
        <f t="shared" si="2"/>
        <v>45930</v>
      </c>
      <c r="B140">
        <v>1</v>
      </c>
      <c r="D140" s="14" t="s">
        <v>31</v>
      </c>
      <c r="E140" s="15" t="s">
        <v>32</v>
      </c>
      <c r="F140" s="16" t="s">
        <v>32</v>
      </c>
      <c r="G140" s="17"/>
      <c r="H140" s="33" t="s">
        <v>63</v>
      </c>
      <c r="I140" s="33" t="s">
        <v>63</v>
      </c>
      <c r="K140" s="20">
        <f>AGD!K140</f>
        <v>138</v>
      </c>
      <c r="L140" s="20">
        <f>AGD!L140</f>
        <v>0</v>
      </c>
      <c r="M140" s="21">
        <f>AGD!M140</f>
        <v>50130</v>
      </c>
      <c r="N140" s="21">
        <f>AGD!N140</f>
        <v>50130</v>
      </c>
      <c r="O140" s="21">
        <f>AGD!O140</f>
        <v>50130</v>
      </c>
      <c r="P140" s="95">
        <v>0</v>
      </c>
      <c r="V140">
        <v>1</v>
      </c>
      <c r="W140" t="s">
        <v>33</v>
      </c>
      <c r="Y140" t="s">
        <v>33</v>
      </c>
      <c r="Z140" t="s">
        <v>34</v>
      </c>
      <c r="AA140">
        <v>1</v>
      </c>
    </row>
    <row r="141" spans="1:27" x14ac:dyDescent="0.35">
      <c r="A141" s="13">
        <f t="shared" si="2"/>
        <v>45930</v>
      </c>
      <c r="B141">
        <v>1</v>
      </c>
      <c r="D141" s="14" t="s">
        <v>31</v>
      </c>
      <c r="E141" s="15" t="s">
        <v>32</v>
      </c>
      <c r="F141" s="16" t="s">
        <v>32</v>
      </c>
      <c r="G141" s="17"/>
      <c r="H141" s="33" t="s">
        <v>63</v>
      </c>
      <c r="I141" s="33" t="s">
        <v>63</v>
      </c>
      <c r="K141" s="20">
        <f>AGD!K141</f>
        <v>139</v>
      </c>
      <c r="L141" s="20">
        <f>AGD!L141</f>
        <v>0</v>
      </c>
      <c r="M141" s="21">
        <f>AGD!M141</f>
        <v>50160</v>
      </c>
      <c r="N141" s="21">
        <f>AGD!N141</f>
        <v>50160</v>
      </c>
      <c r="O141" s="21">
        <f>AGD!O141</f>
        <v>50160</v>
      </c>
      <c r="P141" s="95">
        <v>0</v>
      </c>
      <c r="V141">
        <v>1</v>
      </c>
      <c r="W141" t="s">
        <v>33</v>
      </c>
      <c r="Y141" t="s">
        <v>33</v>
      </c>
      <c r="Z141" t="s">
        <v>34</v>
      </c>
      <c r="AA141">
        <v>1</v>
      </c>
    </row>
    <row r="142" spans="1:27" x14ac:dyDescent="0.35">
      <c r="A142" s="13">
        <f t="shared" si="2"/>
        <v>45930</v>
      </c>
      <c r="B142">
        <v>1</v>
      </c>
      <c r="D142" s="14" t="s">
        <v>31</v>
      </c>
      <c r="E142" s="15" t="s">
        <v>32</v>
      </c>
      <c r="F142" s="16" t="s">
        <v>32</v>
      </c>
      <c r="G142" s="17"/>
      <c r="H142" s="33" t="s">
        <v>63</v>
      </c>
      <c r="I142" s="33" t="s">
        <v>63</v>
      </c>
      <c r="K142" s="20">
        <f>AGD!K142</f>
        <v>140</v>
      </c>
      <c r="L142" s="20">
        <f>AGD!L142</f>
        <v>0</v>
      </c>
      <c r="M142" s="21">
        <f>AGD!M142</f>
        <v>50191</v>
      </c>
      <c r="N142" s="21">
        <f>AGD!N142</f>
        <v>50191</v>
      </c>
      <c r="O142" s="21">
        <f>AGD!O142</f>
        <v>50191</v>
      </c>
      <c r="P142" s="95">
        <v>0</v>
      </c>
      <c r="V142">
        <v>1</v>
      </c>
      <c r="W142" t="s">
        <v>33</v>
      </c>
      <c r="Y142" t="s">
        <v>33</v>
      </c>
      <c r="Z142" t="s">
        <v>34</v>
      </c>
      <c r="AA142">
        <v>1</v>
      </c>
    </row>
    <row r="143" spans="1:27" x14ac:dyDescent="0.35">
      <c r="A143" s="13">
        <f t="shared" si="2"/>
        <v>45930</v>
      </c>
      <c r="B143">
        <v>1</v>
      </c>
      <c r="D143" s="14" t="s">
        <v>31</v>
      </c>
      <c r="E143" s="15" t="s">
        <v>32</v>
      </c>
      <c r="F143" s="16" t="s">
        <v>32</v>
      </c>
      <c r="G143" s="17"/>
      <c r="H143" s="33" t="s">
        <v>63</v>
      </c>
      <c r="I143" s="33" t="s">
        <v>63</v>
      </c>
      <c r="K143" s="20">
        <f>AGD!K143</f>
        <v>141</v>
      </c>
      <c r="L143" s="20">
        <f>AGD!L143</f>
        <v>0</v>
      </c>
      <c r="M143" s="21">
        <f>AGD!M143</f>
        <v>50221</v>
      </c>
      <c r="N143" s="21">
        <f>AGD!N143</f>
        <v>50221</v>
      </c>
      <c r="O143" s="21">
        <f>AGD!O143</f>
        <v>50221</v>
      </c>
      <c r="P143" s="95">
        <v>0</v>
      </c>
      <c r="V143">
        <v>1</v>
      </c>
      <c r="W143" t="s">
        <v>33</v>
      </c>
      <c r="Y143" t="s">
        <v>33</v>
      </c>
      <c r="Z143" t="s">
        <v>34</v>
      </c>
      <c r="AA143">
        <v>1</v>
      </c>
    </row>
    <row r="144" spans="1:27" x14ac:dyDescent="0.35">
      <c r="A144" s="13">
        <f t="shared" si="2"/>
        <v>45930</v>
      </c>
      <c r="B144">
        <v>1</v>
      </c>
      <c r="D144" s="14" t="s">
        <v>31</v>
      </c>
      <c r="E144" s="15" t="s">
        <v>32</v>
      </c>
      <c r="F144" s="16" t="s">
        <v>32</v>
      </c>
      <c r="G144" s="17"/>
      <c r="H144" s="33" t="s">
        <v>63</v>
      </c>
      <c r="I144" s="33" t="s">
        <v>63</v>
      </c>
      <c r="K144" s="20">
        <f>AGD!K144</f>
        <v>142</v>
      </c>
      <c r="L144" s="20">
        <f>AGD!L144</f>
        <v>0</v>
      </c>
      <c r="M144" s="21">
        <f>AGD!M144</f>
        <v>50252</v>
      </c>
      <c r="N144" s="21">
        <f>AGD!N144</f>
        <v>50252</v>
      </c>
      <c r="O144" s="21">
        <f>AGD!O144</f>
        <v>50252</v>
      </c>
      <c r="P144" s="95">
        <v>0</v>
      </c>
      <c r="V144">
        <v>1</v>
      </c>
      <c r="W144" t="s">
        <v>33</v>
      </c>
      <c r="Y144" t="s">
        <v>33</v>
      </c>
      <c r="Z144" t="s">
        <v>34</v>
      </c>
      <c r="AA144">
        <v>1</v>
      </c>
    </row>
    <row r="145" spans="1:27" x14ac:dyDescent="0.35">
      <c r="A145" s="13">
        <f t="shared" si="2"/>
        <v>45930</v>
      </c>
      <c r="B145">
        <v>1</v>
      </c>
      <c r="D145" s="14" t="s">
        <v>31</v>
      </c>
      <c r="E145" s="15" t="s">
        <v>32</v>
      </c>
      <c r="F145" s="16" t="s">
        <v>32</v>
      </c>
      <c r="G145" s="17"/>
      <c r="H145" s="33" t="s">
        <v>63</v>
      </c>
      <c r="I145" s="33" t="s">
        <v>63</v>
      </c>
      <c r="K145" s="20">
        <f>AGD!K145</f>
        <v>143</v>
      </c>
      <c r="L145" s="20">
        <f>AGD!L145</f>
        <v>0</v>
      </c>
      <c r="M145" s="21">
        <f>AGD!M145</f>
        <v>50283</v>
      </c>
      <c r="N145" s="21">
        <f>AGD!N145</f>
        <v>50283</v>
      </c>
      <c r="O145" s="21">
        <f>AGD!O145</f>
        <v>50283</v>
      </c>
      <c r="P145" s="95">
        <v>0</v>
      </c>
      <c r="V145">
        <v>1</v>
      </c>
      <c r="W145" t="s">
        <v>33</v>
      </c>
      <c r="Y145" t="s">
        <v>33</v>
      </c>
      <c r="Z145" t="s">
        <v>34</v>
      </c>
      <c r="AA145">
        <v>1</v>
      </c>
    </row>
    <row r="146" spans="1:27" x14ac:dyDescent="0.35">
      <c r="A146" s="13">
        <f t="shared" si="2"/>
        <v>45930</v>
      </c>
      <c r="B146">
        <v>1</v>
      </c>
      <c r="D146" s="14" t="s">
        <v>31</v>
      </c>
      <c r="E146" s="15" t="s">
        <v>32</v>
      </c>
      <c r="F146" s="16" t="s">
        <v>32</v>
      </c>
      <c r="G146" s="17"/>
      <c r="H146" s="33" t="s">
        <v>63</v>
      </c>
      <c r="I146" s="33" t="s">
        <v>63</v>
      </c>
      <c r="K146" s="20">
        <f>AGD!K146</f>
        <v>144</v>
      </c>
      <c r="L146" s="20">
        <f>AGD!L146</f>
        <v>0</v>
      </c>
      <c r="M146" s="21">
        <f>AGD!M146</f>
        <v>50313</v>
      </c>
      <c r="N146" s="21">
        <f>AGD!N146</f>
        <v>50313</v>
      </c>
      <c r="O146" s="21">
        <f>AGD!O146</f>
        <v>50313</v>
      </c>
      <c r="P146" s="95">
        <v>0</v>
      </c>
      <c r="V146">
        <v>1</v>
      </c>
      <c r="W146" t="s">
        <v>33</v>
      </c>
      <c r="Y146" t="s">
        <v>33</v>
      </c>
      <c r="Z146" t="s">
        <v>34</v>
      </c>
      <c r="AA146">
        <v>1</v>
      </c>
    </row>
    <row r="147" spans="1:27" x14ac:dyDescent="0.35">
      <c r="A147" s="13">
        <f t="shared" si="2"/>
        <v>45930</v>
      </c>
      <c r="B147">
        <v>1</v>
      </c>
      <c r="D147" s="14" t="s">
        <v>31</v>
      </c>
      <c r="E147" s="15" t="s">
        <v>32</v>
      </c>
      <c r="F147" s="16" t="s">
        <v>32</v>
      </c>
      <c r="G147" s="17"/>
      <c r="H147" s="33" t="s">
        <v>63</v>
      </c>
      <c r="I147" s="33" t="s">
        <v>63</v>
      </c>
      <c r="K147" s="20">
        <f>AGD!K147</f>
        <v>145</v>
      </c>
      <c r="L147" s="20">
        <f>AGD!L147</f>
        <v>0</v>
      </c>
      <c r="M147" s="21">
        <f>AGD!M147</f>
        <v>50344</v>
      </c>
      <c r="N147" s="21">
        <f>AGD!N147</f>
        <v>50344</v>
      </c>
      <c r="O147" s="21">
        <f>AGD!O147</f>
        <v>50344</v>
      </c>
      <c r="P147" s="95">
        <v>0</v>
      </c>
      <c r="V147">
        <v>1</v>
      </c>
      <c r="W147" t="s">
        <v>33</v>
      </c>
      <c r="Y147" t="s">
        <v>33</v>
      </c>
      <c r="Z147" t="s">
        <v>34</v>
      </c>
      <c r="AA147">
        <v>1</v>
      </c>
    </row>
    <row r="148" spans="1:27" x14ac:dyDescent="0.35">
      <c r="A148" s="13">
        <f t="shared" si="2"/>
        <v>45930</v>
      </c>
      <c r="B148">
        <v>1</v>
      </c>
      <c r="D148" s="14" t="s">
        <v>31</v>
      </c>
      <c r="E148" s="15" t="s">
        <v>32</v>
      </c>
      <c r="F148" s="16" t="s">
        <v>32</v>
      </c>
      <c r="G148" s="17"/>
      <c r="H148" s="33" t="s">
        <v>63</v>
      </c>
      <c r="I148" s="33" t="s">
        <v>63</v>
      </c>
      <c r="K148" s="20">
        <f>AGD!K148</f>
        <v>146</v>
      </c>
      <c r="L148" s="20">
        <f>AGD!L148</f>
        <v>0</v>
      </c>
      <c r="M148" s="21">
        <f>AGD!M148</f>
        <v>50374</v>
      </c>
      <c r="N148" s="21">
        <f>AGD!N148</f>
        <v>50374</v>
      </c>
      <c r="O148" s="21">
        <f>AGD!O148</f>
        <v>50374</v>
      </c>
      <c r="P148" s="95">
        <v>0</v>
      </c>
      <c r="V148">
        <v>1</v>
      </c>
      <c r="W148" t="s">
        <v>33</v>
      </c>
      <c r="Y148" t="s">
        <v>33</v>
      </c>
      <c r="Z148" t="s">
        <v>34</v>
      </c>
      <c r="AA148">
        <v>1</v>
      </c>
    </row>
    <row r="149" spans="1:27" x14ac:dyDescent="0.35">
      <c r="A149" s="13">
        <f t="shared" si="2"/>
        <v>45930</v>
      </c>
      <c r="B149">
        <v>1</v>
      </c>
      <c r="D149" s="14" t="s">
        <v>31</v>
      </c>
      <c r="E149" s="15" t="s">
        <v>32</v>
      </c>
      <c r="F149" s="16" t="s">
        <v>32</v>
      </c>
      <c r="G149" s="17"/>
      <c r="H149" s="33" t="s">
        <v>63</v>
      </c>
      <c r="I149" s="33" t="s">
        <v>63</v>
      </c>
      <c r="K149" s="20">
        <f>AGD!K149</f>
        <v>147</v>
      </c>
      <c r="L149" s="20">
        <f>AGD!L149</f>
        <v>0</v>
      </c>
      <c r="M149" s="21">
        <f>AGD!M149</f>
        <v>50405</v>
      </c>
      <c r="N149" s="21">
        <f>AGD!N149</f>
        <v>50405</v>
      </c>
      <c r="O149" s="21">
        <f>AGD!O149</f>
        <v>50405</v>
      </c>
      <c r="P149" s="95">
        <v>0</v>
      </c>
      <c r="V149">
        <v>1</v>
      </c>
      <c r="W149" t="s">
        <v>33</v>
      </c>
      <c r="Y149" t="s">
        <v>33</v>
      </c>
      <c r="Z149" t="s">
        <v>34</v>
      </c>
      <c r="AA149">
        <v>1</v>
      </c>
    </row>
    <row r="150" spans="1:27" x14ac:dyDescent="0.35">
      <c r="A150" s="13">
        <f t="shared" si="2"/>
        <v>45930</v>
      </c>
      <c r="B150">
        <v>1</v>
      </c>
      <c r="D150" s="14" t="s">
        <v>31</v>
      </c>
      <c r="E150" s="15" t="s">
        <v>32</v>
      </c>
      <c r="F150" s="16" t="s">
        <v>32</v>
      </c>
      <c r="G150" s="17"/>
      <c r="H150" s="33" t="s">
        <v>63</v>
      </c>
      <c r="I150" s="33" t="s">
        <v>63</v>
      </c>
      <c r="K150" s="20">
        <f>AGD!K150</f>
        <v>148</v>
      </c>
      <c r="L150" s="20">
        <f>AGD!L150</f>
        <v>0</v>
      </c>
      <c r="M150" s="21">
        <f>AGD!M150</f>
        <v>50436</v>
      </c>
      <c r="N150" s="21">
        <f>AGD!N150</f>
        <v>50436</v>
      </c>
      <c r="O150" s="21">
        <f>AGD!O150</f>
        <v>50436</v>
      </c>
      <c r="P150" s="95">
        <v>0</v>
      </c>
      <c r="V150">
        <v>1</v>
      </c>
      <c r="W150" t="s">
        <v>33</v>
      </c>
      <c r="Y150" t="s">
        <v>33</v>
      </c>
      <c r="Z150" t="s">
        <v>34</v>
      </c>
      <c r="AA150">
        <v>1</v>
      </c>
    </row>
    <row r="151" spans="1:27" x14ac:dyDescent="0.35">
      <c r="A151" s="13">
        <f t="shared" si="2"/>
        <v>45930</v>
      </c>
      <c r="B151">
        <v>1</v>
      </c>
      <c r="D151" s="14" t="s">
        <v>31</v>
      </c>
      <c r="E151" s="15" t="s">
        <v>32</v>
      </c>
      <c r="F151" s="16" t="s">
        <v>32</v>
      </c>
      <c r="G151" s="17"/>
      <c r="H151" s="33" t="s">
        <v>63</v>
      </c>
      <c r="I151" s="33" t="s">
        <v>63</v>
      </c>
      <c r="K151" s="20">
        <f>AGD!K151</f>
        <v>149</v>
      </c>
      <c r="L151" s="20">
        <f>AGD!L151</f>
        <v>0</v>
      </c>
      <c r="M151" s="21">
        <f>AGD!M151</f>
        <v>50464</v>
      </c>
      <c r="N151" s="21">
        <f>AGD!N151</f>
        <v>50464</v>
      </c>
      <c r="O151" s="21">
        <f>AGD!O151</f>
        <v>50464</v>
      </c>
      <c r="P151" s="95">
        <v>0</v>
      </c>
      <c r="V151">
        <v>1</v>
      </c>
      <c r="W151" t="s">
        <v>33</v>
      </c>
      <c r="Y151" t="s">
        <v>33</v>
      </c>
      <c r="Z151" t="s">
        <v>34</v>
      </c>
      <c r="AA151">
        <v>1</v>
      </c>
    </row>
    <row r="152" spans="1:27" x14ac:dyDescent="0.35">
      <c r="A152" s="13">
        <f t="shared" si="2"/>
        <v>45930</v>
      </c>
      <c r="B152">
        <v>1</v>
      </c>
      <c r="D152" s="14" t="s">
        <v>31</v>
      </c>
      <c r="E152" s="15" t="s">
        <v>32</v>
      </c>
      <c r="F152" s="16" t="s">
        <v>32</v>
      </c>
      <c r="G152" s="17"/>
      <c r="H152" s="33" t="s">
        <v>63</v>
      </c>
      <c r="I152" s="33" t="s">
        <v>63</v>
      </c>
      <c r="K152" s="20">
        <f>AGD!K152</f>
        <v>150</v>
      </c>
      <c r="L152" s="20">
        <f>AGD!L152</f>
        <v>0</v>
      </c>
      <c r="M152" s="21">
        <f>AGD!M152</f>
        <v>50495</v>
      </c>
      <c r="N152" s="21">
        <f>AGD!N152</f>
        <v>50495</v>
      </c>
      <c r="O152" s="21">
        <f>AGD!O152</f>
        <v>50495</v>
      </c>
      <c r="P152" s="95">
        <v>0</v>
      </c>
      <c r="V152">
        <v>1</v>
      </c>
      <c r="W152" t="s">
        <v>33</v>
      </c>
      <c r="Y152" t="s">
        <v>33</v>
      </c>
      <c r="Z152" t="s">
        <v>34</v>
      </c>
      <c r="AA152">
        <v>1</v>
      </c>
    </row>
    <row r="153" spans="1:27" x14ac:dyDescent="0.35">
      <c r="A153" s="13">
        <f t="shared" si="2"/>
        <v>45930</v>
      </c>
      <c r="B153">
        <v>1</v>
      </c>
      <c r="D153" s="14" t="s">
        <v>31</v>
      </c>
      <c r="E153" s="15" t="s">
        <v>32</v>
      </c>
      <c r="F153" s="16" t="s">
        <v>32</v>
      </c>
      <c r="G153" s="17"/>
      <c r="H153" s="33" t="s">
        <v>63</v>
      </c>
      <c r="I153" s="33" t="s">
        <v>63</v>
      </c>
      <c r="K153" s="20">
        <f>AGD!K153</f>
        <v>151</v>
      </c>
      <c r="L153" s="20">
        <f>AGD!L153</f>
        <v>0</v>
      </c>
      <c r="M153" s="21">
        <f>AGD!M153</f>
        <v>50525</v>
      </c>
      <c r="N153" s="21">
        <f>AGD!N153</f>
        <v>50525</v>
      </c>
      <c r="O153" s="21">
        <f>AGD!O153</f>
        <v>50525</v>
      </c>
      <c r="P153" s="95">
        <v>0</v>
      </c>
      <c r="V153">
        <v>1</v>
      </c>
      <c r="W153" t="s">
        <v>33</v>
      </c>
      <c r="Y153" t="s">
        <v>33</v>
      </c>
      <c r="Z153" t="s">
        <v>34</v>
      </c>
      <c r="AA153">
        <v>1</v>
      </c>
    </row>
    <row r="154" spans="1:27" x14ac:dyDescent="0.35">
      <c r="A154" s="13">
        <f t="shared" si="2"/>
        <v>45930</v>
      </c>
      <c r="B154">
        <v>1</v>
      </c>
      <c r="D154" s="14" t="s">
        <v>31</v>
      </c>
      <c r="E154" s="15" t="s">
        <v>32</v>
      </c>
      <c r="F154" s="16" t="s">
        <v>32</v>
      </c>
      <c r="G154" s="17"/>
      <c r="H154" s="33" t="s">
        <v>63</v>
      </c>
      <c r="I154" s="33" t="s">
        <v>63</v>
      </c>
      <c r="K154" s="20">
        <f>AGD!K154</f>
        <v>152</v>
      </c>
      <c r="L154" s="20">
        <f>AGD!L154</f>
        <v>0</v>
      </c>
      <c r="M154" s="21">
        <f>AGD!M154</f>
        <v>50556</v>
      </c>
      <c r="N154" s="21">
        <f>AGD!N154</f>
        <v>50556</v>
      </c>
      <c r="O154" s="21">
        <f>AGD!O154</f>
        <v>50556</v>
      </c>
      <c r="P154" s="95">
        <v>0</v>
      </c>
      <c r="V154">
        <v>1</v>
      </c>
      <c r="W154" t="s">
        <v>33</v>
      </c>
      <c r="Y154" t="s">
        <v>33</v>
      </c>
      <c r="Z154" t="s">
        <v>34</v>
      </c>
      <c r="AA154">
        <v>1</v>
      </c>
    </row>
    <row r="155" spans="1:27" x14ac:dyDescent="0.35">
      <c r="A155" s="13">
        <f t="shared" si="2"/>
        <v>45930</v>
      </c>
      <c r="B155">
        <v>1</v>
      </c>
      <c r="D155" s="14" t="s">
        <v>31</v>
      </c>
      <c r="E155" s="15" t="s">
        <v>32</v>
      </c>
      <c r="F155" s="16" t="s">
        <v>32</v>
      </c>
      <c r="G155" s="17"/>
      <c r="H155" s="33" t="s">
        <v>63</v>
      </c>
      <c r="I155" s="33" t="s">
        <v>63</v>
      </c>
      <c r="K155" s="20">
        <f>AGD!K155</f>
        <v>153</v>
      </c>
      <c r="L155" s="20">
        <f>AGD!L155</f>
        <v>0</v>
      </c>
      <c r="M155" s="21">
        <f>AGD!M155</f>
        <v>50586</v>
      </c>
      <c r="N155" s="21">
        <f>AGD!N155</f>
        <v>50586</v>
      </c>
      <c r="O155" s="21">
        <f>AGD!O155</f>
        <v>50586</v>
      </c>
      <c r="P155" s="95">
        <v>0</v>
      </c>
      <c r="V155">
        <v>1</v>
      </c>
      <c r="W155" t="s">
        <v>33</v>
      </c>
      <c r="Y155" t="s">
        <v>33</v>
      </c>
      <c r="Z155" t="s">
        <v>34</v>
      </c>
      <c r="AA155">
        <v>1</v>
      </c>
    </row>
    <row r="156" spans="1:27" x14ac:dyDescent="0.35">
      <c r="A156" s="13">
        <f t="shared" si="2"/>
        <v>45930</v>
      </c>
      <c r="B156">
        <v>1</v>
      </c>
      <c r="D156" s="14" t="s">
        <v>31</v>
      </c>
      <c r="E156" s="15" t="s">
        <v>32</v>
      </c>
      <c r="F156" s="16" t="s">
        <v>32</v>
      </c>
      <c r="G156" s="17"/>
      <c r="H156" s="33" t="s">
        <v>63</v>
      </c>
      <c r="I156" s="33" t="s">
        <v>63</v>
      </c>
      <c r="K156" s="20">
        <f>AGD!K156</f>
        <v>154</v>
      </c>
      <c r="L156" s="20">
        <f>AGD!L156</f>
        <v>0</v>
      </c>
      <c r="M156" s="21">
        <f>AGD!M156</f>
        <v>50617</v>
      </c>
      <c r="N156" s="21">
        <f>AGD!N156</f>
        <v>50617</v>
      </c>
      <c r="O156" s="21">
        <f>AGD!O156</f>
        <v>50617</v>
      </c>
      <c r="P156" s="95">
        <v>0</v>
      </c>
      <c r="V156">
        <v>1</v>
      </c>
      <c r="W156" t="s">
        <v>33</v>
      </c>
      <c r="Y156" t="s">
        <v>33</v>
      </c>
      <c r="Z156" t="s">
        <v>34</v>
      </c>
      <c r="AA156">
        <v>1</v>
      </c>
    </row>
    <row r="157" spans="1:27" x14ac:dyDescent="0.35">
      <c r="A157" s="13">
        <f t="shared" si="2"/>
        <v>45930</v>
      </c>
      <c r="B157">
        <v>1</v>
      </c>
      <c r="D157" s="14" t="s">
        <v>31</v>
      </c>
      <c r="E157" s="15" t="s">
        <v>32</v>
      </c>
      <c r="F157" s="16" t="s">
        <v>32</v>
      </c>
      <c r="G157" s="17"/>
      <c r="H157" s="33" t="s">
        <v>63</v>
      </c>
      <c r="I157" s="33" t="s">
        <v>63</v>
      </c>
      <c r="K157" s="20">
        <f>AGD!K157</f>
        <v>155</v>
      </c>
      <c r="L157" s="20">
        <f>AGD!L157</f>
        <v>0</v>
      </c>
      <c r="M157" s="21">
        <f>AGD!M157</f>
        <v>50648</v>
      </c>
      <c r="N157" s="21">
        <f>AGD!N157</f>
        <v>50648</v>
      </c>
      <c r="O157" s="21">
        <f>AGD!O157</f>
        <v>50648</v>
      </c>
      <c r="P157" s="95">
        <v>0</v>
      </c>
      <c r="V157">
        <v>1</v>
      </c>
      <c r="W157" t="s">
        <v>33</v>
      </c>
      <c r="Y157" t="s">
        <v>33</v>
      </c>
      <c r="Z157" t="s">
        <v>34</v>
      </c>
      <c r="AA157">
        <v>1</v>
      </c>
    </row>
    <row r="158" spans="1:27" x14ac:dyDescent="0.35">
      <c r="A158" s="13">
        <f t="shared" si="2"/>
        <v>45930</v>
      </c>
      <c r="B158">
        <v>1</v>
      </c>
      <c r="D158" s="14" t="s">
        <v>31</v>
      </c>
      <c r="E158" s="15" t="s">
        <v>32</v>
      </c>
      <c r="F158" s="16" t="s">
        <v>32</v>
      </c>
      <c r="G158" s="17"/>
      <c r="H158" s="33" t="s">
        <v>63</v>
      </c>
      <c r="I158" s="33" t="s">
        <v>63</v>
      </c>
      <c r="K158" s="20">
        <f>AGD!K158</f>
        <v>156</v>
      </c>
      <c r="L158" s="20">
        <f>AGD!L158</f>
        <v>0</v>
      </c>
      <c r="M158" s="21">
        <f>AGD!M158</f>
        <v>50678</v>
      </c>
      <c r="N158" s="21">
        <f>AGD!N158</f>
        <v>50678</v>
      </c>
      <c r="O158" s="21">
        <f>AGD!O158</f>
        <v>50678</v>
      </c>
      <c r="P158" s="95">
        <v>0</v>
      </c>
      <c r="V158">
        <v>1</v>
      </c>
      <c r="W158" t="s">
        <v>33</v>
      </c>
      <c r="Y158" t="s">
        <v>33</v>
      </c>
      <c r="Z158" t="s">
        <v>34</v>
      </c>
      <c r="AA158">
        <v>1</v>
      </c>
    </row>
    <row r="159" spans="1:27" x14ac:dyDescent="0.35">
      <c r="A159" s="13">
        <f t="shared" si="2"/>
        <v>45930</v>
      </c>
      <c r="B159">
        <v>1</v>
      </c>
      <c r="D159" s="14" t="s">
        <v>31</v>
      </c>
      <c r="E159" s="15" t="s">
        <v>32</v>
      </c>
      <c r="F159" s="16" t="s">
        <v>32</v>
      </c>
      <c r="G159" s="17"/>
      <c r="H159" s="33" t="s">
        <v>63</v>
      </c>
      <c r="I159" s="33" t="s">
        <v>63</v>
      </c>
      <c r="K159" s="20">
        <f>AGD!K159</f>
        <v>157</v>
      </c>
      <c r="L159" s="20">
        <f>AGD!L159</f>
        <v>0</v>
      </c>
      <c r="M159" s="21">
        <f>AGD!M159</f>
        <v>50709</v>
      </c>
      <c r="N159" s="21">
        <f>AGD!N159</f>
        <v>50709</v>
      </c>
      <c r="O159" s="21">
        <f>AGD!O159</f>
        <v>50709</v>
      </c>
      <c r="P159" s="95">
        <v>0</v>
      </c>
      <c r="V159">
        <v>1</v>
      </c>
      <c r="W159" t="s">
        <v>33</v>
      </c>
      <c r="Y159" t="s">
        <v>33</v>
      </c>
      <c r="Z159" t="s">
        <v>34</v>
      </c>
      <c r="AA159">
        <v>1</v>
      </c>
    </row>
    <row r="160" spans="1:27" x14ac:dyDescent="0.35">
      <c r="A160" s="13">
        <f t="shared" si="2"/>
        <v>45930</v>
      </c>
      <c r="B160">
        <v>1</v>
      </c>
      <c r="D160" s="14" t="s">
        <v>31</v>
      </c>
      <c r="E160" s="15" t="s">
        <v>32</v>
      </c>
      <c r="F160" s="16" t="s">
        <v>32</v>
      </c>
      <c r="G160" s="17"/>
      <c r="H160" s="33" t="s">
        <v>63</v>
      </c>
      <c r="I160" s="33" t="s">
        <v>63</v>
      </c>
      <c r="K160" s="20">
        <f>AGD!K160</f>
        <v>158</v>
      </c>
      <c r="L160" s="20">
        <f>AGD!L160</f>
        <v>0</v>
      </c>
      <c r="M160" s="21">
        <f>AGD!M160</f>
        <v>50739</v>
      </c>
      <c r="N160" s="21">
        <f>AGD!N160</f>
        <v>50739</v>
      </c>
      <c r="O160" s="21">
        <f>AGD!O160</f>
        <v>50739</v>
      </c>
      <c r="P160" s="95">
        <v>0</v>
      </c>
      <c r="V160">
        <v>1</v>
      </c>
      <c r="W160" t="s">
        <v>33</v>
      </c>
      <c r="Y160" t="s">
        <v>33</v>
      </c>
      <c r="Z160" t="s">
        <v>34</v>
      </c>
      <c r="AA160">
        <v>1</v>
      </c>
    </row>
    <row r="161" spans="1:27" x14ac:dyDescent="0.35">
      <c r="A161" s="13">
        <f t="shared" si="2"/>
        <v>45930</v>
      </c>
      <c r="B161">
        <v>1</v>
      </c>
      <c r="D161" s="14" t="s">
        <v>31</v>
      </c>
      <c r="E161" s="15" t="s">
        <v>32</v>
      </c>
      <c r="F161" s="16" t="s">
        <v>32</v>
      </c>
      <c r="G161" s="17"/>
      <c r="H161" s="33" t="s">
        <v>63</v>
      </c>
      <c r="I161" s="33" t="s">
        <v>63</v>
      </c>
      <c r="K161" s="20">
        <f>AGD!K161</f>
        <v>159</v>
      </c>
      <c r="L161" s="20">
        <f>AGD!L161</f>
        <v>0</v>
      </c>
      <c r="M161" s="21">
        <f>AGD!M161</f>
        <v>50770</v>
      </c>
      <c r="N161" s="21">
        <f>AGD!N161</f>
        <v>50770</v>
      </c>
      <c r="O161" s="21">
        <f>AGD!O161</f>
        <v>50770</v>
      </c>
      <c r="P161" s="95">
        <v>0</v>
      </c>
      <c r="V161">
        <v>1</v>
      </c>
      <c r="W161" t="s">
        <v>33</v>
      </c>
      <c r="Y161" t="s">
        <v>33</v>
      </c>
      <c r="Z161" t="s">
        <v>34</v>
      </c>
      <c r="AA161">
        <v>1</v>
      </c>
    </row>
    <row r="162" spans="1:27" x14ac:dyDescent="0.35">
      <c r="A162" s="13">
        <f t="shared" si="2"/>
        <v>45930</v>
      </c>
      <c r="B162">
        <v>1</v>
      </c>
      <c r="D162" s="14" t="s">
        <v>31</v>
      </c>
      <c r="E162" s="15" t="s">
        <v>32</v>
      </c>
      <c r="F162" s="16" t="s">
        <v>32</v>
      </c>
      <c r="G162" s="17"/>
      <c r="H162" s="33" t="s">
        <v>63</v>
      </c>
      <c r="I162" s="33" t="s">
        <v>63</v>
      </c>
      <c r="K162" s="20">
        <f>AGD!K162</f>
        <v>160</v>
      </c>
      <c r="L162" s="20">
        <f>AGD!L162</f>
        <v>0</v>
      </c>
      <c r="M162" s="21">
        <f>AGD!M162</f>
        <v>50801</v>
      </c>
      <c r="N162" s="21">
        <f>AGD!N162</f>
        <v>50801</v>
      </c>
      <c r="O162" s="21">
        <f>AGD!O162</f>
        <v>50801</v>
      </c>
      <c r="P162" s="95">
        <v>0</v>
      </c>
      <c r="V162">
        <v>1</v>
      </c>
      <c r="W162" t="s">
        <v>33</v>
      </c>
      <c r="Y162" t="s">
        <v>33</v>
      </c>
      <c r="Z162" t="s">
        <v>34</v>
      </c>
      <c r="AA162">
        <v>1</v>
      </c>
    </row>
    <row r="163" spans="1:27" x14ac:dyDescent="0.35">
      <c r="A163" s="13">
        <f t="shared" si="2"/>
        <v>45930</v>
      </c>
      <c r="B163">
        <v>1</v>
      </c>
      <c r="D163" s="14" t="s">
        <v>31</v>
      </c>
      <c r="E163" s="15" t="s">
        <v>32</v>
      </c>
      <c r="F163" s="16" t="s">
        <v>32</v>
      </c>
      <c r="G163" s="17"/>
      <c r="H163" s="33" t="s">
        <v>63</v>
      </c>
      <c r="I163" s="33" t="s">
        <v>63</v>
      </c>
      <c r="K163" s="20">
        <f>AGD!K163</f>
        <v>161</v>
      </c>
      <c r="L163" s="20">
        <f>AGD!L163</f>
        <v>0</v>
      </c>
      <c r="M163" s="21">
        <f>AGD!M163</f>
        <v>50829</v>
      </c>
      <c r="N163" s="21">
        <f>AGD!N163</f>
        <v>50829</v>
      </c>
      <c r="O163" s="21">
        <f>AGD!O163</f>
        <v>50829</v>
      </c>
      <c r="P163" s="95">
        <v>0</v>
      </c>
      <c r="V163">
        <v>1</v>
      </c>
      <c r="W163" t="s">
        <v>33</v>
      </c>
      <c r="Y163" t="s">
        <v>33</v>
      </c>
      <c r="Z163" t="s">
        <v>34</v>
      </c>
      <c r="AA163">
        <v>1</v>
      </c>
    </row>
    <row r="164" spans="1:27" x14ac:dyDescent="0.35">
      <c r="A164" s="13">
        <f t="shared" si="2"/>
        <v>45930</v>
      </c>
      <c r="B164">
        <v>1</v>
      </c>
      <c r="D164" s="14" t="s">
        <v>31</v>
      </c>
      <c r="E164" s="15" t="s">
        <v>32</v>
      </c>
      <c r="F164" s="16" t="s">
        <v>32</v>
      </c>
      <c r="G164" s="17"/>
      <c r="H164" s="33" t="s">
        <v>63</v>
      </c>
      <c r="I164" s="33" t="s">
        <v>63</v>
      </c>
      <c r="K164" s="20">
        <f>AGD!K164</f>
        <v>162</v>
      </c>
      <c r="L164" s="20">
        <f>AGD!L164</f>
        <v>0</v>
      </c>
      <c r="M164" s="21">
        <f>AGD!M164</f>
        <v>50860</v>
      </c>
      <c r="N164" s="21">
        <f>AGD!N164</f>
        <v>50860</v>
      </c>
      <c r="O164" s="21">
        <f>AGD!O164</f>
        <v>50860</v>
      </c>
      <c r="P164" s="95">
        <v>0</v>
      </c>
      <c r="V164">
        <v>1</v>
      </c>
      <c r="W164" t="s">
        <v>33</v>
      </c>
      <c r="Y164" t="s">
        <v>33</v>
      </c>
      <c r="Z164" t="s">
        <v>34</v>
      </c>
      <c r="AA164">
        <v>1</v>
      </c>
    </row>
    <row r="165" spans="1:27" x14ac:dyDescent="0.35">
      <c r="A165" s="13">
        <f t="shared" si="2"/>
        <v>45930</v>
      </c>
      <c r="B165">
        <v>1</v>
      </c>
      <c r="D165" s="14" t="s">
        <v>31</v>
      </c>
      <c r="E165" s="15" t="s">
        <v>32</v>
      </c>
      <c r="F165" s="16" t="s">
        <v>32</v>
      </c>
      <c r="G165" s="17"/>
      <c r="H165" s="33" t="s">
        <v>63</v>
      </c>
      <c r="I165" s="33" t="s">
        <v>63</v>
      </c>
      <c r="K165" s="20">
        <f>AGD!K165</f>
        <v>163</v>
      </c>
      <c r="L165" s="20">
        <f>AGD!L165</f>
        <v>0</v>
      </c>
      <c r="M165" s="21">
        <f>AGD!M165</f>
        <v>50890</v>
      </c>
      <c r="N165" s="21">
        <f>AGD!N165</f>
        <v>50890</v>
      </c>
      <c r="O165" s="21">
        <f>AGD!O165</f>
        <v>50890</v>
      </c>
      <c r="P165" s="95">
        <v>0</v>
      </c>
      <c r="V165">
        <v>1</v>
      </c>
      <c r="W165" t="s">
        <v>33</v>
      </c>
      <c r="Y165" t="s">
        <v>33</v>
      </c>
      <c r="Z165" t="s">
        <v>34</v>
      </c>
      <c r="AA165">
        <v>1</v>
      </c>
    </row>
    <row r="166" spans="1:27" x14ac:dyDescent="0.35">
      <c r="A166" s="13">
        <f t="shared" si="2"/>
        <v>45930</v>
      </c>
      <c r="B166">
        <v>1</v>
      </c>
      <c r="D166" s="14" t="s">
        <v>31</v>
      </c>
      <c r="E166" s="15" t="s">
        <v>32</v>
      </c>
      <c r="F166" s="16" t="s">
        <v>32</v>
      </c>
      <c r="G166" s="17"/>
      <c r="H166" s="33" t="s">
        <v>63</v>
      </c>
      <c r="I166" s="33" t="s">
        <v>63</v>
      </c>
      <c r="K166" s="20">
        <f>AGD!K166</f>
        <v>164</v>
      </c>
      <c r="L166" s="20">
        <f>AGD!L166</f>
        <v>0</v>
      </c>
      <c r="M166" s="21">
        <f>AGD!M166</f>
        <v>50921</v>
      </c>
      <c r="N166" s="21">
        <f>AGD!N166</f>
        <v>50921</v>
      </c>
      <c r="O166" s="21">
        <f>AGD!O166</f>
        <v>50921</v>
      </c>
      <c r="P166" s="95">
        <v>0</v>
      </c>
      <c r="V166">
        <v>1</v>
      </c>
      <c r="W166" t="s">
        <v>33</v>
      </c>
      <c r="Y166" t="s">
        <v>33</v>
      </c>
      <c r="Z166" t="s">
        <v>34</v>
      </c>
      <c r="AA166">
        <v>1</v>
      </c>
    </row>
    <row r="167" spans="1:27" x14ac:dyDescent="0.35">
      <c r="A167" s="13">
        <f t="shared" si="2"/>
        <v>45930</v>
      </c>
      <c r="B167">
        <v>1</v>
      </c>
      <c r="D167" s="14" t="s">
        <v>31</v>
      </c>
      <c r="E167" s="15" t="s">
        <v>32</v>
      </c>
      <c r="F167" s="16" t="s">
        <v>32</v>
      </c>
      <c r="G167" s="17"/>
      <c r="H167" s="33" t="s">
        <v>63</v>
      </c>
      <c r="I167" s="33" t="s">
        <v>63</v>
      </c>
      <c r="K167" s="20">
        <f>AGD!K167</f>
        <v>165</v>
      </c>
      <c r="L167" s="20">
        <f>AGD!L167</f>
        <v>0</v>
      </c>
      <c r="M167" s="21">
        <f>AGD!M167</f>
        <v>50951</v>
      </c>
      <c r="N167" s="21">
        <f>AGD!N167</f>
        <v>50951</v>
      </c>
      <c r="O167" s="21">
        <f>AGD!O167</f>
        <v>50951</v>
      </c>
      <c r="P167" s="95">
        <v>0</v>
      </c>
      <c r="V167">
        <v>1</v>
      </c>
      <c r="W167" t="s">
        <v>33</v>
      </c>
      <c r="Y167" t="s">
        <v>33</v>
      </c>
      <c r="Z167" t="s">
        <v>34</v>
      </c>
      <c r="AA167">
        <v>1</v>
      </c>
    </row>
    <row r="168" spans="1:27" x14ac:dyDescent="0.35">
      <c r="A168" s="13">
        <f t="shared" si="2"/>
        <v>45930</v>
      </c>
      <c r="B168">
        <v>1</v>
      </c>
      <c r="D168" s="14" t="s">
        <v>31</v>
      </c>
      <c r="E168" s="15" t="s">
        <v>32</v>
      </c>
      <c r="F168" s="16" t="s">
        <v>32</v>
      </c>
      <c r="G168" s="17"/>
      <c r="H168" s="33" t="s">
        <v>63</v>
      </c>
      <c r="I168" s="33" t="s">
        <v>63</v>
      </c>
      <c r="K168" s="20">
        <f>AGD!K168</f>
        <v>166</v>
      </c>
      <c r="L168" s="20">
        <f>AGD!L168</f>
        <v>0</v>
      </c>
      <c r="M168" s="21">
        <f>AGD!M168</f>
        <v>50982</v>
      </c>
      <c r="N168" s="21">
        <f>AGD!N168</f>
        <v>50982</v>
      </c>
      <c r="O168" s="21">
        <f>AGD!O168</f>
        <v>50982</v>
      </c>
      <c r="P168" s="95">
        <v>0</v>
      </c>
      <c r="V168">
        <v>1</v>
      </c>
      <c r="W168" t="s">
        <v>33</v>
      </c>
      <c r="Y168" t="s">
        <v>33</v>
      </c>
      <c r="Z168" t="s">
        <v>34</v>
      </c>
      <c r="AA168">
        <v>1</v>
      </c>
    </row>
    <row r="169" spans="1:27" x14ac:dyDescent="0.35">
      <c r="A169" s="13">
        <f t="shared" si="2"/>
        <v>45930</v>
      </c>
      <c r="B169">
        <v>1</v>
      </c>
      <c r="D169" s="14" t="s">
        <v>31</v>
      </c>
      <c r="E169" s="15" t="s">
        <v>32</v>
      </c>
      <c r="F169" s="16" t="s">
        <v>32</v>
      </c>
      <c r="G169" s="17"/>
      <c r="H169" s="33" t="s">
        <v>63</v>
      </c>
      <c r="I169" s="33" t="s">
        <v>63</v>
      </c>
      <c r="K169" s="20">
        <f>AGD!K169</f>
        <v>167</v>
      </c>
      <c r="L169" s="20">
        <f>AGD!L169</f>
        <v>0</v>
      </c>
      <c r="M169" s="21">
        <f>AGD!M169</f>
        <v>51013</v>
      </c>
      <c r="N169" s="21">
        <f>AGD!N169</f>
        <v>51013</v>
      </c>
      <c r="O169" s="21">
        <f>AGD!O169</f>
        <v>51013</v>
      </c>
      <c r="P169" s="95">
        <v>0</v>
      </c>
      <c r="V169">
        <v>1</v>
      </c>
      <c r="W169" t="s">
        <v>33</v>
      </c>
      <c r="Y169" t="s">
        <v>33</v>
      </c>
      <c r="Z169" t="s">
        <v>34</v>
      </c>
      <c r="AA169">
        <v>1</v>
      </c>
    </row>
    <row r="170" spans="1:27" x14ac:dyDescent="0.35">
      <c r="A170" s="13">
        <f t="shared" si="2"/>
        <v>45930</v>
      </c>
      <c r="B170">
        <v>1</v>
      </c>
      <c r="D170" s="14" t="s">
        <v>31</v>
      </c>
      <c r="E170" s="15" t="s">
        <v>32</v>
      </c>
      <c r="F170" s="16" t="s">
        <v>32</v>
      </c>
      <c r="G170" s="17"/>
      <c r="H170" s="33" t="s">
        <v>63</v>
      </c>
      <c r="I170" s="33" t="s">
        <v>63</v>
      </c>
      <c r="K170" s="20">
        <f>AGD!K170</f>
        <v>168</v>
      </c>
      <c r="L170" s="20">
        <f>AGD!L170</f>
        <v>0</v>
      </c>
      <c r="M170" s="21">
        <f>AGD!M170</f>
        <v>51043</v>
      </c>
      <c r="N170" s="21">
        <f>AGD!N170</f>
        <v>51043</v>
      </c>
      <c r="O170" s="21">
        <f>AGD!O170</f>
        <v>51043</v>
      </c>
      <c r="P170" s="95">
        <v>0</v>
      </c>
      <c r="V170">
        <v>1</v>
      </c>
      <c r="W170" t="s">
        <v>33</v>
      </c>
      <c r="Y170" t="s">
        <v>33</v>
      </c>
      <c r="Z170" t="s">
        <v>34</v>
      </c>
      <c r="AA170">
        <v>1</v>
      </c>
    </row>
    <row r="171" spans="1:27" x14ac:dyDescent="0.35">
      <c r="A171" s="13">
        <f t="shared" si="2"/>
        <v>45930</v>
      </c>
      <c r="B171">
        <v>1</v>
      </c>
      <c r="D171" s="14" t="s">
        <v>31</v>
      </c>
      <c r="E171" s="15" t="s">
        <v>32</v>
      </c>
      <c r="F171" s="16" t="s">
        <v>32</v>
      </c>
      <c r="G171" s="17"/>
      <c r="H171" s="33" t="s">
        <v>63</v>
      </c>
      <c r="I171" s="33" t="s">
        <v>63</v>
      </c>
      <c r="K171" s="20">
        <f>AGD!K171</f>
        <v>169</v>
      </c>
      <c r="L171" s="20">
        <f>AGD!L171</f>
        <v>0</v>
      </c>
      <c r="M171" s="21">
        <f>AGD!M171</f>
        <v>51074</v>
      </c>
      <c r="N171" s="21">
        <f>AGD!N171</f>
        <v>51074</v>
      </c>
      <c r="O171" s="21">
        <f>AGD!O171</f>
        <v>51074</v>
      </c>
      <c r="P171" s="95">
        <v>0</v>
      </c>
      <c r="V171">
        <v>1</v>
      </c>
      <c r="W171" t="s">
        <v>33</v>
      </c>
      <c r="Y171" t="s">
        <v>33</v>
      </c>
      <c r="Z171" t="s">
        <v>34</v>
      </c>
      <c r="AA171">
        <v>1</v>
      </c>
    </row>
    <row r="172" spans="1:27" x14ac:dyDescent="0.35">
      <c r="A172" s="13">
        <f t="shared" si="2"/>
        <v>45930</v>
      </c>
      <c r="B172">
        <v>1</v>
      </c>
      <c r="D172" s="14" t="s">
        <v>31</v>
      </c>
      <c r="E172" s="15" t="s">
        <v>32</v>
      </c>
      <c r="F172" s="16" t="s">
        <v>32</v>
      </c>
      <c r="G172" s="17"/>
      <c r="H172" s="33" t="s">
        <v>63</v>
      </c>
      <c r="I172" s="33" t="s">
        <v>63</v>
      </c>
      <c r="K172" s="20">
        <f>AGD!K172</f>
        <v>170</v>
      </c>
      <c r="L172" s="20">
        <f>AGD!L172</f>
        <v>0</v>
      </c>
      <c r="M172" s="21">
        <f>AGD!M172</f>
        <v>51104</v>
      </c>
      <c r="N172" s="21">
        <f>AGD!N172</f>
        <v>51104</v>
      </c>
      <c r="O172" s="21">
        <f>AGD!O172</f>
        <v>51104</v>
      </c>
      <c r="P172" s="95">
        <v>0</v>
      </c>
      <c r="V172">
        <v>1</v>
      </c>
      <c r="W172" t="s">
        <v>33</v>
      </c>
      <c r="Y172" t="s">
        <v>33</v>
      </c>
      <c r="Z172" t="s">
        <v>34</v>
      </c>
      <c r="AA172">
        <v>1</v>
      </c>
    </row>
    <row r="173" spans="1:27" x14ac:dyDescent="0.35">
      <c r="A173" s="13">
        <f t="shared" si="2"/>
        <v>45930</v>
      </c>
      <c r="B173">
        <v>1</v>
      </c>
      <c r="D173" s="14" t="s">
        <v>31</v>
      </c>
      <c r="E173" s="15" t="s">
        <v>32</v>
      </c>
      <c r="F173" s="16" t="s">
        <v>32</v>
      </c>
      <c r="G173" s="17"/>
      <c r="H173" s="33" t="s">
        <v>63</v>
      </c>
      <c r="I173" s="33" t="s">
        <v>63</v>
      </c>
      <c r="K173" s="20">
        <f>AGD!K173</f>
        <v>171</v>
      </c>
      <c r="L173" s="20">
        <f>AGD!L173</f>
        <v>0</v>
      </c>
      <c r="M173" s="21">
        <f>AGD!M173</f>
        <v>51135</v>
      </c>
      <c r="N173" s="21">
        <f>AGD!N173</f>
        <v>51135</v>
      </c>
      <c r="O173" s="21">
        <f>AGD!O173</f>
        <v>51135</v>
      </c>
      <c r="P173" s="95">
        <v>0</v>
      </c>
      <c r="V173">
        <v>1</v>
      </c>
      <c r="W173" t="s">
        <v>33</v>
      </c>
      <c r="Y173" t="s">
        <v>33</v>
      </c>
      <c r="Z173" t="s">
        <v>34</v>
      </c>
      <c r="AA173">
        <v>1</v>
      </c>
    </row>
    <row r="174" spans="1:27" x14ac:dyDescent="0.35">
      <c r="A174" s="13">
        <f t="shared" si="2"/>
        <v>45930</v>
      </c>
      <c r="B174">
        <v>1</v>
      </c>
      <c r="D174" s="14" t="s">
        <v>31</v>
      </c>
      <c r="E174" s="15" t="s">
        <v>32</v>
      </c>
      <c r="F174" s="16" t="s">
        <v>32</v>
      </c>
      <c r="G174" s="17"/>
      <c r="H174" s="33" t="s">
        <v>63</v>
      </c>
      <c r="I174" s="33" t="s">
        <v>63</v>
      </c>
      <c r="K174" s="20">
        <f>AGD!K174</f>
        <v>172</v>
      </c>
      <c r="L174" s="20">
        <f>AGD!L174</f>
        <v>0</v>
      </c>
      <c r="M174" s="21">
        <f>AGD!M174</f>
        <v>51166</v>
      </c>
      <c r="N174" s="21">
        <f>AGD!N174</f>
        <v>51166</v>
      </c>
      <c r="O174" s="21">
        <f>AGD!O174</f>
        <v>51166</v>
      </c>
      <c r="P174" s="95">
        <v>0</v>
      </c>
      <c r="V174">
        <v>1</v>
      </c>
      <c r="W174" t="s">
        <v>33</v>
      </c>
      <c r="Y174" t="s">
        <v>33</v>
      </c>
      <c r="Z174" t="s">
        <v>34</v>
      </c>
      <c r="AA174">
        <v>1</v>
      </c>
    </row>
    <row r="175" spans="1:27" x14ac:dyDescent="0.35">
      <c r="A175" s="13">
        <f t="shared" si="2"/>
        <v>45930</v>
      </c>
      <c r="B175">
        <v>1</v>
      </c>
      <c r="D175" s="14" t="s">
        <v>31</v>
      </c>
      <c r="E175" s="15" t="s">
        <v>32</v>
      </c>
      <c r="F175" s="16" t="s">
        <v>32</v>
      </c>
      <c r="G175" s="17"/>
      <c r="H175" s="33" t="s">
        <v>63</v>
      </c>
      <c r="I175" s="33" t="s">
        <v>63</v>
      </c>
      <c r="K175" s="20">
        <f>AGD!K175</f>
        <v>173</v>
      </c>
      <c r="L175" s="20">
        <f>AGD!L175</f>
        <v>0</v>
      </c>
      <c r="M175" s="21">
        <f>AGD!M175</f>
        <v>51195</v>
      </c>
      <c r="N175" s="21">
        <f>AGD!N175</f>
        <v>51195</v>
      </c>
      <c r="O175" s="21">
        <f>AGD!O175</f>
        <v>51195</v>
      </c>
      <c r="P175" s="95">
        <v>0</v>
      </c>
      <c r="V175">
        <v>1</v>
      </c>
      <c r="W175" t="s">
        <v>33</v>
      </c>
      <c r="Y175" t="s">
        <v>33</v>
      </c>
      <c r="Z175" t="s">
        <v>34</v>
      </c>
      <c r="AA175">
        <v>1</v>
      </c>
    </row>
    <row r="176" spans="1:27" x14ac:dyDescent="0.35">
      <c r="A176" s="13">
        <f t="shared" si="2"/>
        <v>45930</v>
      </c>
      <c r="B176">
        <v>1</v>
      </c>
      <c r="D176" s="14" t="s">
        <v>31</v>
      </c>
      <c r="E176" s="15" t="s">
        <v>32</v>
      </c>
      <c r="F176" s="16" t="s">
        <v>32</v>
      </c>
      <c r="G176" s="17"/>
      <c r="H176" s="33" t="s">
        <v>63</v>
      </c>
      <c r="I176" s="33" t="s">
        <v>63</v>
      </c>
      <c r="K176" s="20">
        <f>AGD!K176</f>
        <v>174</v>
      </c>
      <c r="L176" s="20">
        <f>AGD!L176</f>
        <v>0</v>
      </c>
      <c r="M176" s="21">
        <f>AGD!M176</f>
        <v>51226</v>
      </c>
      <c r="N176" s="21">
        <f>AGD!N176</f>
        <v>51226</v>
      </c>
      <c r="O176" s="21">
        <f>AGD!O176</f>
        <v>51226</v>
      </c>
      <c r="P176" s="95">
        <v>0</v>
      </c>
      <c r="V176">
        <v>1</v>
      </c>
      <c r="W176" t="s">
        <v>33</v>
      </c>
      <c r="Y176" t="s">
        <v>33</v>
      </c>
      <c r="Z176" t="s">
        <v>34</v>
      </c>
      <c r="AA176">
        <v>1</v>
      </c>
    </row>
    <row r="177" spans="1:27" x14ac:dyDescent="0.35">
      <c r="A177" s="13">
        <f t="shared" si="2"/>
        <v>45930</v>
      </c>
      <c r="B177">
        <v>1</v>
      </c>
      <c r="D177" s="14" t="s">
        <v>31</v>
      </c>
      <c r="E177" s="15" t="s">
        <v>32</v>
      </c>
      <c r="F177" s="16" t="s">
        <v>32</v>
      </c>
      <c r="G177" s="17"/>
      <c r="H177" s="33" t="s">
        <v>63</v>
      </c>
      <c r="I177" s="33" t="s">
        <v>63</v>
      </c>
      <c r="K177" s="20">
        <f>AGD!K177</f>
        <v>175</v>
      </c>
      <c r="L177" s="20">
        <f>AGD!L177</f>
        <v>0</v>
      </c>
      <c r="M177" s="21">
        <f>AGD!M177</f>
        <v>51256</v>
      </c>
      <c r="N177" s="21">
        <f>AGD!N177</f>
        <v>51256</v>
      </c>
      <c r="O177" s="21">
        <f>AGD!O177</f>
        <v>51256</v>
      </c>
      <c r="P177" s="95">
        <v>0</v>
      </c>
      <c r="V177">
        <v>1</v>
      </c>
      <c r="W177" t="s">
        <v>33</v>
      </c>
      <c r="Y177" t="s">
        <v>33</v>
      </c>
      <c r="Z177" t="s">
        <v>34</v>
      </c>
      <c r="AA177">
        <v>1</v>
      </c>
    </row>
    <row r="178" spans="1:27" x14ac:dyDescent="0.35">
      <c r="A178" s="13">
        <f t="shared" si="2"/>
        <v>45930</v>
      </c>
      <c r="B178">
        <v>1</v>
      </c>
      <c r="D178" s="14" t="s">
        <v>31</v>
      </c>
      <c r="E178" s="15" t="s">
        <v>32</v>
      </c>
      <c r="F178" s="16" t="s">
        <v>32</v>
      </c>
      <c r="G178" s="17"/>
      <c r="H178" s="33" t="s">
        <v>63</v>
      </c>
      <c r="I178" s="33" t="s">
        <v>63</v>
      </c>
      <c r="K178" s="20">
        <f>AGD!K178</f>
        <v>176</v>
      </c>
      <c r="L178" s="20">
        <f>AGD!L178</f>
        <v>0</v>
      </c>
      <c r="M178" s="21">
        <f>AGD!M178</f>
        <v>51287</v>
      </c>
      <c r="N178" s="21">
        <f>AGD!N178</f>
        <v>51287</v>
      </c>
      <c r="O178" s="21">
        <f>AGD!O178</f>
        <v>51287</v>
      </c>
      <c r="P178" s="95">
        <v>0</v>
      </c>
      <c r="V178">
        <v>1</v>
      </c>
      <c r="W178" t="s">
        <v>33</v>
      </c>
      <c r="Y178" t="s">
        <v>33</v>
      </c>
      <c r="Z178" t="s">
        <v>34</v>
      </c>
      <c r="AA178">
        <v>1</v>
      </c>
    </row>
    <row r="179" spans="1:27" x14ac:dyDescent="0.35">
      <c r="A179" s="13">
        <f t="shared" si="2"/>
        <v>45930</v>
      </c>
      <c r="B179">
        <v>1</v>
      </c>
      <c r="D179" s="14" t="s">
        <v>31</v>
      </c>
      <c r="E179" s="15" t="s">
        <v>32</v>
      </c>
      <c r="F179" s="16" t="s">
        <v>32</v>
      </c>
      <c r="G179" s="17"/>
      <c r="H179" s="33" t="s">
        <v>63</v>
      </c>
      <c r="I179" s="33" t="s">
        <v>63</v>
      </c>
      <c r="K179" s="20">
        <f>AGD!K179</f>
        <v>177</v>
      </c>
      <c r="L179" s="20">
        <f>AGD!L179</f>
        <v>0</v>
      </c>
      <c r="M179" s="21">
        <f>AGD!M179</f>
        <v>51317</v>
      </c>
      <c r="N179" s="21">
        <f>AGD!N179</f>
        <v>51317</v>
      </c>
      <c r="O179" s="21">
        <f>AGD!O179</f>
        <v>51317</v>
      </c>
      <c r="P179" s="95">
        <v>0</v>
      </c>
      <c r="V179">
        <v>1</v>
      </c>
      <c r="W179" t="s">
        <v>33</v>
      </c>
      <c r="Y179" t="s">
        <v>33</v>
      </c>
      <c r="Z179" t="s">
        <v>34</v>
      </c>
      <c r="AA179">
        <v>1</v>
      </c>
    </row>
    <row r="180" spans="1:27" x14ac:dyDescent="0.35">
      <c r="A180" s="13">
        <f t="shared" si="2"/>
        <v>45930</v>
      </c>
      <c r="B180">
        <v>1</v>
      </c>
      <c r="D180" s="14" t="s">
        <v>31</v>
      </c>
      <c r="E180" s="15" t="s">
        <v>32</v>
      </c>
      <c r="F180" s="16" t="s">
        <v>32</v>
      </c>
      <c r="G180" s="17"/>
      <c r="H180" s="33" t="s">
        <v>63</v>
      </c>
      <c r="I180" s="33" t="s">
        <v>63</v>
      </c>
      <c r="K180" s="20">
        <f>AGD!K180</f>
        <v>178</v>
      </c>
      <c r="L180" s="20">
        <f>AGD!L180</f>
        <v>0</v>
      </c>
      <c r="M180" s="21">
        <f>AGD!M180</f>
        <v>51348</v>
      </c>
      <c r="N180" s="21">
        <f>AGD!N180</f>
        <v>51348</v>
      </c>
      <c r="O180" s="21">
        <f>AGD!O180</f>
        <v>51348</v>
      </c>
      <c r="P180" s="95">
        <v>0</v>
      </c>
      <c r="V180">
        <v>1</v>
      </c>
      <c r="W180" t="s">
        <v>33</v>
      </c>
      <c r="Y180" t="s">
        <v>33</v>
      </c>
      <c r="Z180" t="s">
        <v>34</v>
      </c>
      <c r="AA180">
        <v>1</v>
      </c>
    </row>
    <row r="181" spans="1:27" x14ac:dyDescent="0.35">
      <c r="A181" s="13">
        <f t="shared" si="2"/>
        <v>45930</v>
      </c>
      <c r="B181">
        <v>1</v>
      </c>
      <c r="D181" s="14" t="s">
        <v>31</v>
      </c>
      <c r="E181" s="15" t="s">
        <v>32</v>
      </c>
      <c r="F181" s="16" t="s">
        <v>32</v>
      </c>
      <c r="G181" s="17"/>
      <c r="H181" s="33" t="s">
        <v>63</v>
      </c>
      <c r="I181" s="33" t="s">
        <v>63</v>
      </c>
      <c r="K181" s="20">
        <f>AGD!K181</f>
        <v>179</v>
      </c>
      <c r="L181" s="20">
        <f>AGD!L181</f>
        <v>0</v>
      </c>
      <c r="M181" s="21">
        <f>AGD!M181</f>
        <v>51379</v>
      </c>
      <c r="N181" s="21">
        <f>AGD!N181</f>
        <v>51379</v>
      </c>
      <c r="O181" s="21">
        <f>AGD!O181</f>
        <v>51379</v>
      </c>
      <c r="P181" s="95">
        <v>0</v>
      </c>
      <c r="V181">
        <v>1</v>
      </c>
      <c r="W181" t="s">
        <v>33</v>
      </c>
      <c r="Y181" t="s">
        <v>33</v>
      </c>
      <c r="Z181" t="s">
        <v>34</v>
      </c>
      <c r="AA181">
        <v>1</v>
      </c>
    </row>
    <row r="182" spans="1:27" x14ac:dyDescent="0.35">
      <c r="A182" s="13">
        <f t="shared" si="2"/>
        <v>45930</v>
      </c>
      <c r="B182">
        <v>1</v>
      </c>
      <c r="D182" s="14" t="s">
        <v>31</v>
      </c>
      <c r="E182" s="15" t="s">
        <v>32</v>
      </c>
      <c r="F182" s="16" t="s">
        <v>32</v>
      </c>
      <c r="G182" s="17"/>
      <c r="H182" s="33" t="s">
        <v>63</v>
      </c>
      <c r="I182" s="33" t="s">
        <v>63</v>
      </c>
      <c r="K182" s="20">
        <f>AGD!K182</f>
        <v>180</v>
      </c>
      <c r="L182" s="20">
        <f>AGD!L182</f>
        <v>0</v>
      </c>
      <c r="M182" s="21">
        <f>AGD!M182</f>
        <v>51409</v>
      </c>
      <c r="N182" s="21">
        <f>AGD!N182</f>
        <v>51409</v>
      </c>
      <c r="O182" s="21">
        <f>AGD!O182</f>
        <v>51409</v>
      </c>
      <c r="P182" s="95">
        <v>0</v>
      </c>
      <c r="V182">
        <v>1</v>
      </c>
      <c r="W182" t="s">
        <v>33</v>
      </c>
      <c r="Y182" t="s">
        <v>33</v>
      </c>
      <c r="Z182" t="s">
        <v>34</v>
      </c>
      <c r="AA182">
        <v>1</v>
      </c>
    </row>
    <row r="183" spans="1:27" x14ac:dyDescent="0.35">
      <c r="A183" s="13">
        <f t="shared" si="2"/>
        <v>45930</v>
      </c>
      <c r="B183">
        <v>1</v>
      </c>
      <c r="D183" s="14" t="s">
        <v>31</v>
      </c>
      <c r="E183" s="15" t="s">
        <v>32</v>
      </c>
      <c r="F183" s="16" t="s">
        <v>32</v>
      </c>
      <c r="G183" s="17"/>
      <c r="H183" s="33" t="s">
        <v>63</v>
      </c>
      <c r="I183" s="33" t="s">
        <v>63</v>
      </c>
      <c r="K183" s="20">
        <f>AGD!K183</f>
        <v>181</v>
      </c>
      <c r="L183" s="20">
        <f>AGD!L183</f>
        <v>0</v>
      </c>
      <c r="M183" s="21">
        <f>AGD!M183</f>
        <v>51440</v>
      </c>
      <c r="N183" s="21">
        <f>AGD!N183</f>
        <v>51440</v>
      </c>
      <c r="O183" s="21">
        <f>AGD!O183</f>
        <v>51440</v>
      </c>
      <c r="P183" s="95">
        <v>0</v>
      </c>
      <c r="V183">
        <v>1</v>
      </c>
      <c r="W183" t="s">
        <v>33</v>
      </c>
      <c r="Y183" t="s">
        <v>33</v>
      </c>
      <c r="Z183" t="s">
        <v>34</v>
      </c>
      <c r="AA183">
        <v>1</v>
      </c>
    </row>
    <row r="184" spans="1:27" x14ac:dyDescent="0.35">
      <c r="A184" s="13">
        <f t="shared" si="2"/>
        <v>45930</v>
      </c>
      <c r="B184">
        <v>1</v>
      </c>
      <c r="D184" s="14" t="s">
        <v>31</v>
      </c>
      <c r="E184" s="15" t="s">
        <v>32</v>
      </c>
      <c r="F184" s="16" t="s">
        <v>32</v>
      </c>
      <c r="G184" s="17"/>
      <c r="H184" s="33" t="s">
        <v>63</v>
      </c>
      <c r="I184" s="33" t="s">
        <v>63</v>
      </c>
      <c r="K184" s="20">
        <f>AGD!K184</f>
        <v>182</v>
      </c>
      <c r="L184" s="20">
        <f>AGD!L184</f>
        <v>0</v>
      </c>
      <c r="M184" s="21">
        <f>AGD!M184</f>
        <v>51470</v>
      </c>
      <c r="N184" s="21">
        <f>AGD!N184</f>
        <v>51470</v>
      </c>
      <c r="O184" s="21">
        <f>AGD!O184</f>
        <v>51470</v>
      </c>
      <c r="P184" s="95">
        <v>0</v>
      </c>
      <c r="V184">
        <v>1</v>
      </c>
      <c r="W184" t="s">
        <v>33</v>
      </c>
      <c r="Y184" t="s">
        <v>33</v>
      </c>
      <c r="Z184" t="s">
        <v>34</v>
      </c>
      <c r="AA184">
        <v>1</v>
      </c>
    </row>
    <row r="185" spans="1:27" x14ac:dyDescent="0.35">
      <c r="A185" s="13">
        <f t="shared" si="2"/>
        <v>45930</v>
      </c>
      <c r="B185">
        <v>1</v>
      </c>
      <c r="D185" s="14" t="s">
        <v>31</v>
      </c>
      <c r="E185" s="15" t="s">
        <v>32</v>
      </c>
      <c r="F185" s="16" t="s">
        <v>32</v>
      </c>
      <c r="G185" s="17"/>
      <c r="H185" s="33" t="s">
        <v>63</v>
      </c>
      <c r="I185" s="33" t="s">
        <v>63</v>
      </c>
      <c r="K185" s="20">
        <f>AGD!K185</f>
        <v>183</v>
      </c>
      <c r="L185" s="20">
        <f>AGD!L185</f>
        <v>0</v>
      </c>
      <c r="M185" s="21">
        <f>AGD!M185</f>
        <v>51501</v>
      </c>
      <c r="N185" s="21">
        <f>AGD!N185</f>
        <v>51501</v>
      </c>
      <c r="O185" s="21">
        <f>AGD!O185</f>
        <v>51501</v>
      </c>
      <c r="P185" s="95">
        <f>AGD!P185</f>
        <v>2193.1339020672222</v>
      </c>
      <c r="V185">
        <v>1</v>
      </c>
      <c r="W185" t="s">
        <v>33</v>
      </c>
      <c r="Y185" t="s">
        <v>33</v>
      </c>
      <c r="Z185" t="s">
        <v>34</v>
      </c>
      <c r="AA185">
        <v>1</v>
      </c>
    </row>
    <row r="186" spans="1:27" x14ac:dyDescent="0.35">
      <c r="A186" s="13">
        <f t="shared" si="2"/>
        <v>45930</v>
      </c>
      <c r="B186">
        <v>1</v>
      </c>
      <c r="D186" s="14" t="s">
        <v>31</v>
      </c>
      <c r="E186" s="15" t="s">
        <v>32</v>
      </c>
      <c r="F186" s="16" t="s">
        <v>32</v>
      </c>
      <c r="G186" s="17"/>
      <c r="H186" s="33" t="s">
        <v>63</v>
      </c>
      <c r="I186" s="33" t="s">
        <v>63</v>
      </c>
      <c r="K186" s="20">
        <f>AGD!K186</f>
        <v>184</v>
      </c>
      <c r="L186" s="20">
        <f>AGD!L186</f>
        <v>0</v>
      </c>
      <c r="M186" s="21">
        <f>AGD!M186</f>
        <v>51532</v>
      </c>
      <c r="N186" s="21">
        <f>AGD!N186</f>
        <v>51532</v>
      </c>
      <c r="O186" s="21">
        <f>AGD!O186</f>
        <v>51532</v>
      </c>
      <c r="P186" s="95">
        <f>AGD!P186</f>
        <v>2193.1339020672222</v>
      </c>
      <c r="V186">
        <v>1</v>
      </c>
      <c r="W186" t="s">
        <v>33</v>
      </c>
      <c r="Y186" t="s">
        <v>33</v>
      </c>
      <c r="Z186" t="s">
        <v>34</v>
      </c>
      <c r="AA186">
        <v>1</v>
      </c>
    </row>
    <row r="187" spans="1:27" x14ac:dyDescent="0.35">
      <c r="A187" s="13">
        <f t="shared" si="2"/>
        <v>45930</v>
      </c>
      <c r="B187">
        <v>1</v>
      </c>
      <c r="D187" s="14" t="s">
        <v>31</v>
      </c>
      <c r="E187" s="15" t="s">
        <v>32</v>
      </c>
      <c r="F187" s="16" t="s">
        <v>32</v>
      </c>
      <c r="G187" s="17"/>
      <c r="H187" s="33" t="s">
        <v>63</v>
      </c>
      <c r="I187" s="33" t="s">
        <v>63</v>
      </c>
      <c r="K187" s="20">
        <f>AGD!K187</f>
        <v>185</v>
      </c>
      <c r="L187" s="20">
        <f>AGD!L187</f>
        <v>0</v>
      </c>
      <c r="M187" s="21">
        <f>AGD!M187</f>
        <v>51560</v>
      </c>
      <c r="N187" s="21">
        <f>AGD!N187</f>
        <v>51560</v>
      </c>
      <c r="O187" s="21">
        <f>AGD!O187</f>
        <v>51560</v>
      </c>
      <c r="P187" s="95">
        <f>AGD!P187</f>
        <v>2193.1339020672222</v>
      </c>
      <c r="V187">
        <v>1</v>
      </c>
      <c r="W187" t="s">
        <v>33</v>
      </c>
      <c r="Y187" t="s">
        <v>33</v>
      </c>
      <c r="Z187" t="s">
        <v>34</v>
      </c>
      <c r="AA187">
        <v>1</v>
      </c>
    </row>
    <row r="188" spans="1:27" x14ac:dyDescent="0.35">
      <c r="A188" s="13">
        <f t="shared" si="2"/>
        <v>45930</v>
      </c>
      <c r="B188">
        <v>1</v>
      </c>
      <c r="D188" s="14" t="s">
        <v>31</v>
      </c>
      <c r="E188" s="15" t="s">
        <v>32</v>
      </c>
      <c r="F188" s="16" t="s">
        <v>32</v>
      </c>
      <c r="G188" s="17"/>
      <c r="H188" s="33" t="s">
        <v>63</v>
      </c>
      <c r="I188" s="33" t="s">
        <v>63</v>
      </c>
      <c r="K188" s="20">
        <f>AGD!K188</f>
        <v>186</v>
      </c>
      <c r="L188" s="20">
        <f>AGD!L188</f>
        <v>0</v>
      </c>
      <c r="M188" s="21">
        <f>AGD!M188</f>
        <v>51591</v>
      </c>
      <c r="N188" s="21">
        <f>AGD!N188</f>
        <v>51591</v>
      </c>
      <c r="O188" s="21">
        <f>AGD!O188</f>
        <v>51591</v>
      </c>
      <c r="P188" s="95">
        <f>AGD!P188</f>
        <v>2193.1339020672222</v>
      </c>
      <c r="V188">
        <v>1</v>
      </c>
      <c r="W188" t="s">
        <v>33</v>
      </c>
      <c r="Y188" t="s">
        <v>33</v>
      </c>
      <c r="Z188" t="s">
        <v>34</v>
      </c>
      <c r="AA188">
        <v>1</v>
      </c>
    </row>
    <row r="189" spans="1:27" x14ac:dyDescent="0.35">
      <c r="A189" s="13">
        <f t="shared" si="2"/>
        <v>45930</v>
      </c>
      <c r="B189">
        <v>1</v>
      </c>
      <c r="D189" s="14" t="s">
        <v>31</v>
      </c>
      <c r="E189" s="15" t="s">
        <v>32</v>
      </c>
      <c r="F189" s="16" t="s">
        <v>32</v>
      </c>
      <c r="G189" s="17"/>
      <c r="H189" s="33" t="s">
        <v>63</v>
      </c>
      <c r="I189" s="33" t="s">
        <v>63</v>
      </c>
      <c r="K189" s="20">
        <f>AGD!K189</f>
        <v>187</v>
      </c>
      <c r="L189" s="20">
        <f>AGD!L189</f>
        <v>0</v>
      </c>
      <c r="M189" s="21">
        <f>AGD!M189</f>
        <v>51621</v>
      </c>
      <c r="N189" s="21">
        <f>AGD!N189</f>
        <v>51621</v>
      </c>
      <c r="O189" s="21">
        <f>AGD!O189</f>
        <v>51621</v>
      </c>
      <c r="P189" s="95">
        <f>AGD!P189</f>
        <v>2193.1339020672222</v>
      </c>
      <c r="V189">
        <v>1</v>
      </c>
      <c r="W189" t="s">
        <v>33</v>
      </c>
      <c r="Y189" t="s">
        <v>33</v>
      </c>
      <c r="Z189" t="s">
        <v>34</v>
      </c>
      <c r="AA189">
        <v>1</v>
      </c>
    </row>
    <row r="190" spans="1:27" x14ac:dyDescent="0.35">
      <c r="A190" s="13">
        <f t="shared" si="2"/>
        <v>45930</v>
      </c>
      <c r="B190">
        <v>1</v>
      </c>
      <c r="D190" s="14" t="s">
        <v>31</v>
      </c>
      <c r="E190" s="15" t="s">
        <v>32</v>
      </c>
      <c r="F190" s="16" t="s">
        <v>32</v>
      </c>
      <c r="G190" s="17"/>
      <c r="H190" s="33" t="s">
        <v>63</v>
      </c>
      <c r="I190" s="33" t="s">
        <v>63</v>
      </c>
      <c r="K190" s="20">
        <f>AGD!K190</f>
        <v>188</v>
      </c>
      <c r="L190" s="20">
        <f>AGD!L190</f>
        <v>0</v>
      </c>
      <c r="M190" s="21">
        <f>AGD!M190</f>
        <v>51652</v>
      </c>
      <c r="N190" s="21">
        <f>AGD!N190</f>
        <v>51652</v>
      </c>
      <c r="O190" s="21">
        <f>AGD!O190</f>
        <v>51652</v>
      </c>
      <c r="P190" s="95">
        <f>AGD!P190</f>
        <v>2193.1339020672222</v>
      </c>
      <c r="V190">
        <v>1</v>
      </c>
      <c r="W190" t="s">
        <v>33</v>
      </c>
      <c r="Y190" t="s">
        <v>33</v>
      </c>
      <c r="Z190" t="s">
        <v>34</v>
      </c>
      <c r="AA190">
        <v>1</v>
      </c>
    </row>
    <row r="191" spans="1:27" x14ac:dyDescent="0.35">
      <c r="A191" s="13">
        <f t="shared" si="2"/>
        <v>45930</v>
      </c>
      <c r="B191">
        <v>1</v>
      </c>
      <c r="D191" s="14" t="s">
        <v>31</v>
      </c>
      <c r="E191" s="15" t="s">
        <v>32</v>
      </c>
      <c r="F191" s="16" t="s">
        <v>32</v>
      </c>
      <c r="G191" s="17"/>
      <c r="H191" s="33" t="s">
        <v>63</v>
      </c>
      <c r="I191" s="33" t="s">
        <v>63</v>
      </c>
      <c r="K191" s="20">
        <f>AGD!K191</f>
        <v>189</v>
      </c>
      <c r="L191" s="20">
        <f>AGD!L191</f>
        <v>0</v>
      </c>
      <c r="M191" s="21">
        <f>AGD!M191</f>
        <v>51682</v>
      </c>
      <c r="N191" s="21">
        <f>AGD!N191</f>
        <v>51682</v>
      </c>
      <c r="O191" s="21">
        <f>AGD!O191</f>
        <v>51682</v>
      </c>
      <c r="P191" s="95">
        <f>AGD!P191</f>
        <v>2193.1339020672222</v>
      </c>
      <c r="V191">
        <v>1</v>
      </c>
      <c r="W191" t="s">
        <v>33</v>
      </c>
      <c r="Y191" t="s">
        <v>33</v>
      </c>
      <c r="Z191" t="s">
        <v>34</v>
      </c>
      <c r="AA191">
        <v>1</v>
      </c>
    </row>
    <row r="192" spans="1:27" x14ac:dyDescent="0.35">
      <c r="A192" s="13">
        <f t="shared" si="2"/>
        <v>45930</v>
      </c>
      <c r="B192">
        <v>1</v>
      </c>
      <c r="D192" s="14" t="s">
        <v>31</v>
      </c>
      <c r="E192" s="15" t="s">
        <v>32</v>
      </c>
      <c r="F192" s="16" t="s">
        <v>32</v>
      </c>
      <c r="G192" s="17"/>
      <c r="H192" s="33" t="s">
        <v>63</v>
      </c>
      <c r="I192" s="33" t="s">
        <v>63</v>
      </c>
      <c r="K192" s="20">
        <f>AGD!K192</f>
        <v>190</v>
      </c>
      <c r="L192" s="20">
        <f>AGD!L192</f>
        <v>0</v>
      </c>
      <c r="M192" s="21">
        <f>AGD!M192</f>
        <v>51713</v>
      </c>
      <c r="N192" s="21">
        <f>AGD!N192</f>
        <v>51713</v>
      </c>
      <c r="O192" s="21">
        <f>AGD!O192</f>
        <v>51713</v>
      </c>
      <c r="P192" s="95">
        <f>AGD!P192</f>
        <v>2193.1339020672222</v>
      </c>
      <c r="V192">
        <v>1</v>
      </c>
      <c r="W192" t="s">
        <v>33</v>
      </c>
      <c r="Y192" t="s">
        <v>33</v>
      </c>
      <c r="Z192" t="s">
        <v>34</v>
      </c>
      <c r="AA192">
        <v>1</v>
      </c>
    </row>
    <row r="193" spans="1:27" x14ac:dyDescent="0.35">
      <c r="A193" s="13">
        <f t="shared" si="2"/>
        <v>45930</v>
      </c>
      <c r="B193">
        <v>1</v>
      </c>
      <c r="D193" s="14" t="s">
        <v>31</v>
      </c>
      <c r="E193" s="15" t="s">
        <v>32</v>
      </c>
      <c r="F193" s="16" t="s">
        <v>32</v>
      </c>
      <c r="G193" s="17"/>
      <c r="H193" s="33" t="s">
        <v>63</v>
      </c>
      <c r="I193" s="33" t="s">
        <v>63</v>
      </c>
      <c r="K193" s="20">
        <f>AGD!K193</f>
        <v>191</v>
      </c>
      <c r="L193" s="20">
        <f>AGD!L193</f>
        <v>0</v>
      </c>
      <c r="M193" s="21">
        <f>AGD!M193</f>
        <v>51744</v>
      </c>
      <c r="N193" s="21">
        <f>AGD!N193</f>
        <v>51744</v>
      </c>
      <c r="O193" s="21">
        <f>AGD!O193</f>
        <v>51744</v>
      </c>
      <c r="P193" s="95">
        <f>AGD!P193</f>
        <v>2193.1339020672222</v>
      </c>
      <c r="V193">
        <v>1</v>
      </c>
      <c r="W193" t="s">
        <v>33</v>
      </c>
      <c r="Y193" t="s">
        <v>33</v>
      </c>
      <c r="Z193" t="s">
        <v>34</v>
      </c>
      <c r="AA193">
        <v>1</v>
      </c>
    </row>
    <row r="194" spans="1:27" x14ac:dyDescent="0.35">
      <c r="A194" s="13">
        <f t="shared" si="2"/>
        <v>45930</v>
      </c>
      <c r="B194">
        <v>1</v>
      </c>
      <c r="D194" s="14" t="s">
        <v>31</v>
      </c>
      <c r="E194" s="15" t="s">
        <v>32</v>
      </c>
      <c r="F194" s="16" t="s">
        <v>32</v>
      </c>
      <c r="G194" s="17"/>
      <c r="H194" s="33" t="s">
        <v>63</v>
      </c>
      <c r="I194" s="33" t="s">
        <v>63</v>
      </c>
      <c r="K194" s="20">
        <f>AGD!K194</f>
        <v>192</v>
      </c>
      <c r="L194" s="20">
        <f>AGD!L194</f>
        <v>0</v>
      </c>
      <c r="M194" s="21">
        <f>AGD!M194</f>
        <v>51774</v>
      </c>
      <c r="N194" s="21">
        <f>AGD!N194</f>
        <v>51774</v>
      </c>
      <c r="O194" s="21">
        <f>AGD!O194</f>
        <v>51774</v>
      </c>
      <c r="P194" s="95">
        <f>AGD!P194</f>
        <v>2193.1339020672222</v>
      </c>
      <c r="V194">
        <v>1</v>
      </c>
      <c r="W194" t="s">
        <v>33</v>
      </c>
      <c r="Y194" t="s">
        <v>33</v>
      </c>
      <c r="Z194" t="s">
        <v>34</v>
      </c>
      <c r="AA194">
        <v>1</v>
      </c>
    </row>
    <row r="195" spans="1:27" x14ac:dyDescent="0.35">
      <c r="A195" s="13">
        <f t="shared" si="2"/>
        <v>45930</v>
      </c>
      <c r="B195">
        <v>1</v>
      </c>
      <c r="D195" s="14" t="s">
        <v>31</v>
      </c>
      <c r="E195" s="15" t="s">
        <v>32</v>
      </c>
      <c r="F195" s="16" t="s">
        <v>32</v>
      </c>
      <c r="G195" s="17"/>
      <c r="H195" s="33" t="s">
        <v>63</v>
      </c>
      <c r="I195" s="33" t="s">
        <v>63</v>
      </c>
      <c r="K195" s="20">
        <f>AGD!K195</f>
        <v>193</v>
      </c>
      <c r="L195" s="20">
        <f>AGD!L195</f>
        <v>0</v>
      </c>
      <c r="M195" s="21">
        <f>AGD!M195</f>
        <v>51805</v>
      </c>
      <c r="N195" s="21">
        <f>AGD!N195</f>
        <v>51805</v>
      </c>
      <c r="O195" s="21">
        <f>AGD!O195</f>
        <v>51805</v>
      </c>
      <c r="P195" s="95">
        <f>AGD!P195</f>
        <v>2193.1339020672222</v>
      </c>
      <c r="V195">
        <v>1</v>
      </c>
      <c r="W195" t="s">
        <v>33</v>
      </c>
      <c r="Y195" t="s">
        <v>33</v>
      </c>
      <c r="Z195" t="s">
        <v>34</v>
      </c>
      <c r="AA195">
        <v>1</v>
      </c>
    </row>
    <row r="196" spans="1:27" x14ac:dyDescent="0.35">
      <c r="A196" s="13">
        <f t="shared" ref="A196:A217" si="3">A195</f>
        <v>45930</v>
      </c>
      <c r="B196">
        <v>1</v>
      </c>
      <c r="D196" s="14" t="s">
        <v>31</v>
      </c>
      <c r="E196" s="15" t="s">
        <v>32</v>
      </c>
      <c r="F196" s="16" t="s">
        <v>32</v>
      </c>
      <c r="G196" s="17"/>
      <c r="H196" s="33" t="s">
        <v>63</v>
      </c>
      <c r="I196" s="33" t="s">
        <v>63</v>
      </c>
      <c r="K196" s="20">
        <f>AGD!K196</f>
        <v>194</v>
      </c>
      <c r="L196" s="20">
        <f>AGD!L196</f>
        <v>0</v>
      </c>
      <c r="M196" s="21">
        <f>AGD!M196</f>
        <v>51835</v>
      </c>
      <c r="N196" s="21">
        <f>AGD!N196</f>
        <v>51835</v>
      </c>
      <c r="O196" s="21">
        <f>AGD!O196</f>
        <v>51835</v>
      </c>
      <c r="P196" s="95">
        <f>AGD!P196</f>
        <v>2193.1339020672222</v>
      </c>
      <c r="V196">
        <v>1</v>
      </c>
      <c r="W196" t="s">
        <v>33</v>
      </c>
      <c r="Y196" t="s">
        <v>33</v>
      </c>
      <c r="Z196" t="s">
        <v>34</v>
      </c>
      <c r="AA196">
        <v>1</v>
      </c>
    </row>
    <row r="197" spans="1:27" x14ac:dyDescent="0.35">
      <c r="A197" s="13">
        <f t="shared" si="3"/>
        <v>45930</v>
      </c>
      <c r="B197">
        <v>1</v>
      </c>
      <c r="D197" s="14" t="s">
        <v>31</v>
      </c>
      <c r="E197" s="15" t="s">
        <v>32</v>
      </c>
      <c r="F197" s="16" t="s">
        <v>32</v>
      </c>
      <c r="G197" s="17"/>
      <c r="H197" s="33" t="s">
        <v>63</v>
      </c>
      <c r="I197" s="33" t="s">
        <v>63</v>
      </c>
      <c r="K197" s="20">
        <f>AGD!K197</f>
        <v>195</v>
      </c>
      <c r="L197" s="20">
        <f>AGD!L197</f>
        <v>0</v>
      </c>
      <c r="M197" s="21">
        <f>AGD!M197</f>
        <v>51866</v>
      </c>
      <c r="N197" s="21">
        <f>AGD!N197</f>
        <v>51866</v>
      </c>
      <c r="O197" s="21">
        <f>AGD!O197</f>
        <v>51866</v>
      </c>
      <c r="P197" s="95">
        <f>AGD!P197</f>
        <v>2193.1339020672222</v>
      </c>
      <c r="V197">
        <v>1</v>
      </c>
      <c r="W197" t="s">
        <v>33</v>
      </c>
      <c r="Y197" t="s">
        <v>33</v>
      </c>
      <c r="Z197" t="s">
        <v>34</v>
      </c>
      <c r="AA197">
        <v>1</v>
      </c>
    </row>
    <row r="198" spans="1:27" x14ac:dyDescent="0.35">
      <c r="A198" s="13">
        <f t="shared" si="3"/>
        <v>45930</v>
      </c>
      <c r="B198">
        <v>1</v>
      </c>
      <c r="D198" s="14" t="s">
        <v>31</v>
      </c>
      <c r="E198" s="15" t="s">
        <v>32</v>
      </c>
      <c r="F198" s="16" t="s">
        <v>32</v>
      </c>
      <c r="G198" s="17"/>
      <c r="H198" s="33" t="s">
        <v>63</v>
      </c>
      <c r="I198" s="33" t="s">
        <v>63</v>
      </c>
      <c r="K198" s="20">
        <f>AGD!K198</f>
        <v>196</v>
      </c>
      <c r="L198" s="20">
        <f>AGD!L198</f>
        <v>0</v>
      </c>
      <c r="M198" s="21">
        <f>AGD!M198</f>
        <v>51897</v>
      </c>
      <c r="N198" s="21">
        <f>AGD!N198</f>
        <v>51897</v>
      </c>
      <c r="O198" s="21">
        <f>AGD!O198</f>
        <v>51897</v>
      </c>
      <c r="P198" s="95">
        <f>AGD!P198</f>
        <v>2193.1339020672222</v>
      </c>
      <c r="V198">
        <v>1</v>
      </c>
      <c r="W198" t="s">
        <v>33</v>
      </c>
      <c r="Y198" t="s">
        <v>33</v>
      </c>
      <c r="Z198" t="s">
        <v>34</v>
      </c>
      <c r="AA198">
        <v>1</v>
      </c>
    </row>
    <row r="199" spans="1:27" x14ac:dyDescent="0.35">
      <c r="A199" s="13">
        <f t="shared" si="3"/>
        <v>45930</v>
      </c>
      <c r="B199">
        <v>1</v>
      </c>
      <c r="D199" s="14" t="s">
        <v>31</v>
      </c>
      <c r="E199" s="15" t="s">
        <v>32</v>
      </c>
      <c r="F199" s="16" t="s">
        <v>32</v>
      </c>
      <c r="G199" s="17"/>
      <c r="H199" s="33" t="s">
        <v>63</v>
      </c>
      <c r="I199" s="33" t="s">
        <v>63</v>
      </c>
      <c r="K199" s="20">
        <f>AGD!K199</f>
        <v>197</v>
      </c>
      <c r="L199" s="20">
        <f>AGD!L199</f>
        <v>0</v>
      </c>
      <c r="M199" s="21">
        <f>AGD!M199</f>
        <v>51925</v>
      </c>
      <c r="N199" s="21">
        <f>AGD!N199</f>
        <v>51925</v>
      </c>
      <c r="O199" s="21">
        <f>AGD!O199</f>
        <v>51925</v>
      </c>
      <c r="P199" s="95">
        <f>AGD!P199</f>
        <v>2193.1339020672222</v>
      </c>
      <c r="V199">
        <v>1</v>
      </c>
      <c r="W199" t="s">
        <v>33</v>
      </c>
      <c r="Y199" t="s">
        <v>33</v>
      </c>
      <c r="Z199" t="s">
        <v>34</v>
      </c>
      <c r="AA199">
        <v>1</v>
      </c>
    </row>
    <row r="200" spans="1:27" x14ac:dyDescent="0.35">
      <c r="A200" s="13">
        <f t="shared" si="3"/>
        <v>45930</v>
      </c>
      <c r="B200">
        <v>1</v>
      </c>
      <c r="D200" s="14" t="s">
        <v>31</v>
      </c>
      <c r="E200" s="15" t="s">
        <v>32</v>
      </c>
      <c r="F200" s="16" t="s">
        <v>32</v>
      </c>
      <c r="G200" s="17"/>
      <c r="H200" s="33" t="s">
        <v>63</v>
      </c>
      <c r="I200" s="33" t="s">
        <v>63</v>
      </c>
      <c r="K200" s="20">
        <f>AGD!K200</f>
        <v>198</v>
      </c>
      <c r="L200" s="20">
        <f>AGD!L200</f>
        <v>0</v>
      </c>
      <c r="M200" s="21">
        <f>AGD!M200</f>
        <v>51956</v>
      </c>
      <c r="N200" s="21">
        <f>AGD!N200</f>
        <v>51956</v>
      </c>
      <c r="O200" s="21">
        <f>AGD!O200</f>
        <v>51956</v>
      </c>
      <c r="P200" s="95">
        <f>AGD!P200</f>
        <v>2193.1339020672222</v>
      </c>
      <c r="V200">
        <v>1</v>
      </c>
      <c r="W200" t="s">
        <v>33</v>
      </c>
      <c r="Y200" t="s">
        <v>33</v>
      </c>
      <c r="Z200" t="s">
        <v>34</v>
      </c>
      <c r="AA200">
        <v>1</v>
      </c>
    </row>
    <row r="201" spans="1:27" x14ac:dyDescent="0.35">
      <c r="A201" s="13">
        <f t="shared" si="3"/>
        <v>45930</v>
      </c>
      <c r="B201">
        <v>1</v>
      </c>
      <c r="D201" s="14" t="s">
        <v>31</v>
      </c>
      <c r="E201" s="15" t="s">
        <v>32</v>
      </c>
      <c r="F201" s="16" t="s">
        <v>32</v>
      </c>
      <c r="G201" s="17"/>
      <c r="H201" s="33" t="s">
        <v>63</v>
      </c>
      <c r="I201" s="33" t="s">
        <v>63</v>
      </c>
      <c r="K201" s="20">
        <f>AGD!K201</f>
        <v>199</v>
      </c>
      <c r="L201" s="20">
        <f>AGD!L201</f>
        <v>0</v>
      </c>
      <c r="M201" s="21">
        <f>AGD!M201</f>
        <v>51986</v>
      </c>
      <c r="N201" s="21">
        <f>AGD!N201</f>
        <v>51986</v>
      </c>
      <c r="O201" s="21">
        <f>AGD!O201</f>
        <v>51986</v>
      </c>
      <c r="P201" s="95">
        <f>AGD!P201</f>
        <v>2193.1339020672222</v>
      </c>
      <c r="V201">
        <v>1</v>
      </c>
      <c r="W201" t="s">
        <v>33</v>
      </c>
      <c r="Y201" t="s">
        <v>33</v>
      </c>
      <c r="Z201" t="s">
        <v>34</v>
      </c>
      <c r="AA201">
        <v>1</v>
      </c>
    </row>
    <row r="202" spans="1:27" x14ac:dyDescent="0.35">
      <c r="A202" s="13">
        <f t="shared" si="3"/>
        <v>45930</v>
      </c>
      <c r="B202">
        <v>1</v>
      </c>
      <c r="D202" s="14" t="s">
        <v>31</v>
      </c>
      <c r="E202" s="15" t="s">
        <v>32</v>
      </c>
      <c r="F202" s="16" t="s">
        <v>32</v>
      </c>
      <c r="G202" s="17"/>
      <c r="H202" s="33" t="s">
        <v>63</v>
      </c>
      <c r="I202" s="33" t="s">
        <v>63</v>
      </c>
      <c r="K202" s="20">
        <f>AGD!K202</f>
        <v>200</v>
      </c>
      <c r="L202" s="20">
        <f>AGD!L202</f>
        <v>0</v>
      </c>
      <c r="M202" s="21">
        <f>AGD!M202</f>
        <v>52017</v>
      </c>
      <c r="N202" s="21">
        <f>AGD!N202</f>
        <v>52017</v>
      </c>
      <c r="O202" s="21">
        <f>AGD!O202</f>
        <v>52017</v>
      </c>
      <c r="P202" s="95">
        <f>AGD!P202</f>
        <v>2193.1339020672222</v>
      </c>
      <c r="V202">
        <v>1</v>
      </c>
      <c r="W202" t="s">
        <v>33</v>
      </c>
      <c r="Y202" t="s">
        <v>33</v>
      </c>
      <c r="Z202" t="s">
        <v>34</v>
      </c>
      <c r="AA202">
        <v>1</v>
      </c>
    </row>
    <row r="203" spans="1:27" x14ac:dyDescent="0.35">
      <c r="A203" s="13">
        <f t="shared" si="3"/>
        <v>45930</v>
      </c>
      <c r="B203">
        <v>1</v>
      </c>
      <c r="D203" s="14" t="s">
        <v>31</v>
      </c>
      <c r="E203" s="15" t="s">
        <v>32</v>
      </c>
      <c r="F203" s="16" t="s">
        <v>32</v>
      </c>
      <c r="G203" s="17"/>
      <c r="H203" s="33" t="s">
        <v>63</v>
      </c>
      <c r="I203" s="33" t="s">
        <v>63</v>
      </c>
      <c r="K203" s="20">
        <f>AGD!K203</f>
        <v>201</v>
      </c>
      <c r="L203" s="20">
        <f>AGD!L203</f>
        <v>0</v>
      </c>
      <c r="M203" s="21">
        <f>AGD!M203</f>
        <v>52047</v>
      </c>
      <c r="N203" s="21">
        <f>AGD!N203</f>
        <v>52047</v>
      </c>
      <c r="O203" s="21">
        <f>AGD!O203</f>
        <v>52047</v>
      </c>
      <c r="P203" s="95">
        <f>AGD!P203</f>
        <v>2193.1339020672222</v>
      </c>
      <c r="V203">
        <v>1</v>
      </c>
      <c r="W203" t="s">
        <v>33</v>
      </c>
      <c r="Y203" t="s">
        <v>33</v>
      </c>
      <c r="Z203" t="s">
        <v>34</v>
      </c>
      <c r="AA203">
        <v>1</v>
      </c>
    </row>
    <row r="204" spans="1:27" x14ac:dyDescent="0.35">
      <c r="A204" s="13">
        <f t="shared" si="3"/>
        <v>45930</v>
      </c>
      <c r="B204">
        <v>1</v>
      </c>
      <c r="D204" s="14" t="s">
        <v>31</v>
      </c>
      <c r="E204" s="15" t="s">
        <v>32</v>
      </c>
      <c r="F204" s="16" t="s">
        <v>32</v>
      </c>
      <c r="G204" s="17"/>
      <c r="H204" s="33" t="s">
        <v>63</v>
      </c>
      <c r="I204" s="33" t="s">
        <v>63</v>
      </c>
      <c r="K204" s="20">
        <f>AGD!K204</f>
        <v>202</v>
      </c>
      <c r="L204" s="20">
        <f>AGD!L204</f>
        <v>0</v>
      </c>
      <c r="M204" s="21">
        <f>AGD!M204</f>
        <v>52078</v>
      </c>
      <c r="N204" s="21">
        <f>AGD!N204</f>
        <v>52078</v>
      </c>
      <c r="O204" s="21">
        <f>AGD!O204</f>
        <v>52078</v>
      </c>
      <c r="P204" s="95">
        <f>AGD!P204</f>
        <v>2193.1339020672222</v>
      </c>
      <c r="V204">
        <v>1</v>
      </c>
      <c r="W204" t="s">
        <v>33</v>
      </c>
      <c r="Y204" t="s">
        <v>33</v>
      </c>
      <c r="Z204" t="s">
        <v>34</v>
      </c>
      <c r="AA204">
        <v>1</v>
      </c>
    </row>
    <row r="205" spans="1:27" x14ac:dyDescent="0.35">
      <c r="A205" s="13">
        <f t="shared" si="3"/>
        <v>45930</v>
      </c>
      <c r="B205">
        <v>1</v>
      </c>
      <c r="D205" s="14" t="s">
        <v>31</v>
      </c>
      <c r="E205" s="15" t="s">
        <v>32</v>
      </c>
      <c r="F205" s="16" t="s">
        <v>32</v>
      </c>
      <c r="G205" s="17"/>
      <c r="H205" s="33" t="s">
        <v>63</v>
      </c>
      <c r="I205" s="33" t="s">
        <v>63</v>
      </c>
      <c r="K205" s="20">
        <f>AGD!K205</f>
        <v>203</v>
      </c>
      <c r="L205" s="20">
        <f>AGD!L205</f>
        <v>0</v>
      </c>
      <c r="M205" s="21">
        <f>AGD!M205</f>
        <v>52109</v>
      </c>
      <c r="N205" s="21">
        <f>AGD!N205</f>
        <v>52109</v>
      </c>
      <c r="O205" s="21">
        <f>AGD!O205</f>
        <v>52109</v>
      </c>
      <c r="P205" s="95">
        <f>AGD!P205</f>
        <v>2193.1339020672222</v>
      </c>
      <c r="V205">
        <v>1</v>
      </c>
      <c r="W205" t="s">
        <v>33</v>
      </c>
      <c r="Y205" t="s">
        <v>33</v>
      </c>
      <c r="Z205" t="s">
        <v>34</v>
      </c>
      <c r="AA205">
        <v>1</v>
      </c>
    </row>
    <row r="206" spans="1:27" x14ac:dyDescent="0.35">
      <c r="A206" s="13">
        <f t="shared" si="3"/>
        <v>45930</v>
      </c>
      <c r="B206">
        <v>1</v>
      </c>
      <c r="D206" s="14" t="s">
        <v>31</v>
      </c>
      <c r="E206" s="15" t="s">
        <v>32</v>
      </c>
      <c r="F206" s="16" t="s">
        <v>32</v>
      </c>
      <c r="G206" s="17"/>
      <c r="H206" s="33" t="s">
        <v>63</v>
      </c>
      <c r="I206" s="33" t="s">
        <v>63</v>
      </c>
      <c r="K206" s="20">
        <f>AGD!K206</f>
        <v>204</v>
      </c>
      <c r="L206" s="20">
        <f>AGD!L206</f>
        <v>0</v>
      </c>
      <c r="M206" s="21">
        <f>AGD!M206</f>
        <v>52139</v>
      </c>
      <c r="N206" s="21">
        <f>AGD!N206</f>
        <v>52139</v>
      </c>
      <c r="O206" s="21">
        <f>AGD!O206</f>
        <v>52139</v>
      </c>
      <c r="P206" s="95">
        <f>AGD!P206</f>
        <v>2193.1339020672222</v>
      </c>
      <c r="V206">
        <v>1</v>
      </c>
      <c r="W206" t="s">
        <v>33</v>
      </c>
      <c r="Y206" t="s">
        <v>33</v>
      </c>
      <c r="Z206" t="s">
        <v>34</v>
      </c>
      <c r="AA206">
        <v>1</v>
      </c>
    </row>
    <row r="207" spans="1:27" x14ac:dyDescent="0.35">
      <c r="A207" s="13">
        <f t="shared" si="3"/>
        <v>45930</v>
      </c>
      <c r="B207">
        <v>1</v>
      </c>
      <c r="D207" s="14" t="s">
        <v>31</v>
      </c>
      <c r="E207" s="15" t="s">
        <v>32</v>
      </c>
      <c r="F207" s="16" t="s">
        <v>32</v>
      </c>
      <c r="G207" s="17"/>
      <c r="H207" s="33" t="s">
        <v>63</v>
      </c>
      <c r="I207" s="33" t="s">
        <v>63</v>
      </c>
      <c r="K207" s="20">
        <f>AGD!K207</f>
        <v>205</v>
      </c>
      <c r="L207" s="20">
        <f>AGD!L207</f>
        <v>0</v>
      </c>
      <c r="M207" s="21">
        <f>AGD!M207</f>
        <v>52170</v>
      </c>
      <c r="N207" s="21">
        <f>AGD!N207</f>
        <v>52170</v>
      </c>
      <c r="O207" s="21">
        <f>AGD!O207</f>
        <v>52170</v>
      </c>
      <c r="P207" s="95">
        <f>AGD!P207</f>
        <v>1123.5902282867341</v>
      </c>
      <c r="V207">
        <v>1</v>
      </c>
      <c r="W207" t="s">
        <v>33</v>
      </c>
      <c r="Y207" t="s">
        <v>33</v>
      </c>
      <c r="Z207" t="s">
        <v>34</v>
      </c>
      <c r="AA207">
        <v>1</v>
      </c>
    </row>
    <row r="208" spans="1:27" x14ac:dyDescent="0.35">
      <c r="A208" s="13">
        <f t="shared" si="3"/>
        <v>45930</v>
      </c>
      <c r="B208">
        <v>1</v>
      </c>
      <c r="D208" s="14" t="s">
        <v>31</v>
      </c>
      <c r="E208" s="15" t="s">
        <v>32</v>
      </c>
      <c r="F208" s="16" t="s">
        <v>32</v>
      </c>
      <c r="G208" s="17"/>
      <c r="H208" s="33" t="s">
        <v>63</v>
      </c>
      <c r="I208" s="33" t="s">
        <v>63</v>
      </c>
      <c r="K208" s="20">
        <f>AGD!K208</f>
        <v>206</v>
      </c>
      <c r="L208" s="20">
        <f>AGD!L208</f>
        <v>0</v>
      </c>
      <c r="M208" s="21">
        <f>AGD!M208</f>
        <v>52200</v>
      </c>
      <c r="N208" s="21">
        <f>AGD!N208</f>
        <v>52200</v>
      </c>
      <c r="O208" s="21">
        <f>AGD!O208</f>
        <v>52200</v>
      </c>
      <c r="P208" s="95">
        <f>AGD!P208</f>
        <v>0</v>
      </c>
      <c r="V208">
        <v>1</v>
      </c>
      <c r="W208" t="s">
        <v>33</v>
      </c>
      <c r="Y208" t="s">
        <v>33</v>
      </c>
      <c r="Z208" t="s">
        <v>34</v>
      </c>
      <c r="AA208">
        <v>1</v>
      </c>
    </row>
    <row r="209" spans="1:27" x14ac:dyDescent="0.35">
      <c r="A209" s="13">
        <f t="shared" si="3"/>
        <v>45930</v>
      </c>
      <c r="B209">
        <v>1</v>
      </c>
      <c r="D209" s="14" t="s">
        <v>31</v>
      </c>
      <c r="E209" s="15" t="s">
        <v>32</v>
      </c>
      <c r="F209" s="16" t="s">
        <v>32</v>
      </c>
      <c r="G209" s="17"/>
      <c r="H209" s="33" t="s">
        <v>63</v>
      </c>
      <c r="I209" s="33" t="s">
        <v>63</v>
      </c>
      <c r="K209" s="20">
        <f>AGD!K209</f>
        <v>207</v>
      </c>
      <c r="L209" s="20">
        <f>AGD!L209</f>
        <v>0</v>
      </c>
      <c r="M209" s="21">
        <f>AGD!M209</f>
        <v>52231</v>
      </c>
      <c r="N209" s="21">
        <f>AGD!N209</f>
        <v>52231</v>
      </c>
      <c r="O209" s="21">
        <f>AGD!O209</f>
        <v>52231</v>
      </c>
      <c r="P209" s="95">
        <f>AGD!P209</f>
        <v>0</v>
      </c>
      <c r="V209">
        <v>1</v>
      </c>
      <c r="W209" t="s">
        <v>33</v>
      </c>
      <c r="Y209" t="s">
        <v>33</v>
      </c>
      <c r="Z209" t="s">
        <v>34</v>
      </c>
      <c r="AA209">
        <v>1</v>
      </c>
    </row>
    <row r="210" spans="1:27" x14ac:dyDescent="0.35">
      <c r="A210" s="13">
        <f t="shared" si="3"/>
        <v>45930</v>
      </c>
      <c r="B210">
        <v>1</v>
      </c>
      <c r="D210" s="14" t="s">
        <v>31</v>
      </c>
      <c r="E210" s="15" t="s">
        <v>32</v>
      </c>
      <c r="F210" s="16" t="s">
        <v>32</v>
      </c>
      <c r="G210" s="17"/>
      <c r="H210" s="33" t="s">
        <v>63</v>
      </c>
      <c r="I210" s="33" t="s">
        <v>63</v>
      </c>
      <c r="K210" s="20">
        <f>AGD!K210</f>
        <v>208</v>
      </c>
      <c r="L210" s="20">
        <f>AGD!L210</f>
        <v>0</v>
      </c>
      <c r="M210" s="21">
        <f>AGD!M210</f>
        <v>52262</v>
      </c>
      <c r="N210" s="21">
        <f>AGD!N210</f>
        <v>52262</v>
      </c>
      <c r="O210" s="21">
        <f>AGD!O210</f>
        <v>52262</v>
      </c>
      <c r="P210" s="95">
        <f>AGD!P210</f>
        <v>0</v>
      </c>
      <c r="V210">
        <v>1</v>
      </c>
      <c r="W210" t="s">
        <v>33</v>
      </c>
      <c r="Y210" t="s">
        <v>33</v>
      </c>
      <c r="Z210" t="s">
        <v>34</v>
      </c>
      <c r="AA210">
        <v>1</v>
      </c>
    </row>
    <row r="211" spans="1:27" x14ac:dyDescent="0.35">
      <c r="A211" s="13">
        <f t="shared" si="3"/>
        <v>45930</v>
      </c>
      <c r="B211">
        <v>1</v>
      </c>
      <c r="D211" s="14" t="s">
        <v>31</v>
      </c>
      <c r="E211" s="15" t="s">
        <v>32</v>
      </c>
      <c r="F211" s="16" t="s">
        <v>32</v>
      </c>
      <c r="G211" s="17"/>
      <c r="H211" s="33" t="s">
        <v>63</v>
      </c>
      <c r="I211" s="33" t="s">
        <v>63</v>
      </c>
      <c r="K211" s="20">
        <f>AGD!K211</f>
        <v>209</v>
      </c>
      <c r="L211" s="20">
        <f>AGD!L211</f>
        <v>0</v>
      </c>
      <c r="M211" s="21">
        <f>AGD!M211</f>
        <v>52290</v>
      </c>
      <c r="N211" s="21">
        <f>AGD!N211</f>
        <v>52290</v>
      </c>
      <c r="O211" s="21">
        <f>AGD!O211</f>
        <v>52290</v>
      </c>
      <c r="P211" s="95">
        <f>AGD!P211</f>
        <v>0</v>
      </c>
      <c r="V211">
        <v>1</v>
      </c>
      <c r="W211" t="s">
        <v>33</v>
      </c>
      <c r="Y211" t="s">
        <v>33</v>
      </c>
      <c r="Z211" t="s">
        <v>34</v>
      </c>
      <c r="AA211">
        <v>1</v>
      </c>
    </row>
    <row r="212" spans="1:27" x14ac:dyDescent="0.35">
      <c r="A212" s="13">
        <f t="shared" si="3"/>
        <v>45930</v>
      </c>
      <c r="B212">
        <v>1</v>
      </c>
      <c r="D212" s="14" t="s">
        <v>31</v>
      </c>
      <c r="E212" s="15" t="s">
        <v>32</v>
      </c>
      <c r="F212" s="16" t="s">
        <v>32</v>
      </c>
      <c r="G212" s="17"/>
      <c r="H212" s="33" t="s">
        <v>63</v>
      </c>
      <c r="I212" s="33" t="s">
        <v>63</v>
      </c>
      <c r="K212" s="20">
        <f>AGD!K212</f>
        <v>210</v>
      </c>
      <c r="L212" s="20">
        <f>AGD!L212</f>
        <v>0</v>
      </c>
      <c r="M212" s="21">
        <f>AGD!M212</f>
        <v>52321</v>
      </c>
      <c r="N212" s="21">
        <f>AGD!N212</f>
        <v>52321</v>
      </c>
      <c r="O212" s="21">
        <f>AGD!O212</f>
        <v>52321</v>
      </c>
      <c r="P212" s="95">
        <f>AGD!P212</f>
        <v>0</v>
      </c>
      <c r="V212">
        <v>1</v>
      </c>
      <c r="W212" t="s">
        <v>33</v>
      </c>
      <c r="Y212" t="s">
        <v>33</v>
      </c>
      <c r="Z212" t="s">
        <v>34</v>
      </c>
      <c r="AA212">
        <v>1</v>
      </c>
    </row>
    <row r="213" spans="1:27" x14ac:dyDescent="0.35">
      <c r="A213" s="13">
        <f t="shared" si="3"/>
        <v>45930</v>
      </c>
      <c r="B213">
        <v>1</v>
      </c>
      <c r="D213" s="14" t="s">
        <v>31</v>
      </c>
      <c r="E213" s="15" t="s">
        <v>32</v>
      </c>
      <c r="F213" s="16" t="s">
        <v>32</v>
      </c>
      <c r="G213" s="17"/>
      <c r="H213" s="33" t="s">
        <v>63</v>
      </c>
      <c r="I213" s="33" t="s">
        <v>63</v>
      </c>
      <c r="K213" s="20">
        <f>AGD!K213</f>
        <v>211</v>
      </c>
      <c r="L213" s="20">
        <f>AGD!L213</f>
        <v>0</v>
      </c>
      <c r="M213" s="21">
        <f>AGD!M213</f>
        <v>52351</v>
      </c>
      <c r="N213" s="21">
        <f>AGD!N213</f>
        <v>52351</v>
      </c>
      <c r="O213" s="21">
        <f>AGD!O213</f>
        <v>52351</v>
      </c>
      <c r="P213" s="95">
        <f>AGD!P213</f>
        <v>0</v>
      </c>
      <c r="V213">
        <v>1</v>
      </c>
      <c r="W213" t="s">
        <v>33</v>
      </c>
      <c r="Y213" t="s">
        <v>33</v>
      </c>
      <c r="Z213" t="s">
        <v>34</v>
      </c>
      <c r="AA213">
        <v>1</v>
      </c>
    </row>
    <row r="214" spans="1:27" x14ac:dyDescent="0.35">
      <c r="A214" s="13">
        <f t="shared" si="3"/>
        <v>45930</v>
      </c>
      <c r="B214">
        <v>1</v>
      </c>
      <c r="D214" s="14" t="s">
        <v>31</v>
      </c>
      <c r="E214" s="15" t="s">
        <v>32</v>
      </c>
      <c r="F214" s="16" t="s">
        <v>32</v>
      </c>
      <c r="G214" s="17"/>
      <c r="H214" s="33" t="s">
        <v>63</v>
      </c>
      <c r="I214" s="33" t="s">
        <v>63</v>
      </c>
      <c r="K214" s="20">
        <f>AGD!K214</f>
        <v>212</v>
      </c>
      <c r="L214" s="20">
        <f>AGD!L214</f>
        <v>0</v>
      </c>
      <c r="M214" s="21">
        <f>AGD!M214</f>
        <v>52382</v>
      </c>
      <c r="N214" s="21">
        <f>AGD!N214</f>
        <v>52382</v>
      </c>
      <c r="O214" s="21">
        <f>AGD!O214</f>
        <v>52382</v>
      </c>
      <c r="P214" s="95">
        <f>AGD!P214</f>
        <v>0</v>
      </c>
      <c r="V214">
        <v>1</v>
      </c>
      <c r="W214" t="s">
        <v>33</v>
      </c>
      <c r="Y214" t="s">
        <v>33</v>
      </c>
      <c r="Z214" t="s">
        <v>34</v>
      </c>
      <c r="AA214">
        <v>1</v>
      </c>
    </row>
    <row r="215" spans="1:27" x14ac:dyDescent="0.35">
      <c r="A215" s="13">
        <f t="shared" si="3"/>
        <v>45930</v>
      </c>
      <c r="B215">
        <v>1</v>
      </c>
      <c r="D215" s="14" t="s">
        <v>31</v>
      </c>
      <c r="E215" s="15" t="s">
        <v>32</v>
      </c>
      <c r="F215" s="16" t="s">
        <v>32</v>
      </c>
      <c r="G215" s="17"/>
      <c r="H215" s="33" t="s">
        <v>63</v>
      </c>
      <c r="I215" s="33" t="s">
        <v>63</v>
      </c>
      <c r="K215" s="20">
        <f>AGD!K215</f>
        <v>213</v>
      </c>
      <c r="L215" s="20">
        <f>AGD!L215</f>
        <v>0</v>
      </c>
      <c r="M215" s="21">
        <f>AGD!M215</f>
        <v>52412</v>
      </c>
      <c r="N215" s="21">
        <f>AGD!N215</f>
        <v>52412</v>
      </c>
      <c r="O215" s="21">
        <f>AGD!O215</f>
        <v>52412</v>
      </c>
      <c r="P215" s="95">
        <f>AGD!P215</f>
        <v>0</v>
      </c>
      <c r="V215">
        <v>1</v>
      </c>
      <c r="W215" t="s">
        <v>33</v>
      </c>
      <c r="Y215" t="s">
        <v>33</v>
      </c>
      <c r="Z215" t="s">
        <v>34</v>
      </c>
      <c r="AA215">
        <v>1</v>
      </c>
    </row>
    <row r="216" spans="1:27" x14ac:dyDescent="0.35">
      <c r="A216" s="13">
        <f t="shared" si="3"/>
        <v>45930</v>
      </c>
      <c r="B216">
        <v>1</v>
      </c>
      <c r="D216" s="14" t="s">
        <v>31</v>
      </c>
      <c r="E216" s="15" t="s">
        <v>32</v>
      </c>
      <c r="F216" s="16" t="s">
        <v>32</v>
      </c>
      <c r="G216" s="17"/>
      <c r="H216" s="33" t="s">
        <v>63</v>
      </c>
      <c r="I216" s="33" t="s">
        <v>63</v>
      </c>
      <c r="K216" s="20">
        <f>AGD!K216</f>
        <v>214</v>
      </c>
      <c r="L216" s="20">
        <f>AGD!L216</f>
        <v>0</v>
      </c>
      <c r="M216" s="21">
        <f>AGD!M216</f>
        <v>52443</v>
      </c>
      <c r="N216" s="21">
        <f>AGD!N216</f>
        <v>52443</v>
      </c>
      <c r="O216" s="21">
        <f>AGD!O216</f>
        <v>52443</v>
      </c>
      <c r="P216" s="95">
        <f>AGD!P216</f>
        <v>0</v>
      </c>
      <c r="V216">
        <v>1</v>
      </c>
      <c r="W216" t="s">
        <v>33</v>
      </c>
      <c r="Y216" t="s">
        <v>33</v>
      </c>
      <c r="Z216" t="s">
        <v>34</v>
      </c>
      <c r="AA216">
        <v>1</v>
      </c>
    </row>
    <row r="217" spans="1:27" x14ac:dyDescent="0.35">
      <c r="A217" s="13">
        <f t="shared" si="3"/>
        <v>45930</v>
      </c>
      <c r="B217">
        <v>1</v>
      </c>
      <c r="D217" s="14" t="s">
        <v>31</v>
      </c>
      <c r="E217" s="15" t="s">
        <v>32</v>
      </c>
      <c r="F217" s="16" t="s">
        <v>32</v>
      </c>
      <c r="G217" s="17"/>
      <c r="H217" s="33" t="s">
        <v>63</v>
      </c>
      <c r="I217" s="33" t="s">
        <v>63</v>
      </c>
      <c r="K217" s="20">
        <f>AGD!K217</f>
        <v>215</v>
      </c>
      <c r="L217" s="20">
        <f>AGD!L217</f>
        <v>0</v>
      </c>
      <c r="M217" s="21">
        <f>AGD!M217</f>
        <v>52474</v>
      </c>
      <c r="N217" s="21">
        <f>AGD!N217</f>
        <v>52474</v>
      </c>
      <c r="O217" s="21">
        <f>AGD!O217</f>
        <v>52474</v>
      </c>
      <c r="P217" s="95">
        <f>AGD!P217</f>
        <v>0</v>
      </c>
      <c r="V217">
        <v>1</v>
      </c>
      <c r="W217" t="s">
        <v>33</v>
      </c>
      <c r="Y217" t="s">
        <v>33</v>
      </c>
      <c r="Z217" t="s">
        <v>34</v>
      </c>
      <c r="AA217">
        <v>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0">
    <tabColor theme="5" tint="0.39997558519241921"/>
  </sheetPr>
  <dimension ref="A1:AE51"/>
  <sheetViews>
    <sheetView workbookViewId="0">
      <selection activeCell="A2" sqref="A2:AE51"/>
    </sheetView>
  </sheetViews>
  <sheetFormatPr baseColWidth="10" defaultRowHeight="14.5" x14ac:dyDescent="0.35"/>
  <cols>
    <col min="16" max="16" width="16.54296875" bestFit="1" customWidth="1"/>
  </cols>
  <sheetData>
    <row r="1" spans="1:31" x14ac:dyDescent="0.35">
      <c r="A1" s="1" t="s">
        <v>0</v>
      </c>
      <c r="B1" s="2" t="s">
        <v>1</v>
      </c>
      <c r="C1" s="2" t="s">
        <v>2</v>
      </c>
      <c r="D1" s="3" t="s">
        <v>3</v>
      </c>
      <c r="E1" s="4" t="s">
        <v>4</v>
      </c>
      <c r="F1" s="5" t="s">
        <v>5</v>
      </c>
      <c r="G1" s="6" t="s">
        <v>6</v>
      </c>
      <c r="H1" s="1" t="s">
        <v>7</v>
      </c>
      <c r="I1" s="7" t="s">
        <v>8</v>
      </c>
      <c r="J1" s="8" t="s">
        <v>9</v>
      </c>
      <c r="K1" s="9" t="s">
        <v>10</v>
      </c>
      <c r="L1" s="10" t="s">
        <v>11</v>
      </c>
      <c r="M1" s="1" t="s">
        <v>12</v>
      </c>
      <c r="N1" s="11" t="s">
        <v>13</v>
      </c>
      <c r="O1" s="11" t="s">
        <v>14</v>
      </c>
      <c r="P1" s="7" t="s">
        <v>15</v>
      </c>
      <c r="Q1" s="7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12" t="s">
        <v>21</v>
      </c>
      <c r="W1" s="12" t="s">
        <v>22</v>
      </c>
      <c r="X1" s="2" t="s">
        <v>23</v>
      </c>
      <c r="Y1" s="12" t="s">
        <v>24</v>
      </c>
      <c r="Z1" s="2" t="s">
        <v>25</v>
      </c>
      <c r="AA1" s="2" t="s">
        <v>26</v>
      </c>
      <c r="AB1" s="2" t="s">
        <v>27</v>
      </c>
      <c r="AC1" s="4" t="s">
        <v>28</v>
      </c>
      <c r="AD1" s="2" t="s">
        <v>29</v>
      </c>
      <c r="AE1" s="2" t="s">
        <v>30</v>
      </c>
    </row>
    <row r="2" spans="1:31" x14ac:dyDescent="0.35">
      <c r="A2" s="13">
        <f>Cta_Cte!A3</f>
        <v>45930</v>
      </c>
      <c r="B2">
        <v>1</v>
      </c>
      <c r="D2" s="14" t="s">
        <v>31</v>
      </c>
      <c r="E2" s="16" t="s">
        <v>41</v>
      </c>
      <c r="F2" s="16" t="s">
        <v>41</v>
      </c>
      <c r="G2" s="17"/>
      <c r="H2" s="33" t="s">
        <v>65</v>
      </c>
      <c r="I2" s="33" t="s">
        <v>65</v>
      </c>
      <c r="J2" s="19"/>
      <c r="K2" s="20"/>
      <c r="L2" s="21"/>
      <c r="M2" s="13">
        <f>A2+1</f>
        <v>45931</v>
      </c>
      <c r="N2" s="13">
        <f t="shared" ref="N2" si="0">M2</f>
        <v>45931</v>
      </c>
      <c r="O2" s="13">
        <f t="shared" ref="O2" si="1">N2</f>
        <v>45931</v>
      </c>
      <c r="P2" s="18">
        <f>Montos!E4</f>
        <v>44791986461</v>
      </c>
      <c r="Q2" s="18"/>
      <c r="V2">
        <v>1</v>
      </c>
      <c r="W2" t="s">
        <v>33</v>
      </c>
      <c r="Y2" t="s">
        <v>33</v>
      </c>
      <c r="Z2" t="s">
        <v>34</v>
      </c>
      <c r="AA2">
        <v>1</v>
      </c>
      <c r="AC2" s="15"/>
    </row>
    <row r="3" spans="1:31" x14ac:dyDescent="0.35">
      <c r="A3" s="13">
        <f>A2</f>
        <v>45930</v>
      </c>
      <c r="B3">
        <v>1</v>
      </c>
      <c r="D3" s="14" t="s">
        <v>31</v>
      </c>
      <c r="E3" s="16" t="s">
        <v>41</v>
      </c>
      <c r="F3" s="16" t="s">
        <v>41</v>
      </c>
      <c r="G3" s="17"/>
      <c r="H3" s="33" t="s">
        <v>65</v>
      </c>
      <c r="I3" s="33" t="s">
        <v>65</v>
      </c>
      <c r="J3" s="19"/>
      <c r="K3" s="20">
        <f>Cta_Vta!K3</f>
        <v>1</v>
      </c>
      <c r="L3" s="20">
        <f>Cta_Vta!L3</f>
        <v>0</v>
      </c>
      <c r="M3" s="21">
        <f>Cta_Vta!M3</f>
        <v>45961</v>
      </c>
      <c r="N3" s="21">
        <f>Cta_Vta!N3</f>
        <v>45961</v>
      </c>
      <c r="O3" s="21">
        <f>Cta_Vta!O3</f>
        <v>45961</v>
      </c>
      <c r="P3" s="95">
        <f>Cta_Vta!P3</f>
        <v>3833994024.2763772</v>
      </c>
      <c r="Q3" s="18"/>
      <c r="V3">
        <v>1</v>
      </c>
      <c r="W3" t="s">
        <v>33</v>
      </c>
      <c r="Y3" t="s">
        <v>33</v>
      </c>
      <c r="Z3" t="s">
        <v>34</v>
      </c>
      <c r="AA3">
        <v>1</v>
      </c>
      <c r="AC3" s="15"/>
    </row>
    <row r="4" spans="1:31" x14ac:dyDescent="0.35">
      <c r="A4" s="13">
        <f t="shared" ref="A4:A51" si="2">A3</f>
        <v>45930</v>
      </c>
      <c r="B4">
        <v>1</v>
      </c>
      <c r="D4" s="14" t="s">
        <v>31</v>
      </c>
      <c r="E4" s="16" t="s">
        <v>41</v>
      </c>
      <c r="F4" s="16" t="s">
        <v>41</v>
      </c>
      <c r="G4" s="17"/>
      <c r="H4" s="33" t="s">
        <v>65</v>
      </c>
      <c r="I4" s="33" t="s">
        <v>65</v>
      </c>
      <c r="K4" s="20">
        <f>Cta_Vta!K4</f>
        <v>2</v>
      </c>
      <c r="L4" s="20">
        <f>Cta_Vta!L4</f>
        <v>0</v>
      </c>
      <c r="M4" s="21">
        <f>Cta_Vta!M4</f>
        <v>45991</v>
      </c>
      <c r="N4" s="21">
        <f>Cta_Vta!N4</f>
        <v>45991</v>
      </c>
      <c r="O4" s="21">
        <f>Cta_Vta!O4</f>
        <v>45991</v>
      </c>
      <c r="P4" s="95">
        <f>Cta_Vta!P4</f>
        <v>3833994024.2763772</v>
      </c>
      <c r="V4">
        <v>1</v>
      </c>
      <c r="W4" t="s">
        <v>33</v>
      </c>
      <c r="Y4" t="s">
        <v>33</v>
      </c>
      <c r="Z4" t="s">
        <v>34</v>
      </c>
      <c r="AA4">
        <v>1</v>
      </c>
      <c r="AC4" s="15"/>
    </row>
    <row r="5" spans="1:31" x14ac:dyDescent="0.35">
      <c r="A5" s="13">
        <f t="shared" si="2"/>
        <v>45930</v>
      </c>
      <c r="B5">
        <v>1</v>
      </c>
      <c r="D5" s="14" t="s">
        <v>31</v>
      </c>
      <c r="E5" s="16" t="s">
        <v>41</v>
      </c>
      <c r="F5" s="16" t="s">
        <v>41</v>
      </c>
      <c r="G5" s="17"/>
      <c r="H5" s="33" t="s">
        <v>65</v>
      </c>
      <c r="I5" s="33" t="s">
        <v>65</v>
      </c>
      <c r="K5" s="20">
        <f>Cta_Vta!K5</f>
        <v>3</v>
      </c>
      <c r="L5" s="20">
        <f>Cta_Vta!L5</f>
        <v>0</v>
      </c>
      <c r="M5" s="21">
        <f>Cta_Vta!M5</f>
        <v>46022</v>
      </c>
      <c r="N5" s="21">
        <f>Cta_Vta!N5</f>
        <v>46022</v>
      </c>
      <c r="O5" s="21">
        <f>Cta_Vta!O5</f>
        <v>46022</v>
      </c>
      <c r="P5" s="95">
        <f>Cta_Vta!P5</f>
        <v>3833994024.2763772</v>
      </c>
      <c r="V5">
        <v>1</v>
      </c>
      <c r="W5" t="s">
        <v>33</v>
      </c>
      <c r="Y5" t="s">
        <v>33</v>
      </c>
      <c r="Z5" t="s">
        <v>34</v>
      </c>
      <c r="AA5">
        <v>1</v>
      </c>
      <c r="AC5" s="15"/>
    </row>
    <row r="6" spans="1:31" x14ac:dyDescent="0.35">
      <c r="A6" s="13">
        <f t="shared" si="2"/>
        <v>45930</v>
      </c>
      <c r="B6">
        <v>1</v>
      </c>
      <c r="D6" s="14" t="s">
        <v>31</v>
      </c>
      <c r="E6" s="16" t="s">
        <v>41</v>
      </c>
      <c r="F6" s="16" t="s">
        <v>41</v>
      </c>
      <c r="G6" s="17"/>
      <c r="H6" s="33" t="s">
        <v>65</v>
      </c>
      <c r="I6" s="33" t="s">
        <v>65</v>
      </c>
      <c r="K6" s="20">
        <f>Cta_Vta!K6</f>
        <v>4</v>
      </c>
      <c r="L6" s="20">
        <f>Cta_Vta!L6</f>
        <v>0</v>
      </c>
      <c r="M6" s="21">
        <f>Cta_Vta!M6</f>
        <v>46053</v>
      </c>
      <c r="N6" s="21">
        <f>Cta_Vta!N6</f>
        <v>46053</v>
      </c>
      <c r="O6" s="21">
        <f>Cta_Vta!O6</f>
        <v>46053</v>
      </c>
      <c r="P6" s="95">
        <f>Cta_Vta!P6</f>
        <v>3833994024.2763772</v>
      </c>
      <c r="V6">
        <v>1</v>
      </c>
      <c r="W6" t="s">
        <v>33</v>
      </c>
      <c r="Y6" t="s">
        <v>33</v>
      </c>
      <c r="Z6" t="s">
        <v>34</v>
      </c>
      <c r="AA6">
        <v>1</v>
      </c>
      <c r="AC6" s="15"/>
    </row>
    <row r="7" spans="1:31" x14ac:dyDescent="0.35">
      <c r="A7" s="13">
        <f t="shared" si="2"/>
        <v>45930</v>
      </c>
      <c r="B7">
        <v>1</v>
      </c>
      <c r="D7" s="14" t="s">
        <v>31</v>
      </c>
      <c r="E7" s="16" t="s">
        <v>41</v>
      </c>
      <c r="F7" s="16" t="s">
        <v>41</v>
      </c>
      <c r="G7" s="17"/>
      <c r="H7" s="33" t="s">
        <v>65</v>
      </c>
      <c r="I7" s="33" t="s">
        <v>65</v>
      </c>
      <c r="K7" s="20">
        <f>Cta_Vta!K7</f>
        <v>5</v>
      </c>
      <c r="L7" s="20">
        <f>Cta_Vta!L7</f>
        <v>0</v>
      </c>
      <c r="M7" s="21">
        <f>Cta_Vta!M7</f>
        <v>46081</v>
      </c>
      <c r="N7" s="21">
        <f>Cta_Vta!N7</f>
        <v>46081</v>
      </c>
      <c r="O7" s="21">
        <f>Cta_Vta!O7</f>
        <v>46081</v>
      </c>
      <c r="P7" s="95">
        <f>Cta_Vta!P7</f>
        <v>3833994024.2763772</v>
      </c>
      <c r="V7">
        <v>1</v>
      </c>
      <c r="W7" t="s">
        <v>33</v>
      </c>
      <c r="Y7" t="s">
        <v>33</v>
      </c>
      <c r="Z7" t="s">
        <v>34</v>
      </c>
      <c r="AA7">
        <v>1</v>
      </c>
      <c r="AC7" s="15"/>
    </row>
    <row r="8" spans="1:31" x14ac:dyDescent="0.35">
      <c r="A8" s="13">
        <f t="shared" si="2"/>
        <v>45930</v>
      </c>
      <c r="B8">
        <v>1</v>
      </c>
      <c r="D8" s="14" t="s">
        <v>31</v>
      </c>
      <c r="E8" s="16" t="s">
        <v>41</v>
      </c>
      <c r="F8" s="16" t="s">
        <v>41</v>
      </c>
      <c r="G8" s="17"/>
      <c r="H8" s="33" t="s">
        <v>65</v>
      </c>
      <c r="I8" s="33" t="s">
        <v>65</v>
      </c>
      <c r="K8" s="20">
        <f>Cta_Vta!K8</f>
        <v>6</v>
      </c>
      <c r="L8" s="20">
        <f>Cta_Vta!L8</f>
        <v>0</v>
      </c>
      <c r="M8" s="21">
        <f>Cta_Vta!M8</f>
        <v>46112</v>
      </c>
      <c r="N8" s="21">
        <f>Cta_Vta!N8</f>
        <v>46112</v>
      </c>
      <c r="O8" s="21">
        <f>Cta_Vta!O8</f>
        <v>46112</v>
      </c>
      <c r="P8" s="95">
        <f>Cta_Vta!P8</f>
        <v>3833994024.2763772</v>
      </c>
      <c r="V8">
        <v>1</v>
      </c>
      <c r="W8" t="s">
        <v>33</v>
      </c>
      <c r="Y8" t="s">
        <v>33</v>
      </c>
      <c r="Z8" t="s">
        <v>34</v>
      </c>
      <c r="AA8">
        <v>1</v>
      </c>
      <c r="AC8" s="15"/>
    </row>
    <row r="9" spans="1:31" x14ac:dyDescent="0.35">
      <c r="A9" s="13">
        <f t="shared" si="2"/>
        <v>45930</v>
      </c>
      <c r="B9">
        <v>1</v>
      </c>
      <c r="D9" s="14" t="s">
        <v>31</v>
      </c>
      <c r="E9" s="16" t="s">
        <v>41</v>
      </c>
      <c r="F9" s="16" t="s">
        <v>41</v>
      </c>
      <c r="G9" s="17"/>
      <c r="H9" s="33" t="s">
        <v>65</v>
      </c>
      <c r="I9" s="33" t="s">
        <v>65</v>
      </c>
      <c r="K9" s="20">
        <f>Cta_Vta!K9</f>
        <v>7</v>
      </c>
      <c r="L9" s="20">
        <f>Cta_Vta!L9</f>
        <v>0</v>
      </c>
      <c r="M9" s="21">
        <f>Cta_Vta!M9</f>
        <v>46142</v>
      </c>
      <c r="N9" s="21">
        <f>Cta_Vta!N9</f>
        <v>46142</v>
      </c>
      <c r="O9" s="21">
        <f>Cta_Vta!O9</f>
        <v>46142</v>
      </c>
      <c r="P9" s="95">
        <f>Cta_Vta!P9</f>
        <v>3833994024.2763772</v>
      </c>
      <c r="V9">
        <v>1</v>
      </c>
      <c r="W9" t="s">
        <v>33</v>
      </c>
      <c r="Y9" t="s">
        <v>33</v>
      </c>
      <c r="Z9" t="s">
        <v>34</v>
      </c>
      <c r="AA9">
        <v>1</v>
      </c>
      <c r="AC9" s="15"/>
    </row>
    <row r="10" spans="1:31" x14ac:dyDescent="0.35">
      <c r="A10" s="13">
        <f t="shared" si="2"/>
        <v>45930</v>
      </c>
      <c r="B10">
        <v>1</v>
      </c>
      <c r="D10" s="14" t="s">
        <v>31</v>
      </c>
      <c r="E10" s="16" t="s">
        <v>41</v>
      </c>
      <c r="F10" s="16" t="s">
        <v>41</v>
      </c>
      <c r="G10" s="17"/>
      <c r="H10" s="33" t="s">
        <v>65</v>
      </c>
      <c r="I10" s="33" t="s">
        <v>65</v>
      </c>
      <c r="K10" s="20">
        <f>Cta_Vta!K10</f>
        <v>8</v>
      </c>
      <c r="L10" s="20">
        <f>Cta_Vta!L10</f>
        <v>0</v>
      </c>
      <c r="M10" s="21">
        <f>Cta_Vta!M10</f>
        <v>46173</v>
      </c>
      <c r="N10" s="21">
        <f>Cta_Vta!N10</f>
        <v>46173</v>
      </c>
      <c r="O10" s="21">
        <f>Cta_Vta!O10</f>
        <v>46173</v>
      </c>
      <c r="P10" s="95">
        <f>Cta_Vta!P10</f>
        <v>3833994024.2763772</v>
      </c>
      <c r="V10">
        <v>1</v>
      </c>
      <c r="W10" t="s">
        <v>33</v>
      </c>
      <c r="Y10" t="s">
        <v>33</v>
      </c>
      <c r="Z10" t="s">
        <v>34</v>
      </c>
      <c r="AA10">
        <v>1</v>
      </c>
      <c r="AC10" s="15"/>
    </row>
    <row r="11" spans="1:31" x14ac:dyDescent="0.35">
      <c r="A11" s="13">
        <f t="shared" si="2"/>
        <v>45930</v>
      </c>
      <c r="B11">
        <v>1</v>
      </c>
      <c r="D11" s="14" t="s">
        <v>31</v>
      </c>
      <c r="E11" s="16" t="s">
        <v>41</v>
      </c>
      <c r="F11" s="16" t="s">
        <v>41</v>
      </c>
      <c r="G11" s="17"/>
      <c r="H11" s="33" t="s">
        <v>65</v>
      </c>
      <c r="I11" s="33" t="s">
        <v>65</v>
      </c>
      <c r="K11" s="20">
        <f>Cta_Vta!K11</f>
        <v>9</v>
      </c>
      <c r="L11" s="20">
        <f>Cta_Vta!L11</f>
        <v>0</v>
      </c>
      <c r="M11" s="21">
        <f>Cta_Vta!M11</f>
        <v>46203</v>
      </c>
      <c r="N11" s="21">
        <f>Cta_Vta!N11</f>
        <v>46203</v>
      </c>
      <c r="O11" s="21">
        <f>Cta_Vta!O11</f>
        <v>46203</v>
      </c>
      <c r="P11" s="95">
        <f>Cta_Vta!P11</f>
        <v>3833994024.2763772</v>
      </c>
      <c r="V11">
        <v>1</v>
      </c>
      <c r="W11" t="s">
        <v>33</v>
      </c>
      <c r="Y11" t="s">
        <v>33</v>
      </c>
      <c r="Z11" t="s">
        <v>34</v>
      </c>
      <c r="AA11">
        <v>1</v>
      </c>
      <c r="AC11" s="15"/>
    </row>
    <row r="12" spans="1:31" x14ac:dyDescent="0.35">
      <c r="A12" s="13">
        <f t="shared" si="2"/>
        <v>45930</v>
      </c>
      <c r="B12">
        <v>1</v>
      </c>
      <c r="D12" s="14" t="s">
        <v>31</v>
      </c>
      <c r="E12" s="16" t="s">
        <v>41</v>
      </c>
      <c r="F12" s="16" t="s">
        <v>41</v>
      </c>
      <c r="G12" s="17"/>
      <c r="H12" s="33" t="s">
        <v>65</v>
      </c>
      <c r="I12" s="33" t="s">
        <v>65</v>
      </c>
      <c r="K12" s="20">
        <f>Cta_Vta!K12</f>
        <v>10</v>
      </c>
      <c r="L12" s="20">
        <f>Cta_Vta!L12</f>
        <v>0</v>
      </c>
      <c r="M12" s="21">
        <f>Cta_Vta!M12</f>
        <v>46234</v>
      </c>
      <c r="N12" s="21">
        <f>Cta_Vta!N12</f>
        <v>46234</v>
      </c>
      <c r="O12" s="21">
        <f>Cta_Vta!O12</f>
        <v>46234</v>
      </c>
      <c r="P12" s="95">
        <f>Cta_Vta!P12</f>
        <v>3833994024.2763772</v>
      </c>
      <c r="V12">
        <v>1</v>
      </c>
      <c r="W12" t="s">
        <v>33</v>
      </c>
      <c r="Y12" t="s">
        <v>33</v>
      </c>
      <c r="Z12" t="s">
        <v>34</v>
      </c>
      <c r="AA12">
        <v>1</v>
      </c>
      <c r="AC12" s="15"/>
    </row>
    <row r="13" spans="1:31" x14ac:dyDescent="0.35">
      <c r="A13" s="13">
        <f t="shared" si="2"/>
        <v>45930</v>
      </c>
      <c r="B13">
        <v>1</v>
      </c>
      <c r="D13" s="14" t="s">
        <v>31</v>
      </c>
      <c r="E13" s="16" t="s">
        <v>41</v>
      </c>
      <c r="F13" s="16" t="s">
        <v>41</v>
      </c>
      <c r="G13" s="17"/>
      <c r="H13" s="33" t="s">
        <v>65</v>
      </c>
      <c r="I13" s="33" t="s">
        <v>65</v>
      </c>
      <c r="K13" s="20">
        <f>Cta_Vta!K13</f>
        <v>11</v>
      </c>
      <c r="L13" s="20">
        <f>Cta_Vta!L13</f>
        <v>0</v>
      </c>
      <c r="M13" s="21">
        <f>Cta_Vta!M13</f>
        <v>46265</v>
      </c>
      <c r="N13" s="21">
        <f>Cta_Vta!N13</f>
        <v>46265</v>
      </c>
      <c r="O13" s="21">
        <f>Cta_Vta!O13</f>
        <v>46265</v>
      </c>
      <c r="P13" s="95">
        <f>Cta_Vta!P13</f>
        <v>3833994024.2763772</v>
      </c>
      <c r="V13">
        <v>1</v>
      </c>
      <c r="W13" t="s">
        <v>33</v>
      </c>
      <c r="Y13" t="s">
        <v>33</v>
      </c>
      <c r="Z13" t="s">
        <v>34</v>
      </c>
      <c r="AA13">
        <v>1</v>
      </c>
      <c r="AC13" s="15"/>
    </row>
    <row r="14" spans="1:31" x14ac:dyDescent="0.35">
      <c r="A14" s="13">
        <f t="shared" si="2"/>
        <v>45930</v>
      </c>
      <c r="B14">
        <v>1</v>
      </c>
      <c r="D14" s="14" t="s">
        <v>31</v>
      </c>
      <c r="E14" s="16" t="s">
        <v>41</v>
      </c>
      <c r="F14" s="16" t="s">
        <v>41</v>
      </c>
      <c r="G14" s="17"/>
      <c r="H14" s="33" t="s">
        <v>65</v>
      </c>
      <c r="I14" s="33" t="s">
        <v>65</v>
      </c>
      <c r="K14" s="20">
        <f>Cta_Vta!K14</f>
        <v>12</v>
      </c>
      <c r="L14" s="20">
        <f>Cta_Vta!L14</f>
        <v>0</v>
      </c>
      <c r="M14" s="21">
        <f>Cta_Vta!M14</f>
        <v>46295</v>
      </c>
      <c r="N14" s="21">
        <f>Cta_Vta!N14</f>
        <v>46295</v>
      </c>
      <c r="O14" s="21">
        <f>Cta_Vta!O14</f>
        <v>46295</v>
      </c>
      <c r="P14" s="95">
        <f>Cta_Vta!P14</f>
        <v>3833994024.2763772</v>
      </c>
      <c r="V14">
        <v>1</v>
      </c>
      <c r="W14" t="s">
        <v>33</v>
      </c>
      <c r="Y14" t="s">
        <v>33</v>
      </c>
      <c r="Z14" t="s">
        <v>34</v>
      </c>
      <c r="AA14">
        <v>1</v>
      </c>
      <c r="AC14" s="15"/>
    </row>
    <row r="15" spans="1:31" x14ac:dyDescent="0.35">
      <c r="A15" s="13">
        <f t="shared" si="2"/>
        <v>45930</v>
      </c>
      <c r="B15">
        <v>1</v>
      </c>
      <c r="D15" s="14" t="s">
        <v>31</v>
      </c>
      <c r="E15" s="16" t="s">
        <v>41</v>
      </c>
      <c r="F15" s="16" t="s">
        <v>41</v>
      </c>
      <c r="G15" s="17"/>
      <c r="H15" s="33" t="s">
        <v>65</v>
      </c>
      <c r="I15" s="33" t="s">
        <v>65</v>
      </c>
      <c r="K15" s="20">
        <f>Cta_Vta!K15</f>
        <v>13</v>
      </c>
      <c r="L15" s="20">
        <f>Cta_Vta!L15</f>
        <v>0</v>
      </c>
      <c r="M15" s="21">
        <f>Cta_Vta!M15</f>
        <v>46326</v>
      </c>
      <c r="N15" s="21">
        <f>Cta_Vta!N15</f>
        <v>46326</v>
      </c>
      <c r="O15" s="21">
        <f>Cta_Vta!O15</f>
        <v>46326</v>
      </c>
      <c r="P15" s="95">
        <f>Cta_Vta!P15</f>
        <v>3833994024.2763772</v>
      </c>
      <c r="V15">
        <v>1</v>
      </c>
      <c r="W15" t="s">
        <v>33</v>
      </c>
      <c r="Y15" t="s">
        <v>33</v>
      </c>
      <c r="Z15" t="s">
        <v>34</v>
      </c>
      <c r="AA15">
        <v>1</v>
      </c>
      <c r="AC15" s="15"/>
    </row>
    <row r="16" spans="1:31" x14ac:dyDescent="0.35">
      <c r="A16" s="13">
        <f t="shared" si="2"/>
        <v>45930</v>
      </c>
      <c r="B16">
        <v>1</v>
      </c>
      <c r="D16" s="14" t="s">
        <v>31</v>
      </c>
      <c r="E16" s="16" t="s">
        <v>41</v>
      </c>
      <c r="F16" s="16" t="s">
        <v>41</v>
      </c>
      <c r="G16" s="17"/>
      <c r="H16" s="33" t="s">
        <v>65</v>
      </c>
      <c r="I16" s="33" t="s">
        <v>65</v>
      </c>
      <c r="K16" s="20">
        <f>Cta_Vta!K16</f>
        <v>14</v>
      </c>
      <c r="L16" s="20">
        <f>Cta_Vta!L16</f>
        <v>0</v>
      </c>
      <c r="M16" s="21">
        <f>Cta_Vta!M16</f>
        <v>46356</v>
      </c>
      <c r="N16" s="21">
        <f>Cta_Vta!N16</f>
        <v>46356</v>
      </c>
      <c r="O16" s="21">
        <f>Cta_Vta!O16</f>
        <v>46356</v>
      </c>
      <c r="P16" s="95">
        <f>Cta_Vta!P16</f>
        <v>3833994024.2763772</v>
      </c>
      <c r="V16">
        <v>1</v>
      </c>
      <c r="W16" t="s">
        <v>33</v>
      </c>
      <c r="Y16" t="s">
        <v>33</v>
      </c>
      <c r="Z16" t="s">
        <v>34</v>
      </c>
      <c r="AA16">
        <v>1</v>
      </c>
      <c r="AC16" s="15"/>
    </row>
    <row r="17" spans="1:29" x14ac:dyDescent="0.35">
      <c r="A17" s="13">
        <f t="shared" si="2"/>
        <v>45930</v>
      </c>
      <c r="B17">
        <v>1</v>
      </c>
      <c r="D17" s="14" t="s">
        <v>31</v>
      </c>
      <c r="E17" s="16" t="s">
        <v>41</v>
      </c>
      <c r="F17" s="16" t="s">
        <v>41</v>
      </c>
      <c r="G17" s="17"/>
      <c r="H17" s="33" t="s">
        <v>65</v>
      </c>
      <c r="I17" s="33" t="s">
        <v>65</v>
      </c>
      <c r="K17" s="20">
        <f>Cta_Vta!K17</f>
        <v>15</v>
      </c>
      <c r="L17" s="20">
        <f>Cta_Vta!L17</f>
        <v>0</v>
      </c>
      <c r="M17" s="21">
        <f>Cta_Vta!M17</f>
        <v>46387</v>
      </c>
      <c r="N17" s="21">
        <f>Cta_Vta!N17</f>
        <v>46387</v>
      </c>
      <c r="O17" s="21">
        <f>Cta_Vta!O17</f>
        <v>46387</v>
      </c>
      <c r="P17" s="95">
        <f>Cta_Vta!P17</f>
        <v>3833994024.2763772</v>
      </c>
      <c r="V17">
        <v>1</v>
      </c>
      <c r="W17" t="s">
        <v>33</v>
      </c>
      <c r="Y17" t="s">
        <v>33</v>
      </c>
      <c r="Z17" t="s">
        <v>34</v>
      </c>
      <c r="AA17">
        <v>1</v>
      </c>
      <c r="AC17" s="15"/>
    </row>
    <row r="18" spans="1:29" x14ac:dyDescent="0.35">
      <c r="A18" s="13">
        <f t="shared" si="2"/>
        <v>45930</v>
      </c>
      <c r="B18">
        <v>1</v>
      </c>
      <c r="D18" s="14" t="s">
        <v>31</v>
      </c>
      <c r="E18" s="16" t="s">
        <v>41</v>
      </c>
      <c r="F18" s="16" t="s">
        <v>41</v>
      </c>
      <c r="G18" s="17"/>
      <c r="H18" s="33" t="s">
        <v>65</v>
      </c>
      <c r="I18" s="33" t="s">
        <v>65</v>
      </c>
      <c r="K18" s="20">
        <f>Cta_Vta!K18</f>
        <v>16</v>
      </c>
      <c r="L18" s="20">
        <f>Cta_Vta!L18</f>
        <v>0</v>
      </c>
      <c r="M18" s="21">
        <f>Cta_Vta!M18</f>
        <v>46418</v>
      </c>
      <c r="N18" s="21">
        <f>Cta_Vta!N18</f>
        <v>46418</v>
      </c>
      <c r="O18" s="21">
        <f>Cta_Vta!O18</f>
        <v>46418</v>
      </c>
      <c r="P18" s="95">
        <f>Cta_Vta!P18</f>
        <v>3833994024.2763772</v>
      </c>
      <c r="V18">
        <v>1</v>
      </c>
      <c r="W18" t="s">
        <v>33</v>
      </c>
      <c r="Y18" t="s">
        <v>33</v>
      </c>
      <c r="Z18" t="s">
        <v>34</v>
      </c>
      <c r="AA18">
        <v>1</v>
      </c>
      <c r="AC18" s="15"/>
    </row>
    <row r="19" spans="1:29" x14ac:dyDescent="0.35">
      <c r="A19" s="13">
        <f t="shared" si="2"/>
        <v>45930</v>
      </c>
      <c r="B19">
        <v>1</v>
      </c>
      <c r="D19" s="14" t="s">
        <v>31</v>
      </c>
      <c r="E19" s="16" t="s">
        <v>41</v>
      </c>
      <c r="F19" s="16" t="s">
        <v>41</v>
      </c>
      <c r="G19" s="17"/>
      <c r="H19" s="33" t="s">
        <v>65</v>
      </c>
      <c r="I19" s="33" t="s">
        <v>65</v>
      </c>
      <c r="K19" s="20">
        <f>Cta_Vta!K19</f>
        <v>17</v>
      </c>
      <c r="L19" s="20">
        <f>Cta_Vta!L19</f>
        <v>0</v>
      </c>
      <c r="M19" s="21">
        <f>Cta_Vta!M19</f>
        <v>46446</v>
      </c>
      <c r="N19" s="21">
        <f>Cta_Vta!N19</f>
        <v>46446</v>
      </c>
      <c r="O19" s="21">
        <f>Cta_Vta!O19</f>
        <v>46446</v>
      </c>
      <c r="P19" s="95">
        <f>Cta_Vta!P19</f>
        <v>3833994024.2763772</v>
      </c>
      <c r="V19">
        <v>1</v>
      </c>
      <c r="W19" t="s">
        <v>33</v>
      </c>
      <c r="Y19" t="s">
        <v>33</v>
      </c>
      <c r="Z19" t="s">
        <v>34</v>
      </c>
      <c r="AA19">
        <v>1</v>
      </c>
      <c r="AC19" s="15"/>
    </row>
    <row r="20" spans="1:29" x14ac:dyDescent="0.35">
      <c r="A20" s="13">
        <f t="shared" si="2"/>
        <v>45930</v>
      </c>
      <c r="B20">
        <v>1</v>
      </c>
      <c r="D20" s="14" t="s">
        <v>31</v>
      </c>
      <c r="E20" s="16" t="s">
        <v>41</v>
      </c>
      <c r="F20" s="16" t="s">
        <v>41</v>
      </c>
      <c r="G20" s="17"/>
      <c r="H20" s="33" t="s">
        <v>65</v>
      </c>
      <c r="I20" s="33" t="s">
        <v>65</v>
      </c>
      <c r="K20" s="20">
        <f>Cta_Vta!K20</f>
        <v>18</v>
      </c>
      <c r="L20" s="20">
        <f>Cta_Vta!L20</f>
        <v>0</v>
      </c>
      <c r="M20" s="21">
        <f>Cta_Vta!M20</f>
        <v>46477</v>
      </c>
      <c r="N20" s="21">
        <f>Cta_Vta!N20</f>
        <v>46477</v>
      </c>
      <c r="O20" s="21">
        <f>Cta_Vta!O20</f>
        <v>46477</v>
      </c>
      <c r="P20" s="95">
        <f>Cta_Vta!P20</f>
        <v>3833994024.2763772</v>
      </c>
      <c r="V20">
        <v>1</v>
      </c>
      <c r="W20" t="s">
        <v>33</v>
      </c>
      <c r="Y20" t="s">
        <v>33</v>
      </c>
      <c r="Z20" t="s">
        <v>34</v>
      </c>
      <c r="AA20">
        <v>1</v>
      </c>
    </row>
    <row r="21" spans="1:29" x14ac:dyDescent="0.35">
      <c r="A21" s="13">
        <f t="shared" si="2"/>
        <v>45930</v>
      </c>
      <c r="B21">
        <v>1</v>
      </c>
      <c r="D21" s="14" t="s">
        <v>31</v>
      </c>
      <c r="E21" s="16" t="s">
        <v>41</v>
      </c>
      <c r="F21" s="16" t="s">
        <v>41</v>
      </c>
      <c r="G21" s="17"/>
      <c r="H21" s="33" t="s">
        <v>65</v>
      </c>
      <c r="I21" s="33" t="s">
        <v>65</v>
      </c>
      <c r="K21" s="20">
        <f>Cta_Vta!K21</f>
        <v>19</v>
      </c>
      <c r="L21" s="20">
        <f>Cta_Vta!L21</f>
        <v>0</v>
      </c>
      <c r="M21" s="21">
        <f>Cta_Vta!M21</f>
        <v>46507</v>
      </c>
      <c r="N21" s="21">
        <f>Cta_Vta!N21</f>
        <v>46507</v>
      </c>
      <c r="O21" s="21">
        <f>Cta_Vta!O21</f>
        <v>46507</v>
      </c>
      <c r="P21" s="95">
        <f>Cta_Vta!P21</f>
        <v>3833994024.2763772</v>
      </c>
      <c r="V21">
        <v>1</v>
      </c>
      <c r="W21" t="s">
        <v>33</v>
      </c>
      <c r="Y21" t="s">
        <v>33</v>
      </c>
      <c r="Z21" t="s">
        <v>34</v>
      </c>
      <c r="AA21">
        <v>1</v>
      </c>
    </row>
    <row r="22" spans="1:29" x14ac:dyDescent="0.35">
      <c r="A22" s="13">
        <f t="shared" si="2"/>
        <v>45930</v>
      </c>
      <c r="B22">
        <v>1</v>
      </c>
      <c r="D22" s="14" t="s">
        <v>31</v>
      </c>
      <c r="E22" s="16" t="s">
        <v>41</v>
      </c>
      <c r="F22" s="16" t="s">
        <v>41</v>
      </c>
      <c r="G22" s="17"/>
      <c r="H22" s="33" t="s">
        <v>65</v>
      </c>
      <c r="I22" s="33" t="s">
        <v>65</v>
      </c>
      <c r="K22" s="20">
        <f>Cta_Vta!K22</f>
        <v>20</v>
      </c>
      <c r="L22" s="20">
        <f>Cta_Vta!L22</f>
        <v>0</v>
      </c>
      <c r="M22" s="21">
        <f>Cta_Vta!M22</f>
        <v>46538</v>
      </c>
      <c r="N22" s="21">
        <f>Cta_Vta!N22</f>
        <v>46538</v>
      </c>
      <c r="O22" s="21">
        <f>Cta_Vta!O22</f>
        <v>46538</v>
      </c>
      <c r="P22" s="95">
        <f>Cta_Vta!P22</f>
        <v>3833994024.2763772</v>
      </c>
      <c r="V22">
        <v>1</v>
      </c>
      <c r="W22" t="s">
        <v>33</v>
      </c>
      <c r="Y22" t="s">
        <v>33</v>
      </c>
      <c r="Z22" t="s">
        <v>34</v>
      </c>
      <c r="AA22">
        <v>1</v>
      </c>
    </row>
    <row r="23" spans="1:29" x14ac:dyDescent="0.35">
      <c r="A23" s="13">
        <f t="shared" si="2"/>
        <v>45930</v>
      </c>
      <c r="B23">
        <v>1</v>
      </c>
      <c r="D23" s="14" t="s">
        <v>31</v>
      </c>
      <c r="E23" s="16" t="s">
        <v>41</v>
      </c>
      <c r="F23" s="16" t="s">
        <v>41</v>
      </c>
      <c r="G23" s="17"/>
      <c r="H23" s="33" t="s">
        <v>65</v>
      </c>
      <c r="I23" s="33" t="s">
        <v>65</v>
      </c>
      <c r="K23" s="20">
        <f>Cta_Vta!K23</f>
        <v>21</v>
      </c>
      <c r="L23" s="20">
        <f>Cta_Vta!L23</f>
        <v>0</v>
      </c>
      <c r="M23" s="21">
        <f>Cta_Vta!M23</f>
        <v>46568</v>
      </c>
      <c r="N23" s="21">
        <f>Cta_Vta!N23</f>
        <v>46568</v>
      </c>
      <c r="O23" s="21">
        <f>Cta_Vta!O23</f>
        <v>46568</v>
      </c>
      <c r="P23" s="95">
        <f>Cta_Vta!P23</f>
        <v>3833994024.2763772</v>
      </c>
      <c r="V23">
        <v>1</v>
      </c>
      <c r="W23" t="s">
        <v>33</v>
      </c>
      <c r="Y23" t="s">
        <v>33</v>
      </c>
      <c r="Z23" t="s">
        <v>34</v>
      </c>
      <c r="AA23">
        <v>1</v>
      </c>
    </row>
    <row r="24" spans="1:29" x14ac:dyDescent="0.35">
      <c r="A24" s="13">
        <f t="shared" si="2"/>
        <v>45930</v>
      </c>
      <c r="B24">
        <v>1</v>
      </c>
      <c r="D24" s="14" t="s">
        <v>31</v>
      </c>
      <c r="E24" s="16" t="s">
        <v>41</v>
      </c>
      <c r="F24" s="16" t="s">
        <v>41</v>
      </c>
      <c r="G24" s="17"/>
      <c r="H24" s="33" t="s">
        <v>65</v>
      </c>
      <c r="I24" s="33" t="s">
        <v>65</v>
      </c>
      <c r="K24" s="20">
        <f>Cta_Vta!K24</f>
        <v>22</v>
      </c>
      <c r="L24" s="20">
        <f>Cta_Vta!L24</f>
        <v>0</v>
      </c>
      <c r="M24" s="21">
        <f>Cta_Vta!M24</f>
        <v>46599</v>
      </c>
      <c r="N24" s="21">
        <f>Cta_Vta!N24</f>
        <v>46599</v>
      </c>
      <c r="O24" s="21">
        <f>Cta_Vta!O24</f>
        <v>46599</v>
      </c>
      <c r="P24" s="95">
        <f>Cta_Vta!P24</f>
        <v>3833994024.2763772</v>
      </c>
      <c r="V24">
        <v>1</v>
      </c>
      <c r="W24" t="s">
        <v>33</v>
      </c>
      <c r="Y24" t="s">
        <v>33</v>
      </c>
      <c r="Z24" t="s">
        <v>34</v>
      </c>
      <c r="AA24">
        <v>1</v>
      </c>
    </row>
    <row r="25" spans="1:29" x14ac:dyDescent="0.35">
      <c r="A25" s="13">
        <f t="shared" si="2"/>
        <v>45930</v>
      </c>
      <c r="B25">
        <v>1</v>
      </c>
      <c r="D25" s="14" t="s">
        <v>31</v>
      </c>
      <c r="E25" s="16" t="s">
        <v>41</v>
      </c>
      <c r="F25" s="16" t="s">
        <v>41</v>
      </c>
      <c r="G25" s="17"/>
      <c r="H25" s="33" t="s">
        <v>65</v>
      </c>
      <c r="I25" s="33" t="s">
        <v>65</v>
      </c>
      <c r="K25" s="20">
        <f>Cta_Vta!K25</f>
        <v>23</v>
      </c>
      <c r="L25" s="20">
        <f>Cta_Vta!L25</f>
        <v>0</v>
      </c>
      <c r="M25" s="21">
        <f>Cta_Vta!M25</f>
        <v>46630</v>
      </c>
      <c r="N25" s="21">
        <f>Cta_Vta!N25</f>
        <v>46630</v>
      </c>
      <c r="O25" s="21">
        <f>Cta_Vta!O25</f>
        <v>46630</v>
      </c>
      <c r="P25" s="95">
        <f>Cta_Vta!P25</f>
        <v>3833994024.2763772</v>
      </c>
      <c r="V25">
        <v>1</v>
      </c>
      <c r="W25" t="s">
        <v>33</v>
      </c>
      <c r="Y25" t="s">
        <v>33</v>
      </c>
      <c r="Z25" t="s">
        <v>34</v>
      </c>
      <c r="AA25">
        <v>1</v>
      </c>
    </row>
    <row r="26" spans="1:29" x14ac:dyDescent="0.35">
      <c r="A26" s="13">
        <f t="shared" si="2"/>
        <v>45930</v>
      </c>
      <c r="B26">
        <v>1</v>
      </c>
      <c r="D26" s="14" t="s">
        <v>31</v>
      </c>
      <c r="E26" s="16" t="s">
        <v>41</v>
      </c>
      <c r="F26" s="16" t="s">
        <v>41</v>
      </c>
      <c r="G26" s="17"/>
      <c r="H26" s="33" t="s">
        <v>65</v>
      </c>
      <c r="I26" s="33" t="s">
        <v>65</v>
      </c>
      <c r="K26" s="20">
        <f>Cta_Vta!K26</f>
        <v>24</v>
      </c>
      <c r="L26" s="20">
        <f>Cta_Vta!L26</f>
        <v>0</v>
      </c>
      <c r="M26" s="21">
        <f>Cta_Vta!M26</f>
        <v>46660</v>
      </c>
      <c r="N26" s="21">
        <f>Cta_Vta!N26</f>
        <v>46660</v>
      </c>
      <c r="O26" s="21">
        <f>Cta_Vta!O26</f>
        <v>46660</v>
      </c>
      <c r="P26" s="95">
        <f>Cta_Vta!P26</f>
        <v>3833994024.2763772</v>
      </c>
      <c r="V26">
        <v>1</v>
      </c>
      <c r="W26" t="s">
        <v>33</v>
      </c>
      <c r="Y26" t="s">
        <v>33</v>
      </c>
      <c r="Z26" t="s">
        <v>34</v>
      </c>
      <c r="AA26">
        <v>1</v>
      </c>
    </row>
    <row r="27" spans="1:29" x14ac:dyDescent="0.35">
      <c r="A27" s="13">
        <f t="shared" si="2"/>
        <v>45930</v>
      </c>
      <c r="B27">
        <v>1</v>
      </c>
      <c r="D27" s="14" t="s">
        <v>31</v>
      </c>
      <c r="E27" s="16" t="s">
        <v>41</v>
      </c>
      <c r="F27" s="16" t="s">
        <v>41</v>
      </c>
      <c r="G27" s="17"/>
      <c r="H27" s="33" t="s">
        <v>65</v>
      </c>
      <c r="I27" s="33" t="s">
        <v>65</v>
      </c>
      <c r="K27" s="20">
        <f>Cta_Vta!K27</f>
        <v>25</v>
      </c>
      <c r="L27" s="20">
        <f>Cta_Vta!L27</f>
        <v>0</v>
      </c>
      <c r="M27" s="21">
        <f>Cta_Vta!M27</f>
        <v>46691</v>
      </c>
      <c r="N27" s="21">
        <f>Cta_Vta!N27</f>
        <v>46691</v>
      </c>
      <c r="O27" s="21">
        <f>Cta_Vta!O27</f>
        <v>46691</v>
      </c>
      <c r="P27" s="95">
        <f>Cta_Vta!P27</f>
        <v>3833994024.2763772</v>
      </c>
      <c r="V27">
        <v>1</v>
      </c>
      <c r="W27" t="s">
        <v>33</v>
      </c>
      <c r="Y27" t="s">
        <v>33</v>
      </c>
      <c r="Z27" t="s">
        <v>34</v>
      </c>
      <c r="AA27">
        <v>1</v>
      </c>
    </row>
    <row r="28" spans="1:29" x14ac:dyDescent="0.35">
      <c r="A28" s="13">
        <f t="shared" si="2"/>
        <v>45930</v>
      </c>
      <c r="B28">
        <v>1</v>
      </c>
      <c r="D28" s="14" t="s">
        <v>31</v>
      </c>
      <c r="E28" s="16" t="s">
        <v>41</v>
      </c>
      <c r="F28" s="16" t="s">
        <v>41</v>
      </c>
      <c r="G28" s="17"/>
      <c r="H28" s="33" t="s">
        <v>65</v>
      </c>
      <c r="I28" s="33" t="s">
        <v>65</v>
      </c>
      <c r="K28" s="20">
        <f>Cta_Vta!K28</f>
        <v>26</v>
      </c>
      <c r="L28" s="20">
        <f>Cta_Vta!L28</f>
        <v>0</v>
      </c>
      <c r="M28" s="21">
        <f>Cta_Vta!M28</f>
        <v>46721</v>
      </c>
      <c r="N28" s="21">
        <f>Cta_Vta!N28</f>
        <v>46721</v>
      </c>
      <c r="O28" s="21">
        <f>Cta_Vta!O28</f>
        <v>46721</v>
      </c>
      <c r="P28" s="95">
        <f>Cta_Vta!P28</f>
        <v>3833994024.2763772</v>
      </c>
      <c r="V28">
        <v>1</v>
      </c>
      <c r="W28" t="s">
        <v>33</v>
      </c>
      <c r="Y28" t="s">
        <v>33</v>
      </c>
      <c r="Z28" t="s">
        <v>34</v>
      </c>
      <c r="AA28">
        <v>1</v>
      </c>
    </row>
    <row r="29" spans="1:29" x14ac:dyDescent="0.35">
      <c r="A29" s="13">
        <f t="shared" si="2"/>
        <v>45930</v>
      </c>
      <c r="B29">
        <v>1</v>
      </c>
      <c r="D29" s="14" t="s">
        <v>31</v>
      </c>
      <c r="E29" s="16" t="s">
        <v>41</v>
      </c>
      <c r="F29" s="16" t="s">
        <v>41</v>
      </c>
      <c r="G29" s="17"/>
      <c r="H29" s="33" t="s">
        <v>65</v>
      </c>
      <c r="I29" s="33" t="s">
        <v>65</v>
      </c>
      <c r="K29" s="20">
        <f>Cta_Vta!K29</f>
        <v>27</v>
      </c>
      <c r="L29" s="20">
        <f>Cta_Vta!L29</f>
        <v>0</v>
      </c>
      <c r="M29" s="21">
        <f>Cta_Vta!M29</f>
        <v>46752</v>
      </c>
      <c r="N29" s="21">
        <f>Cta_Vta!N29</f>
        <v>46752</v>
      </c>
      <c r="O29" s="21">
        <f>Cta_Vta!O29</f>
        <v>46752</v>
      </c>
      <c r="P29" s="95">
        <f>Cta_Vta!P29</f>
        <v>3833994024.2763772</v>
      </c>
      <c r="V29">
        <v>1</v>
      </c>
      <c r="W29" t="s">
        <v>33</v>
      </c>
      <c r="Y29" t="s">
        <v>33</v>
      </c>
      <c r="Z29" t="s">
        <v>34</v>
      </c>
      <c r="AA29">
        <v>1</v>
      </c>
    </row>
    <row r="30" spans="1:29" x14ac:dyDescent="0.35">
      <c r="A30" s="13">
        <f t="shared" si="2"/>
        <v>45930</v>
      </c>
      <c r="B30">
        <v>1</v>
      </c>
      <c r="D30" s="14" t="s">
        <v>31</v>
      </c>
      <c r="E30" s="16" t="s">
        <v>41</v>
      </c>
      <c r="F30" s="16" t="s">
        <v>41</v>
      </c>
      <c r="G30" s="17"/>
      <c r="H30" s="33" t="s">
        <v>65</v>
      </c>
      <c r="I30" s="33" t="s">
        <v>65</v>
      </c>
      <c r="K30" s="20">
        <f>Cta_Vta!K30</f>
        <v>28</v>
      </c>
      <c r="L30" s="20">
        <f>Cta_Vta!L30</f>
        <v>0</v>
      </c>
      <c r="M30" s="21">
        <f>Cta_Vta!M30</f>
        <v>46783</v>
      </c>
      <c r="N30" s="21">
        <f>Cta_Vta!N30</f>
        <v>46783</v>
      </c>
      <c r="O30" s="21">
        <f>Cta_Vta!O30</f>
        <v>46783</v>
      </c>
      <c r="P30" s="95">
        <f>Cta_Vta!P30</f>
        <v>3833994024.2763772</v>
      </c>
      <c r="V30">
        <v>1</v>
      </c>
      <c r="W30" t="s">
        <v>33</v>
      </c>
      <c r="Y30" t="s">
        <v>33</v>
      </c>
      <c r="Z30" t="s">
        <v>34</v>
      </c>
      <c r="AA30">
        <v>1</v>
      </c>
    </row>
    <row r="31" spans="1:29" x14ac:dyDescent="0.35">
      <c r="A31" s="13">
        <f t="shared" si="2"/>
        <v>45930</v>
      </c>
      <c r="B31">
        <v>1</v>
      </c>
      <c r="D31" s="14" t="s">
        <v>31</v>
      </c>
      <c r="E31" s="16" t="s">
        <v>41</v>
      </c>
      <c r="F31" s="16" t="s">
        <v>41</v>
      </c>
      <c r="G31" s="17"/>
      <c r="H31" s="33" t="s">
        <v>65</v>
      </c>
      <c r="I31" s="33" t="s">
        <v>65</v>
      </c>
      <c r="K31" s="20">
        <f>Cta_Vta!K31</f>
        <v>29</v>
      </c>
      <c r="L31" s="20">
        <f>Cta_Vta!L31</f>
        <v>0</v>
      </c>
      <c r="M31" s="21">
        <f>Cta_Vta!M31</f>
        <v>46812</v>
      </c>
      <c r="N31" s="21">
        <f>Cta_Vta!N31</f>
        <v>46812</v>
      </c>
      <c r="O31" s="21">
        <f>Cta_Vta!O31</f>
        <v>46812</v>
      </c>
      <c r="P31" s="95">
        <f>Cta_Vta!P31</f>
        <v>3833994024.2763772</v>
      </c>
      <c r="V31">
        <v>1</v>
      </c>
      <c r="W31" t="s">
        <v>33</v>
      </c>
      <c r="Y31" t="s">
        <v>33</v>
      </c>
      <c r="Z31" t="s">
        <v>34</v>
      </c>
      <c r="AA31">
        <v>1</v>
      </c>
    </row>
    <row r="32" spans="1:29" x14ac:dyDescent="0.35">
      <c r="A32" s="13">
        <f t="shared" si="2"/>
        <v>45930</v>
      </c>
      <c r="B32">
        <v>1</v>
      </c>
      <c r="D32" s="14" t="s">
        <v>31</v>
      </c>
      <c r="E32" s="16" t="s">
        <v>41</v>
      </c>
      <c r="F32" s="16" t="s">
        <v>41</v>
      </c>
      <c r="G32" s="17"/>
      <c r="H32" s="33" t="s">
        <v>65</v>
      </c>
      <c r="I32" s="33" t="s">
        <v>65</v>
      </c>
      <c r="K32" s="20">
        <f>Cta_Vta!K32</f>
        <v>30</v>
      </c>
      <c r="L32" s="20">
        <f>Cta_Vta!L32</f>
        <v>0</v>
      </c>
      <c r="M32" s="21">
        <f>Cta_Vta!M32</f>
        <v>46843</v>
      </c>
      <c r="N32" s="21">
        <f>Cta_Vta!N32</f>
        <v>46843</v>
      </c>
      <c r="O32" s="21">
        <f>Cta_Vta!O32</f>
        <v>46843</v>
      </c>
      <c r="P32" s="95">
        <f>Cta_Vta!P32</f>
        <v>3833994024.2763772</v>
      </c>
      <c r="V32">
        <v>1</v>
      </c>
      <c r="W32" t="s">
        <v>33</v>
      </c>
      <c r="Y32" t="s">
        <v>33</v>
      </c>
      <c r="Z32" t="s">
        <v>34</v>
      </c>
      <c r="AA32">
        <v>1</v>
      </c>
    </row>
    <row r="33" spans="1:27" x14ac:dyDescent="0.35">
      <c r="A33" s="13">
        <f t="shared" si="2"/>
        <v>45930</v>
      </c>
      <c r="B33">
        <v>1</v>
      </c>
      <c r="D33" s="14" t="s">
        <v>31</v>
      </c>
      <c r="E33" s="16" t="s">
        <v>41</v>
      </c>
      <c r="F33" s="16" t="s">
        <v>41</v>
      </c>
      <c r="G33" s="17"/>
      <c r="H33" s="33" t="s">
        <v>65</v>
      </c>
      <c r="I33" s="33" t="s">
        <v>65</v>
      </c>
      <c r="K33" s="20">
        <f>Cta_Vta!K33</f>
        <v>31</v>
      </c>
      <c r="L33" s="20">
        <f>Cta_Vta!L33</f>
        <v>0</v>
      </c>
      <c r="M33" s="21">
        <f>Cta_Vta!M33</f>
        <v>46873</v>
      </c>
      <c r="N33" s="21">
        <f>Cta_Vta!N33</f>
        <v>46873</v>
      </c>
      <c r="O33" s="21">
        <f>Cta_Vta!O33</f>
        <v>46873</v>
      </c>
      <c r="P33" s="95">
        <f>Cta_Vta!P33</f>
        <v>3833994024.2763772</v>
      </c>
      <c r="V33">
        <v>1</v>
      </c>
      <c r="W33" t="s">
        <v>33</v>
      </c>
      <c r="Y33" t="s">
        <v>33</v>
      </c>
      <c r="Z33" t="s">
        <v>34</v>
      </c>
      <c r="AA33">
        <v>1</v>
      </c>
    </row>
    <row r="34" spans="1:27" x14ac:dyDescent="0.35">
      <c r="A34" s="13">
        <f t="shared" si="2"/>
        <v>45930</v>
      </c>
      <c r="B34">
        <v>1</v>
      </c>
      <c r="D34" s="14" t="s">
        <v>31</v>
      </c>
      <c r="E34" s="16" t="s">
        <v>41</v>
      </c>
      <c r="F34" s="16" t="s">
        <v>41</v>
      </c>
      <c r="G34" s="17"/>
      <c r="H34" s="33" t="s">
        <v>65</v>
      </c>
      <c r="I34" s="33" t="s">
        <v>65</v>
      </c>
      <c r="K34" s="20">
        <f>Cta_Vta!K34</f>
        <v>32</v>
      </c>
      <c r="L34" s="20">
        <f>Cta_Vta!L34</f>
        <v>0</v>
      </c>
      <c r="M34" s="21">
        <f>Cta_Vta!M34</f>
        <v>46904</v>
      </c>
      <c r="N34" s="21">
        <f>Cta_Vta!N34</f>
        <v>46904</v>
      </c>
      <c r="O34" s="21">
        <f>Cta_Vta!O34</f>
        <v>46904</v>
      </c>
      <c r="P34" s="95">
        <f>Cta_Vta!P34</f>
        <v>3833994024.2763772</v>
      </c>
      <c r="V34">
        <v>1</v>
      </c>
      <c r="W34" t="s">
        <v>33</v>
      </c>
      <c r="Y34" t="s">
        <v>33</v>
      </c>
      <c r="Z34" t="s">
        <v>34</v>
      </c>
      <c r="AA34">
        <v>1</v>
      </c>
    </row>
    <row r="35" spans="1:27" x14ac:dyDescent="0.35">
      <c r="A35" s="13">
        <f t="shared" si="2"/>
        <v>45930</v>
      </c>
      <c r="B35">
        <v>1</v>
      </c>
      <c r="D35" s="14" t="s">
        <v>31</v>
      </c>
      <c r="E35" s="16" t="s">
        <v>41</v>
      </c>
      <c r="F35" s="16" t="s">
        <v>41</v>
      </c>
      <c r="G35" s="17"/>
      <c r="H35" s="33" t="s">
        <v>65</v>
      </c>
      <c r="I35" s="33" t="s">
        <v>65</v>
      </c>
      <c r="K35" s="20">
        <f>Cta_Vta!K35</f>
        <v>33</v>
      </c>
      <c r="L35" s="20">
        <f>Cta_Vta!L35</f>
        <v>0</v>
      </c>
      <c r="M35" s="21">
        <f>Cta_Vta!M35</f>
        <v>46934</v>
      </c>
      <c r="N35" s="21">
        <f>Cta_Vta!N35</f>
        <v>46934</v>
      </c>
      <c r="O35" s="21">
        <f>Cta_Vta!O35</f>
        <v>46934</v>
      </c>
      <c r="P35" s="95">
        <f>Cta_Vta!P35</f>
        <v>260558730.15873015</v>
      </c>
      <c r="V35">
        <v>1</v>
      </c>
      <c r="W35" t="s">
        <v>33</v>
      </c>
      <c r="Y35" t="s">
        <v>33</v>
      </c>
      <c r="Z35" t="s">
        <v>34</v>
      </c>
      <c r="AA35">
        <v>1</v>
      </c>
    </row>
    <row r="36" spans="1:27" x14ac:dyDescent="0.35">
      <c r="A36" s="13">
        <f t="shared" si="2"/>
        <v>45930</v>
      </c>
      <c r="B36">
        <v>1</v>
      </c>
      <c r="D36" s="14" t="s">
        <v>31</v>
      </c>
      <c r="E36" s="16" t="s">
        <v>41</v>
      </c>
      <c r="F36" s="16" t="s">
        <v>41</v>
      </c>
      <c r="G36" s="17"/>
      <c r="H36" s="33" t="s">
        <v>65</v>
      </c>
      <c r="I36" s="33" t="s">
        <v>65</v>
      </c>
      <c r="K36" s="20">
        <f>Cta_Vta!K36</f>
        <v>34</v>
      </c>
      <c r="L36" s="20">
        <f>Cta_Vta!L36</f>
        <v>0</v>
      </c>
      <c r="M36" s="21">
        <f>Cta_Vta!M36</f>
        <v>46965</v>
      </c>
      <c r="N36" s="21">
        <f>Cta_Vta!N36</f>
        <v>46965</v>
      </c>
      <c r="O36" s="21">
        <f>Cta_Vta!O36</f>
        <v>46965</v>
      </c>
      <c r="P36" s="95">
        <f>Cta_Vta!P36</f>
        <v>260558730.15873015</v>
      </c>
      <c r="V36">
        <v>1</v>
      </c>
      <c r="W36" t="s">
        <v>33</v>
      </c>
      <c r="Y36" t="s">
        <v>33</v>
      </c>
      <c r="Z36" t="s">
        <v>34</v>
      </c>
      <c r="AA36">
        <v>1</v>
      </c>
    </row>
    <row r="37" spans="1:27" x14ac:dyDescent="0.35">
      <c r="A37" s="13">
        <f t="shared" si="2"/>
        <v>45930</v>
      </c>
      <c r="B37">
        <v>1</v>
      </c>
      <c r="D37" s="14" t="s">
        <v>31</v>
      </c>
      <c r="E37" s="16" t="s">
        <v>41</v>
      </c>
      <c r="F37" s="16" t="s">
        <v>41</v>
      </c>
      <c r="G37" s="17"/>
      <c r="H37" s="33" t="s">
        <v>65</v>
      </c>
      <c r="I37" s="33" t="s">
        <v>65</v>
      </c>
      <c r="K37" s="20">
        <f>Cta_Vta!K37</f>
        <v>35</v>
      </c>
      <c r="L37" s="20">
        <f>Cta_Vta!L37</f>
        <v>0</v>
      </c>
      <c r="M37" s="21">
        <f>Cta_Vta!M37</f>
        <v>45961</v>
      </c>
      <c r="N37" s="21">
        <f>Cta_Vta!N37</f>
        <v>45961</v>
      </c>
      <c r="O37" s="21">
        <f>Cta_Vta!O37</f>
        <v>45961</v>
      </c>
      <c r="P37" s="95">
        <f>Cta_Vta!P37</f>
        <v>260558730.15873015</v>
      </c>
      <c r="V37">
        <v>1</v>
      </c>
      <c r="W37" t="s">
        <v>33</v>
      </c>
      <c r="Y37" t="s">
        <v>33</v>
      </c>
      <c r="Z37" t="s">
        <v>34</v>
      </c>
      <c r="AA37">
        <v>1</v>
      </c>
    </row>
    <row r="38" spans="1:27" x14ac:dyDescent="0.35">
      <c r="A38" s="13">
        <f t="shared" si="2"/>
        <v>45930</v>
      </c>
      <c r="B38">
        <v>1</v>
      </c>
      <c r="D38" s="14" t="s">
        <v>31</v>
      </c>
      <c r="E38" s="16" t="s">
        <v>41</v>
      </c>
      <c r="F38" s="16" t="s">
        <v>41</v>
      </c>
      <c r="G38" s="17"/>
      <c r="H38" s="33" t="s">
        <v>65</v>
      </c>
      <c r="I38" s="33" t="s">
        <v>65</v>
      </c>
      <c r="K38" s="20">
        <f>Cta_Vta!K38</f>
        <v>36</v>
      </c>
      <c r="L38" s="20">
        <f>Cta_Vta!L38</f>
        <v>0</v>
      </c>
      <c r="M38" s="21">
        <f>Cta_Vta!M38</f>
        <v>45991</v>
      </c>
      <c r="N38" s="21">
        <f>Cta_Vta!N38</f>
        <v>45991</v>
      </c>
      <c r="O38" s="21">
        <f>Cta_Vta!O38</f>
        <v>45991</v>
      </c>
      <c r="P38" s="95">
        <f>Cta_Vta!P38</f>
        <v>260558730.15873015</v>
      </c>
      <c r="V38">
        <v>1</v>
      </c>
      <c r="W38" t="s">
        <v>33</v>
      </c>
      <c r="Y38" t="s">
        <v>33</v>
      </c>
      <c r="Z38" t="s">
        <v>34</v>
      </c>
      <c r="AA38">
        <v>1</v>
      </c>
    </row>
    <row r="39" spans="1:27" x14ac:dyDescent="0.35">
      <c r="A39" s="13">
        <f t="shared" si="2"/>
        <v>45930</v>
      </c>
      <c r="B39">
        <v>1</v>
      </c>
      <c r="D39" s="14" t="s">
        <v>31</v>
      </c>
      <c r="E39" s="16" t="s">
        <v>41</v>
      </c>
      <c r="F39" s="16" t="s">
        <v>41</v>
      </c>
      <c r="G39" s="17"/>
      <c r="H39" s="33" t="s">
        <v>65</v>
      </c>
      <c r="I39" s="33" t="s">
        <v>65</v>
      </c>
      <c r="K39" s="20">
        <f>Cta_Vta!K39</f>
        <v>37</v>
      </c>
      <c r="L39" s="20">
        <f>Cta_Vta!L39</f>
        <v>0</v>
      </c>
      <c r="M39" s="21">
        <f>Cta_Vta!M39</f>
        <v>46022</v>
      </c>
      <c r="N39" s="21">
        <f>Cta_Vta!N39</f>
        <v>46022</v>
      </c>
      <c r="O39" s="21">
        <f>Cta_Vta!O39</f>
        <v>46022</v>
      </c>
      <c r="P39" s="95">
        <f>Cta_Vta!P39</f>
        <v>260558730.15873015</v>
      </c>
      <c r="V39">
        <v>1</v>
      </c>
      <c r="W39" t="s">
        <v>33</v>
      </c>
      <c r="Y39" t="s">
        <v>33</v>
      </c>
      <c r="Z39" t="s">
        <v>34</v>
      </c>
      <c r="AA39">
        <v>1</v>
      </c>
    </row>
    <row r="40" spans="1:27" x14ac:dyDescent="0.35">
      <c r="A40" s="13">
        <f t="shared" si="2"/>
        <v>45930</v>
      </c>
      <c r="B40">
        <v>1</v>
      </c>
      <c r="D40" s="14" t="s">
        <v>31</v>
      </c>
      <c r="E40" s="16" t="s">
        <v>41</v>
      </c>
      <c r="F40" s="16" t="s">
        <v>41</v>
      </c>
      <c r="G40" s="17"/>
      <c r="H40" s="33" t="s">
        <v>65</v>
      </c>
      <c r="I40" s="33" t="s">
        <v>65</v>
      </c>
      <c r="K40" s="20">
        <f>Cta_Vta!K40</f>
        <v>38</v>
      </c>
      <c r="L40" s="20">
        <f>Cta_Vta!L40</f>
        <v>0</v>
      </c>
      <c r="M40" s="21">
        <f>Cta_Vta!M40</f>
        <v>46053</v>
      </c>
      <c r="N40" s="21">
        <f>Cta_Vta!N40</f>
        <v>46053</v>
      </c>
      <c r="O40" s="21">
        <f>Cta_Vta!O40</f>
        <v>46053</v>
      </c>
      <c r="P40" s="95">
        <f>Cta_Vta!P40</f>
        <v>260558730.15873015</v>
      </c>
      <c r="V40">
        <v>1</v>
      </c>
      <c r="W40" t="s">
        <v>33</v>
      </c>
      <c r="Y40" t="s">
        <v>33</v>
      </c>
      <c r="Z40" t="s">
        <v>34</v>
      </c>
      <c r="AA40">
        <v>1</v>
      </c>
    </row>
    <row r="41" spans="1:27" x14ac:dyDescent="0.35">
      <c r="A41" s="13">
        <f t="shared" si="2"/>
        <v>45930</v>
      </c>
      <c r="B41">
        <v>1</v>
      </c>
      <c r="D41" s="14" t="s">
        <v>31</v>
      </c>
      <c r="E41" s="16" t="s">
        <v>41</v>
      </c>
      <c r="F41" s="16" t="s">
        <v>41</v>
      </c>
      <c r="G41" s="17"/>
      <c r="H41" s="33" t="s">
        <v>65</v>
      </c>
      <c r="I41" s="33" t="s">
        <v>65</v>
      </c>
      <c r="K41" s="20">
        <f>Cta_Vta!K41</f>
        <v>39</v>
      </c>
      <c r="L41" s="20">
        <f>Cta_Vta!L41</f>
        <v>0</v>
      </c>
      <c r="M41" s="21">
        <f>Cta_Vta!M41</f>
        <v>46081</v>
      </c>
      <c r="N41" s="21">
        <f>Cta_Vta!N41</f>
        <v>46081</v>
      </c>
      <c r="O41" s="21">
        <f>Cta_Vta!O41</f>
        <v>46081</v>
      </c>
      <c r="P41" s="95">
        <f>Cta_Vta!P41</f>
        <v>260558730.15873015</v>
      </c>
      <c r="V41">
        <v>1</v>
      </c>
      <c r="W41" t="s">
        <v>33</v>
      </c>
      <c r="Y41" t="s">
        <v>33</v>
      </c>
      <c r="Z41" t="s">
        <v>34</v>
      </c>
      <c r="AA41">
        <v>1</v>
      </c>
    </row>
    <row r="42" spans="1:27" x14ac:dyDescent="0.35">
      <c r="A42" s="13">
        <f t="shared" si="2"/>
        <v>45930</v>
      </c>
      <c r="B42">
        <v>1</v>
      </c>
      <c r="D42" s="14" t="s">
        <v>31</v>
      </c>
      <c r="E42" s="16" t="s">
        <v>41</v>
      </c>
      <c r="F42" s="16" t="s">
        <v>41</v>
      </c>
      <c r="G42" s="17"/>
      <c r="H42" s="33" t="s">
        <v>65</v>
      </c>
      <c r="I42" s="33" t="s">
        <v>65</v>
      </c>
      <c r="K42" s="20">
        <f>Cta_Vta!K42</f>
        <v>40</v>
      </c>
      <c r="L42" s="20">
        <f>Cta_Vta!L42</f>
        <v>0</v>
      </c>
      <c r="M42" s="21">
        <f>Cta_Vta!M42</f>
        <v>46112</v>
      </c>
      <c r="N42" s="21">
        <f>Cta_Vta!N42</f>
        <v>46112</v>
      </c>
      <c r="O42" s="21">
        <f>Cta_Vta!O42</f>
        <v>46112</v>
      </c>
      <c r="P42" s="95">
        <f>Cta_Vta!P42</f>
        <v>260558730.15873015</v>
      </c>
      <c r="V42">
        <v>1</v>
      </c>
      <c r="W42" t="s">
        <v>33</v>
      </c>
      <c r="Y42" t="s">
        <v>33</v>
      </c>
      <c r="Z42" t="s">
        <v>34</v>
      </c>
      <c r="AA42">
        <v>1</v>
      </c>
    </row>
    <row r="43" spans="1:27" x14ac:dyDescent="0.35">
      <c r="A43" s="13">
        <f t="shared" si="2"/>
        <v>45930</v>
      </c>
      <c r="B43">
        <v>1</v>
      </c>
      <c r="D43" s="14" t="s">
        <v>31</v>
      </c>
      <c r="E43" s="16" t="s">
        <v>41</v>
      </c>
      <c r="F43" s="16" t="s">
        <v>41</v>
      </c>
      <c r="G43" s="17"/>
      <c r="H43" s="33" t="s">
        <v>65</v>
      </c>
      <c r="I43" s="33" t="s">
        <v>65</v>
      </c>
      <c r="K43" s="20">
        <f>Cta_Vta!K43</f>
        <v>41</v>
      </c>
      <c r="L43" s="20">
        <f>Cta_Vta!L43</f>
        <v>0</v>
      </c>
      <c r="M43" s="21">
        <f>Cta_Vta!M43</f>
        <v>46142</v>
      </c>
      <c r="N43" s="21">
        <f>Cta_Vta!N43</f>
        <v>46142</v>
      </c>
      <c r="O43" s="21">
        <f>Cta_Vta!O43</f>
        <v>46142</v>
      </c>
      <c r="P43" s="95">
        <f>Cta_Vta!P43</f>
        <v>260558730.15873015</v>
      </c>
      <c r="V43">
        <v>1</v>
      </c>
      <c r="W43" t="s">
        <v>33</v>
      </c>
      <c r="Y43" t="s">
        <v>33</v>
      </c>
      <c r="Z43" t="s">
        <v>34</v>
      </c>
      <c r="AA43">
        <v>1</v>
      </c>
    </row>
    <row r="44" spans="1:27" x14ac:dyDescent="0.35">
      <c r="A44" s="13">
        <f t="shared" si="2"/>
        <v>45930</v>
      </c>
      <c r="B44">
        <v>1</v>
      </c>
      <c r="D44" s="14" t="s">
        <v>31</v>
      </c>
      <c r="E44" s="16" t="s">
        <v>41</v>
      </c>
      <c r="F44" s="16" t="s">
        <v>41</v>
      </c>
      <c r="G44" s="17"/>
      <c r="H44" s="33" t="s">
        <v>65</v>
      </c>
      <c r="I44" s="33" t="s">
        <v>65</v>
      </c>
      <c r="K44" s="20">
        <f>Cta_Vta!K44</f>
        <v>42</v>
      </c>
      <c r="L44" s="20">
        <f>Cta_Vta!L44</f>
        <v>0</v>
      </c>
      <c r="M44" s="21">
        <f>Cta_Vta!M44</f>
        <v>46173</v>
      </c>
      <c r="N44" s="21">
        <f>Cta_Vta!N44</f>
        <v>46173</v>
      </c>
      <c r="O44" s="21">
        <f>Cta_Vta!O44</f>
        <v>46173</v>
      </c>
      <c r="P44" s="95">
        <f>Cta_Vta!P44</f>
        <v>89162651.727357611</v>
      </c>
      <c r="V44">
        <v>1</v>
      </c>
      <c r="W44" t="s">
        <v>33</v>
      </c>
      <c r="Y44" t="s">
        <v>33</v>
      </c>
      <c r="Z44" t="s">
        <v>34</v>
      </c>
      <c r="AA44">
        <v>1</v>
      </c>
    </row>
    <row r="45" spans="1:27" x14ac:dyDescent="0.35">
      <c r="A45" s="13">
        <f t="shared" si="2"/>
        <v>45930</v>
      </c>
      <c r="B45">
        <v>1</v>
      </c>
      <c r="D45" s="14" t="s">
        <v>31</v>
      </c>
      <c r="E45" s="16" t="s">
        <v>41</v>
      </c>
      <c r="F45" s="16" t="s">
        <v>41</v>
      </c>
      <c r="G45" s="17"/>
      <c r="H45" s="33" t="s">
        <v>65</v>
      </c>
      <c r="I45" s="33" t="s">
        <v>65</v>
      </c>
      <c r="K45" s="20">
        <f>Cta_Vta!K45</f>
        <v>43</v>
      </c>
      <c r="L45" s="20">
        <f>Cta_Vta!L45</f>
        <v>0</v>
      </c>
      <c r="M45" s="21">
        <f>Cta_Vta!M45</f>
        <v>46203</v>
      </c>
      <c r="N45" s="21">
        <f>Cta_Vta!N45</f>
        <v>46203</v>
      </c>
      <c r="O45" s="21">
        <f>Cta_Vta!O45</f>
        <v>46203</v>
      </c>
      <c r="P45" s="95">
        <f>Cta_Vta!P45</f>
        <v>0</v>
      </c>
      <c r="V45">
        <v>1</v>
      </c>
      <c r="W45" t="s">
        <v>33</v>
      </c>
      <c r="Y45" t="s">
        <v>33</v>
      </c>
      <c r="Z45" t="s">
        <v>34</v>
      </c>
      <c r="AA45">
        <v>1</v>
      </c>
    </row>
    <row r="46" spans="1:27" x14ac:dyDescent="0.35">
      <c r="A46" s="13">
        <f t="shared" si="2"/>
        <v>45930</v>
      </c>
      <c r="B46">
        <v>1</v>
      </c>
      <c r="D46" s="14" t="s">
        <v>31</v>
      </c>
      <c r="E46" s="16" t="s">
        <v>41</v>
      </c>
      <c r="F46" s="16" t="s">
        <v>41</v>
      </c>
      <c r="G46" s="17"/>
      <c r="H46" s="33" t="s">
        <v>65</v>
      </c>
      <c r="I46" s="33" t="s">
        <v>65</v>
      </c>
      <c r="K46" s="20">
        <f>Cta_Vta!K46</f>
        <v>44</v>
      </c>
      <c r="L46" s="20">
        <f>Cta_Vta!L46</f>
        <v>0</v>
      </c>
      <c r="M46" s="21">
        <f>Cta_Vta!M46</f>
        <v>46234</v>
      </c>
      <c r="N46" s="21">
        <f>Cta_Vta!N46</f>
        <v>46234</v>
      </c>
      <c r="O46" s="21">
        <f>Cta_Vta!O46</f>
        <v>46234</v>
      </c>
      <c r="P46" s="95">
        <f>Cta_Vta!P46</f>
        <v>0</v>
      </c>
      <c r="V46">
        <v>1</v>
      </c>
      <c r="W46" t="s">
        <v>33</v>
      </c>
      <c r="Y46" t="s">
        <v>33</v>
      </c>
      <c r="Z46" t="s">
        <v>34</v>
      </c>
      <c r="AA46">
        <v>1</v>
      </c>
    </row>
    <row r="47" spans="1:27" x14ac:dyDescent="0.35">
      <c r="A47" s="13">
        <f t="shared" si="2"/>
        <v>45930</v>
      </c>
      <c r="B47">
        <v>1</v>
      </c>
      <c r="D47" s="14" t="s">
        <v>31</v>
      </c>
      <c r="E47" s="16" t="s">
        <v>41</v>
      </c>
      <c r="F47" s="16" t="s">
        <v>41</v>
      </c>
      <c r="G47" s="17"/>
      <c r="H47" s="33" t="s">
        <v>65</v>
      </c>
      <c r="I47" s="33" t="s">
        <v>65</v>
      </c>
      <c r="K47" s="20">
        <f>Cta_Vta!K47</f>
        <v>45</v>
      </c>
      <c r="L47" s="20">
        <f>Cta_Vta!L47</f>
        <v>0</v>
      </c>
      <c r="M47" s="21">
        <f>Cta_Vta!M47</f>
        <v>46265</v>
      </c>
      <c r="N47" s="21">
        <f>Cta_Vta!N47</f>
        <v>46265</v>
      </c>
      <c r="O47" s="21">
        <f>Cta_Vta!O47</f>
        <v>46265</v>
      </c>
      <c r="P47" s="95">
        <f>Cta_Vta!P47</f>
        <v>0</v>
      </c>
      <c r="V47">
        <v>1</v>
      </c>
      <c r="W47" t="s">
        <v>33</v>
      </c>
      <c r="Y47" t="s">
        <v>33</v>
      </c>
      <c r="Z47" t="s">
        <v>34</v>
      </c>
      <c r="AA47">
        <v>1</v>
      </c>
    </row>
    <row r="48" spans="1:27" x14ac:dyDescent="0.35">
      <c r="A48" s="13">
        <f t="shared" si="2"/>
        <v>45930</v>
      </c>
      <c r="B48">
        <v>1</v>
      </c>
      <c r="D48" s="14" t="s">
        <v>31</v>
      </c>
      <c r="E48" s="16" t="s">
        <v>41</v>
      </c>
      <c r="F48" s="16" t="s">
        <v>41</v>
      </c>
      <c r="G48" s="17"/>
      <c r="H48" s="33" t="s">
        <v>65</v>
      </c>
      <c r="I48" s="33" t="s">
        <v>65</v>
      </c>
      <c r="K48" s="20">
        <f>Cta_Vta!K48</f>
        <v>46</v>
      </c>
      <c r="L48" s="20">
        <f>Cta_Vta!L48</f>
        <v>0</v>
      </c>
      <c r="M48" s="21">
        <f>Cta_Vta!M48</f>
        <v>46295</v>
      </c>
      <c r="N48" s="21">
        <f>Cta_Vta!N48</f>
        <v>46295</v>
      </c>
      <c r="O48" s="21">
        <f>Cta_Vta!O48</f>
        <v>46295</v>
      </c>
      <c r="P48" s="95">
        <f>Cta_Vta!P48</f>
        <v>0</v>
      </c>
      <c r="V48">
        <v>1</v>
      </c>
      <c r="W48" t="s">
        <v>33</v>
      </c>
      <c r="Y48" t="s">
        <v>33</v>
      </c>
      <c r="Z48" t="s">
        <v>34</v>
      </c>
      <c r="AA48">
        <v>1</v>
      </c>
    </row>
    <row r="49" spans="1:27" x14ac:dyDescent="0.35">
      <c r="A49" s="13">
        <f t="shared" si="2"/>
        <v>45930</v>
      </c>
      <c r="B49">
        <v>1</v>
      </c>
      <c r="D49" s="14" t="s">
        <v>31</v>
      </c>
      <c r="E49" s="16" t="s">
        <v>41</v>
      </c>
      <c r="F49" s="16" t="s">
        <v>41</v>
      </c>
      <c r="G49" s="17"/>
      <c r="H49" s="33" t="s">
        <v>65</v>
      </c>
      <c r="I49" s="33" t="s">
        <v>65</v>
      </c>
      <c r="K49" s="20">
        <f>Cta_Vta!K49</f>
        <v>47</v>
      </c>
      <c r="L49" s="20">
        <f>Cta_Vta!L49</f>
        <v>0</v>
      </c>
      <c r="M49" s="21">
        <f>Cta_Vta!M49</f>
        <v>46326</v>
      </c>
      <c r="N49" s="21">
        <f>Cta_Vta!N49</f>
        <v>46326</v>
      </c>
      <c r="O49" s="21">
        <f>Cta_Vta!O49</f>
        <v>46326</v>
      </c>
      <c r="P49" s="95">
        <f>Cta_Vta!P49</f>
        <v>0</v>
      </c>
      <c r="V49">
        <v>1</v>
      </c>
      <c r="W49" t="s">
        <v>33</v>
      </c>
      <c r="Y49" t="s">
        <v>33</v>
      </c>
      <c r="Z49" t="s">
        <v>34</v>
      </c>
      <c r="AA49">
        <v>1</v>
      </c>
    </row>
    <row r="50" spans="1:27" x14ac:dyDescent="0.35">
      <c r="A50" s="13">
        <f t="shared" si="2"/>
        <v>45930</v>
      </c>
      <c r="B50">
        <v>1</v>
      </c>
      <c r="D50" s="14" t="s">
        <v>31</v>
      </c>
      <c r="E50" s="16" t="s">
        <v>41</v>
      </c>
      <c r="F50" s="16" t="s">
        <v>41</v>
      </c>
      <c r="G50" s="17"/>
      <c r="H50" s="33" t="s">
        <v>65</v>
      </c>
      <c r="I50" s="33" t="s">
        <v>65</v>
      </c>
      <c r="K50" s="20">
        <f>Cta_Vta!K50</f>
        <v>48</v>
      </c>
      <c r="L50" s="20">
        <f>Cta_Vta!L50</f>
        <v>0</v>
      </c>
      <c r="M50" s="21">
        <f>Cta_Vta!M50</f>
        <v>46356</v>
      </c>
      <c r="N50" s="21">
        <f>Cta_Vta!N50</f>
        <v>46356</v>
      </c>
      <c r="O50" s="21">
        <f>Cta_Vta!O50</f>
        <v>46356</v>
      </c>
      <c r="P50" s="95">
        <f>Cta_Vta!P50</f>
        <v>0</v>
      </c>
      <c r="V50">
        <v>1</v>
      </c>
      <c r="W50" t="s">
        <v>33</v>
      </c>
      <c r="Y50" t="s">
        <v>33</v>
      </c>
      <c r="Z50" t="s">
        <v>34</v>
      </c>
      <c r="AA50">
        <v>1</v>
      </c>
    </row>
    <row r="51" spans="1:27" x14ac:dyDescent="0.35">
      <c r="A51" s="13">
        <f t="shared" si="2"/>
        <v>45930</v>
      </c>
      <c r="B51">
        <v>1</v>
      </c>
      <c r="D51" s="14" t="s">
        <v>31</v>
      </c>
      <c r="E51" s="16" t="s">
        <v>41</v>
      </c>
      <c r="F51" s="16" t="s">
        <v>41</v>
      </c>
      <c r="G51" s="17"/>
      <c r="H51" s="33" t="s">
        <v>65</v>
      </c>
      <c r="I51" s="33" t="s">
        <v>65</v>
      </c>
      <c r="K51" s="20">
        <f>Cta_Vta!K51</f>
        <v>49</v>
      </c>
      <c r="L51" s="20">
        <f>Cta_Vta!L51</f>
        <v>0</v>
      </c>
      <c r="M51" s="21">
        <f>Cta_Vta!M51</f>
        <v>46387</v>
      </c>
      <c r="N51" s="21">
        <f>Cta_Vta!N51</f>
        <v>46387</v>
      </c>
      <c r="O51" s="21">
        <f>Cta_Vta!O51</f>
        <v>46387</v>
      </c>
      <c r="P51" s="95">
        <f>Cta_Vta!P51</f>
        <v>0</v>
      </c>
      <c r="V51">
        <v>1</v>
      </c>
      <c r="W51" t="s">
        <v>33</v>
      </c>
      <c r="Y51" t="s">
        <v>33</v>
      </c>
      <c r="Z51" t="s">
        <v>34</v>
      </c>
      <c r="AA51">
        <v>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9">
    <tabColor theme="5" tint="0.39997558519241921"/>
  </sheetPr>
  <dimension ref="A1:AE63"/>
  <sheetViews>
    <sheetView workbookViewId="0">
      <selection activeCell="A2" sqref="A2:AE63"/>
    </sheetView>
  </sheetViews>
  <sheetFormatPr baseColWidth="10" defaultRowHeight="14.5" x14ac:dyDescent="0.35"/>
  <cols>
    <col min="16" max="16" width="16.54296875" bestFit="1" customWidth="1"/>
  </cols>
  <sheetData>
    <row r="1" spans="1:31" x14ac:dyDescent="0.35">
      <c r="A1" s="1" t="s">
        <v>0</v>
      </c>
      <c r="B1" s="2" t="s">
        <v>1</v>
      </c>
      <c r="C1" s="2" t="s">
        <v>2</v>
      </c>
      <c r="D1" s="3" t="s">
        <v>3</v>
      </c>
      <c r="E1" s="4" t="s">
        <v>4</v>
      </c>
      <c r="F1" s="5" t="s">
        <v>5</v>
      </c>
      <c r="G1" s="6" t="s">
        <v>6</v>
      </c>
      <c r="H1" s="1" t="s">
        <v>7</v>
      </c>
      <c r="I1" s="7" t="s">
        <v>8</v>
      </c>
      <c r="J1" s="8" t="s">
        <v>9</v>
      </c>
      <c r="K1" s="9" t="s">
        <v>10</v>
      </c>
      <c r="L1" s="10" t="s">
        <v>11</v>
      </c>
      <c r="M1" s="1" t="s">
        <v>12</v>
      </c>
      <c r="N1" s="11" t="s">
        <v>13</v>
      </c>
      <c r="O1" s="11" t="s">
        <v>14</v>
      </c>
      <c r="P1" s="7" t="s">
        <v>15</v>
      </c>
      <c r="Q1" s="7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12" t="s">
        <v>21</v>
      </c>
      <c r="W1" s="12" t="s">
        <v>22</v>
      </c>
      <c r="X1" s="2" t="s">
        <v>23</v>
      </c>
      <c r="Y1" s="12" t="s">
        <v>24</v>
      </c>
      <c r="Z1" s="2" t="s">
        <v>25</v>
      </c>
      <c r="AA1" s="2" t="s">
        <v>26</v>
      </c>
      <c r="AB1" s="2" t="s">
        <v>27</v>
      </c>
      <c r="AC1" s="4" t="s">
        <v>28</v>
      </c>
      <c r="AD1" s="2" t="s">
        <v>29</v>
      </c>
      <c r="AE1" s="2" t="s">
        <v>30</v>
      </c>
    </row>
    <row r="2" spans="1:31" x14ac:dyDescent="0.35">
      <c r="A2" s="13">
        <f>Tabla_Consulta_desde_MS_Access_Database_1[[#This Row],[Fecha_Proceso]]</f>
        <v>45930</v>
      </c>
      <c r="B2">
        <v>1</v>
      </c>
      <c r="D2" s="14" t="s">
        <v>31</v>
      </c>
      <c r="E2" s="16" t="s">
        <v>41</v>
      </c>
      <c r="F2" s="16" t="s">
        <v>41</v>
      </c>
      <c r="G2" s="17"/>
      <c r="H2" s="33" t="s">
        <v>65</v>
      </c>
      <c r="I2" s="33" t="s">
        <v>71</v>
      </c>
      <c r="J2" s="19"/>
      <c r="K2" s="20"/>
      <c r="L2" s="21"/>
      <c r="M2" s="13">
        <f>A2+1</f>
        <v>45931</v>
      </c>
      <c r="N2" s="13">
        <f>M2</f>
        <v>45931</v>
      </c>
      <c r="O2" s="13">
        <f>N2</f>
        <v>45931</v>
      </c>
      <c r="P2" s="24">
        <f>Montos!E2</f>
        <v>0</v>
      </c>
      <c r="Q2" s="18"/>
      <c r="V2">
        <v>1</v>
      </c>
      <c r="W2" t="s">
        <v>33</v>
      </c>
      <c r="Y2" t="s">
        <v>33</v>
      </c>
      <c r="Z2" t="s">
        <v>34</v>
      </c>
      <c r="AA2">
        <v>1</v>
      </c>
      <c r="AC2" s="15"/>
    </row>
    <row r="3" spans="1:31" x14ac:dyDescent="0.35">
      <c r="A3" s="13">
        <f>Tabla_Consulta_desde_MS_Access_Database_1[[#This Row],[Fecha_Proceso]]</f>
        <v>45930</v>
      </c>
      <c r="B3">
        <v>1</v>
      </c>
      <c r="D3" s="14" t="s">
        <v>31</v>
      </c>
      <c r="E3" s="16" t="s">
        <v>41</v>
      </c>
      <c r="F3" s="16" t="s">
        <v>41</v>
      </c>
      <c r="G3" s="17"/>
      <c r="H3" s="33" t="s">
        <v>65</v>
      </c>
      <c r="I3" s="33" t="s">
        <v>65</v>
      </c>
      <c r="J3" s="19"/>
      <c r="K3" s="20"/>
      <c r="L3" s="21"/>
      <c r="M3" s="13">
        <f>A3+1</f>
        <v>45931</v>
      </c>
      <c r="N3" s="13">
        <f t="shared" ref="N3:O3" si="0">M3</f>
        <v>45931</v>
      </c>
      <c r="O3" s="13">
        <f t="shared" si="0"/>
        <v>45931</v>
      </c>
      <c r="P3" s="24">
        <f>Montos!E3</f>
        <v>357810792922</v>
      </c>
      <c r="Q3" s="18"/>
      <c r="V3">
        <v>1</v>
      </c>
      <c r="W3" t="s">
        <v>33</v>
      </c>
      <c r="Y3" t="s">
        <v>33</v>
      </c>
      <c r="Z3" t="s">
        <v>34</v>
      </c>
      <c r="AA3">
        <v>1</v>
      </c>
      <c r="AC3" s="15"/>
    </row>
    <row r="4" spans="1:31" x14ac:dyDescent="0.35">
      <c r="A4" s="13">
        <f>A3</f>
        <v>45930</v>
      </c>
      <c r="B4">
        <v>1</v>
      </c>
      <c r="D4" s="14" t="s">
        <v>31</v>
      </c>
      <c r="E4" s="16" t="s">
        <v>41</v>
      </c>
      <c r="F4" s="16" t="s">
        <v>41</v>
      </c>
      <c r="G4" s="17"/>
      <c r="H4" s="33" t="s">
        <v>65</v>
      </c>
      <c r="I4" s="33" t="s">
        <v>65</v>
      </c>
      <c r="J4" s="19"/>
      <c r="K4" s="20">
        <f>Cta_Cte!K4</f>
        <v>1</v>
      </c>
      <c r="L4" s="20">
        <f>Cta_Cte!L4</f>
        <v>0</v>
      </c>
      <c r="M4" s="21">
        <f>Cta_Cte!M4</f>
        <v>45961</v>
      </c>
      <c r="N4" s="21">
        <f>Cta_Cte!N4</f>
        <v>45961</v>
      </c>
      <c r="O4" s="21">
        <f>Cta_Cte!O4</f>
        <v>45961</v>
      </c>
      <c r="P4" s="95">
        <f>Cta_Cte!P4</f>
        <v>36011519040.949715</v>
      </c>
      <c r="Q4" s="18"/>
      <c r="V4">
        <v>1</v>
      </c>
      <c r="W4" t="s">
        <v>33</v>
      </c>
      <c r="Y4" t="s">
        <v>33</v>
      </c>
      <c r="Z4" t="s">
        <v>34</v>
      </c>
      <c r="AA4">
        <v>1</v>
      </c>
      <c r="AC4" s="15"/>
    </row>
    <row r="5" spans="1:31" x14ac:dyDescent="0.35">
      <c r="A5" s="13">
        <f t="shared" ref="A5:A63" si="1">A4</f>
        <v>45930</v>
      </c>
      <c r="B5">
        <v>1</v>
      </c>
      <c r="D5" s="14" t="s">
        <v>31</v>
      </c>
      <c r="E5" s="16" t="s">
        <v>41</v>
      </c>
      <c r="F5" s="16" t="s">
        <v>41</v>
      </c>
      <c r="G5" s="17"/>
      <c r="H5" s="33" t="s">
        <v>65</v>
      </c>
      <c r="I5" s="33" t="s">
        <v>65</v>
      </c>
      <c r="K5" s="20">
        <f>Cta_Cte!K5</f>
        <v>2</v>
      </c>
      <c r="L5" s="20">
        <f>Cta_Cte!L5</f>
        <v>0</v>
      </c>
      <c r="M5" s="21">
        <f>Cta_Cte!M5</f>
        <v>45991</v>
      </c>
      <c r="N5" s="21">
        <f>Cta_Cte!N5</f>
        <v>45991</v>
      </c>
      <c r="O5" s="21">
        <f>Cta_Cte!O5</f>
        <v>45991</v>
      </c>
      <c r="P5" s="95">
        <f>Cta_Cte!P5</f>
        <v>36011519040.949715</v>
      </c>
      <c r="V5">
        <v>1</v>
      </c>
      <c r="W5" t="s">
        <v>33</v>
      </c>
      <c r="Y5" t="s">
        <v>33</v>
      </c>
      <c r="Z5" t="s">
        <v>34</v>
      </c>
      <c r="AA5">
        <v>1</v>
      </c>
      <c r="AC5" s="15"/>
    </row>
    <row r="6" spans="1:31" x14ac:dyDescent="0.35">
      <c r="A6" s="13">
        <f t="shared" si="1"/>
        <v>45930</v>
      </c>
      <c r="B6">
        <v>1</v>
      </c>
      <c r="D6" s="14" t="s">
        <v>31</v>
      </c>
      <c r="E6" s="16" t="s">
        <v>41</v>
      </c>
      <c r="F6" s="16" t="s">
        <v>41</v>
      </c>
      <c r="G6" s="17"/>
      <c r="H6" s="33" t="s">
        <v>65</v>
      </c>
      <c r="I6" s="33" t="s">
        <v>65</v>
      </c>
      <c r="K6" s="20">
        <f>Cta_Cte!K6</f>
        <v>3</v>
      </c>
      <c r="L6" s="20">
        <f>Cta_Cte!L6</f>
        <v>0</v>
      </c>
      <c r="M6" s="21">
        <f>Cta_Cte!M6</f>
        <v>46022</v>
      </c>
      <c r="N6" s="21">
        <f>Cta_Cte!N6</f>
        <v>46022</v>
      </c>
      <c r="O6" s="21">
        <f>Cta_Cte!O6</f>
        <v>46022</v>
      </c>
      <c r="P6" s="95">
        <f>Cta_Cte!P6</f>
        <v>36011519040.949715</v>
      </c>
      <c r="V6">
        <v>1</v>
      </c>
      <c r="W6" t="s">
        <v>33</v>
      </c>
      <c r="Y6" t="s">
        <v>33</v>
      </c>
      <c r="Z6" t="s">
        <v>34</v>
      </c>
      <c r="AA6">
        <v>1</v>
      </c>
      <c r="AC6" s="15"/>
    </row>
    <row r="7" spans="1:31" x14ac:dyDescent="0.35">
      <c r="A7" s="13">
        <f t="shared" si="1"/>
        <v>45930</v>
      </c>
      <c r="B7">
        <v>1</v>
      </c>
      <c r="D7" s="14" t="s">
        <v>31</v>
      </c>
      <c r="E7" s="16" t="s">
        <v>41</v>
      </c>
      <c r="F7" s="16" t="s">
        <v>41</v>
      </c>
      <c r="G7" s="17"/>
      <c r="H7" s="33" t="s">
        <v>65</v>
      </c>
      <c r="I7" s="33" t="s">
        <v>65</v>
      </c>
      <c r="K7" s="20">
        <f>Cta_Cte!K7</f>
        <v>4</v>
      </c>
      <c r="L7" s="20">
        <f>Cta_Cte!L7</f>
        <v>0</v>
      </c>
      <c r="M7" s="21">
        <f>Cta_Cte!M7</f>
        <v>46053</v>
      </c>
      <c r="N7" s="21">
        <f>Cta_Cte!N7</f>
        <v>46053</v>
      </c>
      <c r="O7" s="21">
        <f>Cta_Cte!O7</f>
        <v>46053</v>
      </c>
      <c r="P7" s="95">
        <f>Cta_Cte!P7</f>
        <v>36011519040.949715</v>
      </c>
      <c r="V7">
        <v>1</v>
      </c>
      <c r="W7" t="s">
        <v>33</v>
      </c>
      <c r="Y7" t="s">
        <v>33</v>
      </c>
      <c r="Z7" t="s">
        <v>34</v>
      </c>
      <c r="AA7">
        <v>1</v>
      </c>
      <c r="AC7" s="15"/>
    </row>
    <row r="8" spans="1:31" x14ac:dyDescent="0.35">
      <c r="A8" s="13">
        <f t="shared" si="1"/>
        <v>45930</v>
      </c>
      <c r="B8">
        <v>1</v>
      </c>
      <c r="D8" s="14" t="s">
        <v>31</v>
      </c>
      <c r="E8" s="16" t="s">
        <v>41</v>
      </c>
      <c r="F8" s="16" t="s">
        <v>41</v>
      </c>
      <c r="G8" s="17"/>
      <c r="H8" s="33" t="s">
        <v>65</v>
      </c>
      <c r="I8" s="33" t="s">
        <v>65</v>
      </c>
      <c r="K8" s="20">
        <f>Cta_Cte!K8</f>
        <v>5</v>
      </c>
      <c r="L8" s="20">
        <f>Cta_Cte!L8</f>
        <v>0</v>
      </c>
      <c r="M8" s="21">
        <f>Cta_Cte!M8</f>
        <v>46081</v>
      </c>
      <c r="N8" s="21">
        <f>Cta_Cte!N8</f>
        <v>46081</v>
      </c>
      <c r="O8" s="21">
        <f>Cta_Cte!O8</f>
        <v>46081</v>
      </c>
      <c r="P8" s="95">
        <f>Cta_Cte!P8</f>
        <v>36011519040.949715</v>
      </c>
      <c r="V8">
        <v>1</v>
      </c>
      <c r="W8" t="s">
        <v>33</v>
      </c>
      <c r="Y8" t="s">
        <v>33</v>
      </c>
      <c r="Z8" t="s">
        <v>34</v>
      </c>
      <c r="AA8">
        <v>1</v>
      </c>
      <c r="AC8" s="15"/>
    </row>
    <row r="9" spans="1:31" x14ac:dyDescent="0.35">
      <c r="A9" s="13">
        <f t="shared" si="1"/>
        <v>45930</v>
      </c>
      <c r="B9">
        <v>1</v>
      </c>
      <c r="D9" s="14" t="s">
        <v>31</v>
      </c>
      <c r="E9" s="16" t="s">
        <v>41</v>
      </c>
      <c r="F9" s="16" t="s">
        <v>41</v>
      </c>
      <c r="G9" s="17"/>
      <c r="H9" s="33" t="s">
        <v>65</v>
      </c>
      <c r="I9" s="33" t="s">
        <v>65</v>
      </c>
      <c r="K9" s="20">
        <f>Cta_Cte!K9</f>
        <v>6</v>
      </c>
      <c r="L9" s="20">
        <f>Cta_Cte!L9</f>
        <v>0</v>
      </c>
      <c r="M9" s="21">
        <f>Cta_Cte!M9</f>
        <v>46112</v>
      </c>
      <c r="N9" s="21">
        <f>Cta_Cte!N9</f>
        <v>46112</v>
      </c>
      <c r="O9" s="21">
        <f>Cta_Cte!O9</f>
        <v>46112</v>
      </c>
      <c r="P9" s="95">
        <f>Cta_Cte!P9</f>
        <v>36011519040.949715</v>
      </c>
      <c r="V9">
        <v>1</v>
      </c>
      <c r="W9" t="s">
        <v>33</v>
      </c>
      <c r="Y9" t="s">
        <v>33</v>
      </c>
      <c r="Z9" t="s">
        <v>34</v>
      </c>
      <c r="AA9">
        <v>1</v>
      </c>
      <c r="AC9" s="15"/>
    </row>
    <row r="10" spans="1:31" x14ac:dyDescent="0.35">
      <c r="A10" s="13">
        <f t="shared" si="1"/>
        <v>45930</v>
      </c>
      <c r="B10">
        <v>1</v>
      </c>
      <c r="D10" s="14" t="s">
        <v>31</v>
      </c>
      <c r="E10" s="16" t="s">
        <v>41</v>
      </c>
      <c r="F10" s="16" t="s">
        <v>41</v>
      </c>
      <c r="G10" s="17"/>
      <c r="H10" s="33" t="s">
        <v>65</v>
      </c>
      <c r="I10" s="33" t="s">
        <v>65</v>
      </c>
      <c r="K10" s="20">
        <f>Cta_Cte!K10</f>
        <v>7</v>
      </c>
      <c r="L10" s="20">
        <f>Cta_Cte!L10</f>
        <v>0</v>
      </c>
      <c r="M10" s="21">
        <f>Cta_Cte!M10</f>
        <v>46142</v>
      </c>
      <c r="N10" s="21">
        <f>Cta_Cte!N10</f>
        <v>46142</v>
      </c>
      <c r="O10" s="21">
        <f>Cta_Cte!O10</f>
        <v>46142</v>
      </c>
      <c r="P10" s="95">
        <f>Cta_Cte!P10</f>
        <v>36011519040.949715</v>
      </c>
      <c r="V10">
        <v>1</v>
      </c>
      <c r="W10" t="s">
        <v>33</v>
      </c>
      <c r="Y10" t="s">
        <v>33</v>
      </c>
      <c r="Z10" t="s">
        <v>34</v>
      </c>
      <c r="AA10">
        <v>1</v>
      </c>
      <c r="AC10" s="15"/>
    </row>
    <row r="11" spans="1:31" x14ac:dyDescent="0.35">
      <c r="A11" s="13">
        <f t="shared" si="1"/>
        <v>45930</v>
      </c>
      <c r="B11">
        <v>1</v>
      </c>
      <c r="D11" s="14" t="s">
        <v>31</v>
      </c>
      <c r="E11" s="16" t="s">
        <v>41</v>
      </c>
      <c r="F11" s="16" t="s">
        <v>41</v>
      </c>
      <c r="G11" s="17"/>
      <c r="H11" s="33" t="s">
        <v>65</v>
      </c>
      <c r="I11" s="33" t="s">
        <v>65</v>
      </c>
      <c r="K11" s="20">
        <f>Cta_Cte!K11</f>
        <v>8</v>
      </c>
      <c r="L11" s="20">
        <f>Cta_Cte!L11</f>
        <v>0</v>
      </c>
      <c r="M11" s="21">
        <f>Cta_Cte!M11</f>
        <v>46173</v>
      </c>
      <c r="N11" s="21">
        <f>Cta_Cte!N11</f>
        <v>46173</v>
      </c>
      <c r="O11" s="21">
        <f>Cta_Cte!O11</f>
        <v>46173</v>
      </c>
      <c r="P11" s="95">
        <f>Cta_Cte!P11</f>
        <v>36011519040.949715</v>
      </c>
      <c r="V11">
        <v>1</v>
      </c>
      <c r="W11" t="s">
        <v>33</v>
      </c>
      <c r="Y11" t="s">
        <v>33</v>
      </c>
      <c r="Z11" t="s">
        <v>34</v>
      </c>
      <c r="AA11">
        <v>1</v>
      </c>
      <c r="AC11" s="15"/>
    </row>
    <row r="12" spans="1:31" x14ac:dyDescent="0.35">
      <c r="A12" s="13">
        <f t="shared" si="1"/>
        <v>45930</v>
      </c>
      <c r="B12">
        <v>1</v>
      </c>
      <c r="D12" s="14" t="s">
        <v>31</v>
      </c>
      <c r="E12" s="16" t="s">
        <v>41</v>
      </c>
      <c r="F12" s="16" t="s">
        <v>41</v>
      </c>
      <c r="G12" s="17"/>
      <c r="H12" s="33" t="s">
        <v>65</v>
      </c>
      <c r="I12" s="33" t="s">
        <v>65</v>
      </c>
      <c r="K12" s="20">
        <f>Cta_Cte!K12</f>
        <v>9</v>
      </c>
      <c r="L12" s="20">
        <f>Cta_Cte!L12</f>
        <v>0</v>
      </c>
      <c r="M12" s="21">
        <f>Cta_Cte!M12</f>
        <v>46203</v>
      </c>
      <c r="N12" s="21">
        <f>Cta_Cte!N12</f>
        <v>46203</v>
      </c>
      <c r="O12" s="21">
        <f>Cta_Cte!O12</f>
        <v>46203</v>
      </c>
      <c r="P12" s="95">
        <f>Cta_Cte!P12</f>
        <v>36011519040.949715</v>
      </c>
      <c r="V12">
        <v>1</v>
      </c>
      <c r="W12" t="s">
        <v>33</v>
      </c>
      <c r="Y12" t="s">
        <v>33</v>
      </c>
      <c r="Z12" t="s">
        <v>34</v>
      </c>
      <c r="AA12">
        <v>1</v>
      </c>
      <c r="AC12" s="15"/>
    </row>
    <row r="13" spans="1:31" x14ac:dyDescent="0.35">
      <c r="A13" s="13">
        <f t="shared" si="1"/>
        <v>45930</v>
      </c>
      <c r="B13">
        <v>1</v>
      </c>
      <c r="D13" s="14" t="s">
        <v>31</v>
      </c>
      <c r="E13" s="16" t="s">
        <v>41</v>
      </c>
      <c r="F13" s="16" t="s">
        <v>41</v>
      </c>
      <c r="G13" s="17"/>
      <c r="H13" s="33" t="s">
        <v>65</v>
      </c>
      <c r="I13" s="33" t="s">
        <v>65</v>
      </c>
      <c r="K13" s="20">
        <f>Cta_Cte!K13</f>
        <v>10</v>
      </c>
      <c r="L13" s="20">
        <f>Cta_Cte!L13</f>
        <v>0</v>
      </c>
      <c r="M13" s="21">
        <f>Cta_Cte!M13</f>
        <v>46234</v>
      </c>
      <c r="N13" s="21">
        <f>Cta_Cte!N13</f>
        <v>46234</v>
      </c>
      <c r="O13" s="21">
        <f>Cta_Cte!O13</f>
        <v>46234</v>
      </c>
      <c r="P13" s="95">
        <f>Cta_Cte!P13</f>
        <v>36011519040.949715</v>
      </c>
      <c r="V13">
        <v>1</v>
      </c>
      <c r="W13" t="s">
        <v>33</v>
      </c>
      <c r="Y13" t="s">
        <v>33</v>
      </c>
      <c r="Z13" t="s">
        <v>34</v>
      </c>
      <c r="AA13">
        <v>1</v>
      </c>
      <c r="AC13" s="15"/>
    </row>
    <row r="14" spans="1:31" x14ac:dyDescent="0.35">
      <c r="A14" s="13">
        <f t="shared" si="1"/>
        <v>45930</v>
      </c>
      <c r="B14">
        <v>1</v>
      </c>
      <c r="D14" s="14" t="s">
        <v>31</v>
      </c>
      <c r="E14" s="16" t="s">
        <v>41</v>
      </c>
      <c r="F14" s="16" t="s">
        <v>41</v>
      </c>
      <c r="G14" s="17"/>
      <c r="H14" s="33" t="s">
        <v>65</v>
      </c>
      <c r="I14" s="33" t="s">
        <v>65</v>
      </c>
      <c r="K14" s="20">
        <f>Cta_Cte!K14</f>
        <v>11</v>
      </c>
      <c r="L14" s="20">
        <f>Cta_Cte!L14</f>
        <v>0</v>
      </c>
      <c r="M14" s="21">
        <f>Cta_Cte!M14</f>
        <v>46265</v>
      </c>
      <c r="N14" s="21">
        <f>Cta_Cte!N14</f>
        <v>46265</v>
      </c>
      <c r="O14" s="21">
        <f>Cta_Cte!O14</f>
        <v>46265</v>
      </c>
      <c r="P14" s="95">
        <f>Cta_Cte!P14</f>
        <v>36011519040.949715</v>
      </c>
      <c r="V14">
        <v>1</v>
      </c>
      <c r="W14" t="s">
        <v>33</v>
      </c>
      <c r="Y14" t="s">
        <v>33</v>
      </c>
      <c r="Z14" t="s">
        <v>34</v>
      </c>
      <c r="AA14">
        <v>1</v>
      </c>
      <c r="AC14" s="15"/>
    </row>
    <row r="15" spans="1:31" x14ac:dyDescent="0.35">
      <c r="A15" s="13">
        <f t="shared" si="1"/>
        <v>45930</v>
      </c>
      <c r="B15">
        <v>1</v>
      </c>
      <c r="D15" s="14" t="s">
        <v>31</v>
      </c>
      <c r="E15" s="16" t="s">
        <v>41</v>
      </c>
      <c r="F15" s="16" t="s">
        <v>41</v>
      </c>
      <c r="G15" s="17"/>
      <c r="H15" s="33" t="s">
        <v>65</v>
      </c>
      <c r="I15" s="33" t="s">
        <v>65</v>
      </c>
      <c r="K15" s="20">
        <f>Cta_Cte!K15</f>
        <v>12</v>
      </c>
      <c r="L15" s="20">
        <f>Cta_Cte!L15</f>
        <v>0</v>
      </c>
      <c r="M15" s="21">
        <f>Cta_Cte!M15</f>
        <v>46295</v>
      </c>
      <c r="N15" s="21">
        <f>Cta_Cte!N15</f>
        <v>46295</v>
      </c>
      <c r="O15" s="21">
        <f>Cta_Cte!O15</f>
        <v>46295</v>
      </c>
      <c r="P15" s="95">
        <f>Cta_Cte!P15</f>
        <v>36011519040.949715</v>
      </c>
      <c r="V15">
        <v>1</v>
      </c>
      <c r="W15" t="s">
        <v>33</v>
      </c>
      <c r="Y15" t="s">
        <v>33</v>
      </c>
      <c r="Z15" t="s">
        <v>34</v>
      </c>
      <c r="AA15">
        <v>1</v>
      </c>
      <c r="AC15" s="15"/>
    </row>
    <row r="16" spans="1:31" x14ac:dyDescent="0.35">
      <c r="A16" s="13">
        <f t="shared" si="1"/>
        <v>45930</v>
      </c>
      <c r="B16">
        <v>1</v>
      </c>
      <c r="D16" s="14" t="s">
        <v>31</v>
      </c>
      <c r="E16" s="16" t="s">
        <v>41</v>
      </c>
      <c r="F16" s="16" t="s">
        <v>41</v>
      </c>
      <c r="G16" s="17"/>
      <c r="H16" s="33" t="s">
        <v>65</v>
      </c>
      <c r="I16" s="33" t="s">
        <v>65</v>
      </c>
      <c r="K16" s="20">
        <f>Cta_Cte!K16</f>
        <v>13</v>
      </c>
      <c r="L16" s="20">
        <f>Cta_Cte!L16</f>
        <v>0</v>
      </c>
      <c r="M16" s="21">
        <f>Cta_Cte!M16</f>
        <v>46326</v>
      </c>
      <c r="N16" s="21">
        <f>Cta_Cte!N16</f>
        <v>46326</v>
      </c>
      <c r="O16" s="21">
        <f>Cta_Cte!O16</f>
        <v>46326</v>
      </c>
      <c r="P16" s="95">
        <f>Cta_Cte!P16</f>
        <v>36011519040.949715</v>
      </c>
      <c r="V16">
        <v>1</v>
      </c>
      <c r="W16" t="s">
        <v>33</v>
      </c>
      <c r="Y16" t="s">
        <v>33</v>
      </c>
      <c r="Z16" t="s">
        <v>34</v>
      </c>
      <c r="AA16">
        <v>1</v>
      </c>
      <c r="AC16" s="15"/>
    </row>
    <row r="17" spans="1:29" x14ac:dyDescent="0.35">
      <c r="A17" s="13">
        <f t="shared" si="1"/>
        <v>45930</v>
      </c>
      <c r="B17">
        <v>1</v>
      </c>
      <c r="D17" s="14" t="s">
        <v>31</v>
      </c>
      <c r="E17" s="16" t="s">
        <v>41</v>
      </c>
      <c r="F17" s="16" t="s">
        <v>41</v>
      </c>
      <c r="G17" s="17"/>
      <c r="H17" s="33" t="s">
        <v>65</v>
      </c>
      <c r="I17" s="33" t="s">
        <v>65</v>
      </c>
      <c r="K17" s="20">
        <f>Cta_Cte!K17</f>
        <v>14</v>
      </c>
      <c r="L17" s="20">
        <f>Cta_Cte!L17</f>
        <v>0</v>
      </c>
      <c r="M17" s="21">
        <f>Cta_Cte!M17</f>
        <v>46356</v>
      </c>
      <c r="N17" s="21">
        <f>Cta_Cte!N17</f>
        <v>46356</v>
      </c>
      <c r="O17" s="21">
        <f>Cta_Cte!O17</f>
        <v>46356</v>
      </c>
      <c r="P17" s="95">
        <f>Cta_Cte!P17</f>
        <v>36011519040.949715</v>
      </c>
      <c r="V17">
        <v>1</v>
      </c>
      <c r="W17" t="s">
        <v>33</v>
      </c>
      <c r="Y17" t="s">
        <v>33</v>
      </c>
      <c r="Z17" t="s">
        <v>34</v>
      </c>
      <c r="AA17">
        <v>1</v>
      </c>
      <c r="AC17" s="15"/>
    </row>
    <row r="18" spans="1:29" x14ac:dyDescent="0.35">
      <c r="A18" s="13">
        <f t="shared" si="1"/>
        <v>45930</v>
      </c>
      <c r="B18">
        <v>1</v>
      </c>
      <c r="D18" s="14" t="s">
        <v>31</v>
      </c>
      <c r="E18" s="16" t="s">
        <v>41</v>
      </c>
      <c r="F18" s="16" t="s">
        <v>41</v>
      </c>
      <c r="G18" s="17"/>
      <c r="H18" s="33" t="s">
        <v>65</v>
      </c>
      <c r="I18" s="33" t="s">
        <v>65</v>
      </c>
      <c r="K18" s="20">
        <f>Cta_Cte!K18</f>
        <v>15</v>
      </c>
      <c r="L18" s="20">
        <f>Cta_Cte!L18</f>
        <v>0</v>
      </c>
      <c r="M18" s="21">
        <f>Cta_Cte!M18</f>
        <v>46387</v>
      </c>
      <c r="N18" s="21">
        <f>Cta_Cte!N18</f>
        <v>46387</v>
      </c>
      <c r="O18" s="21">
        <f>Cta_Cte!O18</f>
        <v>46387</v>
      </c>
      <c r="P18" s="95">
        <f>Cta_Cte!P18</f>
        <v>36011519040.949715</v>
      </c>
      <c r="V18">
        <v>1</v>
      </c>
      <c r="W18" t="s">
        <v>33</v>
      </c>
      <c r="Y18" t="s">
        <v>33</v>
      </c>
      <c r="Z18" t="s">
        <v>34</v>
      </c>
      <c r="AA18">
        <v>1</v>
      </c>
      <c r="AC18" s="15"/>
    </row>
    <row r="19" spans="1:29" x14ac:dyDescent="0.35">
      <c r="A19" s="13">
        <f t="shared" si="1"/>
        <v>45930</v>
      </c>
      <c r="B19">
        <v>1</v>
      </c>
      <c r="D19" s="14" t="s">
        <v>31</v>
      </c>
      <c r="E19" s="16" t="s">
        <v>41</v>
      </c>
      <c r="F19" s="16" t="s">
        <v>41</v>
      </c>
      <c r="G19" s="17"/>
      <c r="H19" s="33" t="s">
        <v>65</v>
      </c>
      <c r="I19" s="33" t="s">
        <v>65</v>
      </c>
      <c r="K19" s="20">
        <f>Cta_Cte!K19</f>
        <v>16</v>
      </c>
      <c r="L19" s="20">
        <f>Cta_Cte!L19</f>
        <v>0</v>
      </c>
      <c r="M19" s="21">
        <f>Cta_Cte!M19</f>
        <v>46418</v>
      </c>
      <c r="N19" s="21">
        <f>Cta_Cte!N19</f>
        <v>46418</v>
      </c>
      <c r="O19" s="21">
        <f>Cta_Cte!O19</f>
        <v>46418</v>
      </c>
      <c r="P19" s="95">
        <f>Cta_Cte!P19</f>
        <v>36011519040.949715</v>
      </c>
      <c r="V19">
        <v>1</v>
      </c>
      <c r="W19" t="s">
        <v>33</v>
      </c>
      <c r="Y19" t="s">
        <v>33</v>
      </c>
      <c r="Z19" t="s">
        <v>34</v>
      </c>
      <c r="AA19">
        <v>1</v>
      </c>
      <c r="AC19" s="15"/>
    </row>
    <row r="20" spans="1:29" x14ac:dyDescent="0.35">
      <c r="A20" s="13">
        <f t="shared" si="1"/>
        <v>45930</v>
      </c>
      <c r="B20">
        <v>1</v>
      </c>
      <c r="D20" s="14" t="s">
        <v>31</v>
      </c>
      <c r="E20" s="16" t="s">
        <v>41</v>
      </c>
      <c r="F20" s="16" t="s">
        <v>41</v>
      </c>
      <c r="G20" s="17"/>
      <c r="H20" s="33" t="s">
        <v>65</v>
      </c>
      <c r="I20" s="33" t="s">
        <v>65</v>
      </c>
      <c r="K20" s="20">
        <f>Cta_Cte!K20</f>
        <v>17</v>
      </c>
      <c r="L20" s="20">
        <f>Cta_Cte!L20</f>
        <v>0</v>
      </c>
      <c r="M20" s="21">
        <f>Cta_Cte!M20</f>
        <v>46446</v>
      </c>
      <c r="N20" s="21">
        <f>Cta_Cte!N20</f>
        <v>46446</v>
      </c>
      <c r="O20" s="21">
        <f>Cta_Cte!O20</f>
        <v>46446</v>
      </c>
      <c r="P20" s="95">
        <f>Cta_Cte!P20</f>
        <v>36011519040.949715</v>
      </c>
      <c r="V20">
        <v>1</v>
      </c>
      <c r="W20" t="s">
        <v>33</v>
      </c>
      <c r="Y20" t="s">
        <v>33</v>
      </c>
      <c r="Z20" t="s">
        <v>34</v>
      </c>
      <c r="AA20">
        <v>1</v>
      </c>
      <c r="AC20" s="15"/>
    </row>
    <row r="21" spans="1:29" x14ac:dyDescent="0.35">
      <c r="A21" s="13">
        <f t="shared" si="1"/>
        <v>45930</v>
      </c>
      <c r="B21">
        <v>1</v>
      </c>
      <c r="D21" s="14" t="s">
        <v>31</v>
      </c>
      <c r="E21" s="16" t="s">
        <v>41</v>
      </c>
      <c r="F21" s="16" t="s">
        <v>41</v>
      </c>
      <c r="G21" s="17"/>
      <c r="H21" s="33" t="s">
        <v>65</v>
      </c>
      <c r="I21" s="33" t="s">
        <v>65</v>
      </c>
      <c r="K21" s="20">
        <f>Cta_Cte!K21</f>
        <v>18</v>
      </c>
      <c r="L21" s="20">
        <f>Cta_Cte!L21</f>
        <v>0</v>
      </c>
      <c r="M21" s="21">
        <f>Cta_Cte!M21</f>
        <v>46477</v>
      </c>
      <c r="N21" s="21">
        <f>Cta_Cte!N21</f>
        <v>46477</v>
      </c>
      <c r="O21" s="21">
        <f>Cta_Cte!O21</f>
        <v>46477</v>
      </c>
      <c r="P21" s="95">
        <f>Cta_Cte!P21</f>
        <v>36011519040.949715</v>
      </c>
      <c r="V21">
        <v>1</v>
      </c>
      <c r="W21" t="s">
        <v>33</v>
      </c>
      <c r="Y21" t="s">
        <v>33</v>
      </c>
      <c r="Z21" t="s">
        <v>34</v>
      </c>
      <c r="AA21">
        <v>1</v>
      </c>
    </row>
    <row r="22" spans="1:29" x14ac:dyDescent="0.35">
      <c r="A22" s="13">
        <f t="shared" si="1"/>
        <v>45930</v>
      </c>
      <c r="B22">
        <v>1</v>
      </c>
      <c r="D22" s="14" t="s">
        <v>31</v>
      </c>
      <c r="E22" s="16" t="s">
        <v>41</v>
      </c>
      <c r="F22" s="16" t="s">
        <v>41</v>
      </c>
      <c r="G22" s="17"/>
      <c r="H22" s="33" t="s">
        <v>65</v>
      </c>
      <c r="I22" s="33" t="s">
        <v>65</v>
      </c>
      <c r="K22" s="20">
        <f>Cta_Cte!K22</f>
        <v>19</v>
      </c>
      <c r="L22" s="20">
        <f>Cta_Cte!L22</f>
        <v>0</v>
      </c>
      <c r="M22" s="21">
        <f>Cta_Cte!M22</f>
        <v>46507</v>
      </c>
      <c r="N22" s="21">
        <f>Cta_Cte!N22</f>
        <v>46507</v>
      </c>
      <c r="O22" s="21">
        <f>Cta_Cte!O22</f>
        <v>46507</v>
      </c>
      <c r="P22" s="95">
        <f>Cta_Cte!P22</f>
        <v>36011519040.949715</v>
      </c>
      <c r="V22">
        <v>1</v>
      </c>
      <c r="W22" t="s">
        <v>33</v>
      </c>
      <c r="Y22" t="s">
        <v>33</v>
      </c>
      <c r="Z22" t="s">
        <v>34</v>
      </c>
      <c r="AA22">
        <v>1</v>
      </c>
    </row>
    <row r="23" spans="1:29" x14ac:dyDescent="0.35">
      <c r="A23" s="13">
        <f t="shared" si="1"/>
        <v>45930</v>
      </c>
      <c r="B23">
        <v>1</v>
      </c>
      <c r="D23" s="14" t="s">
        <v>31</v>
      </c>
      <c r="E23" s="16" t="s">
        <v>41</v>
      </c>
      <c r="F23" s="16" t="s">
        <v>41</v>
      </c>
      <c r="G23" s="17"/>
      <c r="H23" s="33" t="s">
        <v>65</v>
      </c>
      <c r="I23" s="33" t="s">
        <v>65</v>
      </c>
      <c r="K23" s="20">
        <f>Cta_Cte!K23</f>
        <v>20</v>
      </c>
      <c r="L23" s="20">
        <f>Cta_Cte!L23</f>
        <v>0</v>
      </c>
      <c r="M23" s="21">
        <f>Cta_Cte!M23</f>
        <v>46538</v>
      </c>
      <c r="N23" s="21">
        <f>Cta_Cte!N23</f>
        <v>46538</v>
      </c>
      <c r="O23" s="21">
        <f>Cta_Cte!O23</f>
        <v>46538</v>
      </c>
      <c r="P23" s="95">
        <f>Cta_Cte!P23</f>
        <v>36011519040.949715</v>
      </c>
      <c r="V23">
        <v>1</v>
      </c>
      <c r="W23" t="s">
        <v>33</v>
      </c>
      <c r="Y23" t="s">
        <v>33</v>
      </c>
      <c r="Z23" t="s">
        <v>34</v>
      </c>
      <c r="AA23">
        <v>1</v>
      </c>
    </row>
    <row r="24" spans="1:29" x14ac:dyDescent="0.35">
      <c r="A24" s="13">
        <f t="shared" si="1"/>
        <v>45930</v>
      </c>
      <c r="B24">
        <v>1</v>
      </c>
      <c r="D24" s="14" t="s">
        <v>31</v>
      </c>
      <c r="E24" s="16" t="s">
        <v>41</v>
      </c>
      <c r="F24" s="16" t="s">
        <v>41</v>
      </c>
      <c r="G24" s="17"/>
      <c r="H24" s="33" t="s">
        <v>65</v>
      </c>
      <c r="I24" s="33" t="s">
        <v>65</v>
      </c>
      <c r="K24" s="20">
        <f>Cta_Cte!K24</f>
        <v>21</v>
      </c>
      <c r="L24" s="20">
        <f>Cta_Cte!L24</f>
        <v>0</v>
      </c>
      <c r="M24" s="21">
        <f>Cta_Cte!M24</f>
        <v>46568</v>
      </c>
      <c r="N24" s="21">
        <f>Cta_Cte!N24</f>
        <v>46568</v>
      </c>
      <c r="O24" s="21">
        <f>Cta_Cte!O24</f>
        <v>46568</v>
      </c>
      <c r="P24" s="95">
        <f>Cta_Cte!P24</f>
        <v>36011519040.949715</v>
      </c>
      <c r="V24">
        <v>1</v>
      </c>
      <c r="W24" t="s">
        <v>33</v>
      </c>
      <c r="Y24" t="s">
        <v>33</v>
      </c>
      <c r="Z24" t="s">
        <v>34</v>
      </c>
      <c r="AA24">
        <v>1</v>
      </c>
    </row>
    <row r="25" spans="1:29" x14ac:dyDescent="0.35">
      <c r="A25" s="13">
        <f t="shared" si="1"/>
        <v>45930</v>
      </c>
      <c r="B25">
        <v>1</v>
      </c>
      <c r="D25" s="14" t="s">
        <v>31</v>
      </c>
      <c r="E25" s="16" t="s">
        <v>41</v>
      </c>
      <c r="F25" s="16" t="s">
        <v>41</v>
      </c>
      <c r="G25" s="17"/>
      <c r="H25" s="33" t="s">
        <v>65</v>
      </c>
      <c r="I25" s="33" t="s">
        <v>65</v>
      </c>
      <c r="K25" s="20">
        <f>Cta_Cte!K25</f>
        <v>22</v>
      </c>
      <c r="L25" s="20">
        <f>Cta_Cte!L25</f>
        <v>0</v>
      </c>
      <c r="M25" s="21">
        <f>Cta_Cte!M25</f>
        <v>46599</v>
      </c>
      <c r="N25" s="21">
        <f>Cta_Cte!N25</f>
        <v>46599</v>
      </c>
      <c r="O25" s="21">
        <f>Cta_Cte!O25</f>
        <v>46599</v>
      </c>
      <c r="P25" s="95">
        <f>Cta_Cte!P25</f>
        <v>36011519040.949715</v>
      </c>
      <c r="V25">
        <v>1</v>
      </c>
      <c r="W25" t="s">
        <v>33</v>
      </c>
      <c r="Y25" t="s">
        <v>33</v>
      </c>
      <c r="Z25" t="s">
        <v>34</v>
      </c>
      <c r="AA25">
        <v>1</v>
      </c>
    </row>
    <row r="26" spans="1:29" x14ac:dyDescent="0.35">
      <c r="A26" s="13">
        <f t="shared" si="1"/>
        <v>45930</v>
      </c>
      <c r="B26">
        <v>1</v>
      </c>
      <c r="D26" s="14" t="s">
        <v>31</v>
      </c>
      <c r="E26" s="16" t="s">
        <v>41</v>
      </c>
      <c r="F26" s="16" t="s">
        <v>41</v>
      </c>
      <c r="G26" s="17"/>
      <c r="H26" s="33" t="s">
        <v>65</v>
      </c>
      <c r="I26" s="33" t="s">
        <v>65</v>
      </c>
      <c r="K26" s="20">
        <f>Cta_Cte!K26</f>
        <v>23</v>
      </c>
      <c r="L26" s="20">
        <f>Cta_Cte!L26</f>
        <v>0</v>
      </c>
      <c r="M26" s="21">
        <f>Cta_Cte!M26</f>
        <v>46630</v>
      </c>
      <c r="N26" s="21">
        <f>Cta_Cte!N26</f>
        <v>46630</v>
      </c>
      <c r="O26" s="21">
        <f>Cta_Cte!O26</f>
        <v>46630</v>
      </c>
      <c r="P26" s="95">
        <f>Cta_Cte!P26</f>
        <v>36011519040.949715</v>
      </c>
      <c r="V26">
        <v>1</v>
      </c>
      <c r="W26" t="s">
        <v>33</v>
      </c>
      <c r="Y26" t="s">
        <v>33</v>
      </c>
      <c r="Z26" t="s">
        <v>34</v>
      </c>
      <c r="AA26">
        <v>1</v>
      </c>
    </row>
    <row r="27" spans="1:29" x14ac:dyDescent="0.35">
      <c r="A27" s="13">
        <f t="shared" si="1"/>
        <v>45930</v>
      </c>
      <c r="B27">
        <v>1</v>
      </c>
      <c r="D27" s="14" t="s">
        <v>31</v>
      </c>
      <c r="E27" s="16" t="s">
        <v>41</v>
      </c>
      <c r="F27" s="16" t="s">
        <v>41</v>
      </c>
      <c r="G27" s="17"/>
      <c r="H27" s="33" t="s">
        <v>65</v>
      </c>
      <c r="I27" s="33" t="s">
        <v>65</v>
      </c>
      <c r="K27" s="20">
        <f>Cta_Cte!K27</f>
        <v>24</v>
      </c>
      <c r="L27" s="20">
        <f>Cta_Cte!L27</f>
        <v>0</v>
      </c>
      <c r="M27" s="21">
        <f>Cta_Cte!M27</f>
        <v>46660</v>
      </c>
      <c r="N27" s="21">
        <f>Cta_Cte!N27</f>
        <v>46660</v>
      </c>
      <c r="O27" s="21">
        <f>Cta_Cte!O27</f>
        <v>46660</v>
      </c>
      <c r="P27" s="95">
        <f>Cta_Cte!P27</f>
        <v>36011519040.949715</v>
      </c>
      <c r="V27">
        <v>1</v>
      </c>
      <c r="W27" t="s">
        <v>33</v>
      </c>
      <c r="Y27" t="s">
        <v>33</v>
      </c>
      <c r="Z27" t="s">
        <v>34</v>
      </c>
      <c r="AA27">
        <v>1</v>
      </c>
    </row>
    <row r="28" spans="1:29" x14ac:dyDescent="0.35">
      <c r="A28" s="13">
        <f t="shared" si="1"/>
        <v>45930</v>
      </c>
      <c r="B28">
        <v>1</v>
      </c>
      <c r="D28" s="14" t="s">
        <v>31</v>
      </c>
      <c r="E28" s="16" t="s">
        <v>41</v>
      </c>
      <c r="F28" s="16" t="s">
        <v>41</v>
      </c>
      <c r="G28" s="17"/>
      <c r="H28" s="33" t="s">
        <v>65</v>
      </c>
      <c r="I28" s="33" t="s">
        <v>65</v>
      </c>
      <c r="K28" s="20">
        <f>Cta_Cte!K28</f>
        <v>25</v>
      </c>
      <c r="L28" s="20">
        <f>Cta_Cte!L28</f>
        <v>0</v>
      </c>
      <c r="M28" s="21">
        <f>Cta_Cte!M28</f>
        <v>46691</v>
      </c>
      <c r="N28" s="21">
        <f>Cta_Cte!N28</f>
        <v>46691</v>
      </c>
      <c r="O28" s="21">
        <f>Cta_Cte!O28</f>
        <v>46691</v>
      </c>
      <c r="P28" s="95">
        <f>Cta_Cte!P28</f>
        <v>36011519040.949715</v>
      </c>
      <c r="V28">
        <v>1</v>
      </c>
      <c r="W28" t="s">
        <v>33</v>
      </c>
      <c r="Y28" t="s">
        <v>33</v>
      </c>
      <c r="Z28" t="s">
        <v>34</v>
      </c>
      <c r="AA28">
        <v>1</v>
      </c>
    </row>
    <row r="29" spans="1:29" x14ac:dyDescent="0.35">
      <c r="A29" s="13">
        <f t="shared" si="1"/>
        <v>45930</v>
      </c>
      <c r="B29">
        <v>1</v>
      </c>
      <c r="D29" s="14" t="s">
        <v>31</v>
      </c>
      <c r="E29" s="16" t="s">
        <v>41</v>
      </c>
      <c r="F29" s="16" t="s">
        <v>41</v>
      </c>
      <c r="G29" s="17"/>
      <c r="H29" s="33" t="s">
        <v>65</v>
      </c>
      <c r="I29" s="33" t="s">
        <v>65</v>
      </c>
      <c r="K29" s="20">
        <f>Cta_Cte!K29</f>
        <v>26</v>
      </c>
      <c r="L29" s="20">
        <f>Cta_Cte!L29</f>
        <v>0</v>
      </c>
      <c r="M29" s="21">
        <f>Cta_Cte!M29</f>
        <v>46721</v>
      </c>
      <c r="N29" s="21">
        <f>Cta_Cte!N29</f>
        <v>46721</v>
      </c>
      <c r="O29" s="21">
        <f>Cta_Cte!O29</f>
        <v>46721</v>
      </c>
      <c r="P29" s="95">
        <f>Cta_Cte!P29</f>
        <v>36011519040.949715</v>
      </c>
      <c r="V29">
        <v>1</v>
      </c>
      <c r="W29" t="s">
        <v>33</v>
      </c>
      <c r="Y29" t="s">
        <v>33</v>
      </c>
      <c r="Z29" t="s">
        <v>34</v>
      </c>
      <c r="AA29">
        <v>1</v>
      </c>
    </row>
    <row r="30" spans="1:29" x14ac:dyDescent="0.35">
      <c r="A30" s="13">
        <f t="shared" si="1"/>
        <v>45930</v>
      </c>
      <c r="B30">
        <v>1</v>
      </c>
      <c r="D30" s="14" t="s">
        <v>31</v>
      </c>
      <c r="E30" s="16" t="s">
        <v>41</v>
      </c>
      <c r="F30" s="16" t="s">
        <v>41</v>
      </c>
      <c r="G30" s="17"/>
      <c r="H30" s="33" t="s">
        <v>65</v>
      </c>
      <c r="I30" s="33" t="s">
        <v>65</v>
      </c>
      <c r="K30" s="20">
        <f>Cta_Cte!K30</f>
        <v>27</v>
      </c>
      <c r="L30" s="20">
        <f>Cta_Cte!L30</f>
        <v>0</v>
      </c>
      <c r="M30" s="21">
        <f>Cta_Cte!M30</f>
        <v>46752</v>
      </c>
      <c r="N30" s="21">
        <f>Cta_Cte!N30</f>
        <v>46752</v>
      </c>
      <c r="O30" s="21">
        <f>Cta_Cte!O30</f>
        <v>46752</v>
      </c>
      <c r="P30" s="95">
        <f>Cta_Cte!P30</f>
        <v>36011519040.949715</v>
      </c>
      <c r="V30">
        <v>1</v>
      </c>
      <c r="W30" t="s">
        <v>33</v>
      </c>
      <c r="Y30" t="s">
        <v>33</v>
      </c>
      <c r="Z30" t="s">
        <v>34</v>
      </c>
      <c r="AA30">
        <v>1</v>
      </c>
    </row>
    <row r="31" spans="1:29" x14ac:dyDescent="0.35">
      <c r="A31" s="13">
        <f t="shared" si="1"/>
        <v>45930</v>
      </c>
      <c r="B31">
        <v>1</v>
      </c>
      <c r="D31" s="14" t="s">
        <v>31</v>
      </c>
      <c r="E31" s="16" t="s">
        <v>41</v>
      </c>
      <c r="F31" s="16" t="s">
        <v>41</v>
      </c>
      <c r="G31" s="17"/>
      <c r="H31" s="33" t="s">
        <v>65</v>
      </c>
      <c r="I31" s="33" t="s">
        <v>65</v>
      </c>
      <c r="K31" s="20">
        <f>Cta_Cte!K31</f>
        <v>28</v>
      </c>
      <c r="L31" s="20">
        <f>Cta_Cte!L31</f>
        <v>0</v>
      </c>
      <c r="M31" s="21">
        <f>Cta_Cte!M31</f>
        <v>46783</v>
      </c>
      <c r="N31" s="21">
        <f>Cta_Cte!N31</f>
        <v>46783</v>
      </c>
      <c r="O31" s="21">
        <f>Cta_Cte!O31</f>
        <v>46783</v>
      </c>
      <c r="P31" s="95">
        <f>Cta_Cte!P31</f>
        <v>36011519040.949715</v>
      </c>
      <c r="V31">
        <v>1</v>
      </c>
      <c r="W31" t="s">
        <v>33</v>
      </c>
      <c r="Y31" t="s">
        <v>33</v>
      </c>
      <c r="Z31" t="s">
        <v>34</v>
      </c>
      <c r="AA31">
        <v>1</v>
      </c>
    </row>
    <row r="32" spans="1:29" x14ac:dyDescent="0.35">
      <c r="A32" s="13">
        <f t="shared" si="1"/>
        <v>45930</v>
      </c>
      <c r="B32">
        <v>1</v>
      </c>
      <c r="D32" s="14" t="s">
        <v>31</v>
      </c>
      <c r="E32" s="16" t="s">
        <v>41</v>
      </c>
      <c r="F32" s="16" t="s">
        <v>41</v>
      </c>
      <c r="G32" s="17"/>
      <c r="H32" s="33" t="s">
        <v>65</v>
      </c>
      <c r="I32" s="33" t="s">
        <v>65</v>
      </c>
      <c r="K32" s="20">
        <f>Cta_Cte!K32</f>
        <v>29</v>
      </c>
      <c r="L32" s="20">
        <f>Cta_Cte!L32</f>
        <v>0</v>
      </c>
      <c r="M32" s="21">
        <f>Cta_Cte!M32</f>
        <v>46812</v>
      </c>
      <c r="N32" s="21">
        <f>Cta_Cte!N32</f>
        <v>46812</v>
      </c>
      <c r="O32" s="21">
        <f>Cta_Cte!O32</f>
        <v>46812</v>
      </c>
      <c r="P32" s="95">
        <f>Cta_Cte!P32</f>
        <v>36011519040.949715</v>
      </c>
      <c r="V32">
        <v>1</v>
      </c>
      <c r="W32" t="s">
        <v>33</v>
      </c>
      <c r="Y32" t="s">
        <v>33</v>
      </c>
      <c r="Z32" t="s">
        <v>34</v>
      </c>
      <c r="AA32">
        <v>1</v>
      </c>
    </row>
    <row r="33" spans="1:27" x14ac:dyDescent="0.35">
      <c r="A33" s="13">
        <f t="shared" si="1"/>
        <v>45930</v>
      </c>
      <c r="B33">
        <v>1</v>
      </c>
      <c r="D33" s="14" t="s">
        <v>31</v>
      </c>
      <c r="E33" s="16" t="s">
        <v>41</v>
      </c>
      <c r="F33" s="16" t="s">
        <v>41</v>
      </c>
      <c r="G33" s="17"/>
      <c r="H33" s="33" t="s">
        <v>65</v>
      </c>
      <c r="I33" s="33" t="s">
        <v>65</v>
      </c>
      <c r="K33" s="20">
        <f>Cta_Cte!K33</f>
        <v>30</v>
      </c>
      <c r="L33" s="20">
        <f>Cta_Cte!L33</f>
        <v>0</v>
      </c>
      <c r="M33" s="21">
        <f>Cta_Cte!M33</f>
        <v>46843</v>
      </c>
      <c r="N33" s="21">
        <f>Cta_Cte!N33</f>
        <v>46843</v>
      </c>
      <c r="O33" s="21">
        <f>Cta_Cte!O33</f>
        <v>46843</v>
      </c>
      <c r="P33" s="95">
        <f>Cta_Cte!P33</f>
        <v>36011519040.949715</v>
      </c>
      <c r="V33">
        <v>1</v>
      </c>
      <c r="W33" t="s">
        <v>33</v>
      </c>
      <c r="Y33" t="s">
        <v>33</v>
      </c>
      <c r="Z33" t="s">
        <v>34</v>
      </c>
      <c r="AA33">
        <v>1</v>
      </c>
    </row>
    <row r="34" spans="1:27" x14ac:dyDescent="0.35">
      <c r="A34" s="13">
        <f t="shared" si="1"/>
        <v>45930</v>
      </c>
      <c r="B34">
        <v>1</v>
      </c>
      <c r="D34" s="14" t="s">
        <v>31</v>
      </c>
      <c r="E34" s="16" t="s">
        <v>41</v>
      </c>
      <c r="F34" s="16" t="s">
        <v>41</v>
      </c>
      <c r="G34" s="17"/>
      <c r="H34" s="33" t="s">
        <v>65</v>
      </c>
      <c r="I34" s="33" t="s">
        <v>65</v>
      </c>
      <c r="K34" s="20">
        <f>Cta_Cte!K34</f>
        <v>31</v>
      </c>
      <c r="L34" s="20">
        <f>Cta_Cte!L34</f>
        <v>0</v>
      </c>
      <c r="M34" s="21">
        <f>Cta_Cte!M34</f>
        <v>46873</v>
      </c>
      <c r="N34" s="21">
        <f>Cta_Cte!N34</f>
        <v>46873</v>
      </c>
      <c r="O34" s="21">
        <f>Cta_Cte!O34</f>
        <v>46873</v>
      </c>
      <c r="P34" s="95">
        <f>Cta_Cte!P34</f>
        <v>36011519040.949715</v>
      </c>
      <c r="V34">
        <v>1</v>
      </c>
      <c r="W34" t="s">
        <v>33</v>
      </c>
      <c r="Y34" t="s">
        <v>33</v>
      </c>
      <c r="Z34" t="s">
        <v>34</v>
      </c>
      <c r="AA34">
        <v>1</v>
      </c>
    </row>
    <row r="35" spans="1:27" x14ac:dyDescent="0.35">
      <c r="A35" s="13">
        <f t="shared" si="1"/>
        <v>45930</v>
      </c>
      <c r="B35">
        <v>1</v>
      </c>
      <c r="D35" s="14" t="s">
        <v>31</v>
      </c>
      <c r="E35" s="16" t="s">
        <v>41</v>
      </c>
      <c r="F35" s="16" t="s">
        <v>41</v>
      </c>
      <c r="G35" s="17"/>
      <c r="H35" s="33" t="s">
        <v>65</v>
      </c>
      <c r="I35" s="33" t="s">
        <v>65</v>
      </c>
      <c r="K35" s="20">
        <f>Cta_Cte!K35</f>
        <v>32</v>
      </c>
      <c r="L35" s="20">
        <f>Cta_Cte!L35</f>
        <v>0</v>
      </c>
      <c r="M35" s="21">
        <f>Cta_Cte!M35</f>
        <v>46904</v>
      </c>
      <c r="N35" s="21">
        <f>Cta_Cte!N35</f>
        <v>46904</v>
      </c>
      <c r="O35" s="21">
        <f>Cta_Cte!O35</f>
        <v>46904</v>
      </c>
      <c r="P35" s="95">
        <f>Cta_Cte!P35</f>
        <v>36011519040.949715</v>
      </c>
      <c r="V35">
        <v>1</v>
      </c>
      <c r="W35" t="s">
        <v>33</v>
      </c>
      <c r="Y35" t="s">
        <v>33</v>
      </c>
      <c r="Z35" t="s">
        <v>34</v>
      </c>
      <c r="AA35">
        <v>1</v>
      </c>
    </row>
    <row r="36" spans="1:27" x14ac:dyDescent="0.35">
      <c r="A36" s="13">
        <f t="shared" si="1"/>
        <v>45930</v>
      </c>
      <c r="B36">
        <v>1</v>
      </c>
      <c r="D36" s="14" t="s">
        <v>31</v>
      </c>
      <c r="E36" s="16" t="s">
        <v>41</v>
      </c>
      <c r="F36" s="16" t="s">
        <v>41</v>
      </c>
      <c r="G36" s="17"/>
      <c r="H36" s="33" t="s">
        <v>65</v>
      </c>
      <c r="I36" s="33" t="s">
        <v>65</v>
      </c>
      <c r="K36" s="20">
        <f>Cta_Cte!K36</f>
        <v>33</v>
      </c>
      <c r="L36" s="20">
        <f>Cta_Cte!L36</f>
        <v>0</v>
      </c>
      <c r="M36" s="21">
        <f>Cta_Cte!M36</f>
        <v>46934</v>
      </c>
      <c r="N36" s="21">
        <f>Cta_Cte!N36</f>
        <v>46934</v>
      </c>
      <c r="O36" s="21">
        <f>Cta_Cte!O36</f>
        <v>46934</v>
      </c>
      <c r="P36" s="95">
        <f>Cta_Cte!P36</f>
        <v>3459166099.7732425</v>
      </c>
      <c r="V36">
        <v>1</v>
      </c>
      <c r="W36" t="s">
        <v>33</v>
      </c>
      <c r="Y36" t="s">
        <v>33</v>
      </c>
      <c r="Z36" t="s">
        <v>34</v>
      </c>
      <c r="AA36">
        <v>1</v>
      </c>
    </row>
    <row r="37" spans="1:27" x14ac:dyDescent="0.35">
      <c r="A37" s="13">
        <f t="shared" si="1"/>
        <v>45930</v>
      </c>
      <c r="B37">
        <v>1</v>
      </c>
      <c r="D37" s="14" t="s">
        <v>31</v>
      </c>
      <c r="E37" s="16" t="s">
        <v>41</v>
      </c>
      <c r="F37" s="16" t="s">
        <v>41</v>
      </c>
      <c r="G37" s="17"/>
      <c r="H37" s="33" t="s">
        <v>65</v>
      </c>
      <c r="I37" s="33" t="s">
        <v>65</v>
      </c>
      <c r="K37" s="20">
        <f>Cta_Cte!K37</f>
        <v>34</v>
      </c>
      <c r="L37" s="20">
        <f>Cta_Cte!L37</f>
        <v>0</v>
      </c>
      <c r="M37" s="21">
        <f>Cta_Cte!M37</f>
        <v>46965</v>
      </c>
      <c r="N37" s="21">
        <f>Cta_Cte!N37</f>
        <v>46965</v>
      </c>
      <c r="O37" s="21">
        <f>Cta_Cte!O37</f>
        <v>46965</v>
      </c>
      <c r="P37" s="95">
        <f>Cta_Cte!P37</f>
        <v>3459166099.7732425</v>
      </c>
      <c r="V37">
        <v>1</v>
      </c>
      <c r="W37" t="s">
        <v>33</v>
      </c>
      <c r="Y37" t="s">
        <v>33</v>
      </c>
      <c r="Z37" t="s">
        <v>34</v>
      </c>
      <c r="AA37">
        <v>1</v>
      </c>
    </row>
    <row r="38" spans="1:27" x14ac:dyDescent="0.35">
      <c r="A38" s="13">
        <f t="shared" si="1"/>
        <v>45930</v>
      </c>
      <c r="B38">
        <v>1</v>
      </c>
      <c r="D38" s="14" t="s">
        <v>31</v>
      </c>
      <c r="E38" s="16" t="s">
        <v>41</v>
      </c>
      <c r="F38" s="16" t="s">
        <v>41</v>
      </c>
      <c r="G38" s="17"/>
      <c r="H38" s="33" t="s">
        <v>65</v>
      </c>
      <c r="I38" s="33" t="s">
        <v>65</v>
      </c>
      <c r="K38" s="20">
        <f>Cta_Cte!K38</f>
        <v>35</v>
      </c>
      <c r="L38" s="20">
        <f>Cta_Cte!L38</f>
        <v>0</v>
      </c>
      <c r="M38" s="21">
        <f>Cta_Cte!M38</f>
        <v>45961</v>
      </c>
      <c r="N38" s="21">
        <f>Cta_Cte!N38</f>
        <v>45961</v>
      </c>
      <c r="O38" s="21">
        <f>Cta_Cte!O38</f>
        <v>45961</v>
      </c>
      <c r="P38" s="95">
        <f>Cta_Cte!P38</f>
        <v>3459166099.7732425</v>
      </c>
      <c r="V38">
        <v>1</v>
      </c>
      <c r="W38" t="s">
        <v>33</v>
      </c>
      <c r="Y38" t="s">
        <v>33</v>
      </c>
      <c r="Z38" t="s">
        <v>34</v>
      </c>
      <c r="AA38">
        <v>1</v>
      </c>
    </row>
    <row r="39" spans="1:27" x14ac:dyDescent="0.35">
      <c r="A39" s="13">
        <f t="shared" si="1"/>
        <v>45930</v>
      </c>
      <c r="B39">
        <v>1</v>
      </c>
      <c r="D39" s="14" t="s">
        <v>31</v>
      </c>
      <c r="E39" s="16" t="s">
        <v>41</v>
      </c>
      <c r="F39" s="16" t="s">
        <v>41</v>
      </c>
      <c r="G39" s="17"/>
      <c r="H39" s="33" t="s">
        <v>65</v>
      </c>
      <c r="I39" s="33" t="s">
        <v>65</v>
      </c>
      <c r="K39" s="20">
        <f>Cta_Cte!K39</f>
        <v>36</v>
      </c>
      <c r="L39" s="20">
        <f>Cta_Cte!L39</f>
        <v>0</v>
      </c>
      <c r="M39" s="21">
        <f>Cta_Cte!M39</f>
        <v>45991</v>
      </c>
      <c r="N39" s="21">
        <f>Cta_Cte!N39</f>
        <v>45991</v>
      </c>
      <c r="O39" s="21">
        <f>Cta_Cte!O39</f>
        <v>45991</v>
      </c>
      <c r="P39" s="95">
        <f>Cta_Cte!P39</f>
        <v>3459166099.7732425</v>
      </c>
      <c r="V39">
        <v>1</v>
      </c>
      <c r="W39" t="s">
        <v>33</v>
      </c>
      <c r="Y39" t="s">
        <v>33</v>
      </c>
      <c r="Z39" t="s">
        <v>34</v>
      </c>
      <c r="AA39">
        <v>1</v>
      </c>
    </row>
    <row r="40" spans="1:27" x14ac:dyDescent="0.35">
      <c r="A40" s="13">
        <f t="shared" si="1"/>
        <v>45930</v>
      </c>
      <c r="B40">
        <v>1</v>
      </c>
      <c r="D40" s="14" t="s">
        <v>31</v>
      </c>
      <c r="E40" s="16" t="s">
        <v>41</v>
      </c>
      <c r="F40" s="16" t="s">
        <v>41</v>
      </c>
      <c r="G40" s="17"/>
      <c r="H40" s="33" t="s">
        <v>65</v>
      </c>
      <c r="I40" s="33" t="s">
        <v>65</v>
      </c>
      <c r="K40" s="20">
        <f>Cta_Cte!K40</f>
        <v>37</v>
      </c>
      <c r="L40" s="20">
        <f>Cta_Cte!L40</f>
        <v>0</v>
      </c>
      <c r="M40" s="21">
        <f>Cta_Cte!M40</f>
        <v>46022</v>
      </c>
      <c r="N40" s="21">
        <f>Cta_Cte!N40</f>
        <v>46022</v>
      </c>
      <c r="O40" s="21">
        <f>Cta_Cte!O40</f>
        <v>46022</v>
      </c>
      <c r="P40" s="95">
        <f>Cta_Cte!P40</f>
        <v>3459166099.7732425</v>
      </c>
      <c r="V40">
        <v>1</v>
      </c>
      <c r="W40" t="s">
        <v>33</v>
      </c>
      <c r="Y40" t="s">
        <v>33</v>
      </c>
      <c r="Z40" t="s">
        <v>34</v>
      </c>
      <c r="AA40">
        <v>1</v>
      </c>
    </row>
    <row r="41" spans="1:27" x14ac:dyDescent="0.35">
      <c r="A41" s="13">
        <f t="shared" si="1"/>
        <v>45930</v>
      </c>
      <c r="B41">
        <v>1</v>
      </c>
      <c r="D41" s="14" t="s">
        <v>31</v>
      </c>
      <c r="E41" s="16" t="s">
        <v>41</v>
      </c>
      <c r="F41" s="16" t="s">
        <v>41</v>
      </c>
      <c r="G41" s="17"/>
      <c r="H41" s="33" t="s">
        <v>65</v>
      </c>
      <c r="I41" s="33" t="s">
        <v>65</v>
      </c>
      <c r="K41" s="20">
        <f>Cta_Cte!K41</f>
        <v>38</v>
      </c>
      <c r="L41" s="20">
        <f>Cta_Cte!L41</f>
        <v>0</v>
      </c>
      <c r="M41" s="21">
        <f>Cta_Cte!M41</f>
        <v>46053</v>
      </c>
      <c r="N41" s="21">
        <f>Cta_Cte!N41</f>
        <v>46053</v>
      </c>
      <c r="O41" s="21">
        <f>Cta_Cte!O41</f>
        <v>46053</v>
      </c>
      <c r="P41" s="95">
        <f>Cta_Cte!P41</f>
        <v>3459166099.7732425</v>
      </c>
      <c r="V41">
        <v>1</v>
      </c>
      <c r="W41" t="s">
        <v>33</v>
      </c>
      <c r="Y41" t="s">
        <v>33</v>
      </c>
      <c r="Z41" t="s">
        <v>34</v>
      </c>
      <c r="AA41">
        <v>1</v>
      </c>
    </row>
    <row r="42" spans="1:27" x14ac:dyDescent="0.35">
      <c r="A42" s="13">
        <f t="shared" si="1"/>
        <v>45930</v>
      </c>
      <c r="B42">
        <v>1</v>
      </c>
      <c r="D42" s="14" t="s">
        <v>31</v>
      </c>
      <c r="E42" s="16" t="s">
        <v>41</v>
      </c>
      <c r="F42" s="16" t="s">
        <v>41</v>
      </c>
      <c r="G42" s="17"/>
      <c r="H42" s="33" t="s">
        <v>65</v>
      </c>
      <c r="I42" s="33" t="s">
        <v>65</v>
      </c>
      <c r="K42" s="20">
        <f>Cta_Cte!K42</f>
        <v>39</v>
      </c>
      <c r="L42" s="20">
        <f>Cta_Cte!L42</f>
        <v>0</v>
      </c>
      <c r="M42" s="21">
        <f>Cta_Cte!M42</f>
        <v>46081</v>
      </c>
      <c r="N42" s="21">
        <f>Cta_Cte!N42</f>
        <v>46081</v>
      </c>
      <c r="O42" s="21">
        <f>Cta_Cte!O42</f>
        <v>46081</v>
      </c>
      <c r="P42" s="95">
        <f>Cta_Cte!P42</f>
        <v>3459166099.7732425</v>
      </c>
      <c r="V42">
        <v>1</v>
      </c>
      <c r="W42" t="s">
        <v>33</v>
      </c>
      <c r="Y42" t="s">
        <v>33</v>
      </c>
      <c r="Z42" t="s">
        <v>34</v>
      </c>
      <c r="AA42">
        <v>1</v>
      </c>
    </row>
    <row r="43" spans="1:27" x14ac:dyDescent="0.35">
      <c r="A43" s="13">
        <f t="shared" si="1"/>
        <v>45930</v>
      </c>
      <c r="B43">
        <v>1</v>
      </c>
      <c r="D43" s="14" t="s">
        <v>31</v>
      </c>
      <c r="E43" s="16" t="s">
        <v>41</v>
      </c>
      <c r="F43" s="16" t="s">
        <v>41</v>
      </c>
      <c r="G43" s="17"/>
      <c r="H43" s="33" t="s">
        <v>65</v>
      </c>
      <c r="I43" s="33" t="s">
        <v>65</v>
      </c>
      <c r="K43" s="20">
        <f>Cta_Cte!K43</f>
        <v>40</v>
      </c>
      <c r="L43" s="20">
        <f>Cta_Cte!L43</f>
        <v>0</v>
      </c>
      <c r="M43" s="21">
        <f>Cta_Cte!M43</f>
        <v>46112</v>
      </c>
      <c r="N43" s="21">
        <f>Cta_Cte!N43</f>
        <v>46112</v>
      </c>
      <c r="O43" s="21">
        <f>Cta_Cte!O43</f>
        <v>46112</v>
      </c>
      <c r="P43" s="95">
        <f>Cta_Cte!P43</f>
        <v>3459166099.7732425</v>
      </c>
      <c r="V43">
        <v>1</v>
      </c>
      <c r="W43" t="s">
        <v>33</v>
      </c>
      <c r="Y43" t="s">
        <v>33</v>
      </c>
      <c r="Z43" t="s">
        <v>34</v>
      </c>
      <c r="AA43">
        <v>1</v>
      </c>
    </row>
    <row r="44" spans="1:27" x14ac:dyDescent="0.35">
      <c r="A44" s="13">
        <f t="shared" si="1"/>
        <v>45930</v>
      </c>
      <c r="B44">
        <v>1</v>
      </c>
      <c r="D44" s="14" t="s">
        <v>31</v>
      </c>
      <c r="E44" s="16" t="s">
        <v>41</v>
      </c>
      <c r="F44" s="16" t="s">
        <v>41</v>
      </c>
      <c r="G44" s="17"/>
      <c r="H44" s="33" t="s">
        <v>65</v>
      </c>
      <c r="I44" s="33" t="s">
        <v>65</v>
      </c>
      <c r="K44" s="20">
        <f>Cta_Cte!K44</f>
        <v>41</v>
      </c>
      <c r="L44" s="20">
        <f>Cta_Cte!L44</f>
        <v>0</v>
      </c>
      <c r="M44" s="21">
        <f>Cta_Cte!M44</f>
        <v>46142</v>
      </c>
      <c r="N44" s="21">
        <f>Cta_Cte!N44</f>
        <v>46142</v>
      </c>
      <c r="O44" s="21">
        <f>Cta_Cte!O44</f>
        <v>46142</v>
      </c>
      <c r="P44" s="95">
        <f>Cta_Cte!P44</f>
        <v>3459166099.7732425</v>
      </c>
      <c r="V44">
        <v>1</v>
      </c>
      <c r="W44" t="s">
        <v>33</v>
      </c>
      <c r="Y44" t="s">
        <v>33</v>
      </c>
      <c r="Z44" t="s">
        <v>34</v>
      </c>
      <c r="AA44">
        <v>1</v>
      </c>
    </row>
    <row r="45" spans="1:27" x14ac:dyDescent="0.35">
      <c r="A45" s="13">
        <f t="shared" si="1"/>
        <v>45930</v>
      </c>
      <c r="B45">
        <v>1</v>
      </c>
      <c r="D45" s="14" t="s">
        <v>31</v>
      </c>
      <c r="E45" s="16" t="s">
        <v>41</v>
      </c>
      <c r="F45" s="16" t="s">
        <v>41</v>
      </c>
      <c r="G45" s="17"/>
      <c r="H45" s="33" t="s">
        <v>65</v>
      </c>
      <c r="I45" s="33" t="s">
        <v>65</v>
      </c>
      <c r="K45" s="20">
        <f>Cta_Cte!K45</f>
        <v>42</v>
      </c>
      <c r="L45" s="20">
        <f>Cta_Cte!L45</f>
        <v>0</v>
      </c>
      <c r="M45" s="21">
        <f>Cta_Cte!M45</f>
        <v>46173</v>
      </c>
      <c r="N45" s="21">
        <f>Cta_Cte!N45</f>
        <v>46173</v>
      </c>
      <c r="O45" s="21">
        <f>Cta_Cte!O45</f>
        <v>46173</v>
      </c>
      <c r="P45" s="95">
        <f>Cta_Cte!P45</f>
        <v>1255895791.6499934</v>
      </c>
      <c r="V45">
        <v>1</v>
      </c>
      <c r="W45" t="s">
        <v>33</v>
      </c>
      <c r="Y45" t="s">
        <v>33</v>
      </c>
      <c r="Z45" t="s">
        <v>34</v>
      </c>
      <c r="AA45">
        <v>1</v>
      </c>
    </row>
    <row r="46" spans="1:27" x14ac:dyDescent="0.35">
      <c r="A46" s="13">
        <f t="shared" si="1"/>
        <v>45930</v>
      </c>
      <c r="B46">
        <v>1</v>
      </c>
      <c r="D46" s="14" t="s">
        <v>31</v>
      </c>
      <c r="E46" s="16" t="s">
        <v>41</v>
      </c>
      <c r="F46" s="16" t="s">
        <v>41</v>
      </c>
      <c r="G46" s="17"/>
      <c r="H46" s="33" t="s">
        <v>65</v>
      </c>
      <c r="I46" s="33" t="s">
        <v>65</v>
      </c>
      <c r="K46" s="20">
        <f>Cta_Cte!K46</f>
        <v>43</v>
      </c>
      <c r="L46" s="20">
        <f>Cta_Cte!L46</f>
        <v>0</v>
      </c>
      <c r="M46" s="21">
        <f>Cta_Cte!M46</f>
        <v>46203</v>
      </c>
      <c r="N46" s="21">
        <f>Cta_Cte!N46</f>
        <v>46203</v>
      </c>
      <c r="O46" s="21">
        <f>Cta_Cte!O46</f>
        <v>46203</v>
      </c>
      <c r="P46" s="95">
        <f>Cta_Cte!P46</f>
        <v>0</v>
      </c>
      <c r="V46">
        <v>1</v>
      </c>
      <c r="W46" t="s">
        <v>33</v>
      </c>
      <c r="Y46" t="s">
        <v>33</v>
      </c>
      <c r="Z46" t="s">
        <v>34</v>
      </c>
      <c r="AA46">
        <v>1</v>
      </c>
    </row>
    <row r="47" spans="1:27" x14ac:dyDescent="0.35">
      <c r="A47" s="13">
        <f t="shared" si="1"/>
        <v>45930</v>
      </c>
      <c r="B47">
        <v>1</v>
      </c>
      <c r="D47" s="14" t="s">
        <v>31</v>
      </c>
      <c r="E47" s="16" t="s">
        <v>41</v>
      </c>
      <c r="F47" s="16" t="s">
        <v>41</v>
      </c>
      <c r="G47" s="17"/>
      <c r="H47" s="33" t="s">
        <v>65</v>
      </c>
      <c r="I47" s="33" t="s">
        <v>65</v>
      </c>
      <c r="K47" s="20">
        <f>Cta_Cte!K47</f>
        <v>44</v>
      </c>
      <c r="L47" s="20">
        <f>Cta_Cte!L47</f>
        <v>0</v>
      </c>
      <c r="M47" s="21">
        <f>Cta_Cte!M47</f>
        <v>46234</v>
      </c>
      <c r="N47" s="21">
        <f>Cta_Cte!N47</f>
        <v>46234</v>
      </c>
      <c r="O47" s="21">
        <f>Cta_Cte!O47</f>
        <v>46234</v>
      </c>
      <c r="P47" s="95">
        <f>Cta_Cte!P47</f>
        <v>0</v>
      </c>
      <c r="V47">
        <v>1</v>
      </c>
      <c r="W47" t="s">
        <v>33</v>
      </c>
      <c r="Y47" t="s">
        <v>33</v>
      </c>
      <c r="Z47" t="s">
        <v>34</v>
      </c>
      <c r="AA47">
        <v>1</v>
      </c>
    </row>
    <row r="48" spans="1:27" x14ac:dyDescent="0.35">
      <c r="A48" s="13">
        <f t="shared" si="1"/>
        <v>45930</v>
      </c>
      <c r="B48">
        <v>1</v>
      </c>
      <c r="D48" s="14" t="s">
        <v>31</v>
      </c>
      <c r="E48" s="16" t="s">
        <v>41</v>
      </c>
      <c r="F48" s="16" t="s">
        <v>41</v>
      </c>
      <c r="G48" s="17"/>
      <c r="H48" s="33" t="s">
        <v>65</v>
      </c>
      <c r="I48" s="33" t="s">
        <v>65</v>
      </c>
      <c r="K48" s="20">
        <f>Cta_Cte!K48</f>
        <v>45</v>
      </c>
      <c r="L48" s="20">
        <f>Cta_Cte!L48</f>
        <v>0</v>
      </c>
      <c r="M48" s="21">
        <f>Cta_Cte!M48</f>
        <v>46265</v>
      </c>
      <c r="N48" s="21">
        <f>Cta_Cte!N48</f>
        <v>46265</v>
      </c>
      <c r="O48" s="21">
        <f>Cta_Cte!O48</f>
        <v>46265</v>
      </c>
      <c r="P48" s="95">
        <f>Cta_Cte!P48</f>
        <v>0</v>
      </c>
      <c r="V48">
        <v>1</v>
      </c>
      <c r="W48" t="s">
        <v>33</v>
      </c>
      <c r="Y48" t="s">
        <v>33</v>
      </c>
      <c r="Z48" t="s">
        <v>34</v>
      </c>
      <c r="AA48">
        <v>1</v>
      </c>
    </row>
    <row r="49" spans="1:27" x14ac:dyDescent="0.35">
      <c r="A49" s="13">
        <f t="shared" si="1"/>
        <v>45930</v>
      </c>
      <c r="B49">
        <v>1</v>
      </c>
      <c r="D49" s="14" t="s">
        <v>31</v>
      </c>
      <c r="E49" s="16" t="s">
        <v>41</v>
      </c>
      <c r="F49" s="16" t="s">
        <v>41</v>
      </c>
      <c r="G49" s="17"/>
      <c r="H49" s="33" t="s">
        <v>65</v>
      </c>
      <c r="I49" s="33" t="s">
        <v>65</v>
      </c>
      <c r="K49" s="20">
        <f>Cta_Cte!K49</f>
        <v>46</v>
      </c>
      <c r="L49" s="20">
        <f>Cta_Cte!L49</f>
        <v>0</v>
      </c>
      <c r="M49" s="21">
        <f>Cta_Cte!M49</f>
        <v>46295</v>
      </c>
      <c r="N49" s="21">
        <f>Cta_Cte!N49</f>
        <v>46295</v>
      </c>
      <c r="O49" s="21">
        <f>Cta_Cte!O49</f>
        <v>46295</v>
      </c>
      <c r="P49" s="95">
        <f>Cta_Cte!P49</f>
        <v>0</v>
      </c>
      <c r="V49">
        <v>1</v>
      </c>
      <c r="W49" t="s">
        <v>33</v>
      </c>
      <c r="Y49" t="s">
        <v>33</v>
      </c>
      <c r="Z49" t="s">
        <v>34</v>
      </c>
      <c r="AA49">
        <v>1</v>
      </c>
    </row>
    <row r="50" spans="1:27" x14ac:dyDescent="0.35">
      <c r="A50" s="13">
        <f t="shared" si="1"/>
        <v>45930</v>
      </c>
      <c r="B50">
        <v>1</v>
      </c>
      <c r="D50" s="14" t="s">
        <v>31</v>
      </c>
      <c r="E50" s="16" t="s">
        <v>41</v>
      </c>
      <c r="F50" s="16" t="s">
        <v>41</v>
      </c>
      <c r="G50" s="17"/>
      <c r="H50" s="33" t="s">
        <v>65</v>
      </c>
      <c r="I50" s="33" t="s">
        <v>65</v>
      </c>
      <c r="K50" s="20">
        <f>Cta_Cte!K50</f>
        <v>47</v>
      </c>
      <c r="L50" s="20">
        <f>Cta_Cte!L50</f>
        <v>0</v>
      </c>
      <c r="M50" s="21">
        <f>Cta_Cte!M50</f>
        <v>46326</v>
      </c>
      <c r="N50" s="21">
        <f>Cta_Cte!N50</f>
        <v>46326</v>
      </c>
      <c r="O50" s="21">
        <f>Cta_Cte!O50</f>
        <v>46326</v>
      </c>
      <c r="P50" s="95">
        <f>Cta_Cte!P50</f>
        <v>0</v>
      </c>
      <c r="V50">
        <v>1</v>
      </c>
      <c r="W50" t="s">
        <v>33</v>
      </c>
      <c r="Y50" t="s">
        <v>33</v>
      </c>
      <c r="Z50" t="s">
        <v>34</v>
      </c>
      <c r="AA50">
        <v>1</v>
      </c>
    </row>
    <row r="51" spans="1:27" x14ac:dyDescent="0.35">
      <c r="A51" s="13">
        <f t="shared" si="1"/>
        <v>45930</v>
      </c>
      <c r="B51">
        <v>1</v>
      </c>
      <c r="D51" s="14" t="s">
        <v>31</v>
      </c>
      <c r="E51" s="16" t="s">
        <v>41</v>
      </c>
      <c r="F51" s="16" t="s">
        <v>41</v>
      </c>
      <c r="G51" s="17"/>
      <c r="H51" s="33" t="s">
        <v>65</v>
      </c>
      <c r="I51" s="33" t="s">
        <v>65</v>
      </c>
      <c r="K51" s="20">
        <f>Cta_Cte!K51</f>
        <v>48</v>
      </c>
      <c r="L51" s="20">
        <f>Cta_Cte!L51</f>
        <v>0</v>
      </c>
      <c r="M51" s="21">
        <f>Cta_Cte!M51</f>
        <v>46356</v>
      </c>
      <c r="N51" s="21">
        <f>Cta_Cte!N51</f>
        <v>46356</v>
      </c>
      <c r="O51" s="21">
        <f>Cta_Cte!O51</f>
        <v>46356</v>
      </c>
      <c r="P51" s="95">
        <f>Cta_Cte!P51</f>
        <v>0</v>
      </c>
      <c r="V51">
        <v>1</v>
      </c>
      <c r="W51" t="s">
        <v>33</v>
      </c>
      <c r="Y51" t="s">
        <v>33</v>
      </c>
      <c r="Z51" t="s">
        <v>34</v>
      </c>
      <c r="AA51">
        <v>1</v>
      </c>
    </row>
    <row r="52" spans="1:27" x14ac:dyDescent="0.35">
      <c r="A52" s="13">
        <f t="shared" si="1"/>
        <v>45930</v>
      </c>
      <c r="B52">
        <v>1</v>
      </c>
      <c r="D52" s="14" t="s">
        <v>31</v>
      </c>
      <c r="E52" s="16" t="s">
        <v>41</v>
      </c>
      <c r="F52" s="16" t="s">
        <v>41</v>
      </c>
      <c r="G52" s="17"/>
      <c r="H52" s="33" t="s">
        <v>65</v>
      </c>
      <c r="I52" s="33" t="s">
        <v>65</v>
      </c>
      <c r="K52" s="20">
        <f>Cta_Cte!K52</f>
        <v>49</v>
      </c>
      <c r="L52" s="20">
        <f>Cta_Cte!L52</f>
        <v>0</v>
      </c>
      <c r="M52" s="21">
        <f>Cta_Cte!M52</f>
        <v>46387</v>
      </c>
      <c r="N52" s="21">
        <f>Cta_Cte!N52</f>
        <v>46387</v>
      </c>
      <c r="O52" s="21">
        <f>Cta_Cte!O52</f>
        <v>46387</v>
      </c>
      <c r="P52" s="95">
        <f>Cta_Cte!P52</f>
        <v>0</v>
      </c>
      <c r="V52">
        <v>1</v>
      </c>
      <c r="W52" t="s">
        <v>33</v>
      </c>
      <c r="Y52" t="s">
        <v>33</v>
      </c>
      <c r="Z52" t="s">
        <v>34</v>
      </c>
      <c r="AA52">
        <v>1</v>
      </c>
    </row>
    <row r="53" spans="1:27" x14ac:dyDescent="0.35">
      <c r="A53" s="13">
        <f t="shared" si="1"/>
        <v>45930</v>
      </c>
      <c r="B53">
        <v>1</v>
      </c>
      <c r="D53" s="14" t="s">
        <v>31</v>
      </c>
      <c r="E53" s="16" t="s">
        <v>41</v>
      </c>
      <c r="F53" s="16" t="s">
        <v>41</v>
      </c>
      <c r="G53" s="17"/>
      <c r="H53" s="33" t="s">
        <v>65</v>
      </c>
      <c r="I53" s="33" t="s">
        <v>65</v>
      </c>
      <c r="K53" s="20">
        <f>Cta_Cte!K53</f>
        <v>50</v>
      </c>
      <c r="L53" s="20">
        <f>Cta_Cte!L53</f>
        <v>0</v>
      </c>
      <c r="M53" s="21">
        <f>Cta_Cte!M53</f>
        <v>46418</v>
      </c>
      <c r="N53" s="21">
        <f>Cta_Cte!N53</f>
        <v>46418</v>
      </c>
      <c r="O53" s="21">
        <f>Cta_Cte!O53</f>
        <v>46418</v>
      </c>
      <c r="P53" s="95">
        <f>Cta_Cte!P53</f>
        <v>0</v>
      </c>
      <c r="V53">
        <v>1</v>
      </c>
      <c r="W53" t="s">
        <v>33</v>
      </c>
      <c r="Y53" t="s">
        <v>33</v>
      </c>
      <c r="Z53" t="s">
        <v>34</v>
      </c>
      <c r="AA53">
        <v>1</v>
      </c>
    </row>
    <row r="54" spans="1:27" x14ac:dyDescent="0.35">
      <c r="A54" s="13">
        <f t="shared" si="1"/>
        <v>45930</v>
      </c>
      <c r="B54">
        <v>1</v>
      </c>
      <c r="D54" s="14" t="s">
        <v>31</v>
      </c>
      <c r="E54" s="16" t="s">
        <v>41</v>
      </c>
      <c r="F54" s="16" t="s">
        <v>41</v>
      </c>
      <c r="G54" s="17"/>
      <c r="H54" s="33" t="s">
        <v>65</v>
      </c>
      <c r="I54" s="33" t="s">
        <v>65</v>
      </c>
      <c r="K54" s="20">
        <f>Cta_Cte!K54</f>
        <v>51</v>
      </c>
      <c r="L54" s="20">
        <f>Cta_Cte!L54</f>
        <v>0</v>
      </c>
      <c r="M54" s="21">
        <f>Cta_Cte!M54</f>
        <v>46446</v>
      </c>
      <c r="N54" s="21">
        <f>Cta_Cte!N54</f>
        <v>46446</v>
      </c>
      <c r="O54" s="21">
        <f>Cta_Cte!O54</f>
        <v>46446</v>
      </c>
      <c r="P54" s="95">
        <f>Cta_Cte!P54</f>
        <v>0</v>
      </c>
      <c r="V54">
        <v>1</v>
      </c>
      <c r="W54" t="s">
        <v>33</v>
      </c>
      <c r="Y54" t="s">
        <v>33</v>
      </c>
      <c r="Z54" t="s">
        <v>34</v>
      </c>
      <c r="AA54">
        <v>1</v>
      </c>
    </row>
    <row r="55" spans="1:27" x14ac:dyDescent="0.35">
      <c r="A55" s="13">
        <f t="shared" si="1"/>
        <v>45930</v>
      </c>
      <c r="B55">
        <v>1</v>
      </c>
      <c r="D55" s="14" t="s">
        <v>31</v>
      </c>
      <c r="E55" s="16" t="s">
        <v>41</v>
      </c>
      <c r="F55" s="16" t="s">
        <v>41</v>
      </c>
      <c r="G55" s="17"/>
      <c r="H55" s="33" t="s">
        <v>65</v>
      </c>
      <c r="I55" s="33" t="s">
        <v>65</v>
      </c>
      <c r="K55" s="20">
        <f>Cta_Cte!K55</f>
        <v>52</v>
      </c>
      <c r="L55" s="20">
        <f>Cta_Cte!L55</f>
        <v>0</v>
      </c>
      <c r="M55" s="21">
        <f>Cta_Cte!M55</f>
        <v>46477</v>
      </c>
      <c r="N55" s="21">
        <f>Cta_Cte!N55</f>
        <v>46477</v>
      </c>
      <c r="O55" s="21">
        <f>Cta_Cte!O55</f>
        <v>46477</v>
      </c>
      <c r="P55" s="95">
        <f>Cta_Cte!P55</f>
        <v>0</v>
      </c>
      <c r="V55">
        <v>1</v>
      </c>
      <c r="W55" t="s">
        <v>33</v>
      </c>
      <c r="Y55" t="s">
        <v>33</v>
      </c>
      <c r="Z55" t="s">
        <v>34</v>
      </c>
      <c r="AA55">
        <v>1</v>
      </c>
    </row>
    <row r="56" spans="1:27" x14ac:dyDescent="0.35">
      <c r="A56" s="13">
        <f t="shared" si="1"/>
        <v>45930</v>
      </c>
      <c r="B56">
        <v>1</v>
      </c>
      <c r="D56" s="14" t="s">
        <v>31</v>
      </c>
      <c r="E56" s="16" t="s">
        <v>41</v>
      </c>
      <c r="F56" s="16" t="s">
        <v>41</v>
      </c>
      <c r="G56" s="17"/>
      <c r="H56" s="33" t="s">
        <v>65</v>
      </c>
      <c r="I56" s="33" t="s">
        <v>65</v>
      </c>
      <c r="K56" s="20">
        <f>Cta_Cte!K56</f>
        <v>53</v>
      </c>
      <c r="L56" s="20">
        <f>Cta_Cte!L56</f>
        <v>0</v>
      </c>
      <c r="M56" s="21">
        <f>Cta_Cte!M56</f>
        <v>46507</v>
      </c>
      <c r="N56" s="21">
        <f>Cta_Cte!N56</f>
        <v>46507</v>
      </c>
      <c r="O56" s="21">
        <f>Cta_Cte!O56</f>
        <v>46507</v>
      </c>
      <c r="P56" s="95">
        <f>Cta_Cte!P56</f>
        <v>0</v>
      </c>
      <c r="V56">
        <v>1</v>
      </c>
      <c r="W56" t="s">
        <v>33</v>
      </c>
      <c r="Y56" t="s">
        <v>33</v>
      </c>
      <c r="Z56" t="s">
        <v>34</v>
      </c>
      <c r="AA56">
        <v>1</v>
      </c>
    </row>
    <row r="57" spans="1:27" x14ac:dyDescent="0.35">
      <c r="A57" s="13">
        <f t="shared" si="1"/>
        <v>45930</v>
      </c>
      <c r="B57">
        <v>1</v>
      </c>
      <c r="D57" s="14" t="s">
        <v>31</v>
      </c>
      <c r="E57" s="16" t="s">
        <v>41</v>
      </c>
      <c r="F57" s="16" t="s">
        <v>41</v>
      </c>
      <c r="G57" s="17"/>
      <c r="H57" s="33" t="s">
        <v>65</v>
      </c>
      <c r="I57" s="33" t="s">
        <v>65</v>
      </c>
      <c r="K57" s="20">
        <f>Cta_Cte!K57</f>
        <v>54</v>
      </c>
      <c r="L57" s="20">
        <f>Cta_Cte!L57</f>
        <v>0</v>
      </c>
      <c r="M57" s="21">
        <f>Cta_Cte!M57</f>
        <v>46538</v>
      </c>
      <c r="N57" s="21">
        <f>Cta_Cte!N57</f>
        <v>46538</v>
      </c>
      <c r="O57" s="21">
        <f>Cta_Cte!O57</f>
        <v>46538</v>
      </c>
      <c r="P57" s="95">
        <f>Cta_Cte!P57</f>
        <v>0</v>
      </c>
      <c r="V57">
        <v>1</v>
      </c>
      <c r="W57" t="s">
        <v>33</v>
      </c>
      <c r="Y57" t="s">
        <v>33</v>
      </c>
      <c r="Z57" t="s">
        <v>34</v>
      </c>
      <c r="AA57">
        <v>1</v>
      </c>
    </row>
    <row r="58" spans="1:27" x14ac:dyDescent="0.35">
      <c r="A58" s="13">
        <f t="shared" si="1"/>
        <v>45930</v>
      </c>
      <c r="B58">
        <v>1</v>
      </c>
      <c r="D58" s="14" t="s">
        <v>31</v>
      </c>
      <c r="E58" s="16" t="s">
        <v>41</v>
      </c>
      <c r="F58" s="16" t="s">
        <v>41</v>
      </c>
      <c r="G58" s="17"/>
      <c r="H58" s="33" t="s">
        <v>65</v>
      </c>
      <c r="I58" s="33" t="s">
        <v>65</v>
      </c>
      <c r="K58" s="20">
        <f>Cta_Cte!K58</f>
        <v>55</v>
      </c>
      <c r="L58" s="20">
        <f>Cta_Cte!L58</f>
        <v>0</v>
      </c>
      <c r="M58" s="21">
        <f>Cta_Cte!M58</f>
        <v>46568</v>
      </c>
      <c r="N58" s="21">
        <f>Cta_Cte!N58</f>
        <v>46568</v>
      </c>
      <c r="O58" s="21">
        <f>Cta_Cte!O58</f>
        <v>46568</v>
      </c>
      <c r="P58" s="95">
        <f>Cta_Cte!P58</f>
        <v>0</v>
      </c>
      <c r="V58">
        <v>1</v>
      </c>
      <c r="W58" t="s">
        <v>33</v>
      </c>
      <c r="Y58" t="s">
        <v>33</v>
      </c>
      <c r="Z58" t="s">
        <v>34</v>
      </c>
      <c r="AA58">
        <v>1</v>
      </c>
    </row>
    <row r="59" spans="1:27" x14ac:dyDescent="0.35">
      <c r="A59" s="13">
        <f t="shared" si="1"/>
        <v>45930</v>
      </c>
      <c r="B59">
        <v>1</v>
      </c>
      <c r="D59" s="14" t="s">
        <v>31</v>
      </c>
      <c r="E59" s="16" t="s">
        <v>41</v>
      </c>
      <c r="F59" s="16" t="s">
        <v>41</v>
      </c>
      <c r="G59" s="17"/>
      <c r="H59" s="33" t="s">
        <v>65</v>
      </c>
      <c r="I59" s="33" t="s">
        <v>65</v>
      </c>
      <c r="K59" s="20">
        <f>Cta_Cte!K59</f>
        <v>56</v>
      </c>
      <c r="L59" s="20">
        <f>Cta_Cte!L59</f>
        <v>0</v>
      </c>
      <c r="M59" s="21">
        <f>Cta_Cte!M59</f>
        <v>46599</v>
      </c>
      <c r="N59" s="21">
        <f>Cta_Cte!N59</f>
        <v>46599</v>
      </c>
      <c r="O59" s="21">
        <f>Cta_Cte!O59</f>
        <v>46599</v>
      </c>
      <c r="P59" s="95">
        <f>Cta_Cte!P59</f>
        <v>0</v>
      </c>
      <c r="V59">
        <v>1</v>
      </c>
      <c r="W59" t="s">
        <v>33</v>
      </c>
      <c r="Y59" t="s">
        <v>33</v>
      </c>
      <c r="Z59" t="s">
        <v>34</v>
      </c>
      <c r="AA59">
        <v>1</v>
      </c>
    </row>
    <row r="60" spans="1:27" x14ac:dyDescent="0.35">
      <c r="A60" s="13">
        <f t="shared" si="1"/>
        <v>45930</v>
      </c>
      <c r="B60">
        <v>1</v>
      </c>
      <c r="D60" s="14" t="s">
        <v>31</v>
      </c>
      <c r="E60" s="16" t="s">
        <v>41</v>
      </c>
      <c r="F60" s="16" t="s">
        <v>41</v>
      </c>
      <c r="G60" s="17"/>
      <c r="H60" s="33" t="s">
        <v>65</v>
      </c>
      <c r="I60" s="33" t="s">
        <v>65</v>
      </c>
      <c r="K60" s="20">
        <f>Cta_Cte!K60</f>
        <v>57</v>
      </c>
      <c r="L60" s="20">
        <f>Cta_Cte!L60</f>
        <v>0</v>
      </c>
      <c r="M60" s="21">
        <f>Cta_Cte!M60</f>
        <v>46630</v>
      </c>
      <c r="N60" s="21">
        <f>Cta_Cte!N60</f>
        <v>46630</v>
      </c>
      <c r="O60" s="21">
        <f>Cta_Cte!O60</f>
        <v>46630</v>
      </c>
      <c r="P60" s="95">
        <f>Cta_Cte!P60</f>
        <v>0</v>
      </c>
      <c r="V60">
        <v>1</v>
      </c>
      <c r="W60" t="s">
        <v>33</v>
      </c>
      <c r="Y60" t="s">
        <v>33</v>
      </c>
      <c r="Z60" t="s">
        <v>34</v>
      </c>
      <c r="AA60">
        <v>1</v>
      </c>
    </row>
    <row r="61" spans="1:27" x14ac:dyDescent="0.35">
      <c r="A61" s="13">
        <f t="shared" si="1"/>
        <v>45930</v>
      </c>
      <c r="B61">
        <v>1</v>
      </c>
      <c r="D61" s="14" t="s">
        <v>31</v>
      </c>
      <c r="E61" s="16" t="s">
        <v>41</v>
      </c>
      <c r="F61" s="16" t="s">
        <v>41</v>
      </c>
      <c r="G61" s="17"/>
      <c r="H61" s="33" t="s">
        <v>65</v>
      </c>
      <c r="I61" s="33" t="s">
        <v>65</v>
      </c>
      <c r="K61" s="20">
        <f>Cta_Cte!K61</f>
        <v>58</v>
      </c>
      <c r="L61" s="20">
        <f>Cta_Cte!L61</f>
        <v>0</v>
      </c>
      <c r="M61" s="21">
        <f>Cta_Cte!M61</f>
        <v>46660</v>
      </c>
      <c r="N61" s="21">
        <f>Cta_Cte!N61</f>
        <v>46660</v>
      </c>
      <c r="O61" s="21">
        <f>Cta_Cte!O61</f>
        <v>46660</v>
      </c>
      <c r="P61" s="95">
        <f>Cta_Cte!P61</f>
        <v>0</v>
      </c>
      <c r="V61">
        <v>1</v>
      </c>
      <c r="W61" t="s">
        <v>33</v>
      </c>
      <c r="Y61" t="s">
        <v>33</v>
      </c>
      <c r="Z61" t="s">
        <v>34</v>
      </c>
      <c r="AA61">
        <v>1</v>
      </c>
    </row>
    <row r="62" spans="1:27" x14ac:dyDescent="0.35">
      <c r="A62" s="13">
        <f t="shared" si="1"/>
        <v>45930</v>
      </c>
      <c r="B62">
        <v>1</v>
      </c>
      <c r="D62" s="14" t="s">
        <v>31</v>
      </c>
      <c r="E62" s="16" t="s">
        <v>41</v>
      </c>
      <c r="F62" s="16" t="s">
        <v>41</v>
      </c>
      <c r="G62" s="17"/>
      <c r="H62" s="33" t="s">
        <v>65</v>
      </c>
      <c r="I62" s="33" t="s">
        <v>65</v>
      </c>
      <c r="K62" s="20">
        <f>Cta_Cte!K62</f>
        <v>59</v>
      </c>
      <c r="L62" s="20">
        <f>Cta_Cte!L62</f>
        <v>0</v>
      </c>
      <c r="M62" s="21">
        <f>Cta_Cte!M62</f>
        <v>46691</v>
      </c>
      <c r="N62" s="21">
        <f>Cta_Cte!N62</f>
        <v>46691</v>
      </c>
      <c r="O62" s="21">
        <f>Cta_Cte!O62</f>
        <v>46691</v>
      </c>
      <c r="P62" s="95">
        <f>Cta_Cte!P62</f>
        <v>0</v>
      </c>
      <c r="V62">
        <v>1</v>
      </c>
      <c r="W62" t="s">
        <v>33</v>
      </c>
      <c r="Y62" t="s">
        <v>33</v>
      </c>
      <c r="Z62" t="s">
        <v>34</v>
      </c>
      <c r="AA62">
        <v>1</v>
      </c>
    </row>
    <row r="63" spans="1:27" x14ac:dyDescent="0.35">
      <c r="A63" s="13">
        <f t="shared" si="1"/>
        <v>45930</v>
      </c>
      <c r="B63">
        <v>1</v>
      </c>
      <c r="D63" s="14" t="s">
        <v>31</v>
      </c>
      <c r="E63" s="16" t="s">
        <v>41</v>
      </c>
      <c r="F63" s="16" t="s">
        <v>41</v>
      </c>
      <c r="G63" s="17"/>
      <c r="H63" s="33" t="s">
        <v>65</v>
      </c>
      <c r="I63" s="33" t="s">
        <v>65</v>
      </c>
      <c r="K63" s="20">
        <f>Cta_Cte!K63</f>
        <v>60</v>
      </c>
      <c r="L63" s="20">
        <f>Cta_Cte!L63</f>
        <v>0</v>
      </c>
      <c r="M63" s="21">
        <f>Cta_Cte!M63</f>
        <v>46721</v>
      </c>
      <c r="N63" s="21">
        <f>Cta_Cte!N63</f>
        <v>46721</v>
      </c>
      <c r="O63" s="21">
        <f>Cta_Cte!O63</f>
        <v>46721</v>
      </c>
      <c r="P63" s="95">
        <f>Cta_Cte!P63</f>
        <v>0</v>
      </c>
      <c r="V63">
        <v>1</v>
      </c>
      <c r="W63" t="s">
        <v>33</v>
      </c>
      <c r="Y63" t="s">
        <v>33</v>
      </c>
      <c r="Z63" t="s">
        <v>34</v>
      </c>
      <c r="AA63">
        <v>1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3">
    <tabColor rgb="FFFFFF00"/>
  </sheetPr>
  <dimension ref="A1:AE63"/>
  <sheetViews>
    <sheetView workbookViewId="0">
      <selection activeCell="A2" sqref="A2:AE63"/>
    </sheetView>
  </sheetViews>
  <sheetFormatPr baseColWidth="10" defaultRowHeight="14.5" x14ac:dyDescent="0.35"/>
  <cols>
    <col min="1" max="1" width="18.81640625" customWidth="1"/>
    <col min="2" max="2" width="20.1796875" customWidth="1"/>
    <col min="3" max="3" width="13.54296875" customWidth="1"/>
    <col min="4" max="4" width="14.453125" bestFit="1" customWidth="1"/>
    <col min="5" max="5" width="17.1796875" bestFit="1" customWidth="1"/>
    <col min="6" max="6" width="25.1796875" bestFit="1" customWidth="1"/>
    <col min="7" max="7" width="17.1796875" bestFit="1" customWidth="1"/>
    <col min="8" max="8" width="19.1796875" bestFit="1" customWidth="1"/>
    <col min="9" max="9" width="37.1796875" bestFit="1" customWidth="1"/>
    <col min="10" max="10" width="16.453125" bestFit="1" customWidth="1"/>
    <col min="11" max="11" width="16.1796875" bestFit="1" customWidth="1"/>
    <col min="12" max="12" width="20.81640625" bestFit="1" customWidth="1"/>
    <col min="13" max="13" width="27.81640625" bestFit="1" customWidth="1"/>
    <col min="14" max="14" width="12.1796875" bestFit="1" customWidth="1"/>
    <col min="15" max="15" width="17.1796875" bestFit="1" customWidth="1"/>
    <col min="16" max="16" width="17.81640625" bestFit="1" customWidth="1"/>
    <col min="17" max="17" width="20.453125" bestFit="1" customWidth="1"/>
    <col min="18" max="18" width="20.54296875" bestFit="1" customWidth="1"/>
    <col min="19" max="19" width="18.54296875" bestFit="1" customWidth="1"/>
    <col min="20" max="20" width="11.54296875" bestFit="1" customWidth="1"/>
    <col min="21" max="21" width="17.81640625" bestFit="1" customWidth="1"/>
    <col min="22" max="22" width="12.1796875" bestFit="1" customWidth="1"/>
    <col min="23" max="23" width="15.1796875" bestFit="1" customWidth="1"/>
    <col min="24" max="24" width="19.1796875" bestFit="1" customWidth="1"/>
    <col min="25" max="25" width="19.81640625" bestFit="1" customWidth="1"/>
    <col min="26" max="26" width="25" bestFit="1" customWidth="1"/>
    <col min="27" max="27" width="10.1796875" bestFit="1" customWidth="1"/>
    <col min="28" max="28" width="11.54296875" bestFit="1" customWidth="1"/>
    <col min="29" max="29" width="5.54296875" bestFit="1" customWidth="1"/>
    <col min="30" max="30" width="8.1796875" bestFit="1" customWidth="1"/>
    <col min="31" max="31" width="7.81640625" bestFit="1" customWidth="1"/>
  </cols>
  <sheetData>
    <row r="1" spans="1:31" x14ac:dyDescent="0.35">
      <c r="A1" s="1" t="s">
        <v>0</v>
      </c>
      <c r="B1" s="2" t="s">
        <v>1</v>
      </c>
      <c r="C1" s="2" t="s">
        <v>2</v>
      </c>
      <c r="D1" s="3" t="s">
        <v>3</v>
      </c>
      <c r="E1" s="4" t="s">
        <v>4</v>
      </c>
      <c r="F1" s="5" t="s">
        <v>5</v>
      </c>
      <c r="G1" s="6" t="s">
        <v>6</v>
      </c>
      <c r="H1" s="1" t="s">
        <v>7</v>
      </c>
      <c r="I1" s="7" t="s">
        <v>8</v>
      </c>
      <c r="J1" s="8" t="s">
        <v>9</v>
      </c>
      <c r="K1" s="9" t="s">
        <v>10</v>
      </c>
      <c r="L1" s="10" t="s">
        <v>11</v>
      </c>
      <c r="M1" s="1" t="s">
        <v>12</v>
      </c>
      <c r="N1" s="11" t="s">
        <v>13</v>
      </c>
      <c r="O1" s="11" t="s">
        <v>14</v>
      </c>
      <c r="P1" s="7" t="s">
        <v>15</v>
      </c>
      <c r="Q1" s="7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12" t="s">
        <v>21</v>
      </c>
      <c r="W1" s="12" t="s">
        <v>22</v>
      </c>
      <c r="X1" s="2" t="s">
        <v>23</v>
      </c>
      <c r="Y1" s="12" t="s">
        <v>24</v>
      </c>
      <c r="Z1" s="2" t="s">
        <v>25</v>
      </c>
      <c r="AA1" s="2" t="s">
        <v>26</v>
      </c>
      <c r="AB1" s="2" t="s">
        <v>27</v>
      </c>
      <c r="AC1" s="4" t="s">
        <v>28</v>
      </c>
      <c r="AD1" s="2" t="s">
        <v>29</v>
      </c>
      <c r="AE1" s="2" t="s">
        <v>30</v>
      </c>
    </row>
    <row r="2" spans="1:31" x14ac:dyDescent="0.35">
      <c r="A2" s="13">
        <f>Tabla_Consulta_desde_MS_Access_Database_1[[#This Row],[Fecha_Proceso]]</f>
        <v>45930</v>
      </c>
      <c r="B2">
        <v>1</v>
      </c>
      <c r="D2" s="14" t="s">
        <v>31</v>
      </c>
      <c r="E2" s="16" t="s">
        <v>41</v>
      </c>
      <c r="F2" s="16" t="s">
        <v>41</v>
      </c>
      <c r="G2" s="17"/>
      <c r="H2" s="31" t="s">
        <v>56</v>
      </c>
      <c r="I2" s="31" t="s">
        <v>70</v>
      </c>
      <c r="J2" s="19"/>
      <c r="K2" s="20"/>
      <c r="L2" s="21"/>
      <c r="M2" s="13">
        <f>A2+1</f>
        <v>45931</v>
      </c>
      <c r="N2" s="13">
        <f>M2</f>
        <v>45931</v>
      </c>
      <c r="O2" s="13">
        <f>N2</f>
        <v>45931</v>
      </c>
      <c r="P2" s="24">
        <f>Montos!E2</f>
        <v>0</v>
      </c>
      <c r="Q2" s="18"/>
      <c r="V2">
        <v>1</v>
      </c>
      <c r="W2" t="s">
        <v>33</v>
      </c>
      <c r="Y2" t="s">
        <v>33</v>
      </c>
      <c r="Z2" t="s">
        <v>34</v>
      </c>
      <c r="AA2">
        <v>1</v>
      </c>
      <c r="AC2" s="15"/>
    </row>
    <row r="3" spans="1:31" x14ac:dyDescent="0.35">
      <c r="A3" s="13">
        <f>Tabla_Consulta_desde_MS_Access_Database_1[[#This Row],[Fecha_Proceso]]</f>
        <v>45930</v>
      </c>
      <c r="B3">
        <v>1</v>
      </c>
      <c r="D3" s="14" t="s">
        <v>31</v>
      </c>
      <c r="E3" s="16" t="s">
        <v>41</v>
      </c>
      <c r="F3" s="16" t="s">
        <v>41</v>
      </c>
      <c r="G3" s="17"/>
      <c r="H3" s="31" t="s">
        <v>56</v>
      </c>
      <c r="I3" s="31" t="s">
        <v>57</v>
      </c>
      <c r="J3" s="19"/>
      <c r="K3" s="20"/>
      <c r="L3" s="21"/>
      <c r="M3" s="13">
        <f>A3+1</f>
        <v>45931</v>
      </c>
      <c r="N3" s="13">
        <f t="shared" ref="N3:O3" si="0">M3</f>
        <v>45931</v>
      </c>
      <c r="O3" s="13">
        <f t="shared" si="0"/>
        <v>45931</v>
      </c>
      <c r="P3" s="24">
        <f>Montos!E3</f>
        <v>357810792922</v>
      </c>
      <c r="Q3" s="25"/>
      <c r="V3">
        <v>1</v>
      </c>
      <c r="W3" t="s">
        <v>33</v>
      </c>
      <c r="Y3" t="s">
        <v>33</v>
      </c>
      <c r="Z3" t="s">
        <v>34</v>
      </c>
      <c r="AA3">
        <v>1</v>
      </c>
      <c r="AC3" s="15"/>
    </row>
    <row r="4" spans="1:31" x14ac:dyDescent="0.35">
      <c r="A4" s="13">
        <f>A3</f>
        <v>45930</v>
      </c>
      <c r="B4">
        <v>1</v>
      </c>
      <c r="D4" s="14" t="s">
        <v>31</v>
      </c>
      <c r="E4" s="16" t="s">
        <v>41</v>
      </c>
      <c r="F4" s="16" t="s">
        <v>41</v>
      </c>
      <c r="G4" s="17"/>
      <c r="H4" s="84" t="s">
        <v>56</v>
      </c>
      <c r="I4" s="84" t="s">
        <v>149</v>
      </c>
      <c r="J4" s="19"/>
      <c r="K4" s="20">
        <v>1</v>
      </c>
      <c r="L4" s="21"/>
      <c r="M4" s="42">
        <v>45961</v>
      </c>
      <c r="N4" s="13">
        <f t="shared" ref="N4:O4" si="1">M4</f>
        <v>45961</v>
      </c>
      <c r="O4" s="13">
        <f t="shared" si="1"/>
        <v>45961</v>
      </c>
      <c r="P4" s="24">
        <v>36011519040.949715</v>
      </c>
      <c r="Q4" s="24"/>
      <c r="R4" s="25"/>
      <c r="V4">
        <v>1</v>
      </c>
      <c r="W4" t="s">
        <v>33</v>
      </c>
      <c r="Y4" t="s">
        <v>33</v>
      </c>
      <c r="Z4" t="s">
        <v>34</v>
      </c>
      <c r="AA4">
        <v>1</v>
      </c>
      <c r="AC4" s="15"/>
    </row>
    <row r="5" spans="1:31" x14ac:dyDescent="0.35">
      <c r="A5" s="13">
        <f t="shared" ref="A5:A63" si="2">A4</f>
        <v>45930</v>
      </c>
      <c r="B5">
        <v>1</v>
      </c>
      <c r="D5" s="14" t="s">
        <v>31</v>
      </c>
      <c r="E5" s="16" t="s">
        <v>41</v>
      </c>
      <c r="F5" s="16" t="s">
        <v>41</v>
      </c>
      <c r="G5" s="17"/>
      <c r="H5" s="84" t="s">
        <v>56</v>
      </c>
      <c r="I5" s="84" t="s">
        <v>149</v>
      </c>
      <c r="K5" s="20">
        <f>K4+1</f>
        <v>2</v>
      </c>
      <c r="M5" s="13">
        <f>EOMONTH(M4,1)</f>
        <v>45991</v>
      </c>
      <c r="N5" s="13">
        <f t="shared" ref="N5:O5" si="3">M5</f>
        <v>45991</v>
      </c>
      <c r="O5" s="13">
        <f t="shared" si="3"/>
        <v>45991</v>
      </c>
      <c r="P5" s="24">
        <v>36011519040.949715</v>
      </c>
      <c r="Q5" s="24"/>
      <c r="V5">
        <v>1</v>
      </c>
      <c r="W5" t="s">
        <v>33</v>
      </c>
      <c r="Y5" t="s">
        <v>33</v>
      </c>
      <c r="Z5" t="s">
        <v>34</v>
      </c>
      <c r="AA5">
        <v>1</v>
      </c>
      <c r="AC5" s="15"/>
    </row>
    <row r="6" spans="1:31" x14ac:dyDescent="0.35">
      <c r="A6" s="13">
        <f t="shared" si="2"/>
        <v>45930</v>
      </c>
      <c r="B6">
        <v>1</v>
      </c>
      <c r="D6" s="14" t="s">
        <v>31</v>
      </c>
      <c r="E6" s="16" t="s">
        <v>41</v>
      </c>
      <c r="F6" s="16" t="s">
        <v>41</v>
      </c>
      <c r="G6" s="17"/>
      <c r="H6" s="84" t="s">
        <v>56</v>
      </c>
      <c r="I6" s="84" t="s">
        <v>149</v>
      </c>
      <c r="K6" s="20">
        <f t="shared" ref="K6:K33" si="4">K5+1</f>
        <v>3</v>
      </c>
      <c r="M6" s="13">
        <f t="shared" ref="M6:M63" si="5">EOMONTH(M5,1)</f>
        <v>46022</v>
      </c>
      <c r="N6" s="13">
        <f t="shared" ref="N6:O6" si="6">M6</f>
        <v>46022</v>
      </c>
      <c r="O6" s="13">
        <f t="shared" si="6"/>
        <v>46022</v>
      </c>
      <c r="P6" s="24">
        <v>36011519040.949715</v>
      </c>
      <c r="Q6" s="24"/>
      <c r="V6">
        <v>1</v>
      </c>
      <c r="W6" t="s">
        <v>33</v>
      </c>
      <c r="Y6" t="s">
        <v>33</v>
      </c>
      <c r="Z6" t="s">
        <v>34</v>
      </c>
      <c r="AA6">
        <v>1</v>
      </c>
      <c r="AC6" s="15"/>
    </row>
    <row r="7" spans="1:31" x14ac:dyDescent="0.35">
      <c r="A7" s="13">
        <f t="shared" si="2"/>
        <v>45930</v>
      </c>
      <c r="B7">
        <v>1</v>
      </c>
      <c r="D7" s="14" t="s">
        <v>31</v>
      </c>
      <c r="E7" s="16" t="s">
        <v>41</v>
      </c>
      <c r="F7" s="16" t="s">
        <v>41</v>
      </c>
      <c r="G7" s="17"/>
      <c r="H7" s="84" t="s">
        <v>56</v>
      </c>
      <c r="I7" s="84" t="s">
        <v>149</v>
      </c>
      <c r="K7" s="20">
        <f t="shared" si="4"/>
        <v>4</v>
      </c>
      <c r="M7" s="13">
        <f t="shared" si="5"/>
        <v>46053</v>
      </c>
      <c r="N7" s="13">
        <f t="shared" ref="N7:O7" si="7">M7</f>
        <v>46053</v>
      </c>
      <c r="O7" s="13">
        <f t="shared" si="7"/>
        <v>46053</v>
      </c>
      <c r="P7" s="24">
        <v>36011519040.949715</v>
      </c>
      <c r="Q7" s="24"/>
      <c r="V7">
        <v>1</v>
      </c>
      <c r="W7" t="s">
        <v>33</v>
      </c>
      <c r="Y7" t="s">
        <v>33</v>
      </c>
      <c r="Z7" t="s">
        <v>34</v>
      </c>
      <c r="AA7">
        <v>1</v>
      </c>
      <c r="AC7" s="15"/>
    </row>
    <row r="8" spans="1:31" x14ac:dyDescent="0.35">
      <c r="A8" s="13">
        <f t="shared" si="2"/>
        <v>45930</v>
      </c>
      <c r="B8">
        <v>1</v>
      </c>
      <c r="D8" s="14" t="s">
        <v>31</v>
      </c>
      <c r="E8" s="16" t="s">
        <v>41</v>
      </c>
      <c r="F8" s="16" t="s">
        <v>41</v>
      </c>
      <c r="G8" s="17"/>
      <c r="H8" s="84" t="s">
        <v>56</v>
      </c>
      <c r="I8" s="84" t="s">
        <v>149</v>
      </c>
      <c r="K8" s="20">
        <f t="shared" si="4"/>
        <v>5</v>
      </c>
      <c r="M8" s="13">
        <f t="shared" si="5"/>
        <v>46081</v>
      </c>
      <c r="N8" s="13">
        <f t="shared" ref="N8:O8" si="8">M8</f>
        <v>46081</v>
      </c>
      <c r="O8" s="13">
        <f t="shared" si="8"/>
        <v>46081</v>
      </c>
      <c r="P8" s="24">
        <v>36011519040.949715</v>
      </c>
      <c r="Q8" s="24"/>
      <c r="V8">
        <v>1</v>
      </c>
      <c r="W8" t="s">
        <v>33</v>
      </c>
      <c r="Y8" t="s">
        <v>33</v>
      </c>
      <c r="Z8" t="s">
        <v>34</v>
      </c>
      <c r="AA8">
        <v>1</v>
      </c>
      <c r="AC8" s="15"/>
    </row>
    <row r="9" spans="1:31" x14ac:dyDescent="0.35">
      <c r="A9" s="13">
        <f t="shared" si="2"/>
        <v>45930</v>
      </c>
      <c r="B9">
        <v>1</v>
      </c>
      <c r="D9" s="14" t="s">
        <v>31</v>
      </c>
      <c r="E9" s="16" t="s">
        <v>41</v>
      </c>
      <c r="F9" s="16" t="s">
        <v>41</v>
      </c>
      <c r="G9" s="17"/>
      <c r="H9" s="84" t="s">
        <v>56</v>
      </c>
      <c r="I9" s="84" t="s">
        <v>149</v>
      </c>
      <c r="K9" s="20">
        <f t="shared" si="4"/>
        <v>6</v>
      </c>
      <c r="M9" s="13">
        <f t="shared" si="5"/>
        <v>46112</v>
      </c>
      <c r="N9" s="13">
        <f t="shared" ref="N9:O9" si="9">M9</f>
        <v>46112</v>
      </c>
      <c r="O9" s="13">
        <f t="shared" si="9"/>
        <v>46112</v>
      </c>
      <c r="P9" s="24">
        <v>36011519040.949715</v>
      </c>
      <c r="Q9" s="24"/>
      <c r="V9">
        <v>1</v>
      </c>
      <c r="W9" t="s">
        <v>33</v>
      </c>
      <c r="Y9" t="s">
        <v>33</v>
      </c>
      <c r="Z9" t="s">
        <v>34</v>
      </c>
      <c r="AA9">
        <v>1</v>
      </c>
      <c r="AC9" s="15"/>
    </row>
    <row r="10" spans="1:31" x14ac:dyDescent="0.35">
      <c r="A10" s="13">
        <f t="shared" si="2"/>
        <v>45930</v>
      </c>
      <c r="B10">
        <v>1</v>
      </c>
      <c r="D10" s="14" t="s">
        <v>31</v>
      </c>
      <c r="E10" s="16" t="s">
        <v>41</v>
      </c>
      <c r="F10" s="16" t="s">
        <v>41</v>
      </c>
      <c r="G10" s="17"/>
      <c r="H10" s="84" t="s">
        <v>56</v>
      </c>
      <c r="I10" s="84" t="s">
        <v>149</v>
      </c>
      <c r="K10" s="20">
        <f t="shared" si="4"/>
        <v>7</v>
      </c>
      <c r="M10" s="13">
        <f t="shared" si="5"/>
        <v>46142</v>
      </c>
      <c r="N10" s="13">
        <f t="shared" ref="N10:O10" si="10">M10</f>
        <v>46142</v>
      </c>
      <c r="O10" s="13">
        <f t="shared" si="10"/>
        <v>46142</v>
      </c>
      <c r="P10" s="24">
        <v>36011519040.949715</v>
      </c>
      <c r="Q10" s="24"/>
      <c r="V10">
        <v>1</v>
      </c>
      <c r="W10" t="s">
        <v>33</v>
      </c>
      <c r="Y10" t="s">
        <v>33</v>
      </c>
      <c r="Z10" t="s">
        <v>34</v>
      </c>
      <c r="AA10">
        <v>1</v>
      </c>
      <c r="AC10" s="15"/>
    </row>
    <row r="11" spans="1:31" x14ac:dyDescent="0.35">
      <c r="A11" s="13">
        <f t="shared" si="2"/>
        <v>45930</v>
      </c>
      <c r="B11">
        <v>1</v>
      </c>
      <c r="D11" s="14" t="s">
        <v>31</v>
      </c>
      <c r="E11" s="16" t="s">
        <v>41</v>
      </c>
      <c r="F11" s="16" t="s">
        <v>41</v>
      </c>
      <c r="G11" s="17"/>
      <c r="H11" s="84" t="s">
        <v>56</v>
      </c>
      <c r="I11" s="84" t="s">
        <v>149</v>
      </c>
      <c r="K11" s="20">
        <f t="shared" si="4"/>
        <v>8</v>
      </c>
      <c r="M11" s="13">
        <f t="shared" si="5"/>
        <v>46173</v>
      </c>
      <c r="N11" s="13">
        <f t="shared" ref="N11:O11" si="11">M11</f>
        <v>46173</v>
      </c>
      <c r="O11" s="13">
        <f t="shared" si="11"/>
        <v>46173</v>
      </c>
      <c r="P11" s="24">
        <v>36011519040.949715</v>
      </c>
      <c r="Q11" s="24"/>
      <c r="V11">
        <v>1</v>
      </c>
      <c r="W11" t="s">
        <v>33</v>
      </c>
      <c r="Y11" t="s">
        <v>33</v>
      </c>
      <c r="Z11" t="s">
        <v>34</v>
      </c>
      <c r="AA11">
        <v>1</v>
      </c>
      <c r="AC11" s="15"/>
    </row>
    <row r="12" spans="1:31" x14ac:dyDescent="0.35">
      <c r="A12" s="13">
        <f t="shared" si="2"/>
        <v>45930</v>
      </c>
      <c r="B12">
        <v>1</v>
      </c>
      <c r="D12" s="14" t="s">
        <v>31</v>
      </c>
      <c r="E12" s="16" t="s">
        <v>41</v>
      </c>
      <c r="F12" s="16" t="s">
        <v>41</v>
      </c>
      <c r="G12" s="17"/>
      <c r="H12" s="84" t="s">
        <v>56</v>
      </c>
      <c r="I12" s="84" t="s">
        <v>149</v>
      </c>
      <c r="K12" s="20">
        <f t="shared" si="4"/>
        <v>9</v>
      </c>
      <c r="M12" s="13">
        <f t="shared" si="5"/>
        <v>46203</v>
      </c>
      <c r="N12" s="13">
        <f t="shared" ref="N12:O12" si="12">M12</f>
        <v>46203</v>
      </c>
      <c r="O12" s="13">
        <f t="shared" si="12"/>
        <v>46203</v>
      </c>
      <c r="P12" s="24">
        <v>36011519040.949715</v>
      </c>
      <c r="Q12" s="24"/>
      <c r="V12">
        <v>1</v>
      </c>
      <c r="W12" t="s">
        <v>33</v>
      </c>
      <c r="Y12" t="s">
        <v>33</v>
      </c>
      <c r="Z12" t="s">
        <v>34</v>
      </c>
      <c r="AA12">
        <v>1</v>
      </c>
      <c r="AC12" s="15"/>
    </row>
    <row r="13" spans="1:31" x14ac:dyDescent="0.35">
      <c r="A13" s="13">
        <f t="shared" si="2"/>
        <v>45930</v>
      </c>
      <c r="B13">
        <v>1</v>
      </c>
      <c r="D13" s="14" t="s">
        <v>31</v>
      </c>
      <c r="E13" s="16" t="s">
        <v>41</v>
      </c>
      <c r="F13" s="16" t="s">
        <v>41</v>
      </c>
      <c r="G13" s="17"/>
      <c r="H13" s="84" t="s">
        <v>56</v>
      </c>
      <c r="I13" s="84" t="s">
        <v>149</v>
      </c>
      <c r="K13" s="20">
        <f t="shared" si="4"/>
        <v>10</v>
      </c>
      <c r="M13" s="13">
        <f t="shared" si="5"/>
        <v>46234</v>
      </c>
      <c r="N13" s="13">
        <f t="shared" ref="N13:O13" si="13">M13</f>
        <v>46234</v>
      </c>
      <c r="O13" s="13">
        <f t="shared" si="13"/>
        <v>46234</v>
      </c>
      <c r="P13" s="24">
        <v>36011519040.949715</v>
      </c>
      <c r="Q13" s="24"/>
      <c r="V13">
        <v>1</v>
      </c>
      <c r="W13" t="s">
        <v>33</v>
      </c>
      <c r="Y13" t="s">
        <v>33</v>
      </c>
      <c r="Z13" t="s">
        <v>34</v>
      </c>
      <c r="AA13">
        <v>1</v>
      </c>
      <c r="AC13" s="15"/>
    </row>
    <row r="14" spans="1:31" x14ac:dyDescent="0.35">
      <c r="A14" s="13">
        <f t="shared" si="2"/>
        <v>45930</v>
      </c>
      <c r="B14">
        <v>1</v>
      </c>
      <c r="D14" s="14" t="s">
        <v>31</v>
      </c>
      <c r="E14" s="16" t="s">
        <v>41</v>
      </c>
      <c r="F14" s="16" t="s">
        <v>41</v>
      </c>
      <c r="G14" s="17"/>
      <c r="H14" s="84" t="s">
        <v>56</v>
      </c>
      <c r="I14" s="84" t="s">
        <v>149</v>
      </c>
      <c r="K14" s="20">
        <f t="shared" si="4"/>
        <v>11</v>
      </c>
      <c r="M14" s="13">
        <f t="shared" si="5"/>
        <v>46265</v>
      </c>
      <c r="N14" s="13">
        <f t="shared" ref="N14:O14" si="14">M14</f>
        <v>46265</v>
      </c>
      <c r="O14" s="13">
        <f t="shared" si="14"/>
        <v>46265</v>
      </c>
      <c r="P14" s="24">
        <v>36011519040.949715</v>
      </c>
      <c r="Q14" s="24"/>
      <c r="V14">
        <v>1</v>
      </c>
      <c r="W14" t="s">
        <v>33</v>
      </c>
      <c r="Y14" t="s">
        <v>33</v>
      </c>
      <c r="Z14" t="s">
        <v>34</v>
      </c>
      <c r="AA14">
        <v>1</v>
      </c>
      <c r="AC14" s="15"/>
    </row>
    <row r="15" spans="1:31" x14ac:dyDescent="0.35">
      <c r="A15" s="13">
        <f t="shared" si="2"/>
        <v>45930</v>
      </c>
      <c r="B15">
        <v>1</v>
      </c>
      <c r="D15" s="14" t="s">
        <v>31</v>
      </c>
      <c r="E15" s="16" t="s">
        <v>41</v>
      </c>
      <c r="F15" s="16" t="s">
        <v>41</v>
      </c>
      <c r="G15" s="17"/>
      <c r="H15" s="84" t="s">
        <v>56</v>
      </c>
      <c r="I15" s="84" t="s">
        <v>149</v>
      </c>
      <c r="K15" s="20">
        <f t="shared" si="4"/>
        <v>12</v>
      </c>
      <c r="M15" s="13">
        <f t="shared" si="5"/>
        <v>46295</v>
      </c>
      <c r="N15" s="13">
        <f t="shared" ref="N15:O15" si="15">M15</f>
        <v>46295</v>
      </c>
      <c r="O15" s="13">
        <f t="shared" si="15"/>
        <v>46295</v>
      </c>
      <c r="P15" s="24">
        <v>36011519040.949715</v>
      </c>
      <c r="Q15" s="24"/>
      <c r="V15">
        <v>1</v>
      </c>
      <c r="W15" t="s">
        <v>33</v>
      </c>
      <c r="Y15" t="s">
        <v>33</v>
      </c>
      <c r="Z15" t="s">
        <v>34</v>
      </c>
      <c r="AA15">
        <v>1</v>
      </c>
      <c r="AC15" s="15"/>
    </row>
    <row r="16" spans="1:31" x14ac:dyDescent="0.35">
      <c r="A16" s="13">
        <f t="shared" si="2"/>
        <v>45930</v>
      </c>
      <c r="B16">
        <v>1</v>
      </c>
      <c r="D16" s="14" t="s">
        <v>31</v>
      </c>
      <c r="E16" s="16" t="s">
        <v>41</v>
      </c>
      <c r="F16" s="16" t="s">
        <v>41</v>
      </c>
      <c r="G16" s="17"/>
      <c r="H16" s="84" t="s">
        <v>56</v>
      </c>
      <c r="I16" s="84" t="s">
        <v>149</v>
      </c>
      <c r="K16" s="20">
        <f t="shared" si="4"/>
        <v>13</v>
      </c>
      <c r="M16" s="13">
        <f t="shared" si="5"/>
        <v>46326</v>
      </c>
      <c r="N16" s="13">
        <f t="shared" ref="N16:O16" si="16">M16</f>
        <v>46326</v>
      </c>
      <c r="O16" s="13">
        <f t="shared" si="16"/>
        <v>46326</v>
      </c>
      <c r="P16" s="24">
        <v>36011519040.949715</v>
      </c>
      <c r="Q16" s="24"/>
      <c r="V16">
        <v>1</v>
      </c>
      <c r="W16" t="s">
        <v>33</v>
      </c>
      <c r="Y16" t="s">
        <v>33</v>
      </c>
      <c r="Z16" t="s">
        <v>34</v>
      </c>
      <c r="AA16">
        <v>1</v>
      </c>
      <c r="AC16" s="15"/>
    </row>
    <row r="17" spans="1:29" x14ac:dyDescent="0.35">
      <c r="A17" s="13">
        <f t="shared" si="2"/>
        <v>45930</v>
      </c>
      <c r="B17">
        <v>1</v>
      </c>
      <c r="D17" s="14" t="s">
        <v>31</v>
      </c>
      <c r="E17" s="16" t="s">
        <v>41</v>
      </c>
      <c r="F17" s="16" t="s">
        <v>41</v>
      </c>
      <c r="G17" s="17"/>
      <c r="H17" s="84" t="s">
        <v>56</v>
      </c>
      <c r="I17" s="84" t="s">
        <v>149</v>
      </c>
      <c r="K17" s="20">
        <f t="shared" si="4"/>
        <v>14</v>
      </c>
      <c r="M17" s="13">
        <f t="shared" si="5"/>
        <v>46356</v>
      </c>
      <c r="N17" s="13">
        <f t="shared" ref="N17:O17" si="17">M17</f>
        <v>46356</v>
      </c>
      <c r="O17" s="13">
        <f t="shared" si="17"/>
        <v>46356</v>
      </c>
      <c r="P17" s="24">
        <v>36011519040.949715</v>
      </c>
      <c r="Q17" s="24"/>
      <c r="V17">
        <v>1</v>
      </c>
      <c r="W17" t="s">
        <v>33</v>
      </c>
      <c r="Y17" t="s">
        <v>33</v>
      </c>
      <c r="Z17" t="s">
        <v>34</v>
      </c>
      <c r="AA17">
        <v>1</v>
      </c>
      <c r="AC17" s="15"/>
    </row>
    <row r="18" spans="1:29" x14ac:dyDescent="0.35">
      <c r="A18" s="13">
        <f t="shared" si="2"/>
        <v>45930</v>
      </c>
      <c r="B18">
        <v>1</v>
      </c>
      <c r="D18" s="14" t="s">
        <v>31</v>
      </c>
      <c r="E18" s="16" t="s">
        <v>41</v>
      </c>
      <c r="F18" s="16" t="s">
        <v>41</v>
      </c>
      <c r="G18" s="17"/>
      <c r="H18" s="84" t="s">
        <v>56</v>
      </c>
      <c r="I18" s="84" t="s">
        <v>149</v>
      </c>
      <c r="K18" s="20">
        <f t="shared" si="4"/>
        <v>15</v>
      </c>
      <c r="M18" s="13">
        <f t="shared" si="5"/>
        <v>46387</v>
      </c>
      <c r="N18" s="13">
        <f t="shared" ref="N18:O18" si="18">M18</f>
        <v>46387</v>
      </c>
      <c r="O18" s="13">
        <f t="shared" si="18"/>
        <v>46387</v>
      </c>
      <c r="P18" s="24">
        <v>36011519040.949715</v>
      </c>
      <c r="Q18" s="24"/>
      <c r="V18">
        <v>1</v>
      </c>
      <c r="W18" t="s">
        <v>33</v>
      </c>
      <c r="Y18" t="s">
        <v>33</v>
      </c>
      <c r="Z18" t="s">
        <v>34</v>
      </c>
      <c r="AA18">
        <v>1</v>
      </c>
      <c r="AC18" s="15"/>
    </row>
    <row r="19" spans="1:29" x14ac:dyDescent="0.35">
      <c r="A19" s="13">
        <f t="shared" si="2"/>
        <v>45930</v>
      </c>
      <c r="B19">
        <v>1</v>
      </c>
      <c r="D19" s="14" t="s">
        <v>31</v>
      </c>
      <c r="E19" s="16" t="s">
        <v>41</v>
      </c>
      <c r="F19" s="16" t="s">
        <v>41</v>
      </c>
      <c r="G19" s="17"/>
      <c r="H19" s="84" t="s">
        <v>56</v>
      </c>
      <c r="I19" s="84" t="s">
        <v>149</v>
      </c>
      <c r="K19" s="20">
        <f t="shared" si="4"/>
        <v>16</v>
      </c>
      <c r="M19" s="13">
        <f t="shared" si="5"/>
        <v>46418</v>
      </c>
      <c r="N19" s="13">
        <f t="shared" ref="N19:O19" si="19">M19</f>
        <v>46418</v>
      </c>
      <c r="O19" s="13">
        <f t="shared" si="19"/>
        <v>46418</v>
      </c>
      <c r="P19" s="24">
        <v>36011519040.949715</v>
      </c>
      <c r="Q19" s="24"/>
      <c r="V19">
        <v>1</v>
      </c>
      <c r="W19" t="s">
        <v>33</v>
      </c>
      <c r="Y19" t="s">
        <v>33</v>
      </c>
      <c r="Z19" t="s">
        <v>34</v>
      </c>
      <c r="AA19">
        <v>1</v>
      </c>
      <c r="AC19" s="15"/>
    </row>
    <row r="20" spans="1:29" x14ac:dyDescent="0.35">
      <c r="A20" s="13">
        <f t="shared" si="2"/>
        <v>45930</v>
      </c>
      <c r="B20">
        <v>1</v>
      </c>
      <c r="D20" s="14" t="s">
        <v>31</v>
      </c>
      <c r="E20" s="16" t="s">
        <v>41</v>
      </c>
      <c r="F20" s="16" t="s">
        <v>41</v>
      </c>
      <c r="G20" s="17"/>
      <c r="H20" s="84" t="s">
        <v>56</v>
      </c>
      <c r="I20" s="84" t="s">
        <v>149</v>
      </c>
      <c r="K20" s="20">
        <f t="shared" si="4"/>
        <v>17</v>
      </c>
      <c r="M20" s="13">
        <f t="shared" si="5"/>
        <v>46446</v>
      </c>
      <c r="N20" s="13">
        <f t="shared" ref="N20:O20" si="20">M20</f>
        <v>46446</v>
      </c>
      <c r="O20" s="13">
        <f t="shared" si="20"/>
        <v>46446</v>
      </c>
      <c r="P20" s="24">
        <v>36011519040.949715</v>
      </c>
      <c r="Q20" s="24"/>
      <c r="V20">
        <v>1</v>
      </c>
      <c r="W20" t="s">
        <v>33</v>
      </c>
      <c r="Y20" t="s">
        <v>33</v>
      </c>
      <c r="Z20" t="s">
        <v>34</v>
      </c>
      <c r="AA20">
        <v>1</v>
      </c>
      <c r="AC20" s="15"/>
    </row>
    <row r="21" spans="1:29" x14ac:dyDescent="0.35">
      <c r="A21" s="13">
        <f t="shared" si="2"/>
        <v>45930</v>
      </c>
      <c r="B21">
        <v>1</v>
      </c>
      <c r="D21" s="14" t="s">
        <v>31</v>
      </c>
      <c r="E21" s="16" t="s">
        <v>41</v>
      </c>
      <c r="F21" s="16" t="s">
        <v>41</v>
      </c>
      <c r="G21" s="17"/>
      <c r="H21" s="84" t="s">
        <v>56</v>
      </c>
      <c r="I21" s="84" t="s">
        <v>149</v>
      </c>
      <c r="K21" s="20">
        <f t="shared" si="4"/>
        <v>18</v>
      </c>
      <c r="M21" s="13">
        <f t="shared" si="5"/>
        <v>46477</v>
      </c>
      <c r="N21" s="13">
        <f t="shared" ref="N21:O21" si="21">M21</f>
        <v>46477</v>
      </c>
      <c r="O21" s="13">
        <f t="shared" si="21"/>
        <v>46477</v>
      </c>
      <c r="P21" s="24">
        <v>36011519040.949715</v>
      </c>
      <c r="Q21" s="24"/>
      <c r="V21">
        <v>1</v>
      </c>
      <c r="W21" t="s">
        <v>33</v>
      </c>
      <c r="Y21" t="s">
        <v>33</v>
      </c>
      <c r="Z21" t="s">
        <v>34</v>
      </c>
      <c r="AA21">
        <v>1</v>
      </c>
    </row>
    <row r="22" spans="1:29" x14ac:dyDescent="0.35">
      <c r="A22" s="13">
        <f t="shared" si="2"/>
        <v>45930</v>
      </c>
      <c r="B22">
        <v>1</v>
      </c>
      <c r="D22" s="14" t="s">
        <v>31</v>
      </c>
      <c r="E22" s="16" t="s">
        <v>41</v>
      </c>
      <c r="F22" s="16" t="s">
        <v>41</v>
      </c>
      <c r="G22" s="17"/>
      <c r="H22" s="84" t="s">
        <v>56</v>
      </c>
      <c r="I22" s="84" t="s">
        <v>149</v>
      </c>
      <c r="K22" s="20">
        <f t="shared" si="4"/>
        <v>19</v>
      </c>
      <c r="M22" s="13">
        <f t="shared" si="5"/>
        <v>46507</v>
      </c>
      <c r="N22" s="13">
        <f t="shared" ref="N22:O22" si="22">M22</f>
        <v>46507</v>
      </c>
      <c r="O22" s="13">
        <f t="shared" si="22"/>
        <v>46507</v>
      </c>
      <c r="P22" s="24">
        <v>36011519040.949715</v>
      </c>
      <c r="Q22" s="24"/>
      <c r="V22">
        <v>1</v>
      </c>
      <c r="W22" t="s">
        <v>33</v>
      </c>
      <c r="Y22" t="s">
        <v>33</v>
      </c>
      <c r="Z22" t="s">
        <v>34</v>
      </c>
      <c r="AA22">
        <v>1</v>
      </c>
    </row>
    <row r="23" spans="1:29" x14ac:dyDescent="0.35">
      <c r="A23" s="13">
        <f t="shared" si="2"/>
        <v>45930</v>
      </c>
      <c r="B23">
        <v>1</v>
      </c>
      <c r="D23" s="14" t="s">
        <v>31</v>
      </c>
      <c r="E23" s="16" t="s">
        <v>41</v>
      </c>
      <c r="F23" s="16" t="s">
        <v>41</v>
      </c>
      <c r="G23" s="17"/>
      <c r="H23" s="84" t="s">
        <v>56</v>
      </c>
      <c r="I23" s="84" t="s">
        <v>149</v>
      </c>
      <c r="K23" s="20">
        <f t="shared" si="4"/>
        <v>20</v>
      </c>
      <c r="M23" s="13">
        <f t="shared" si="5"/>
        <v>46538</v>
      </c>
      <c r="N23" s="13">
        <f t="shared" ref="N23:O23" si="23">M23</f>
        <v>46538</v>
      </c>
      <c r="O23" s="13">
        <f t="shared" si="23"/>
        <v>46538</v>
      </c>
      <c r="P23" s="24">
        <v>36011519040.949715</v>
      </c>
      <c r="Q23" s="24"/>
      <c r="V23">
        <v>1</v>
      </c>
      <c r="W23" t="s">
        <v>33</v>
      </c>
      <c r="Y23" t="s">
        <v>33</v>
      </c>
      <c r="Z23" t="s">
        <v>34</v>
      </c>
      <c r="AA23">
        <v>1</v>
      </c>
    </row>
    <row r="24" spans="1:29" x14ac:dyDescent="0.35">
      <c r="A24" s="13">
        <f t="shared" si="2"/>
        <v>45930</v>
      </c>
      <c r="B24">
        <v>1</v>
      </c>
      <c r="D24" s="14" t="s">
        <v>31</v>
      </c>
      <c r="E24" s="16" t="s">
        <v>41</v>
      </c>
      <c r="F24" s="16" t="s">
        <v>41</v>
      </c>
      <c r="G24" s="17"/>
      <c r="H24" s="84" t="s">
        <v>56</v>
      </c>
      <c r="I24" s="84" t="s">
        <v>149</v>
      </c>
      <c r="K24" s="20">
        <f t="shared" si="4"/>
        <v>21</v>
      </c>
      <c r="M24" s="13">
        <f t="shared" si="5"/>
        <v>46568</v>
      </c>
      <c r="N24" s="13">
        <f t="shared" ref="N24:O24" si="24">M24</f>
        <v>46568</v>
      </c>
      <c r="O24" s="13">
        <f t="shared" si="24"/>
        <v>46568</v>
      </c>
      <c r="P24" s="24">
        <v>36011519040.949715</v>
      </c>
      <c r="Q24" s="24"/>
      <c r="V24">
        <v>1</v>
      </c>
      <c r="W24" t="s">
        <v>33</v>
      </c>
      <c r="Y24" t="s">
        <v>33</v>
      </c>
      <c r="Z24" t="s">
        <v>34</v>
      </c>
      <c r="AA24">
        <v>1</v>
      </c>
    </row>
    <row r="25" spans="1:29" x14ac:dyDescent="0.35">
      <c r="A25" s="13">
        <f t="shared" si="2"/>
        <v>45930</v>
      </c>
      <c r="B25">
        <v>1</v>
      </c>
      <c r="D25" s="14" t="s">
        <v>31</v>
      </c>
      <c r="E25" s="16" t="s">
        <v>41</v>
      </c>
      <c r="F25" s="16" t="s">
        <v>41</v>
      </c>
      <c r="G25" s="17"/>
      <c r="H25" s="84" t="s">
        <v>56</v>
      </c>
      <c r="I25" s="84" t="s">
        <v>149</v>
      </c>
      <c r="K25" s="20">
        <f t="shared" si="4"/>
        <v>22</v>
      </c>
      <c r="M25" s="13">
        <f t="shared" si="5"/>
        <v>46599</v>
      </c>
      <c r="N25" s="13">
        <f t="shared" ref="N25:O25" si="25">M25</f>
        <v>46599</v>
      </c>
      <c r="O25" s="13">
        <f t="shared" si="25"/>
        <v>46599</v>
      </c>
      <c r="P25" s="24">
        <v>36011519040.949715</v>
      </c>
      <c r="Q25" s="24"/>
      <c r="V25">
        <v>1</v>
      </c>
      <c r="W25" t="s">
        <v>33</v>
      </c>
      <c r="Y25" t="s">
        <v>33</v>
      </c>
      <c r="Z25" t="s">
        <v>34</v>
      </c>
      <c r="AA25">
        <v>1</v>
      </c>
    </row>
    <row r="26" spans="1:29" x14ac:dyDescent="0.35">
      <c r="A26" s="13">
        <f t="shared" si="2"/>
        <v>45930</v>
      </c>
      <c r="B26">
        <v>1</v>
      </c>
      <c r="D26" s="14" t="s">
        <v>31</v>
      </c>
      <c r="E26" s="16" t="s">
        <v>41</v>
      </c>
      <c r="F26" s="16" t="s">
        <v>41</v>
      </c>
      <c r="G26" s="17"/>
      <c r="H26" s="84" t="s">
        <v>56</v>
      </c>
      <c r="I26" s="84" t="s">
        <v>149</v>
      </c>
      <c r="K26" s="20">
        <f t="shared" si="4"/>
        <v>23</v>
      </c>
      <c r="M26" s="13">
        <f t="shared" si="5"/>
        <v>46630</v>
      </c>
      <c r="N26" s="13">
        <f t="shared" ref="N26:O26" si="26">M26</f>
        <v>46630</v>
      </c>
      <c r="O26" s="13">
        <f t="shared" si="26"/>
        <v>46630</v>
      </c>
      <c r="P26" s="24">
        <v>36011519040.949715</v>
      </c>
      <c r="Q26" s="24"/>
      <c r="V26">
        <v>1</v>
      </c>
      <c r="W26" t="s">
        <v>33</v>
      </c>
      <c r="Y26" t="s">
        <v>33</v>
      </c>
      <c r="Z26" t="s">
        <v>34</v>
      </c>
      <c r="AA26">
        <v>1</v>
      </c>
    </row>
    <row r="27" spans="1:29" x14ac:dyDescent="0.35">
      <c r="A27" s="13">
        <f t="shared" si="2"/>
        <v>45930</v>
      </c>
      <c r="B27">
        <v>1</v>
      </c>
      <c r="D27" s="14" t="s">
        <v>31</v>
      </c>
      <c r="E27" s="16" t="s">
        <v>41</v>
      </c>
      <c r="F27" s="16" t="s">
        <v>41</v>
      </c>
      <c r="G27" s="17"/>
      <c r="H27" s="84" t="s">
        <v>56</v>
      </c>
      <c r="I27" s="84" t="s">
        <v>149</v>
      </c>
      <c r="K27" s="20">
        <f t="shared" si="4"/>
        <v>24</v>
      </c>
      <c r="M27" s="13">
        <f t="shared" si="5"/>
        <v>46660</v>
      </c>
      <c r="N27" s="13">
        <f t="shared" ref="N27:O27" si="27">M27</f>
        <v>46660</v>
      </c>
      <c r="O27" s="13">
        <f t="shared" si="27"/>
        <v>46660</v>
      </c>
      <c r="P27" s="24">
        <v>36011519040.949715</v>
      </c>
      <c r="Q27" s="24"/>
      <c r="V27">
        <v>1</v>
      </c>
      <c r="W27" t="s">
        <v>33</v>
      </c>
      <c r="Y27" t="s">
        <v>33</v>
      </c>
      <c r="Z27" t="s">
        <v>34</v>
      </c>
      <c r="AA27">
        <v>1</v>
      </c>
    </row>
    <row r="28" spans="1:29" x14ac:dyDescent="0.35">
      <c r="A28" s="13">
        <f t="shared" si="2"/>
        <v>45930</v>
      </c>
      <c r="B28">
        <v>1</v>
      </c>
      <c r="D28" s="14" t="s">
        <v>31</v>
      </c>
      <c r="E28" s="16" t="s">
        <v>41</v>
      </c>
      <c r="F28" s="16" t="s">
        <v>41</v>
      </c>
      <c r="G28" s="17"/>
      <c r="H28" s="84" t="s">
        <v>56</v>
      </c>
      <c r="I28" s="84" t="s">
        <v>149</v>
      </c>
      <c r="K28" s="20">
        <f t="shared" si="4"/>
        <v>25</v>
      </c>
      <c r="M28" s="13">
        <f t="shared" si="5"/>
        <v>46691</v>
      </c>
      <c r="N28" s="13">
        <f t="shared" ref="N28:O28" si="28">M28</f>
        <v>46691</v>
      </c>
      <c r="O28" s="13">
        <f t="shared" si="28"/>
        <v>46691</v>
      </c>
      <c r="P28" s="24">
        <v>36011519040.949715</v>
      </c>
      <c r="Q28" s="24"/>
      <c r="V28">
        <v>1</v>
      </c>
      <c r="W28" t="s">
        <v>33</v>
      </c>
      <c r="Y28" t="s">
        <v>33</v>
      </c>
      <c r="Z28" t="s">
        <v>34</v>
      </c>
      <c r="AA28">
        <v>1</v>
      </c>
    </row>
    <row r="29" spans="1:29" x14ac:dyDescent="0.35">
      <c r="A29" s="13">
        <f t="shared" si="2"/>
        <v>45930</v>
      </c>
      <c r="B29">
        <v>1</v>
      </c>
      <c r="D29" s="14" t="s">
        <v>31</v>
      </c>
      <c r="E29" s="16" t="s">
        <v>41</v>
      </c>
      <c r="F29" s="16" t="s">
        <v>41</v>
      </c>
      <c r="G29" s="17"/>
      <c r="H29" s="84" t="s">
        <v>56</v>
      </c>
      <c r="I29" s="84" t="s">
        <v>149</v>
      </c>
      <c r="K29" s="20">
        <f t="shared" si="4"/>
        <v>26</v>
      </c>
      <c r="M29" s="13">
        <f t="shared" si="5"/>
        <v>46721</v>
      </c>
      <c r="N29" s="13">
        <f t="shared" ref="N29:O29" si="29">M29</f>
        <v>46721</v>
      </c>
      <c r="O29" s="13">
        <f t="shared" si="29"/>
        <v>46721</v>
      </c>
      <c r="P29" s="24">
        <v>36011519040.949715</v>
      </c>
      <c r="Q29" s="24"/>
      <c r="V29">
        <v>1</v>
      </c>
      <c r="W29" t="s">
        <v>33</v>
      </c>
      <c r="Y29" t="s">
        <v>33</v>
      </c>
      <c r="Z29" t="s">
        <v>34</v>
      </c>
      <c r="AA29">
        <v>1</v>
      </c>
    </row>
    <row r="30" spans="1:29" x14ac:dyDescent="0.35">
      <c r="A30" s="13">
        <f t="shared" si="2"/>
        <v>45930</v>
      </c>
      <c r="B30">
        <v>1</v>
      </c>
      <c r="D30" s="14" t="s">
        <v>31</v>
      </c>
      <c r="E30" s="16" t="s">
        <v>41</v>
      </c>
      <c r="F30" s="16" t="s">
        <v>41</v>
      </c>
      <c r="G30" s="17"/>
      <c r="H30" s="84" t="s">
        <v>56</v>
      </c>
      <c r="I30" s="84" t="s">
        <v>149</v>
      </c>
      <c r="K30" s="20">
        <f t="shared" si="4"/>
        <v>27</v>
      </c>
      <c r="M30" s="13">
        <f t="shared" si="5"/>
        <v>46752</v>
      </c>
      <c r="N30" s="13">
        <f t="shared" ref="N30:O30" si="30">M30</f>
        <v>46752</v>
      </c>
      <c r="O30" s="13">
        <f t="shared" si="30"/>
        <v>46752</v>
      </c>
      <c r="P30" s="24">
        <v>36011519040.949715</v>
      </c>
      <c r="Q30" s="24"/>
      <c r="V30">
        <v>1</v>
      </c>
      <c r="W30" t="s">
        <v>33</v>
      </c>
      <c r="Y30" t="s">
        <v>33</v>
      </c>
      <c r="Z30" t="s">
        <v>34</v>
      </c>
      <c r="AA30">
        <v>1</v>
      </c>
    </row>
    <row r="31" spans="1:29" x14ac:dyDescent="0.35">
      <c r="A31" s="13">
        <f t="shared" si="2"/>
        <v>45930</v>
      </c>
      <c r="B31">
        <v>1</v>
      </c>
      <c r="D31" s="14" t="s">
        <v>31</v>
      </c>
      <c r="E31" s="16" t="s">
        <v>41</v>
      </c>
      <c r="F31" s="16" t="s">
        <v>41</v>
      </c>
      <c r="G31" s="17"/>
      <c r="H31" s="84" t="s">
        <v>56</v>
      </c>
      <c r="I31" s="84" t="s">
        <v>149</v>
      </c>
      <c r="K31" s="20">
        <f t="shared" si="4"/>
        <v>28</v>
      </c>
      <c r="M31" s="13">
        <f t="shared" si="5"/>
        <v>46783</v>
      </c>
      <c r="N31" s="13">
        <f t="shared" ref="N31:O31" si="31">M31</f>
        <v>46783</v>
      </c>
      <c r="O31" s="13">
        <f t="shared" si="31"/>
        <v>46783</v>
      </c>
      <c r="P31" s="24">
        <v>36011519040.949715</v>
      </c>
      <c r="Q31" s="24"/>
      <c r="V31">
        <v>1</v>
      </c>
      <c r="W31" t="s">
        <v>33</v>
      </c>
      <c r="Y31" t="s">
        <v>33</v>
      </c>
      <c r="Z31" t="s">
        <v>34</v>
      </c>
      <c r="AA31">
        <v>1</v>
      </c>
    </row>
    <row r="32" spans="1:29" x14ac:dyDescent="0.35">
      <c r="A32" s="13">
        <f t="shared" si="2"/>
        <v>45930</v>
      </c>
      <c r="B32">
        <v>1</v>
      </c>
      <c r="D32" s="14" t="s">
        <v>31</v>
      </c>
      <c r="E32" s="16" t="s">
        <v>41</v>
      </c>
      <c r="F32" s="16" t="s">
        <v>41</v>
      </c>
      <c r="G32" s="17"/>
      <c r="H32" s="84" t="s">
        <v>56</v>
      </c>
      <c r="I32" s="84" t="s">
        <v>149</v>
      </c>
      <c r="K32" s="20">
        <f t="shared" si="4"/>
        <v>29</v>
      </c>
      <c r="M32" s="13">
        <f t="shared" si="5"/>
        <v>46812</v>
      </c>
      <c r="N32" s="13">
        <f t="shared" ref="N32:O32" si="32">M32</f>
        <v>46812</v>
      </c>
      <c r="O32" s="13">
        <f t="shared" si="32"/>
        <v>46812</v>
      </c>
      <c r="P32" s="24">
        <v>36011519040.949715</v>
      </c>
      <c r="Q32" s="24"/>
      <c r="V32">
        <v>1</v>
      </c>
      <c r="W32" t="s">
        <v>33</v>
      </c>
      <c r="Y32" t="s">
        <v>33</v>
      </c>
      <c r="Z32" t="s">
        <v>34</v>
      </c>
      <c r="AA32">
        <v>1</v>
      </c>
    </row>
    <row r="33" spans="1:27" x14ac:dyDescent="0.35">
      <c r="A33" s="13">
        <f t="shared" si="2"/>
        <v>45930</v>
      </c>
      <c r="B33">
        <v>1</v>
      </c>
      <c r="D33" s="14" t="s">
        <v>31</v>
      </c>
      <c r="E33" s="16" t="s">
        <v>41</v>
      </c>
      <c r="F33" s="16" t="s">
        <v>41</v>
      </c>
      <c r="G33" s="17"/>
      <c r="H33" s="84" t="s">
        <v>56</v>
      </c>
      <c r="I33" s="84" t="s">
        <v>149</v>
      </c>
      <c r="K33" s="20">
        <f t="shared" si="4"/>
        <v>30</v>
      </c>
      <c r="M33" s="13">
        <f t="shared" si="5"/>
        <v>46843</v>
      </c>
      <c r="N33" s="13">
        <f t="shared" ref="N33:O33" si="33">M33</f>
        <v>46843</v>
      </c>
      <c r="O33" s="13">
        <f t="shared" si="33"/>
        <v>46843</v>
      </c>
      <c r="P33" s="24">
        <v>36011519040.949715</v>
      </c>
      <c r="Q33" s="24"/>
      <c r="V33">
        <v>1</v>
      </c>
      <c r="W33" t="s">
        <v>33</v>
      </c>
      <c r="Y33" t="s">
        <v>33</v>
      </c>
      <c r="Z33" t="s">
        <v>34</v>
      </c>
      <c r="AA33">
        <v>1</v>
      </c>
    </row>
    <row r="34" spans="1:27" x14ac:dyDescent="0.35">
      <c r="A34" s="13">
        <f t="shared" si="2"/>
        <v>45930</v>
      </c>
      <c r="B34">
        <v>1</v>
      </c>
      <c r="D34" s="14" t="s">
        <v>31</v>
      </c>
      <c r="E34" s="16" t="s">
        <v>41</v>
      </c>
      <c r="F34" s="16" t="s">
        <v>41</v>
      </c>
      <c r="G34" s="17"/>
      <c r="H34" s="84" t="s">
        <v>56</v>
      </c>
      <c r="I34" s="84" t="s">
        <v>149</v>
      </c>
      <c r="K34" s="20">
        <f t="shared" ref="K34:K63" si="34">K33+1</f>
        <v>31</v>
      </c>
      <c r="M34" s="13">
        <f t="shared" si="5"/>
        <v>46873</v>
      </c>
      <c r="N34" s="13">
        <f t="shared" ref="N34:O34" si="35">M34</f>
        <v>46873</v>
      </c>
      <c r="O34" s="13">
        <f t="shared" si="35"/>
        <v>46873</v>
      </c>
      <c r="P34" s="24">
        <v>36011519040.949715</v>
      </c>
      <c r="Q34" s="24"/>
      <c r="V34">
        <v>1</v>
      </c>
      <c r="W34" t="s">
        <v>33</v>
      </c>
      <c r="Y34" t="s">
        <v>33</v>
      </c>
      <c r="Z34" t="s">
        <v>34</v>
      </c>
      <c r="AA34">
        <v>1</v>
      </c>
    </row>
    <row r="35" spans="1:27" x14ac:dyDescent="0.35">
      <c r="A35" s="13">
        <f t="shared" si="2"/>
        <v>45930</v>
      </c>
      <c r="B35">
        <v>1</v>
      </c>
      <c r="D35" s="14" t="s">
        <v>31</v>
      </c>
      <c r="E35" s="16" t="s">
        <v>41</v>
      </c>
      <c r="F35" s="16" t="s">
        <v>41</v>
      </c>
      <c r="G35" s="17"/>
      <c r="H35" s="84" t="s">
        <v>56</v>
      </c>
      <c r="I35" s="84" t="s">
        <v>149</v>
      </c>
      <c r="K35" s="20">
        <f t="shared" si="34"/>
        <v>32</v>
      </c>
      <c r="M35" s="13">
        <f t="shared" si="5"/>
        <v>46904</v>
      </c>
      <c r="N35" s="13">
        <f t="shared" ref="N35:O35" si="36">M35</f>
        <v>46904</v>
      </c>
      <c r="O35" s="13">
        <f t="shared" si="36"/>
        <v>46904</v>
      </c>
      <c r="P35" s="24">
        <v>36011519040.949715</v>
      </c>
      <c r="Q35" s="24"/>
      <c r="V35">
        <v>1</v>
      </c>
      <c r="W35" t="s">
        <v>33</v>
      </c>
      <c r="Y35" t="s">
        <v>33</v>
      </c>
      <c r="Z35" t="s">
        <v>34</v>
      </c>
      <c r="AA35">
        <v>1</v>
      </c>
    </row>
    <row r="36" spans="1:27" x14ac:dyDescent="0.35">
      <c r="A36" s="13">
        <f t="shared" si="2"/>
        <v>45930</v>
      </c>
      <c r="B36">
        <v>1</v>
      </c>
      <c r="D36" s="14" t="s">
        <v>31</v>
      </c>
      <c r="E36" s="16" t="s">
        <v>41</v>
      </c>
      <c r="F36" s="16" t="s">
        <v>41</v>
      </c>
      <c r="G36" s="17"/>
      <c r="H36" s="84" t="s">
        <v>56</v>
      </c>
      <c r="I36" s="84" t="s">
        <v>149</v>
      </c>
      <c r="K36" s="20">
        <f t="shared" si="34"/>
        <v>33</v>
      </c>
      <c r="M36" s="13">
        <f t="shared" si="5"/>
        <v>46934</v>
      </c>
      <c r="N36" s="13">
        <f t="shared" ref="N36:O36" si="37">M36</f>
        <v>46934</v>
      </c>
      <c r="O36" s="13">
        <f t="shared" si="37"/>
        <v>46934</v>
      </c>
      <c r="P36" s="24">
        <v>3459166099.7732425</v>
      </c>
      <c r="Q36" s="24"/>
      <c r="V36">
        <v>1</v>
      </c>
      <c r="W36" t="s">
        <v>33</v>
      </c>
      <c r="Y36" t="s">
        <v>33</v>
      </c>
      <c r="Z36" t="s">
        <v>34</v>
      </c>
      <c r="AA36">
        <v>1</v>
      </c>
    </row>
    <row r="37" spans="1:27" x14ac:dyDescent="0.35">
      <c r="A37" s="13">
        <f t="shared" si="2"/>
        <v>45930</v>
      </c>
      <c r="B37">
        <v>1</v>
      </c>
      <c r="D37" s="14" t="s">
        <v>31</v>
      </c>
      <c r="E37" s="16" t="s">
        <v>41</v>
      </c>
      <c r="F37" s="16" t="s">
        <v>41</v>
      </c>
      <c r="G37" s="17"/>
      <c r="H37" s="84" t="s">
        <v>56</v>
      </c>
      <c r="I37" s="84" t="s">
        <v>149</v>
      </c>
      <c r="K37" s="20">
        <f t="shared" si="34"/>
        <v>34</v>
      </c>
      <c r="M37" s="13">
        <f t="shared" si="5"/>
        <v>46965</v>
      </c>
      <c r="N37" s="13">
        <f t="shared" ref="N37:O37" si="38">M37</f>
        <v>46965</v>
      </c>
      <c r="O37" s="13">
        <f t="shared" si="38"/>
        <v>46965</v>
      </c>
      <c r="P37" s="24">
        <v>3459166099.7732425</v>
      </c>
      <c r="Q37" s="24"/>
      <c r="V37">
        <v>1</v>
      </c>
      <c r="W37" t="s">
        <v>33</v>
      </c>
      <c r="Y37" t="s">
        <v>33</v>
      </c>
      <c r="Z37" t="s">
        <v>34</v>
      </c>
      <c r="AA37">
        <v>1</v>
      </c>
    </row>
    <row r="38" spans="1:27" x14ac:dyDescent="0.35">
      <c r="A38" s="13">
        <f t="shared" si="2"/>
        <v>45930</v>
      </c>
      <c r="B38">
        <v>1</v>
      </c>
      <c r="D38" s="14" t="s">
        <v>31</v>
      </c>
      <c r="E38" s="16" t="s">
        <v>41</v>
      </c>
      <c r="F38" s="16" t="s">
        <v>41</v>
      </c>
      <c r="G38" s="17"/>
      <c r="H38" s="84" t="s">
        <v>56</v>
      </c>
      <c r="I38" s="84" t="s">
        <v>149</v>
      </c>
      <c r="K38" s="20">
        <f t="shared" si="34"/>
        <v>35</v>
      </c>
      <c r="M38" s="13">
        <f>M4</f>
        <v>45961</v>
      </c>
      <c r="N38" s="13">
        <f t="shared" ref="N38:O38" si="39">M38</f>
        <v>45961</v>
      </c>
      <c r="O38" s="13">
        <f t="shared" si="39"/>
        <v>45961</v>
      </c>
      <c r="P38" s="24">
        <v>3459166099.7732425</v>
      </c>
      <c r="Q38" s="24"/>
      <c r="V38">
        <v>1</v>
      </c>
      <c r="W38" t="s">
        <v>33</v>
      </c>
      <c r="Y38" t="s">
        <v>33</v>
      </c>
      <c r="Z38" t="s">
        <v>34</v>
      </c>
      <c r="AA38">
        <v>1</v>
      </c>
    </row>
    <row r="39" spans="1:27" x14ac:dyDescent="0.35">
      <c r="A39" s="13">
        <f t="shared" si="2"/>
        <v>45930</v>
      </c>
      <c r="B39">
        <v>1</v>
      </c>
      <c r="D39" s="14" t="s">
        <v>31</v>
      </c>
      <c r="E39" s="16" t="s">
        <v>41</v>
      </c>
      <c r="F39" s="16" t="s">
        <v>41</v>
      </c>
      <c r="G39" s="17"/>
      <c r="H39" s="84" t="s">
        <v>56</v>
      </c>
      <c r="I39" s="84" t="s">
        <v>149</v>
      </c>
      <c r="K39" s="20">
        <f t="shared" si="34"/>
        <v>36</v>
      </c>
      <c r="M39" s="13">
        <f t="shared" si="5"/>
        <v>45991</v>
      </c>
      <c r="N39" s="13">
        <f t="shared" ref="N39:N48" si="40">M39</f>
        <v>45991</v>
      </c>
      <c r="O39" s="13">
        <f t="shared" ref="O39:O48" si="41">N39</f>
        <v>45991</v>
      </c>
      <c r="P39" s="24">
        <v>3459166099.7732425</v>
      </c>
      <c r="Q39" s="24"/>
      <c r="V39">
        <v>1</v>
      </c>
      <c r="W39" t="s">
        <v>33</v>
      </c>
      <c r="Y39" t="s">
        <v>33</v>
      </c>
      <c r="Z39" t="s">
        <v>34</v>
      </c>
      <c r="AA39">
        <v>1</v>
      </c>
    </row>
    <row r="40" spans="1:27" x14ac:dyDescent="0.35">
      <c r="A40" s="13">
        <f t="shared" si="2"/>
        <v>45930</v>
      </c>
      <c r="B40">
        <v>1</v>
      </c>
      <c r="D40" s="14" t="s">
        <v>31</v>
      </c>
      <c r="E40" s="16" t="s">
        <v>41</v>
      </c>
      <c r="F40" s="16" t="s">
        <v>41</v>
      </c>
      <c r="G40" s="17"/>
      <c r="H40" s="84" t="s">
        <v>56</v>
      </c>
      <c r="I40" s="84" t="s">
        <v>149</v>
      </c>
      <c r="K40" s="20">
        <f t="shared" si="34"/>
        <v>37</v>
      </c>
      <c r="M40" s="13">
        <f t="shared" si="5"/>
        <v>46022</v>
      </c>
      <c r="N40" s="13">
        <f t="shared" si="40"/>
        <v>46022</v>
      </c>
      <c r="O40" s="13">
        <f t="shared" si="41"/>
        <v>46022</v>
      </c>
      <c r="P40" s="24">
        <v>3459166099.7732425</v>
      </c>
      <c r="Q40" s="24"/>
      <c r="V40">
        <v>1</v>
      </c>
      <c r="W40" t="s">
        <v>33</v>
      </c>
      <c r="Y40" t="s">
        <v>33</v>
      </c>
      <c r="Z40" t="s">
        <v>34</v>
      </c>
      <c r="AA40">
        <v>1</v>
      </c>
    </row>
    <row r="41" spans="1:27" x14ac:dyDescent="0.35">
      <c r="A41" s="13">
        <f t="shared" si="2"/>
        <v>45930</v>
      </c>
      <c r="B41">
        <v>1</v>
      </c>
      <c r="D41" s="14" t="s">
        <v>31</v>
      </c>
      <c r="E41" s="16" t="s">
        <v>41</v>
      </c>
      <c r="F41" s="16" t="s">
        <v>41</v>
      </c>
      <c r="G41" s="17"/>
      <c r="H41" s="84" t="s">
        <v>56</v>
      </c>
      <c r="I41" s="84" t="s">
        <v>149</v>
      </c>
      <c r="K41" s="20">
        <f t="shared" si="34"/>
        <v>38</v>
      </c>
      <c r="M41" s="13">
        <f t="shared" si="5"/>
        <v>46053</v>
      </c>
      <c r="N41" s="13">
        <f t="shared" si="40"/>
        <v>46053</v>
      </c>
      <c r="O41" s="13">
        <f t="shared" si="41"/>
        <v>46053</v>
      </c>
      <c r="P41" s="24">
        <v>3459166099.7732425</v>
      </c>
      <c r="Q41" s="24"/>
      <c r="V41">
        <v>1</v>
      </c>
      <c r="W41" t="s">
        <v>33</v>
      </c>
      <c r="Y41" t="s">
        <v>33</v>
      </c>
      <c r="Z41" t="s">
        <v>34</v>
      </c>
      <c r="AA41">
        <v>1</v>
      </c>
    </row>
    <row r="42" spans="1:27" x14ac:dyDescent="0.35">
      <c r="A42" s="13">
        <f t="shared" si="2"/>
        <v>45930</v>
      </c>
      <c r="B42">
        <v>1</v>
      </c>
      <c r="D42" s="14" t="s">
        <v>31</v>
      </c>
      <c r="E42" s="16" t="s">
        <v>41</v>
      </c>
      <c r="F42" s="16" t="s">
        <v>41</v>
      </c>
      <c r="G42" s="17"/>
      <c r="H42" s="84" t="s">
        <v>56</v>
      </c>
      <c r="I42" s="84" t="s">
        <v>149</v>
      </c>
      <c r="K42" s="20">
        <f t="shared" si="34"/>
        <v>39</v>
      </c>
      <c r="M42" s="13">
        <f t="shared" si="5"/>
        <v>46081</v>
      </c>
      <c r="N42" s="13">
        <f t="shared" si="40"/>
        <v>46081</v>
      </c>
      <c r="O42" s="13">
        <f t="shared" si="41"/>
        <v>46081</v>
      </c>
      <c r="P42" s="24">
        <v>3459166099.7732425</v>
      </c>
      <c r="Q42" s="24"/>
      <c r="V42">
        <v>1</v>
      </c>
      <c r="W42" t="s">
        <v>33</v>
      </c>
      <c r="Y42" t="s">
        <v>33</v>
      </c>
      <c r="Z42" t="s">
        <v>34</v>
      </c>
      <c r="AA42">
        <v>1</v>
      </c>
    </row>
    <row r="43" spans="1:27" x14ac:dyDescent="0.35">
      <c r="A43" s="13">
        <f t="shared" si="2"/>
        <v>45930</v>
      </c>
      <c r="B43">
        <v>1</v>
      </c>
      <c r="D43" s="14" t="s">
        <v>31</v>
      </c>
      <c r="E43" s="16" t="s">
        <v>41</v>
      </c>
      <c r="F43" s="16" t="s">
        <v>41</v>
      </c>
      <c r="G43" s="17"/>
      <c r="H43" s="84" t="s">
        <v>56</v>
      </c>
      <c r="I43" s="84" t="s">
        <v>149</v>
      </c>
      <c r="K43" s="20">
        <f t="shared" si="34"/>
        <v>40</v>
      </c>
      <c r="M43" s="13">
        <f t="shared" si="5"/>
        <v>46112</v>
      </c>
      <c r="N43" s="13">
        <f t="shared" si="40"/>
        <v>46112</v>
      </c>
      <c r="O43" s="13">
        <f t="shared" si="41"/>
        <v>46112</v>
      </c>
      <c r="P43" s="24">
        <v>3459166099.7732425</v>
      </c>
      <c r="Q43" s="24"/>
      <c r="V43">
        <v>1</v>
      </c>
      <c r="W43" t="s">
        <v>33</v>
      </c>
      <c r="Y43" t="s">
        <v>33</v>
      </c>
      <c r="Z43" t="s">
        <v>34</v>
      </c>
      <c r="AA43">
        <v>1</v>
      </c>
    </row>
    <row r="44" spans="1:27" x14ac:dyDescent="0.35">
      <c r="A44" s="13">
        <f t="shared" si="2"/>
        <v>45930</v>
      </c>
      <c r="B44">
        <v>1</v>
      </c>
      <c r="D44" s="14" t="s">
        <v>31</v>
      </c>
      <c r="E44" s="16" t="s">
        <v>41</v>
      </c>
      <c r="F44" s="16" t="s">
        <v>41</v>
      </c>
      <c r="G44" s="17"/>
      <c r="H44" s="84" t="s">
        <v>56</v>
      </c>
      <c r="I44" s="84" t="s">
        <v>149</v>
      </c>
      <c r="K44" s="20">
        <f t="shared" si="34"/>
        <v>41</v>
      </c>
      <c r="M44" s="13">
        <f t="shared" si="5"/>
        <v>46142</v>
      </c>
      <c r="N44" s="13">
        <f t="shared" si="40"/>
        <v>46142</v>
      </c>
      <c r="O44" s="13">
        <f t="shared" si="41"/>
        <v>46142</v>
      </c>
      <c r="P44" s="24">
        <v>3459166099.7732425</v>
      </c>
      <c r="Q44" s="24"/>
      <c r="V44">
        <v>1</v>
      </c>
      <c r="W44" t="s">
        <v>33</v>
      </c>
      <c r="Y44" t="s">
        <v>33</v>
      </c>
      <c r="Z44" t="s">
        <v>34</v>
      </c>
      <c r="AA44">
        <v>1</v>
      </c>
    </row>
    <row r="45" spans="1:27" x14ac:dyDescent="0.35">
      <c r="A45" s="13">
        <f t="shared" si="2"/>
        <v>45930</v>
      </c>
      <c r="B45">
        <v>1</v>
      </c>
      <c r="D45" s="14" t="s">
        <v>31</v>
      </c>
      <c r="E45" s="16" t="s">
        <v>41</v>
      </c>
      <c r="F45" s="16" t="s">
        <v>41</v>
      </c>
      <c r="G45" s="17"/>
      <c r="H45" s="84" t="s">
        <v>56</v>
      </c>
      <c r="I45" s="84" t="s">
        <v>149</v>
      </c>
      <c r="K45" s="20">
        <f t="shared" si="34"/>
        <v>42</v>
      </c>
      <c r="M45" s="13">
        <f t="shared" si="5"/>
        <v>46173</v>
      </c>
      <c r="N45" s="13">
        <f t="shared" si="40"/>
        <v>46173</v>
      </c>
      <c r="O45" s="13">
        <f t="shared" si="41"/>
        <v>46173</v>
      </c>
      <c r="P45" s="24">
        <v>1255895791.6499934</v>
      </c>
      <c r="Q45" s="24"/>
      <c r="V45">
        <v>1</v>
      </c>
      <c r="W45" t="s">
        <v>33</v>
      </c>
      <c r="Y45" t="s">
        <v>33</v>
      </c>
      <c r="Z45" t="s">
        <v>34</v>
      </c>
      <c r="AA45">
        <v>1</v>
      </c>
    </row>
    <row r="46" spans="1:27" x14ac:dyDescent="0.35">
      <c r="A46" s="13">
        <f t="shared" si="2"/>
        <v>45930</v>
      </c>
      <c r="B46">
        <v>1</v>
      </c>
      <c r="D46" s="14" t="s">
        <v>31</v>
      </c>
      <c r="E46" s="16" t="s">
        <v>41</v>
      </c>
      <c r="F46" s="16" t="s">
        <v>41</v>
      </c>
      <c r="G46" s="17"/>
      <c r="H46" s="84" t="s">
        <v>56</v>
      </c>
      <c r="I46" s="84" t="s">
        <v>149</v>
      </c>
      <c r="K46" s="20">
        <f t="shared" si="34"/>
        <v>43</v>
      </c>
      <c r="M46" s="13">
        <f t="shared" si="5"/>
        <v>46203</v>
      </c>
      <c r="N46" s="13">
        <f t="shared" si="40"/>
        <v>46203</v>
      </c>
      <c r="O46" s="13">
        <f t="shared" si="41"/>
        <v>46203</v>
      </c>
      <c r="P46" s="24">
        <v>0</v>
      </c>
      <c r="Q46" s="24"/>
      <c r="V46">
        <v>1</v>
      </c>
      <c r="W46" t="s">
        <v>33</v>
      </c>
      <c r="Y46" t="s">
        <v>33</v>
      </c>
      <c r="Z46" t="s">
        <v>34</v>
      </c>
      <c r="AA46">
        <v>1</v>
      </c>
    </row>
    <row r="47" spans="1:27" x14ac:dyDescent="0.35">
      <c r="A47" s="13">
        <f t="shared" si="2"/>
        <v>45930</v>
      </c>
      <c r="B47">
        <v>1</v>
      </c>
      <c r="D47" s="14" t="s">
        <v>31</v>
      </c>
      <c r="E47" s="16" t="s">
        <v>41</v>
      </c>
      <c r="F47" s="16" t="s">
        <v>41</v>
      </c>
      <c r="G47" s="17"/>
      <c r="H47" s="84" t="s">
        <v>56</v>
      </c>
      <c r="I47" s="84" t="s">
        <v>149</v>
      </c>
      <c r="K47" s="20">
        <f t="shared" si="34"/>
        <v>44</v>
      </c>
      <c r="M47" s="13">
        <f t="shared" si="5"/>
        <v>46234</v>
      </c>
      <c r="N47" s="13">
        <f t="shared" si="40"/>
        <v>46234</v>
      </c>
      <c r="O47" s="13">
        <f t="shared" si="41"/>
        <v>46234</v>
      </c>
      <c r="P47" s="24">
        <v>0</v>
      </c>
      <c r="Q47" s="24"/>
      <c r="V47">
        <v>1</v>
      </c>
      <c r="W47" t="s">
        <v>33</v>
      </c>
      <c r="Y47" t="s">
        <v>33</v>
      </c>
      <c r="Z47" t="s">
        <v>34</v>
      </c>
      <c r="AA47">
        <v>1</v>
      </c>
    </row>
    <row r="48" spans="1:27" x14ac:dyDescent="0.35">
      <c r="A48" s="13">
        <f t="shared" si="2"/>
        <v>45930</v>
      </c>
      <c r="B48">
        <v>1</v>
      </c>
      <c r="D48" s="14" t="s">
        <v>31</v>
      </c>
      <c r="E48" s="16" t="s">
        <v>41</v>
      </c>
      <c r="F48" s="16" t="s">
        <v>41</v>
      </c>
      <c r="G48" s="17"/>
      <c r="H48" s="84" t="s">
        <v>56</v>
      </c>
      <c r="I48" s="84" t="s">
        <v>149</v>
      </c>
      <c r="K48" s="20">
        <f t="shared" si="34"/>
        <v>45</v>
      </c>
      <c r="M48" s="13">
        <f t="shared" si="5"/>
        <v>46265</v>
      </c>
      <c r="N48" s="13">
        <f t="shared" si="40"/>
        <v>46265</v>
      </c>
      <c r="O48" s="13">
        <f t="shared" si="41"/>
        <v>46265</v>
      </c>
      <c r="P48" s="24">
        <v>0</v>
      </c>
      <c r="Q48" s="24"/>
      <c r="V48">
        <v>1</v>
      </c>
      <c r="W48" t="s">
        <v>33</v>
      </c>
      <c r="Y48" t="s">
        <v>33</v>
      </c>
      <c r="Z48" t="s">
        <v>34</v>
      </c>
      <c r="AA48">
        <v>1</v>
      </c>
    </row>
    <row r="49" spans="1:27" x14ac:dyDescent="0.35">
      <c r="A49" s="13">
        <f t="shared" si="2"/>
        <v>45930</v>
      </c>
      <c r="B49">
        <v>1</v>
      </c>
      <c r="D49" s="14" t="s">
        <v>31</v>
      </c>
      <c r="E49" s="16" t="s">
        <v>41</v>
      </c>
      <c r="F49" s="16" t="s">
        <v>41</v>
      </c>
      <c r="G49" s="17"/>
      <c r="H49" s="84" t="s">
        <v>56</v>
      </c>
      <c r="I49" s="84" t="s">
        <v>149</v>
      </c>
      <c r="K49" s="20">
        <f t="shared" si="34"/>
        <v>46</v>
      </c>
      <c r="M49" s="13">
        <f t="shared" si="5"/>
        <v>46295</v>
      </c>
      <c r="N49" s="13">
        <f t="shared" ref="N49:N63" si="42">M49</f>
        <v>46295</v>
      </c>
      <c r="O49" s="13">
        <f t="shared" ref="O49:O63" si="43">N49</f>
        <v>46295</v>
      </c>
      <c r="P49" s="24">
        <v>0</v>
      </c>
      <c r="Q49" s="24"/>
      <c r="V49">
        <v>1</v>
      </c>
      <c r="W49" t="s">
        <v>33</v>
      </c>
      <c r="Y49" t="s">
        <v>33</v>
      </c>
      <c r="Z49" t="s">
        <v>34</v>
      </c>
      <c r="AA49">
        <v>1</v>
      </c>
    </row>
    <row r="50" spans="1:27" x14ac:dyDescent="0.35">
      <c r="A50" s="13">
        <f t="shared" si="2"/>
        <v>45930</v>
      </c>
      <c r="B50">
        <v>1</v>
      </c>
      <c r="D50" s="14" t="s">
        <v>31</v>
      </c>
      <c r="E50" s="16" t="s">
        <v>41</v>
      </c>
      <c r="F50" s="16" t="s">
        <v>41</v>
      </c>
      <c r="G50" s="17"/>
      <c r="H50" s="84" t="s">
        <v>56</v>
      </c>
      <c r="I50" s="84" t="s">
        <v>149</v>
      </c>
      <c r="K50" s="20">
        <f t="shared" si="34"/>
        <v>47</v>
      </c>
      <c r="M50" s="13">
        <f t="shared" si="5"/>
        <v>46326</v>
      </c>
      <c r="N50" s="13">
        <f t="shared" si="42"/>
        <v>46326</v>
      </c>
      <c r="O50" s="13">
        <f t="shared" si="43"/>
        <v>46326</v>
      </c>
      <c r="P50" s="24">
        <v>0</v>
      </c>
      <c r="Q50" s="24"/>
      <c r="V50">
        <v>1</v>
      </c>
      <c r="W50" t="s">
        <v>33</v>
      </c>
      <c r="Y50" t="s">
        <v>33</v>
      </c>
      <c r="Z50" t="s">
        <v>34</v>
      </c>
      <c r="AA50">
        <v>1</v>
      </c>
    </row>
    <row r="51" spans="1:27" x14ac:dyDescent="0.35">
      <c r="A51" s="13">
        <f t="shared" si="2"/>
        <v>45930</v>
      </c>
      <c r="B51">
        <v>1</v>
      </c>
      <c r="D51" s="14" t="s">
        <v>31</v>
      </c>
      <c r="E51" s="16" t="s">
        <v>41</v>
      </c>
      <c r="F51" s="16" t="s">
        <v>41</v>
      </c>
      <c r="G51" s="17"/>
      <c r="H51" s="84" t="s">
        <v>56</v>
      </c>
      <c r="I51" s="84" t="s">
        <v>149</v>
      </c>
      <c r="K51" s="20">
        <f t="shared" si="34"/>
        <v>48</v>
      </c>
      <c r="M51" s="13">
        <f t="shared" si="5"/>
        <v>46356</v>
      </c>
      <c r="N51" s="13">
        <f t="shared" si="42"/>
        <v>46356</v>
      </c>
      <c r="O51" s="13">
        <f t="shared" si="43"/>
        <v>46356</v>
      </c>
      <c r="P51" s="24">
        <v>0</v>
      </c>
      <c r="Q51" s="24"/>
      <c r="V51">
        <v>1</v>
      </c>
      <c r="W51" t="s">
        <v>33</v>
      </c>
      <c r="Y51" t="s">
        <v>33</v>
      </c>
      <c r="Z51" t="s">
        <v>34</v>
      </c>
      <c r="AA51">
        <v>1</v>
      </c>
    </row>
    <row r="52" spans="1:27" x14ac:dyDescent="0.35">
      <c r="A52" s="13">
        <f t="shared" si="2"/>
        <v>45930</v>
      </c>
      <c r="B52">
        <v>1</v>
      </c>
      <c r="D52" s="14" t="s">
        <v>31</v>
      </c>
      <c r="E52" s="16" t="s">
        <v>41</v>
      </c>
      <c r="F52" s="16" t="s">
        <v>41</v>
      </c>
      <c r="G52" s="17"/>
      <c r="H52" s="84" t="s">
        <v>56</v>
      </c>
      <c r="I52" s="84" t="s">
        <v>149</v>
      </c>
      <c r="K52" s="20">
        <f t="shared" si="34"/>
        <v>49</v>
      </c>
      <c r="M52" s="13">
        <f t="shared" si="5"/>
        <v>46387</v>
      </c>
      <c r="N52" s="13">
        <f t="shared" si="42"/>
        <v>46387</v>
      </c>
      <c r="O52" s="13">
        <f t="shared" si="43"/>
        <v>46387</v>
      </c>
      <c r="P52" s="24">
        <v>0</v>
      </c>
      <c r="Q52" s="24"/>
      <c r="V52">
        <v>1</v>
      </c>
      <c r="W52" t="s">
        <v>33</v>
      </c>
      <c r="Y52" t="s">
        <v>33</v>
      </c>
      <c r="Z52" t="s">
        <v>34</v>
      </c>
      <c r="AA52">
        <v>1</v>
      </c>
    </row>
    <row r="53" spans="1:27" x14ac:dyDescent="0.35">
      <c r="A53" s="13">
        <f t="shared" si="2"/>
        <v>45930</v>
      </c>
      <c r="B53">
        <v>1</v>
      </c>
      <c r="D53" s="14" t="s">
        <v>31</v>
      </c>
      <c r="E53" s="16" t="s">
        <v>41</v>
      </c>
      <c r="F53" s="16" t="s">
        <v>41</v>
      </c>
      <c r="H53" s="84" t="s">
        <v>56</v>
      </c>
      <c r="I53" s="84" t="s">
        <v>149</v>
      </c>
      <c r="K53" s="20">
        <f t="shared" si="34"/>
        <v>50</v>
      </c>
      <c r="M53" s="13">
        <f t="shared" si="5"/>
        <v>46418</v>
      </c>
      <c r="N53" s="13">
        <f t="shared" si="42"/>
        <v>46418</v>
      </c>
      <c r="O53" s="13">
        <f t="shared" si="43"/>
        <v>46418</v>
      </c>
      <c r="P53" s="24">
        <v>0</v>
      </c>
      <c r="Q53" s="24"/>
      <c r="V53">
        <v>1</v>
      </c>
      <c r="W53" t="s">
        <v>33</v>
      </c>
      <c r="Y53" t="s">
        <v>33</v>
      </c>
      <c r="Z53" t="s">
        <v>34</v>
      </c>
      <c r="AA53">
        <v>1</v>
      </c>
    </row>
    <row r="54" spans="1:27" x14ac:dyDescent="0.35">
      <c r="A54" s="13">
        <f t="shared" si="2"/>
        <v>45930</v>
      </c>
      <c r="B54">
        <v>1</v>
      </c>
      <c r="D54" s="14" t="s">
        <v>31</v>
      </c>
      <c r="E54" s="16" t="s">
        <v>41</v>
      </c>
      <c r="F54" s="16" t="s">
        <v>41</v>
      </c>
      <c r="H54" s="84" t="s">
        <v>56</v>
      </c>
      <c r="I54" s="84" t="s">
        <v>149</v>
      </c>
      <c r="K54" s="20">
        <f t="shared" si="34"/>
        <v>51</v>
      </c>
      <c r="M54" s="13">
        <f t="shared" si="5"/>
        <v>46446</v>
      </c>
      <c r="N54" s="13">
        <f t="shared" si="42"/>
        <v>46446</v>
      </c>
      <c r="O54" s="13">
        <f t="shared" si="43"/>
        <v>46446</v>
      </c>
      <c r="P54" s="24">
        <v>0</v>
      </c>
      <c r="Q54" s="24"/>
      <c r="V54">
        <v>1</v>
      </c>
      <c r="W54" t="s">
        <v>33</v>
      </c>
      <c r="Y54" t="s">
        <v>33</v>
      </c>
      <c r="Z54" t="s">
        <v>34</v>
      </c>
      <c r="AA54">
        <v>1</v>
      </c>
    </row>
    <row r="55" spans="1:27" x14ac:dyDescent="0.35">
      <c r="A55" s="13">
        <f t="shared" si="2"/>
        <v>45930</v>
      </c>
      <c r="B55">
        <v>1</v>
      </c>
      <c r="D55" s="14" t="s">
        <v>31</v>
      </c>
      <c r="E55" s="16" t="s">
        <v>41</v>
      </c>
      <c r="F55" s="16" t="s">
        <v>41</v>
      </c>
      <c r="H55" s="85" t="s">
        <v>56</v>
      </c>
      <c r="I55" s="85" t="s">
        <v>150</v>
      </c>
      <c r="K55" s="20">
        <f t="shared" si="34"/>
        <v>52</v>
      </c>
      <c r="M55" s="13">
        <f t="shared" si="5"/>
        <v>46477</v>
      </c>
      <c r="N55" s="13">
        <f t="shared" si="42"/>
        <v>46477</v>
      </c>
      <c r="O55" s="13">
        <f t="shared" si="43"/>
        <v>46477</v>
      </c>
      <c r="P55" s="24">
        <v>0</v>
      </c>
      <c r="Q55" s="24"/>
      <c r="V55">
        <v>1</v>
      </c>
      <c r="W55" t="s">
        <v>33</v>
      </c>
      <c r="Y55" t="s">
        <v>33</v>
      </c>
      <c r="Z55" t="s">
        <v>34</v>
      </c>
      <c r="AA55">
        <v>1</v>
      </c>
    </row>
    <row r="56" spans="1:27" x14ac:dyDescent="0.35">
      <c r="A56" s="13">
        <f t="shared" si="2"/>
        <v>45930</v>
      </c>
      <c r="B56">
        <v>1</v>
      </c>
      <c r="D56" s="14" t="s">
        <v>31</v>
      </c>
      <c r="E56" s="16" t="s">
        <v>41</v>
      </c>
      <c r="F56" s="16" t="s">
        <v>41</v>
      </c>
      <c r="H56" s="85" t="s">
        <v>56</v>
      </c>
      <c r="I56" s="85" t="s">
        <v>150</v>
      </c>
      <c r="K56" s="20">
        <f t="shared" si="34"/>
        <v>53</v>
      </c>
      <c r="M56" s="13">
        <f t="shared" si="5"/>
        <v>46507</v>
      </c>
      <c r="N56" s="13">
        <f t="shared" si="42"/>
        <v>46507</v>
      </c>
      <c r="O56" s="13">
        <f t="shared" si="43"/>
        <v>46507</v>
      </c>
      <c r="P56" s="24">
        <v>0</v>
      </c>
      <c r="Q56" s="24"/>
      <c r="V56">
        <v>1</v>
      </c>
      <c r="W56" t="s">
        <v>33</v>
      </c>
      <c r="Y56" t="s">
        <v>33</v>
      </c>
      <c r="Z56" t="s">
        <v>34</v>
      </c>
      <c r="AA56">
        <v>1</v>
      </c>
    </row>
    <row r="57" spans="1:27" x14ac:dyDescent="0.35">
      <c r="A57" s="13">
        <f t="shared" si="2"/>
        <v>45930</v>
      </c>
      <c r="B57">
        <v>1</v>
      </c>
      <c r="D57" s="14" t="s">
        <v>31</v>
      </c>
      <c r="E57" s="16" t="s">
        <v>41</v>
      </c>
      <c r="F57" s="16" t="s">
        <v>41</v>
      </c>
      <c r="H57" s="85" t="s">
        <v>56</v>
      </c>
      <c r="I57" s="85" t="s">
        <v>150</v>
      </c>
      <c r="K57" s="20">
        <f t="shared" si="34"/>
        <v>54</v>
      </c>
      <c r="M57" s="13">
        <f t="shared" si="5"/>
        <v>46538</v>
      </c>
      <c r="N57" s="13">
        <f t="shared" si="42"/>
        <v>46538</v>
      </c>
      <c r="O57" s="13">
        <f t="shared" si="43"/>
        <v>46538</v>
      </c>
      <c r="P57" s="24">
        <v>0</v>
      </c>
      <c r="Q57" s="24"/>
      <c r="V57">
        <v>1</v>
      </c>
      <c r="W57" t="s">
        <v>33</v>
      </c>
      <c r="Y57" t="s">
        <v>33</v>
      </c>
      <c r="Z57" t="s">
        <v>34</v>
      </c>
      <c r="AA57">
        <v>1</v>
      </c>
    </row>
    <row r="58" spans="1:27" x14ac:dyDescent="0.35">
      <c r="A58" s="13">
        <f t="shared" si="2"/>
        <v>45930</v>
      </c>
      <c r="B58">
        <v>1</v>
      </c>
      <c r="D58" s="14" t="s">
        <v>31</v>
      </c>
      <c r="E58" s="16" t="s">
        <v>41</v>
      </c>
      <c r="F58" s="16" t="s">
        <v>41</v>
      </c>
      <c r="H58" s="85" t="s">
        <v>56</v>
      </c>
      <c r="I58" s="85" t="s">
        <v>150</v>
      </c>
      <c r="K58" s="20">
        <f t="shared" si="34"/>
        <v>55</v>
      </c>
      <c r="M58" s="13">
        <f t="shared" si="5"/>
        <v>46568</v>
      </c>
      <c r="N58" s="13">
        <f t="shared" si="42"/>
        <v>46568</v>
      </c>
      <c r="O58" s="13">
        <f t="shared" si="43"/>
        <v>46568</v>
      </c>
      <c r="P58" s="24">
        <v>0</v>
      </c>
      <c r="Q58" s="24"/>
      <c r="V58">
        <v>1</v>
      </c>
      <c r="W58" t="s">
        <v>33</v>
      </c>
      <c r="Y58" t="s">
        <v>33</v>
      </c>
      <c r="Z58" t="s">
        <v>34</v>
      </c>
      <c r="AA58">
        <v>1</v>
      </c>
    </row>
    <row r="59" spans="1:27" x14ac:dyDescent="0.35">
      <c r="A59" s="13">
        <f t="shared" si="2"/>
        <v>45930</v>
      </c>
      <c r="B59">
        <v>1</v>
      </c>
      <c r="D59" s="14" t="s">
        <v>31</v>
      </c>
      <c r="E59" s="16" t="s">
        <v>41</v>
      </c>
      <c r="F59" s="16" t="s">
        <v>41</v>
      </c>
      <c r="H59" s="85" t="s">
        <v>56</v>
      </c>
      <c r="I59" s="85" t="s">
        <v>150</v>
      </c>
      <c r="K59" s="20">
        <f t="shared" si="34"/>
        <v>56</v>
      </c>
      <c r="M59" s="13">
        <f t="shared" si="5"/>
        <v>46599</v>
      </c>
      <c r="N59" s="13">
        <f t="shared" si="42"/>
        <v>46599</v>
      </c>
      <c r="O59" s="13">
        <f t="shared" si="43"/>
        <v>46599</v>
      </c>
      <c r="P59" s="24">
        <v>0</v>
      </c>
      <c r="Q59" s="24"/>
      <c r="V59">
        <v>1</v>
      </c>
      <c r="W59" t="s">
        <v>33</v>
      </c>
      <c r="Y59" t="s">
        <v>33</v>
      </c>
      <c r="Z59" t="s">
        <v>34</v>
      </c>
      <c r="AA59">
        <v>1</v>
      </c>
    </row>
    <row r="60" spans="1:27" x14ac:dyDescent="0.35">
      <c r="A60" s="13">
        <f t="shared" si="2"/>
        <v>45930</v>
      </c>
      <c r="B60">
        <v>1</v>
      </c>
      <c r="D60" s="14" t="s">
        <v>31</v>
      </c>
      <c r="E60" s="16" t="s">
        <v>41</v>
      </c>
      <c r="F60" s="16" t="s">
        <v>41</v>
      </c>
      <c r="H60" s="85" t="s">
        <v>56</v>
      </c>
      <c r="I60" s="85" t="s">
        <v>150</v>
      </c>
      <c r="K60" s="20">
        <f t="shared" si="34"/>
        <v>57</v>
      </c>
      <c r="M60" s="13">
        <f t="shared" si="5"/>
        <v>46630</v>
      </c>
      <c r="N60" s="13">
        <f t="shared" si="42"/>
        <v>46630</v>
      </c>
      <c r="O60" s="13">
        <f t="shared" si="43"/>
        <v>46630</v>
      </c>
      <c r="P60" s="24">
        <v>0</v>
      </c>
      <c r="Q60" s="24"/>
      <c r="V60">
        <v>1</v>
      </c>
      <c r="W60" t="s">
        <v>33</v>
      </c>
      <c r="Y60" t="s">
        <v>33</v>
      </c>
      <c r="Z60" t="s">
        <v>34</v>
      </c>
      <c r="AA60">
        <v>1</v>
      </c>
    </row>
    <row r="61" spans="1:27" x14ac:dyDescent="0.35">
      <c r="A61" s="13">
        <f t="shared" si="2"/>
        <v>45930</v>
      </c>
      <c r="B61">
        <v>1</v>
      </c>
      <c r="D61" s="14" t="s">
        <v>31</v>
      </c>
      <c r="E61" s="16" t="s">
        <v>41</v>
      </c>
      <c r="F61" s="16" t="s">
        <v>41</v>
      </c>
      <c r="H61" s="85" t="s">
        <v>56</v>
      </c>
      <c r="I61" s="85" t="s">
        <v>150</v>
      </c>
      <c r="K61" s="20">
        <f t="shared" si="34"/>
        <v>58</v>
      </c>
      <c r="M61" s="13">
        <f t="shared" si="5"/>
        <v>46660</v>
      </c>
      <c r="N61" s="13">
        <f t="shared" si="42"/>
        <v>46660</v>
      </c>
      <c r="O61" s="13">
        <f t="shared" si="43"/>
        <v>46660</v>
      </c>
      <c r="P61" s="24">
        <v>0</v>
      </c>
      <c r="Q61" s="24"/>
      <c r="V61">
        <v>1</v>
      </c>
      <c r="W61" t="s">
        <v>33</v>
      </c>
      <c r="Y61" t="s">
        <v>33</v>
      </c>
      <c r="Z61" t="s">
        <v>34</v>
      </c>
      <c r="AA61">
        <v>1</v>
      </c>
    </row>
    <row r="62" spans="1:27" x14ac:dyDescent="0.35">
      <c r="A62" s="13">
        <f t="shared" si="2"/>
        <v>45930</v>
      </c>
      <c r="B62">
        <v>1</v>
      </c>
      <c r="D62" s="14" t="s">
        <v>31</v>
      </c>
      <c r="E62" s="16" t="s">
        <v>41</v>
      </c>
      <c r="F62" s="16" t="s">
        <v>41</v>
      </c>
      <c r="H62" s="85" t="s">
        <v>56</v>
      </c>
      <c r="I62" s="85" t="s">
        <v>150</v>
      </c>
      <c r="K62" s="20">
        <f t="shared" si="34"/>
        <v>59</v>
      </c>
      <c r="M62" s="13">
        <f t="shared" si="5"/>
        <v>46691</v>
      </c>
      <c r="N62" s="13">
        <f t="shared" si="42"/>
        <v>46691</v>
      </c>
      <c r="O62" s="13">
        <f t="shared" si="43"/>
        <v>46691</v>
      </c>
      <c r="P62" s="24">
        <f>IF(K62&lt;Montos!$C$42,Montos!$E$42,0)+IF(K62&lt;=Montos!$F$42,Montos!$G$42,0)</f>
        <v>0</v>
      </c>
      <c r="Q62" s="24"/>
      <c r="V62">
        <v>1</v>
      </c>
      <c r="W62" t="s">
        <v>33</v>
      </c>
      <c r="Y62" t="s">
        <v>33</v>
      </c>
      <c r="Z62" t="s">
        <v>34</v>
      </c>
      <c r="AA62">
        <v>1</v>
      </c>
    </row>
    <row r="63" spans="1:27" x14ac:dyDescent="0.35">
      <c r="A63" s="13">
        <f t="shared" si="2"/>
        <v>45930</v>
      </c>
      <c r="B63">
        <v>1</v>
      </c>
      <c r="D63" s="14" t="s">
        <v>31</v>
      </c>
      <c r="E63" s="16" t="s">
        <v>41</v>
      </c>
      <c r="F63" s="16" t="s">
        <v>41</v>
      </c>
      <c r="H63" s="85" t="s">
        <v>56</v>
      </c>
      <c r="I63" s="85" t="s">
        <v>150</v>
      </c>
      <c r="K63" s="20">
        <f t="shared" si="34"/>
        <v>60</v>
      </c>
      <c r="M63" s="13">
        <f t="shared" si="5"/>
        <v>46721</v>
      </c>
      <c r="N63" s="13">
        <f t="shared" si="42"/>
        <v>46721</v>
      </c>
      <c r="O63" s="13">
        <f t="shared" si="43"/>
        <v>46721</v>
      </c>
      <c r="P63" s="24">
        <f>IF(K63&lt;Montos!$C$42,Montos!$E$42,0)+IF(K63&lt;=Montos!$F$42,Montos!$G$42,0)</f>
        <v>0</v>
      </c>
      <c r="Q63" s="24"/>
      <c r="V63">
        <v>1</v>
      </c>
      <c r="W63" t="s">
        <v>33</v>
      </c>
      <c r="Y63" t="s">
        <v>33</v>
      </c>
      <c r="Z63" t="s">
        <v>34</v>
      </c>
      <c r="AA63">
        <v>1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4">
    <tabColor rgb="FFFFFF00"/>
  </sheetPr>
  <dimension ref="A1:AE54"/>
  <sheetViews>
    <sheetView workbookViewId="0">
      <selection activeCell="A2" sqref="A2:AE51"/>
    </sheetView>
  </sheetViews>
  <sheetFormatPr baseColWidth="10" defaultRowHeight="14.5" x14ac:dyDescent="0.35"/>
  <cols>
    <col min="16" max="16" width="16.54296875" bestFit="1" customWidth="1"/>
    <col min="17" max="17" width="16.81640625" bestFit="1" customWidth="1"/>
  </cols>
  <sheetData>
    <row r="1" spans="1:31" x14ac:dyDescent="0.35">
      <c r="A1" s="1" t="s">
        <v>0</v>
      </c>
      <c r="B1" s="2" t="s">
        <v>1</v>
      </c>
      <c r="C1" s="2" t="s">
        <v>2</v>
      </c>
      <c r="D1" s="3" t="s">
        <v>3</v>
      </c>
      <c r="E1" s="4" t="s">
        <v>4</v>
      </c>
      <c r="F1" s="5" t="s">
        <v>5</v>
      </c>
      <c r="G1" s="6" t="s">
        <v>6</v>
      </c>
      <c r="H1" s="1" t="s">
        <v>7</v>
      </c>
      <c r="I1" s="7" t="s">
        <v>8</v>
      </c>
      <c r="J1" s="8" t="s">
        <v>9</v>
      </c>
      <c r="K1" s="9" t="s">
        <v>10</v>
      </c>
      <c r="L1" s="10" t="s">
        <v>11</v>
      </c>
      <c r="M1" s="1" t="s">
        <v>12</v>
      </c>
      <c r="N1" s="11" t="s">
        <v>13</v>
      </c>
      <c r="O1" s="11" t="s">
        <v>14</v>
      </c>
      <c r="P1" s="7" t="s">
        <v>15</v>
      </c>
      <c r="Q1" s="7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12" t="s">
        <v>21</v>
      </c>
      <c r="W1" s="12" t="s">
        <v>22</v>
      </c>
      <c r="X1" s="2" t="s">
        <v>23</v>
      </c>
      <c r="Y1" s="12" t="s">
        <v>24</v>
      </c>
      <c r="Z1" s="2" t="s">
        <v>25</v>
      </c>
      <c r="AA1" s="2" t="s">
        <v>26</v>
      </c>
      <c r="AB1" s="2" t="s">
        <v>27</v>
      </c>
      <c r="AC1" s="4" t="s">
        <v>28</v>
      </c>
      <c r="AD1" s="2" t="s">
        <v>29</v>
      </c>
      <c r="AE1" s="2" t="s">
        <v>30</v>
      </c>
    </row>
    <row r="2" spans="1:31" x14ac:dyDescent="0.35">
      <c r="A2" s="13">
        <f>Cta_Cte!A3</f>
        <v>45930</v>
      </c>
      <c r="B2">
        <v>1</v>
      </c>
      <c r="D2" s="14" t="s">
        <v>31</v>
      </c>
      <c r="E2" s="16" t="s">
        <v>41</v>
      </c>
      <c r="F2" s="16" t="s">
        <v>41</v>
      </c>
      <c r="G2" s="17"/>
      <c r="H2" s="31" t="s">
        <v>58</v>
      </c>
      <c r="I2" s="31" t="s">
        <v>44</v>
      </c>
      <c r="J2" s="19"/>
      <c r="K2" s="20"/>
      <c r="L2" s="21"/>
      <c r="M2" s="13">
        <f>A2+1</f>
        <v>45931</v>
      </c>
      <c r="N2" s="13">
        <f>M2</f>
        <v>45931</v>
      </c>
      <c r="O2" s="13">
        <f>N2</f>
        <v>45931</v>
      </c>
      <c r="P2" s="18">
        <f>Montos!E4</f>
        <v>44791986461</v>
      </c>
      <c r="Q2" s="18"/>
      <c r="R2" s="68"/>
      <c r="V2">
        <v>1</v>
      </c>
      <c r="W2" t="s">
        <v>33</v>
      </c>
      <c r="Y2" t="s">
        <v>33</v>
      </c>
      <c r="Z2" t="s">
        <v>34</v>
      </c>
      <c r="AA2">
        <v>1</v>
      </c>
      <c r="AC2" s="15"/>
    </row>
    <row r="3" spans="1:31" x14ac:dyDescent="0.35">
      <c r="A3" s="13">
        <f>A2</f>
        <v>45930</v>
      </c>
      <c r="B3">
        <v>1</v>
      </c>
      <c r="D3" s="14" t="s">
        <v>31</v>
      </c>
      <c r="E3" s="16" t="s">
        <v>41</v>
      </c>
      <c r="F3" s="16" t="s">
        <v>41</v>
      </c>
      <c r="G3" s="17"/>
      <c r="H3" s="84" t="s">
        <v>58</v>
      </c>
      <c r="I3" s="84" t="s">
        <v>157</v>
      </c>
      <c r="J3" s="88"/>
      <c r="K3" s="20">
        <v>1</v>
      </c>
      <c r="L3" s="21"/>
      <c r="M3" s="13">
        <f>Cta_Cte!M4</f>
        <v>45961</v>
      </c>
      <c r="N3" s="13">
        <f>M3</f>
        <v>45961</v>
      </c>
      <c r="O3" s="13">
        <f t="shared" ref="N3:O36" si="0">N3</f>
        <v>45961</v>
      </c>
      <c r="P3" s="24">
        <v>3833994024.2763772</v>
      </c>
      <c r="Q3" s="168"/>
      <c r="V3">
        <v>1</v>
      </c>
      <c r="W3" t="s">
        <v>33</v>
      </c>
      <c r="Y3" t="s">
        <v>33</v>
      </c>
      <c r="Z3" t="s">
        <v>34</v>
      </c>
      <c r="AA3">
        <v>1</v>
      </c>
      <c r="AC3" s="15"/>
    </row>
    <row r="4" spans="1:31" x14ac:dyDescent="0.35">
      <c r="A4" s="13">
        <f t="shared" ref="A4:A36" si="1">A3</f>
        <v>45930</v>
      </c>
      <c r="B4">
        <v>1</v>
      </c>
      <c r="D4" s="14" t="s">
        <v>31</v>
      </c>
      <c r="E4" s="16" t="s">
        <v>41</v>
      </c>
      <c r="F4" s="16" t="s">
        <v>41</v>
      </c>
      <c r="G4" s="17"/>
      <c r="H4" s="84" t="s">
        <v>58</v>
      </c>
      <c r="I4" s="84" t="s">
        <v>157</v>
      </c>
      <c r="J4" s="88"/>
      <c r="K4" s="20">
        <f>K3+1</f>
        <v>2</v>
      </c>
      <c r="M4" s="13">
        <f>EOMONTH(M3,1)</f>
        <v>45991</v>
      </c>
      <c r="N4" s="13">
        <f t="shared" si="0"/>
        <v>45991</v>
      </c>
      <c r="O4" s="13">
        <f t="shared" si="0"/>
        <v>45991</v>
      </c>
      <c r="P4" s="24">
        <v>3833994024.2763772</v>
      </c>
      <c r="Q4" s="168"/>
      <c r="V4">
        <v>1</v>
      </c>
      <c r="W4" t="s">
        <v>33</v>
      </c>
      <c r="Y4" t="s">
        <v>33</v>
      </c>
      <c r="Z4" t="s">
        <v>34</v>
      </c>
      <c r="AA4">
        <v>1</v>
      </c>
      <c r="AC4" s="15"/>
    </row>
    <row r="5" spans="1:31" x14ac:dyDescent="0.35">
      <c r="A5" s="13">
        <f>A4</f>
        <v>45930</v>
      </c>
      <c r="B5">
        <v>1</v>
      </c>
      <c r="D5" s="14" t="s">
        <v>31</v>
      </c>
      <c r="E5" s="16" t="s">
        <v>41</v>
      </c>
      <c r="F5" s="16" t="s">
        <v>41</v>
      </c>
      <c r="G5" s="17"/>
      <c r="H5" s="84" t="s">
        <v>58</v>
      </c>
      <c r="I5" s="84" t="s">
        <v>157</v>
      </c>
      <c r="J5" s="88"/>
      <c r="K5" s="20">
        <f t="shared" ref="K5:K51" si="2">K4+1</f>
        <v>3</v>
      </c>
      <c r="M5" s="13">
        <f>EOMONTH(M4,1)</f>
        <v>46022</v>
      </c>
      <c r="N5" s="13">
        <f t="shared" si="0"/>
        <v>46022</v>
      </c>
      <c r="O5" s="13">
        <f t="shared" si="0"/>
        <v>46022</v>
      </c>
      <c r="P5" s="24">
        <v>3833994024.2763772</v>
      </c>
      <c r="Q5" s="168"/>
      <c r="V5">
        <v>1</v>
      </c>
      <c r="W5" t="s">
        <v>33</v>
      </c>
      <c r="Y5" t="s">
        <v>33</v>
      </c>
      <c r="Z5" t="s">
        <v>34</v>
      </c>
      <c r="AA5">
        <v>1</v>
      </c>
      <c r="AC5" s="15"/>
    </row>
    <row r="6" spans="1:31" x14ac:dyDescent="0.35">
      <c r="A6" s="13">
        <f t="shared" si="1"/>
        <v>45930</v>
      </c>
      <c r="B6">
        <v>1</v>
      </c>
      <c r="D6" s="14" t="s">
        <v>31</v>
      </c>
      <c r="E6" s="16" t="s">
        <v>41</v>
      </c>
      <c r="F6" s="16" t="s">
        <v>41</v>
      </c>
      <c r="G6" s="17"/>
      <c r="H6" s="84" t="s">
        <v>58</v>
      </c>
      <c r="I6" s="84" t="s">
        <v>157</v>
      </c>
      <c r="J6" s="88"/>
      <c r="K6" s="20">
        <f t="shared" si="2"/>
        <v>4</v>
      </c>
      <c r="M6" s="13">
        <f t="shared" ref="M6:M36" si="3">EOMONTH(M5,1)</f>
        <v>46053</v>
      </c>
      <c r="N6" s="13">
        <f t="shared" si="0"/>
        <v>46053</v>
      </c>
      <c r="O6" s="13">
        <f t="shared" si="0"/>
        <v>46053</v>
      </c>
      <c r="P6" s="24">
        <v>3833994024.2763772</v>
      </c>
      <c r="Q6" s="168"/>
      <c r="V6">
        <v>1</v>
      </c>
      <c r="W6" t="s">
        <v>33</v>
      </c>
      <c r="Y6" t="s">
        <v>33</v>
      </c>
      <c r="Z6" t="s">
        <v>34</v>
      </c>
      <c r="AA6">
        <v>1</v>
      </c>
      <c r="AC6" s="15"/>
    </row>
    <row r="7" spans="1:31" x14ac:dyDescent="0.35">
      <c r="A7" s="13">
        <f t="shared" si="1"/>
        <v>45930</v>
      </c>
      <c r="B7">
        <v>1</v>
      </c>
      <c r="D7" s="14" t="s">
        <v>31</v>
      </c>
      <c r="E7" s="16" t="s">
        <v>41</v>
      </c>
      <c r="F7" s="16" t="s">
        <v>41</v>
      </c>
      <c r="G7" s="17"/>
      <c r="H7" s="84" t="s">
        <v>58</v>
      </c>
      <c r="I7" s="84" t="s">
        <v>157</v>
      </c>
      <c r="J7" s="88"/>
      <c r="K7" s="20">
        <f t="shared" si="2"/>
        <v>5</v>
      </c>
      <c r="M7" s="13">
        <f t="shared" si="3"/>
        <v>46081</v>
      </c>
      <c r="N7" s="13">
        <f t="shared" si="0"/>
        <v>46081</v>
      </c>
      <c r="O7" s="13">
        <f t="shared" si="0"/>
        <v>46081</v>
      </c>
      <c r="P7" s="24">
        <v>3833994024.2763772</v>
      </c>
      <c r="Q7" s="168"/>
      <c r="V7">
        <v>1</v>
      </c>
      <c r="W7" t="s">
        <v>33</v>
      </c>
      <c r="Y7" t="s">
        <v>33</v>
      </c>
      <c r="Z7" t="s">
        <v>34</v>
      </c>
      <c r="AA7">
        <v>1</v>
      </c>
      <c r="AC7" s="15"/>
    </row>
    <row r="8" spans="1:31" x14ac:dyDescent="0.35">
      <c r="A8" s="13">
        <f t="shared" si="1"/>
        <v>45930</v>
      </c>
      <c r="B8">
        <v>1</v>
      </c>
      <c r="D8" s="14" t="s">
        <v>31</v>
      </c>
      <c r="E8" s="16" t="s">
        <v>41</v>
      </c>
      <c r="F8" s="16" t="s">
        <v>41</v>
      </c>
      <c r="G8" s="17"/>
      <c r="H8" s="84" t="s">
        <v>58</v>
      </c>
      <c r="I8" s="84" t="s">
        <v>157</v>
      </c>
      <c r="J8" s="88"/>
      <c r="K8" s="20">
        <f t="shared" si="2"/>
        <v>6</v>
      </c>
      <c r="M8" s="13">
        <f t="shared" si="3"/>
        <v>46112</v>
      </c>
      <c r="N8" s="13">
        <f t="shared" si="0"/>
        <v>46112</v>
      </c>
      <c r="O8" s="13">
        <f t="shared" si="0"/>
        <v>46112</v>
      </c>
      <c r="P8" s="24">
        <v>3833994024.2763772</v>
      </c>
      <c r="Q8" s="168"/>
      <c r="V8">
        <v>1</v>
      </c>
      <c r="W8" t="s">
        <v>33</v>
      </c>
      <c r="Y8" t="s">
        <v>33</v>
      </c>
      <c r="Z8" t="s">
        <v>34</v>
      </c>
      <c r="AA8">
        <v>1</v>
      </c>
      <c r="AC8" s="15"/>
    </row>
    <row r="9" spans="1:31" x14ac:dyDescent="0.35">
      <c r="A9" s="13">
        <f t="shared" si="1"/>
        <v>45930</v>
      </c>
      <c r="B9">
        <v>1</v>
      </c>
      <c r="D9" s="14" t="s">
        <v>31</v>
      </c>
      <c r="E9" s="16" t="s">
        <v>41</v>
      </c>
      <c r="F9" s="16" t="s">
        <v>41</v>
      </c>
      <c r="G9" s="17"/>
      <c r="H9" s="84" t="s">
        <v>58</v>
      </c>
      <c r="I9" s="84" t="s">
        <v>157</v>
      </c>
      <c r="J9" s="88"/>
      <c r="K9" s="20">
        <f t="shared" si="2"/>
        <v>7</v>
      </c>
      <c r="M9" s="13">
        <f t="shared" si="3"/>
        <v>46142</v>
      </c>
      <c r="N9" s="13">
        <f t="shared" si="0"/>
        <v>46142</v>
      </c>
      <c r="O9" s="13">
        <f t="shared" si="0"/>
        <v>46142</v>
      </c>
      <c r="P9" s="24">
        <v>3833994024.2763772</v>
      </c>
      <c r="Q9" s="168"/>
      <c r="V9">
        <v>1</v>
      </c>
      <c r="W9" t="s">
        <v>33</v>
      </c>
      <c r="Y9" t="s">
        <v>33</v>
      </c>
      <c r="Z9" t="s">
        <v>34</v>
      </c>
      <c r="AA9">
        <v>1</v>
      </c>
      <c r="AC9" s="15"/>
    </row>
    <row r="10" spans="1:31" x14ac:dyDescent="0.35">
      <c r="A10" s="13">
        <f t="shared" si="1"/>
        <v>45930</v>
      </c>
      <c r="B10">
        <v>1</v>
      </c>
      <c r="D10" s="14" t="s">
        <v>31</v>
      </c>
      <c r="E10" s="16" t="s">
        <v>41</v>
      </c>
      <c r="F10" s="16" t="s">
        <v>41</v>
      </c>
      <c r="G10" s="17"/>
      <c r="H10" s="84" t="s">
        <v>58</v>
      </c>
      <c r="I10" s="84" t="s">
        <v>157</v>
      </c>
      <c r="J10" s="88"/>
      <c r="K10" s="20">
        <f t="shared" si="2"/>
        <v>8</v>
      </c>
      <c r="M10" s="13">
        <f t="shared" si="3"/>
        <v>46173</v>
      </c>
      <c r="N10" s="13">
        <f t="shared" si="0"/>
        <v>46173</v>
      </c>
      <c r="O10" s="13">
        <f t="shared" si="0"/>
        <v>46173</v>
      </c>
      <c r="P10" s="24">
        <v>3833994024.2763772</v>
      </c>
      <c r="Q10" s="168"/>
      <c r="V10">
        <v>1</v>
      </c>
      <c r="W10" t="s">
        <v>33</v>
      </c>
      <c r="Y10" t="s">
        <v>33</v>
      </c>
      <c r="Z10" t="s">
        <v>34</v>
      </c>
      <c r="AA10">
        <v>1</v>
      </c>
      <c r="AC10" s="15"/>
    </row>
    <row r="11" spans="1:31" x14ac:dyDescent="0.35">
      <c r="A11" s="13">
        <f t="shared" si="1"/>
        <v>45930</v>
      </c>
      <c r="B11">
        <v>1</v>
      </c>
      <c r="D11" s="14" t="s">
        <v>31</v>
      </c>
      <c r="E11" s="16" t="s">
        <v>41</v>
      </c>
      <c r="F11" s="16" t="s">
        <v>41</v>
      </c>
      <c r="G11" s="17"/>
      <c r="H11" s="84" t="s">
        <v>58</v>
      </c>
      <c r="I11" s="84" t="s">
        <v>157</v>
      </c>
      <c r="J11" s="88"/>
      <c r="K11" s="20">
        <f t="shared" si="2"/>
        <v>9</v>
      </c>
      <c r="M11" s="13">
        <f t="shared" si="3"/>
        <v>46203</v>
      </c>
      <c r="N11" s="13">
        <f t="shared" si="0"/>
        <v>46203</v>
      </c>
      <c r="O11" s="13">
        <f t="shared" si="0"/>
        <v>46203</v>
      </c>
      <c r="P11" s="24">
        <v>3833994024.2763772</v>
      </c>
      <c r="Q11" s="168"/>
      <c r="V11">
        <v>1</v>
      </c>
      <c r="W11" t="s">
        <v>33</v>
      </c>
      <c r="Y11" t="s">
        <v>33</v>
      </c>
      <c r="Z11" t="s">
        <v>34</v>
      </c>
      <c r="AA11">
        <v>1</v>
      </c>
      <c r="AC11" s="15"/>
    </row>
    <row r="12" spans="1:31" x14ac:dyDescent="0.35">
      <c r="A12" s="13">
        <f t="shared" si="1"/>
        <v>45930</v>
      </c>
      <c r="B12">
        <v>1</v>
      </c>
      <c r="D12" s="14" t="s">
        <v>31</v>
      </c>
      <c r="E12" s="16" t="s">
        <v>41</v>
      </c>
      <c r="F12" s="16" t="s">
        <v>41</v>
      </c>
      <c r="G12" s="17"/>
      <c r="H12" s="84" t="s">
        <v>58</v>
      </c>
      <c r="I12" s="84" t="s">
        <v>157</v>
      </c>
      <c r="J12" s="88"/>
      <c r="K12" s="20">
        <f t="shared" si="2"/>
        <v>10</v>
      </c>
      <c r="M12" s="13">
        <f t="shared" si="3"/>
        <v>46234</v>
      </c>
      <c r="N12" s="13">
        <f t="shared" si="0"/>
        <v>46234</v>
      </c>
      <c r="O12" s="13">
        <f t="shared" si="0"/>
        <v>46234</v>
      </c>
      <c r="P12" s="24">
        <v>3833994024.2763772</v>
      </c>
      <c r="Q12" s="168"/>
      <c r="V12">
        <v>1</v>
      </c>
      <c r="W12" t="s">
        <v>33</v>
      </c>
      <c r="Y12" t="s">
        <v>33</v>
      </c>
      <c r="Z12" t="s">
        <v>34</v>
      </c>
      <c r="AA12">
        <v>1</v>
      </c>
      <c r="AC12" s="15"/>
    </row>
    <row r="13" spans="1:31" x14ac:dyDescent="0.35">
      <c r="A13" s="13">
        <f t="shared" si="1"/>
        <v>45930</v>
      </c>
      <c r="B13">
        <v>1</v>
      </c>
      <c r="D13" s="14" t="s">
        <v>31</v>
      </c>
      <c r="E13" s="16" t="s">
        <v>41</v>
      </c>
      <c r="F13" s="16" t="s">
        <v>41</v>
      </c>
      <c r="G13" s="17"/>
      <c r="H13" s="84" t="s">
        <v>58</v>
      </c>
      <c r="I13" s="84" t="s">
        <v>157</v>
      </c>
      <c r="J13" s="88"/>
      <c r="K13" s="20">
        <f t="shared" si="2"/>
        <v>11</v>
      </c>
      <c r="M13" s="13">
        <f t="shared" si="3"/>
        <v>46265</v>
      </c>
      <c r="N13" s="13">
        <f t="shared" si="0"/>
        <v>46265</v>
      </c>
      <c r="O13" s="13">
        <f t="shared" si="0"/>
        <v>46265</v>
      </c>
      <c r="P13" s="24">
        <v>3833994024.2763772</v>
      </c>
      <c r="Q13" s="168"/>
      <c r="V13">
        <v>1</v>
      </c>
      <c r="W13" t="s">
        <v>33</v>
      </c>
      <c r="Y13" t="s">
        <v>33</v>
      </c>
      <c r="Z13" t="s">
        <v>34</v>
      </c>
      <c r="AA13">
        <v>1</v>
      </c>
      <c r="AC13" s="15"/>
    </row>
    <row r="14" spans="1:31" x14ac:dyDescent="0.35">
      <c r="A14" s="13">
        <f t="shared" si="1"/>
        <v>45930</v>
      </c>
      <c r="B14">
        <v>1</v>
      </c>
      <c r="D14" s="14" t="s">
        <v>31</v>
      </c>
      <c r="E14" s="16" t="s">
        <v>41</v>
      </c>
      <c r="F14" s="16" t="s">
        <v>41</v>
      </c>
      <c r="G14" s="17"/>
      <c r="H14" s="84" t="s">
        <v>58</v>
      </c>
      <c r="I14" s="84" t="s">
        <v>157</v>
      </c>
      <c r="J14" s="88"/>
      <c r="K14" s="20">
        <f t="shared" si="2"/>
        <v>12</v>
      </c>
      <c r="M14" s="13">
        <f t="shared" si="3"/>
        <v>46295</v>
      </c>
      <c r="N14" s="13">
        <f t="shared" si="0"/>
        <v>46295</v>
      </c>
      <c r="O14" s="13">
        <f t="shared" si="0"/>
        <v>46295</v>
      </c>
      <c r="P14" s="24">
        <v>3833994024.2763772</v>
      </c>
      <c r="Q14" s="168"/>
      <c r="V14">
        <v>1</v>
      </c>
      <c r="W14" t="s">
        <v>33</v>
      </c>
      <c r="Y14" t="s">
        <v>33</v>
      </c>
      <c r="Z14" t="s">
        <v>34</v>
      </c>
      <c r="AA14">
        <v>1</v>
      </c>
      <c r="AC14" s="15"/>
    </row>
    <row r="15" spans="1:31" x14ac:dyDescent="0.35">
      <c r="A15" s="13">
        <f t="shared" si="1"/>
        <v>45930</v>
      </c>
      <c r="B15">
        <v>1</v>
      </c>
      <c r="D15" s="14" t="s">
        <v>31</v>
      </c>
      <c r="E15" s="16" t="s">
        <v>41</v>
      </c>
      <c r="F15" s="16" t="s">
        <v>41</v>
      </c>
      <c r="G15" s="17"/>
      <c r="H15" s="84" t="s">
        <v>58</v>
      </c>
      <c r="I15" s="84" t="s">
        <v>157</v>
      </c>
      <c r="J15" s="88"/>
      <c r="K15" s="20">
        <f t="shared" si="2"/>
        <v>13</v>
      </c>
      <c r="M15" s="13">
        <f t="shared" si="3"/>
        <v>46326</v>
      </c>
      <c r="N15" s="13">
        <f t="shared" si="0"/>
        <v>46326</v>
      </c>
      <c r="O15" s="13">
        <f t="shared" si="0"/>
        <v>46326</v>
      </c>
      <c r="P15" s="24">
        <v>3833994024.2763772</v>
      </c>
      <c r="Q15" s="168"/>
      <c r="V15">
        <v>1</v>
      </c>
      <c r="W15" t="s">
        <v>33</v>
      </c>
      <c r="Y15" t="s">
        <v>33</v>
      </c>
      <c r="Z15" t="s">
        <v>34</v>
      </c>
      <c r="AA15">
        <v>1</v>
      </c>
      <c r="AC15" s="15"/>
    </row>
    <row r="16" spans="1:31" x14ac:dyDescent="0.35">
      <c r="A16" s="13">
        <f t="shared" si="1"/>
        <v>45930</v>
      </c>
      <c r="B16">
        <v>1</v>
      </c>
      <c r="D16" s="14" t="s">
        <v>31</v>
      </c>
      <c r="E16" s="16" t="s">
        <v>41</v>
      </c>
      <c r="F16" s="16" t="s">
        <v>41</v>
      </c>
      <c r="G16" s="17"/>
      <c r="H16" s="84" t="s">
        <v>58</v>
      </c>
      <c r="I16" s="84" t="s">
        <v>157</v>
      </c>
      <c r="J16" s="88"/>
      <c r="K16" s="20">
        <f t="shared" si="2"/>
        <v>14</v>
      </c>
      <c r="M16" s="13">
        <f t="shared" si="3"/>
        <v>46356</v>
      </c>
      <c r="N16" s="13">
        <f t="shared" si="0"/>
        <v>46356</v>
      </c>
      <c r="O16" s="13">
        <f t="shared" si="0"/>
        <v>46356</v>
      </c>
      <c r="P16" s="24">
        <v>3833994024.2763772</v>
      </c>
      <c r="Q16" s="168"/>
      <c r="V16">
        <v>1</v>
      </c>
      <c r="W16" t="s">
        <v>33</v>
      </c>
      <c r="Y16" t="s">
        <v>33</v>
      </c>
      <c r="Z16" t="s">
        <v>34</v>
      </c>
      <c r="AA16">
        <v>1</v>
      </c>
      <c r="AC16" s="15"/>
    </row>
    <row r="17" spans="1:29" x14ac:dyDescent="0.35">
      <c r="A17" s="13">
        <f t="shared" si="1"/>
        <v>45930</v>
      </c>
      <c r="B17">
        <v>1</v>
      </c>
      <c r="D17" s="14" t="s">
        <v>31</v>
      </c>
      <c r="E17" s="16" t="s">
        <v>41</v>
      </c>
      <c r="F17" s="16" t="s">
        <v>41</v>
      </c>
      <c r="G17" s="17"/>
      <c r="H17" s="84" t="s">
        <v>58</v>
      </c>
      <c r="I17" s="84" t="s">
        <v>157</v>
      </c>
      <c r="J17" s="88"/>
      <c r="K17" s="20">
        <f t="shared" si="2"/>
        <v>15</v>
      </c>
      <c r="M17" s="13">
        <f t="shared" si="3"/>
        <v>46387</v>
      </c>
      <c r="N17" s="13">
        <f t="shared" si="0"/>
        <v>46387</v>
      </c>
      <c r="O17" s="13">
        <f t="shared" si="0"/>
        <v>46387</v>
      </c>
      <c r="P17" s="24">
        <v>3833994024.2763772</v>
      </c>
      <c r="Q17" s="168"/>
      <c r="V17">
        <v>1</v>
      </c>
      <c r="W17" t="s">
        <v>33</v>
      </c>
      <c r="Y17" t="s">
        <v>33</v>
      </c>
      <c r="Z17" t="s">
        <v>34</v>
      </c>
      <c r="AA17">
        <v>1</v>
      </c>
      <c r="AC17" s="15"/>
    </row>
    <row r="18" spans="1:29" x14ac:dyDescent="0.35">
      <c r="A18" s="13">
        <f t="shared" si="1"/>
        <v>45930</v>
      </c>
      <c r="B18">
        <v>1</v>
      </c>
      <c r="D18" s="14" t="s">
        <v>31</v>
      </c>
      <c r="E18" s="16" t="s">
        <v>41</v>
      </c>
      <c r="F18" s="16" t="s">
        <v>41</v>
      </c>
      <c r="G18" s="17"/>
      <c r="H18" s="84" t="s">
        <v>58</v>
      </c>
      <c r="I18" s="84" t="s">
        <v>157</v>
      </c>
      <c r="J18" s="88"/>
      <c r="K18" s="20">
        <f t="shared" si="2"/>
        <v>16</v>
      </c>
      <c r="M18" s="13">
        <f t="shared" si="3"/>
        <v>46418</v>
      </c>
      <c r="N18" s="13">
        <f t="shared" si="0"/>
        <v>46418</v>
      </c>
      <c r="O18" s="13">
        <f t="shared" si="0"/>
        <v>46418</v>
      </c>
      <c r="P18" s="24">
        <v>3833994024.2763772</v>
      </c>
      <c r="Q18" s="168"/>
      <c r="V18">
        <v>1</v>
      </c>
      <c r="W18" t="s">
        <v>33</v>
      </c>
      <c r="Y18" t="s">
        <v>33</v>
      </c>
      <c r="Z18" t="s">
        <v>34</v>
      </c>
      <c r="AA18">
        <v>1</v>
      </c>
      <c r="AC18" s="15"/>
    </row>
    <row r="19" spans="1:29" x14ac:dyDescent="0.35">
      <c r="A19" s="13">
        <f t="shared" si="1"/>
        <v>45930</v>
      </c>
      <c r="B19">
        <v>1</v>
      </c>
      <c r="D19" s="14" t="s">
        <v>31</v>
      </c>
      <c r="E19" s="16" t="s">
        <v>41</v>
      </c>
      <c r="F19" s="16" t="s">
        <v>41</v>
      </c>
      <c r="G19" s="17"/>
      <c r="H19" s="84" t="s">
        <v>58</v>
      </c>
      <c r="I19" s="84" t="s">
        <v>157</v>
      </c>
      <c r="J19" s="88"/>
      <c r="K19" s="20">
        <f t="shared" si="2"/>
        <v>17</v>
      </c>
      <c r="M19" s="13">
        <f t="shared" si="3"/>
        <v>46446</v>
      </c>
      <c r="N19" s="13">
        <f t="shared" si="0"/>
        <v>46446</v>
      </c>
      <c r="O19" s="13">
        <f t="shared" si="0"/>
        <v>46446</v>
      </c>
      <c r="P19" s="24">
        <v>3833994024.2763772</v>
      </c>
      <c r="Q19" s="168"/>
      <c r="V19">
        <v>1</v>
      </c>
      <c r="W19" t="s">
        <v>33</v>
      </c>
      <c r="Y19" t="s">
        <v>33</v>
      </c>
      <c r="Z19" t="s">
        <v>34</v>
      </c>
      <c r="AA19">
        <v>1</v>
      </c>
      <c r="AC19" s="15"/>
    </row>
    <row r="20" spans="1:29" x14ac:dyDescent="0.35">
      <c r="A20" s="13">
        <f t="shared" si="1"/>
        <v>45930</v>
      </c>
      <c r="B20">
        <v>1</v>
      </c>
      <c r="D20" s="14" t="s">
        <v>31</v>
      </c>
      <c r="E20" s="16" t="s">
        <v>41</v>
      </c>
      <c r="F20" s="16" t="s">
        <v>41</v>
      </c>
      <c r="G20" s="17"/>
      <c r="H20" s="84" t="s">
        <v>58</v>
      </c>
      <c r="I20" s="84" t="s">
        <v>157</v>
      </c>
      <c r="J20" s="88"/>
      <c r="K20" s="20">
        <f t="shared" si="2"/>
        <v>18</v>
      </c>
      <c r="M20" s="13">
        <f t="shared" si="3"/>
        <v>46477</v>
      </c>
      <c r="N20" s="13">
        <f t="shared" si="0"/>
        <v>46477</v>
      </c>
      <c r="O20" s="13">
        <f t="shared" si="0"/>
        <v>46477</v>
      </c>
      <c r="P20" s="24">
        <v>3833994024.2763772</v>
      </c>
      <c r="Q20" s="168"/>
      <c r="V20">
        <v>1</v>
      </c>
      <c r="W20" t="s">
        <v>33</v>
      </c>
      <c r="Y20" t="s">
        <v>33</v>
      </c>
      <c r="Z20" t="s">
        <v>34</v>
      </c>
      <c r="AA20">
        <v>1</v>
      </c>
    </row>
    <row r="21" spans="1:29" x14ac:dyDescent="0.35">
      <c r="A21" s="13">
        <f t="shared" si="1"/>
        <v>45930</v>
      </c>
      <c r="B21">
        <v>1</v>
      </c>
      <c r="D21" s="14" t="s">
        <v>31</v>
      </c>
      <c r="E21" s="16" t="s">
        <v>41</v>
      </c>
      <c r="F21" s="16" t="s">
        <v>41</v>
      </c>
      <c r="G21" s="17"/>
      <c r="H21" s="84" t="s">
        <v>58</v>
      </c>
      <c r="I21" s="84" t="s">
        <v>157</v>
      </c>
      <c r="J21" s="88"/>
      <c r="K21" s="20">
        <f t="shared" si="2"/>
        <v>19</v>
      </c>
      <c r="M21" s="13">
        <f t="shared" si="3"/>
        <v>46507</v>
      </c>
      <c r="N21" s="13">
        <f t="shared" si="0"/>
        <v>46507</v>
      </c>
      <c r="O21" s="13">
        <f t="shared" si="0"/>
        <v>46507</v>
      </c>
      <c r="P21" s="24">
        <v>3833994024.2763772</v>
      </c>
      <c r="Q21" s="168"/>
      <c r="V21">
        <v>1</v>
      </c>
      <c r="W21" t="s">
        <v>33</v>
      </c>
      <c r="Y21" t="s">
        <v>33</v>
      </c>
      <c r="Z21" t="s">
        <v>34</v>
      </c>
      <c r="AA21">
        <v>1</v>
      </c>
    </row>
    <row r="22" spans="1:29" x14ac:dyDescent="0.35">
      <c r="A22" s="13">
        <f t="shared" si="1"/>
        <v>45930</v>
      </c>
      <c r="B22">
        <v>1</v>
      </c>
      <c r="D22" s="14" t="s">
        <v>31</v>
      </c>
      <c r="E22" s="16" t="s">
        <v>41</v>
      </c>
      <c r="F22" s="16" t="s">
        <v>41</v>
      </c>
      <c r="G22" s="17"/>
      <c r="H22" s="84" t="s">
        <v>58</v>
      </c>
      <c r="I22" s="84" t="s">
        <v>157</v>
      </c>
      <c r="J22" s="88"/>
      <c r="K22" s="20">
        <f t="shared" si="2"/>
        <v>20</v>
      </c>
      <c r="M22" s="13">
        <f t="shared" si="3"/>
        <v>46538</v>
      </c>
      <c r="N22" s="13">
        <f t="shared" si="0"/>
        <v>46538</v>
      </c>
      <c r="O22" s="13">
        <f t="shared" si="0"/>
        <v>46538</v>
      </c>
      <c r="P22" s="24">
        <v>3833994024.2763772</v>
      </c>
      <c r="Q22" s="168"/>
      <c r="V22">
        <v>1</v>
      </c>
      <c r="W22" t="s">
        <v>33</v>
      </c>
      <c r="Y22" t="s">
        <v>33</v>
      </c>
      <c r="Z22" t="s">
        <v>34</v>
      </c>
      <c r="AA22">
        <v>1</v>
      </c>
    </row>
    <row r="23" spans="1:29" x14ac:dyDescent="0.35">
      <c r="A23" s="13">
        <f t="shared" si="1"/>
        <v>45930</v>
      </c>
      <c r="B23">
        <v>1</v>
      </c>
      <c r="D23" s="14" t="s">
        <v>31</v>
      </c>
      <c r="E23" s="16" t="s">
        <v>41</v>
      </c>
      <c r="F23" s="16" t="s">
        <v>41</v>
      </c>
      <c r="G23" s="17"/>
      <c r="H23" s="84" t="s">
        <v>58</v>
      </c>
      <c r="I23" s="84" t="s">
        <v>157</v>
      </c>
      <c r="J23" s="88"/>
      <c r="K23" s="20">
        <f t="shared" si="2"/>
        <v>21</v>
      </c>
      <c r="M23" s="13">
        <f t="shared" si="3"/>
        <v>46568</v>
      </c>
      <c r="N23" s="13">
        <f t="shared" si="0"/>
        <v>46568</v>
      </c>
      <c r="O23" s="13">
        <f t="shared" si="0"/>
        <v>46568</v>
      </c>
      <c r="P23" s="24">
        <v>3833994024.2763772</v>
      </c>
      <c r="Q23" s="168"/>
      <c r="V23">
        <v>1</v>
      </c>
      <c r="W23" t="s">
        <v>33</v>
      </c>
      <c r="Y23" t="s">
        <v>33</v>
      </c>
      <c r="Z23" t="s">
        <v>34</v>
      </c>
      <c r="AA23">
        <v>1</v>
      </c>
    </row>
    <row r="24" spans="1:29" x14ac:dyDescent="0.35">
      <c r="A24" s="13">
        <f t="shared" si="1"/>
        <v>45930</v>
      </c>
      <c r="B24">
        <v>1</v>
      </c>
      <c r="D24" s="14" t="s">
        <v>31</v>
      </c>
      <c r="E24" s="16" t="s">
        <v>41</v>
      </c>
      <c r="F24" s="16" t="s">
        <v>41</v>
      </c>
      <c r="G24" s="17"/>
      <c r="H24" s="84" t="s">
        <v>58</v>
      </c>
      <c r="I24" s="84" t="s">
        <v>157</v>
      </c>
      <c r="J24" s="88"/>
      <c r="K24" s="20">
        <f t="shared" si="2"/>
        <v>22</v>
      </c>
      <c r="M24" s="13">
        <f t="shared" si="3"/>
        <v>46599</v>
      </c>
      <c r="N24" s="13">
        <f t="shared" si="0"/>
        <v>46599</v>
      </c>
      <c r="O24" s="13">
        <f t="shared" si="0"/>
        <v>46599</v>
      </c>
      <c r="P24" s="24">
        <v>3833994024.2763772</v>
      </c>
      <c r="Q24" s="168"/>
      <c r="V24">
        <v>1</v>
      </c>
      <c r="W24" t="s">
        <v>33</v>
      </c>
      <c r="Y24" t="s">
        <v>33</v>
      </c>
      <c r="Z24" t="s">
        <v>34</v>
      </c>
      <c r="AA24">
        <v>1</v>
      </c>
    </row>
    <row r="25" spans="1:29" x14ac:dyDescent="0.35">
      <c r="A25" s="13">
        <f t="shared" si="1"/>
        <v>45930</v>
      </c>
      <c r="B25">
        <v>1</v>
      </c>
      <c r="D25" s="14" t="s">
        <v>31</v>
      </c>
      <c r="E25" s="16" t="s">
        <v>41</v>
      </c>
      <c r="F25" s="16" t="s">
        <v>41</v>
      </c>
      <c r="G25" s="17"/>
      <c r="H25" s="84" t="s">
        <v>58</v>
      </c>
      <c r="I25" s="84" t="s">
        <v>157</v>
      </c>
      <c r="J25" s="88"/>
      <c r="K25" s="20">
        <f t="shared" si="2"/>
        <v>23</v>
      </c>
      <c r="M25" s="13">
        <f t="shared" si="3"/>
        <v>46630</v>
      </c>
      <c r="N25" s="13">
        <f t="shared" si="0"/>
        <v>46630</v>
      </c>
      <c r="O25" s="13">
        <f t="shared" si="0"/>
        <v>46630</v>
      </c>
      <c r="P25" s="24">
        <v>3833994024.2763772</v>
      </c>
      <c r="Q25" s="168"/>
      <c r="V25">
        <v>1</v>
      </c>
      <c r="W25" t="s">
        <v>33</v>
      </c>
      <c r="Y25" t="s">
        <v>33</v>
      </c>
      <c r="Z25" t="s">
        <v>34</v>
      </c>
      <c r="AA25">
        <v>1</v>
      </c>
    </row>
    <row r="26" spans="1:29" x14ac:dyDescent="0.35">
      <c r="A26" s="13">
        <f t="shared" si="1"/>
        <v>45930</v>
      </c>
      <c r="B26">
        <v>1</v>
      </c>
      <c r="D26" s="14" t="s">
        <v>31</v>
      </c>
      <c r="E26" s="16" t="s">
        <v>41</v>
      </c>
      <c r="F26" s="16" t="s">
        <v>41</v>
      </c>
      <c r="G26" s="17"/>
      <c r="H26" s="84" t="s">
        <v>58</v>
      </c>
      <c r="I26" s="84" t="s">
        <v>157</v>
      </c>
      <c r="J26" s="88"/>
      <c r="K26" s="20">
        <f t="shared" si="2"/>
        <v>24</v>
      </c>
      <c r="M26" s="13">
        <f t="shared" si="3"/>
        <v>46660</v>
      </c>
      <c r="N26" s="13">
        <f t="shared" si="0"/>
        <v>46660</v>
      </c>
      <c r="O26" s="13">
        <f t="shared" si="0"/>
        <v>46660</v>
      </c>
      <c r="P26" s="24">
        <v>3833994024.2763772</v>
      </c>
      <c r="Q26" s="168"/>
      <c r="V26">
        <v>1</v>
      </c>
      <c r="W26" t="s">
        <v>33</v>
      </c>
      <c r="Y26" t="s">
        <v>33</v>
      </c>
      <c r="Z26" t="s">
        <v>34</v>
      </c>
      <c r="AA26">
        <v>1</v>
      </c>
    </row>
    <row r="27" spans="1:29" x14ac:dyDescent="0.35">
      <c r="A27" s="13">
        <f t="shared" si="1"/>
        <v>45930</v>
      </c>
      <c r="B27">
        <v>1</v>
      </c>
      <c r="D27" s="14" t="s">
        <v>31</v>
      </c>
      <c r="E27" s="16" t="s">
        <v>41</v>
      </c>
      <c r="F27" s="16" t="s">
        <v>41</v>
      </c>
      <c r="G27" s="17"/>
      <c r="H27" s="84" t="s">
        <v>58</v>
      </c>
      <c r="I27" s="84" t="s">
        <v>157</v>
      </c>
      <c r="J27" s="88"/>
      <c r="K27" s="20">
        <f t="shared" si="2"/>
        <v>25</v>
      </c>
      <c r="M27" s="13">
        <f t="shared" si="3"/>
        <v>46691</v>
      </c>
      <c r="N27" s="13">
        <f t="shared" si="0"/>
        <v>46691</v>
      </c>
      <c r="O27" s="13">
        <f t="shared" si="0"/>
        <v>46691</v>
      </c>
      <c r="P27" s="24">
        <v>3833994024.2763772</v>
      </c>
      <c r="Q27" s="168"/>
      <c r="V27">
        <v>1</v>
      </c>
      <c r="W27" t="s">
        <v>33</v>
      </c>
      <c r="Y27" t="s">
        <v>33</v>
      </c>
      <c r="Z27" t="s">
        <v>34</v>
      </c>
      <c r="AA27">
        <v>1</v>
      </c>
    </row>
    <row r="28" spans="1:29" x14ac:dyDescent="0.35">
      <c r="A28" s="13">
        <f t="shared" si="1"/>
        <v>45930</v>
      </c>
      <c r="B28">
        <v>1</v>
      </c>
      <c r="D28" s="14" t="s">
        <v>31</v>
      </c>
      <c r="E28" s="16" t="s">
        <v>41</v>
      </c>
      <c r="F28" s="16" t="s">
        <v>41</v>
      </c>
      <c r="G28" s="17"/>
      <c r="H28" s="84" t="s">
        <v>58</v>
      </c>
      <c r="I28" s="84" t="s">
        <v>157</v>
      </c>
      <c r="J28" s="88"/>
      <c r="K28" s="20">
        <f t="shared" si="2"/>
        <v>26</v>
      </c>
      <c r="M28" s="13">
        <f t="shared" si="3"/>
        <v>46721</v>
      </c>
      <c r="N28" s="13">
        <f t="shared" si="0"/>
        <v>46721</v>
      </c>
      <c r="O28" s="13">
        <f t="shared" si="0"/>
        <v>46721</v>
      </c>
      <c r="P28" s="24">
        <v>3833994024.2763772</v>
      </c>
      <c r="Q28" s="168"/>
      <c r="V28">
        <v>1</v>
      </c>
      <c r="W28" t="s">
        <v>33</v>
      </c>
      <c r="Y28" t="s">
        <v>33</v>
      </c>
      <c r="Z28" t="s">
        <v>34</v>
      </c>
      <c r="AA28">
        <v>1</v>
      </c>
    </row>
    <row r="29" spans="1:29" x14ac:dyDescent="0.35">
      <c r="A29" s="13">
        <f t="shared" si="1"/>
        <v>45930</v>
      </c>
      <c r="B29">
        <v>1</v>
      </c>
      <c r="D29" s="14" t="s">
        <v>31</v>
      </c>
      <c r="E29" s="16" t="s">
        <v>41</v>
      </c>
      <c r="F29" s="16" t="s">
        <v>41</v>
      </c>
      <c r="G29" s="17"/>
      <c r="H29" s="84" t="s">
        <v>58</v>
      </c>
      <c r="I29" s="84" t="s">
        <v>157</v>
      </c>
      <c r="J29" s="88"/>
      <c r="K29" s="20">
        <f t="shared" si="2"/>
        <v>27</v>
      </c>
      <c r="M29" s="13">
        <f t="shared" si="3"/>
        <v>46752</v>
      </c>
      <c r="N29" s="13">
        <f t="shared" si="0"/>
        <v>46752</v>
      </c>
      <c r="O29" s="13">
        <f t="shared" si="0"/>
        <v>46752</v>
      </c>
      <c r="P29" s="24">
        <v>3833994024.2763772</v>
      </c>
      <c r="Q29" s="168"/>
      <c r="V29">
        <v>1</v>
      </c>
      <c r="W29" t="s">
        <v>33</v>
      </c>
      <c r="Y29" t="s">
        <v>33</v>
      </c>
      <c r="Z29" t="s">
        <v>34</v>
      </c>
      <c r="AA29">
        <v>1</v>
      </c>
    </row>
    <row r="30" spans="1:29" x14ac:dyDescent="0.35">
      <c r="A30" s="13">
        <f t="shared" si="1"/>
        <v>45930</v>
      </c>
      <c r="B30">
        <v>1</v>
      </c>
      <c r="D30" s="14" t="s">
        <v>31</v>
      </c>
      <c r="E30" s="16" t="s">
        <v>41</v>
      </c>
      <c r="F30" s="16" t="s">
        <v>41</v>
      </c>
      <c r="G30" s="17"/>
      <c r="H30" s="84" t="s">
        <v>58</v>
      </c>
      <c r="I30" s="84" t="s">
        <v>157</v>
      </c>
      <c r="J30" s="88"/>
      <c r="K30" s="20">
        <f t="shared" si="2"/>
        <v>28</v>
      </c>
      <c r="M30" s="13">
        <f t="shared" si="3"/>
        <v>46783</v>
      </c>
      <c r="N30" s="13">
        <f t="shared" si="0"/>
        <v>46783</v>
      </c>
      <c r="O30" s="13">
        <f t="shared" si="0"/>
        <v>46783</v>
      </c>
      <c r="P30" s="24">
        <v>3833994024.2763772</v>
      </c>
      <c r="Q30" s="168"/>
      <c r="V30">
        <v>1</v>
      </c>
      <c r="W30" t="s">
        <v>33</v>
      </c>
      <c r="Y30" t="s">
        <v>33</v>
      </c>
      <c r="Z30" t="s">
        <v>34</v>
      </c>
      <c r="AA30">
        <v>1</v>
      </c>
    </row>
    <row r="31" spans="1:29" x14ac:dyDescent="0.35">
      <c r="A31" s="13">
        <f t="shared" si="1"/>
        <v>45930</v>
      </c>
      <c r="B31">
        <v>1</v>
      </c>
      <c r="D31" s="14" t="s">
        <v>31</v>
      </c>
      <c r="E31" s="16" t="s">
        <v>41</v>
      </c>
      <c r="F31" s="16" t="s">
        <v>41</v>
      </c>
      <c r="G31" s="17"/>
      <c r="H31" s="84" t="s">
        <v>58</v>
      </c>
      <c r="I31" s="84" t="s">
        <v>157</v>
      </c>
      <c r="J31" s="88"/>
      <c r="K31" s="20">
        <f t="shared" si="2"/>
        <v>29</v>
      </c>
      <c r="M31" s="13">
        <f t="shared" si="3"/>
        <v>46812</v>
      </c>
      <c r="N31" s="13">
        <f t="shared" si="0"/>
        <v>46812</v>
      </c>
      <c r="O31" s="13">
        <f t="shared" si="0"/>
        <v>46812</v>
      </c>
      <c r="P31" s="24">
        <v>3833994024.2763772</v>
      </c>
      <c r="Q31" s="168"/>
      <c r="V31">
        <v>1</v>
      </c>
      <c r="W31" t="s">
        <v>33</v>
      </c>
      <c r="Y31" t="s">
        <v>33</v>
      </c>
      <c r="Z31" t="s">
        <v>34</v>
      </c>
      <c r="AA31">
        <v>1</v>
      </c>
    </row>
    <row r="32" spans="1:29" x14ac:dyDescent="0.35">
      <c r="A32" s="13">
        <f t="shared" si="1"/>
        <v>45930</v>
      </c>
      <c r="B32">
        <v>1</v>
      </c>
      <c r="D32" s="14" t="s">
        <v>31</v>
      </c>
      <c r="E32" s="16" t="s">
        <v>41</v>
      </c>
      <c r="F32" s="16" t="s">
        <v>41</v>
      </c>
      <c r="G32" s="17"/>
      <c r="H32" s="84" t="s">
        <v>58</v>
      </c>
      <c r="I32" s="84" t="s">
        <v>157</v>
      </c>
      <c r="J32" s="88"/>
      <c r="K32" s="20">
        <f t="shared" si="2"/>
        <v>30</v>
      </c>
      <c r="M32" s="13">
        <f t="shared" si="3"/>
        <v>46843</v>
      </c>
      <c r="N32" s="13">
        <f t="shared" si="0"/>
        <v>46843</v>
      </c>
      <c r="O32" s="13">
        <f t="shared" si="0"/>
        <v>46843</v>
      </c>
      <c r="P32" s="24">
        <v>3833994024.2763772</v>
      </c>
      <c r="Q32" s="168"/>
      <c r="V32">
        <v>1</v>
      </c>
      <c r="W32" t="s">
        <v>33</v>
      </c>
      <c r="Y32" t="s">
        <v>33</v>
      </c>
      <c r="Z32" t="s">
        <v>34</v>
      </c>
      <c r="AA32">
        <v>1</v>
      </c>
    </row>
    <row r="33" spans="1:27" x14ac:dyDescent="0.35">
      <c r="A33" s="13">
        <f t="shared" si="1"/>
        <v>45930</v>
      </c>
      <c r="B33">
        <v>1</v>
      </c>
      <c r="D33" s="14" t="s">
        <v>31</v>
      </c>
      <c r="E33" s="16" t="s">
        <v>41</v>
      </c>
      <c r="F33" s="16" t="s">
        <v>41</v>
      </c>
      <c r="G33" s="17"/>
      <c r="H33" s="84" t="s">
        <v>58</v>
      </c>
      <c r="I33" s="84" t="s">
        <v>157</v>
      </c>
      <c r="J33" s="88"/>
      <c r="K33" s="20">
        <f t="shared" si="2"/>
        <v>31</v>
      </c>
      <c r="M33" s="13">
        <f t="shared" si="3"/>
        <v>46873</v>
      </c>
      <c r="N33" s="13">
        <f t="shared" si="0"/>
        <v>46873</v>
      </c>
      <c r="O33" s="13">
        <f t="shared" si="0"/>
        <v>46873</v>
      </c>
      <c r="P33" s="24">
        <v>3833994024.2763772</v>
      </c>
      <c r="Q33" s="168"/>
      <c r="V33">
        <v>1</v>
      </c>
      <c r="W33" t="s">
        <v>33</v>
      </c>
      <c r="Y33" t="s">
        <v>33</v>
      </c>
      <c r="Z33" t="s">
        <v>34</v>
      </c>
      <c r="AA33">
        <v>1</v>
      </c>
    </row>
    <row r="34" spans="1:27" x14ac:dyDescent="0.35">
      <c r="A34" s="13">
        <f t="shared" si="1"/>
        <v>45930</v>
      </c>
      <c r="B34">
        <v>1</v>
      </c>
      <c r="D34" s="14" t="s">
        <v>31</v>
      </c>
      <c r="E34" s="16" t="s">
        <v>41</v>
      </c>
      <c r="F34" s="16" t="s">
        <v>41</v>
      </c>
      <c r="G34" s="17"/>
      <c r="H34" s="84" t="s">
        <v>58</v>
      </c>
      <c r="I34" s="84" t="s">
        <v>157</v>
      </c>
      <c r="J34" s="88"/>
      <c r="K34" s="20">
        <f t="shared" si="2"/>
        <v>32</v>
      </c>
      <c r="M34" s="13">
        <f t="shared" si="3"/>
        <v>46904</v>
      </c>
      <c r="N34" s="13">
        <f t="shared" si="0"/>
        <v>46904</v>
      </c>
      <c r="O34" s="13">
        <f t="shared" si="0"/>
        <v>46904</v>
      </c>
      <c r="P34" s="24">
        <v>3833994024.2763772</v>
      </c>
      <c r="Q34" s="168"/>
      <c r="V34">
        <v>1</v>
      </c>
      <c r="W34" t="s">
        <v>33</v>
      </c>
      <c r="Y34" t="s">
        <v>33</v>
      </c>
      <c r="Z34" t="s">
        <v>34</v>
      </c>
      <c r="AA34">
        <v>1</v>
      </c>
    </row>
    <row r="35" spans="1:27" x14ac:dyDescent="0.35">
      <c r="A35" s="13">
        <f t="shared" si="1"/>
        <v>45930</v>
      </c>
      <c r="B35">
        <v>1</v>
      </c>
      <c r="D35" s="14" t="s">
        <v>31</v>
      </c>
      <c r="E35" s="16" t="s">
        <v>41</v>
      </c>
      <c r="F35" s="16" t="s">
        <v>41</v>
      </c>
      <c r="G35" s="17"/>
      <c r="H35" s="84" t="s">
        <v>58</v>
      </c>
      <c r="I35" s="84" t="s">
        <v>157</v>
      </c>
      <c r="J35" s="88"/>
      <c r="K35" s="20">
        <f t="shared" si="2"/>
        <v>33</v>
      </c>
      <c r="M35" s="13">
        <f t="shared" si="3"/>
        <v>46934</v>
      </c>
      <c r="N35" s="13">
        <f t="shared" si="0"/>
        <v>46934</v>
      </c>
      <c r="O35" s="13">
        <f t="shared" si="0"/>
        <v>46934</v>
      </c>
      <c r="P35" s="24">
        <v>260558730.15873015</v>
      </c>
      <c r="Q35" s="168"/>
      <c r="V35">
        <v>1</v>
      </c>
      <c r="W35" t="s">
        <v>33</v>
      </c>
      <c r="Y35" t="s">
        <v>33</v>
      </c>
      <c r="Z35" t="s">
        <v>34</v>
      </c>
      <c r="AA35">
        <v>1</v>
      </c>
    </row>
    <row r="36" spans="1:27" x14ac:dyDescent="0.35">
      <c r="A36" s="13">
        <f t="shared" si="1"/>
        <v>45930</v>
      </c>
      <c r="B36">
        <v>1</v>
      </c>
      <c r="D36" s="14" t="s">
        <v>31</v>
      </c>
      <c r="E36" s="16" t="s">
        <v>41</v>
      </c>
      <c r="F36" s="16" t="s">
        <v>41</v>
      </c>
      <c r="G36" s="17"/>
      <c r="H36" s="84" t="s">
        <v>58</v>
      </c>
      <c r="I36" s="84" t="s">
        <v>157</v>
      </c>
      <c r="J36" s="88"/>
      <c r="K36" s="20">
        <f t="shared" si="2"/>
        <v>34</v>
      </c>
      <c r="M36" s="13">
        <f t="shared" si="3"/>
        <v>46965</v>
      </c>
      <c r="N36" s="13">
        <f t="shared" si="0"/>
        <v>46965</v>
      </c>
      <c r="O36" s="13">
        <f t="shared" si="0"/>
        <v>46965</v>
      </c>
      <c r="P36" s="24">
        <v>260558730.15873015</v>
      </c>
      <c r="Q36" s="168"/>
      <c r="V36">
        <v>1</v>
      </c>
      <c r="W36" t="s">
        <v>33</v>
      </c>
      <c r="Y36" t="s">
        <v>33</v>
      </c>
      <c r="Z36" t="s">
        <v>34</v>
      </c>
      <c r="AA36">
        <v>1</v>
      </c>
    </row>
    <row r="37" spans="1:27" x14ac:dyDescent="0.35">
      <c r="A37" s="13">
        <f t="shared" ref="A37:A51" si="4">A36</f>
        <v>45930</v>
      </c>
      <c r="B37">
        <v>1</v>
      </c>
      <c r="D37" s="14" t="s">
        <v>31</v>
      </c>
      <c r="E37" s="16" t="s">
        <v>41</v>
      </c>
      <c r="F37" s="16" t="s">
        <v>41</v>
      </c>
      <c r="G37" s="17"/>
      <c r="H37" s="84" t="s">
        <v>58</v>
      </c>
      <c r="I37" s="84" t="s">
        <v>157</v>
      </c>
      <c r="J37" s="88"/>
      <c r="K37" s="20">
        <f t="shared" si="2"/>
        <v>35</v>
      </c>
      <c r="M37" s="13">
        <f>M3</f>
        <v>45961</v>
      </c>
      <c r="N37" s="13">
        <f>M37</f>
        <v>45961</v>
      </c>
      <c r="O37" s="13">
        <f>N37</f>
        <v>45961</v>
      </c>
      <c r="P37" s="24">
        <v>260558730.15873015</v>
      </c>
      <c r="Q37" s="168"/>
      <c r="V37">
        <v>1</v>
      </c>
      <c r="W37" t="s">
        <v>33</v>
      </c>
      <c r="Y37" t="s">
        <v>33</v>
      </c>
      <c r="Z37" t="s">
        <v>34</v>
      </c>
      <c r="AA37">
        <v>1</v>
      </c>
    </row>
    <row r="38" spans="1:27" x14ac:dyDescent="0.35">
      <c r="A38" s="13">
        <f t="shared" si="4"/>
        <v>45930</v>
      </c>
      <c r="B38">
        <v>1</v>
      </c>
      <c r="D38" s="14" t="s">
        <v>31</v>
      </c>
      <c r="E38" s="16" t="s">
        <v>41</v>
      </c>
      <c r="F38" s="16" t="s">
        <v>41</v>
      </c>
      <c r="G38" s="17"/>
      <c r="H38" s="84" t="s">
        <v>58</v>
      </c>
      <c r="I38" s="84" t="s">
        <v>157</v>
      </c>
      <c r="J38" s="88"/>
      <c r="K38" s="20">
        <f t="shared" si="2"/>
        <v>36</v>
      </c>
      <c r="M38" s="13">
        <f t="shared" ref="M38:M51" si="5">EOMONTH(M37,1)</f>
        <v>45991</v>
      </c>
      <c r="N38" s="13">
        <f t="shared" ref="N38:N49" si="6">M38</f>
        <v>45991</v>
      </c>
      <c r="O38" s="13">
        <f t="shared" ref="O38:O49" si="7">N38</f>
        <v>45991</v>
      </c>
      <c r="P38" s="24">
        <v>260558730.15873015</v>
      </c>
      <c r="Q38" s="168"/>
      <c r="V38">
        <v>1</v>
      </c>
      <c r="W38" t="s">
        <v>33</v>
      </c>
      <c r="Y38" t="s">
        <v>33</v>
      </c>
      <c r="Z38" t="s">
        <v>34</v>
      </c>
      <c r="AA38">
        <v>1</v>
      </c>
    </row>
    <row r="39" spans="1:27" x14ac:dyDescent="0.35">
      <c r="A39" s="13">
        <f t="shared" si="4"/>
        <v>45930</v>
      </c>
      <c r="B39">
        <v>1</v>
      </c>
      <c r="D39" s="14" t="s">
        <v>31</v>
      </c>
      <c r="E39" s="16" t="s">
        <v>41</v>
      </c>
      <c r="F39" s="16" t="s">
        <v>41</v>
      </c>
      <c r="G39" s="17"/>
      <c r="H39" s="84" t="s">
        <v>58</v>
      </c>
      <c r="I39" s="84" t="s">
        <v>157</v>
      </c>
      <c r="J39" s="88"/>
      <c r="K39" s="20">
        <f t="shared" si="2"/>
        <v>37</v>
      </c>
      <c r="M39" s="13">
        <f t="shared" si="5"/>
        <v>46022</v>
      </c>
      <c r="N39" s="13">
        <f t="shared" si="6"/>
        <v>46022</v>
      </c>
      <c r="O39" s="13">
        <f t="shared" si="7"/>
        <v>46022</v>
      </c>
      <c r="P39" s="24">
        <v>260558730.15873015</v>
      </c>
      <c r="Q39" s="168"/>
      <c r="V39">
        <v>1</v>
      </c>
      <c r="W39" t="s">
        <v>33</v>
      </c>
      <c r="Y39" t="s">
        <v>33</v>
      </c>
      <c r="Z39" t="s">
        <v>34</v>
      </c>
      <c r="AA39">
        <v>1</v>
      </c>
    </row>
    <row r="40" spans="1:27" x14ac:dyDescent="0.35">
      <c r="A40" s="13">
        <f t="shared" si="4"/>
        <v>45930</v>
      </c>
      <c r="B40">
        <v>1</v>
      </c>
      <c r="D40" s="14" t="s">
        <v>31</v>
      </c>
      <c r="E40" s="16" t="s">
        <v>41</v>
      </c>
      <c r="F40" s="16" t="s">
        <v>41</v>
      </c>
      <c r="G40" s="17"/>
      <c r="H40" s="84" t="s">
        <v>58</v>
      </c>
      <c r="I40" s="84" t="s">
        <v>157</v>
      </c>
      <c r="J40" s="88"/>
      <c r="K40" s="20">
        <f t="shared" si="2"/>
        <v>38</v>
      </c>
      <c r="M40" s="13">
        <f t="shared" si="5"/>
        <v>46053</v>
      </c>
      <c r="N40" s="13">
        <f t="shared" si="6"/>
        <v>46053</v>
      </c>
      <c r="O40" s="13">
        <f t="shared" si="7"/>
        <v>46053</v>
      </c>
      <c r="P40" s="24">
        <v>260558730.15873015</v>
      </c>
      <c r="Q40" s="168"/>
      <c r="V40">
        <v>1</v>
      </c>
      <c r="W40" t="s">
        <v>33</v>
      </c>
      <c r="Y40" t="s">
        <v>33</v>
      </c>
      <c r="Z40" t="s">
        <v>34</v>
      </c>
      <c r="AA40">
        <v>1</v>
      </c>
    </row>
    <row r="41" spans="1:27" x14ac:dyDescent="0.35">
      <c r="A41" s="13">
        <f t="shared" si="4"/>
        <v>45930</v>
      </c>
      <c r="B41">
        <v>1</v>
      </c>
      <c r="D41" s="14" t="s">
        <v>31</v>
      </c>
      <c r="E41" s="16" t="s">
        <v>41</v>
      </c>
      <c r="F41" s="16" t="s">
        <v>41</v>
      </c>
      <c r="G41" s="17"/>
      <c r="H41" s="84" t="s">
        <v>58</v>
      </c>
      <c r="I41" s="84" t="s">
        <v>157</v>
      </c>
      <c r="J41" s="88"/>
      <c r="K41" s="20">
        <f t="shared" si="2"/>
        <v>39</v>
      </c>
      <c r="M41" s="13">
        <f t="shared" si="5"/>
        <v>46081</v>
      </c>
      <c r="N41" s="13">
        <f t="shared" si="6"/>
        <v>46081</v>
      </c>
      <c r="O41" s="13">
        <f t="shared" si="7"/>
        <v>46081</v>
      </c>
      <c r="P41" s="24">
        <v>260558730.15873015</v>
      </c>
      <c r="Q41" s="168"/>
      <c r="V41">
        <v>1</v>
      </c>
      <c r="W41" t="s">
        <v>33</v>
      </c>
      <c r="Y41" t="s">
        <v>33</v>
      </c>
      <c r="Z41" t="s">
        <v>34</v>
      </c>
      <c r="AA41">
        <v>1</v>
      </c>
    </row>
    <row r="42" spans="1:27" x14ac:dyDescent="0.35">
      <c r="A42" s="13">
        <f t="shared" si="4"/>
        <v>45930</v>
      </c>
      <c r="B42">
        <v>1</v>
      </c>
      <c r="D42" s="14" t="s">
        <v>31</v>
      </c>
      <c r="E42" s="16" t="s">
        <v>41</v>
      </c>
      <c r="F42" s="16" t="s">
        <v>41</v>
      </c>
      <c r="G42" s="17"/>
      <c r="H42" s="84" t="s">
        <v>58</v>
      </c>
      <c r="I42" s="84" t="s">
        <v>157</v>
      </c>
      <c r="J42" s="88"/>
      <c r="K42" s="20">
        <f t="shared" si="2"/>
        <v>40</v>
      </c>
      <c r="M42" s="13">
        <f t="shared" si="5"/>
        <v>46112</v>
      </c>
      <c r="N42" s="13">
        <f t="shared" si="6"/>
        <v>46112</v>
      </c>
      <c r="O42" s="13">
        <f t="shared" si="7"/>
        <v>46112</v>
      </c>
      <c r="P42" s="24">
        <v>260558730.15873015</v>
      </c>
      <c r="Q42" s="168"/>
      <c r="V42">
        <v>1</v>
      </c>
      <c r="W42" t="s">
        <v>33</v>
      </c>
      <c r="Y42" t="s">
        <v>33</v>
      </c>
      <c r="Z42" t="s">
        <v>34</v>
      </c>
      <c r="AA42">
        <v>1</v>
      </c>
    </row>
    <row r="43" spans="1:27" x14ac:dyDescent="0.35">
      <c r="A43" s="13">
        <f t="shared" si="4"/>
        <v>45930</v>
      </c>
      <c r="B43">
        <v>1</v>
      </c>
      <c r="D43" s="14" t="s">
        <v>31</v>
      </c>
      <c r="E43" s="16" t="s">
        <v>41</v>
      </c>
      <c r="F43" s="16" t="s">
        <v>41</v>
      </c>
      <c r="G43" s="17"/>
      <c r="H43" s="84" t="s">
        <v>58</v>
      </c>
      <c r="I43" s="84" t="s">
        <v>157</v>
      </c>
      <c r="J43" s="88"/>
      <c r="K43" s="20">
        <f t="shared" si="2"/>
        <v>41</v>
      </c>
      <c r="M43" s="13">
        <f t="shared" si="5"/>
        <v>46142</v>
      </c>
      <c r="N43" s="13">
        <f t="shared" si="6"/>
        <v>46142</v>
      </c>
      <c r="O43" s="13">
        <f t="shared" si="7"/>
        <v>46142</v>
      </c>
      <c r="P43" s="24">
        <v>260558730.15873015</v>
      </c>
      <c r="Q43" s="168"/>
      <c r="V43">
        <v>1</v>
      </c>
      <c r="W43" t="s">
        <v>33</v>
      </c>
      <c r="Y43" t="s">
        <v>33</v>
      </c>
      <c r="Z43" t="s">
        <v>34</v>
      </c>
      <c r="AA43">
        <v>1</v>
      </c>
    </row>
    <row r="44" spans="1:27" x14ac:dyDescent="0.35">
      <c r="A44" s="13">
        <f t="shared" si="4"/>
        <v>45930</v>
      </c>
      <c r="B44">
        <v>1</v>
      </c>
      <c r="D44" s="14" t="s">
        <v>31</v>
      </c>
      <c r="E44" s="16" t="s">
        <v>41</v>
      </c>
      <c r="F44" s="16" t="s">
        <v>41</v>
      </c>
      <c r="G44" s="17"/>
      <c r="H44" s="84" t="s">
        <v>58</v>
      </c>
      <c r="I44" s="84" t="s">
        <v>157</v>
      </c>
      <c r="J44" s="88"/>
      <c r="K44" s="20">
        <f t="shared" si="2"/>
        <v>42</v>
      </c>
      <c r="M44" s="13">
        <f t="shared" si="5"/>
        <v>46173</v>
      </c>
      <c r="N44" s="13">
        <f t="shared" si="6"/>
        <v>46173</v>
      </c>
      <c r="O44" s="13">
        <f t="shared" si="7"/>
        <v>46173</v>
      </c>
      <c r="P44" s="24">
        <v>89162651.727357611</v>
      </c>
      <c r="Q44" s="168"/>
      <c r="V44">
        <v>1</v>
      </c>
      <c r="W44" t="s">
        <v>33</v>
      </c>
      <c r="Y44" t="s">
        <v>33</v>
      </c>
      <c r="Z44" t="s">
        <v>34</v>
      </c>
      <c r="AA44">
        <v>1</v>
      </c>
    </row>
    <row r="45" spans="1:27" x14ac:dyDescent="0.35">
      <c r="A45" s="13">
        <f t="shared" si="4"/>
        <v>45930</v>
      </c>
      <c r="B45">
        <v>1</v>
      </c>
      <c r="D45" s="14" t="s">
        <v>31</v>
      </c>
      <c r="E45" s="16" t="s">
        <v>41</v>
      </c>
      <c r="F45" s="16" t="s">
        <v>41</v>
      </c>
      <c r="G45" s="17"/>
      <c r="H45" s="84" t="s">
        <v>58</v>
      </c>
      <c r="I45" s="84" t="s">
        <v>157</v>
      </c>
      <c r="J45" s="88"/>
      <c r="K45" s="20">
        <f t="shared" si="2"/>
        <v>43</v>
      </c>
      <c r="M45" s="13">
        <f t="shared" si="5"/>
        <v>46203</v>
      </c>
      <c r="N45" s="13">
        <f t="shared" si="6"/>
        <v>46203</v>
      </c>
      <c r="O45" s="13">
        <f t="shared" si="7"/>
        <v>46203</v>
      </c>
      <c r="P45" s="24">
        <v>0</v>
      </c>
      <c r="V45">
        <v>1</v>
      </c>
      <c r="W45" t="s">
        <v>33</v>
      </c>
      <c r="Y45" t="s">
        <v>33</v>
      </c>
      <c r="Z45" t="s">
        <v>34</v>
      </c>
      <c r="AA45">
        <v>1</v>
      </c>
    </row>
    <row r="46" spans="1:27" x14ac:dyDescent="0.35">
      <c r="A46" s="13">
        <f t="shared" si="4"/>
        <v>45930</v>
      </c>
      <c r="B46">
        <v>1</v>
      </c>
      <c r="D46" s="14" t="s">
        <v>31</v>
      </c>
      <c r="E46" s="16" t="s">
        <v>41</v>
      </c>
      <c r="F46" s="16" t="s">
        <v>41</v>
      </c>
      <c r="G46" s="17"/>
      <c r="H46" s="84" t="s">
        <v>58</v>
      </c>
      <c r="I46" s="84" t="s">
        <v>157</v>
      </c>
      <c r="J46" s="88"/>
      <c r="K46" s="20">
        <f t="shared" si="2"/>
        <v>44</v>
      </c>
      <c r="M46" s="13">
        <f t="shared" si="5"/>
        <v>46234</v>
      </c>
      <c r="N46" s="13">
        <f t="shared" si="6"/>
        <v>46234</v>
      </c>
      <c r="O46" s="13">
        <f t="shared" si="7"/>
        <v>46234</v>
      </c>
      <c r="P46" s="24">
        <v>0</v>
      </c>
      <c r="V46">
        <v>1</v>
      </c>
      <c r="W46" t="s">
        <v>33</v>
      </c>
      <c r="Y46" t="s">
        <v>33</v>
      </c>
      <c r="Z46" t="s">
        <v>34</v>
      </c>
      <c r="AA46">
        <v>1</v>
      </c>
    </row>
    <row r="47" spans="1:27" x14ac:dyDescent="0.35">
      <c r="A47" s="13">
        <f t="shared" si="4"/>
        <v>45930</v>
      </c>
      <c r="B47">
        <v>1</v>
      </c>
      <c r="D47" s="14" t="s">
        <v>31</v>
      </c>
      <c r="E47" s="16" t="s">
        <v>41</v>
      </c>
      <c r="F47" s="16" t="s">
        <v>41</v>
      </c>
      <c r="G47" s="17"/>
      <c r="H47" s="84" t="s">
        <v>58</v>
      </c>
      <c r="I47" s="84" t="s">
        <v>157</v>
      </c>
      <c r="J47" s="88"/>
      <c r="K47" s="20">
        <f t="shared" si="2"/>
        <v>45</v>
      </c>
      <c r="M47" s="13">
        <f t="shared" si="5"/>
        <v>46265</v>
      </c>
      <c r="N47" s="13">
        <f t="shared" si="6"/>
        <v>46265</v>
      </c>
      <c r="O47" s="13">
        <f t="shared" si="7"/>
        <v>46265</v>
      </c>
      <c r="P47" s="24">
        <v>0</v>
      </c>
      <c r="V47">
        <v>1</v>
      </c>
      <c r="W47" t="s">
        <v>33</v>
      </c>
      <c r="Y47" t="s">
        <v>33</v>
      </c>
      <c r="Z47" t="s">
        <v>34</v>
      </c>
      <c r="AA47">
        <v>1</v>
      </c>
    </row>
    <row r="48" spans="1:27" x14ac:dyDescent="0.35">
      <c r="A48" s="13">
        <f t="shared" si="4"/>
        <v>45930</v>
      </c>
      <c r="B48">
        <v>1</v>
      </c>
      <c r="D48" s="14" t="s">
        <v>31</v>
      </c>
      <c r="E48" s="16" t="s">
        <v>41</v>
      </c>
      <c r="F48" s="16" t="s">
        <v>41</v>
      </c>
      <c r="G48" s="17"/>
      <c r="H48" s="84" t="s">
        <v>58</v>
      </c>
      <c r="I48" s="84" t="s">
        <v>157</v>
      </c>
      <c r="J48" s="88"/>
      <c r="K48" s="20">
        <f t="shared" si="2"/>
        <v>46</v>
      </c>
      <c r="M48" s="13">
        <f t="shared" si="5"/>
        <v>46295</v>
      </c>
      <c r="N48" s="13">
        <f t="shared" si="6"/>
        <v>46295</v>
      </c>
      <c r="O48" s="13">
        <f t="shared" si="7"/>
        <v>46295</v>
      </c>
      <c r="P48" s="24">
        <v>0</v>
      </c>
      <c r="V48">
        <v>1</v>
      </c>
      <c r="W48" t="s">
        <v>33</v>
      </c>
      <c r="Y48" t="s">
        <v>33</v>
      </c>
      <c r="Z48" t="s">
        <v>34</v>
      </c>
      <c r="AA48">
        <v>1</v>
      </c>
    </row>
    <row r="49" spans="1:27" x14ac:dyDescent="0.35">
      <c r="A49" s="13">
        <f t="shared" si="4"/>
        <v>45930</v>
      </c>
      <c r="B49">
        <v>1</v>
      </c>
      <c r="D49" s="14" t="s">
        <v>31</v>
      </c>
      <c r="E49" s="16" t="s">
        <v>41</v>
      </c>
      <c r="F49" s="16" t="s">
        <v>41</v>
      </c>
      <c r="G49" s="17"/>
      <c r="H49" s="84" t="s">
        <v>58</v>
      </c>
      <c r="I49" s="84" t="s">
        <v>157</v>
      </c>
      <c r="J49" s="88"/>
      <c r="K49" s="20">
        <f t="shared" si="2"/>
        <v>47</v>
      </c>
      <c r="M49" s="13">
        <f t="shared" si="5"/>
        <v>46326</v>
      </c>
      <c r="N49" s="13">
        <f t="shared" si="6"/>
        <v>46326</v>
      </c>
      <c r="O49" s="13">
        <f t="shared" si="7"/>
        <v>46326</v>
      </c>
      <c r="P49" s="24">
        <v>0</v>
      </c>
      <c r="V49">
        <v>1</v>
      </c>
      <c r="W49" t="s">
        <v>33</v>
      </c>
      <c r="Y49" t="s">
        <v>33</v>
      </c>
      <c r="Z49" t="s">
        <v>34</v>
      </c>
      <c r="AA49">
        <v>1</v>
      </c>
    </row>
    <row r="50" spans="1:27" x14ac:dyDescent="0.35">
      <c r="A50" s="13">
        <f t="shared" si="4"/>
        <v>45930</v>
      </c>
      <c r="B50">
        <v>1</v>
      </c>
      <c r="D50" s="14" t="s">
        <v>31</v>
      </c>
      <c r="E50" s="16" t="s">
        <v>41</v>
      </c>
      <c r="F50" s="16" t="s">
        <v>41</v>
      </c>
      <c r="G50" s="17"/>
      <c r="H50" s="85" t="s">
        <v>58</v>
      </c>
      <c r="I50" s="85" t="s">
        <v>156</v>
      </c>
      <c r="J50" s="87"/>
      <c r="K50" s="20">
        <f t="shared" si="2"/>
        <v>48</v>
      </c>
      <c r="M50" s="13">
        <f t="shared" si="5"/>
        <v>46356</v>
      </c>
      <c r="N50" s="13">
        <f t="shared" ref="N50:N51" si="8">M50</f>
        <v>46356</v>
      </c>
      <c r="O50" s="13">
        <f t="shared" ref="O50:O51" si="9">N50</f>
        <v>46356</v>
      </c>
      <c r="P50" s="24">
        <v>0</v>
      </c>
      <c r="V50">
        <v>1</v>
      </c>
      <c r="W50" t="s">
        <v>33</v>
      </c>
      <c r="Y50" t="s">
        <v>33</v>
      </c>
      <c r="Z50" t="s">
        <v>34</v>
      </c>
      <c r="AA50">
        <v>1</v>
      </c>
    </row>
    <row r="51" spans="1:27" x14ac:dyDescent="0.35">
      <c r="A51" s="13">
        <f t="shared" si="4"/>
        <v>45930</v>
      </c>
      <c r="B51">
        <v>1</v>
      </c>
      <c r="D51" s="14" t="s">
        <v>31</v>
      </c>
      <c r="E51" s="16" t="s">
        <v>41</v>
      </c>
      <c r="F51" s="16" t="s">
        <v>41</v>
      </c>
      <c r="G51" s="17"/>
      <c r="H51" s="85" t="s">
        <v>58</v>
      </c>
      <c r="I51" s="85" t="s">
        <v>156</v>
      </c>
      <c r="J51" s="87"/>
      <c r="K51" s="20">
        <f t="shared" si="2"/>
        <v>49</v>
      </c>
      <c r="M51" s="13">
        <f t="shared" si="5"/>
        <v>46387</v>
      </c>
      <c r="N51" s="13">
        <f t="shared" si="8"/>
        <v>46387</v>
      </c>
      <c r="O51" s="13">
        <f t="shared" si="9"/>
        <v>46387</v>
      </c>
      <c r="P51" s="24">
        <f>IF(K51&lt;Montos!$C$43,Montos!$E$43,0)+IF(K51&lt;=Montos!$F$43,Montos!$G$43,0)</f>
        <v>0</v>
      </c>
      <c r="V51">
        <v>1</v>
      </c>
      <c r="W51" t="s">
        <v>33</v>
      </c>
      <c r="Y51" t="s">
        <v>33</v>
      </c>
      <c r="Z51" t="s">
        <v>34</v>
      </c>
      <c r="AA51">
        <v>1</v>
      </c>
    </row>
    <row r="52" spans="1:27" x14ac:dyDescent="0.35">
      <c r="A52" s="13"/>
      <c r="D52" s="14"/>
      <c r="E52" s="16"/>
      <c r="F52" s="16"/>
      <c r="G52" s="17"/>
      <c r="H52" s="31"/>
      <c r="I52" s="31"/>
      <c r="K52" s="20"/>
      <c r="M52" s="13"/>
      <c r="N52" s="13"/>
      <c r="O52" s="13"/>
      <c r="P52" s="24"/>
    </row>
    <row r="53" spans="1:27" x14ac:dyDescent="0.35">
      <c r="A53" s="13"/>
      <c r="D53" s="14"/>
      <c r="E53" s="16"/>
      <c r="F53" s="16"/>
      <c r="G53" s="17"/>
      <c r="H53" s="31"/>
      <c r="I53" s="31"/>
      <c r="K53" s="20"/>
      <c r="M53" s="24"/>
      <c r="N53" s="13"/>
      <c r="O53" s="13"/>
      <c r="P53" s="24"/>
    </row>
    <row r="54" spans="1:27" x14ac:dyDescent="0.35">
      <c r="A54" s="13"/>
      <c r="D54" s="14"/>
      <c r="E54" s="16"/>
      <c r="F54" s="16"/>
      <c r="G54" s="17"/>
      <c r="H54" s="31"/>
      <c r="I54" s="31"/>
      <c r="K54" s="20"/>
      <c r="M54" s="24"/>
      <c r="N54" s="13"/>
      <c r="O54" s="13"/>
      <c r="P54" s="24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5">
    <tabColor rgb="FFFFFF00"/>
  </sheetPr>
  <dimension ref="A1:AE325"/>
  <sheetViews>
    <sheetView workbookViewId="0">
      <selection activeCell="A2" sqref="A2:AE296"/>
    </sheetView>
  </sheetViews>
  <sheetFormatPr baseColWidth="10" defaultRowHeight="14.5" x14ac:dyDescent="0.35"/>
  <cols>
    <col min="8" max="8" width="19.1796875" bestFit="1" customWidth="1"/>
    <col min="9" max="9" width="27.1796875" bestFit="1" customWidth="1"/>
  </cols>
  <sheetData>
    <row r="1" spans="1:31" x14ac:dyDescent="0.35">
      <c r="A1" s="1" t="s">
        <v>0</v>
      </c>
      <c r="B1" s="2" t="s">
        <v>1</v>
      </c>
      <c r="C1" s="2" t="s">
        <v>2</v>
      </c>
      <c r="D1" s="3" t="s">
        <v>3</v>
      </c>
      <c r="E1" s="4" t="s">
        <v>4</v>
      </c>
      <c r="F1" s="5" t="s">
        <v>5</v>
      </c>
      <c r="G1" s="6" t="s">
        <v>6</v>
      </c>
      <c r="H1" s="1" t="s">
        <v>7</v>
      </c>
      <c r="I1" s="7" t="s">
        <v>8</v>
      </c>
      <c r="J1" s="8" t="s">
        <v>9</v>
      </c>
      <c r="K1" s="9" t="s">
        <v>10</v>
      </c>
      <c r="L1" s="10" t="s">
        <v>11</v>
      </c>
      <c r="M1" s="1" t="s">
        <v>12</v>
      </c>
      <c r="N1" s="11" t="s">
        <v>13</v>
      </c>
      <c r="O1" s="11" t="s">
        <v>14</v>
      </c>
      <c r="P1" s="7" t="s">
        <v>15</v>
      </c>
      <c r="Q1" s="7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12" t="s">
        <v>21</v>
      </c>
      <c r="W1" s="12" t="s">
        <v>22</v>
      </c>
      <c r="X1" s="2" t="s">
        <v>23</v>
      </c>
      <c r="Y1" s="12" t="s">
        <v>24</v>
      </c>
      <c r="Z1" s="2" t="s">
        <v>25</v>
      </c>
      <c r="AA1" s="2" t="s">
        <v>26</v>
      </c>
      <c r="AB1" s="2" t="s">
        <v>27</v>
      </c>
      <c r="AC1" s="4" t="s">
        <v>28</v>
      </c>
      <c r="AD1" s="2" t="s">
        <v>29</v>
      </c>
      <c r="AE1" s="2" t="s">
        <v>30</v>
      </c>
    </row>
    <row r="2" spans="1:31" x14ac:dyDescent="0.35">
      <c r="A2" s="13">
        <f>Cta_Cte!A3</f>
        <v>45930</v>
      </c>
      <c r="B2">
        <v>1</v>
      </c>
      <c r="D2" s="14" t="s">
        <v>31</v>
      </c>
      <c r="E2" s="15" t="s">
        <v>32</v>
      </c>
      <c r="F2" s="16" t="s">
        <v>32</v>
      </c>
      <c r="G2" s="17"/>
      <c r="H2" s="31" t="s">
        <v>59</v>
      </c>
      <c r="I2" s="31" t="s">
        <v>60</v>
      </c>
      <c r="J2" s="19"/>
      <c r="K2" s="20"/>
      <c r="L2" s="21"/>
      <c r="M2" s="13">
        <f>A2+1</f>
        <v>45931</v>
      </c>
      <c r="N2" s="13">
        <f>M2</f>
        <v>45931</v>
      </c>
      <c r="O2" s="13">
        <f>N2</f>
        <v>45931</v>
      </c>
      <c r="P2" s="18">
        <f>Montos!E5</f>
        <v>974142</v>
      </c>
      <c r="Q2" s="18"/>
      <c r="V2">
        <v>1</v>
      </c>
      <c r="W2" t="s">
        <v>33</v>
      </c>
      <c r="Y2" t="s">
        <v>33</v>
      </c>
      <c r="Z2" t="s">
        <v>34</v>
      </c>
      <c r="AA2">
        <v>1</v>
      </c>
      <c r="AC2" s="15"/>
    </row>
    <row r="3" spans="1:31" x14ac:dyDescent="0.35">
      <c r="A3" s="13">
        <f>A2</f>
        <v>45930</v>
      </c>
      <c r="B3">
        <v>1</v>
      </c>
      <c r="D3" s="14" t="s">
        <v>31</v>
      </c>
      <c r="E3" s="15" t="s">
        <v>32</v>
      </c>
      <c r="F3" s="16" t="s">
        <v>32</v>
      </c>
      <c r="G3" s="17"/>
      <c r="H3" s="84" t="s">
        <v>59</v>
      </c>
      <c r="I3" s="84" t="s">
        <v>159</v>
      </c>
      <c r="J3" s="90"/>
      <c r="K3" s="91">
        <v>1</v>
      </c>
      <c r="L3" s="92"/>
      <c r="M3" s="93">
        <f>Cta_Cte!M4</f>
        <v>45961</v>
      </c>
      <c r="N3" s="93">
        <f t="shared" ref="N3:N67" si="0">M3</f>
        <v>45961</v>
      </c>
      <c r="O3" s="93">
        <f t="shared" ref="O3:O66" si="1">N3</f>
        <v>45961</v>
      </c>
      <c r="P3" s="94">
        <v>26803.587027067224</v>
      </c>
      <c r="Q3" s="168"/>
      <c r="V3">
        <v>1</v>
      </c>
      <c r="W3" t="s">
        <v>33</v>
      </c>
      <c r="Y3" t="s">
        <v>33</v>
      </c>
      <c r="Z3" t="s">
        <v>34</v>
      </c>
      <c r="AA3">
        <v>1</v>
      </c>
      <c r="AC3" s="15"/>
    </row>
    <row r="4" spans="1:31" x14ac:dyDescent="0.35">
      <c r="A4" s="13">
        <f t="shared" ref="A4:A67" si="2">A3</f>
        <v>45930</v>
      </c>
      <c r="B4">
        <v>1</v>
      </c>
      <c r="D4" s="14" t="s">
        <v>31</v>
      </c>
      <c r="E4" s="15" t="s">
        <v>32</v>
      </c>
      <c r="F4" s="16" t="s">
        <v>32</v>
      </c>
      <c r="G4" s="17"/>
      <c r="H4" s="84" t="s">
        <v>59</v>
      </c>
      <c r="I4" s="84" t="s">
        <v>159</v>
      </c>
      <c r="J4" s="88"/>
      <c r="K4" s="91">
        <f>K3+1</f>
        <v>2</v>
      </c>
      <c r="L4" s="88"/>
      <c r="M4" s="93">
        <f>EOMONTH(M3,1)</f>
        <v>45991</v>
      </c>
      <c r="N4" s="93">
        <f t="shared" si="0"/>
        <v>45991</v>
      </c>
      <c r="O4" s="93">
        <f t="shared" si="1"/>
        <v>45991</v>
      </c>
      <c r="P4" s="94">
        <v>26803.587027067224</v>
      </c>
      <c r="Q4" s="168"/>
      <c r="V4">
        <v>1</v>
      </c>
      <c r="W4" t="s">
        <v>33</v>
      </c>
      <c r="Y4" t="s">
        <v>33</v>
      </c>
      <c r="Z4" t="s">
        <v>34</v>
      </c>
      <c r="AA4">
        <v>1</v>
      </c>
      <c r="AC4" s="15"/>
    </row>
    <row r="5" spans="1:31" x14ac:dyDescent="0.35">
      <c r="A5" s="13">
        <f t="shared" si="2"/>
        <v>45930</v>
      </c>
      <c r="B5">
        <v>1</v>
      </c>
      <c r="D5" s="14" t="s">
        <v>31</v>
      </c>
      <c r="E5" s="15" t="s">
        <v>32</v>
      </c>
      <c r="F5" s="16" t="s">
        <v>32</v>
      </c>
      <c r="G5" s="17"/>
      <c r="H5" s="84" t="s">
        <v>59</v>
      </c>
      <c r="I5" s="84" t="s">
        <v>159</v>
      </c>
      <c r="J5" s="88"/>
      <c r="K5" s="91">
        <f t="shared" ref="K5" si="3">K4+1</f>
        <v>3</v>
      </c>
      <c r="L5" s="88"/>
      <c r="M5" s="93">
        <f t="shared" ref="M5:M68" si="4">EOMONTH(M4,1)</f>
        <v>46022</v>
      </c>
      <c r="N5" s="93">
        <f t="shared" si="0"/>
        <v>46022</v>
      </c>
      <c r="O5" s="93">
        <f t="shared" si="1"/>
        <v>46022</v>
      </c>
      <c r="P5" s="94">
        <v>26803.587027067224</v>
      </c>
      <c r="Q5" s="168"/>
      <c r="V5">
        <v>1</v>
      </c>
      <c r="W5" t="s">
        <v>33</v>
      </c>
      <c r="Y5" t="s">
        <v>33</v>
      </c>
      <c r="Z5" t="s">
        <v>34</v>
      </c>
      <c r="AA5">
        <v>1</v>
      </c>
      <c r="AC5" s="15"/>
    </row>
    <row r="6" spans="1:31" x14ac:dyDescent="0.35">
      <c r="A6" s="13">
        <f t="shared" si="2"/>
        <v>45930</v>
      </c>
      <c r="B6">
        <v>1</v>
      </c>
      <c r="D6" s="14" t="s">
        <v>31</v>
      </c>
      <c r="E6" s="15" t="s">
        <v>32</v>
      </c>
      <c r="F6" s="16" t="s">
        <v>32</v>
      </c>
      <c r="G6" s="17"/>
      <c r="H6" s="84" t="s">
        <v>59</v>
      </c>
      <c r="I6" s="84" t="s">
        <v>159</v>
      </c>
      <c r="J6" s="88"/>
      <c r="K6" s="91">
        <f t="shared" ref="K6:K32" si="5">K5+1</f>
        <v>4</v>
      </c>
      <c r="L6" s="88"/>
      <c r="M6" s="93">
        <f t="shared" si="4"/>
        <v>46053</v>
      </c>
      <c r="N6" s="93">
        <f t="shared" si="0"/>
        <v>46053</v>
      </c>
      <c r="O6" s="93">
        <f t="shared" si="1"/>
        <v>46053</v>
      </c>
      <c r="P6" s="94">
        <v>26803.587027067224</v>
      </c>
      <c r="Q6" s="168"/>
      <c r="V6">
        <v>1</v>
      </c>
      <c r="W6" t="s">
        <v>33</v>
      </c>
      <c r="Y6" t="s">
        <v>33</v>
      </c>
      <c r="Z6" t="s">
        <v>34</v>
      </c>
      <c r="AA6">
        <v>1</v>
      </c>
      <c r="AC6" s="15"/>
    </row>
    <row r="7" spans="1:31" x14ac:dyDescent="0.35">
      <c r="A7" s="13">
        <f t="shared" si="2"/>
        <v>45930</v>
      </c>
      <c r="B7">
        <v>1</v>
      </c>
      <c r="D7" s="14" t="s">
        <v>31</v>
      </c>
      <c r="E7" s="15" t="s">
        <v>32</v>
      </c>
      <c r="F7" s="16" t="s">
        <v>32</v>
      </c>
      <c r="G7" s="17"/>
      <c r="H7" s="84" t="s">
        <v>59</v>
      </c>
      <c r="I7" s="84" t="s">
        <v>159</v>
      </c>
      <c r="J7" s="88"/>
      <c r="K7" s="91">
        <f t="shared" si="5"/>
        <v>5</v>
      </c>
      <c r="L7" s="88"/>
      <c r="M7" s="93">
        <f t="shared" si="4"/>
        <v>46081</v>
      </c>
      <c r="N7" s="93">
        <f t="shared" si="0"/>
        <v>46081</v>
      </c>
      <c r="O7" s="93">
        <f t="shared" si="1"/>
        <v>46081</v>
      </c>
      <c r="P7" s="94">
        <v>26803.587027067224</v>
      </c>
      <c r="Q7" s="168"/>
      <c r="V7">
        <v>1</v>
      </c>
      <c r="W7" t="s">
        <v>33</v>
      </c>
      <c r="Y7" t="s">
        <v>33</v>
      </c>
      <c r="Z7" t="s">
        <v>34</v>
      </c>
      <c r="AA7">
        <v>1</v>
      </c>
      <c r="AC7" s="15"/>
    </row>
    <row r="8" spans="1:31" x14ac:dyDescent="0.35">
      <c r="A8" s="13">
        <f t="shared" si="2"/>
        <v>45930</v>
      </c>
      <c r="B8">
        <v>1</v>
      </c>
      <c r="D8" s="14" t="s">
        <v>31</v>
      </c>
      <c r="E8" s="15" t="s">
        <v>32</v>
      </c>
      <c r="F8" s="16" t="s">
        <v>32</v>
      </c>
      <c r="G8" s="17"/>
      <c r="H8" s="84" t="s">
        <v>59</v>
      </c>
      <c r="I8" s="84" t="s">
        <v>159</v>
      </c>
      <c r="J8" s="88"/>
      <c r="K8" s="91">
        <f t="shared" si="5"/>
        <v>6</v>
      </c>
      <c r="L8" s="88"/>
      <c r="M8" s="93">
        <f t="shared" si="4"/>
        <v>46112</v>
      </c>
      <c r="N8" s="93">
        <f t="shared" si="0"/>
        <v>46112</v>
      </c>
      <c r="O8" s="93">
        <f t="shared" si="1"/>
        <v>46112</v>
      </c>
      <c r="P8" s="94">
        <v>26803.587027067224</v>
      </c>
      <c r="Q8" s="168"/>
      <c r="V8">
        <v>1</v>
      </c>
      <c r="W8" t="s">
        <v>33</v>
      </c>
      <c r="Y8" t="s">
        <v>33</v>
      </c>
      <c r="Z8" t="s">
        <v>34</v>
      </c>
      <c r="AA8">
        <v>1</v>
      </c>
      <c r="AC8" s="15"/>
    </row>
    <row r="9" spans="1:31" x14ac:dyDescent="0.35">
      <c r="A9" s="13">
        <f t="shared" si="2"/>
        <v>45930</v>
      </c>
      <c r="B9">
        <v>1</v>
      </c>
      <c r="D9" s="14" t="s">
        <v>31</v>
      </c>
      <c r="E9" s="15" t="s">
        <v>32</v>
      </c>
      <c r="F9" s="16" t="s">
        <v>32</v>
      </c>
      <c r="G9" s="17"/>
      <c r="H9" s="84" t="s">
        <v>59</v>
      </c>
      <c r="I9" s="84" t="s">
        <v>159</v>
      </c>
      <c r="J9" s="88"/>
      <c r="K9" s="91">
        <f t="shared" si="5"/>
        <v>7</v>
      </c>
      <c r="L9" s="88"/>
      <c r="M9" s="93">
        <f t="shared" si="4"/>
        <v>46142</v>
      </c>
      <c r="N9" s="93">
        <f t="shared" si="0"/>
        <v>46142</v>
      </c>
      <c r="O9" s="93">
        <f t="shared" si="1"/>
        <v>46142</v>
      </c>
      <c r="P9" s="94">
        <v>26803.587027067224</v>
      </c>
      <c r="Q9" s="168"/>
      <c r="V9">
        <v>1</v>
      </c>
      <c r="W9" t="s">
        <v>33</v>
      </c>
      <c r="Y9" t="s">
        <v>33</v>
      </c>
      <c r="Z9" t="s">
        <v>34</v>
      </c>
      <c r="AA9">
        <v>1</v>
      </c>
      <c r="AC9" s="15"/>
    </row>
    <row r="10" spans="1:31" x14ac:dyDescent="0.35">
      <c r="A10" s="13">
        <f t="shared" si="2"/>
        <v>45930</v>
      </c>
      <c r="B10">
        <v>1</v>
      </c>
      <c r="D10" s="14" t="s">
        <v>31</v>
      </c>
      <c r="E10" s="15" t="s">
        <v>32</v>
      </c>
      <c r="F10" s="16" t="s">
        <v>32</v>
      </c>
      <c r="G10" s="17"/>
      <c r="H10" s="84" t="s">
        <v>59</v>
      </c>
      <c r="I10" s="84" t="s">
        <v>159</v>
      </c>
      <c r="J10" s="88"/>
      <c r="K10" s="91">
        <f t="shared" si="5"/>
        <v>8</v>
      </c>
      <c r="L10" s="88"/>
      <c r="M10" s="93">
        <f t="shared" si="4"/>
        <v>46173</v>
      </c>
      <c r="N10" s="93">
        <f t="shared" si="0"/>
        <v>46173</v>
      </c>
      <c r="O10" s="93">
        <f t="shared" si="1"/>
        <v>46173</v>
      </c>
      <c r="P10" s="94">
        <v>26803.587027067224</v>
      </c>
      <c r="Q10" s="168"/>
      <c r="V10">
        <v>1</v>
      </c>
      <c r="W10" t="s">
        <v>33</v>
      </c>
      <c r="Y10" t="s">
        <v>33</v>
      </c>
      <c r="Z10" t="s">
        <v>34</v>
      </c>
      <c r="AA10">
        <v>1</v>
      </c>
      <c r="AC10" s="15"/>
    </row>
    <row r="11" spans="1:31" x14ac:dyDescent="0.35">
      <c r="A11" s="13">
        <f t="shared" si="2"/>
        <v>45930</v>
      </c>
      <c r="B11">
        <v>1</v>
      </c>
      <c r="D11" s="14" t="s">
        <v>31</v>
      </c>
      <c r="E11" s="15" t="s">
        <v>32</v>
      </c>
      <c r="F11" s="16" t="s">
        <v>32</v>
      </c>
      <c r="G11" s="17"/>
      <c r="H11" s="84" t="s">
        <v>59</v>
      </c>
      <c r="I11" s="84" t="s">
        <v>159</v>
      </c>
      <c r="J11" s="88"/>
      <c r="K11" s="91">
        <f t="shared" si="5"/>
        <v>9</v>
      </c>
      <c r="L11" s="88"/>
      <c r="M11" s="93">
        <f t="shared" si="4"/>
        <v>46203</v>
      </c>
      <c r="N11" s="93">
        <f t="shared" si="0"/>
        <v>46203</v>
      </c>
      <c r="O11" s="93">
        <f t="shared" si="1"/>
        <v>46203</v>
      </c>
      <c r="P11" s="94">
        <v>26803.587027067224</v>
      </c>
      <c r="Q11" s="168"/>
      <c r="V11">
        <v>1</v>
      </c>
      <c r="W11" t="s">
        <v>33</v>
      </c>
      <c r="Y11" t="s">
        <v>33</v>
      </c>
      <c r="Z11" t="s">
        <v>34</v>
      </c>
      <c r="AA11">
        <v>1</v>
      </c>
      <c r="AC11" s="15"/>
    </row>
    <row r="12" spans="1:31" x14ac:dyDescent="0.35">
      <c r="A12" s="13">
        <f t="shared" si="2"/>
        <v>45930</v>
      </c>
      <c r="B12">
        <v>1</v>
      </c>
      <c r="D12" s="14" t="s">
        <v>31</v>
      </c>
      <c r="E12" s="15" t="s">
        <v>32</v>
      </c>
      <c r="F12" s="16" t="s">
        <v>32</v>
      </c>
      <c r="G12" s="17"/>
      <c r="H12" s="84" t="s">
        <v>59</v>
      </c>
      <c r="I12" s="84" t="s">
        <v>159</v>
      </c>
      <c r="J12" s="88"/>
      <c r="K12" s="91">
        <f t="shared" si="5"/>
        <v>10</v>
      </c>
      <c r="L12" s="88"/>
      <c r="M12" s="93">
        <f t="shared" si="4"/>
        <v>46234</v>
      </c>
      <c r="N12" s="93">
        <f t="shared" si="0"/>
        <v>46234</v>
      </c>
      <c r="O12" s="93">
        <f t="shared" si="1"/>
        <v>46234</v>
      </c>
      <c r="P12" s="94">
        <v>26803.587027067224</v>
      </c>
      <c r="Q12" s="168"/>
      <c r="V12">
        <v>1</v>
      </c>
      <c r="W12" t="s">
        <v>33</v>
      </c>
      <c r="Y12" t="s">
        <v>33</v>
      </c>
      <c r="Z12" t="s">
        <v>34</v>
      </c>
      <c r="AA12">
        <v>1</v>
      </c>
      <c r="AC12" s="15"/>
    </row>
    <row r="13" spans="1:31" x14ac:dyDescent="0.35">
      <c r="A13" s="13">
        <f t="shared" si="2"/>
        <v>45930</v>
      </c>
      <c r="B13">
        <v>1</v>
      </c>
      <c r="D13" s="14" t="s">
        <v>31</v>
      </c>
      <c r="E13" s="15" t="s">
        <v>32</v>
      </c>
      <c r="F13" s="16" t="s">
        <v>32</v>
      </c>
      <c r="G13" s="17"/>
      <c r="H13" s="84" t="s">
        <v>59</v>
      </c>
      <c r="I13" s="84" t="s">
        <v>159</v>
      </c>
      <c r="J13" s="88"/>
      <c r="K13" s="91">
        <f t="shared" si="5"/>
        <v>11</v>
      </c>
      <c r="L13" s="88"/>
      <c r="M13" s="93">
        <f t="shared" si="4"/>
        <v>46265</v>
      </c>
      <c r="N13" s="93">
        <f t="shared" si="0"/>
        <v>46265</v>
      </c>
      <c r="O13" s="93">
        <f t="shared" si="1"/>
        <v>46265</v>
      </c>
      <c r="P13" s="94">
        <v>26803.587027067224</v>
      </c>
      <c r="Q13" s="168"/>
      <c r="V13">
        <v>1</v>
      </c>
      <c r="W13" t="s">
        <v>33</v>
      </c>
      <c r="Y13" t="s">
        <v>33</v>
      </c>
      <c r="Z13" t="s">
        <v>34</v>
      </c>
      <c r="AA13">
        <v>1</v>
      </c>
      <c r="AC13" s="15"/>
    </row>
    <row r="14" spans="1:31" x14ac:dyDescent="0.35">
      <c r="A14" s="13">
        <f t="shared" si="2"/>
        <v>45930</v>
      </c>
      <c r="B14">
        <v>1</v>
      </c>
      <c r="D14" s="14" t="s">
        <v>31</v>
      </c>
      <c r="E14" s="15" t="s">
        <v>32</v>
      </c>
      <c r="F14" s="16" t="s">
        <v>32</v>
      </c>
      <c r="G14" s="17"/>
      <c r="H14" s="84" t="s">
        <v>59</v>
      </c>
      <c r="I14" s="84" t="s">
        <v>159</v>
      </c>
      <c r="J14" s="88"/>
      <c r="K14" s="91">
        <f t="shared" si="5"/>
        <v>12</v>
      </c>
      <c r="L14" s="88"/>
      <c r="M14" s="93">
        <f t="shared" si="4"/>
        <v>46295</v>
      </c>
      <c r="N14" s="93">
        <f t="shared" si="0"/>
        <v>46295</v>
      </c>
      <c r="O14" s="93">
        <f t="shared" si="1"/>
        <v>46295</v>
      </c>
      <c r="P14" s="94">
        <v>26803.587027067224</v>
      </c>
      <c r="Q14" s="168"/>
      <c r="V14">
        <v>1</v>
      </c>
      <c r="W14" t="s">
        <v>33</v>
      </c>
      <c r="Y14" t="s">
        <v>33</v>
      </c>
      <c r="Z14" t="s">
        <v>34</v>
      </c>
      <c r="AA14">
        <v>1</v>
      </c>
      <c r="AC14" s="15"/>
    </row>
    <row r="15" spans="1:31" x14ac:dyDescent="0.35">
      <c r="A15" s="13">
        <f t="shared" si="2"/>
        <v>45930</v>
      </c>
      <c r="B15">
        <v>1</v>
      </c>
      <c r="D15" s="14" t="s">
        <v>31</v>
      </c>
      <c r="E15" s="15" t="s">
        <v>32</v>
      </c>
      <c r="F15" s="16" t="s">
        <v>32</v>
      </c>
      <c r="G15" s="17"/>
      <c r="H15" s="84" t="s">
        <v>59</v>
      </c>
      <c r="I15" s="84" t="s">
        <v>159</v>
      </c>
      <c r="J15" s="88"/>
      <c r="K15" s="91">
        <f t="shared" si="5"/>
        <v>13</v>
      </c>
      <c r="L15" s="88"/>
      <c r="M15" s="93">
        <f t="shared" si="4"/>
        <v>46326</v>
      </c>
      <c r="N15" s="93">
        <f t="shared" si="0"/>
        <v>46326</v>
      </c>
      <c r="O15" s="93">
        <f t="shared" si="1"/>
        <v>46326</v>
      </c>
      <c r="P15" s="94">
        <v>26803.587027067224</v>
      </c>
      <c r="Q15" s="168"/>
      <c r="V15">
        <v>1</v>
      </c>
      <c r="W15" t="s">
        <v>33</v>
      </c>
      <c r="Y15" t="s">
        <v>33</v>
      </c>
      <c r="Z15" t="s">
        <v>34</v>
      </c>
      <c r="AA15">
        <v>1</v>
      </c>
      <c r="AC15" s="15"/>
    </row>
    <row r="16" spans="1:31" x14ac:dyDescent="0.35">
      <c r="A16" s="13">
        <f t="shared" si="2"/>
        <v>45930</v>
      </c>
      <c r="B16">
        <v>1</v>
      </c>
      <c r="D16" s="14" t="s">
        <v>31</v>
      </c>
      <c r="E16" s="15" t="s">
        <v>32</v>
      </c>
      <c r="F16" s="16" t="s">
        <v>32</v>
      </c>
      <c r="G16" s="17"/>
      <c r="H16" s="84" t="s">
        <v>59</v>
      </c>
      <c r="I16" s="84" t="s">
        <v>159</v>
      </c>
      <c r="J16" s="88"/>
      <c r="K16" s="91">
        <f t="shared" si="5"/>
        <v>14</v>
      </c>
      <c r="L16" s="88"/>
      <c r="M16" s="93">
        <f t="shared" si="4"/>
        <v>46356</v>
      </c>
      <c r="N16" s="93">
        <f t="shared" si="0"/>
        <v>46356</v>
      </c>
      <c r="O16" s="93">
        <f t="shared" si="1"/>
        <v>46356</v>
      </c>
      <c r="P16" s="94">
        <v>26803.587027067224</v>
      </c>
      <c r="Q16" s="168"/>
      <c r="V16">
        <v>1</v>
      </c>
      <c r="W16" t="s">
        <v>33</v>
      </c>
      <c r="Y16" t="s">
        <v>33</v>
      </c>
      <c r="Z16" t="s">
        <v>34</v>
      </c>
      <c r="AA16">
        <v>1</v>
      </c>
      <c r="AC16" s="15"/>
    </row>
    <row r="17" spans="1:29" x14ac:dyDescent="0.35">
      <c r="A17" s="13">
        <f t="shared" si="2"/>
        <v>45930</v>
      </c>
      <c r="B17">
        <v>1</v>
      </c>
      <c r="D17" s="14" t="s">
        <v>31</v>
      </c>
      <c r="E17" s="15" t="s">
        <v>32</v>
      </c>
      <c r="F17" s="16" t="s">
        <v>32</v>
      </c>
      <c r="G17" s="17"/>
      <c r="H17" s="84" t="s">
        <v>59</v>
      </c>
      <c r="I17" s="84" t="s">
        <v>159</v>
      </c>
      <c r="J17" s="88"/>
      <c r="K17" s="91">
        <f t="shared" si="5"/>
        <v>15</v>
      </c>
      <c r="L17" s="88"/>
      <c r="M17" s="93">
        <f t="shared" si="4"/>
        <v>46387</v>
      </c>
      <c r="N17" s="93">
        <f t="shared" si="0"/>
        <v>46387</v>
      </c>
      <c r="O17" s="93">
        <f t="shared" si="1"/>
        <v>46387</v>
      </c>
      <c r="P17" s="94">
        <v>26803.587027067224</v>
      </c>
      <c r="Q17" s="168"/>
      <c r="V17">
        <v>1</v>
      </c>
      <c r="W17" t="s">
        <v>33</v>
      </c>
      <c r="Y17" t="s">
        <v>33</v>
      </c>
      <c r="Z17" t="s">
        <v>34</v>
      </c>
      <c r="AA17">
        <v>1</v>
      </c>
      <c r="AC17" s="15"/>
    </row>
    <row r="18" spans="1:29" x14ac:dyDescent="0.35">
      <c r="A18" s="13">
        <f t="shared" si="2"/>
        <v>45930</v>
      </c>
      <c r="B18">
        <v>1</v>
      </c>
      <c r="D18" s="14" t="s">
        <v>31</v>
      </c>
      <c r="E18" s="15" t="s">
        <v>32</v>
      </c>
      <c r="F18" s="16" t="s">
        <v>32</v>
      </c>
      <c r="G18" s="17"/>
      <c r="H18" s="84" t="s">
        <v>59</v>
      </c>
      <c r="I18" s="84" t="s">
        <v>159</v>
      </c>
      <c r="J18" s="88"/>
      <c r="K18" s="91">
        <f t="shared" si="5"/>
        <v>16</v>
      </c>
      <c r="L18" s="88"/>
      <c r="M18" s="93">
        <f t="shared" si="4"/>
        <v>46418</v>
      </c>
      <c r="N18" s="93">
        <f t="shared" si="0"/>
        <v>46418</v>
      </c>
      <c r="O18" s="93">
        <f t="shared" si="1"/>
        <v>46418</v>
      </c>
      <c r="P18" s="94">
        <v>26803.587027067224</v>
      </c>
      <c r="Q18" s="168"/>
      <c r="V18">
        <v>1</v>
      </c>
      <c r="W18" t="s">
        <v>33</v>
      </c>
      <c r="Y18" t="s">
        <v>33</v>
      </c>
      <c r="Z18" t="s">
        <v>34</v>
      </c>
      <c r="AA18">
        <v>1</v>
      </c>
      <c r="AC18" s="15"/>
    </row>
    <row r="19" spans="1:29" x14ac:dyDescent="0.35">
      <c r="A19" s="13">
        <f t="shared" si="2"/>
        <v>45930</v>
      </c>
      <c r="B19">
        <v>1</v>
      </c>
      <c r="D19" s="14" t="s">
        <v>31</v>
      </c>
      <c r="E19" s="15" t="s">
        <v>32</v>
      </c>
      <c r="F19" s="16" t="s">
        <v>32</v>
      </c>
      <c r="G19" s="17"/>
      <c r="H19" s="84" t="s">
        <v>59</v>
      </c>
      <c r="I19" s="84" t="s">
        <v>159</v>
      </c>
      <c r="J19" s="88"/>
      <c r="K19" s="91">
        <f t="shared" si="5"/>
        <v>17</v>
      </c>
      <c r="L19" s="88"/>
      <c r="M19" s="93">
        <f t="shared" si="4"/>
        <v>46446</v>
      </c>
      <c r="N19" s="93">
        <f t="shared" si="0"/>
        <v>46446</v>
      </c>
      <c r="O19" s="93">
        <f t="shared" si="1"/>
        <v>46446</v>
      </c>
      <c r="P19" s="94">
        <v>26803.587027067224</v>
      </c>
      <c r="Q19" s="168"/>
      <c r="V19">
        <v>1</v>
      </c>
      <c r="W19" t="s">
        <v>33</v>
      </c>
      <c r="Y19" t="s">
        <v>33</v>
      </c>
      <c r="Z19" t="s">
        <v>34</v>
      </c>
      <c r="AA19">
        <v>1</v>
      </c>
      <c r="AC19" s="15"/>
    </row>
    <row r="20" spans="1:29" x14ac:dyDescent="0.35">
      <c r="A20" s="13">
        <f t="shared" si="2"/>
        <v>45930</v>
      </c>
      <c r="B20">
        <v>1</v>
      </c>
      <c r="D20" s="14" t="s">
        <v>31</v>
      </c>
      <c r="E20" s="15" t="s">
        <v>32</v>
      </c>
      <c r="F20" s="16" t="s">
        <v>32</v>
      </c>
      <c r="G20" s="17"/>
      <c r="H20" s="84" t="s">
        <v>59</v>
      </c>
      <c r="I20" s="84" t="s">
        <v>159</v>
      </c>
      <c r="J20" s="88"/>
      <c r="K20" s="91">
        <f t="shared" si="5"/>
        <v>18</v>
      </c>
      <c r="L20" s="88"/>
      <c r="M20" s="93">
        <f t="shared" si="4"/>
        <v>46477</v>
      </c>
      <c r="N20" s="93">
        <f t="shared" si="0"/>
        <v>46477</v>
      </c>
      <c r="O20" s="93">
        <f t="shared" si="1"/>
        <v>46477</v>
      </c>
      <c r="P20" s="94">
        <v>26803.587027067224</v>
      </c>
      <c r="Q20" s="168"/>
      <c r="V20">
        <v>1</v>
      </c>
      <c r="W20" t="s">
        <v>33</v>
      </c>
      <c r="Y20" t="s">
        <v>33</v>
      </c>
      <c r="Z20" t="s">
        <v>34</v>
      </c>
      <c r="AA20">
        <v>1</v>
      </c>
    </row>
    <row r="21" spans="1:29" x14ac:dyDescent="0.35">
      <c r="A21" s="13">
        <f t="shared" si="2"/>
        <v>45930</v>
      </c>
      <c r="B21">
        <v>1</v>
      </c>
      <c r="D21" s="14" t="s">
        <v>31</v>
      </c>
      <c r="E21" s="15" t="s">
        <v>32</v>
      </c>
      <c r="F21" s="16" t="s">
        <v>32</v>
      </c>
      <c r="G21" s="17"/>
      <c r="H21" s="84" t="s">
        <v>59</v>
      </c>
      <c r="I21" s="84" t="s">
        <v>159</v>
      </c>
      <c r="J21" s="88"/>
      <c r="K21" s="91">
        <f t="shared" si="5"/>
        <v>19</v>
      </c>
      <c r="L21" s="88"/>
      <c r="M21" s="93">
        <f t="shared" si="4"/>
        <v>46507</v>
      </c>
      <c r="N21" s="93">
        <f t="shared" si="0"/>
        <v>46507</v>
      </c>
      <c r="O21" s="93">
        <f t="shared" si="1"/>
        <v>46507</v>
      </c>
      <c r="P21" s="94">
        <v>26803.587027067224</v>
      </c>
      <c r="Q21" s="168"/>
      <c r="V21">
        <v>1</v>
      </c>
      <c r="W21" t="s">
        <v>33</v>
      </c>
      <c r="Y21" t="s">
        <v>33</v>
      </c>
      <c r="Z21" t="s">
        <v>34</v>
      </c>
      <c r="AA21">
        <v>1</v>
      </c>
    </row>
    <row r="22" spans="1:29" x14ac:dyDescent="0.35">
      <c r="A22" s="13">
        <f t="shared" si="2"/>
        <v>45930</v>
      </c>
      <c r="B22">
        <v>1</v>
      </c>
      <c r="D22" s="14" t="s">
        <v>31</v>
      </c>
      <c r="E22" s="15" t="s">
        <v>32</v>
      </c>
      <c r="F22" s="16" t="s">
        <v>32</v>
      </c>
      <c r="G22" s="17"/>
      <c r="H22" s="84" t="s">
        <v>59</v>
      </c>
      <c r="I22" s="84" t="s">
        <v>159</v>
      </c>
      <c r="J22" s="88"/>
      <c r="K22" s="91">
        <f t="shared" si="5"/>
        <v>20</v>
      </c>
      <c r="L22" s="88"/>
      <c r="M22" s="93">
        <f t="shared" si="4"/>
        <v>46538</v>
      </c>
      <c r="N22" s="93">
        <f t="shared" si="0"/>
        <v>46538</v>
      </c>
      <c r="O22" s="93">
        <f t="shared" si="1"/>
        <v>46538</v>
      </c>
      <c r="P22" s="94">
        <v>26803.587027067224</v>
      </c>
      <c r="Q22" s="168"/>
      <c r="V22">
        <v>1</v>
      </c>
      <c r="W22" t="s">
        <v>33</v>
      </c>
      <c r="Y22" t="s">
        <v>33</v>
      </c>
      <c r="Z22" t="s">
        <v>34</v>
      </c>
      <c r="AA22">
        <v>1</v>
      </c>
    </row>
    <row r="23" spans="1:29" x14ac:dyDescent="0.35">
      <c r="A23" s="13">
        <f t="shared" si="2"/>
        <v>45930</v>
      </c>
      <c r="B23">
        <v>1</v>
      </c>
      <c r="D23" s="14" t="s">
        <v>31</v>
      </c>
      <c r="E23" s="15" t="s">
        <v>32</v>
      </c>
      <c r="F23" s="16" t="s">
        <v>32</v>
      </c>
      <c r="G23" s="17"/>
      <c r="H23" s="84" t="s">
        <v>59</v>
      </c>
      <c r="I23" s="84" t="s">
        <v>159</v>
      </c>
      <c r="J23" s="88"/>
      <c r="K23" s="91">
        <f t="shared" si="5"/>
        <v>21</v>
      </c>
      <c r="L23" s="88"/>
      <c r="M23" s="93">
        <f t="shared" si="4"/>
        <v>46568</v>
      </c>
      <c r="N23" s="93">
        <f t="shared" si="0"/>
        <v>46568</v>
      </c>
      <c r="O23" s="93">
        <f t="shared" si="1"/>
        <v>46568</v>
      </c>
      <c r="P23" s="94">
        <v>26803.587027067224</v>
      </c>
      <c r="Q23" s="168"/>
      <c r="V23">
        <v>1</v>
      </c>
      <c r="W23" t="s">
        <v>33</v>
      </c>
      <c r="Y23" t="s">
        <v>33</v>
      </c>
      <c r="Z23" t="s">
        <v>34</v>
      </c>
      <c r="AA23">
        <v>1</v>
      </c>
    </row>
    <row r="24" spans="1:29" x14ac:dyDescent="0.35">
      <c r="A24" s="13">
        <f t="shared" si="2"/>
        <v>45930</v>
      </c>
      <c r="B24">
        <v>1</v>
      </c>
      <c r="D24" s="14" t="s">
        <v>31</v>
      </c>
      <c r="E24" s="15" t="s">
        <v>32</v>
      </c>
      <c r="F24" s="16" t="s">
        <v>32</v>
      </c>
      <c r="G24" s="17"/>
      <c r="H24" s="84" t="s">
        <v>59</v>
      </c>
      <c r="I24" s="84" t="s">
        <v>159</v>
      </c>
      <c r="J24" s="88"/>
      <c r="K24" s="91">
        <f t="shared" si="5"/>
        <v>22</v>
      </c>
      <c r="L24" s="88"/>
      <c r="M24" s="93">
        <f t="shared" si="4"/>
        <v>46599</v>
      </c>
      <c r="N24" s="93">
        <f t="shared" si="0"/>
        <v>46599</v>
      </c>
      <c r="O24" s="93">
        <f t="shared" si="1"/>
        <v>46599</v>
      </c>
      <c r="P24" s="94">
        <v>26803.587027067224</v>
      </c>
      <c r="Q24" s="168"/>
      <c r="V24">
        <v>1</v>
      </c>
      <c r="W24" t="s">
        <v>33</v>
      </c>
      <c r="Y24" t="s">
        <v>33</v>
      </c>
      <c r="Z24" t="s">
        <v>34</v>
      </c>
      <c r="AA24">
        <v>1</v>
      </c>
    </row>
    <row r="25" spans="1:29" x14ac:dyDescent="0.35">
      <c r="A25" s="13">
        <f t="shared" si="2"/>
        <v>45930</v>
      </c>
      <c r="B25">
        <v>1</v>
      </c>
      <c r="D25" s="14" t="s">
        <v>31</v>
      </c>
      <c r="E25" s="15" t="s">
        <v>32</v>
      </c>
      <c r="F25" s="16" t="s">
        <v>32</v>
      </c>
      <c r="G25" s="17"/>
      <c r="H25" s="84" t="s">
        <v>59</v>
      </c>
      <c r="I25" s="84" t="s">
        <v>159</v>
      </c>
      <c r="J25" s="88"/>
      <c r="K25" s="91">
        <f t="shared" si="5"/>
        <v>23</v>
      </c>
      <c r="L25" s="88"/>
      <c r="M25" s="93">
        <f t="shared" si="4"/>
        <v>46630</v>
      </c>
      <c r="N25" s="93">
        <f t="shared" si="0"/>
        <v>46630</v>
      </c>
      <c r="O25" s="93">
        <f t="shared" si="1"/>
        <v>46630</v>
      </c>
      <c r="P25" s="94">
        <v>26803.587027067224</v>
      </c>
      <c r="Q25" s="168"/>
      <c r="V25">
        <v>1</v>
      </c>
      <c r="W25" t="s">
        <v>33</v>
      </c>
      <c r="Y25" t="s">
        <v>33</v>
      </c>
      <c r="Z25" t="s">
        <v>34</v>
      </c>
      <c r="AA25">
        <v>1</v>
      </c>
    </row>
    <row r="26" spans="1:29" x14ac:dyDescent="0.35">
      <c r="A26" s="13">
        <f t="shared" si="2"/>
        <v>45930</v>
      </c>
      <c r="B26">
        <v>1</v>
      </c>
      <c r="D26" s="14" t="s">
        <v>31</v>
      </c>
      <c r="E26" s="15" t="s">
        <v>32</v>
      </c>
      <c r="F26" s="16" t="s">
        <v>32</v>
      </c>
      <c r="G26" s="17"/>
      <c r="H26" s="84" t="s">
        <v>59</v>
      </c>
      <c r="I26" s="84" t="s">
        <v>159</v>
      </c>
      <c r="J26" s="88"/>
      <c r="K26" s="91">
        <f t="shared" si="5"/>
        <v>24</v>
      </c>
      <c r="L26" s="88"/>
      <c r="M26" s="93">
        <f t="shared" si="4"/>
        <v>46660</v>
      </c>
      <c r="N26" s="93">
        <f t="shared" si="0"/>
        <v>46660</v>
      </c>
      <c r="O26" s="93">
        <f t="shared" si="1"/>
        <v>46660</v>
      </c>
      <c r="P26" s="94">
        <v>26803.587027067224</v>
      </c>
      <c r="Q26" s="168"/>
      <c r="V26">
        <v>1</v>
      </c>
      <c r="W26" t="s">
        <v>33</v>
      </c>
      <c r="Y26" t="s">
        <v>33</v>
      </c>
      <c r="Z26" t="s">
        <v>34</v>
      </c>
      <c r="AA26">
        <v>1</v>
      </c>
    </row>
    <row r="27" spans="1:29" x14ac:dyDescent="0.35">
      <c r="A27" s="13">
        <f t="shared" si="2"/>
        <v>45930</v>
      </c>
      <c r="B27">
        <v>1</v>
      </c>
      <c r="D27" s="14" t="s">
        <v>31</v>
      </c>
      <c r="E27" s="15" t="s">
        <v>32</v>
      </c>
      <c r="F27" s="16" t="s">
        <v>32</v>
      </c>
      <c r="G27" s="17"/>
      <c r="H27" s="84" t="s">
        <v>59</v>
      </c>
      <c r="I27" s="84" t="s">
        <v>159</v>
      </c>
      <c r="J27" s="88"/>
      <c r="K27" s="91">
        <f t="shared" si="5"/>
        <v>25</v>
      </c>
      <c r="L27" s="88"/>
      <c r="M27" s="93">
        <f t="shared" si="4"/>
        <v>46691</v>
      </c>
      <c r="N27" s="93">
        <f t="shared" si="0"/>
        <v>46691</v>
      </c>
      <c r="O27" s="93">
        <f t="shared" si="1"/>
        <v>46691</v>
      </c>
      <c r="P27" s="94">
        <v>26803.587027067224</v>
      </c>
      <c r="Q27" s="168"/>
      <c r="V27">
        <v>1</v>
      </c>
      <c r="W27" t="s">
        <v>33</v>
      </c>
      <c r="Y27" t="s">
        <v>33</v>
      </c>
      <c r="Z27" t="s">
        <v>34</v>
      </c>
      <c r="AA27">
        <v>1</v>
      </c>
    </row>
    <row r="28" spans="1:29" x14ac:dyDescent="0.35">
      <c r="A28" s="13">
        <f t="shared" si="2"/>
        <v>45930</v>
      </c>
      <c r="B28">
        <v>1</v>
      </c>
      <c r="D28" s="14" t="s">
        <v>31</v>
      </c>
      <c r="E28" s="15" t="s">
        <v>32</v>
      </c>
      <c r="F28" s="16" t="s">
        <v>32</v>
      </c>
      <c r="G28" s="17"/>
      <c r="H28" s="84" t="s">
        <v>59</v>
      </c>
      <c r="I28" s="84" t="s">
        <v>159</v>
      </c>
      <c r="J28" s="88"/>
      <c r="K28" s="91">
        <f t="shared" si="5"/>
        <v>26</v>
      </c>
      <c r="L28" s="88"/>
      <c r="M28" s="93">
        <f t="shared" si="4"/>
        <v>46721</v>
      </c>
      <c r="N28" s="93">
        <f t="shared" si="0"/>
        <v>46721</v>
      </c>
      <c r="O28" s="93">
        <f t="shared" si="1"/>
        <v>46721</v>
      </c>
      <c r="P28" s="94">
        <v>26803.587027067224</v>
      </c>
      <c r="Q28" s="168"/>
      <c r="V28">
        <v>1</v>
      </c>
      <c r="W28" t="s">
        <v>33</v>
      </c>
      <c r="Y28" t="s">
        <v>33</v>
      </c>
      <c r="Z28" t="s">
        <v>34</v>
      </c>
      <c r="AA28">
        <v>1</v>
      </c>
    </row>
    <row r="29" spans="1:29" x14ac:dyDescent="0.35">
      <c r="A29" s="13">
        <f t="shared" si="2"/>
        <v>45930</v>
      </c>
      <c r="B29">
        <v>1</v>
      </c>
      <c r="D29" s="14" t="s">
        <v>31</v>
      </c>
      <c r="E29" s="15" t="s">
        <v>32</v>
      </c>
      <c r="F29" s="16" t="s">
        <v>32</v>
      </c>
      <c r="G29" s="17"/>
      <c r="H29" s="84" t="s">
        <v>59</v>
      </c>
      <c r="I29" s="84" t="s">
        <v>159</v>
      </c>
      <c r="J29" s="88"/>
      <c r="K29" s="91">
        <f t="shared" si="5"/>
        <v>27</v>
      </c>
      <c r="L29" s="88"/>
      <c r="M29" s="93">
        <f t="shared" si="4"/>
        <v>46752</v>
      </c>
      <c r="N29" s="93">
        <f t="shared" si="0"/>
        <v>46752</v>
      </c>
      <c r="O29" s="93">
        <f t="shared" si="1"/>
        <v>46752</v>
      </c>
      <c r="P29" s="94">
        <v>26803.587027067224</v>
      </c>
      <c r="Q29" s="168"/>
      <c r="V29">
        <v>1</v>
      </c>
      <c r="W29" t="s">
        <v>33</v>
      </c>
      <c r="Y29" t="s">
        <v>33</v>
      </c>
      <c r="Z29" t="s">
        <v>34</v>
      </c>
      <c r="AA29">
        <v>1</v>
      </c>
    </row>
    <row r="30" spans="1:29" x14ac:dyDescent="0.35">
      <c r="A30" s="13">
        <f t="shared" si="2"/>
        <v>45930</v>
      </c>
      <c r="B30">
        <v>1</v>
      </c>
      <c r="D30" s="14" t="s">
        <v>31</v>
      </c>
      <c r="E30" s="15" t="s">
        <v>32</v>
      </c>
      <c r="F30" s="16" t="s">
        <v>32</v>
      </c>
      <c r="G30" s="17"/>
      <c r="H30" s="84" t="s">
        <v>59</v>
      </c>
      <c r="I30" s="84" t="s">
        <v>159</v>
      </c>
      <c r="J30" s="88"/>
      <c r="K30" s="91">
        <f t="shared" si="5"/>
        <v>28</v>
      </c>
      <c r="L30" s="88"/>
      <c r="M30" s="93">
        <f t="shared" si="4"/>
        <v>46783</v>
      </c>
      <c r="N30" s="93">
        <f t="shared" si="0"/>
        <v>46783</v>
      </c>
      <c r="O30" s="93">
        <f t="shared" si="1"/>
        <v>46783</v>
      </c>
      <c r="P30" s="94">
        <v>26803.587027067224</v>
      </c>
      <c r="Q30" s="168"/>
      <c r="V30">
        <v>1</v>
      </c>
      <c r="W30" t="s">
        <v>33</v>
      </c>
      <c r="Y30" t="s">
        <v>33</v>
      </c>
      <c r="Z30" t="s">
        <v>34</v>
      </c>
      <c r="AA30">
        <v>1</v>
      </c>
    </row>
    <row r="31" spans="1:29" x14ac:dyDescent="0.35">
      <c r="A31" s="13">
        <f t="shared" si="2"/>
        <v>45930</v>
      </c>
      <c r="B31">
        <v>1</v>
      </c>
      <c r="D31" s="14" t="s">
        <v>31</v>
      </c>
      <c r="E31" s="15" t="s">
        <v>32</v>
      </c>
      <c r="F31" s="16" t="s">
        <v>32</v>
      </c>
      <c r="G31" s="17"/>
      <c r="H31" s="84" t="s">
        <v>59</v>
      </c>
      <c r="I31" s="84" t="s">
        <v>159</v>
      </c>
      <c r="J31" s="88"/>
      <c r="K31" s="91">
        <f t="shared" si="5"/>
        <v>29</v>
      </c>
      <c r="L31" s="88"/>
      <c r="M31" s="93">
        <f t="shared" si="4"/>
        <v>46812</v>
      </c>
      <c r="N31" s="93">
        <f t="shared" si="0"/>
        <v>46812</v>
      </c>
      <c r="O31" s="93">
        <f t="shared" si="1"/>
        <v>46812</v>
      </c>
      <c r="P31" s="94">
        <v>26803.587027067224</v>
      </c>
      <c r="Q31" s="168"/>
      <c r="V31">
        <v>1</v>
      </c>
      <c r="W31" t="s">
        <v>33</v>
      </c>
      <c r="Y31" t="s">
        <v>33</v>
      </c>
      <c r="Z31" t="s">
        <v>34</v>
      </c>
      <c r="AA31">
        <v>1</v>
      </c>
    </row>
    <row r="32" spans="1:29" x14ac:dyDescent="0.35">
      <c r="A32" s="13">
        <f t="shared" si="2"/>
        <v>45930</v>
      </c>
      <c r="B32">
        <v>1</v>
      </c>
      <c r="D32" s="14" t="s">
        <v>31</v>
      </c>
      <c r="E32" s="15" t="s">
        <v>32</v>
      </c>
      <c r="F32" s="16" t="s">
        <v>32</v>
      </c>
      <c r="G32" s="17"/>
      <c r="H32" s="84" t="s">
        <v>59</v>
      </c>
      <c r="I32" s="84" t="s">
        <v>159</v>
      </c>
      <c r="J32" s="88"/>
      <c r="K32" s="91">
        <f t="shared" si="5"/>
        <v>30</v>
      </c>
      <c r="L32" s="88"/>
      <c r="M32" s="93">
        <f t="shared" si="4"/>
        <v>46843</v>
      </c>
      <c r="N32" s="93">
        <f t="shared" si="0"/>
        <v>46843</v>
      </c>
      <c r="O32" s="93">
        <f t="shared" si="1"/>
        <v>46843</v>
      </c>
      <c r="P32" s="94">
        <v>26803.587027067224</v>
      </c>
      <c r="Q32" s="168"/>
      <c r="V32">
        <v>1</v>
      </c>
      <c r="W32" t="s">
        <v>33</v>
      </c>
      <c r="Y32" t="s">
        <v>33</v>
      </c>
      <c r="Z32" t="s">
        <v>34</v>
      </c>
      <c r="AA32">
        <v>1</v>
      </c>
    </row>
    <row r="33" spans="1:27" x14ac:dyDescent="0.35">
      <c r="A33" s="13">
        <f t="shared" si="2"/>
        <v>45930</v>
      </c>
      <c r="B33">
        <v>1</v>
      </c>
      <c r="D33" s="14" t="s">
        <v>31</v>
      </c>
      <c r="E33" s="15" t="s">
        <v>32</v>
      </c>
      <c r="F33" s="16" t="s">
        <v>32</v>
      </c>
      <c r="G33" s="17"/>
      <c r="H33" s="84" t="s">
        <v>59</v>
      </c>
      <c r="I33" s="84" t="s">
        <v>159</v>
      </c>
      <c r="J33" s="88"/>
      <c r="K33" s="91">
        <f t="shared" ref="K33:K96" si="6">K32+1</f>
        <v>31</v>
      </c>
      <c r="L33" s="88"/>
      <c r="M33" s="93">
        <f t="shared" si="4"/>
        <v>46873</v>
      </c>
      <c r="N33" s="93">
        <f t="shared" si="0"/>
        <v>46873</v>
      </c>
      <c r="O33" s="93">
        <f t="shared" si="1"/>
        <v>46873</v>
      </c>
      <c r="P33" s="94">
        <v>26803.587027067224</v>
      </c>
      <c r="Q33" s="168"/>
      <c r="V33">
        <v>1</v>
      </c>
      <c r="W33" t="s">
        <v>33</v>
      </c>
      <c r="Y33" t="s">
        <v>33</v>
      </c>
      <c r="Z33" t="s">
        <v>34</v>
      </c>
      <c r="AA33">
        <v>1</v>
      </c>
    </row>
    <row r="34" spans="1:27" x14ac:dyDescent="0.35">
      <c r="A34" s="13">
        <f t="shared" si="2"/>
        <v>45930</v>
      </c>
      <c r="B34">
        <v>1</v>
      </c>
      <c r="D34" s="14" t="s">
        <v>31</v>
      </c>
      <c r="E34" s="15" t="s">
        <v>32</v>
      </c>
      <c r="F34" s="16" t="s">
        <v>32</v>
      </c>
      <c r="G34" s="17"/>
      <c r="H34" s="84" t="s">
        <v>59</v>
      </c>
      <c r="I34" s="84" t="s">
        <v>159</v>
      </c>
      <c r="J34" s="88"/>
      <c r="K34" s="91">
        <f t="shared" si="6"/>
        <v>32</v>
      </c>
      <c r="L34" s="88"/>
      <c r="M34" s="93">
        <f t="shared" si="4"/>
        <v>46904</v>
      </c>
      <c r="N34" s="93">
        <f t="shared" si="0"/>
        <v>46904</v>
      </c>
      <c r="O34" s="93">
        <f t="shared" si="1"/>
        <v>46904</v>
      </c>
      <c r="P34" s="94">
        <v>26803.587027067224</v>
      </c>
      <c r="Q34" s="168"/>
      <c r="V34">
        <v>1</v>
      </c>
      <c r="W34" t="s">
        <v>33</v>
      </c>
      <c r="Y34" t="s">
        <v>33</v>
      </c>
      <c r="Z34" t="s">
        <v>34</v>
      </c>
      <c r="AA34">
        <v>1</v>
      </c>
    </row>
    <row r="35" spans="1:27" x14ac:dyDescent="0.35">
      <c r="A35" s="13">
        <f t="shared" si="2"/>
        <v>45930</v>
      </c>
      <c r="B35">
        <v>1</v>
      </c>
      <c r="D35" s="14" t="s">
        <v>31</v>
      </c>
      <c r="E35" s="15" t="s">
        <v>32</v>
      </c>
      <c r="F35" s="16" t="s">
        <v>32</v>
      </c>
      <c r="G35" s="17"/>
      <c r="H35" s="84" t="s">
        <v>59</v>
      </c>
      <c r="I35" s="84" t="s">
        <v>159</v>
      </c>
      <c r="J35" s="88"/>
      <c r="K35" s="91">
        <f t="shared" si="6"/>
        <v>33</v>
      </c>
      <c r="L35" s="88"/>
      <c r="M35" s="93">
        <f t="shared" si="4"/>
        <v>46934</v>
      </c>
      <c r="N35" s="93">
        <f t="shared" si="0"/>
        <v>46934</v>
      </c>
      <c r="O35" s="93">
        <f t="shared" si="1"/>
        <v>46934</v>
      </c>
      <c r="P35" s="94">
        <v>26803.587027067224</v>
      </c>
      <c r="Q35" s="168"/>
      <c r="V35">
        <v>1</v>
      </c>
      <c r="W35" t="s">
        <v>33</v>
      </c>
      <c r="Y35" t="s">
        <v>33</v>
      </c>
      <c r="Z35" t="s">
        <v>34</v>
      </c>
      <c r="AA35">
        <v>1</v>
      </c>
    </row>
    <row r="36" spans="1:27" x14ac:dyDescent="0.35">
      <c r="A36" s="13">
        <f t="shared" si="2"/>
        <v>45930</v>
      </c>
      <c r="B36">
        <v>1</v>
      </c>
      <c r="D36" s="14" t="s">
        <v>31</v>
      </c>
      <c r="E36" s="15" t="s">
        <v>32</v>
      </c>
      <c r="F36" s="16" t="s">
        <v>32</v>
      </c>
      <c r="G36" s="17"/>
      <c r="H36" s="84" t="s">
        <v>59</v>
      </c>
      <c r="I36" s="84" t="s">
        <v>159</v>
      </c>
      <c r="J36" s="88"/>
      <c r="K36" s="91">
        <f t="shared" si="6"/>
        <v>34</v>
      </c>
      <c r="L36" s="88"/>
      <c r="M36" s="93">
        <f t="shared" si="4"/>
        <v>46965</v>
      </c>
      <c r="N36" s="93">
        <f t="shared" si="0"/>
        <v>46965</v>
      </c>
      <c r="O36" s="93">
        <f t="shared" si="1"/>
        <v>46965</v>
      </c>
      <c r="P36" s="94">
        <v>26803.587027067224</v>
      </c>
      <c r="Q36" s="168"/>
      <c r="V36">
        <v>1</v>
      </c>
      <c r="W36" t="s">
        <v>33</v>
      </c>
      <c r="Y36" t="s">
        <v>33</v>
      </c>
      <c r="Z36" t="s">
        <v>34</v>
      </c>
      <c r="AA36">
        <v>1</v>
      </c>
    </row>
    <row r="37" spans="1:27" x14ac:dyDescent="0.35">
      <c r="A37" s="13">
        <f t="shared" si="2"/>
        <v>45930</v>
      </c>
      <c r="B37">
        <v>1</v>
      </c>
      <c r="D37" s="14" t="s">
        <v>31</v>
      </c>
      <c r="E37" s="15" t="s">
        <v>32</v>
      </c>
      <c r="F37" s="16" t="s">
        <v>32</v>
      </c>
      <c r="G37" s="17"/>
      <c r="H37" s="84" t="s">
        <v>59</v>
      </c>
      <c r="I37" s="84" t="s">
        <v>159</v>
      </c>
      <c r="J37" s="88"/>
      <c r="K37" s="91">
        <f t="shared" si="6"/>
        <v>35</v>
      </c>
      <c r="L37" s="88"/>
      <c r="M37" s="93">
        <f t="shared" si="4"/>
        <v>46996</v>
      </c>
      <c r="N37" s="93">
        <f t="shared" si="0"/>
        <v>46996</v>
      </c>
      <c r="O37" s="93">
        <f t="shared" si="1"/>
        <v>46996</v>
      </c>
      <c r="P37" s="94">
        <v>26803.587027067224</v>
      </c>
      <c r="Q37" s="168"/>
      <c r="V37">
        <v>1</v>
      </c>
      <c r="W37" t="s">
        <v>33</v>
      </c>
      <c r="Y37" t="s">
        <v>33</v>
      </c>
      <c r="Z37" t="s">
        <v>34</v>
      </c>
      <c r="AA37">
        <v>1</v>
      </c>
    </row>
    <row r="38" spans="1:27" x14ac:dyDescent="0.35">
      <c r="A38" s="13">
        <f t="shared" si="2"/>
        <v>45930</v>
      </c>
      <c r="B38">
        <v>1</v>
      </c>
      <c r="D38" s="14" t="s">
        <v>31</v>
      </c>
      <c r="E38" s="15" t="s">
        <v>32</v>
      </c>
      <c r="F38" s="16" t="s">
        <v>32</v>
      </c>
      <c r="G38" s="17"/>
      <c r="H38" s="84" t="s">
        <v>59</v>
      </c>
      <c r="I38" s="84" t="s">
        <v>159</v>
      </c>
      <c r="J38" s="88"/>
      <c r="K38" s="91">
        <f t="shared" si="6"/>
        <v>36</v>
      </c>
      <c r="L38" s="88"/>
      <c r="M38" s="93">
        <f t="shared" si="4"/>
        <v>47026</v>
      </c>
      <c r="N38" s="93">
        <f t="shared" si="0"/>
        <v>47026</v>
      </c>
      <c r="O38" s="93">
        <f t="shared" si="1"/>
        <v>47026</v>
      </c>
      <c r="P38" s="94">
        <v>26803.587027067224</v>
      </c>
      <c r="Q38" s="168"/>
      <c r="V38">
        <v>1</v>
      </c>
      <c r="W38" t="s">
        <v>33</v>
      </c>
      <c r="Y38" t="s">
        <v>33</v>
      </c>
      <c r="Z38" t="s">
        <v>34</v>
      </c>
      <c r="AA38">
        <v>1</v>
      </c>
    </row>
    <row r="39" spans="1:27" x14ac:dyDescent="0.35">
      <c r="A39" s="13">
        <f t="shared" si="2"/>
        <v>45930</v>
      </c>
      <c r="B39">
        <v>1</v>
      </c>
      <c r="D39" s="14" t="s">
        <v>31</v>
      </c>
      <c r="E39" s="15" t="s">
        <v>32</v>
      </c>
      <c r="F39" s="16" t="s">
        <v>32</v>
      </c>
      <c r="G39" s="17"/>
      <c r="H39" s="84" t="s">
        <v>59</v>
      </c>
      <c r="I39" s="84" t="s">
        <v>159</v>
      </c>
      <c r="J39" s="88"/>
      <c r="K39" s="91">
        <f t="shared" si="6"/>
        <v>37</v>
      </c>
      <c r="L39" s="88"/>
      <c r="M39" s="93">
        <f t="shared" si="4"/>
        <v>47057</v>
      </c>
      <c r="N39" s="93">
        <f t="shared" si="0"/>
        <v>47057</v>
      </c>
      <c r="O39" s="93">
        <f t="shared" si="1"/>
        <v>47057</v>
      </c>
      <c r="P39" s="94">
        <v>26803.587027067224</v>
      </c>
      <c r="Q39" s="168"/>
      <c r="V39">
        <v>1</v>
      </c>
      <c r="W39" t="s">
        <v>33</v>
      </c>
      <c r="Y39" t="s">
        <v>33</v>
      </c>
      <c r="Z39" t="s">
        <v>34</v>
      </c>
      <c r="AA39">
        <v>1</v>
      </c>
    </row>
    <row r="40" spans="1:27" x14ac:dyDescent="0.35">
      <c r="A40" s="13">
        <f t="shared" si="2"/>
        <v>45930</v>
      </c>
      <c r="B40">
        <v>1</v>
      </c>
      <c r="D40" s="14" t="s">
        <v>31</v>
      </c>
      <c r="E40" s="15" t="s">
        <v>32</v>
      </c>
      <c r="F40" s="16" t="s">
        <v>32</v>
      </c>
      <c r="G40" s="17"/>
      <c r="H40" s="84" t="s">
        <v>59</v>
      </c>
      <c r="I40" s="84" t="s">
        <v>159</v>
      </c>
      <c r="J40" s="88"/>
      <c r="K40" s="91">
        <f t="shared" si="6"/>
        <v>38</v>
      </c>
      <c r="L40" s="88"/>
      <c r="M40" s="93">
        <f t="shared" si="4"/>
        <v>47087</v>
      </c>
      <c r="N40" s="93">
        <f t="shared" si="0"/>
        <v>47087</v>
      </c>
      <c r="O40" s="93">
        <f t="shared" si="1"/>
        <v>47087</v>
      </c>
      <c r="P40" s="94">
        <v>26803.587027067224</v>
      </c>
      <c r="Q40" s="168"/>
      <c r="V40">
        <v>1</v>
      </c>
      <c r="W40" t="s">
        <v>33</v>
      </c>
      <c r="Y40" t="s">
        <v>33</v>
      </c>
      <c r="Z40" t="s">
        <v>34</v>
      </c>
      <c r="AA40">
        <v>1</v>
      </c>
    </row>
    <row r="41" spans="1:27" x14ac:dyDescent="0.35">
      <c r="A41" s="13">
        <f t="shared" si="2"/>
        <v>45930</v>
      </c>
      <c r="B41">
        <v>1</v>
      </c>
      <c r="D41" s="14" t="s">
        <v>31</v>
      </c>
      <c r="E41" s="15" t="s">
        <v>32</v>
      </c>
      <c r="F41" s="16" t="s">
        <v>32</v>
      </c>
      <c r="G41" s="17"/>
      <c r="H41" s="84" t="s">
        <v>59</v>
      </c>
      <c r="I41" s="84" t="s">
        <v>159</v>
      </c>
      <c r="J41" s="88"/>
      <c r="K41" s="91">
        <f t="shared" si="6"/>
        <v>39</v>
      </c>
      <c r="L41" s="88"/>
      <c r="M41" s="93">
        <f t="shared" si="4"/>
        <v>47118</v>
      </c>
      <c r="N41" s="93">
        <f t="shared" si="0"/>
        <v>47118</v>
      </c>
      <c r="O41" s="93">
        <f t="shared" si="1"/>
        <v>47118</v>
      </c>
      <c r="P41" s="94">
        <v>26803.587027067224</v>
      </c>
      <c r="Q41" s="168"/>
      <c r="V41">
        <v>1</v>
      </c>
      <c r="W41" t="s">
        <v>33</v>
      </c>
      <c r="Y41" t="s">
        <v>33</v>
      </c>
      <c r="Z41" t="s">
        <v>34</v>
      </c>
      <c r="AA41">
        <v>1</v>
      </c>
    </row>
    <row r="42" spans="1:27" x14ac:dyDescent="0.35">
      <c r="A42" s="13">
        <f t="shared" si="2"/>
        <v>45930</v>
      </c>
      <c r="B42">
        <v>1</v>
      </c>
      <c r="D42" s="14" t="s">
        <v>31</v>
      </c>
      <c r="E42" s="15" t="s">
        <v>32</v>
      </c>
      <c r="F42" s="16" t="s">
        <v>32</v>
      </c>
      <c r="G42" s="17"/>
      <c r="H42" s="84" t="s">
        <v>59</v>
      </c>
      <c r="I42" s="84" t="s">
        <v>159</v>
      </c>
      <c r="J42" s="88"/>
      <c r="K42" s="91">
        <f t="shared" si="6"/>
        <v>40</v>
      </c>
      <c r="L42" s="88"/>
      <c r="M42" s="93">
        <f t="shared" si="4"/>
        <v>47149</v>
      </c>
      <c r="N42" s="93">
        <f t="shared" si="0"/>
        <v>47149</v>
      </c>
      <c r="O42" s="93">
        <f t="shared" si="1"/>
        <v>47149</v>
      </c>
      <c r="P42" s="94">
        <v>26803.587027067224</v>
      </c>
      <c r="Q42" s="168"/>
      <c r="V42">
        <v>1</v>
      </c>
      <c r="W42" t="s">
        <v>33</v>
      </c>
      <c r="Y42" t="s">
        <v>33</v>
      </c>
      <c r="Z42" t="s">
        <v>34</v>
      </c>
      <c r="AA42">
        <v>1</v>
      </c>
    </row>
    <row r="43" spans="1:27" x14ac:dyDescent="0.35">
      <c r="A43" s="13">
        <f t="shared" si="2"/>
        <v>45930</v>
      </c>
      <c r="B43">
        <v>1</v>
      </c>
      <c r="D43" s="14" t="s">
        <v>31</v>
      </c>
      <c r="E43" s="15" t="s">
        <v>32</v>
      </c>
      <c r="F43" s="16" t="s">
        <v>32</v>
      </c>
      <c r="G43" s="17"/>
      <c r="H43" s="84" t="s">
        <v>59</v>
      </c>
      <c r="I43" s="84" t="s">
        <v>159</v>
      </c>
      <c r="J43" s="88"/>
      <c r="K43" s="91">
        <f t="shared" si="6"/>
        <v>41</v>
      </c>
      <c r="L43" s="88"/>
      <c r="M43" s="93">
        <f t="shared" si="4"/>
        <v>47177</v>
      </c>
      <c r="N43" s="93">
        <f t="shared" si="0"/>
        <v>47177</v>
      </c>
      <c r="O43" s="93">
        <f t="shared" si="1"/>
        <v>47177</v>
      </c>
      <c r="P43" s="94">
        <v>26803.587027067224</v>
      </c>
      <c r="Q43" s="168"/>
      <c r="V43">
        <v>1</v>
      </c>
      <c r="W43" t="s">
        <v>33</v>
      </c>
      <c r="Y43" t="s">
        <v>33</v>
      </c>
      <c r="Z43" t="s">
        <v>34</v>
      </c>
      <c r="AA43">
        <v>1</v>
      </c>
    </row>
    <row r="44" spans="1:27" x14ac:dyDescent="0.35">
      <c r="A44" s="13">
        <f t="shared" si="2"/>
        <v>45930</v>
      </c>
      <c r="B44">
        <v>1</v>
      </c>
      <c r="D44" s="14" t="s">
        <v>31</v>
      </c>
      <c r="E44" s="15" t="s">
        <v>32</v>
      </c>
      <c r="F44" s="16" t="s">
        <v>32</v>
      </c>
      <c r="G44" s="17"/>
      <c r="H44" s="84" t="s">
        <v>59</v>
      </c>
      <c r="I44" s="84" t="s">
        <v>159</v>
      </c>
      <c r="J44" s="88"/>
      <c r="K44" s="91">
        <f t="shared" si="6"/>
        <v>42</v>
      </c>
      <c r="L44" s="88"/>
      <c r="M44" s="93">
        <f t="shared" si="4"/>
        <v>47208</v>
      </c>
      <c r="N44" s="93">
        <f t="shared" si="0"/>
        <v>47208</v>
      </c>
      <c r="O44" s="93">
        <f t="shared" si="1"/>
        <v>47208</v>
      </c>
      <c r="P44" s="94">
        <v>26803.587027067224</v>
      </c>
      <c r="Q44" s="168"/>
      <c r="V44">
        <v>1</v>
      </c>
      <c r="W44" t="s">
        <v>33</v>
      </c>
      <c r="Y44" t="s">
        <v>33</v>
      </c>
      <c r="Z44" t="s">
        <v>34</v>
      </c>
      <c r="AA44">
        <v>1</v>
      </c>
    </row>
    <row r="45" spans="1:27" x14ac:dyDescent="0.35">
      <c r="A45" s="13">
        <f t="shared" si="2"/>
        <v>45930</v>
      </c>
      <c r="B45">
        <v>1</v>
      </c>
      <c r="D45" s="14" t="s">
        <v>31</v>
      </c>
      <c r="E45" s="15" t="s">
        <v>32</v>
      </c>
      <c r="F45" s="16" t="s">
        <v>32</v>
      </c>
      <c r="G45" s="17"/>
      <c r="H45" s="84" t="s">
        <v>59</v>
      </c>
      <c r="I45" s="84" t="s">
        <v>159</v>
      </c>
      <c r="J45" s="88"/>
      <c r="K45" s="91">
        <f t="shared" si="6"/>
        <v>43</v>
      </c>
      <c r="L45" s="88"/>
      <c r="M45" s="93">
        <f t="shared" si="4"/>
        <v>47238</v>
      </c>
      <c r="N45" s="93">
        <f t="shared" si="0"/>
        <v>47238</v>
      </c>
      <c r="O45" s="93">
        <f t="shared" si="1"/>
        <v>47238</v>
      </c>
      <c r="P45" s="94">
        <v>26803.587027067224</v>
      </c>
      <c r="Q45" s="168"/>
      <c r="V45">
        <v>1</v>
      </c>
      <c r="W45" t="s">
        <v>33</v>
      </c>
      <c r="Y45" t="s">
        <v>33</v>
      </c>
      <c r="Z45" t="s">
        <v>34</v>
      </c>
      <c r="AA45">
        <v>1</v>
      </c>
    </row>
    <row r="46" spans="1:27" x14ac:dyDescent="0.35">
      <c r="A46" s="13">
        <f t="shared" si="2"/>
        <v>45930</v>
      </c>
      <c r="B46">
        <v>1</v>
      </c>
      <c r="D46" s="14" t="s">
        <v>31</v>
      </c>
      <c r="E46" s="15" t="s">
        <v>32</v>
      </c>
      <c r="F46" s="16" t="s">
        <v>32</v>
      </c>
      <c r="G46" s="17"/>
      <c r="H46" s="84" t="s">
        <v>59</v>
      </c>
      <c r="I46" s="84" t="s">
        <v>159</v>
      </c>
      <c r="J46" s="88"/>
      <c r="K46" s="91">
        <f t="shared" si="6"/>
        <v>44</v>
      </c>
      <c r="L46" s="88"/>
      <c r="M46" s="93">
        <f t="shared" si="4"/>
        <v>47269</v>
      </c>
      <c r="N46" s="93">
        <f t="shared" si="0"/>
        <v>47269</v>
      </c>
      <c r="O46" s="93">
        <f t="shared" si="1"/>
        <v>47269</v>
      </c>
      <c r="P46" s="94">
        <v>26803.587027067224</v>
      </c>
      <c r="Q46" s="168"/>
      <c r="V46">
        <v>1</v>
      </c>
      <c r="W46" t="s">
        <v>33</v>
      </c>
      <c r="Y46" t="s">
        <v>33</v>
      </c>
      <c r="Z46" t="s">
        <v>34</v>
      </c>
      <c r="AA46">
        <v>1</v>
      </c>
    </row>
    <row r="47" spans="1:27" x14ac:dyDescent="0.35">
      <c r="A47" s="13">
        <f t="shared" si="2"/>
        <v>45930</v>
      </c>
      <c r="B47">
        <v>1</v>
      </c>
      <c r="D47" s="14" t="s">
        <v>31</v>
      </c>
      <c r="E47" s="15" t="s">
        <v>32</v>
      </c>
      <c r="F47" s="16" t="s">
        <v>32</v>
      </c>
      <c r="G47" s="17"/>
      <c r="H47" s="84" t="s">
        <v>59</v>
      </c>
      <c r="I47" s="84" t="s">
        <v>159</v>
      </c>
      <c r="J47" s="88"/>
      <c r="K47" s="91">
        <f t="shared" si="6"/>
        <v>45</v>
      </c>
      <c r="L47" s="88"/>
      <c r="M47" s="93">
        <f t="shared" si="4"/>
        <v>47299</v>
      </c>
      <c r="N47" s="93">
        <f t="shared" si="0"/>
        <v>47299</v>
      </c>
      <c r="O47" s="93">
        <f t="shared" si="1"/>
        <v>47299</v>
      </c>
      <c r="P47" s="94">
        <v>26803.587027067224</v>
      </c>
      <c r="Q47" s="168"/>
      <c r="V47">
        <v>1</v>
      </c>
      <c r="W47" t="s">
        <v>33</v>
      </c>
      <c r="Y47" t="s">
        <v>33</v>
      </c>
      <c r="Z47" t="s">
        <v>34</v>
      </c>
      <c r="AA47">
        <v>1</v>
      </c>
    </row>
    <row r="48" spans="1:27" x14ac:dyDescent="0.35">
      <c r="A48" s="13">
        <f t="shared" si="2"/>
        <v>45930</v>
      </c>
      <c r="B48">
        <v>1</v>
      </c>
      <c r="D48" s="14" t="s">
        <v>31</v>
      </c>
      <c r="E48" s="15" t="s">
        <v>32</v>
      </c>
      <c r="F48" s="16" t="s">
        <v>32</v>
      </c>
      <c r="G48" s="17"/>
      <c r="H48" s="84" t="s">
        <v>59</v>
      </c>
      <c r="I48" s="84" t="s">
        <v>159</v>
      </c>
      <c r="J48" s="88"/>
      <c r="K48" s="91">
        <f t="shared" si="6"/>
        <v>46</v>
      </c>
      <c r="L48" s="88"/>
      <c r="M48" s="93">
        <f t="shared" si="4"/>
        <v>47330</v>
      </c>
      <c r="N48" s="93">
        <f t="shared" si="0"/>
        <v>47330</v>
      </c>
      <c r="O48" s="93">
        <f t="shared" si="1"/>
        <v>47330</v>
      </c>
      <c r="P48" s="94">
        <v>26803.587027067224</v>
      </c>
      <c r="Q48" s="168"/>
      <c r="V48">
        <v>1</v>
      </c>
      <c r="W48" t="s">
        <v>33</v>
      </c>
      <c r="Y48" t="s">
        <v>33</v>
      </c>
      <c r="Z48" t="s">
        <v>34</v>
      </c>
      <c r="AA48">
        <v>1</v>
      </c>
    </row>
    <row r="49" spans="1:27" x14ac:dyDescent="0.35">
      <c r="A49" s="13">
        <f t="shared" si="2"/>
        <v>45930</v>
      </c>
      <c r="B49">
        <v>1</v>
      </c>
      <c r="D49" s="14" t="s">
        <v>31</v>
      </c>
      <c r="E49" s="15" t="s">
        <v>32</v>
      </c>
      <c r="F49" s="16" t="s">
        <v>32</v>
      </c>
      <c r="G49" s="17"/>
      <c r="H49" s="84" t="s">
        <v>59</v>
      </c>
      <c r="I49" s="84" t="s">
        <v>159</v>
      </c>
      <c r="J49" s="88"/>
      <c r="K49" s="91">
        <f t="shared" si="6"/>
        <v>47</v>
      </c>
      <c r="L49" s="88"/>
      <c r="M49" s="93">
        <f t="shared" si="4"/>
        <v>47361</v>
      </c>
      <c r="N49" s="93">
        <f t="shared" si="0"/>
        <v>47361</v>
      </c>
      <c r="O49" s="93">
        <f t="shared" si="1"/>
        <v>47361</v>
      </c>
      <c r="P49" s="94">
        <v>26803.587027067224</v>
      </c>
      <c r="Q49" s="168"/>
      <c r="V49">
        <v>1</v>
      </c>
      <c r="W49" t="s">
        <v>33</v>
      </c>
      <c r="Y49" t="s">
        <v>33</v>
      </c>
      <c r="Z49" t="s">
        <v>34</v>
      </c>
      <c r="AA49">
        <v>1</v>
      </c>
    </row>
    <row r="50" spans="1:27" x14ac:dyDescent="0.35">
      <c r="A50" s="13">
        <f t="shared" si="2"/>
        <v>45930</v>
      </c>
      <c r="B50">
        <v>1</v>
      </c>
      <c r="D50" s="14" t="s">
        <v>31</v>
      </c>
      <c r="E50" s="15" t="s">
        <v>32</v>
      </c>
      <c r="F50" s="16" t="s">
        <v>32</v>
      </c>
      <c r="G50" s="17"/>
      <c r="H50" s="84" t="s">
        <v>59</v>
      </c>
      <c r="I50" s="84" t="s">
        <v>159</v>
      </c>
      <c r="J50" s="88"/>
      <c r="K50" s="91">
        <f t="shared" si="6"/>
        <v>48</v>
      </c>
      <c r="L50" s="88"/>
      <c r="M50" s="93">
        <f t="shared" si="4"/>
        <v>47391</v>
      </c>
      <c r="N50" s="93">
        <f t="shared" si="0"/>
        <v>47391</v>
      </c>
      <c r="O50" s="93">
        <f t="shared" si="1"/>
        <v>47391</v>
      </c>
      <c r="P50" s="94">
        <v>26803.587027067224</v>
      </c>
      <c r="Q50" s="168"/>
      <c r="V50">
        <v>1</v>
      </c>
      <c r="W50" t="s">
        <v>33</v>
      </c>
      <c r="Y50" t="s">
        <v>33</v>
      </c>
      <c r="Z50" t="s">
        <v>34</v>
      </c>
      <c r="AA50">
        <v>1</v>
      </c>
    </row>
    <row r="51" spans="1:27" x14ac:dyDescent="0.35">
      <c r="A51" s="13">
        <f t="shared" si="2"/>
        <v>45930</v>
      </c>
      <c r="B51">
        <v>1</v>
      </c>
      <c r="D51" s="14" t="s">
        <v>31</v>
      </c>
      <c r="E51" s="15" t="s">
        <v>32</v>
      </c>
      <c r="F51" s="16" t="s">
        <v>32</v>
      </c>
      <c r="G51" s="17"/>
      <c r="H51" s="84" t="s">
        <v>59</v>
      </c>
      <c r="I51" s="84" t="s">
        <v>159</v>
      </c>
      <c r="J51" s="88"/>
      <c r="K51" s="91">
        <f t="shared" si="6"/>
        <v>49</v>
      </c>
      <c r="L51" s="88"/>
      <c r="M51" s="93">
        <f t="shared" si="4"/>
        <v>47422</v>
      </c>
      <c r="N51" s="93">
        <f t="shared" si="0"/>
        <v>47422</v>
      </c>
      <c r="O51" s="93">
        <f t="shared" si="1"/>
        <v>47422</v>
      </c>
      <c r="P51" s="94">
        <v>26803.587027067224</v>
      </c>
      <c r="Q51" s="168"/>
      <c r="V51">
        <v>1</v>
      </c>
      <c r="W51" t="s">
        <v>33</v>
      </c>
      <c r="Y51" t="s">
        <v>33</v>
      </c>
      <c r="Z51" t="s">
        <v>34</v>
      </c>
      <c r="AA51">
        <v>1</v>
      </c>
    </row>
    <row r="52" spans="1:27" x14ac:dyDescent="0.35">
      <c r="A52" s="13">
        <f t="shared" si="2"/>
        <v>45930</v>
      </c>
      <c r="B52">
        <v>1</v>
      </c>
      <c r="D52" s="14" t="s">
        <v>31</v>
      </c>
      <c r="E52" s="15" t="s">
        <v>32</v>
      </c>
      <c r="F52" s="16" t="s">
        <v>32</v>
      </c>
      <c r="G52" s="17"/>
      <c r="H52" s="84" t="s">
        <v>59</v>
      </c>
      <c r="I52" s="84" t="s">
        <v>159</v>
      </c>
      <c r="J52" s="88"/>
      <c r="K52" s="91">
        <f t="shared" si="6"/>
        <v>50</v>
      </c>
      <c r="L52" s="88"/>
      <c r="M52" s="93">
        <f t="shared" si="4"/>
        <v>47452</v>
      </c>
      <c r="N52" s="93">
        <f t="shared" si="0"/>
        <v>47452</v>
      </c>
      <c r="O52" s="93">
        <f t="shared" si="1"/>
        <v>47452</v>
      </c>
      <c r="P52" s="94">
        <v>26803.587027067224</v>
      </c>
      <c r="Q52" s="168"/>
      <c r="V52">
        <v>1</v>
      </c>
      <c r="W52" t="s">
        <v>33</v>
      </c>
      <c r="Y52" t="s">
        <v>33</v>
      </c>
      <c r="Z52" t="s">
        <v>34</v>
      </c>
      <c r="AA52">
        <v>1</v>
      </c>
    </row>
    <row r="53" spans="1:27" x14ac:dyDescent="0.35">
      <c r="A53" s="13">
        <f t="shared" si="2"/>
        <v>45930</v>
      </c>
      <c r="B53">
        <v>1</v>
      </c>
      <c r="D53" s="14" t="s">
        <v>31</v>
      </c>
      <c r="E53" s="15" t="s">
        <v>32</v>
      </c>
      <c r="F53" s="16" t="s">
        <v>32</v>
      </c>
      <c r="G53" s="17"/>
      <c r="H53" s="84" t="s">
        <v>59</v>
      </c>
      <c r="I53" s="84" t="s">
        <v>159</v>
      </c>
      <c r="J53" s="88"/>
      <c r="K53" s="91">
        <f t="shared" si="6"/>
        <v>51</v>
      </c>
      <c r="L53" s="88"/>
      <c r="M53" s="93">
        <f t="shared" si="4"/>
        <v>47483</v>
      </c>
      <c r="N53" s="93">
        <f t="shared" si="0"/>
        <v>47483</v>
      </c>
      <c r="O53" s="93">
        <f t="shared" si="1"/>
        <v>47483</v>
      </c>
      <c r="P53" s="94">
        <v>26803.587027067224</v>
      </c>
      <c r="Q53" s="168"/>
      <c r="V53">
        <v>1</v>
      </c>
      <c r="W53" t="s">
        <v>33</v>
      </c>
      <c r="Y53" t="s">
        <v>33</v>
      </c>
      <c r="Z53" t="s">
        <v>34</v>
      </c>
      <c r="AA53">
        <v>1</v>
      </c>
    </row>
    <row r="54" spans="1:27" x14ac:dyDescent="0.35">
      <c r="A54" s="13">
        <f t="shared" si="2"/>
        <v>45930</v>
      </c>
      <c r="B54">
        <v>1</v>
      </c>
      <c r="D54" s="14" t="s">
        <v>31</v>
      </c>
      <c r="E54" s="15" t="s">
        <v>32</v>
      </c>
      <c r="F54" s="16" t="s">
        <v>32</v>
      </c>
      <c r="G54" s="17"/>
      <c r="H54" s="84" t="s">
        <v>59</v>
      </c>
      <c r="I54" s="84" t="s">
        <v>159</v>
      </c>
      <c r="J54" s="88"/>
      <c r="K54" s="91">
        <f t="shared" si="6"/>
        <v>52</v>
      </c>
      <c r="L54" s="88"/>
      <c r="M54" s="93">
        <f t="shared" si="4"/>
        <v>47514</v>
      </c>
      <c r="N54" s="93">
        <f t="shared" si="0"/>
        <v>47514</v>
      </c>
      <c r="O54" s="93">
        <f t="shared" si="1"/>
        <v>47514</v>
      </c>
      <c r="P54" s="94">
        <v>26803.587027067224</v>
      </c>
      <c r="Q54" s="168"/>
      <c r="V54">
        <v>1</v>
      </c>
      <c r="W54" t="s">
        <v>33</v>
      </c>
      <c r="Y54" t="s">
        <v>33</v>
      </c>
      <c r="Z54" t="s">
        <v>34</v>
      </c>
      <c r="AA54">
        <v>1</v>
      </c>
    </row>
    <row r="55" spans="1:27" x14ac:dyDescent="0.35">
      <c r="A55" s="13">
        <f t="shared" si="2"/>
        <v>45930</v>
      </c>
      <c r="B55">
        <v>1</v>
      </c>
      <c r="D55" s="14" t="s">
        <v>31</v>
      </c>
      <c r="E55" s="15" t="s">
        <v>32</v>
      </c>
      <c r="F55" s="16" t="s">
        <v>32</v>
      </c>
      <c r="G55" s="17"/>
      <c r="H55" s="84" t="s">
        <v>59</v>
      </c>
      <c r="I55" s="84" t="s">
        <v>159</v>
      </c>
      <c r="J55" s="88"/>
      <c r="K55" s="91">
        <f t="shared" si="6"/>
        <v>53</v>
      </c>
      <c r="L55" s="88"/>
      <c r="M55" s="93">
        <f t="shared" si="4"/>
        <v>47542</v>
      </c>
      <c r="N55" s="93">
        <f t="shared" si="0"/>
        <v>47542</v>
      </c>
      <c r="O55" s="93">
        <f t="shared" si="1"/>
        <v>47542</v>
      </c>
      <c r="P55" s="94">
        <v>26803.587027067224</v>
      </c>
      <c r="Q55" s="168"/>
      <c r="V55">
        <v>1</v>
      </c>
      <c r="W55" t="s">
        <v>33</v>
      </c>
      <c r="Y55" t="s">
        <v>33</v>
      </c>
      <c r="Z55" t="s">
        <v>34</v>
      </c>
      <c r="AA55">
        <v>1</v>
      </c>
    </row>
    <row r="56" spans="1:27" x14ac:dyDescent="0.35">
      <c r="A56" s="13">
        <f t="shared" si="2"/>
        <v>45930</v>
      </c>
      <c r="B56">
        <v>1</v>
      </c>
      <c r="D56" s="14" t="s">
        <v>31</v>
      </c>
      <c r="E56" s="15" t="s">
        <v>32</v>
      </c>
      <c r="F56" s="16" t="s">
        <v>32</v>
      </c>
      <c r="G56" s="17"/>
      <c r="H56" s="84" t="s">
        <v>59</v>
      </c>
      <c r="I56" s="84" t="s">
        <v>159</v>
      </c>
      <c r="J56" s="88"/>
      <c r="K56" s="91">
        <f t="shared" si="6"/>
        <v>54</v>
      </c>
      <c r="L56" s="88"/>
      <c r="M56" s="93">
        <f t="shared" si="4"/>
        <v>47573</v>
      </c>
      <c r="N56" s="93">
        <f t="shared" si="0"/>
        <v>47573</v>
      </c>
      <c r="O56" s="93">
        <f t="shared" si="1"/>
        <v>47573</v>
      </c>
      <c r="P56" s="94">
        <v>26803.587027067224</v>
      </c>
      <c r="Q56" s="168"/>
      <c r="V56">
        <v>1</v>
      </c>
      <c r="W56" t="s">
        <v>33</v>
      </c>
      <c r="Y56" t="s">
        <v>33</v>
      </c>
      <c r="Z56" t="s">
        <v>34</v>
      </c>
      <c r="AA56">
        <v>1</v>
      </c>
    </row>
    <row r="57" spans="1:27" x14ac:dyDescent="0.35">
      <c r="A57" s="13">
        <f t="shared" si="2"/>
        <v>45930</v>
      </c>
      <c r="B57">
        <v>1</v>
      </c>
      <c r="D57" s="14" t="s">
        <v>31</v>
      </c>
      <c r="E57" s="15" t="s">
        <v>32</v>
      </c>
      <c r="F57" s="16" t="s">
        <v>32</v>
      </c>
      <c r="G57" s="17"/>
      <c r="H57" s="84" t="s">
        <v>59</v>
      </c>
      <c r="I57" s="84" t="s">
        <v>159</v>
      </c>
      <c r="J57" s="88"/>
      <c r="K57" s="91">
        <f t="shared" si="6"/>
        <v>55</v>
      </c>
      <c r="L57" s="88"/>
      <c r="M57" s="93">
        <f t="shared" si="4"/>
        <v>47603</v>
      </c>
      <c r="N57" s="93">
        <f t="shared" si="0"/>
        <v>47603</v>
      </c>
      <c r="O57" s="93">
        <f t="shared" si="1"/>
        <v>47603</v>
      </c>
      <c r="P57" s="94">
        <v>26803.587027067224</v>
      </c>
      <c r="Q57" s="168"/>
      <c r="V57">
        <v>1</v>
      </c>
      <c r="W57" t="s">
        <v>33</v>
      </c>
      <c r="Y57" t="s">
        <v>33</v>
      </c>
      <c r="Z57" t="s">
        <v>34</v>
      </c>
      <c r="AA57">
        <v>1</v>
      </c>
    </row>
    <row r="58" spans="1:27" x14ac:dyDescent="0.35">
      <c r="A58" s="13">
        <f t="shared" si="2"/>
        <v>45930</v>
      </c>
      <c r="B58">
        <v>1</v>
      </c>
      <c r="D58" s="14" t="s">
        <v>31</v>
      </c>
      <c r="E58" s="15" t="s">
        <v>32</v>
      </c>
      <c r="F58" s="16" t="s">
        <v>32</v>
      </c>
      <c r="G58" s="17"/>
      <c r="H58" s="84" t="s">
        <v>59</v>
      </c>
      <c r="I58" s="84" t="s">
        <v>159</v>
      </c>
      <c r="J58" s="88"/>
      <c r="K58" s="91">
        <f t="shared" si="6"/>
        <v>56</v>
      </c>
      <c r="L58" s="88"/>
      <c r="M58" s="93">
        <f t="shared" si="4"/>
        <v>47634</v>
      </c>
      <c r="N58" s="93">
        <f t="shared" si="0"/>
        <v>47634</v>
      </c>
      <c r="O58" s="93">
        <f t="shared" si="1"/>
        <v>47634</v>
      </c>
      <c r="P58" s="94">
        <v>26803.587027067224</v>
      </c>
      <c r="Q58" s="168"/>
      <c r="V58">
        <v>1</v>
      </c>
      <c r="W58" t="s">
        <v>33</v>
      </c>
      <c r="Y58" t="s">
        <v>33</v>
      </c>
      <c r="Z58" t="s">
        <v>34</v>
      </c>
      <c r="AA58">
        <v>1</v>
      </c>
    </row>
    <row r="59" spans="1:27" x14ac:dyDescent="0.35">
      <c r="A59" s="13">
        <f t="shared" si="2"/>
        <v>45930</v>
      </c>
      <c r="B59">
        <v>1</v>
      </c>
      <c r="D59" s="14" t="s">
        <v>31</v>
      </c>
      <c r="E59" s="15" t="s">
        <v>32</v>
      </c>
      <c r="F59" s="16" t="s">
        <v>32</v>
      </c>
      <c r="G59" s="17"/>
      <c r="H59" s="84" t="s">
        <v>59</v>
      </c>
      <c r="I59" s="84" t="s">
        <v>159</v>
      </c>
      <c r="J59" s="88"/>
      <c r="K59" s="91">
        <f t="shared" si="6"/>
        <v>57</v>
      </c>
      <c r="L59" s="88"/>
      <c r="M59" s="93">
        <f t="shared" si="4"/>
        <v>47664</v>
      </c>
      <c r="N59" s="93">
        <f t="shared" si="0"/>
        <v>47664</v>
      </c>
      <c r="O59" s="93">
        <f t="shared" si="1"/>
        <v>47664</v>
      </c>
      <c r="P59" s="94">
        <v>26803.587027067224</v>
      </c>
      <c r="Q59" s="168"/>
      <c r="V59">
        <v>1</v>
      </c>
      <c r="W59" t="s">
        <v>33</v>
      </c>
      <c r="Y59" t="s">
        <v>33</v>
      </c>
      <c r="Z59" t="s">
        <v>34</v>
      </c>
      <c r="AA59">
        <v>1</v>
      </c>
    </row>
    <row r="60" spans="1:27" x14ac:dyDescent="0.35">
      <c r="A60" s="13">
        <f t="shared" si="2"/>
        <v>45930</v>
      </c>
      <c r="B60">
        <v>1</v>
      </c>
      <c r="D60" s="14" t="s">
        <v>31</v>
      </c>
      <c r="E60" s="15" t="s">
        <v>32</v>
      </c>
      <c r="F60" s="16" t="s">
        <v>32</v>
      </c>
      <c r="G60" s="17"/>
      <c r="H60" s="84" t="s">
        <v>59</v>
      </c>
      <c r="I60" s="84" t="s">
        <v>159</v>
      </c>
      <c r="J60" s="88"/>
      <c r="K60" s="91">
        <f t="shared" si="6"/>
        <v>58</v>
      </c>
      <c r="L60" s="88"/>
      <c r="M60" s="93">
        <f t="shared" si="4"/>
        <v>47695</v>
      </c>
      <c r="N60" s="93">
        <f t="shared" si="0"/>
        <v>47695</v>
      </c>
      <c r="O60" s="93">
        <f t="shared" si="1"/>
        <v>47695</v>
      </c>
      <c r="P60" s="94">
        <v>26803.587027067224</v>
      </c>
      <c r="Q60" s="168"/>
      <c r="V60">
        <v>1</v>
      </c>
      <c r="W60" t="s">
        <v>33</v>
      </c>
      <c r="Y60" t="s">
        <v>33</v>
      </c>
      <c r="Z60" t="s">
        <v>34</v>
      </c>
      <c r="AA60">
        <v>1</v>
      </c>
    </row>
    <row r="61" spans="1:27" x14ac:dyDescent="0.35">
      <c r="A61" s="13">
        <f t="shared" si="2"/>
        <v>45930</v>
      </c>
      <c r="B61">
        <v>1</v>
      </c>
      <c r="D61" s="14" t="s">
        <v>31</v>
      </c>
      <c r="E61" s="15" t="s">
        <v>32</v>
      </c>
      <c r="F61" s="16" t="s">
        <v>32</v>
      </c>
      <c r="G61" s="17"/>
      <c r="H61" s="84" t="s">
        <v>59</v>
      </c>
      <c r="I61" s="84" t="s">
        <v>159</v>
      </c>
      <c r="J61" s="88"/>
      <c r="K61" s="91">
        <f t="shared" si="6"/>
        <v>59</v>
      </c>
      <c r="L61" s="88"/>
      <c r="M61" s="93">
        <f t="shared" si="4"/>
        <v>47726</v>
      </c>
      <c r="N61" s="93">
        <f t="shared" si="0"/>
        <v>47726</v>
      </c>
      <c r="O61" s="93">
        <f t="shared" si="1"/>
        <v>47726</v>
      </c>
      <c r="P61" s="94">
        <v>26803.587027067224</v>
      </c>
      <c r="Q61" s="168"/>
      <c r="V61">
        <v>1</v>
      </c>
      <c r="W61" t="s">
        <v>33</v>
      </c>
      <c r="Y61" t="s">
        <v>33</v>
      </c>
      <c r="Z61" t="s">
        <v>34</v>
      </c>
      <c r="AA61">
        <v>1</v>
      </c>
    </row>
    <row r="62" spans="1:27" x14ac:dyDescent="0.35">
      <c r="A62" s="13">
        <f t="shared" si="2"/>
        <v>45930</v>
      </c>
      <c r="B62">
        <v>1</v>
      </c>
      <c r="D62" s="14" t="s">
        <v>31</v>
      </c>
      <c r="E62" s="15" t="s">
        <v>32</v>
      </c>
      <c r="F62" s="16" t="s">
        <v>32</v>
      </c>
      <c r="G62" s="17"/>
      <c r="H62" s="84" t="s">
        <v>59</v>
      </c>
      <c r="I62" s="84" t="s">
        <v>159</v>
      </c>
      <c r="J62" s="88"/>
      <c r="K62" s="91">
        <f t="shared" si="6"/>
        <v>60</v>
      </c>
      <c r="L62" s="88"/>
      <c r="M62" s="93">
        <f t="shared" si="4"/>
        <v>47756</v>
      </c>
      <c r="N62" s="93">
        <f t="shared" si="0"/>
        <v>47756</v>
      </c>
      <c r="O62" s="93">
        <f t="shared" si="1"/>
        <v>47756</v>
      </c>
      <c r="P62" s="94">
        <v>26803.587027067224</v>
      </c>
      <c r="Q62" s="168"/>
      <c r="V62">
        <v>1</v>
      </c>
      <c r="W62" t="s">
        <v>33</v>
      </c>
      <c r="Y62" t="s">
        <v>33</v>
      </c>
      <c r="Z62" t="s">
        <v>34</v>
      </c>
      <c r="AA62">
        <v>1</v>
      </c>
    </row>
    <row r="63" spans="1:27" x14ac:dyDescent="0.35">
      <c r="A63" s="13">
        <f t="shared" si="2"/>
        <v>45930</v>
      </c>
      <c r="B63">
        <v>1</v>
      </c>
      <c r="D63" s="14" t="s">
        <v>31</v>
      </c>
      <c r="E63" s="15" t="s">
        <v>32</v>
      </c>
      <c r="F63" s="16" t="s">
        <v>32</v>
      </c>
      <c r="G63" s="17"/>
      <c r="H63" s="84" t="s">
        <v>59</v>
      </c>
      <c r="I63" s="84" t="s">
        <v>159</v>
      </c>
      <c r="J63" s="88"/>
      <c r="K63" s="91">
        <f t="shared" si="6"/>
        <v>61</v>
      </c>
      <c r="L63" s="88"/>
      <c r="M63" s="93">
        <f t="shared" si="4"/>
        <v>47787</v>
      </c>
      <c r="N63" s="93">
        <f t="shared" si="0"/>
        <v>47787</v>
      </c>
      <c r="O63" s="93">
        <f t="shared" si="1"/>
        <v>47787</v>
      </c>
      <c r="P63" s="94">
        <v>26803.587027067224</v>
      </c>
      <c r="Q63" s="168"/>
      <c r="V63">
        <v>1</v>
      </c>
      <c r="W63" t="s">
        <v>33</v>
      </c>
      <c r="Y63" t="s">
        <v>33</v>
      </c>
      <c r="Z63" t="s">
        <v>34</v>
      </c>
      <c r="AA63">
        <v>1</v>
      </c>
    </row>
    <row r="64" spans="1:27" x14ac:dyDescent="0.35">
      <c r="A64" s="13">
        <f t="shared" si="2"/>
        <v>45930</v>
      </c>
      <c r="B64">
        <v>1</v>
      </c>
      <c r="D64" s="14" t="s">
        <v>31</v>
      </c>
      <c r="E64" s="15" t="s">
        <v>32</v>
      </c>
      <c r="F64" s="16" t="s">
        <v>32</v>
      </c>
      <c r="G64" s="17"/>
      <c r="H64" s="84" t="s">
        <v>59</v>
      </c>
      <c r="I64" s="84" t="s">
        <v>159</v>
      </c>
      <c r="J64" s="88"/>
      <c r="K64" s="91">
        <f t="shared" si="6"/>
        <v>62</v>
      </c>
      <c r="L64" s="88"/>
      <c r="M64" s="93">
        <f t="shared" si="4"/>
        <v>47817</v>
      </c>
      <c r="N64" s="93">
        <f t="shared" si="0"/>
        <v>47817</v>
      </c>
      <c r="O64" s="93">
        <f t="shared" si="1"/>
        <v>47817</v>
      </c>
      <c r="P64" s="94">
        <v>26803.587027067224</v>
      </c>
      <c r="Q64" s="168"/>
      <c r="V64">
        <v>1</v>
      </c>
      <c r="W64" t="s">
        <v>33</v>
      </c>
      <c r="Y64" t="s">
        <v>33</v>
      </c>
      <c r="Z64" t="s">
        <v>34</v>
      </c>
      <c r="AA64">
        <v>1</v>
      </c>
    </row>
    <row r="65" spans="1:27" x14ac:dyDescent="0.35">
      <c r="A65" s="13">
        <f t="shared" si="2"/>
        <v>45930</v>
      </c>
      <c r="B65">
        <v>1</v>
      </c>
      <c r="D65" s="14" t="s">
        <v>31</v>
      </c>
      <c r="E65" s="15" t="s">
        <v>32</v>
      </c>
      <c r="F65" s="16" t="s">
        <v>32</v>
      </c>
      <c r="G65" s="17"/>
      <c r="H65" s="84" t="s">
        <v>59</v>
      </c>
      <c r="I65" s="84" t="s">
        <v>159</v>
      </c>
      <c r="J65" s="88"/>
      <c r="K65" s="91">
        <f t="shared" si="6"/>
        <v>63</v>
      </c>
      <c r="L65" s="88"/>
      <c r="M65" s="93">
        <f t="shared" si="4"/>
        <v>47848</v>
      </c>
      <c r="N65" s="93">
        <f t="shared" si="0"/>
        <v>47848</v>
      </c>
      <c r="O65" s="93">
        <f t="shared" si="1"/>
        <v>47848</v>
      </c>
      <c r="P65" s="94">
        <v>26803.587027067224</v>
      </c>
      <c r="Q65" s="168"/>
      <c r="V65">
        <v>1</v>
      </c>
      <c r="W65" t="s">
        <v>33</v>
      </c>
      <c r="Y65" t="s">
        <v>33</v>
      </c>
      <c r="Z65" t="s">
        <v>34</v>
      </c>
      <c r="AA65">
        <v>1</v>
      </c>
    </row>
    <row r="66" spans="1:27" x14ac:dyDescent="0.35">
      <c r="A66" s="13">
        <f t="shared" si="2"/>
        <v>45930</v>
      </c>
      <c r="B66">
        <v>1</v>
      </c>
      <c r="D66" s="14" t="s">
        <v>31</v>
      </c>
      <c r="E66" s="15" t="s">
        <v>32</v>
      </c>
      <c r="F66" s="16" t="s">
        <v>32</v>
      </c>
      <c r="G66" s="17"/>
      <c r="H66" s="84" t="s">
        <v>59</v>
      </c>
      <c r="I66" s="84" t="s">
        <v>159</v>
      </c>
      <c r="J66" s="88"/>
      <c r="K66" s="91">
        <f t="shared" si="6"/>
        <v>64</v>
      </c>
      <c r="L66" s="88"/>
      <c r="M66" s="93">
        <f t="shared" si="4"/>
        <v>47879</v>
      </c>
      <c r="N66" s="93">
        <f t="shared" si="0"/>
        <v>47879</v>
      </c>
      <c r="O66" s="93">
        <f t="shared" si="1"/>
        <v>47879</v>
      </c>
      <c r="P66" s="94">
        <v>26803.587027067224</v>
      </c>
      <c r="Q66" s="168"/>
      <c r="V66">
        <v>1</v>
      </c>
      <c r="W66" t="s">
        <v>33</v>
      </c>
      <c r="Y66" t="s">
        <v>33</v>
      </c>
      <c r="Z66" t="s">
        <v>34</v>
      </c>
      <c r="AA66">
        <v>1</v>
      </c>
    </row>
    <row r="67" spans="1:27" x14ac:dyDescent="0.35">
      <c r="A67" s="13">
        <f t="shared" si="2"/>
        <v>45930</v>
      </c>
      <c r="B67">
        <v>1</v>
      </c>
      <c r="D67" s="14" t="s">
        <v>31</v>
      </c>
      <c r="E67" s="15" t="s">
        <v>32</v>
      </c>
      <c r="F67" s="16" t="s">
        <v>32</v>
      </c>
      <c r="G67" s="17"/>
      <c r="H67" s="84" t="s">
        <v>59</v>
      </c>
      <c r="I67" s="84" t="s">
        <v>159</v>
      </c>
      <c r="J67" s="88"/>
      <c r="K67" s="91">
        <f t="shared" si="6"/>
        <v>65</v>
      </c>
      <c r="L67" s="88"/>
      <c r="M67" s="93">
        <f t="shared" si="4"/>
        <v>47907</v>
      </c>
      <c r="N67" s="93">
        <f t="shared" si="0"/>
        <v>47907</v>
      </c>
      <c r="O67" s="93">
        <f t="shared" ref="O67:O130" si="7">N67</f>
        <v>47907</v>
      </c>
      <c r="P67" s="94">
        <v>26803.587027067224</v>
      </c>
      <c r="Q67" s="168"/>
      <c r="V67">
        <v>1</v>
      </c>
      <c r="W67" t="s">
        <v>33</v>
      </c>
      <c r="Y67" t="s">
        <v>33</v>
      </c>
      <c r="Z67" t="s">
        <v>34</v>
      </c>
      <c r="AA67">
        <v>1</v>
      </c>
    </row>
    <row r="68" spans="1:27" x14ac:dyDescent="0.35">
      <c r="A68" s="13">
        <f t="shared" ref="A68:A131" si="8">A67</f>
        <v>45930</v>
      </c>
      <c r="B68">
        <v>1</v>
      </c>
      <c r="D68" s="14" t="s">
        <v>31</v>
      </c>
      <c r="E68" s="15" t="s">
        <v>32</v>
      </c>
      <c r="F68" s="16" t="s">
        <v>32</v>
      </c>
      <c r="G68" s="17"/>
      <c r="H68" s="84" t="s">
        <v>59</v>
      </c>
      <c r="I68" s="84" t="s">
        <v>159</v>
      </c>
      <c r="J68" s="88"/>
      <c r="K68" s="91">
        <f t="shared" si="6"/>
        <v>66</v>
      </c>
      <c r="L68" s="88"/>
      <c r="M68" s="93">
        <f t="shared" si="4"/>
        <v>47938</v>
      </c>
      <c r="N68" s="93">
        <f t="shared" ref="N68:N131" si="9">M68</f>
        <v>47938</v>
      </c>
      <c r="O68" s="93">
        <f t="shared" si="7"/>
        <v>47938</v>
      </c>
      <c r="P68" s="94">
        <v>26803.587027067224</v>
      </c>
      <c r="Q68" s="168"/>
      <c r="V68">
        <v>1</v>
      </c>
      <c r="W68" t="s">
        <v>33</v>
      </c>
      <c r="Y68" t="s">
        <v>33</v>
      </c>
      <c r="Z68" t="s">
        <v>34</v>
      </c>
      <c r="AA68">
        <v>1</v>
      </c>
    </row>
    <row r="69" spans="1:27" x14ac:dyDescent="0.35">
      <c r="A69" s="13">
        <f t="shared" si="8"/>
        <v>45930</v>
      </c>
      <c r="B69">
        <v>1</v>
      </c>
      <c r="D69" s="14" t="s">
        <v>31</v>
      </c>
      <c r="E69" s="15" t="s">
        <v>32</v>
      </c>
      <c r="F69" s="16" t="s">
        <v>32</v>
      </c>
      <c r="G69" s="17"/>
      <c r="H69" s="84" t="s">
        <v>59</v>
      </c>
      <c r="I69" s="84" t="s">
        <v>159</v>
      </c>
      <c r="J69" s="88"/>
      <c r="K69" s="91">
        <f t="shared" si="6"/>
        <v>67</v>
      </c>
      <c r="L69" s="88"/>
      <c r="M69" s="93">
        <f t="shared" ref="M69:M132" si="10">EOMONTH(M68,1)</f>
        <v>47968</v>
      </c>
      <c r="N69" s="93">
        <f t="shared" si="9"/>
        <v>47968</v>
      </c>
      <c r="O69" s="93">
        <f t="shared" si="7"/>
        <v>47968</v>
      </c>
      <c r="P69" s="94">
        <v>26803.587027067224</v>
      </c>
      <c r="Q69" s="168"/>
      <c r="V69">
        <v>1</v>
      </c>
      <c r="W69" t="s">
        <v>33</v>
      </c>
      <c r="Y69" t="s">
        <v>33</v>
      </c>
      <c r="Z69" t="s">
        <v>34</v>
      </c>
      <c r="AA69">
        <v>1</v>
      </c>
    </row>
    <row r="70" spans="1:27" x14ac:dyDescent="0.35">
      <c r="A70" s="13">
        <f t="shared" si="8"/>
        <v>45930</v>
      </c>
      <c r="B70">
        <v>1</v>
      </c>
      <c r="D70" s="14" t="s">
        <v>31</v>
      </c>
      <c r="E70" s="15" t="s">
        <v>32</v>
      </c>
      <c r="F70" s="16" t="s">
        <v>32</v>
      </c>
      <c r="G70" s="17"/>
      <c r="H70" s="84" t="s">
        <v>59</v>
      </c>
      <c r="I70" s="84" t="s">
        <v>159</v>
      </c>
      <c r="J70" s="88"/>
      <c r="K70" s="91">
        <f t="shared" si="6"/>
        <v>68</v>
      </c>
      <c r="L70" s="88"/>
      <c r="M70" s="93">
        <f t="shared" si="10"/>
        <v>47999</v>
      </c>
      <c r="N70" s="93">
        <f t="shared" si="9"/>
        <v>47999</v>
      </c>
      <c r="O70" s="93">
        <f t="shared" si="7"/>
        <v>47999</v>
      </c>
      <c r="P70" s="94">
        <v>26803.587027067224</v>
      </c>
      <c r="Q70" s="168"/>
      <c r="V70">
        <v>1</v>
      </c>
      <c r="W70" t="s">
        <v>33</v>
      </c>
      <c r="Y70" t="s">
        <v>33</v>
      </c>
      <c r="Z70" t="s">
        <v>34</v>
      </c>
      <c r="AA70">
        <v>1</v>
      </c>
    </row>
    <row r="71" spans="1:27" x14ac:dyDescent="0.35">
      <c r="A71" s="13">
        <f t="shared" si="8"/>
        <v>45930</v>
      </c>
      <c r="B71">
        <v>1</v>
      </c>
      <c r="D71" s="14" t="s">
        <v>31</v>
      </c>
      <c r="E71" s="15" t="s">
        <v>32</v>
      </c>
      <c r="F71" s="16" t="s">
        <v>32</v>
      </c>
      <c r="G71" s="17"/>
      <c r="H71" s="84" t="s">
        <v>59</v>
      </c>
      <c r="I71" s="84" t="s">
        <v>159</v>
      </c>
      <c r="J71" s="88"/>
      <c r="K71" s="91">
        <f t="shared" si="6"/>
        <v>69</v>
      </c>
      <c r="L71" s="88"/>
      <c r="M71" s="93">
        <f t="shared" si="10"/>
        <v>48029</v>
      </c>
      <c r="N71" s="93">
        <f t="shared" si="9"/>
        <v>48029</v>
      </c>
      <c r="O71" s="93">
        <f t="shared" si="7"/>
        <v>48029</v>
      </c>
      <c r="P71" s="94">
        <v>26803.587027067224</v>
      </c>
      <c r="Q71" s="168"/>
      <c r="V71">
        <v>1</v>
      </c>
      <c r="W71" t="s">
        <v>33</v>
      </c>
      <c r="Y71" t="s">
        <v>33</v>
      </c>
      <c r="Z71" t="s">
        <v>34</v>
      </c>
      <c r="AA71">
        <v>1</v>
      </c>
    </row>
    <row r="72" spans="1:27" x14ac:dyDescent="0.35">
      <c r="A72" s="13">
        <f t="shared" si="8"/>
        <v>45930</v>
      </c>
      <c r="B72">
        <v>1</v>
      </c>
      <c r="D72" s="14" t="s">
        <v>31</v>
      </c>
      <c r="E72" s="15" t="s">
        <v>32</v>
      </c>
      <c r="F72" s="16" t="s">
        <v>32</v>
      </c>
      <c r="G72" s="17"/>
      <c r="H72" s="84" t="s">
        <v>59</v>
      </c>
      <c r="I72" s="84" t="s">
        <v>159</v>
      </c>
      <c r="J72" s="88"/>
      <c r="K72" s="91">
        <f t="shared" si="6"/>
        <v>70</v>
      </c>
      <c r="L72" s="88"/>
      <c r="M72" s="93">
        <f t="shared" si="10"/>
        <v>48060</v>
      </c>
      <c r="N72" s="93">
        <f t="shared" si="9"/>
        <v>48060</v>
      </c>
      <c r="O72" s="93">
        <f t="shared" si="7"/>
        <v>48060</v>
      </c>
      <c r="P72" s="94">
        <v>26803.587027067224</v>
      </c>
      <c r="Q72" s="168"/>
      <c r="V72">
        <v>1</v>
      </c>
      <c r="W72" t="s">
        <v>33</v>
      </c>
      <c r="Y72" t="s">
        <v>33</v>
      </c>
      <c r="Z72" t="s">
        <v>34</v>
      </c>
      <c r="AA72">
        <v>1</v>
      </c>
    </row>
    <row r="73" spans="1:27" x14ac:dyDescent="0.35">
      <c r="A73" s="13">
        <f t="shared" si="8"/>
        <v>45930</v>
      </c>
      <c r="B73">
        <v>1</v>
      </c>
      <c r="D73" s="14" t="s">
        <v>31</v>
      </c>
      <c r="E73" s="15" t="s">
        <v>32</v>
      </c>
      <c r="F73" s="16" t="s">
        <v>32</v>
      </c>
      <c r="G73" s="17"/>
      <c r="H73" s="84" t="s">
        <v>59</v>
      </c>
      <c r="I73" s="84" t="s">
        <v>159</v>
      </c>
      <c r="J73" s="88"/>
      <c r="K73" s="91">
        <f t="shared" si="6"/>
        <v>71</v>
      </c>
      <c r="L73" s="88"/>
      <c r="M73" s="93">
        <f t="shared" si="10"/>
        <v>48091</v>
      </c>
      <c r="N73" s="93">
        <f t="shared" si="9"/>
        <v>48091</v>
      </c>
      <c r="O73" s="93">
        <f t="shared" si="7"/>
        <v>48091</v>
      </c>
      <c r="P73" s="94">
        <v>26803.587027067224</v>
      </c>
      <c r="Q73" s="168"/>
      <c r="V73">
        <v>1</v>
      </c>
      <c r="W73" t="s">
        <v>33</v>
      </c>
      <c r="Y73" t="s">
        <v>33</v>
      </c>
      <c r="Z73" t="s">
        <v>34</v>
      </c>
      <c r="AA73">
        <v>1</v>
      </c>
    </row>
    <row r="74" spans="1:27" x14ac:dyDescent="0.35">
      <c r="A74" s="13">
        <f t="shared" si="8"/>
        <v>45930</v>
      </c>
      <c r="B74">
        <v>1</v>
      </c>
      <c r="D74" s="14" t="s">
        <v>31</v>
      </c>
      <c r="E74" s="15" t="s">
        <v>32</v>
      </c>
      <c r="F74" s="16" t="s">
        <v>32</v>
      </c>
      <c r="G74" s="17"/>
      <c r="H74" s="84" t="s">
        <v>59</v>
      </c>
      <c r="I74" s="84" t="s">
        <v>159</v>
      </c>
      <c r="J74" s="88"/>
      <c r="K74" s="91">
        <f t="shared" si="6"/>
        <v>72</v>
      </c>
      <c r="L74" s="88"/>
      <c r="M74" s="93">
        <f t="shared" si="10"/>
        <v>48121</v>
      </c>
      <c r="N74" s="93">
        <f t="shared" si="9"/>
        <v>48121</v>
      </c>
      <c r="O74" s="93">
        <f t="shared" si="7"/>
        <v>48121</v>
      </c>
      <c r="P74" s="94">
        <v>26803.587027067224</v>
      </c>
      <c r="Q74" s="168"/>
      <c r="V74">
        <v>1</v>
      </c>
      <c r="W74" t="s">
        <v>33</v>
      </c>
      <c r="Y74" t="s">
        <v>33</v>
      </c>
      <c r="Z74" t="s">
        <v>34</v>
      </c>
      <c r="AA74">
        <v>1</v>
      </c>
    </row>
    <row r="75" spans="1:27" x14ac:dyDescent="0.35">
      <c r="A75" s="13">
        <f t="shared" si="8"/>
        <v>45930</v>
      </c>
      <c r="B75">
        <v>1</v>
      </c>
      <c r="D75" s="14" t="s">
        <v>31</v>
      </c>
      <c r="E75" s="15" t="s">
        <v>32</v>
      </c>
      <c r="F75" s="16" t="s">
        <v>32</v>
      </c>
      <c r="G75" s="17"/>
      <c r="H75" s="84" t="s">
        <v>59</v>
      </c>
      <c r="I75" s="84" t="s">
        <v>159</v>
      </c>
      <c r="J75" s="88"/>
      <c r="K75" s="91">
        <f t="shared" si="6"/>
        <v>73</v>
      </c>
      <c r="L75" s="88"/>
      <c r="M75" s="93">
        <f t="shared" si="10"/>
        <v>48152</v>
      </c>
      <c r="N75" s="93">
        <f t="shared" si="9"/>
        <v>48152</v>
      </c>
      <c r="O75" s="93">
        <f t="shared" si="7"/>
        <v>48152</v>
      </c>
      <c r="P75" s="94">
        <v>26803.587027067224</v>
      </c>
      <c r="Q75" s="168"/>
      <c r="V75">
        <v>1</v>
      </c>
      <c r="W75" t="s">
        <v>33</v>
      </c>
      <c r="Y75" t="s">
        <v>33</v>
      </c>
      <c r="Z75" t="s">
        <v>34</v>
      </c>
      <c r="AA75">
        <v>1</v>
      </c>
    </row>
    <row r="76" spans="1:27" x14ac:dyDescent="0.35">
      <c r="A76" s="13">
        <f t="shared" si="8"/>
        <v>45930</v>
      </c>
      <c r="B76">
        <v>1</v>
      </c>
      <c r="D76" s="14" t="s">
        <v>31</v>
      </c>
      <c r="E76" s="15" t="s">
        <v>32</v>
      </c>
      <c r="F76" s="16" t="s">
        <v>32</v>
      </c>
      <c r="G76" s="17"/>
      <c r="H76" s="84" t="s">
        <v>59</v>
      </c>
      <c r="I76" s="84" t="s">
        <v>159</v>
      </c>
      <c r="J76" s="88"/>
      <c r="K76" s="91">
        <f t="shared" si="6"/>
        <v>74</v>
      </c>
      <c r="L76" s="88"/>
      <c r="M76" s="93">
        <f t="shared" si="10"/>
        <v>48182</v>
      </c>
      <c r="N76" s="93">
        <f t="shared" si="9"/>
        <v>48182</v>
      </c>
      <c r="O76" s="93">
        <f t="shared" si="7"/>
        <v>48182</v>
      </c>
      <c r="P76" s="94">
        <v>26803.587027067224</v>
      </c>
      <c r="Q76" s="168"/>
      <c r="V76">
        <v>1</v>
      </c>
      <c r="W76" t="s">
        <v>33</v>
      </c>
      <c r="Y76" t="s">
        <v>33</v>
      </c>
      <c r="Z76" t="s">
        <v>34</v>
      </c>
      <c r="AA76">
        <v>1</v>
      </c>
    </row>
    <row r="77" spans="1:27" x14ac:dyDescent="0.35">
      <c r="A77" s="13">
        <f t="shared" si="8"/>
        <v>45930</v>
      </c>
      <c r="B77">
        <v>1</v>
      </c>
      <c r="D77" s="14" t="s">
        <v>31</v>
      </c>
      <c r="E77" s="15" t="s">
        <v>32</v>
      </c>
      <c r="F77" s="16" t="s">
        <v>32</v>
      </c>
      <c r="G77" s="17"/>
      <c r="H77" s="84" t="s">
        <v>59</v>
      </c>
      <c r="I77" s="84" t="s">
        <v>159</v>
      </c>
      <c r="J77" s="88"/>
      <c r="K77" s="91">
        <f t="shared" si="6"/>
        <v>75</v>
      </c>
      <c r="L77" s="88"/>
      <c r="M77" s="93">
        <f t="shared" si="10"/>
        <v>48213</v>
      </c>
      <c r="N77" s="93">
        <f t="shared" si="9"/>
        <v>48213</v>
      </c>
      <c r="O77" s="93">
        <f t="shared" si="7"/>
        <v>48213</v>
      </c>
      <c r="P77" s="94">
        <v>26803.587027067224</v>
      </c>
      <c r="Q77" s="168"/>
      <c r="V77">
        <v>1</v>
      </c>
      <c r="W77" t="s">
        <v>33</v>
      </c>
      <c r="Y77" t="s">
        <v>33</v>
      </c>
      <c r="Z77" t="s">
        <v>34</v>
      </c>
      <c r="AA77">
        <v>1</v>
      </c>
    </row>
    <row r="78" spans="1:27" x14ac:dyDescent="0.35">
      <c r="A78" s="13">
        <f t="shared" si="8"/>
        <v>45930</v>
      </c>
      <c r="B78">
        <v>1</v>
      </c>
      <c r="D78" s="14" t="s">
        <v>31</v>
      </c>
      <c r="E78" s="15" t="s">
        <v>32</v>
      </c>
      <c r="F78" s="16" t="s">
        <v>32</v>
      </c>
      <c r="G78" s="17"/>
      <c r="H78" s="84" t="s">
        <v>59</v>
      </c>
      <c r="I78" s="84" t="s">
        <v>159</v>
      </c>
      <c r="J78" s="88"/>
      <c r="K78" s="91">
        <f t="shared" si="6"/>
        <v>76</v>
      </c>
      <c r="L78" s="88"/>
      <c r="M78" s="93">
        <f t="shared" si="10"/>
        <v>48244</v>
      </c>
      <c r="N78" s="93">
        <f t="shared" si="9"/>
        <v>48244</v>
      </c>
      <c r="O78" s="93">
        <f t="shared" si="7"/>
        <v>48244</v>
      </c>
      <c r="P78" s="94">
        <v>26803.587027067224</v>
      </c>
      <c r="Q78" s="168"/>
      <c r="V78">
        <v>1</v>
      </c>
      <c r="W78" t="s">
        <v>33</v>
      </c>
      <c r="Y78" t="s">
        <v>33</v>
      </c>
      <c r="Z78" t="s">
        <v>34</v>
      </c>
      <c r="AA78">
        <v>1</v>
      </c>
    </row>
    <row r="79" spans="1:27" x14ac:dyDescent="0.35">
      <c r="A79" s="13">
        <f t="shared" si="8"/>
        <v>45930</v>
      </c>
      <c r="B79">
        <v>1</v>
      </c>
      <c r="D79" s="14" t="s">
        <v>31</v>
      </c>
      <c r="E79" s="15" t="s">
        <v>32</v>
      </c>
      <c r="F79" s="16" t="s">
        <v>32</v>
      </c>
      <c r="G79" s="17"/>
      <c r="H79" s="84" t="s">
        <v>59</v>
      </c>
      <c r="I79" s="84" t="s">
        <v>159</v>
      </c>
      <c r="J79" s="88"/>
      <c r="K79" s="91">
        <f t="shared" si="6"/>
        <v>77</v>
      </c>
      <c r="L79" s="88"/>
      <c r="M79" s="93">
        <f t="shared" si="10"/>
        <v>48273</v>
      </c>
      <c r="N79" s="93">
        <f t="shared" si="9"/>
        <v>48273</v>
      </c>
      <c r="O79" s="93">
        <f t="shared" si="7"/>
        <v>48273</v>
      </c>
      <c r="P79" s="94">
        <v>26803.587027067224</v>
      </c>
      <c r="Q79" s="168"/>
      <c r="V79">
        <v>1</v>
      </c>
      <c r="W79" t="s">
        <v>33</v>
      </c>
      <c r="Y79" t="s">
        <v>33</v>
      </c>
      <c r="Z79" t="s">
        <v>34</v>
      </c>
      <c r="AA79">
        <v>1</v>
      </c>
    </row>
    <row r="80" spans="1:27" x14ac:dyDescent="0.35">
      <c r="A80" s="13">
        <f t="shared" si="8"/>
        <v>45930</v>
      </c>
      <c r="B80">
        <v>1</v>
      </c>
      <c r="D80" s="14" t="s">
        <v>31</v>
      </c>
      <c r="E80" s="15" t="s">
        <v>32</v>
      </c>
      <c r="F80" s="16" t="s">
        <v>32</v>
      </c>
      <c r="G80" s="17"/>
      <c r="H80" s="84" t="s">
        <v>59</v>
      </c>
      <c r="I80" s="84" t="s">
        <v>159</v>
      </c>
      <c r="J80" s="88"/>
      <c r="K80" s="91">
        <f t="shared" si="6"/>
        <v>78</v>
      </c>
      <c r="L80" s="88"/>
      <c r="M80" s="93">
        <f t="shared" si="10"/>
        <v>48304</v>
      </c>
      <c r="N80" s="93">
        <f t="shared" si="9"/>
        <v>48304</v>
      </c>
      <c r="O80" s="93">
        <f t="shared" si="7"/>
        <v>48304</v>
      </c>
      <c r="P80" s="94">
        <v>26803.587027067224</v>
      </c>
      <c r="Q80" s="168"/>
      <c r="V80">
        <v>1</v>
      </c>
      <c r="W80" t="s">
        <v>33</v>
      </c>
      <c r="Y80" t="s">
        <v>33</v>
      </c>
      <c r="Z80" t="s">
        <v>34</v>
      </c>
      <c r="AA80">
        <v>1</v>
      </c>
    </row>
    <row r="81" spans="1:27" x14ac:dyDescent="0.35">
      <c r="A81" s="13">
        <f t="shared" si="8"/>
        <v>45930</v>
      </c>
      <c r="B81">
        <v>1</v>
      </c>
      <c r="D81" s="14" t="s">
        <v>31</v>
      </c>
      <c r="E81" s="15" t="s">
        <v>32</v>
      </c>
      <c r="F81" s="16" t="s">
        <v>32</v>
      </c>
      <c r="G81" s="17"/>
      <c r="H81" s="84" t="s">
        <v>59</v>
      </c>
      <c r="I81" s="84" t="s">
        <v>159</v>
      </c>
      <c r="J81" s="88"/>
      <c r="K81" s="91">
        <f t="shared" si="6"/>
        <v>79</v>
      </c>
      <c r="L81" s="88"/>
      <c r="M81" s="93">
        <f t="shared" si="10"/>
        <v>48334</v>
      </c>
      <c r="N81" s="93">
        <f t="shared" si="9"/>
        <v>48334</v>
      </c>
      <c r="O81" s="93">
        <f t="shared" si="7"/>
        <v>48334</v>
      </c>
      <c r="P81" s="94">
        <v>26803.587027067224</v>
      </c>
      <c r="Q81" s="168"/>
      <c r="V81">
        <v>1</v>
      </c>
      <c r="W81" t="s">
        <v>33</v>
      </c>
      <c r="Y81" t="s">
        <v>33</v>
      </c>
      <c r="Z81" t="s">
        <v>34</v>
      </c>
      <c r="AA81">
        <v>1</v>
      </c>
    </row>
    <row r="82" spans="1:27" x14ac:dyDescent="0.35">
      <c r="A82" s="13">
        <f t="shared" si="8"/>
        <v>45930</v>
      </c>
      <c r="B82">
        <v>1</v>
      </c>
      <c r="D82" s="14" t="s">
        <v>31</v>
      </c>
      <c r="E82" s="15" t="s">
        <v>32</v>
      </c>
      <c r="F82" s="16" t="s">
        <v>32</v>
      </c>
      <c r="G82" s="17"/>
      <c r="H82" s="84" t="s">
        <v>59</v>
      </c>
      <c r="I82" s="84" t="s">
        <v>159</v>
      </c>
      <c r="J82" s="88"/>
      <c r="K82" s="91">
        <f t="shared" si="6"/>
        <v>80</v>
      </c>
      <c r="L82" s="88"/>
      <c r="M82" s="93">
        <f t="shared" si="10"/>
        <v>48365</v>
      </c>
      <c r="N82" s="93">
        <f t="shared" si="9"/>
        <v>48365</v>
      </c>
      <c r="O82" s="93">
        <f t="shared" si="7"/>
        <v>48365</v>
      </c>
      <c r="P82" s="94">
        <v>26803.587027067224</v>
      </c>
      <c r="Q82" s="168"/>
      <c r="V82">
        <v>1</v>
      </c>
      <c r="W82" t="s">
        <v>33</v>
      </c>
      <c r="Y82" t="s">
        <v>33</v>
      </c>
      <c r="Z82" t="s">
        <v>34</v>
      </c>
      <c r="AA82">
        <v>1</v>
      </c>
    </row>
    <row r="83" spans="1:27" x14ac:dyDescent="0.35">
      <c r="A83" s="13">
        <f t="shared" si="8"/>
        <v>45930</v>
      </c>
      <c r="B83">
        <v>1</v>
      </c>
      <c r="D83" s="14" t="s">
        <v>31</v>
      </c>
      <c r="E83" s="15" t="s">
        <v>32</v>
      </c>
      <c r="F83" s="16" t="s">
        <v>32</v>
      </c>
      <c r="G83" s="17"/>
      <c r="H83" s="84" t="s">
        <v>59</v>
      </c>
      <c r="I83" s="84" t="s">
        <v>159</v>
      </c>
      <c r="J83" s="88"/>
      <c r="K83" s="91">
        <f t="shared" si="6"/>
        <v>81</v>
      </c>
      <c r="L83" s="88"/>
      <c r="M83" s="93">
        <f t="shared" si="10"/>
        <v>48395</v>
      </c>
      <c r="N83" s="93">
        <f t="shared" si="9"/>
        <v>48395</v>
      </c>
      <c r="O83" s="93">
        <f t="shared" si="7"/>
        <v>48395</v>
      </c>
      <c r="P83" s="94">
        <v>26803.587027067224</v>
      </c>
      <c r="Q83" s="168"/>
      <c r="V83">
        <v>1</v>
      </c>
      <c r="W83" t="s">
        <v>33</v>
      </c>
      <c r="Y83" t="s">
        <v>33</v>
      </c>
      <c r="Z83" t="s">
        <v>34</v>
      </c>
      <c r="AA83">
        <v>1</v>
      </c>
    </row>
    <row r="84" spans="1:27" x14ac:dyDescent="0.35">
      <c r="A84" s="13">
        <f t="shared" si="8"/>
        <v>45930</v>
      </c>
      <c r="B84">
        <v>1</v>
      </c>
      <c r="D84" s="14" t="s">
        <v>31</v>
      </c>
      <c r="E84" s="15" t="s">
        <v>32</v>
      </c>
      <c r="F84" s="16" t="s">
        <v>32</v>
      </c>
      <c r="G84" s="17"/>
      <c r="H84" s="84" t="s">
        <v>59</v>
      </c>
      <c r="I84" s="84" t="s">
        <v>159</v>
      </c>
      <c r="J84" s="88"/>
      <c r="K84" s="91">
        <f t="shared" si="6"/>
        <v>82</v>
      </c>
      <c r="L84" s="88"/>
      <c r="M84" s="93">
        <f t="shared" si="10"/>
        <v>48426</v>
      </c>
      <c r="N84" s="93">
        <f t="shared" si="9"/>
        <v>48426</v>
      </c>
      <c r="O84" s="93">
        <f t="shared" si="7"/>
        <v>48426</v>
      </c>
      <c r="P84" s="94">
        <v>26803.587027067224</v>
      </c>
      <c r="Q84" s="168"/>
      <c r="V84">
        <v>1</v>
      </c>
      <c r="W84" t="s">
        <v>33</v>
      </c>
      <c r="Y84" t="s">
        <v>33</v>
      </c>
      <c r="Z84" t="s">
        <v>34</v>
      </c>
      <c r="AA84">
        <v>1</v>
      </c>
    </row>
    <row r="85" spans="1:27" x14ac:dyDescent="0.35">
      <c r="A85" s="13">
        <f t="shared" si="8"/>
        <v>45930</v>
      </c>
      <c r="B85">
        <v>1</v>
      </c>
      <c r="D85" s="14" t="s">
        <v>31</v>
      </c>
      <c r="E85" s="15" t="s">
        <v>32</v>
      </c>
      <c r="F85" s="16" t="s">
        <v>32</v>
      </c>
      <c r="G85" s="17"/>
      <c r="H85" s="84" t="s">
        <v>59</v>
      </c>
      <c r="I85" s="84" t="s">
        <v>159</v>
      </c>
      <c r="J85" s="88"/>
      <c r="K85" s="91">
        <f t="shared" si="6"/>
        <v>83</v>
      </c>
      <c r="L85" s="88"/>
      <c r="M85" s="93">
        <f t="shared" si="10"/>
        <v>48457</v>
      </c>
      <c r="N85" s="93">
        <f t="shared" si="9"/>
        <v>48457</v>
      </c>
      <c r="O85" s="93">
        <f t="shared" si="7"/>
        <v>48457</v>
      </c>
      <c r="P85" s="94">
        <v>26803.587027067224</v>
      </c>
      <c r="Q85" s="168"/>
      <c r="V85">
        <v>1</v>
      </c>
      <c r="W85" t="s">
        <v>33</v>
      </c>
      <c r="Y85" t="s">
        <v>33</v>
      </c>
      <c r="Z85" t="s">
        <v>34</v>
      </c>
      <c r="AA85">
        <v>1</v>
      </c>
    </row>
    <row r="86" spans="1:27" x14ac:dyDescent="0.35">
      <c r="A86" s="13">
        <f t="shared" si="8"/>
        <v>45930</v>
      </c>
      <c r="B86">
        <v>1</v>
      </c>
      <c r="D86" s="14" t="s">
        <v>31</v>
      </c>
      <c r="E86" s="15" t="s">
        <v>32</v>
      </c>
      <c r="F86" s="16" t="s">
        <v>32</v>
      </c>
      <c r="G86" s="17"/>
      <c r="H86" s="84" t="s">
        <v>59</v>
      </c>
      <c r="I86" s="84" t="s">
        <v>159</v>
      </c>
      <c r="J86" s="88"/>
      <c r="K86" s="91">
        <f t="shared" si="6"/>
        <v>84</v>
      </c>
      <c r="L86" s="88"/>
      <c r="M86" s="93">
        <f t="shared" si="10"/>
        <v>48487</v>
      </c>
      <c r="N86" s="93">
        <f t="shared" si="9"/>
        <v>48487</v>
      </c>
      <c r="O86" s="93">
        <f t="shared" si="7"/>
        <v>48487</v>
      </c>
      <c r="P86" s="94">
        <v>26803.587027067224</v>
      </c>
      <c r="Q86" s="168"/>
      <c r="V86">
        <v>1</v>
      </c>
      <c r="W86" t="s">
        <v>33</v>
      </c>
      <c r="Y86" t="s">
        <v>33</v>
      </c>
      <c r="Z86" t="s">
        <v>34</v>
      </c>
      <c r="AA86">
        <v>1</v>
      </c>
    </row>
    <row r="87" spans="1:27" x14ac:dyDescent="0.35">
      <c r="A87" s="13">
        <f t="shared" si="8"/>
        <v>45930</v>
      </c>
      <c r="B87">
        <v>1</v>
      </c>
      <c r="D87" s="14" t="s">
        <v>31</v>
      </c>
      <c r="E87" s="15" t="s">
        <v>32</v>
      </c>
      <c r="F87" s="16" t="s">
        <v>32</v>
      </c>
      <c r="G87" s="17"/>
      <c r="H87" s="84" t="s">
        <v>59</v>
      </c>
      <c r="I87" s="84" t="s">
        <v>159</v>
      </c>
      <c r="J87" s="88"/>
      <c r="K87" s="91">
        <f t="shared" si="6"/>
        <v>85</v>
      </c>
      <c r="L87" s="88"/>
      <c r="M87" s="93">
        <f t="shared" si="10"/>
        <v>48518</v>
      </c>
      <c r="N87" s="93">
        <f t="shared" si="9"/>
        <v>48518</v>
      </c>
      <c r="O87" s="93">
        <f t="shared" si="7"/>
        <v>48518</v>
      </c>
      <c r="P87" s="94">
        <v>26803.587027067224</v>
      </c>
      <c r="Q87" s="168"/>
      <c r="V87">
        <v>1</v>
      </c>
      <c r="W87" t="s">
        <v>33</v>
      </c>
      <c r="Y87" t="s">
        <v>33</v>
      </c>
      <c r="Z87" t="s">
        <v>34</v>
      </c>
      <c r="AA87">
        <v>1</v>
      </c>
    </row>
    <row r="88" spans="1:27" x14ac:dyDescent="0.35">
      <c r="A88" s="13">
        <f t="shared" si="8"/>
        <v>45930</v>
      </c>
      <c r="B88">
        <v>1</v>
      </c>
      <c r="D88" s="14" t="s">
        <v>31</v>
      </c>
      <c r="E88" s="15" t="s">
        <v>32</v>
      </c>
      <c r="F88" s="16" t="s">
        <v>32</v>
      </c>
      <c r="G88" s="17"/>
      <c r="H88" s="84" t="s">
        <v>59</v>
      </c>
      <c r="I88" s="84" t="s">
        <v>159</v>
      </c>
      <c r="J88" s="88"/>
      <c r="K88" s="91">
        <f t="shared" si="6"/>
        <v>86</v>
      </c>
      <c r="L88" s="88"/>
      <c r="M88" s="93">
        <f t="shared" si="10"/>
        <v>48548</v>
      </c>
      <c r="N88" s="93">
        <f t="shared" si="9"/>
        <v>48548</v>
      </c>
      <c r="O88" s="93">
        <f t="shared" si="7"/>
        <v>48548</v>
      </c>
      <c r="P88" s="94">
        <v>26803.587027067224</v>
      </c>
      <c r="Q88" s="168"/>
      <c r="V88">
        <v>1</v>
      </c>
      <c r="W88" t="s">
        <v>33</v>
      </c>
      <c r="Y88" t="s">
        <v>33</v>
      </c>
      <c r="Z88" t="s">
        <v>34</v>
      </c>
      <c r="AA88">
        <v>1</v>
      </c>
    </row>
    <row r="89" spans="1:27" x14ac:dyDescent="0.35">
      <c r="A89" s="13">
        <f t="shared" si="8"/>
        <v>45930</v>
      </c>
      <c r="B89">
        <v>1</v>
      </c>
      <c r="D89" s="14" t="s">
        <v>31</v>
      </c>
      <c r="E89" s="15" t="s">
        <v>32</v>
      </c>
      <c r="F89" s="16" t="s">
        <v>32</v>
      </c>
      <c r="G89" s="17"/>
      <c r="H89" s="84" t="s">
        <v>59</v>
      </c>
      <c r="I89" s="84" t="s">
        <v>159</v>
      </c>
      <c r="J89" s="88"/>
      <c r="K89" s="91">
        <f t="shared" si="6"/>
        <v>87</v>
      </c>
      <c r="L89" s="88"/>
      <c r="M89" s="93">
        <f t="shared" si="10"/>
        <v>48579</v>
      </c>
      <c r="N89" s="93">
        <f t="shared" si="9"/>
        <v>48579</v>
      </c>
      <c r="O89" s="93">
        <f t="shared" si="7"/>
        <v>48579</v>
      </c>
      <c r="P89" s="94">
        <v>26803.587027067224</v>
      </c>
      <c r="Q89" s="168"/>
      <c r="V89">
        <v>1</v>
      </c>
      <c r="W89" t="s">
        <v>33</v>
      </c>
      <c r="Y89" t="s">
        <v>33</v>
      </c>
      <c r="Z89" t="s">
        <v>34</v>
      </c>
      <c r="AA89">
        <v>1</v>
      </c>
    </row>
    <row r="90" spans="1:27" x14ac:dyDescent="0.35">
      <c r="A90" s="13">
        <f t="shared" si="8"/>
        <v>45930</v>
      </c>
      <c r="B90">
        <v>1</v>
      </c>
      <c r="D90" s="14" t="s">
        <v>31</v>
      </c>
      <c r="E90" s="15" t="s">
        <v>32</v>
      </c>
      <c r="F90" s="16" t="s">
        <v>32</v>
      </c>
      <c r="G90" s="17"/>
      <c r="H90" s="84" t="s">
        <v>59</v>
      </c>
      <c r="I90" s="84" t="s">
        <v>159</v>
      </c>
      <c r="J90" s="88"/>
      <c r="K90" s="91">
        <f t="shared" si="6"/>
        <v>88</v>
      </c>
      <c r="L90" s="88"/>
      <c r="M90" s="93">
        <f t="shared" si="10"/>
        <v>48610</v>
      </c>
      <c r="N90" s="93">
        <f t="shared" si="9"/>
        <v>48610</v>
      </c>
      <c r="O90" s="93">
        <f t="shared" si="7"/>
        <v>48610</v>
      </c>
      <c r="P90" s="94">
        <v>26803.587027067224</v>
      </c>
      <c r="Q90" s="168"/>
      <c r="V90">
        <v>1</v>
      </c>
      <c r="W90" t="s">
        <v>33</v>
      </c>
      <c r="Y90" t="s">
        <v>33</v>
      </c>
      <c r="Z90" t="s">
        <v>34</v>
      </c>
      <c r="AA90">
        <v>1</v>
      </c>
    </row>
    <row r="91" spans="1:27" x14ac:dyDescent="0.35">
      <c r="A91" s="13">
        <f t="shared" si="8"/>
        <v>45930</v>
      </c>
      <c r="B91">
        <v>1</v>
      </c>
      <c r="D91" s="14" t="s">
        <v>31</v>
      </c>
      <c r="E91" s="15" t="s">
        <v>32</v>
      </c>
      <c r="F91" s="16" t="s">
        <v>32</v>
      </c>
      <c r="G91" s="17"/>
      <c r="H91" s="84" t="s">
        <v>59</v>
      </c>
      <c r="I91" s="84" t="s">
        <v>159</v>
      </c>
      <c r="J91" s="88"/>
      <c r="K91" s="91">
        <f t="shared" si="6"/>
        <v>89</v>
      </c>
      <c r="L91" s="88"/>
      <c r="M91" s="93">
        <f t="shared" si="10"/>
        <v>48638</v>
      </c>
      <c r="N91" s="93">
        <f t="shared" si="9"/>
        <v>48638</v>
      </c>
      <c r="O91" s="93">
        <f t="shared" si="7"/>
        <v>48638</v>
      </c>
      <c r="P91" s="94">
        <v>26803.587027067224</v>
      </c>
      <c r="Q91" s="168"/>
      <c r="V91">
        <v>1</v>
      </c>
      <c r="W91" t="s">
        <v>33</v>
      </c>
      <c r="Y91" t="s">
        <v>33</v>
      </c>
      <c r="Z91" t="s">
        <v>34</v>
      </c>
      <c r="AA91">
        <v>1</v>
      </c>
    </row>
    <row r="92" spans="1:27" x14ac:dyDescent="0.35">
      <c r="A92" s="13">
        <f t="shared" si="8"/>
        <v>45930</v>
      </c>
      <c r="B92">
        <v>1</v>
      </c>
      <c r="D92" s="14" t="s">
        <v>31</v>
      </c>
      <c r="E92" s="15" t="s">
        <v>32</v>
      </c>
      <c r="F92" s="16" t="s">
        <v>32</v>
      </c>
      <c r="G92" s="17"/>
      <c r="H92" s="84" t="s">
        <v>59</v>
      </c>
      <c r="I92" s="84" t="s">
        <v>159</v>
      </c>
      <c r="J92" s="88"/>
      <c r="K92" s="91">
        <f t="shared" si="6"/>
        <v>90</v>
      </c>
      <c r="L92" s="88"/>
      <c r="M92" s="93">
        <f t="shared" si="10"/>
        <v>48669</v>
      </c>
      <c r="N92" s="93">
        <f t="shared" si="9"/>
        <v>48669</v>
      </c>
      <c r="O92" s="93">
        <f t="shared" si="7"/>
        <v>48669</v>
      </c>
      <c r="P92" s="94">
        <v>26803.587027067224</v>
      </c>
      <c r="Q92" s="168"/>
      <c r="V92">
        <v>1</v>
      </c>
      <c r="W92" t="s">
        <v>33</v>
      </c>
      <c r="Y92" t="s">
        <v>33</v>
      </c>
      <c r="Z92" t="s">
        <v>34</v>
      </c>
      <c r="AA92">
        <v>1</v>
      </c>
    </row>
    <row r="93" spans="1:27" x14ac:dyDescent="0.35">
      <c r="A93" s="13">
        <f t="shared" si="8"/>
        <v>45930</v>
      </c>
      <c r="B93">
        <v>1</v>
      </c>
      <c r="D93" s="14" t="s">
        <v>31</v>
      </c>
      <c r="E93" s="15" t="s">
        <v>32</v>
      </c>
      <c r="F93" s="16" t="s">
        <v>32</v>
      </c>
      <c r="G93" s="17"/>
      <c r="H93" s="84" t="s">
        <v>59</v>
      </c>
      <c r="I93" s="84" t="s">
        <v>159</v>
      </c>
      <c r="J93" s="88"/>
      <c r="K93" s="91">
        <f t="shared" si="6"/>
        <v>91</v>
      </c>
      <c r="L93" s="88"/>
      <c r="M93" s="93">
        <f t="shared" si="10"/>
        <v>48699</v>
      </c>
      <c r="N93" s="93">
        <f t="shared" si="9"/>
        <v>48699</v>
      </c>
      <c r="O93" s="93">
        <f t="shared" si="7"/>
        <v>48699</v>
      </c>
      <c r="P93" s="94">
        <v>26803.587027067224</v>
      </c>
      <c r="Q93" s="168"/>
      <c r="V93">
        <v>1</v>
      </c>
      <c r="W93" t="s">
        <v>33</v>
      </c>
      <c r="Y93" t="s">
        <v>33</v>
      </c>
      <c r="Z93" t="s">
        <v>34</v>
      </c>
      <c r="AA93">
        <v>1</v>
      </c>
    </row>
    <row r="94" spans="1:27" x14ac:dyDescent="0.35">
      <c r="A94" s="13">
        <f t="shared" si="8"/>
        <v>45930</v>
      </c>
      <c r="B94">
        <v>1</v>
      </c>
      <c r="D94" s="14" t="s">
        <v>31</v>
      </c>
      <c r="E94" s="15" t="s">
        <v>32</v>
      </c>
      <c r="F94" s="16" t="s">
        <v>32</v>
      </c>
      <c r="G94" s="17"/>
      <c r="H94" s="84" t="s">
        <v>59</v>
      </c>
      <c r="I94" s="84" t="s">
        <v>159</v>
      </c>
      <c r="J94" s="88"/>
      <c r="K94" s="91">
        <f t="shared" si="6"/>
        <v>92</v>
      </c>
      <c r="L94" s="88"/>
      <c r="M94" s="93">
        <f t="shared" si="10"/>
        <v>48730</v>
      </c>
      <c r="N94" s="93">
        <f t="shared" si="9"/>
        <v>48730</v>
      </c>
      <c r="O94" s="93">
        <f t="shared" si="7"/>
        <v>48730</v>
      </c>
      <c r="P94" s="94">
        <v>26803.587027067224</v>
      </c>
      <c r="Q94" s="168"/>
      <c r="V94">
        <v>1</v>
      </c>
      <c r="W94" t="s">
        <v>33</v>
      </c>
      <c r="Y94" t="s">
        <v>33</v>
      </c>
      <c r="Z94" t="s">
        <v>34</v>
      </c>
      <c r="AA94">
        <v>1</v>
      </c>
    </row>
    <row r="95" spans="1:27" x14ac:dyDescent="0.35">
      <c r="A95" s="13">
        <f t="shared" si="8"/>
        <v>45930</v>
      </c>
      <c r="B95">
        <v>1</v>
      </c>
      <c r="D95" s="14" t="s">
        <v>31</v>
      </c>
      <c r="E95" s="15" t="s">
        <v>32</v>
      </c>
      <c r="F95" s="16" t="s">
        <v>32</v>
      </c>
      <c r="G95" s="17"/>
      <c r="H95" s="84" t="s">
        <v>59</v>
      </c>
      <c r="I95" s="84" t="s">
        <v>159</v>
      </c>
      <c r="J95" s="88"/>
      <c r="K95" s="91">
        <f t="shared" si="6"/>
        <v>93</v>
      </c>
      <c r="L95" s="88"/>
      <c r="M95" s="93">
        <f t="shared" si="10"/>
        <v>48760</v>
      </c>
      <c r="N95" s="93">
        <f t="shared" si="9"/>
        <v>48760</v>
      </c>
      <c r="O95" s="93">
        <f t="shared" si="7"/>
        <v>48760</v>
      </c>
      <c r="P95" s="94">
        <v>26803.587027067224</v>
      </c>
      <c r="Q95" s="168"/>
      <c r="V95">
        <v>1</v>
      </c>
      <c r="W95" t="s">
        <v>33</v>
      </c>
      <c r="Y95" t="s">
        <v>33</v>
      </c>
      <c r="Z95" t="s">
        <v>34</v>
      </c>
      <c r="AA95">
        <v>1</v>
      </c>
    </row>
    <row r="96" spans="1:27" x14ac:dyDescent="0.35">
      <c r="A96" s="13">
        <f t="shared" si="8"/>
        <v>45930</v>
      </c>
      <c r="B96">
        <v>1</v>
      </c>
      <c r="D96" s="14" t="s">
        <v>31</v>
      </c>
      <c r="E96" s="15" t="s">
        <v>32</v>
      </c>
      <c r="F96" s="16" t="s">
        <v>32</v>
      </c>
      <c r="G96" s="17"/>
      <c r="H96" s="84" t="s">
        <v>59</v>
      </c>
      <c r="I96" s="84" t="s">
        <v>159</v>
      </c>
      <c r="J96" s="88"/>
      <c r="K96" s="91">
        <f t="shared" si="6"/>
        <v>94</v>
      </c>
      <c r="L96" s="88"/>
      <c r="M96" s="93">
        <f t="shared" si="10"/>
        <v>48791</v>
      </c>
      <c r="N96" s="93">
        <f t="shared" si="9"/>
        <v>48791</v>
      </c>
      <c r="O96" s="93">
        <f t="shared" si="7"/>
        <v>48791</v>
      </c>
      <c r="P96" s="94">
        <v>26803.587027067224</v>
      </c>
      <c r="Q96" s="168"/>
      <c r="V96">
        <v>1</v>
      </c>
      <c r="W96" t="s">
        <v>33</v>
      </c>
      <c r="Y96" t="s">
        <v>33</v>
      </c>
      <c r="Z96" t="s">
        <v>34</v>
      </c>
      <c r="AA96">
        <v>1</v>
      </c>
    </row>
    <row r="97" spans="1:27" x14ac:dyDescent="0.35">
      <c r="A97" s="13">
        <f t="shared" si="8"/>
        <v>45930</v>
      </c>
      <c r="B97">
        <v>1</v>
      </c>
      <c r="D97" s="14" t="s">
        <v>31</v>
      </c>
      <c r="E97" s="15" t="s">
        <v>32</v>
      </c>
      <c r="F97" s="16" t="s">
        <v>32</v>
      </c>
      <c r="G97" s="17"/>
      <c r="H97" s="84" t="s">
        <v>59</v>
      </c>
      <c r="I97" s="84" t="s">
        <v>159</v>
      </c>
      <c r="J97" s="88"/>
      <c r="K97" s="91">
        <f t="shared" ref="K97:K160" si="11">K96+1</f>
        <v>95</v>
      </c>
      <c r="L97" s="88"/>
      <c r="M97" s="93">
        <f t="shared" si="10"/>
        <v>48822</v>
      </c>
      <c r="N97" s="93">
        <f t="shared" si="9"/>
        <v>48822</v>
      </c>
      <c r="O97" s="93">
        <f t="shared" si="7"/>
        <v>48822</v>
      </c>
      <c r="P97" s="94">
        <v>26803.587027067224</v>
      </c>
      <c r="Q97" s="168"/>
      <c r="V97">
        <v>1</v>
      </c>
      <c r="W97" t="s">
        <v>33</v>
      </c>
      <c r="Y97" t="s">
        <v>33</v>
      </c>
      <c r="Z97" t="s">
        <v>34</v>
      </c>
      <c r="AA97">
        <v>1</v>
      </c>
    </row>
    <row r="98" spans="1:27" x14ac:dyDescent="0.35">
      <c r="A98" s="13">
        <f t="shared" si="8"/>
        <v>45930</v>
      </c>
      <c r="B98">
        <v>1</v>
      </c>
      <c r="D98" s="14" t="s">
        <v>31</v>
      </c>
      <c r="E98" s="15" t="s">
        <v>32</v>
      </c>
      <c r="F98" s="16" t="s">
        <v>32</v>
      </c>
      <c r="G98" s="17"/>
      <c r="H98" s="84" t="s">
        <v>59</v>
      </c>
      <c r="I98" s="84" t="s">
        <v>159</v>
      </c>
      <c r="J98" s="88"/>
      <c r="K98" s="91">
        <f t="shared" si="11"/>
        <v>96</v>
      </c>
      <c r="L98" s="88"/>
      <c r="M98" s="93">
        <f t="shared" si="10"/>
        <v>48852</v>
      </c>
      <c r="N98" s="93">
        <f t="shared" si="9"/>
        <v>48852</v>
      </c>
      <c r="O98" s="93">
        <f t="shared" si="7"/>
        <v>48852</v>
      </c>
      <c r="P98" s="94">
        <v>26803.587027067224</v>
      </c>
      <c r="Q98" s="168"/>
      <c r="V98">
        <v>1</v>
      </c>
      <c r="W98" t="s">
        <v>33</v>
      </c>
      <c r="Y98" t="s">
        <v>33</v>
      </c>
      <c r="Z98" t="s">
        <v>34</v>
      </c>
      <c r="AA98">
        <v>1</v>
      </c>
    </row>
    <row r="99" spans="1:27" x14ac:dyDescent="0.35">
      <c r="A99" s="13">
        <f t="shared" si="8"/>
        <v>45930</v>
      </c>
      <c r="B99">
        <v>1</v>
      </c>
      <c r="D99" s="14" t="s">
        <v>31</v>
      </c>
      <c r="E99" s="15" t="s">
        <v>32</v>
      </c>
      <c r="F99" s="16" t="s">
        <v>32</v>
      </c>
      <c r="G99" s="17"/>
      <c r="H99" s="84" t="s">
        <v>59</v>
      </c>
      <c r="I99" s="84" t="s">
        <v>159</v>
      </c>
      <c r="J99" s="88"/>
      <c r="K99" s="91">
        <f t="shared" si="11"/>
        <v>97</v>
      </c>
      <c r="L99" s="88"/>
      <c r="M99" s="93">
        <f t="shared" si="10"/>
        <v>48883</v>
      </c>
      <c r="N99" s="93">
        <f t="shared" si="9"/>
        <v>48883</v>
      </c>
      <c r="O99" s="93">
        <f t="shared" si="7"/>
        <v>48883</v>
      </c>
      <c r="P99" s="94">
        <v>26803.587027067224</v>
      </c>
      <c r="Q99" s="168"/>
      <c r="V99">
        <v>1</v>
      </c>
      <c r="W99" t="s">
        <v>33</v>
      </c>
      <c r="Y99" t="s">
        <v>33</v>
      </c>
      <c r="Z99" t="s">
        <v>34</v>
      </c>
      <c r="AA99">
        <v>1</v>
      </c>
    </row>
    <row r="100" spans="1:27" x14ac:dyDescent="0.35">
      <c r="A100" s="13">
        <f t="shared" si="8"/>
        <v>45930</v>
      </c>
      <c r="B100">
        <v>1</v>
      </c>
      <c r="D100" s="14" t="s">
        <v>31</v>
      </c>
      <c r="E100" s="15" t="s">
        <v>32</v>
      </c>
      <c r="F100" s="16" t="s">
        <v>32</v>
      </c>
      <c r="G100" s="17"/>
      <c r="H100" s="84" t="s">
        <v>59</v>
      </c>
      <c r="I100" s="84" t="s">
        <v>159</v>
      </c>
      <c r="J100" s="88"/>
      <c r="K100" s="91">
        <f t="shared" si="11"/>
        <v>98</v>
      </c>
      <c r="L100" s="88"/>
      <c r="M100" s="93">
        <f t="shared" si="10"/>
        <v>48913</v>
      </c>
      <c r="N100" s="93">
        <f t="shared" si="9"/>
        <v>48913</v>
      </c>
      <c r="O100" s="93">
        <f t="shared" si="7"/>
        <v>48913</v>
      </c>
      <c r="P100" s="94">
        <v>26803.587027067224</v>
      </c>
      <c r="Q100" s="168"/>
      <c r="V100">
        <v>1</v>
      </c>
      <c r="W100" t="s">
        <v>33</v>
      </c>
      <c r="Y100" t="s">
        <v>33</v>
      </c>
      <c r="Z100" t="s">
        <v>34</v>
      </c>
      <c r="AA100">
        <v>1</v>
      </c>
    </row>
    <row r="101" spans="1:27" x14ac:dyDescent="0.35">
      <c r="A101" s="13">
        <f t="shared" si="8"/>
        <v>45930</v>
      </c>
      <c r="B101">
        <v>1</v>
      </c>
      <c r="D101" s="14" t="s">
        <v>31</v>
      </c>
      <c r="E101" s="15" t="s">
        <v>32</v>
      </c>
      <c r="F101" s="16" t="s">
        <v>32</v>
      </c>
      <c r="G101" s="17"/>
      <c r="H101" s="84" t="s">
        <v>59</v>
      </c>
      <c r="I101" s="84" t="s">
        <v>159</v>
      </c>
      <c r="J101" s="88"/>
      <c r="K101" s="91">
        <f t="shared" si="11"/>
        <v>99</v>
      </c>
      <c r="L101" s="88"/>
      <c r="M101" s="93">
        <f t="shared" si="10"/>
        <v>48944</v>
      </c>
      <c r="N101" s="93">
        <f t="shared" si="9"/>
        <v>48944</v>
      </c>
      <c r="O101" s="93">
        <f t="shared" si="7"/>
        <v>48944</v>
      </c>
      <c r="P101" s="94">
        <v>26803.587027067224</v>
      </c>
      <c r="Q101" s="168"/>
      <c r="V101">
        <v>1</v>
      </c>
      <c r="W101" t="s">
        <v>33</v>
      </c>
      <c r="Y101" t="s">
        <v>33</v>
      </c>
      <c r="Z101" t="s">
        <v>34</v>
      </c>
      <c r="AA101">
        <v>1</v>
      </c>
    </row>
    <row r="102" spans="1:27" x14ac:dyDescent="0.35">
      <c r="A102" s="13">
        <f t="shared" si="8"/>
        <v>45930</v>
      </c>
      <c r="B102">
        <v>1</v>
      </c>
      <c r="D102" s="14" t="s">
        <v>31</v>
      </c>
      <c r="E102" s="15" t="s">
        <v>32</v>
      </c>
      <c r="F102" s="16" t="s">
        <v>32</v>
      </c>
      <c r="G102" s="17"/>
      <c r="H102" s="84" t="s">
        <v>59</v>
      </c>
      <c r="I102" s="84" t="s">
        <v>159</v>
      </c>
      <c r="J102" s="88"/>
      <c r="K102" s="91">
        <f t="shared" si="11"/>
        <v>100</v>
      </c>
      <c r="L102" s="88"/>
      <c r="M102" s="93">
        <f t="shared" si="10"/>
        <v>48975</v>
      </c>
      <c r="N102" s="93">
        <f t="shared" si="9"/>
        <v>48975</v>
      </c>
      <c r="O102" s="93">
        <f t="shared" si="7"/>
        <v>48975</v>
      </c>
      <c r="P102" s="94">
        <v>26803.587027067224</v>
      </c>
      <c r="Q102" s="168"/>
      <c r="V102">
        <v>1</v>
      </c>
      <c r="W102" t="s">
        <v>33</v>
      </c>
      <c r="Y102" t="s">
        <v>33</v>
      </c>
      <c r="Z102" t="s">
        <v>34</v>
      </c>
      <c r="AA102">
        <v>1</v>
      </c>
    </row>
    <row r="103" spans="1:27" x14ac:dyDescent="0.35">
      <c r="A103" s="13">
        <f t="shared" si="8"/>
        <v>45930</v>
      </c>
      <c r="B103">
        <v>1</v>
      </c>
      <c r="D103" s="14" t="s">
        <v>31</v>
      </c>
      <c r="E103" s="15" t="s">
        <v>32</v>
      </c>
      <c r="F103" s="16" t="s">
        <v>32</v>
      </c>
      <c r="G103" s="17"/>
      <c r="H103" s="84" t="s">
        <v>59</v>
      </c>
      <c r="I103" s="84" t="s">
        <v>159</v>
      </c>
      <c r="J103" s="88"/>
      <c r="K103" s="91">
        <f t="shared" si="11"/>
        <v>101</v>
      </c>
      <c r="L103" s="88"/>
      <c r="M103" s="93">
        <f t="shared" si="10"/>
        <v>49003</v>
      </c>
      <c r="N103" s="93">
        <f t="shared" si="9"/>
        <v>49003</v>
      </c>
      <c r="O103" s="93">
        <f t="shared" si="7"/>
        <v>49003</v>
      </c>
      <c r="P103" s="94">
        <v>26803.587027067224</v>
      </c>
      <c r="Q103" s="168"/>
      <c r="V103">
        <v>1</v>
      </c>
      <c r="W103" t="s">
        <v>33</v>
      </c>
      <c r="Y103" t="s">
        <v>33</v>
      </c>
      <c r="Z103" t="s">
        <v>34</v>
      </c>
      <c r="AA103">
        <v>1</v>
      </c>
    </row>
    <row r="104" spans="1:27" x14ac:dyDescent="0.35">
      <c r="A104" s="13">
        <f t="shared" si="8"/>
        <v>45930</v>
      </c>
      <c r="B104">
        <v>1</v>
      </c>
      <c r="D104" s="14" t="s">
        <v>31</v>
      </c>
      <c r="E104" s="15" t="s">
        <v>32</v>
      </c>
      <c r="F104" s="16" t="s">
        <v>32</v>
      </c>
      <c r="G104" s="17"/>
      <c r="H104" s="84" t="s">
        <v>59</v>
      </c>
      <c r="I104" s="84" t="s">
        <v>159</v>
      </c>
      <c r="J104" s="88"/>
      <c r="K104" s="91">
        <f t="shared" si="11"/>
        <v>102</v>
      </c>
      <c r="L104" s="88"/>
      <c r="M104" s="93">
        <f t="shared" si="10"/>
        <v>49034</v>
      </c>
      <c r="N104" s="93">
        <f t="shared" si="9"/>
        <v>49034</v>
      </c>
      <c r="O104" s="93">
        <f t="shared" si="7"/>
        <v>49034</v>
      </c>
      <c r="P104" s="94">
        <v>26803.587027067224</v>
      </c>
      <c r="Q104" s="168"/>
      <c r="V104">
        <v>1</v>
      </c>
      <c r="W104" t="s">
        <v>33</v>
      </c>
      <c r="Y104" t="s">
        <v>33</v>
      </c>
      <c r="Z104" t="s">
        <v>34</v>
      </c>
      <c r="AA104">
        <v>1</v>
      </c>
    </row>
    <row r="105" spans="1:27" x14ac:dyDescent="0.35">
      <c r="A105" s="13">
        <f t="shared" si="8"/>
        <v>45930</v>
      </c>
      <c r="B105">
        <v>1</v>
      </c>
      <c r="D105" s="14" t="s">
        <v>31</v>
      </c>
      <c r="E105" s="15" t="s">
        <v>32</v>
      </c>
      <c r="F105" s="16" t="s">
        <v>32</v>
      </c>
      <c r="G105" s="17"/>
      <c r="H105" s="84" t="s">
        <v>59</v>
      </c>
      <c r="I105" s="84" t="s">
        <v>159</v>
      </c>
      <c r="J105" s="88"/>
      <c r="K105" s="91">
        <f t="shared" si="11"/>
        <v>103</v>
      </c>
      <c r="L105" s="88"/>
      <c r="M105" s="93">
        <f t="shared" si="10"/>
        <v>49064</v>
      </c>
      <c r="N105" s="93">
        <f t="shared" si="9"/>
        <v>49064</v>
      </c>
      <c r="O105" s="93">
        <f t="shared" si="7"/>
        <v>49064</v>
      </c>
      <c r="P105" s="94">
        <v>26803.587027067224</v>
      </c>
      <c r="Q105" s="168"/>
      <c r="V105">
        <v>1</v>
      </c>
      <c r="W105" t="s">
        <v>33</v>
      </c>
      <c r="Y105" t="s">
        <v>33</v>
      </c>
      <c r="Z105" t="s">
        <v>34</v>
      </c>
      <c r="AA105">
        <v>1</v>
      </c>
    </row>
    <row r="106" spans="1:27" x14ac:dyDescent="0.35">
      <c r="A106" s="13">
        <f t="shared" si="8"/>
        <v>45930</v>
      </c>
      <c r="B106">
        <v>1</v>
      </c>
      <c r="D106" s="14" t="s">
        <v>31</v>
      </c>
      <c r="E106" s="15" t="s">
        <v>32</v>
      </c>
      <c r="F106" s="16" t="s">
        <v>32</v>
      </c>
      <c r="G106" s="17"/>
      <c r="H106" s="84" t="s">
        <v>59</v>
      </c>
      <c r="I106" s="84" t="s">
        <v>159</v>
      </c>
      <c r="J106" s="88"/>
      <c r="K106" s="91">
        <f t="shared" si="11"/>
        <v>104</v>
      </c>
      <c r="L106" s="88"/>
      <c r="M106" s="93">
        <f t="shared" si="10"/>
        <v>49095</v>
      </c>
      <c r="N106" s="93">
        <f t="shared" si="9"/>
        <v>49095</v>
      </c>
      <c r="O106" s="93">
        <f t="shared" si="7"/>
        <v>49095</v>
      </c>
      <c r="P106" s="94">
        <v>26803.587027067224</v>
      </c>
      <c r="Q106" s="168"/>
      <c r="V106">
        <v>1</v>
      </c>
      <c r="W106" t="s">
        <v>33</v>
      </c>
      <c r="Y106" t="s">
        <v>33</v>
      </c>
      <c r="Z106" t="s">
        <v>34</v>
      </c>
      <c r="AA106">
        <v>1</v>
      </c>
    </row>
    <row r="107" spans="1:27" x14ac:dyDescent="0.35">
      <c r="A107" s="13">
        <f t="shared" si="8"/>
        <v>45930</v>
      </c>
      <c r="B107">
        <v>1</v>
      </c>
      <c r="D107" s="14" t="s">
        <v>31</v>
      </c>
      <c r="E107" s="15" t="s">
        <v>32</v>
      </c>
      <c r="F107" s="16" t="s">
        <v>32</v>
      </c>
      <c r="G107" s="17"/>
      <c r="H107" s="84" t="s">
        <v>59</v>
      </c>
      <c r="I107" s="84" t="s">
        <v>159</v>
      </c>
      <c r="J107" s="88"/>
      <c r="K107" s="91">
        <f t="shared" si="11"/>
        <v>105</v>
      </c>
      <c r="L107" s="88"/>
      <c r="M107" s="93">
        <f t="shared" si="10"/>
        <v>49125</v>
      </c>
      <c r="N107" s="93">
        <f t="shared" si="9"/>
        <v>49125</v>
      </c>
      <c r="O107" s="93">
        <f t="shared" si="7"/>
        <v>49125</v>
      </c>
      <c r="P107" s="94">
        <v>26803.587027067224</v>
      </c>
      <c r="Q107" s="168"/>
      <c r="V107">
        <v>1</v>
      </c>
      <c r="W107" t="s">
        <v>33</v>
      </c>
      <c r="Y107" t="s">
        <v>33</v>
      </c>
      <c r="Z107" t="s">
        <v>34</v>
      </c>
      <c r="AA107">
        <v>1</v>
      </c>
    </row>
    <row r="108" spans="1:27" x14ac:dyDescent="0.35">
      <c r="A108" s="13">
        <f t="shared" si="8"/>
        <v>45930</v>
      </c>
      <c r="B108">
        <v>1</v>
      </c>
      <c r="D108" s="14" t="s">
        <v>31</v>
      </c>
      <c r="E108" s="15" t="s">
        <v>32</v>
      </c>
      <c r="F108" s="16" t="s">
        <v>32</v>
      </c>
      <c r="G108" s="17"/>
      <c r="H108" s="84" t="s">
        <v>59</v>
      </c>
      <c r="I108" s="84" t="s">
        <v>159</v>
      </c>
      <c r="J108" s="88"/>
      <c r="K108" s="91">
        <f t="shared" si="11"/>
        <v>106</v>
      </c>
      <c r="L108" s="88"/>
      <c r="M108" s="93">
        <f t="shared" si="10"/>
        <v>49156</v>
      </c>
      <c r="N108" s="93">
        <f t="shared" si="9"/>
        <v>49156</v>
      </c>
      <c r="O108" s="93">
        <f t="shared" si="7"/>
        <v>49156</v>
      </c>
      <c r="P108" s="94">
        <v>26803.587027067224</v>
      </c>
      <c r="Q108" s="168"/>
      <c r="V108">
        <v>1</v>
      </c>
      <c r="W108" t="s">
        <v>33</v>
      </c>
      <c r="Y108" t="s">
        <v>33</v>
      </c>
      <c r="Z108" t="s">
        <v>34</v>
      </c>
      <c r="AA108">
        <v>1</v>
      </c>
    </row>
    <row r="109" spans="1:27" x14ac:dyDescent="0.35">
      <c r="A109" s="13">
        <f t="shared" si="8"/>
        <v>45930</v>
      </c>
      <c r="B109">
        <v>1</v>
      </c>
      <c r="D109" s="14" t="s">
        <v>31</v>
      </c>
      <c r="E109" s="15" t="s">
        <v>32</v>
      </c>
      <c r="F109" s="16" t="s">
        <v>32</v>
      </c>
      <c r="G109" s="17"/>
      <c r="H109" s="84" t="s">
        <v>59</v>
      </c>
      <c r="I109" s="84" t="s">
        <v>159</v>
      </c>
      <c r="J109" s="88"/>
      <c r="K109" s="91">
        <f t="shared" si="11"/>
        <v>107</v>
      </c>
      <c r="L109" s="88"/>
      <c r="M109" s="93">
        <f t="shared" si="10"/>
        <v>49187</v>
      </c>
      <c r="N109" s="93">
        <f t="shared" si="9"/>
        <v>49187</v>
      </c>
      <c r="O109" s="93">
        <f t="shared" si="7"/>
        <v>49187</v>
      </c>
      <c r="P109" s="94">
        <v>26803.587027067224</v>
      </c>
      <c r="Q109" s="168"/>
      <c r="V109">
        <v>1</v>
      </c>
      <c r="W109" t="s">
        <v>33</v>
      </c>
      <c r="Y109" t="s">
        <v>33</v>
      </c>
      <c r="Z109" t="s">
        <v>34</v>
      </c>
      <c r="AA109">
        <v>1</v>
      </c>
    </row>
    <row r="110" spans="1:27" x14ac:dyDescent="0.35">
      <c r="A110" s="13">
        <f t="shared" si="8"/>
        <v>45930</v>
      </c>
      <c r="B110">
        <v>1</v>
      </c>
      <c r="D110" s="14" t="s">
        <v>31</v>
      </c>
      <c r="E110" s="15" t="s">
        <v>32</v>
      </c>
      <c r="F110" s="16" t="s">
        <v>32</v>
      </c>
      <c r="G110" s="17"/>
      <c r="H110" s="84" t="s">
        <v>59</v>
      </c>
      <c r="I110" s="84" t="s">
        <v>159</v>
      </c>
      <c r="J110" s="88"/>
      <c r="K110" s="91">
        <f t="shared" si="11"/>
        <v>108</v>
      </c>
      <c r="L110" s="88"/>
      <c r="M110" s="93">
        <f t="shared" si="10"/>
        <v>49217</v>
      </c>
      <c r="N110" s="93">
        <f t="shared" si="9"/>
        <v>49217</v>
      </c>
      <c r="O110" s="93">
        <f t="shared" si="7"/>
        <v>49217</v>
      </c>
      <c r="P110" s="94">
        <v>26803.587027067224</v>
      </c>
      <c r="Q110" s="168"/>
      <c r="V110">
        <v>1</v>
      </c>
      <c r="W110" t="s">
        <v>33</v>
      </c>
      <c r="Y110" t="s">
        <v>33</v>
      </c>
      <c r="Z110" t="s">
        <v>34</v>
      </c>
      <c r="AA110">
        <v>1</v>
      </c>
    </row>
    <row r="111" spans="1:27" x14ac:dyDescent="0.35">
      <c r="A111" s="13">
        <f t="shared" si="8"/>
        <v>45930</v>
      </c>
      <c r="B111">
        <v>1</v>
      </c>
      <c r="D111" s="14" t="s">
        <v>31</v>
      </c>
      <c r="E111" s="15" t="s">
        <v>32</v>
      </c>
      <c r="F111" s="16" t="s">
        <v>32</v>
      </c>
      <c r="G111" s="17"/>
      <c r="H111" s="84" t="s">
        <v>59</v>
      </c>
      <c r="I111" s="84" t="s">
        <v>159</v>
      </c>
      <c r="J111" s="88"/>
      <c r="K111" s="91">
        <f t="shared" si="11"/>
        <v>109</v>
      </c>
      <c r="L111" s="88"/>
      <c r="M111" s="93">
        <f t="shared" si="10"/>
        <v>49248</v>
      </c>
      <c r="N111" s="93">
        <f t="shared" si="9"/>
        <v>49248</v>
      </c>
      <c r="O111" s="93">
        <f t="shared" si="7"/>
        <v>49248</v>
      </c>
      <c r="P111" s="94">
        <v>26803.587027067224</v>
      </c>
      <c r="Q111" s="168"/>
      <c r="V111">
        <v>1</v>
      </c>
      <c r="W111" t="s">
        <v>33</v>
      </c>
      <c r="Y111" t="s">
        <v>33</v>
      </c>
      <c r="Z111" t="s">
        <v>34</v>
      </c>
      <c r="AA111">
        <v>1</v>
      </c>
    </row>
    <row r="112" spans="1:27" x14ac:dyDescent="0.35">
      <c r="A112" s="13">
        <f t="shared" si="8"/>
        <v>45930</v>
      </c>
      <c r="B112">
        <v>1</v>
      </c>
      <c r="D112" s="14" t="s">
        <v>31</v>
      </c>
      <c r="E112" s="15" t="s">
        <v>32</v>
      </c>
      <c r="F112" s="16" t="s">
        <v>32</v>
      </c>
      <c r="G112" s="17"/>
      <c r="H112" s="84" t="s">
        <v>59</v>
      </c>
      <c r="I112" s="84" t="s">
        <v>159</v>
      </c>
      <c r="J112" s="88"/>
      <c r="K112" s="91">
        <f t="shared" si="11"/>
        <v>110</v>
      </c>
      <c r="L112" s="88"/>
      <c r="M112" s="93">
        <f t="shared" si="10"/>
        <v>49278</v>
      </c>
      <c r="N112" s="93">
        <f t="shared" si="9"/>
        <v>49278</v>
      </c>
      <c r="O112" s="93">
        <f t="shared" si="7"/>
        <v>49278</v>
      </c>
      <c r="P112" s="94">
        <v>26803.587027067224</v>
      </c>
      <c r="Q112" s="168"/>
      <c r="V112">
        <v>1</v>
      </c>
      <c r="W112" t="s">
        <v>33</v>
      </c>
      <c r="Y112" t="s">
        <v>33</v>
      </c>
      <c r="Z112" t="s">
        <v>34</v>
      </c>
      <c r="AA112">
        <v>1</v>
      </c>
    </row>
    <row r="113" spans="1:27" x14ac:dyDescent="0.35">
      <c r="A113" s="13">
        <f t="shared" si="8"/>
        <v>45930</v>
      </c>
      <c r="B113">
        <v>1</v>
      </c>
      <c r="D113" s="14" t="s">
        <v>31</v>
      </c>
      <c r="E113" s="15" t="s">
        <v>32</v>
      </c>
      <c r="F113" s="16" t="s">
        <v>32</v>
      </c>
      <c r="G113" s="17"/>
      <c r="H113" s="84" t="s">
        <v>59</v>
      </c>
      <c r="I113" s="84" t="s">
        <v>159</v>
      </c>
      <c r="J113" s="88"/>
      <c r="K113" s="91">
        <f t="shared" si="11"/>
        <v>111</v>
      </c>
      <c r="L113" s="88"/>
      <c r="M113" s="93">
        <f t="shared" si="10"/>
        <v>49309</v>
      </c>
      <c r="N113" s="93">
        <f t="shared" si="9"/>
        <v>49309</v>
      </c>
      <c r="O113" s="93">
        <f t="shared" si="7"/>
        <v>49309</v>
      </c>
      <c r="P113" s="94">
        <v>26803.587027067224</v>
      </c>
      <c r="Q113" s="168"/>
      <c r="V113">
        <v>1</v>
      </c>
      <c r="W113" t="s">
        <v>33</v>
      </c>
      <c r="Y113" t="s">
        <v>33</v>
      </c>
      <c r="Z113" t="s">
        <v>34</v>
      </c>
      <c r="AA113">
        <v>1</v>
      </c>
    </row>
    <row r="114" spans="1:27" x14ac:dyDescent="0.35">
      <c r="A114" s="13">
        <f t="shared" si="8"/>
        <v>45930</v>
      </c>
      <c r="B114">
        <v>1</v>
      </c>
      <c r="D114" s="14" t="s">
        <v>31</v>
      </c>
      <c r="E114" s="15" t="s">
        <v>32</v>
      </c>
      <c r="F114" s="16" t="s">
        <v>32</v>
      </c>
      <c r="G114" s="17"/>
      <c r="H114" s="84" t="s">
        <v>59</v>
      </c>
      <c r="I114" s="84" t="s">
        <v>159</v>
      </c>
      <c r="J114" s="88"/>
      <c r="K114" s="91">
        <f t="shared" si="11"/>
        <v>112</v>
      </c>
      <c r="L114" s="88"/>
      <c r="M114" s="93">
        <f t="shared" si="10"/>
        <v>49340</v>
      </c>
      <c r="N114" s="93">
        <f t="shared" si="9"/>
        <v>49340</v>
      </c>
      <c r="O114" s="93">
        <f t="shared" si="7"/>
        <v>49340</v>
      </c>
      <c r="P114" s="94">
        <v>26803.587027067224</v>
      </c>
      <c r="Q114" s="168"/>
      <c r="V114">
        <v>1</v>
      </c>
      <c r="W114" t="s">
        <v>33</v>
      </c>
      <c r="Y114" t="s">
        <v>33</v>
      </c>
      <c r="Z114" t="s">
        <v>34</v>
      </c>
      <c r="AA114">
        <v>1</v>
      </c>
    </row>
    <row r="115" spans="1:27" x14ac:dyDescent="0.35">
      <c r="A115" s="13">
        <f t="shared" si="8"/>
        <v>45930</v>
      </c>
      <c r="B115">
        <v>1</v>
      </c>
      <c r="D115" s="14" t="s">
        <v>31</v>
      </c>
      <c r="E115" s="15" t="s">
        <v>32</v>
      </c>
      <c r="F115" s="16" t="s">
        <v>32</v>
      </c>
      <c r="G115" s="17"/>
      <c r="H115" s="84" t="s">
        <v>59</v>
      </c>
      <c r="I115" s="84" t="s">
        <v>159</v>
      </c>
      <c r="J115" s="88"/>
      <c r="K115" s="91">
        <f t="shared" si="11"/>
        <v>113</v>
      </c>
      <c r="L115" s="88"/>
      <c r="M115" s="93">
        <f t="shared" si="10"/>
        <v>49368</v>
      </c>
      <c r="N115" s="93">
        <f t="shared" si="9"/>
        <v>49368</v>
      </c>
      <c r="O115" s="93">
        <f t="shared" si="7"/>
        <v>49368</v>
      </c>
      <c r="P115" s="94">
        <v>26803.587027067224</v>
      </c>
      <c r="Q115" s="168"/>
      <c r="V115">
        <v>1</v>
      </c>
      <c r="W115" t="s">
        <v>33</v>
      </c>
      <c r="Y115" t="s">
        <v>33</v>
      </c>
      <c r="Z115" t="s">
        <v>34</v>
      </c>
      <c r="AA115">
        <v>1</v>
      </c>
    </row>
    <row r="116" spans="1:27" x14ac:dyDescent="0.35">
      <c r="A116" s="13">
        <f t="shared" si="8"/>
        <v>45930</v>
      </c>
      <c r="B116">
        <v>1</v>
      </c>
      <c r="D116" s="14" t="s">
        <v>31</v>
      </c>
      <c r="E116" s="15" t="s">
        <v>32</v>
      </c>
      <c r="F116" s="16" t="s">
        <v>32</v>
      </c>
      <c r="G116" s="17"/>
      <c r="H116" s="84" t="s">
        <v>59</v>
      </c>
      <c r="I116" s="84" t="s">
        <v>159</v>
      </c>
      <c r="J116" s="88"/>
      <c r="K116" s="91">
        <f t="shared" si="11"/>
        <v>114</v>
      </c>
      <c r="L116" s="88"/>
      <c r="M116" s="93">
        <f t="shared" si="10"/>
        <v>49399</v>
      </c>
      <c r="N116" s="93">
        <f t="shared" si="9"/>
        <v>49399</v>
      </c>
      <c r="O116" s="93">
        <f t="shared" si="7"/>
        <v>49399</v>
      </c>
      <c r="P116" s="94">
        <v>26803.587027067224</v>
      </c>
      <c r="Q116" s="168"/>
      <c r="V116">
        <v>1</v>
      </c>
      <c r="W116" t="s">
        <v>33</v>
      </c>
      <c r="Y116" t="s">
        <v>33</v>
      </c>
      <c r="Z116" t="s">
        <v>34</v>
      </c>
      <c r="AA116">
        <v>1</v>
      </c>
    </row>
    <row r="117" spans="1:27" x14ac:dyDescent="0.35">
      <c r="A117" s="13">
        <f t="shared" si="8"/>
        <v>45930</v>
      </c>
      <c r="B117">
        <v>1</v>
      </c>
      <c r="D117" s="14" t="s">
        <v>31</v>
      </c>
      <c r="E117" s="15" t="s">
        <v>32</v>
      </c>
      <c r="F117" s="16" t="s">
        <v>32</v>
      </c>
      <c r="G117" s="17"/>
      <c r="H117" s="84" t="s">
        <v>59</v>
      </c>
      <c r="I117" s="84" t="s">
        <v>159</v>
      </c>
      <c r="J117" s="88"/>
      <c r="K117" s="91">
        <f t="shared" si="11"/>
        <v>115</v>
      </c>
      <c r="L117" s="88"/>
      <c r="M117" s="93">
        <f t="shared" si="10"/>
        <v>49429</v>
      </c>
      <c r="N117" s="93">
        <f t="shared" si="9"/>
        <v>49429</v>
      </c>
      <c r="O117" s="93">
        <f t="shared" si="7"/>
        <v>49429</v>
      </c>
      <c r="P117" s="94">
        <v>26803.587027067224</v>
      </c>
      <c r="Q117" s="168"/>
      <c r="V117">
        <v>1</v>
      </c>
      <c r="W117" t="s">
        <v>33</v>
      </c>
      <c r="Y117" t="s">
        <v>33</v>
      </c>
      <c r="Z117" t="s">
        <v>34</v>
      </c>
      <c r="AA117">
        <v>1</v>
      </c>
    </row>
    <row r="118" spans="1:27" x14ac:dyDescent="0.35">
      <c r="A118" s="13">
        <f t="shared" si="8"/>
        <v>45930</v>
      </c>
      <c r="B118">
        <v>1</v>
      </c>
      <c r="D118" s="14" t="s">
        <v>31</v>
      </c>
      <c r="E118" s="15" t="s">
        <v>32</v>
      </c>
      <c r="F118" s="16" t="s">
        <v>32</v>
      </c>
      <c r="G118" s="17"/>
      <c r="H118" s="84" t="s">
        <v>59</v>
      </c>
      <c r="I118" s="84" t="s">
        <v>159</v>
      </c>
      <c r="J118" s="88"/>
      <c r="K118" s="91">
        <f t="shared" si="11"/>
        <v>116</v>
      </c>
      <c r="L118" s="88"/>
      <c r="M118" s="93">
        <f t="shared" si="10"/>
        <v>49460</v>
      </c>
      <c r="N118" s="93">
        <f t="shared" si="9"/>
        <v>49460</v>
      </c>
      <c r="O118" s="93">
        <f t="shared" si="7"/>
        <v>49460</v>
      </c>
      <c r="P118" s="94">
        <v>26803.587027067224</v>
      </c>
      <c r="Q118" s="168"/>
      <c r="V118">
        <v>1</v>
      </c>
      <c r="W118" t="s">
        <v>33</v>
      </c>
      <c r="Y118" t="s">
        <v>33</v>
      </c>
      <c r="Z118" t="s">
        <v>34</v>
      </c>
      <c r="AA118">
        <v>1</v>
      </c>
    </row>
    <row r="119" spans="1:27" x14ac:dyDescent="0.35">
      <c r="A119" s="13">
        <f t="shared" si="8"/>
        <v>45930</v>
      </c>
      <c r="B119">
        <v>1</v>
      </c>
      <c r="D119" s="14" t="s">
        <v>31</v>
      </c>
      <c r="E119" s="15" t="s">
        <v>32</v>
      </c>
      <c r="F119" s="16" t="s">
        <v>32</v>
      </c>
      <c r="G119" s="17"/>
      <c r="H119" s="84" t="s">
        <v>59</v>
      </c>
      <c r="I119" s="84" t="s">
        <v>159</v>
      </c>
      <c r="J119" s="88"/>
      <c r="K119" s="91">
        <f t="shared" si="11"/>
        <v>117</v>
      </c>
      <c r="L119" s="88"/>
      <c r="M119" s="93">
        <f t="shared" si="10"/>
        <v>49490</v>
      </c>
      <c r="N119" s="93">
        <f t="shared" si="9"/>
        <v>49490</v>
      </c>
      <c r="O119" s="93">
        <f t="shared" si="7"/>
        <v>49490</v>
      </c>
      <c r="P119" s="94">
        <v>26803.587027067224</v>
      </c>
      <c r="Q119" s="168"/>
      <c r="V119">
        <v>1</v>
      </c>
      <c r="W119" t="s">
        <v>33</v>
      </c>
      <c r="Y119" t="s">
        <v>33</v>
      </c>
      <c r="Z119" t="s">
        <v>34</v>
      </c>
      <c r="AA119">
        <v>1</v>
      </c>
    </row>
    <row r="120" spans="1:27" x14ac:dyDescent="0.35">
      <c r="A120" s="13">
        <f t="shared" si="8"/>
        <v>45930</v>
      </c>
      <c r="B120">
        <v>1</v>
      </c>
      <c r="D120" s="14" t="s">
        <v>31</v>
      </c>
      <c r="E120" s="15" t="s">
        <v>32</v>
      </c>
      <c r="F120" s="16" t="s">
        <v>32</v>
      </c>
      <c r="G120" s="17"/>
      <c r="H120" s="84" t="s">
        <v>59</v>
      </c>
      <c r="I120" s="84" t="s">
        <v>159</v>
      </c>
      <c r="J120" s="88"/>
      <c r="K120" s="91">
        <f t="shared" si="11"/>
        <v>118</v>
      </c>
      <c r="L120" s="88"/>
      <c r="M120" s="93">
        <f t="shared" si="10"/>
        <v>49521</v>
      </c>
      <c r="N120" s="93">
        <f t="shared" si="9"/>
        <v>49521</v>
      </c>
      <c r="O120" s="93">
        <f t="shared" si="7"/>
        <v>49521</v>
      </c>
      <c r="P120" s="94">
        <v>26803.587027067224</v>
      </c>
      <c r="Q120" s="168"/>
      <c r="V120">
        <v>1</v>
      </c>
      <c r="W120" t="s">
        <v>33</v>
      </c>
      <c r="Y120" t="s">
        <v>33</v>
      </c>
      <c r="Z120" t="s">
        <v>34</v>
      </c>
      <c r="AA120">
        <v>1</v>
      </c>
    </row>
    <row r="121" spans="1:27" x14ac:dyDescent="0.35">
      <c r="A121" s="13">
        <f t="shared" si="8"/>
        <v>45930</v>
      </c>
      <c r="B121">
        <v>1</v>
      </c>
      <c r="D121" s="14" t="s">
        <v>31</v>
      </c>
      <c r="E121" s="15" t="s">
        <v>32</v>
      </c>
      <c r="F121" s="16" t="s">
        <v>32</v>
      </c>
      <c r="G121" s="17"/>
      <c r="H121" s="84" t="s">
        <v>59</v>
      </c>
      <c r="I121" s="84" t="s">
        <v>159</v>
      </c>
      <c r="J121" s="88"/>
      <c r="K121" s="91">
        <f t="shared" si="11"/>
        <v>119</v>
      </c>
      <c r="L121" s="88"/>
      <c r="M121" s="93">
        <f t="shared" si="10"/>
        <v>49552</v>
      </c>
      <c r="N121" s="93">
        <f t="shared" si="9"/>
        <v>49552</v>
      </c>
      <c r="O121" s="93">
        <f t="shared" si="7"/>
        <v>49552</v>
      </c>
      <c r="P121" s="94">
        <v>26803.587027067224</v>
      </c>
      <c r="Q121" s="168"/>
      <c r="V121">
        <v>1</v>
      </c>
      <c r="W121" t="s">
        <v>33</v>
      </c>
      <c r="Y121" t="s">
        <v>33</v>
      </c>
      <c r="Z121" t="s">
        <v>34</v>
      </c>
      <c r="AA121">
        <v>1</v>
      </c>
    </row>
    <row r="122" spans="1:27" x14ac:dyDescent="0.35">
      <c r="A122" s="13">
        <f t="shared" si="8"/>
        <v>45930</v>
      </c>
      <c r="B122">
        <v>1</v>
      </c>
      <c r="D122" s="14" t="s">
        <v>31</v>
      </c>
      <c r="E122" s="15" t="s">
        <v>32</v>
      </c>
      <c r="F122" s="16" t="s">
        <v>32</v>
      </c>
      <c r="G122" s="17"/>
      <c r="H122" s="84" t="s">
        <v>59</v>
      </c>
      <c r="I122" s="84" t="s">
        <v>159</v>
      </c>
      <c r="J122" s="88"/>
      <c r="K122" s="91">
        <f t="shared" si="11"/>
        <v>120</v>
      </c>
      <c r="L122" s="88"/>
      <c r="M122" s="93">
        <f t="shared" si="10"/>
        <v>49582</v>
      </c>
      <c r="N122" s="93">
        <f t="shared" si="9"/>
        <v>49582</v>
      </c>
      <c r="O122" s="93">
        <f t="shared" si="7"/>
        <v>49582</v>
      </c>
      <c r="P122" s="94">
        <v>26803.587027067224</v>
      </c>
      <c r="Q122" s="168"/>
      <c r="V122">
        <v>1</v>
      </c>
      <c r="W122" t="s">
        <v>33</v>
      </c>
      <c r="Y122" t="s">
        <v>33</v>
      </c>
      <c r="Z122" t="s">
        <v>34</v>
      </c>
      <c r="AA122">
        <v>1</v>
      </c>
    </row>
    <row r="123" spans="1:27" x14ac:dyDescent="0.35">
      <c r="A123" s="13">
        <f t="shared" si="8"/>
        <v>45930</v>
      </c>
      <c r="B123">
        <v>1</v>
      </c>
      <c r="D123" s="14" t="s">
        <v>31</v>
      </c>
      <c r="E123" s="15" t="s">
        <v>32</v>
      </c>
      <c r="F123" s="16" t="s">
        <v>32</v>
      </c>
      <c r="G123" s="17"/>
      <c r="H123" s="84" t="s">
        <v>59</v>
      </c>
      <c r="I123" s="84" t="s">
        <v>159</v>
      </c>
      <c r="J123" s="88"/>
      <c r="K123" s="91">
        <f t="shared" si="11"/>
        <v>121</v>
      </c>
      <c r="L123" s="88"/>
      <c r="M123" s="93">
        <f t="shared" si="10"/>
        <v>49613</v>
      </c>
      <c r="N123" s="93">
        <f t="shared" si="9"/>
        <v>49613</v>
      </c>
      <c r="O123" s="93">
        <f t="shared" si="7"/>
        <v>49613</v>
      </c>
      <c r="P123" s="94">
        <v>26803.587027067224</v>
      </c>
      <c r="Q123" s="168"/>
      <c r="V123">
        <v>1</v>
      </c>
      <c r="W123" t="s">
        <v>33</v>
      </c>
      <c r="Y123" t="s">
        <v>33</v>
      </c>
      <c r="Z123" t="s">
        <v>34</v>
      </c>
      <c r="AA123">
        <v>1</v>
      </c>
    </row>
    <row r="124" spans="1:27" x14ac:dyDescent="0.35">
      <c r="A124" s="13">
        <f t="shared" si="8"/>
        <v>45930</v>
      </c>
      <c r="B124">
        <v>1</v>
      </c>
      <c r="D124" s="14" t="s">
        <v>31</v>
      </c>
      <c r="E124" s="15" t="s">
        <v>32</v>
      </c>
      <c r="F124" s="16" t="s">
        <v>32</v>
      </c>
      <c r="G124" s="17"/>
      <c r="H124" s="84" t="s">
        <v>59</v>
      </c>
      <c r="I124" s="84" t="s">
        <v>159</v>
      </c>
      <c r="J124" s="88"/>
      <c r="K124" s="91">
        <f t="shared" si="11"/>
        <v>122</v>
      </c>
      <c r="L124" s="88"/>
      <c r="M124" s="93">
        <f t="shared" si="10"/>
        <v>49643</v>
      </c>
      <c r="N124" s="93">
        <f t="shared" si="9"/>
        <v>49643</v>
      </c>
      <c r="O124" s="93">
        <f t="shared" si="7"/>
        <v>49643</v>
      </c>
      <c r="P124" s="94">
        <v>26803.587027067224</v>
      </c>
      <c r="Q124" s="168"/>
      <c r="V124">
        <v>1</v>
      </c>
      <c r="W124" t="s">
        <v>33</v>
      </c>
      <c r="Y124" t="s">
        <v>33</v>
      </c>
      <c r="Z124" t="s">
        <v>34</v>
      </c>
      <c r="AA124">
        <v>1</v>
      </c>
    </row>
    <row r="125" spans="1:27" x14ac:dyDescent="0.35">
      <c r="A125" s="13">
        <f t="shared" si="8"/>
        <v>45930</v>
      </c>
      <c r="B125">
        <v>1</v>
      </c>
      <c r="D125" s="14" t="s">
        <v>31</v>
      </c>
      <c r="E125" s="15" t="s">
        <v>32</v>
      </c>
      <c r="F125" s="16" t="s">
        <v>32</v>
      </c>
      <c r="G125" s="17"/>
      <c r="H125" s="84" t="s">
        <v>59</v>
      </c>
      <c r="I125" s="84" t="s">
        <v>159</v>
      </c>
      <c r="J125" s="88"/>
      <c r="K125" s="91">
        <f t="shared" si="11"/>
        <v>123</v>
      </c>
      <c r="L125" s="88"/>
      <c r="M125" s="93">
        <f t="shared" si="10"/>
        <v>49674</v>
      </c>
      <c r="N125" s="93">
        <f t="shared" si="9"/>
        <v>49674</v>
      </c>
      <c r="O125" s="93">
        <f t="shared" si="7"/>
        <v>49674</v>
      </c>
      <c r="P125" s="94">
        <v>26803.587027067224</v>
      </c>
      <c r="Q125" s="168"/>
      <c r="V125">
        <v>1</v>
      </c>
      <c r="W125" t="s">
        <v>33</v>
      </c>
      <c r="Y125" t="s">
        <v>33</v>
      </c>
      <c r="Z125" t="s">
        <v>34</v>
      </c>
      <c r="AA125">
        <v>1</v>
      </c>
    </row>
    <row r="126" spans="1:27" x14ac:dyDescent="0.35">
      <c r="A126" s="13">
        <f t="shared" si="8"/>
        <v>45930</v>
      </c>
      <c r="B126">
        <v>1</v>
      </c>
      <c r="D126" s="14" t="s">
        <v>31</v>
      </c>
      <c r="E126" s="15" t="s">
        <v>32</v>
      </c>
      <c r="F126" s="16" t="s">
        <v>32</v>
      </c>
      <c r="G126" s="17"/>
      <c r="H126" s="84" t="s">
        <v>59</v>
      </c>
      <c r="I126" s="84" t="s">
        <v>159</v>
      </c>
      <c r="J126" s="88"/>
      <c r="K126" s="91">
        <f t="shared" si="11"/>
        <v>124</v>
      </c>
      <c r="L126" s="88"/>
      <c r="M126" s="93">
        <f t="shared" si="10"/>
        <v>49705</v>
      </c>
      <c r="N126" s="93">
        <f t="shared" si="9"/>
        <v>49705</v>
      </c>
      <c r="O126" s="93">
        <f t="shared" si="7"/>
        <v>49705</v>
      </c>
      <c r="P126" s="94">
        <v>26803.587027067224</v>
      </c>
      <c r="Q126" s="168"/>
      <c r="V126">
        <v>1</v>
      </c>
      <c r="W126" t="s">
        <v>33</v>
      </c>
      <c r="Y126" t="s">
        <v>33</v>
      </c>
      <c r="Z126" t="s">
        <v>34</v>
      </c>
      <c r="AA126">
        <v>1</v>
      </c>
    </row>
    <row r="127" spans="1:27" x14ac:dyDescent="0.35">
      <c r="A127" s="13">
        <f t="shared" si="8"/>
        <v>45930</v>
      </c>
      <c r="B127">
        <v>1</v>
      </c>
      <c r="D127" s="14" t="s">
        <v>31</v>
      </c>
      <c r="E127" s="15" t="s">
        <v>32</v>
      </c>
      <c r="F127" s="16" t="s">
        <v>32</v>
      </c>
      <c r="G127" s="17"/>
      <c r="H127" s="84" t="s">
        <v>59</v>
      </c>
      <c r="I127" s="84" t="s">
        <v>159</v>
      </c>
      <c r="J127" s="88"/>
      <c r="K127" s="91">
        <f t="shared" si="11"/>
        <v>125</v>
      </c>
      <c r="L127" s="88"/>
      <c r="M127" s="93">
        <f t="shared" si="10"/>
        <v>49734</v>
      </c>
      <c r="N127" s="93">
        <f t="shared" si="9"/>
        <v>49734</v>
      </c>
      <c r="O127" s="93">
        <f t="shared" si="7"/>
        <v>49734</v>
      </c>
      <c r="P127" s="94">
        <v>26803.587027067224</v>
      </c>
      <c r="Q127" s="168"/>
      <c r="V127">
        <v>1</v>
      </c>
      <c r="W127" t="s">
        <v>33</v>
      </c>
      <c r="Y127" t="s">
        <v>33</v>
      </c>
      <c r="Z127" t="s">
        <v>34</v>
      </c>
      <c r="AA127">
        <v>1</v>
      </c>
    </row>
    <row r="128" spans="1:27" x14ac:dyDescent="0.35">
      <c r="A128" s="13">
        <f t="shared" si="8"/>
        <v>45930</v>
      </c>
      <c r="B128">
        <v>1</v>
      </c>
      <c r="D128" s="14" t="s">
        <v>31</v>
      </c>
      <c r="E128" s="15" t="s">
        <v>32</v>
      </c>
      <c r="F128" s="16" t="s">
        <v>32</v>
      </c>
      <c r="G128" s="17"/>
      <c r="H128" s="84" t="s">
        <v>59</v>
      </c>
      <c r="I128" s="84" t="s">
        <v>159</v>
      </c>
      <c r="J128" s="88"/>
      <c r="K128" s="91">
        <f t="shared" si="11"/>
        <v>126</v>
      </c>
      <c r="L128" s="88"/>
      <c r="M128" s="93">
        <f t="shared" si="10"/>
        <v>49765</v>
      </c>
      <c r="N128" s="93">
        <f t="shared" si="9"/>
        <v>49765</v>
      </c>
      <c r="O128" s="93">
        <f t="shared" si="7"/>
        <v>49765</v>
      </c>
      <c r="P128" s="94">
        <v>26803.587027067224</v>
      </c>
      <c r="Q128" s="168"/>
      <c r="V128">
        <v>1</v>
      </c>
      <c r="W128" t="s">
        <v>33</v>
      </c>
      <c r="Y128" t="s">
        <v>33</v>
      </c>
      <c r="Z128" t="s">
        <v>34</v>
      </c>
      <c r="AA128">
        <v>1</v>
      </c>
    </row>
    <row r="129" spans="1:27" x14ac:dyDescent="0.35">
      <c r="A129" s="13">
        <f t="shared" si="8"/>
        <v>45930</v>
      </c>
      <c r="B129">
        <v>1</v>
      </c>
      <c r="D129" s="14" t="s">
        <v>31</v>
      </c>
      <c r="E129" s="15" t="s">
        <v>32</v>
      </c>
      <c r="F129" s="16" t="s">
        <v>32</v>
      </c>
      <c r="G129" s="17"/>
      <c r="H129" s="84" t="s">
        <v>59</v>
      </c>
      <c r="I129" s="84" t="s">
        <v>159</v>
      </c>
      <c r="J129" s="88"/>
      <c r="K129" s="91">
        <f t="shared" si="11"/>
        <v>127</v>
      </c>
      <c r="L129" s="88"/>
      <c r="M129" s="93">
        <f t="shared" si="10"/>
        <v>49795</v>
      </c>
      <c r="N129" s="93">
        <f t="shared" si="9"/>
        <v>49795</v>
      </c>
      <c r="O129" s="93">
        <f t="shared" si="7"/>
        <v>49795</v>
      </c>
      <c r="P129" s="94">
        <v>2193.1339020672222</v>
      </c>
      <c r="Q129" s="168"/>
      <c r="V129">
        <v>1</v>
      </c>
      <c r="W129" t="s">
        <v>33</v>
      </c>
      <c r="Y129" t="s">
        <v>33</v>
      </c>
      <c r="Z129" t="s">
        <v>34</v>
      </c>
      <c r="AA129">
        <v>1</v>
      </c>
    </row>
    <row r="130" spans="1:27" x14ac:dyDescent="0.35">
      <c r="A130" s="13">
        <f t="shared" si="8"/>
        <v>45930</v>
      </c>
      <c r="B130">
        <v>1</v>
      </c>
      <c r="D130" s="14" t="s">
        <v>31</v>
      </c>
      <c r="E130" s="15" t="s">
        <v>32</v>
      </c>
      <c r="F130" s="16" t="s">
        <v>32</v>
      </c>
      <c r="G130" s="17"/>
      <c r="H130" s="84" t="s">
        <v>59</v>
      </c>
      <c r="I130" s="84" t="s">
        <v>159</v>
      </c>
      <c r="J130" s="88"/>
      <c r="K130" s="91">
        <f t="shared" si="11"/>
        <v>128</v>
      </c>
      <c r="L130" s="88"/>
      <c r="M130" s="93">
        <f t="shared" si="10"/>
        <v>49826</v>
      </c>
      <c r="N130" s="93">
        <f t="shared" si="9"/>
        <v>49826</v>
      </c>
      <c r="O130" s="93">
        <f t="shared" si="7"/>
        <v>49826</v>
      </c>
      <c r="P130" s="94">
        <v>2193.1339020672222</v>
      </c>
      <c r="Q130" s="168"/>
      <c r="V130">
        <v>1</v>
      </c>
      <c r="W130" t="s">
        <v>33</v>
      </c>
      <c r="Y130" t="s">
        <v>33</v>
      </c>
      <c r="Z130" t="s">
        <v>34</v>
      </c>
      <c r="AA130">
        <v>1</v>
      </c>
    </row>
    <row r="131" spans="1:27" x14ac:dyDescent="0.35">
      <c r="A131" s="13">
        <f t="shared" si="8"/>
        <v>45930</v>
      </c>
      <c r="B131">
        <v>1</v>
      </c>
      <c r="D131" s="14" t="s">
        <v>31</v>
      </c>
      <c r="E131" s="15" t="s">
        <v>32</v>
      </c>
      <c r="F131" s="16" t="s">
        <v>32</v>
      </c>
      <c r="G131" s="17"/>
      <c r="H131" s="84" t="s">
        <v>59</v>
      </c>
      <c r="I131" s="84" t="s">
        <v>159</v>
      </c>
      <c r="J131" s="88"/>
      <c r="K131" s="91">
        <f t="shared" si="11"/>
        <v>129</v>
      </c>
      <c r="L131" s="88"/>
      <c r="M131" s="93">
        <f t="shared" si="10"/>
        <v>49856</v>
      </c>
      <c r="N131" s="93">
        <f t="shared" si="9"/>
        <v>49856</v>
      </c>
      <c r="O131" s="93">
        <f t="shared" ref="O131:O194" si="12">N131</f>
        <v>49856</v>
      </c>
      <c r="P131" s="94">
        <v>2193.1339020672222</v>
      </c>
      <c r="Q131" s="168"/>
      <c r="V131">
        <v>1</v>
      </c>
      <c r="W131" t="s">
        <v>33</v>
      </c>
      <c r="Y131" t="s">
        <v>33</v>
      </c>
      <c r="Z131" t="s">
        <v>34</v>
      </c>
      <c r="AA131">
        <v>1</v>
      </c>
    </row>
    <row r="132" spans="1:27" x14ac:dyDescent="0.35">
      <c r="A132" s="13">
        <f t="shared" ref="A132:A195" si="13">A131</f>
        <v>45930</v>
      </c>
      <c r="B132">
        <v>1</v>
      </c>
      <c r="D132" s="14" t="s">
        <v>31</v>
      </c>
      <c r="E132" s="15" t="s">
        <v>32</v>
      </c>
      <c r="F132" s="16" t="s">
        <v>32</v>
      </c>
      <c r="G132" s="17"/>
      <c r="H132" s="84" t="s">
        <v>59</v>
      </c>
      <c r="I132" s="84" t="s">
        <v>159</v>
      </c>
      <c r="J132" s="88"/>
      <c r="K132" s="91">
        <f t="shared" si="11"/>
        <v>130</v>
      </c>
      <c r="L132" s="88"/>
      <c r="M132" s="93">
        <f t="shared" si="10"/>
        <v>49887</v>
      </c>
      <c r="N132" s="93">
        <f t="shared" ref="N132:N195" si="14">M132</f>
        <v>49887</v>
      </c>
      <c r="O132" s="93">
        <f t="shared" si="12"/>
        <v>49887</v>
      </c>
      <c r="P132" s="94">
        <v>2193.1339020672222</v>
      </c>
      <c r="Q132" s="168"/>
      <c r="V132">
        <v>1</v>
      </c>
      <c r="W132" t="s">
        <v>33</v>
      </c>
      <c r="Y132" t="s">
        <v>33</v>
      </c>
      <c r="Z132" t="s">
        <v>34</v>
      </c>
      <c r="AA132">
        <v>1</v>
      </c>
    </row>
    <row r="133" spans="1:27" x14ac:dyDescent="0.35">
      <c r="A133" s="13">
        <f t="shared" si="13"/>
        <v>45930</v>
      </c>
      <c r="B133">
        <v>1</v>
      </c>
      <c r="D133" s="14" t="s">
        <v>31</v>
      </c>
      <c r="E133" s="15" t="s">
        <v>32</v>
      </c>
      <c r="F133" s="16" t="s">
        <v>32</v>
      </c>
      <c r="G133" s="17"/>
      <c r="H133" s="84" t="s">
        <v>59</v>
      </c>
      <c r="I133" s="84" t="s">
        <v>159</v>
      </c>
      <c r="J133" s="88"/>
      <c r="K133" s="91">
        <f t="shared" si="11"/>
        <v>131</v>
      </c>
      <c r="L133" s="88"/>
      <c r="M133" s="93">
        <f t="shared" ref="M133:M196" si="15">EOMONTH(M132,1)</f>
        <v>49918</v>
      </c>
      <c r="N133" s="93">
        <f t="shared" si="14"/>
        <v>49918</v>
      </c>
      <c r="O133" s="93">
        <f t="shared" si="12"/>
        <v>49918</v>
      </c>
      <c r="P133" s="94">
        <v>2193.1339020672222</v>
      </c>
      <c r="Q133" s="168"/>
      <c r="V133">
        <v>1</v>
      </c>
      <c r="W133" t="s">
        <v>33</v>
      </c>
      <c r="Y133" t="s">
        <v>33</v>
      </c>
      <c r="Z133" t="s">
        <v>34</v>
      </c>
      <c r="AA133">
        <v>1</v>
      </c>
    </row>
    <row r="134" spans="1:27" x14ac:dyDescent="0.35">
      <c r="A134" s="13">
        <f t="shared" si="13"/>
        <v>45930</v>
      </c>
      <c r="B134">
        <v>1</v>
      </c>
      <c r="D134" s="14" t="s">
        <v>31</v>
      </c>
      <c r="E134" s="15" t="s">
        <v>32</v>
      </c>
      <c r="F134" s="16" t="s">
        <v>32</v>
      </c>
      <c r="G134" s="17"/>
      <c r="H134" s="84" t="s">
        <v>59</v>
      </c>
      <c r="I134" s="84" t="s">
        <v>159</v>
      </c>
      <c r="J134" s="88"/>
      <c r="K134" s="91">
        <f t="shared" si="11"/>
        <v>132</v>
      </c>
      <c r="L134" s="88"/>
      <c r="M134" s="93">
        <f t="shared" si="15"/>
        <v>49948</v>
      </c>
      <c r="N134" s="93">
        <f t="shared" si="14"/>
        <v>49948</v>
      </c>
      <c r="O134" s="93">
        <f t="shared" si="12"/>
        <v>49948</v>
      </c>
      <c r="P134" s="94">
        <v>2193.1339020672222</v>
      </c>
      <c r="Q134" s="168"/>
      <c r="V134">
        <v>1</v>
      </c>
      <c r="W134" t="s">
        <v>33</v>
      </c>
      <c r="Y134" t="s">
        <v>33</v>
      </c>
      <c r="Z134" t="s">
        <v>34</v>
      </c>
      <c r="AA134">
        <v>1</v>
      </c>
    </row>
    <row r="135" spans="1:27" x14ac:dyDescent="0.35">
      <c r="A135" s="13">
        <f t="shared" si="13"/>
        <v>45930</v>
      </c>
      <c r="B135">
        <v>1</v>
      </c>
      <c r="D135" s="14" t="s">
        <v>31</v>
      </c>
      <c r="E135" s="15" t="s">
        <v>32</v>
      </c>
      <c r="F135" s="16" t="s">
        <v>32</v>
      </c>
      <c r="G135" s="17"/>
      <c r="H135" s="84" t="s">
        <v>59</v>
      </c>
      <c r="I135" s="84" t="s">
        <v>159</v>
      </c>
      <c r="J135" s="88"/>
      <c r="K135" s="91">
        <f t="shared" si="11"/>
        <v>133</v>
      </c>
      <c r="L135" s="88"/>
      <c r="M135" s="93">
        <f t="shared" si="15"/>
        <v>49979</v>
      </c>
      <c r="N135" s="93">
        <f t="shared" si="14"/>
        <v>49979</v>
      </c>
      <c r="O135" s="93">
        <f t="shared" si="12"/>
        <v>49979</v>
      </c>
      <c r="P135" s="94">
        <v>2193.1339020672222</v>
      </c>
      <c r="Q135" s="168"/>
      <c r="V135">
        <v>1</v>
      </c>
      <c r="W135" t="s">
        <v>33</v>
      </c>
      <c r="Y135" t="s">
        <v>33</v>
      </c>
      <c r="Z135" t="s">
        <v>34</v>
      </c>
      <c r="AA135">
        <v>1</v>
      </c>
    </row>
    <row r="136" spans="1:27" x14ac:dyDescent="0.35">
      <c r="A136" s="13">
        <f t="shared" si="13"/>
        <v>45930</v>
      </c>
      <c r="B136">
        <v>1</v>
      </c>
      <c r="D136" s="14" t="s">
        <v>31</v>
      </c>
      <c r="E136" s="15" t="s">
        <v>32</v>
      </c>
      <c r="F136" s="16" t="s">
        <v>32</v>
      </c>
      <c r="G136" s="17"/>
      <c r="H136" s="84" t="s">
        <v>59</v>
      </c>
      <c r="I136" s="84" t="s">
        <v>159</v>
      </c>
      <c r="J136" s="88"/>
      <c r="K136" s="91">
        <f t="shared" si="11"/>
        <v>134</v>
      </c>
      <c r="L136" s="88"/>
      <c r="M136" s="93">
        <f t="shared" si="15"/>
        <v>50009</v>
      </c>
      <c r="N136" s="93">
        <f t="shared" si="14"/>
        <v>50009</v>
      </c>
      <c r="O136" s="93">
        <f t="shared" si="12"/>
        <v>50009</v>
      </c>
      <c r="P136" s="94">
        <v>2193.1339020672222</v>
      </c>
      <c r="Q136" s="168"/>
      <c r="V136">
        <v>1</v>
      </c>
      <c r="W136" t="s">
        <v>33</v>
      </c>
      <c r="Y136" t="s">
        <v>33</v>
      </c>
      <c r="Z136" t="s">
        <v>34</v>
      </c>
      <c r="AA136">
        <v>1</v>
      </c>
    </row>
    <row r="137" spans="1:27" x14ac:dyDescent="0.35">
      <c r="A137" s="13">
        <f t="shared" si="13"/>
        <v>45930</v>
      </c>
      <c r="B137">
        <v>1</v>
      </c>
      <c r="D137" s="14" t="s">
        <v>31</v>
      </c>
      <c r="E137" s="15" t="s">
        <v>32</v>
      </c>
      <c r="F137" s="16" t="s">
        <v>32</v>
      </c>
      <c r="G137" s="17"/>
      <c r="H137" s="84" t="s">
        <v>59</v>
      </c>
      <c r="I137" s="84" t="s">
        <v>159</v>
      </c>
      <c r="J137" s="88"/>
      <c r="K137" s="91">
        <f t="shared" si="11"/>
        <v>135</v>
      </c>
      <c r="L137" s="88"/>
      <c r="M137" s="93">
        <f t="shared" si="15"/>
        <v>50040</v>
      </c>
      <c r="N137" s="93">
        <f t="shared" si="14"/>
        <v>50040</v>
      </c>
      <c r="O137" s="93">
        <f t="shared" si="12"/>
        <v>50040</v>
      </c>
      <c r="P137" s="94">
        <v>2193.1339020672222</v>
      </c>
      <c r="Q137" s="168"/>
      <c r="V137">
        <v>1</v>
      </c>
      <c r="W137" t="s">
        <v>33</v>
      </c>
      <c r="Y137" t="s">
        <v>33</v>
      </c>
      <c r="Z137" t="s">
        <v>34</v>
      </c>
      <c r="AA137">
        <v>1</v>
      </c>
    </row>
    <row r="138" spans="1:27" x14ac:dyDescent="0.35">
      <c r="A138" s="13">
        <f t="shared" si="13"/>
        <v>45930</v>
      </c>
      <c r="B138">
        <v>1</v>
      </c>
      <c r="D138" s="14" t="s">
        <v>31</v>
      </c>
      <c r="E138" s="15" t="s">
        <v>32</v>
      </c>
      <c r="F138" s="16" t="s">
        <v>32</v>
      </c>
      <c r="G138" s="17"/>
      <c r="H138" s="84" t="s">
        <v>59</v>
      </c>
      <c r="I138" s="84" t="s">
        <v>159</v>
      </c>
      <c r="J138" s="88"/>
      <c r="K138" s="91">
        <f t="shared" si="11"/>
        <v>136</v>
      </c>
      <c r="L138" s="88"/>
      <c r="M138" s="93">
        <f t="shared" si="15"/>
        <v>50071</v>
      </c>
      <c r="N138" s="93">
        <f t="shared" si="14"/>
        <v>50071</v>
      </c>
      <c r="O138" s="93">
        <f t="shared" si="12"/>
        <v>50071</v>
      </c>
      <c r="P138" s="94">
        <v>2193.1339020672222</v>
      </c>
      <c r="Q138" s="168"/>
      <c r="V138">
        <v>1</v>
      </c>
      <c r="W138" t="s">
        <v>33</v>
      </c>
      <c r="Y138" t="s">
        <v>33</v>
      </c>
      <c r="Z138" t="s">
        <v>34</v>
      </c>
      <c r="AA138">
        <v>1</v>
      </c>
    </row>
    <row r="139" spans="1:27" x14ac:dyDescent="0.35">
      <c r="A139" s="13">
        <f t="shared" si="13"/>
        <v>45930</v>
      </c>
      <c r="B139">
        <v>1</v>
      </c>
      <c r="D139" s="14" t="s">
        <v>31</v>
      </c>
      <c r="E139" s="15" t="s">
        <v>32</v>
      </c>
      <c r="F139" s="16" t="s">
        <v>32</v>
      </c>
      <c r="G139" s="17"/>
      <c r="H139" s="84" t="s">
        <v>59</v>
      </c>
      <c r="I139" s="84" t="s">
        <v>159</v>
      </c>
      <c r="J139" s="88"/>
      <c r="K139" s="91">
        <f t="shared" si="11"/>
        <v>137</v>
      </c>
      <c r="L139" s="88"/>
      <c r="M139" s="93">
        <f t="shared" si="15"/>
        <v>50099</v>
      </c>
      <c r="N139" s="93">
        <f t="shared" si="14"/>
        <v>50099</v>
      </c>
      <c r="O139" s="93">
        <f t="shared" si="12"/>
        <v>50099</v>
      </c>
      <c r="P139" s="94">
        <v>2193.1339020672222</v>
      </c>
      <c r="Q139" s="168"/>
      <c r="V139">
        <v>1</v>
      </c>
      <c r="W139" t="s">
        <v>33</v>
      </c>
      <c r="Y139" t="s">
        <v>33</v>
      </c>
      <c r="Z139" t="s">
        <v>34</v>
      </c>
      <c r="AA139">
        <v>1</v>
      </c>
    </row>
    <row r="140" spans="1:27" x14ac:dyDescent="0.35">
      <c r="A140" s="13">
        <f t="shared" si="13"/>
        <v>45930</v>
      </c>
      <c r="B140">
        <v>1</v>
      </c>
      <c r="D140" s="14" t="s">
        <v>31</v>
      </c>
      <c r="E140" s="15" t="s">
        <v>32</v>
      </c>
      <c r="F140" s="16" t="s">
        <v>32</v>
      </c>
      <c r="G140" s="17"/>
      <c r="H140" s="84" t="s">
        <v>59</v>
      </c>
      <c r="I140" s="84" t="s">
        <v>159</v>
      </c>
      <c r="J140" s="88"/>
      <c r="K140" s="91">
        <f t="shared" si="11"/>
        <v>138</v>
      </c>
      <c r="L140" s="88"/>
      <c r="M140" s="93">
        <f t="shared" si="15"/>
        <v>50130</v>
      </c>
      <c r="N140" s="93">
        <f t="shared" si="14"/>
        <v>50130</v>
      </c>
      <c r="O140" s="93">
        <f t="shared" si="12"/>
        <v>50130</v>
      </c>
      <c r="P140" s="94">
        <v>2193.1339020672222</v>
      </c>
      <c r="Q140" s="168"/>
      <c r="V140">
        <v>1</v>
      </c>
      <c r="W140" t="s">
        <v>33</v>
      </c>
      <c r="Y140" t="s">
        <v>33</v>
      </c>
      <c r="Z140" t="s">
        <v>34</v>
      </c>
      <c r="AA140">
        <v>1</v>
      </c>
    </row>
    <row r="141" spans="1:27" x14ac:dyDescent="0.35">
      <c r="A141" s="13">
        <f t="shared" si="13"/>
        <v>45930</v>
      </c>
      <c r="B141">
        <v>1</v>
      </c>
      <c r="D141" s="14" t="s">
        <v>31</v>
      </c>
      <c r="E141" s="15" t="s">
        <v>32</v>
      </c>
      <c r="F141" s="16" t="s">
        <v>32</v>
      </c>
      <c r="G141" s="17"/>
      <c r="H141" s="84" t="s">
        <v>59</v>
      </c>
      <c r="I141" s="84" t="s">
        <v>159</v>
      </c>
      <c r="J141" s="88"/>
      <c r="K141" s="91">
        <f t="shared" si="11"/>
        <v>139</v>
      </c>
      <c r="L141" s="88"/>
      <c r="M141" s="93">
        <f t="shared" si="15"/>
        <v>50160</v>
      </c>
      <c r="N141" s="93">
        <f t="shared" si="14"/>
        <v>50160</v>
      </c>
      <c r="O141" s="93">
        <f t="shared" si="12"/>
        <v>50160</v>
      </c>
      <c r="P141" s="94">
        <v>2193.1339020672222</v>
      </c>
      <c r="Q141" s="168"/>
      <c r="V141">
        <v>1</v>
      </c>
      <c r="W141" t="s">
        <v>33</v>
      </c>
      <c r="Y141" t="s">
        <v>33</v>
      </c>
      <c r="Z141" t="s">
        <v>34</v>
      </c>
      <c r="AA141">
        <v>1</v>
      </c>
    </row>
    <row r="142" spans="1:27" x14ac:dyDescent="0.35">
      <c r="A142" s="13">
        <f t="shared" si="13"/>
        <v>45930</v>
      </c>
      <c r="B142">
        <v>1</v>
      </c>
      <c r="D142" s="14" t="s">
        <v>31</v>
      </c>
      <c r="E142" s="15" t="s">
        <v>32</v>
      </c>
      <c r="F142" s="16" t="s">
        <v>32</v>
      </c>
      <c r="G142" s="17"/>
      <c r="H142" s="84" t="s">
        <v>59</v>
      </c>
      <c r="I142" s="84" t="s">
        <v>159</v>
      </c>
      <c r="J142" s="88"/>
      <c r="K142" s="91">
        <f t="shared" si="11"/>
        <v>140</v>
      </c>
      <c r="L142" s="88"/>
      <c r="M142" s="93">
        <f t="shared" si="15"/>
        <v>50191</v>
      </c>
      <c r="N142" s="93">
        <f t="shared" si="14"/>
        <v>50191</v>
      </c>
      <c r="O142" s="93">
        <f t="shared" si="12"/>
        <v>50191</v>
      </c>
      <c r="P142" s="94">
        <v>2193.1339020672222</v>
      </c>
      <c r="Q142" s="168"/>
      <c r="V142">
        <v>1</v>
      </c>
      <c r="W142" t="s">
        <v>33</v>
      </c>
      <c r="Y142" t="s">
        <v>33</v>
      </c>
      <c r="Z142" t="s">
        <v>34</v>
      </c>
      <c r="AA142">
        <v>1</v>
      </c>
    </row>
    <row r="143" spans="1:27" x14ac:dyDescent="0.35">
      <c r="A143" s="13">
        <f t="shared" si="13"/>
        <v>45930</v>
      </c>
      <c r="B143">
        <v>1</v>
      </c>
      <c r="D143" s="14" t="s">
        <v>31</v>
      </c>
      <c r="E143" s="15" t="s">
        <v>32</v>
      </c>
      <c r="F143" s="16" t="s">
        <v>32</v>
      </c>
      <c r="G143" s="17"/>
      <c r="H143" s="84" t="s">
        <v>59</v>
      </c>
      <c r="I143" s="84" t="s">
        <v>159</v>
      </c>
      <c r="J143" s="88"/>
      <c r="K143" s="91">
        <f t="shared" si="11"/>
        <v>141</v>
      </c>
      <c r="L143" s="88"/>
      <c r="M143" s="93">
        <f t="shared" si="15"/>
        <v>50221</v>
      </c>
      <c r="N143" s="93">
        <f t="shared" si="14"/>
        <v>50221</v>
      </c>
      <c r="O143" s="93">
        <f t="shared" si="12"/>
        <v>50221</v>
      </c>
      <c r="P143" s="94">
        <v>2193.1339020672222</v>
      </c>
      <c r="Q143" s="168"/>
      <c r="V143">
        <v>1</v>
      </c>
      <c r="W143" t="s">
        <v>33</v>
      </c>
      <c r="Y143" t="s">
        <v>33</v>
      </c>
      <c r="Z143" t="s">
        <v>34</v>
      </c>
      <c r="AA143">
        <v>1</v>
      </c>
    </row>
    <row r="144" spans="1:27" x14ac:dyDescent="0.35">
      <c r="A144" s="13">
        <f t="shared" si="13"/>
        <v>45930</v>
      </c>
      <c r="B144">
        <v>1</v>
      </c>
      <c r="D144" s="14" t="s">
        <v>31</v>
      </c>
      <c r="E144" s="15" t="s">
        <v>32</v>
      </c>
      <c r="F144" s="16" t="s">
        <v>32</v>
      </c>
      <c r="G144" s="17"/>
      <c r="H144" s="84" t="s">
        <v>59</v>
      </c>
      <c r="I144" s="84" t="s">
        <v>159</v>
      </c>
      <c r="J144" s="88"/>
      <c r="K144" s="91">
        <f t="shared" si="11"/>
        <v>142</v>
      </c>
      <c r="L144" s="88"/>
      <c r="M144" s="93">
        <f t="shared" si="15"/>
        <v>50252</v>
      </c>
      <c r="N144" s="93">
        <f t="shared" si="14"/>
        <v>50252</v>
      </c>
      <c r="O144" s="93">
        <f t="shared" si="12"/>
        <v>50252</v>
      </c>
      <c r="P144" s="94">
        <v>2193.1339020672222</v>
      </c>
      <c r="Q144" s="168"/>
      <c r="V144">
        <v>1</v>
      </c>
      <c r="W144" t="s">
        <v>33</v>
      </c>
      <c r="Y144" t="s">
        <v>33</v>
      </c>
      <c r="Z144" t="s">
        <v>34</v>
      </c>
      <c r="AA144">
        <v>1</v>
      </c>
    </row>
    <row r="145" spans="1:27" x14ac:dyDescent="0.35">
      <c r="A145" s="13">
        <f t="shared" si="13"/>
        <v>45930</v>
      </c>
      <c r="B145">
        <v>1</v>
      </c>
      <c r="D145" s="14" t="s">
        <v>31</v>
      </c>
      <c r="E145" s="15" t="s">
        <v>32</v>
      </c>
      <c r="F145" s="16" t="s">
        <v>32</v>
      </c>
      <c r="G145" s="17"/>
      <c r="H145" s="84" t="s">
        <v>59</v>
      </c>
      <c r="I145" s="84" t="s">
        <v>159</v>
      </c>
      <c r="J145" s="88"/>
      <c r="K145" s="91">
        <f t="shared" si="11"/>
        <v>143</v>
      </c>
      <c r="L145" s="88"/>
      <c r="M145" s="93">
        <f t="shared" si="15"/>
        <v>50283</v>
      </c>
      <c r="N145" s="93">
        <f t="shared" si="14"/>
        <v>50283</v>
      </c>
      <c r="O145" s="93">
        <f t="shared" si="12"/>
        <v>50283</v>
      </c>
      <c r="P145" s="94">
        <v>2193.1339020672222</v>
      </c>
      <c r="Q145" s="168"/>
      <c r="V145">
        <v>1</v>
      </c>
      <c r="W145" t="s">
        <v>33</v>
      </c>
      <c r="Y145" t="s">
        <v>33</v>
      </c>
      <c r="Z145" t="s">
        <v>34</v>
      </c>
      <c r="AA145">
        <v>1</v>
      </c>
    </row>
    <row r="146" spans="1:27" x14ac:dyDescent="0.35">
      <c r="A146" s="13">
        <f t="shared" si="13"/>
        <v>45930</v>
      </c>
      <c r="B146">
        <v>1</v>
      </c>
      <c r="D146" s="14" t="s">
        <v>31</v>
      </c>
      <c r="E146" s="15" t="s">
        <v>32</v>
      </c>
      <c r="F146" s="16" t="s">
        <v>32</v>
      </c>
      <c r="G146" s="17"/>
      <c r="H146" s="84" t="s">
        <v>59</v>
      </c>
      <c r="I146" s="84" t="s">
        <v>159</v>
      </c>
      <c r="J146" s="88"/>
      <c r="K146" s="91">
        <f t="shared" si="11"/>
        <v>144</v>
      </c>
      <c r="L146" s="88"/>
      <c r="M146" s="93">
        <f t="shared" si="15"/>
        <v>50313</v>
      </c>
      <c r="N146" s="93">
        <f t="shared" si="14"/>
        <v>50313</v>
      </c>
      <c r="O146" s="93">
        <f t="shared" si="12"/>
        <v>50313</v>
      </c>
      <c r="P146" s="94">
        <v>2193.1339020672222</v>
      </c>
      <c r="Q146" s="168"/>
      <c r="V146">
        <v>1</v>
      </c>
      <c r="W146" t="s">
        <v>33</v>
      </c>
      <c r="Y146" t="s">
        <v>33</v>
      </c>
      <c r="Z146" t="s">
        <v>34</v>
      </c>
      <c r="AA146">
        <v>1</v>
      </c>
    </row>
    <row r="147" spans="1:27" x14ac:dyDescent="0.35">
      <c r="A147" s="13">
        <f t="shared" si="13"/>
        <v>45930</v>
      </c>
      <c r="B147">
        <v>1</v>
      </c>
      <c r="D147" s="14" t="s">
        <v>31</v>
      </c>
      <c r="E147" s="15" t="s">
        <v>32</v>
      </c>
      <c r="F147" s="16" t="s">
        <v>32</v>
      </c>
      <c r="G147" s="17"/>
      <c r="H147" s="84" t="s">
        <v>59</v>
      </c>
      <c r="I147" s="84" t="s">
        <v>159</v>
      </c>
      <c r="J147" s="88"/>
      <c r="K147" s="91">
        <f t="shared" si="11"/>
        <v>145</v>
      </c>
      <c r="L147" s="88"/>
      <c r="M147" s="93">
        <f t="shared" si="15"/>
        <v>50344</v>
      </c>
      <c r="N147" s="93">
        <f t="shared" si="14"/>
        <v>50344</v>
      </c>
      <c r="O147" s="93">
        <f t="shared" si="12"/>
        <v>50344</v>
      </c>
      <c r="P147" s="94">
        <v>2193.1339020672222</v>
      </c>
      <c r="Q147" s="168"/>
      <c r="V147">
        <v>1</v>
      </c>
      <c r="W147" t="s">
        <v>33</v>
      </c>
      <c r="Y147" t="s">
        <v>33</v>
      </c>
      <c r="Z147" t="s">
        <v>34</v>
      </c>
      <c r="AA147">
        <v>1</v>
      </c>
    </row>
    <row r="148" spans="1:27" x14ac:dyDescent="0.35">
      <c r="A148" s="13">
        <f t="shared" si="13"/>
        <v>45930</v>
      </c>
      <c r="B148">
        <v>1</v>
      </c>
      <c r="D148" s="14" t="s">
        <v>31</v>
      </c>
      <c r="E148" s="15" t="s">
        <v>32</v>
      </c>
      <c r="F148" s="16" t="s">
        <v>32</v>
      </c>
      <c r="G148" s="17"/>
      <c r="H148" s="84" t="s">
        <v>59</v>
      </c>
      <c r="I148" s="84" t="s">
        <v>159</v>
      </c>
      <c r="J148" s="88"/>
      <c r="K148" s="91">
        <f t="shared" si="11"/>
        <v>146</v>
      </c>
      <c r="L148" s="88"/>
      <c r="M148" s="93">
        <f t="shared" si="15"/>
        <v>50374</v>
      </c>
      <c r="N148" s="93">
        <f t="shared" si="14"/>
        <v>50374</v>
      </c>
      <c r="O148" s="93">
        <f t="shared" si="12"/>
        <v>50374</v>
      </c>
      <c r="P148" s="94">
        <v>2193.1339020672222</v>
      </c>
      <c r="Q148" s="168"/>
      <c r="V148">
        <v>1</v>
      </c>
      <c r="W148" t="s">
        <v>33</v>
      </c>
      <c r="Y148" t="s">
        <v>33</v>
      </c>
      <c r="Z148" t="s">
        <v>34</v>
      </c>
      <c r="AA148">
        <v>1</v>
      </c>
    </row>
    <row r="149" spans="1:27" x14ac:dyDescent="0.35">
      <c r="A149" s="13">
        <f t="shared" si="13"/>
        <v>45930</v>
      </c>
      <c r="B149">
        <v>1</v>
      </c>
      <c r="D149" s="14" t="s">
        <v>31</v>
      </c>
      <c r="E149" s="15" t="s">
        <v>32</v>
      </c>
      <c r="F149" s="16" t="s">
        <v>32</v>
      </c>
      <c r="G149" s="17"/>
      <c r="H149" s="84" t="s">
        <v>59</v>
      </c>
      <c r="I149" s="84" t="s">
        <v>159</v>
      </c>
      <c r="J149" s="88"/>
      <c r="K149" s="91">
        <f t="shared" si="11"/>
        <v>147</v>
      </c>
      <c r="L149" s="88"/>
      <c r="M149" s="93">
        <f t="shared" si="15"/>
        <v>50405</v>
      </c>
      <c r="N149" s="93">
        <f t="shared" si="14"/>
        <v>50405</v>
      </c>
      <c r="O149" s="93">
        <f t="shared" si="12"/>
        <v>50405</v>
      </c>
      <c r="P149" s="94">
        <v>2193.1339020672222</v>
      </c>
      <c r="Q149" s="168"/>
      <c r="V149">
        <v>1</v>
      </c>
      <c r="W149" t="s">
        <v>33</v>
      </c>
      <c r="Y149" t="s">
        <v>33</v>
      </c>
      <c r="Z149" t="s">
        <v>34</v>
      </c>
      <c r="AA149">
        <v>1</v>
      </c>
    </row>
    <row r="150" spans="1:27" x14ac:dyDescent="0.35">
      <c r="A150" s="13">
        <f t="shared" si="13"/>
        <v>45930</v>
      </c>
      <c r="B150">
        <v>1</v>
      </c>
      <c r="D150" s="14" t="s">
        <v>31</v>
      </c>
      <c r="E150" s="15" t="s">
        <v>32</v>
      </c>
      <c r="F150" s="16" t="s">
        <v>32</v>
      </c>
      <c r="G150" s="17"/>
      <c r="H150" s="84" t="s">
        <v>59</v>
      </c>
      <c r="I150" s="84" t="s">
        <v>159</v>
      </c>
      <c r="J150" s="88"/>
      <c r="K150" s="91">
        <f t="shared" si="11"/>
        <v>148</v>
      </c>
      <c r="L150" s="88"/>
      <c r="M150" s="93">
        <f t="shared" si="15"/>
        <v>50436</v>
      </c>
      <c r="N150" s="93">
        <f t="shared" si="14"/>
        <v>50436</v>
      </c>
      <c r="O150" s="93">
        <f t="shared" si="12"/>
        <v>50436</v>
      </c>
      <c r="P150" s="94">
        <v>2193.1339020672222</v>
      </c>
      <c r="Q150" s="168"/>
      <c r="V150">
        <v>1</v>
      </c>
      <c r="W150" t="s">
        <v>33</v>
      </c>
      <c r="Y150" t="s">
        <v>33</v>
      </c>
      <c r="Z150" t="s">
        <v>34</v>
      </c>
      <c r="AA150">
        <v>1</v>
      </c>
    </row>
    <row r="151" spans="1:27" x14ac:dyDescent="0.35">
      <c r="A151" s="13">
        <f t="shared" si="13"/>
        <v>45930</v>
      </c>
      <c r="B151">
        <v>1</v>
      </c>
      <c r="D151" s="14" t="s">
        <v>31</v>
      </c>
      <c r="E151" s="15" t="s">
        <v>32</v>
      </c>
      <c r="F151" s="16" t="s">
        <v>32</v>
      </c>
      <c r="G151" s="17"/>
      <c r="H151" s="84" t="s">
        <v>59</v>
      </c>
      <c r="I151" s="84" t="s">
        <v>159</v>
      </c>
      <c r="J151" s="88"/>
      <c r="K151" s="91">
        <f t="shared" si="11"/>
        <v>149</v>
      </c>
      <c r="L151" s="88"/>
      <c r="M151" s="93">
        <f t="shared" si="15"/>
        <v>50464</v>
      </c>
      <c r="N151" s="93">
        <f t="shared" si="14"/>
        <v>50464</v>
      </c>
      <c r="O151" s="93">
        <f t="shared" si="12"/>
        <v>50464</v>
      </c>
      <c r="P151" s="94">
        <v>2193.1339020672222</v>
      </c>
      <c r="Q151" s="168"/>
      <c r="V151">
        <v>1</v>
      </c>
      <c r="W151" t="s">
        <v>33</v>
      </c>
      <c r="Y151" t="s">
        <v>33</v>
      </c>
      <c r="Z151" t="s">
        <v>34</v>
      </c>
      <c r="AA151">
        <v>1</v>
      </c>
    </row>
    <row r="152" spans="1:27" x14ac:dyDescent="0.35">
      <c r="A152" s="13">
        <f t="shared" si="13"/>
        <v>45930</v>
      </c>
      <c r="B152">
        <v>1</v>
      </c>
      <c r="D152" s="14" t="s">
        <v>31</v>
      </c>
      <c r="E152" s="15" t="s">
        <v>32</v>
      </c>
      <c r="F152" s="16" t="s">
        <v>32</v>
      </c>
      <c r="G152" s="17"/>
      <c r="H152" s="84" t="s">
        <v>59</v>
      </c>
      <c r="I152" s="84" t="s">
        <v>159</v>
      </c>
      <c r="J152" s="88"/>
      <c r="K152" s="91">
        <f t="shared" si="11"/>
        <v>150</v>
      </c>
      <c r="L152" s="88"/>
      <c r="M152" s="93">
        <f t="shared" si="15"/>
        <v>50495</v>
      </c>
      <c r="N152" s="93">
        <f t="shared" si="14"/>
        <v>50495</v>
      </c>
      <c r="O152" s="93">
        <f t="shared" si="12"/>
        <v>50495</v>
      </c>
      <c r="P152" s="94">
        <v>2193.1339020672222</v>
      </c>
      <c r="Q152" s="168"/>
      <c r="V152">
        <v>1</v>
      </c>
      <c r="W152" t="s">
        <v>33</v>
      </c>
      <c r="Y152" t="s">
        <v>33</v>
      </c>
      <c r="Z152" t="s">
        <v>34</v>
      </c>
      <c r="AA152">
        <v>1</v>
      </c>
    </row>
    <row r="153" spans="1:27" x14ac:dyDescent="0.35">
      <c r="A153" s="13">
        <f t="shared" si="13"/>
        <v>45930</v>
      </c>
      <c r="B153">
        <v>1</v>
      </c>
      <c r="D153" s="14" t="s">
        <v>31</v>
      </c>
      <c r="E153" s="15" t="s">
        <v>32</v>
      </c>
      <c r="F153" s="16" t="s">
        <v>32</v>
      </c>
      <c r="G153" s="17"/>
      <c r="H153" s="84" t="s">
        <v>59</v>
      </c>
      <c r="I153" s="84" t="s">
        <v>159</v>
      </c>
      <c r="J153" s="88"/>
      <c r="K153" s="91">
        <f t="shared" si="11"/>
        <v>151</v>
      </c>
      <c r="L153" s="88"/>
      <c r="M153" s="93">
        <f t="shared" si="15"/>
        <v>50525</v>
      </c>
      <c r="N153" s="93">
        <f t="shared" si="14"/>
        <v>50525</v>
      </c>
      <c r="O153" s="93">
        <f t="shared" si="12"/>
        <v>50525</v>
      </c>
      <c r="P153" s="94">
        <v>2193.1339020672222</v>
      </c>
      <c r="Q153" s="168"/>
      <c r="V153">
        <v>1</v>
      </c>
      <c r="W153" t="s">
        <v>33</v>
      </c>
      <c r="Y153" t="s">
        <v>33</v>
      </c>
      <c r="Z153" t="s">
        <v>34</v>
      </c>
      <c r="AA153">
        <v>1</v>
      </c>
    </row>
    <row r="154" spans="1:27" x14ac:dyDescent="0.35">
      <c r="A154" s="13">
        <f t="shared" si="13"/>
        <v>45930</v>
      </c>
      <c r="B154">
        <v>1</v>
      </c>
      <c r="D154" s="14" t="s">
        <v>31</v>
      </c>
      <c r="E154" s="15" t="s">
        <v>32</v>
      </c>
      <c r="F154" s="16" t="s">
        <v>32</v>
      </c>
      <c r="G154" s="17"/>
      <c r="H154" s="84" t="s">
        <v>59</v>
      </c>
      <c r="I154" s="84" t="s">
        <v>159</v>
      </c>
      <c r="J154" s="88"/>
      <c r="K154" s="91">
        <f t="shared" si="11"/>
        <v>152</v>
      </c>
      <c r="L154" s="88"/>
      <c r="M154" s="93">
        <f t="shared" si="15"/>
        <v>50556</v>
      </c>
      <c r="N154" s="93">
        <f t="shared" si="14"/>
        <v>50556</v>
      </c>
      <c r="O154" s="93">
        <f t="shared" si="12"/>
        <v>50556</v>
      </c>
      <c r="P154" s="94">
        <v>2193.1339020672222</v>
      </c>
      <c r="Q154" s="168"/>
      <c r="V154">
        <v>1</v>
      </c>
      <c r="W154" t="s">
        <v>33</v>
      </c>
      <c r="Y154" t="s">
        <v>33</v>
      </c>
      <c r="Z154" t="s">
        <v>34</v>
      </c>
      <c r="AA154">
        <v>1</v>
      </c>
    </row>
    <row r="155" spans="1:27" x14ac:dyDescent="0.35">
      <c r="A155" s="13">
        <f t="shared" si="13"/>
        <v>45930</v>
      </c>
      <c r="B155">
        <v>1</v>
      </c>
      <c r="D155" s="14" t="s">
        <v>31</v>
      </c>
      <c r="E155" s="15" t="s">
        <v>32</v>
      </c>
      <c r="F155" s="16" t="s">
        <v>32</v>
      </c>
      <c r="G155" s="17"/>
      <c r="H155" s="84" t="s">
        <v>59</v>
      </c>
      <c r="I155" s="84" t="s">
        <v>159</v>
      </c>
      <c r="J155" s="88"/>
      <c r="K155" s="91">
        <f t="shared" si="11"/>
        <v>153</v>
      </c>
      <c r="L155" s="88"/>
      <c r="M155" s="93">
        <f t="shared" si="15"/>
        <v>50586</v>
      </c>
      <c r="N155" s="93">
        <f t="shared" si="14"/>
        <v>50586</v>
      </c>
      <c r="O155" s="93">
        <f t="shared" si="12"/>
        <v>50586</v>
      </c>
      <c r="P155" s="94">
        <v>2193.1339020672222</v>
      </c>
      <c r="Q155" s="168"/>
      <c r="V155">
        <v>1</v>
      </c>
      <c r="W155" t="s">
        <v>33</v>
      </c>
      <c r="Y155" t="s">
        <v>33</v>
      </c>
      <c r="Z155" t="s">
        <v>34</v>
      </c>
      <c r="AA155">
        <v>1</v>
      </c>
    </row>
    <row r="156" spans="1:27" x14ac:dyDescent="0.35">
      <c r="A156" s="13">
        <f t="shared" si="13"/>
        <v>45930</v>
      </c>
      <c r="B156">
        <v>1</v>
      </c>
      <c r="D156" s="14" t="s">
        <v>31</v>
      </c>
      <c r="E156" s="15" t="s">
        <v>32</v>
      </c>
      <c r="F156" s="16" t="s">
        <v>32</v>
      </c>
      <c r="G156" s="17"/>
      <c r="H156" s="84" t="s">
        <v>59</v>
      </c>
      <c r="I156" s="84" t="s">
        <v>159</v>
      </c>
      <c r="J156" s="88"/>
      <c r="K156" s="91">
        <f t="shared" si="11"/>
        <v>154</v>
      </c>
      <c r="L156" s="88"/>
      <c r="M156" s="93">
        <f t="shared" si="15"/>
        <v>50617</v>
      </c>
      <c r="N156" s="93">
        <f t="shared" si="14"/>
        <v>50617</v>
      </c>
      <c r="O156" s="93">
        <f t="shared" si="12"/>
        <v>50617</v>
      </c>
      <c r="P156" s="94">
        <v>2193.1339020672222</v>
      </c>
      <c r="Q156" s="168"/>
      <c r="V156">
        <v>1</v>
      </c>
      <c r="W156" t="s">
        <v>33</v>
      </c>
      <c r="Y156" t="s">
        <v>33</v>
      </c>
      <c r="Z156" t="s">
        <v>34</v>
      </c>
      <c r="AA156">
        <v>1</v>
      </c>
    </row>
    <row r="157" spans="1:27" x14ac:dyDescent="0.35">
      <c r="A157" s="13">
        <f t="shared" si="13"/>
        <v>45930</v>
      </c>
      <c r="B157">
        <v>1</v>
      </c>
      <c r="D157" s="14" t="s">
        <v>31</v>
      </c>
      <c r="E157" s="15" t="s">
        <v>32</v>
      </c>
      <c r="F157" s="16" t="s">
        <v>32</v>
      </c>
      <c r="G157" s="17"/>
      <c r="H157" s="84" t="s">
        <v>59</v>
      </c>
      <c r="I157" s="84" t="s">
        <v>159</v>
      </c>
      <c r="J157" s="88"/>
      <c r="K157" s="91">
        <f t="shared" si="11"/>
        <v>155</v>
      </c>
      <c r="L157" s="88"/>
      <c r="M157" s="93">
        <f t="shared" si="15"/>
        <v>50648</v>
      </c>
      <c r="N157" s="93">
        <f t="shared" si="14"/>
        <v>50648</v>
      </c>
      <c r="O157" s="93">
        <f t="shared" si="12"/>
        <v>50648</v>
      </c>
      <c r="P157" s="94">
        <v>2193.1339020672222</v>
      </c>
      <c r="Q157" s="168"/>
      <c r="V157">
        <v>1</v>
      </c>
      <c r="W157" t="s">
        <v>33</v>
      </c>
      <c r="Y157" t="s">
        <v>33</v>
      </c>
      <c r="Z157" t="s">
        <v>34</v>
      </c>
      <c r="AA157">
        <v>1</v>
      </c>
    </row>
    <row r="158" spans="1:27" x14ac:dyDescent="0.35">
      <c r="A158" s="13">
        <f t="shared" si="13"/>
        <v>45930</v>
      </c>
      <c r="B158">
        <v>1</v>
      </c>
      <c r="D158" s="14" t="s">
        <v>31</v>
      </c>
      <c r="E158" s="15" t="s">
        <v>32</v>
      </c>
      <c r="F158" s="16" t="s">
        <v>32</v>
      </c>
      <c r="G158" s="17"/>
      <c r="H158" s="84" t="s">
        <v>59</v>
      </c>
      <c r="I158" s="84" t="s">
        <v>159</v>
      </c>
      <c r="J158" s="88"/>
      <c r="K158" s="91">
        <f t="shared" si="11"/>
        <v>156</v>
      </c>
      <c r="L158" s="88"/>
      <c r="M158" s="93">
        <f t="shared" si="15"/>
        <v>50678</v>
      </c>
      <c r="N158" s="93">
        <f t="shared" si="14"/>
        <v>50678</v>
      </c>
      <c r="O158" s="93">
        <f t="shared" si="12"/>
        <v>50678</v>
      </c>
      <c r="P158" s="94">
        <v>2193.1339020672222</v>
      </c>
      <c r="Q158" s="168"/>
      <c r="V158">
        <v>1</v>
      </c>
      <c r="W158" t="s">
        <v>33</v>
      </c>
      <c r="Y158" t="s">
        <v>33</v>
      </c>
      <c r="Z158" t="s">
        <v>34</v>
      </c>
      <c r="AA158">
        <v>1</v>
      </c>
    </row>
    <row r="159" spans="1:27" x14ac:dyDescent="0.35">
      <c r="A159" s="13">
        <f t="shared" si="13"/>
        <v>45930</v>
      </c>
      <c r="B159">
        <v>1</v>
      </c>
      <c r="D159" s="14" t="s">
        <v>31</v>
      </c>
      <c r="E159" s="15" t="s">
        <v>32</v>
      </c>
      <c r="F159" s="16" t="s">
        <v>32</v>
      </c>
      <c r="G159" s="17"/>
      <c r="H159" s="84" t="s">
        <v>59</v>
      </c>
      <c r="I159" s="84" t="s">
        <v>159</v>
      </c>
      <c r="J159" s="88"/>
      <c r="K159" s="91">
        <f t="shared" si="11"/>
        <v>157</v>
      </c>
      <c r="L159" s="88"/>
      <c r="M159" s="93">
        <f t="shared" si="15"/>
        <v>50709</v>
      </c>
      <c r="N159" s="93">
        <f t="shared" si="14"/>
        <v>50709</v>
      </c>
      <c r="O159" s="93">
        <f t="shared" si="12"/>
        <v>50709</v>
      </c>
      <c r="P159" s="94">
        <v>2193.1339020672222</v>
      </c>
      <c r="Q159" s="168"/>
      <c r="V159">
        <v>1</v>
      </c>
      <c r="W159" t="s">
        <v>33</v>
      </c>
      <c r="Y159" t="s">
        <v>33</v>
      </c>
      <c r="Z159" t="s">
        <v>34</v>
      </c>
      <c r="AA159">
        <v>1</v>
      </c>
    </row>
    <row r="160" spans="1:27" x14ac:dyDescent="0.35">
      <c r="A160" s="13">
        <f t="shared" si="13"/>
        <v>45930</v>
      </c>
      <c r="B160">
        <v>1</v>
      </c>
      <c r="D160" s="14" t="s">
        <v>31</v>
      </c>
      <c r="E160" s="15" t="s">
        <v>32</v>
      </c>
      <c r="F160" s="16" t="s">
        <v>32</v>
      </c>
      <c r="G160" s="17"/>
      <c r="H160" s="84" t="s">
        <v>59</v>
      </c>
      <c r="I160" s="84" t="s">
        <v>159</v>
      </c>
      <c r="J160" s="88"/>
      <c r="K160" s="91">
        <f t="shared" si="11"/>
        <v>158</v>
      </c>
      <c r="L160" s="88"/>
      <c r="M160" s="93">
        <f t="shared" si="15"/>
        <v>50739</v>
      </c>
      <c r="N160" s="93">
        <f t="shared" si="14"/>
        <v>50739</v>
      </c>
      <c r="O160" s="93">
        <f t="shared" si="12"/>
        <v>50739</v>
      </c>
      <c r="P160" s="94">
        <v>2193.1339020672222</v>
      </c>
      <c r="Q160" s="168"/>
      <c r="V160">
        <v>1</v>
      </c>
      <c r="W160" t="s">
        <v>33</v>
      </c>
      <c r="Y160" t="s">
        <v>33</v>
      </c>
      <c r="Z160" t="s">
        <v>34</v>
      </c>
      <c r="AA160">
        <v>1</v>
      </c>
    </row>
    <row r="161" spans="1:27" x14ac:dyDescent="0.35">
      <c r="A161" s="13">
        <f t="shared" si="13"/>
        <v>45930</v>
      </c>
      <c r="B161">
        <v>1</v>
      </c>
      <c r="D161" s="14" t="s">
        <v>31</v>
      </c>
      <c r="E161" s="15" t="s">
        <v>32</v>
      </c>
      <c r="F161" s="16" t="s">
        <v>32</v>
      </c>
      <c r="G161" s="17"/>
      <c r="H161" s="84" t="s">
        <v>59</v>
      </c>
      <c r="I161" s="84" t="s">
        <v>159</v>
      </c>
      <c r="J161" s="88"/>
      <c r="K161" s="91">
        <f t="shared" ref="K161:K224" si="16">K160+1</f>
        <v>159</v>
      </c>
      <c r="L161" s="88"/>
      <c r="M161" s="93">
        <f t="shared" si="15"/>
        <v>50770</v>
      </c>
      <c r="N161" s="93">
        <f t="shared" si="14"/>
        <v>50770</v>
      </c>
      <c r="O161" s="93">
        <f t="shared" si="12"/>
        <v>50770</v>
      </c>
      <c r="P161" s="94">
        <v>2193.1339020672222</v>
      </c>
      <c r="Q161" s="168"/>
      <c r="V161">
        <v>1</v>
      </c>
      <c r="W161" t="s">
        <v>33</v>
      </c>
      <c r="Y161" t="s">
        <v>33</v>
      </c>
      <c r="Z161" t="s">
        <v>34</v>
      </c>
      <c r="AA161">
        <v>1</v>
      </c>
    </row>
    <row r="162" spans="1:27" x14ac:dyDescent="0.35">
      <c r="A162" s="13">
        <f t="shared" si="13"/>
        <v>45930</v>
      </c>
      <c r="B162">
        <v>1</v>
      </c>
      <c r="D162" s="14" t="s">
        <v>31</v>
      </c>
      <c r="E162" s="15" t="s">
        <v>32</v>
      </c>
      <c r="F162" s="16" t="s">
        <v>32</v>
      </c>
      <c r="G162" s="17"/>
      <c r="H162" s="84" t="s">
        <v>59</v>
      </c>
      <c r="I162" s="84" t="s">
        <v>159</v>
      </c>
      <c r="J162" s="88"/>
      <c r="K162" s="91">
        <f t="shared" si="16"/>
        <v>160</v>
      </c>
      <c r="L162" s="88"/>
      <c r="M162" s="93">
        <f t="shared" si="15"/>
        <v>50801</v>
      </c>
      <c r="N162" s="93">
        <f t="shared" si="14"/>
        <v>50801</v>
      </c>
      <c r="O162" s="93">
        <f t="shared" si="12"/>
        <v>50801</v>
      </c>
      <c r="P162" s="94">
        <v>2193.1339020672222</v>
      </c>
      <c r="Q162" s="168"/>
      <c r="V162">
        <v>1</v>
      </c>
      <c r="W162" t="s">
        <v>33</v>
      </c>
      <c r="Y162" t="s">
        <v>33</v>
      </c>
      <c r="Z162" t="s">
        <v>34</v>
      </c>
      <c r="AA162">
        <v>1</v>
      </c>
    </row>
    <row r="163" spans="1:27" x14ac:dyDescent="0.35">
      <c r="A163" s="13">
        <f t="shared" si="13"/>
        <v>45930</v>
      </c>
      <c r="B163">
        <v>1</v>
      </c>
      <c r="D163" s="14" t="s">
        <v>31</v>
      </c>
      <c r="E163" s="15" t="s">
        <v>32</v>
      </c>
      <c r="F163" s="16" t="s">
        <v>32</v>
      </c>
      <c r="G163" s="17"/>
      <c r="H163" s="84" t="s">
        <v>59</v>
      </c>
      <c r="I163" s="84" t="s">
        <v>159</v>
      </c>
      <c r="J163" s="88"/>
      <c r="K163" s="91">
        <f t="shared" si="16"/>
        <v>161</v>
      </c>
      <c r="L163" s="88"/>
      <c r="M163" s="93">
        <f t="shared" si="15"/>
        <v>50829</v>
      </c>
      <c r="N163" s="93">
        <f t="shared" si="14"/>
        <v>50829</v>
      </c>
      <c r="O163" s="93">
        <f t="shared" si="12"/>
        <v>50829</v>
      </c>
      <c r="P163" s="94">
        <v>2193.1339020672222</v>
      </c>
      <c r="Q163" s="168"/>
      <c r="V163">
        <v>1</v>
      </c>
      <c r="W163" t="s">
        <v>33</v>
      </c>
      <c r="Y163" t="s">
        <v>33</v>
      </c>
      <c r="Z163" t="s">
        <v>34</v>
      </c>
      <c r="AA163">
        <v>1</v>
      </c>
    </row>
    <row r="164" spans="1:27" x14ac:dyDescent="0.35">
      <c r="A164" s="13">
        <f t="shared" si="13"/>
        <v>45930</v>
      </c>
      <c r="B164">
        <v>1</v>
      </c>
      <c r="D164" s="14" t="s">
        <v>31</v>
      </c>
      <c r="E164" s="15" t="s">
        <v>32</v>
      </c>
      <c r="F164" s="16" t="s">
        <v>32</v>
      </c>
      <c r="G164" s="17"/>
      <c r="H164" s="84" t="s">
        <v>59</v>
      </c>
      <c r="I164" s="84" t="s">
        <v>159</v>
      </c>
      <c r="J164" s="88"/>
      <c r="K164" s="91">
        <f t="shared" si="16"/>
        <v>162</v>
      </c>
      <c r="L164" s="88"/>
      <c r="M164" s="93">
        <f t="shared" si="15"/>
        <v>50860</v>
      </c>
      <c r="N164" s="93">
        <f t="shared" si="14"/>
        <v>50860</v>
      </c>
      <c r="O164" s="93">
        <f t="shared" si="12"/>
        <v>50860</v>
      </c>
      <c r="P164" s="94">
        <v>2193.1339020672222</v>
      </c>
      <c r="Q164" s="168"/>
      <c r="V164">
        <v>1</v>
      </c>
      <c r="W164" t="s">
        <v>33</v>
      </c>
      <c r="Y164" t="s">
        <v>33</v>
      </c>
      <c r="Z164" t="s">
        <v>34</v>
      </c>
      <c r="AA164">
        <v>1</v>
      </c>
    </row>
    <row r="165" spans="1:27" x14ac:dyDescent="0.35">
      <c r="A165" s="13">
        <f t="shared" si="13"/>
        <v>45930</v>
      </c>
      <c r="B165">
        <v>1</v>
      </c>
      <c r="D165" s="14" t="s">
        <v>31</v>
      </c>
      <c r="E165" s="15" t="s">
        <v>32</v>
      </c>
      <c r="F165" s="16" t="s">
        <v>32</v>
      </c>
      <c r="G165" s="17"/>
      <c r="H165" s="84" t="s">
        <v>59</v>
      </c>
      <c r="I165" s="84" t="s">
        <v>159</v>
      </c>
      <c r="J165" s="88"/>
      <c r="K165" s="91">
        <f t="shared" si="16"/>
        <v>163</v>
      </c>
      <c r="L165" s="88"/>
      <c r="M165" s="93">
        <f t="shared" si="15"/>
        <v>50890</v>
      </c>
      <c r="N165" s="93">
        <f t="shared" si="14"/>
        <v>50890</v>
      </c>
      <c r="O165" s="93">
        <f t="shared" si="12"/>
        <v>50890</v>
      </c>
      <c r="P165" s="94">
        <v>2193.1339020672222</v>
      </c>
      <c r="Q165" s="168"/>
      <c r="V165">
        <v>1</v>
      </c>
      <c r="W165" t="s">
        <v>33</v>
      </c>
      <c r="Y165" t="s">
        <v>33</v>
      </c>
      <c r="Z165" t="s">
        <v>34</v>
      </c>
      <c r="AA165">
        <v>1</v>
      </c>
    </row>
    <row r="166" spans="1:27" x14ac:dyDescent="0.35">
      <c r="A166" s="13">
        <f t="shared" si="13"/>
        <v>45930</v>
      </c>
      <c r="B166">
        <v>1</v>
      </c>
      <c r="D166" s="14" t="s">
        <v>31</v>
      </c>
      <c r="E166" s="15" t="s">
        <v>32</v>
      </c>
      <c r="F166" s="16" t="s">
        <v>32</v>
      </c>
      <c r="G166" s="17"/>
      <c r="H166" s="84" t="s">
        <v>59</v>
      </c>
      <c r="I166" s="84" t="s">
        <v>159</v>
      </c>
      <c r="J166" s="88"/>
      <c r="K166" s="91">
        <f t="shared" si="16"/>
        <v>164</v>
      </c>
      <c r="L166" s="88"/>
      <c r="M166" s="93">
        <f t="shared" si="15"/>
        <v>50921</v>
      </c>
      <c r="N166" s="93">
        <f t="shared" si="14"/>
        <v>50921</v>
      </c>
      <c r="O166" s="93">
        <f t="shared" si="12"/>
        <v>50921</v>
      </c>
      <c r="P166" s="94">
        <v>2193.1339020672222</v>
      </c>
      <c r="Q166" s="168"/>
      <c r="V166">
        <v>1</v>
      </c>
      <c r="W166" t="s">
        <v>33</v>
      </c>
      <c r="Y166" t="s">
        <v>33</v>
      </c>
      <c r="Z166" t="s">
        <v>34</v>
      </c>
      <c r="AA166">
        <v>1</v>
      </c>
    </row>
    <row r="167" spans="1:27" x14ac:dyDescent="0.35">
      <c r="A167" s="13">
        <f t="shared" si="13"/>
        <v>45930</v>
      </c>
      <c r="B167">
        <v>1</v>
      </c>
      <c r="D167" s="14" t="s">
        <v>31</v>
      </c>
      <c r="E167" s="15" t="s">
        <v>32</v>
      </c>
      <c r="F167" s="16" t="s">
        <v>32</v>
      </c>
      <c r="G167" s="17"/>
      <c r="H167" s="84" t="s">
        <v>59</v>
      </c>
      <c r="I167" s="84" t="s">
        <v>159</v>
      </c>
      <c r="J167" s="88"/>
      <c r="K167" s="91">
        <f t="shared" si="16"/>
        <v>165</v>
      </c>
      <c r="L167" s="88"/>
      <c r="M167" s="93">
        <f t="shared" si="15"/>
        <v>50951</v>
      </c>
      <c r="N167" s="93">
        <f t="shared" si="14"/>
        <v>50951</v>
      </c>
      <c r="O167" s="93">
        <f t="shared" si="12"/>
        <v>50951</v>
      </c>
      <c r="P167" s="94">
        <v>2193.1339020672222</v>
      </c>
      <c r="Q167" s="168"/>
      <c r="V167">
        <v>1</v>
      </c>
      <c r="W167" t="s">
        <v>33</v>
      </c>
      <c r="Y167" t="s">
        <v>33</v>
      </c>
      <c r="Z167" t="s">
        <v>34</v>
      </c>
      <c r="AA167">
        <v>1</v>
      </c>
    </row>
    <row r="168" spans="1:27" x14ac:dyDescent="0.35">
      <c r="A168" s="13">
        <f t="shared" si="13"/>
        <v>45930</v>
      </c>
      <c r="B168">
        <v>1</v>
      </c>
      <c r="D168" s="14" t="s">
        <v>31</v>
      </c>
      <c r="E168" s="15" t="s">
        <v>32</v>
      </c>
      <c r="F168" s="16" t="s">
        <v>32</v>
      </c>
      <c r="G168" s="17"/>
      <c r="H168" s="84" t="s">
        <v>59</v>
      </c>
      <c r="I168" s="84" t="s">
        <v>159</v>
      </c>
      <c r="J168" s="88"/>
      <c r="K168" s="91">
        <f t="shared" si="16"/>
        <v>166</v>
      </c>
      <c r="L168" s="88"/>
      <c r="M168" s="93">
        <f t="shared" si="15"/>
        <v>50982</v>
      </c>
      <c r="N168" s="93">
        <f t="shared" si="14"/>
        <v>50982</v>
      </c>
      <c r="O168" s="93">
        <f t="shared" si="12"/>
        <v>50982</v>
      </c>
      <c r="P168" s="94">
        <v>2193.1339020672222</v>
      </c>
      <c r="Q168" s="168"/>
      <c r="V168">
        <v>1</v>
      </c>
      <c r="W168" t="s">
        <v>33</v>
      </c>
      <c r="Y168" t="s">
        <v>33</v>
      </c>
      <c r="Z168" t="s">
        <v>34</v>
      </c>
      <c r="AA168">
        <v>1</v>
      </c>
    </row>
    <row r="169" spans="1:27" x14ac:dyDescent="0.35">
      <c r="A169" s="13">
        <f t="shared" si="13"/>
        <v>45930</v>
      </c>
      <c r="B169">
        <v>1</v>
      </c>
      <c r="D169" s="14" t="s">
        <v>31</v>
      </c>
      <c r="E169" s="15" t="s">
        <v>32</v>
      </c>
      <c r="F169" s="16" t="s">
        <v>32</v>
      </c>
      <c r="G169" s="17"/>
      <c r="H169" s="84" t="s">
        <v>59</v>
      </c>
      <c r="I169" s="84" t="s">
        <v>159</v>
      </c>
      <c r="J169" s="88"/>
      <c r="K169" s="91">
        <f t="shared" si="16"/>
        <v>167</v>
      </c>
      <c r="L169" s="88"/>
      <c r="M169" s="93">
        <f t="shared" si="15"/>
        <v>51013</v>
      </c>
      <c r="N169" s="93">
        <f t="shared" si="14"/>
        <v>51013</v>
      </c>
      <c r="O169" s="93">
        <f t="shared" si="12"/>
        <v>51013</v>
      </c>
      <c r="P169" s="94">
        <v>2193.1339020672222</v>
      </c>
      <c r="Q169" s="168"/>
      <c r="V169">
        <v>1</v>
      </c>
      <c r="W169" t="s">
        <v>33</v>
      </c>
      <c r="Y169" t="s">
        <v>33</v>
      </c>
      <c r="Z169" t="s">
        <v>34</v>
      </c>
      <c r="AA169">
        <v>1</v>
      </c>
    </row>
    <row r="170" spans="1:27" x14ac:dyDescent="0.35">
      <c r="A170" s="13">
        <f t="shared" si="13"/>
        <v>45930</v>
      </c>
      <c r="B170">
        <v>1</v>
      </c>
      <c r="D170" s="14" t="s">
        <v>31</v>
      </c>
      <c r="E170" s="15" t="s">
        <v>32</v>
      </c>
      <c r="F170" s="16" t="s">
        <v>32</v>
      </c>
      <c r="G170" s="17"/>
      <c r="H170" s="84" t="s">
        <v>59</v>
      </c>
      <c r="I170" s="84" t="s">
        <v>159</v>
      </c>
      <c r="J170" s="88"/>
      <c r="K170" s="91">
        <f t="shared" si="16"/>
        <v>168</v>
      </c>
      <c r="L170" s="88"/>
      <c r="M170" s="93">
        <f t="shared" si="15"/>
        <v>51043</v>
      </c>
      <c r="N170" s="93">
        <f t="shared" si="14"/>
        <v>51043</v>
      </c>
      <c r="O170" s="93">
        <f t="shared" si="12"/>
        <v>51043</v>
      </c>
      <c r="P170" s="94">
        <v>2193.1339020672222</v>
      </c>
      <c r="Q170" s="168"/>
      <c r="V170">
        <v>1</v>
      </c>
      <c r="W170" t="s">
        <v>33</v>
      </c>
      <c r="Y170" t="s">
        <v>33</v>
      </c>
      <c r="Z170" t="s">
        <v>34</v>
      </c>
      <c r="AA170">
        <v>1</v>
      </c>
    </row>
    <row r="171" spans="1:27" x14ac:dyDescent="0.35">
      <c r="A171" s="13">
        <f t="shared" si="13"/>
        <v>45930</v>
      </c>
      <c r="B171">
        <v>1</v>
      </c>
      <c r="D171" s="14" t="s">
        <v>31</v>
      </c>
      <c r="E171" s="15" t="s">
        <v>32</v>
      </c>
      <c r="F171" s="16" t="s">
        <v>32</v>
      </c>
      <c r="G171" s="17"/>
      <c r="H171" s="84" t="s">
        <v>59</v>
      </c>
      <c r="I171" s="84" t="s">
        <v>159</v>
      </c>
      <c r="J171" s="88"/>
      <c r="K171" s="91">
        <f t="shared" si="16"/>
        <v>169</v>
      </c>
      <c r="L171" s="88"/>
      <c r="M171" s="93">
        <f t="shared" si="15"/>
        <v>51074</v>
      </c>
      <c r="N171" s="93">
        <f t="shared" si="14"/>
        <v>51074</v>
      </c>
      <c r="O171" s="93">
        <f t="shared" si="12"/>
        <v>51074</v>
      </c>
      <c r="P171" s="94">
        <v>2193.1339020672222</v>
      </c>
      <c r="Q171" s="168"/>
      <c r="V171">
        <v>1</v>
      </c>
      <c r="W171" t="s">
        <v>33</v>
      </c>
      <c r="Y171" t="s">
        <v>33</v>
      </c>
      <c r="Z171" t="s">
        <v>34</v>
      </c>
      <c r="AA171">
        <v>1</v>
      </c>
    </row>
    <row r="172" spans="1:27" x14ac:dyDescent="0.35">
      <c r="A172" s="13">
        <f t="shared" si="13"/>
        <v>45930</v>
      </c>
      <c r="B172">
        <v>1</v>
      </c>
      <c r="D172" s="14" t="s">
        <v>31</v>
      </c>
      <c r="E172" s="15" t="s">
        <v>32</v>
      </c>
      <c r="F172" s="16" t="s">
        <v>32</v>
      </c>
      <c r="G172" s="17"/>
      <c r="H172" s="84" t="s">
        <v>59</v>
      </c>
      <c r="I172" s="84" t="s">
        <v>159</v>
      </c>
      <c r="J172" s="88"/>
      <c r="K172" s="91">
        <f t="shared" si="16"/>
        <v>170</v>
      </c>
      <c r="L172" s="88"/>
      <c r="M172" s="93">
        <f t="shared" si="15"/>
        <v>51104</v>
      </c>
      <c r="N172" s="93">
        <f t="shared" si="14"/>
        <v>51104</v>
      </c>
      <c r="O172" s="93">
        <f t="shared" si="12"/>
        <v>51104</v>
      </c>
      <c r="P172" s="94">
        <v>2193.1339020672222</v>
      </c>
      <c r="Q172" s="168"/>
      <c r="V172">
        <v>1</v>
      </c>
      <c r="W172" t="s">
        <v>33</v>
      </c>
      <c r="Y172" t="s">
        <v>33</v>
      </c>
      <c r="Z172" t="s">
        <v>34</v>
      </c>
      <c r="AA172">
        <v>1</v>
      </c>
    </row>
    <row r="173" spans="1:27" x14ac:dyDescent="0.35">
      <c r="A173" s="13">
        <f t="shared" si="13"/>
        <v>45930</v>
      </c>
      <c r="B173">
        <v>1</v>
      </c>
      <c r="D173" s="14" t="s">
        <v>31</v>
      </c>
      <c r="E173" s="15" t="s">
        <v>32</v>
      </c>
      <c r="F173" s="16" t="s">
        <v>32</v>
      </c>
      <c r="G173" s="17"/>
      <c r="H173" s="84" t="s">
        <v>59</v>
      </c>
      <c r="I173" s="84" t="s">
        <v>159</v>
      </c>
      <c r="J173" s="88"/>
      <c r="K173" s="91">
        <f t="shared" si="16"/>
        <v>171</v>
      </c>
      <c r="L173" s="88"/>
      <c r="M173" s="93">
        <f t="shared" si="15"/>
        <v>51135</v>
      </c>
      <c r="N173" s="93">
        <f t="shared" si="14"/>
        <v>51135</v>
      </c>
      <c r="O173" s="93">
        <f t="shared" si="12"/>
        <v>51135</v>
      </c>
      <c r="P173" s="94">
        <v>2193.1339020672222</v>
      </c>
      <c r="Q173" s="168"/>
      <c r="V173">
        <v>1</v>
      </c>
      <c r="W173" t="s">
        <v>33</v>
      </c>
      <c r="Y173" t="s">
        <v>33</v>
      </c>
      <c r="Z173" t="s">
        <v>34</v>
      </c>
      <c r="AA173">
        <v>1</v>
      </c>
    </row>
    <row r="174" spans="1:27" x14ac:dyDescent="0.35">
      <c r="A174" s="13">
        <f t="shared" si="13"/>
        <v>45930</v>
      </c>
      <c r="B174">
        <v>1</v>
      </c>
      <c r="D174" s="14" t="s">
        <v>31</v>
      </c>
      <c r="E174" s="15" t="s">
        <v>32</v>
      </c>
      <c r="F174" s="16" t="s">
        <v>32</v>
      </c>
      <c r="G174" s="17"/>
      <c r="H174" s="84" t="s">
        <v>59</v>
      </c>
      <c r="I174" s="84" t="s">
        <v>159</v>
      </c>
      <c r="J174" s="88"/>
      <c r="K174" s="91">
        <f t="shared" si="16"/>
        <v>172</v>
      </c>
      <c r="L174" s="88"/>
      <c r="M174" s="93">
        <f t="shared" si="15"/>
        <v>51166</v>
      </c>
      <c r="N174" s="93">
        <f t="shared" si="14"/>
        <v>51166</v>
      </c>
      <c r="O174" s="93">
        <f t="shared" si="12"/>
        <v>51166</v>
      </c>
      <c r="P174" s="94">
        <v>2193.1339020672222</v>
      </c>
      <c r="Q174" s="168"/>
      <c r="V174">
        <v>1</v>
      </c>
      <c r="W174" t="s">
        <v>33</v>
      </c>
      <c r="Y174" t="s">
        <v>33</v>
      </c>
      <c r="Z174" t="s">
        <v>34</v>
      </c>
      <c r="AA174">
        <v>1</v>
      </c>
    </row>
    <row r="175" spans="1:27" x14ac:dyDescent="0.35">
      <c r="A175" s="13">
        <f t="shared" si="13"/>
        <v>45930</v>
      </c>
      <c r="B175">
        <v>1</v>
      </c>
      <c r="D175" s="14" t="s">
        <v>31</v>
      </c>
      <c r="E175" s="15" t="s">
        <v>32</v>
      </c>
      <c r="F175" s="16" t="s">
        <v>32</v>
      </c>
      <c r="G175" s="17"/>
      <c r="H175" s="84" t="s">
        <v>59</v>
      </c>
      <c r="I175" s="84" t="s">
        <v>159</v>
      </c>
      <c r="J175" s="88"/>
      <c r="K175" s="91">
        <f t="shared" si="16"/>
        <v>173</v>
      </c>
      <c r="L175" s="88"/>
      <c r="M175" s="93">
        <f t="shared" si="15"/>
        <v>51195</v>
      </c>
      <c r="N175" s="93">
        <f t="shared" si="14"/>
        <v>51195</v>
      </c>
      <c r="O175" s="93">
        <f t="shared" si="12"/>
        <v>51195</v>
      </c>
      <c r="P175" s="94">
        <v>2193.1339020672222</v>
      </c>
      <c r="Q175" s="168"/>
      <c r="V175">
        <v>1</v>
      </c>
      <c r="W175" t="s">
        <v>33</v>
      </c>
      <c r="Y175" t="s">
        <v>33</v>
      </c>
      <c r="Z175" t="s">
        <v>34</v>
      </c>
      <c r="AA175">
        <v>1</v>
      </c>
    </row>
    <row r="176" spans="1:27" x14ac:dyDescent="0.35">
      <c r="A176" s="13">
        <f t="shared" si="13"/>
        <v>45930</v>
      </c>
      <c r="B176">
        <v>1</v>
      </c>
      <c r="D176" s="14" t="s">
        <v>31</v>
      </c>
      <c r="E176" s="15" t="s">
        <v>32</v>
      </c>
      <c r="F176" s="16" t="s">
        <v>32</v>
      </c>
      <c r="G176" s="17"/>
      <c r="H176" s="84" t="s">
        <v>59</v>
      </c>
      <c r="I176" s="84" t="s">
        <v>159</v>
      </c>
      <c r="J176" s="88"/>
      <c r="K176" s="91">
        <f t="shared" si="16"/>
        <v>174</v>
      </c>
      <c r="L176" s="88"/>
      <c r="M176" s="93">
        <f t="shared" si="15"/>
        <v>51226</v>
      </c>
      <c r="N176" s="93">
        <f t="shared" si="14"/>
        <v>51226</v>
      </c>
      <c r="O176" s="93">
        <f t="shared" si="12"/>
        <v>51226</v>
      </c>
      <c r="P176" s="94">
        <v>2193.1339020672222</v>
      </c>
      <c r="Q176" s="168"/>
      <c r="V176">
        <v>1</v>
      </c>
      <c r="W176" t="s">
        <v>33</v>
      </c>
      <c r="Y176" t="s">
        <v>33</v>
      </c>
      <c r="Z176" t="s">
        <v>34</v>
      </c>
      <c r="AA176">
        <v>1</v>
      </c>
    </row>
    <row r="177" spans="1:27" x14ac:dyDescent="0.35">
      <c r="A177" s="13">
        <f t="shared" si="13"/>
        <v>45930</v>
      </c>
      <c r="B177">
        <v>1</v>
      </c>
      <c r="D177" s="14" t="s">
        <v>31</v>
      </c>
      <c r="E177" s="15" t="s">
        <v>32</v>
      </c>
      <c r="F177" s="16" t="s">
        <v>32</v>
      </c>
      <c r="G177" s="17"/>
      <c r="H177" s="84" t="s">
        <v>59</v>
      </c>
      <c r="I177" s="84" t="s">
        <v>159</v>
      </c>
      <c r="J177" s="88"/>
      <c r="K177" s="91">
        <f t="shared" si="16"/>
        <v>175</v>
      </c>
      <c r="L177" s="88"/>
      <c r="M177" s="93">
        <f t="shared" si="15"/>
        <v>51256</v>
      </c>
      <c r="N177" s="93">
        <f t="shared" si="14"/>
        <v>51256</v>
      </c>
      <c r="O177" s="93">
        <f t="shared" si="12"/>
        <v>51256</v>
      </c>
      <c r="P177" s="94">
        <v>2193.1339020672222</v>
      </c>
      <c r="Q177" s="168"/>
      <c r="V177">
        <v>1</v>
      </c>
      <c r="W177" t="s">
        <v>33</v>
      </c>
      <c r="Y177" t="s">
        <v>33</v>
      </c>
      <c r="Z177" t="s">
        <v>34</v>
      </c>
      <c r="AA177">
        <v>1</v>
      </c>
    </row>
    <row r="178" spans="1:27" x14ac:dyDescent="0.35">
      <c r="A178" s="13">
        <f t="shared" si="13"/>
        <v>45930</v>
      </c>
      <c r="B178">
        <v>1</v>
      </c>
      <c r="D178" s="14" t="s">
        <v>31</v>
      </c>
      <c r="E178" s="15" t="s">
        <v>32</v>
      </c>
      <c r="F178" s="16" t="s">
        <v>32</v>
      </c>
      <c r="G178" s="17"/>
      <c r="H178" s="84" t="s">
        <v>59</v>
      </c>
      <c r="I178" s="84" t="s">
        <v>159</v>
      </c>
      <c r="J178" s="88"/>
      <c r="K178" s="91">
        <f t="shared" si="16"/>
        <v>176</v>
      </c>
      <c r="L178" s="88"/>
      <c r="M178" s="93">
        <f t="shared" si="15"/>
        <v>51287</v>
      </c>
      <c r="N178" s="93">
        <f t="shared" si="14"/>
        <v>51287</v>
      </c>
      <c r="O178" s="93">
        <f t="shared" si="12"/>
        <v>51287</v>
      </c>
      <c r="P178" s="94">
        <v>2193.1339020672222</v>
      </c>
      <c r="Q178" s="168"/>
      <c r="V178">
        <v>1</v>
      </c>
      <c r="W178" t="s">
        <v>33</v>
      </c>
      <c r="Y178" t="s">
        <v>33</v>
      </c>
      <c r="Z178" t="s">
        <v>34</v>
      </c>
      <c r="AA178">
        <v>1</v>
      </c>
    </row>
    <row r="179" spans="1:27" x14ac:dyDescent="0.35">
      <c r="A179" s="13">
        <f t="shared" si="13"/>
        <v>45930</v>
      </c>
      <c r="B179">
        <v>1</v>
      </c>
      <c r="D179" s="14" t="s">
        <v>31</v>
      </c>
      <c r="E179" s="15" t="s">
        <v>32</v>
      </c>
      <c r="F179" s="16" t="s">
        <v>32</v>
      </c>
      <c r="G179" s="17"/>
      <c r="H179" s="84" t="s">
        <v>59</v>
      </c>
      <c r="I179" s="84" t="s">
        <v>159</v>
      </c>
      <c r="J179" s="88"/>
      <c r="K179" s="91">
        <f t="shared" si="16"/>
        <v>177</v>
      </c>
      <c r="L179" s="88"/>
      <c r="M179" s="93">
        <f t="shared" si="15"/>
        <v>51317</v>
      </c>
      <c r="N179" s="93">
        <f t="shared" si="14"/>
        <v>51317</v>
      </c>
      <c r="O179" s="93">
        <f t="shared" si="12"/>
        <v>51317</v>
      </c>
      <c r="P179" s="94">
        <v>2193.1339020672222</v>
      </c>
      <c r="Q179" s="168"/>
      <c r="V179">
        <v>1</v>
      </c>
      <c r="W179" t="s">
        <v>33</v>
      </c>
      <c r="Y179" t="s">
        <v>33</v>
      </c>
      <c r="Z179" t="s">
        <v>34</v>
      </c>
      <c r="AA179">
        <v>1</v>
      </c>
    </row>
    <row r="180" spans="1:27" x14ac:dyDescent="0.35">
      <c r="A180" s="13">
        <f t="shared" si="13"/>
        <v>45930</v>
      </c>
      <c r="B180">
        <v>1</v>
      </c>
      <c r="D180" s="14" t="s">
        <v>31</v>
      </c>
      <c r="E180" s="15" t="s">
        <v>32</v>
      </c>
      <c r="F180" s="16" t="s">
        <v>32</v>
      </c>
      <c r="G180" s="17"/>
      <c r="H180" s="84" t="s">
        <v>59</v>
      </c>
      <c r="I180" s="84" t="s">
        <v>159</v>
      </c>
      <c r="J180" s="88"/>
      <c r="K180" s="91">
        <f t="shared" si="16"/>
        <v>178</v>
      </c>
      <c r="L180" s="88"/>
      <c r="M180" s="93">
        <f t="shared" si="15"/>
        <v>51348</v>
      </c>
      <c r="N180" s="93">
        <f t="shared" si="14"/>
        <v>51348</v>
      </c>
      <c r="O180" s="93">
        <f t="shared" si="12"/>
        <v>51348</v>
      </c>
      <c r="P180" s="94">
        <v>2193.1339020672222</v>
      </c>
      <c r="Q180" s="168"/>
      <c r="V180">
        <v>1</v>
      </c>
      <c r="W180" t="s">
        <v>33</v>
      </c>
      <c r="Y180" t="s">
        <v>33</v>
      </c>
      <c r="Z180" t="s">
        <v>34</v>
      </c>
      <c r="AA180">
        <v>1</v>
      </c>
    </row>
    <row r="181" spans="1:27" x14ac:dyDescent="0.35">
      <c r="A181" s="13">
        <f t="shared" si="13"/>
        <v>45930</v>
      </c>
      <c r="B181">
        <v>1</v>
      </c>
      <c r="D181" s="14" t="s">
        <v>31</v>
      </c>
      <c r="E181" s="15" t="s">
        <v>32</v>
      </c>
      <c r="F181" s="16" t="s">
        <v>32</v>
      </c>
      <c r="G181" s="17"/>
      <c r="H181" s="84" t="s">
        <v>59</v>
      </c>
      <c r="I181" s="84" t="s">
        <v>159</v>
      </c>
      <c r="J181" s="88"/>
      <c r="K181" s="91">
        <f t="shared" si="16"/>
        <v>179</v>
      </c>
      <c r="L181" s="88"/>
      <c r="M181" s="93">
        <f t="shared" si="15"/>
        <v>51379</v>
      </c>
      <c r="N181" s="93">
        <f t="shared" si="14"/>
        <v>51379</v>
      </c>
      <c r="O181" s="93">
        <f t="shared" si="12"/>
        <v>51379</v>
      </c>
      <c r="P181" s="94">
        <v>2193.1339020672222</v>
      </c>
      <c r="Q181" s="168"/>
      <c r="V181">
        <v>1</v>
      </c>
      <c r="W181" t="s">
        <v>33</v>
      </c>
      <c r="Y181" t="s">
        <v>33</v>
      </c>
      <c r="Z181" t="s">
        <v>34</v>
      </c>
      <c r="AA181">
        <v>1</v>
      </c>
    </row>
    <row r="182" spans="1:27" x14ac:dyDescent="0.35">
      <c r="A182" s="13">
        <f t="shared" si="13"/>
        <v>45930</v>
      </c>
      <c r="B182">
        <v>1</v>
      </c>
      <c r="D182" s="14" t="s">
        <v>31</v>
      </c>
      <c r="E182" s="15" t="s">
        <v>32</v>
      </c>
      <c r="F182" s="16" t="s">
        <v>32</v>
      </c>
      <c r="G182" s="17"/>
      <c r="H182" s="84" t="s">
        <v>59</v>
      </c>
      <c r="I182" s="84" t="s">
        <v>159</v>
      </c>
      <c r="J182" s="88"/>
      <c r="K182" s="91">
        <f t="shared" si="16"/>
        <v>180</v>
      </c>
      <c r="L182" s="88"/>
      <c r="M182" s="93">
        <f t="shared" si="15"/>
        <v>51409</v>
      </c>
      <c r="N182" s="93">
        <f t="shared" si="14"/>
        <v>51409</v>
      </c>
      <c r="O182" s="93">
        <f t="shared" si="12"/>
        <v>51409</v>
      </c>
      <c r="P182" s="94">
        <v>2193.1339020672222</v>
      </c>
      <c r="Q182" s="168"/>
      <c r="V182">
        <v>1</v>
      </c>
      <c r="W182" t="s">
        <v>33</v>
      </c>
      <c r="Y182" t="s">
        <v>33</v>
      </c>
      <c r="Z182" t="s">
        <v>34</v>
      </c>
      <c r="AA182">
        <v>1</v>
      </c>
    </row>
    <row r="183" spans="1:27" x14ac:dyDescent="0.35">
      <c r="A183" s="13">
        <f t="shared" si="13"/>
        <v>45930</v>
      </c>
      <c r="B183">
        <v>1</v>
      </c>
      <c r="D183" s="14" t="s">
        <v>31</v>
      </c>
      <c r="E183" s="15" t="s">
        <v>32</v>
      </c>
      <c r="F183" s="16" t="s">
        <v>32</v>
      </c>
      <c r="G183" s="17"/>
      <c r="H183" s="84" t="s">
        <v>59</v>
      </c>
      <c r="I183" s="84" t="s">
        <v>159</v>
      </c>
      <c r="J183" s="88"/>
      <c r="K183" s="91">
        <f t="shared" si="16"/>
        <v>181</v>
      </c>
      <c r="L183" s="88"/>
      <c r="M183" s="93">
        <f t="shared" si="15"/>
        <v>51440</v>
      </c>
      <c r="N183" s="93">
        <f t="shared" si="14"/>
        <v>51440</v>
      </c>
      <c r="O183" s="93">
        <f t="shared" si="12"/>
        <v>51440</v>
      </c>
      <c r="P183" s="94">
        <v>2193.1339020672222</v>
      </c>
      <c r="Q183" s="168"/>
      <c r="V183">
        <v>1</v>
      </c>
      <c r="W183" t="s">
        <v>33</v>
      </c>
      <c r="Y183" t="s">
        <v>33</v>
      </c>
      <c r="Z183" t="s">
        <v>34</v>
      </c>
      <c r="AA183">
        <v>1</v>
      </c>
    </row>
    <row r="184" spans="1:27" x14ac:dyDescent="0.35">
      <c r="A184" s="13">
        <f t="shared" si="13"/>
        <v>45930</v>
      </c>
      <c r="B184">
        <v>1</v>
      </c>
      <c r="D184" s="14" t="s">
        <v>31</v>
      </c>
      <c r="E184" s="15" t="s">
        <v>32</v>
      </c>
      <c r="F184" s="16" t="s">
        <v>32</v>
      </c>
      <c r="G184" s="17"/>
      <c r="H184" s="84" t="s">
        <v>59</v>
      </c>
      <c r="I184" s="84" t="s">
        <v>159</v>
      </c>
      <c r="J184" s="88"/>
      <c r="K184" s="91">
        <f t="shared" si="16"/>
        <v>182</v>
      </c>
      <c r="L184" s="88"/>
      <c r="M184" s="93">
        <f t="shared" si="15"/>
        <v>51470</v>
      </c>
      <c r="N184" s="93">
        <f t="shared" si="14"/>
        <v>51470</v>
      </c>
      <c r="O184" s="93">
        <f t="shared" si="12"/>
        <v>51470</v>
      </c>
      <c r="P184" s="94">
        <v>2193.1339020672222</v>
      </c>
      <c r="Q184" s="168"/>
      <c r="V184">
        <v>1</v>
      </c>
      <c r="W184" t="s">
        <v>33</v>
      </c>
      <c r="Y184" t="s">
        <v>33</v>
      </c>
      <c r="Z184" t="s">
        <v>34</v>
      </c>
      <c r="AA184">
        <v>1</v>
      </c>
    </row>
    <row r="185" spans="1:27" x14ac:dyDescent="0.35">
      <c r="A185" s="13">
        <f t="shared" si="13"/>
        <v>45930</v>
      </c>
      <c r="B185">
        <v>1</v>
      </c>
      <c r="D185" s="14" t="s">
        <v>31</v>
      </c>
      <c r="E185" s="15" t="s">
        <v>32</v>
      </c>
      <c r="F185" s="16" t="s">
        <v>32</v>
      </c>
      <c r="G185" s="17"/>
      <c r="H185" s="84" t="s">
        <v>59</v>
      </c>
      <c r="I185" s="84" t="s">
        <v>159</v>
      </c>
      <c r="J185" s="87"/>
      <c r="K185" s="91">
        <f t="shared" si="16"/>
        <v>183</v>
      </c>
      <c r="L185" s="87"/>
      <c r="M185" s="93">
        <f t="shared" si="15"/>
        <v>51501</v>
      </c>
      <c r="N185" s="89">
        <f t="shared" si="14"/>
        <v>51501</v>
      </c>
      <c r="O185" s="89">
        <f t="shared" si="12"/>
        <v>51501</v>
      </c>
      <c r="P185" s="94">
        <v>2193.1339020672222</v>
      </c>
      <c r="Q185" s="168"/>
      <c r="V185">
        <v>1</v>
      </c>
      <c r="W185" t="s">
        <v>33</v>
      </c>
      <c r="Y185" t="s">
        <v>33</v>
      </c>
      <c r="Z185" t="s">
        <v>34</v>
      </c>
      <c r="AA185">
        <v>1</v>
      </c>
    </row>
    <row r="186" spans="1:27" x14ac:dyDescent="0.35">
      <c r="A186" s="13">
        <f t="shared" si="13"/>
        <v>45930</v>
      </c>
      <c r="B186">
        <v>1</v>
      </c>
      <c r="D186" s="14" t="s">
        <v>31</v>
      </c>
      <c r="E186" s="15" t="s">
        <v>32</v>
      </c>
      <c r="F186" s="16" t="s">
        <v>32</v>
      </c>
      <c r="G186" s="17"/>
      <c r="H186" s="84" t="s">
        <v>59</v>
      </c>
      <c r="I186" s="84" t="s">
        <v>159</v>
      </c>
      <c r="J186" s="87"/>
      <c r="K186" s="91">
        <f t="shared" si="16"/>
        <v>184</v>
      </c>
      <c r="L186" s="87"/>
      <c r="M186" s="93">
        <f t="shared" si="15"/>
        <v>51532</v>
      </c>
      <c r="N186" s="89">
        <f t="shared" si="14"/>
        <v>51532</v>
      </c>
      <c r="O186" s="89">
        <f t="shared" si="12"/>
        <v>51532</v>
      </c>
      <c r="P186" s="94">
        <v>2193.1339020672222</v>
      </c>
      <c r="Q186" s="168"/>
      <c r="V186">
        <v>1</v>
      </c>
      <c r="W186" t="s">
        <v>33</v>
      </c>
      <c r="Y186" t="s">
        <v>33</v>
      </c>
      <c r="Z186" t="s">
        <v>34</v>
      </c>
      <c r="AA186">
        <v>1</v>
      </c>
    </row>
    <row r="187" spans="1:27" x14ac:dyDescent="0.35">
      <c r="A187" s="13">
        <f t="shared" si="13"/>
        <v>45930</v>
      </c>
      <c r="B187">
        <v>1</v>
      </c>
      <c r="D187" s="14" t="s">
        <v>31</v>
      </c>
      <c r="E187" s="15" t="s">
        <v>32</v>
      </c>
      <c r="F187" s="16" t="s">
        <v>32</v>
      </c>
      <c r="G187" s="17"/>
      <c r="H187" s="84" t="s">
        <v>59</v>
      </c>
      <c r="I187" s="84" t="s">
        <v>159</v>
      </c>
      <c r="J187" s="87"/>
      <c r="K187" s="91">
        <f t="shared" si="16"/>
        <v>185</v>
      </c>
      <c r="L187" s="87"/>
      <c r="M187" s="93">
        <f t="shared" si="15"/>
        <v>51560</v>
      </c>
      <c r="N187" s="89">
        <f t="shared" si="14"/>
        <v>51560</v>
      </c>
      <c r="O187" s="89">
        <f t="shared" si="12"/>
        <v>51560</v>
      </c>
      <c r="P187" s="94">
        <v>2193.1339020672222</v>
      </c>
      <c r="Q187" s="168"/>
      <c r="V187">
        <v>1</v>
      </c>
      <c r="W187" t="s">
        <v>33</v>
      </c>
      <c r="Y187" t="s">
        <v>33</v>
      </c>
      <c r="Z187" t="s">
        <v>34</v>
      </c>
      <c r="AA187">
        <v>1</v>
      </c>
    </row>
    <row r="188" spans="1:27" x14ac:dyDescent="0.35">
      <c r="A188" s="13">
        <f t="shared" si="13"/>
        <v>45930</v>
      </c>
      <c r="B188">
        <v>1</v>
      </c>
      <c r="D188" s="14" t="s">
        <v>31</v>
      </c>
      <c r="E188" s="15" t="s">
        <v>32</v>
      </c>
      <c r="F188" s="16" t="s">
        <v>32</v>
      </c>
      <c r="G188" s="17"/>
      <c r="H188" s="84" t="s">
        <v>59</v>
      </c>
      <c r="I188" s="84" t="s">
        <v>159</v>
      </c>
      <c r="J188" s="87"/>
      <c r="K188" s="91">
        <f t="shared" si="16"/>
        <v>186</v>
      </c>
      <c r="L188" s="87"/>
      <c r="M188" s="93">
        <f t="shared" si="15"/>
        <v>51591</v>
      </c>
      <c r="N188" s="89">
        <f t="shared" si="14"/>
        <v>51591</v>
      </c>
      <c r="O188" s="89">
        <f t="shared" si="12"/>
        <v>51591</v>
      </c>
      <c r="P188" s="94">
        <v>2193.1339020672222</v>
      </c>
      <c r="Q188" s="168"/>
      <c r="V188">
        <v>1</v>
      </c>
      <c r="W188" t="s">
        <v>33</v>
      </c>
      <c r="Y188" t="s">
        <v>33</v>
      </c>
      <c r="Z188" t="s">
        <v>34</v>
      </c>
      <c r="AA188">
        <v>1</v>
      </c>
    </row>
    <row r="189" spans="1:27" x14ac:dyDescent="0.35">
      <c r="A189" s="13">
        <f t="shared" si="13"/>
        <v>45930</v>
      </c>
      <c r="B189">
        <v>1</v>
      </c>
      <c r="D189" s="14" t="s">
        <v>31</v>
      </c>
      <c r="E189" s="15" t="s">
        <v>32</v>
      </c>
      <c r="F189" s="16" t="s">
        <v>32</v>
      </c>
      <c r="G189" s="17"/>
      <c r="H189" s="84" t="s">
        <v>59</v>
      </c>
      <c r="I189" s="84" t="s">
        <v>159</v>
      </c>
      <c r="J189" s="87"/>
      <c r="K189" s="91">
        <f t="shared" si="16"/>
        <v>187</v>
      </c>
      <c r="L189" s="87"/>
      <c r="M189" s="93">
        <f t="shared" si="15"/>
        <v>51621</v>
      </c>
      <c r="N189" s="89">
        <f t="shared" si="14"/>
        <v>51621</v>
      </c>
      <c r="O189" s="89">
        <f t="shared" si="12"/>
        <v>51621</v>
      </c>
      <c r="P189" s="94">
        <v>2193.1339020672222</v>
      </c>
      <c r="Q189" s="168"/>
      <c r="V189">
        <v>1</v>
      </c>
      <c r="W189" t="s">
        <v>33</v>
      </c>
      <c r="Y189" t="s">
        <v>33</v>
      </c>
      <c r="Z189" t="s">
        <v>34</v>
      </c>
      <c r="AA189">
        <v>1</v>
      </c>
    </row>
    <row r="190" spans="1:27" x14ac:dyDescent="0.35">
      <c r="A190" s="13">
        <f t="shared" si="13"/>
        <v>45930</v>
      </c>
      <c r="B190">
        <v>1</v>
      </c>
      <c r="D190" s="14" t="s">
        <v>31</v>
      </c>
      <c r="E190" s="15" t="s">
        <v>32</v>
      </c>
      <c r="F190" s="16" t="s">
        <v>32</v>
      </c>
      <c r="G190" s="17"/>
      <c r="H190" s="84" t="s">
        <v>59</v>
      </c>
      <c r="I190" s="84" t="s">
        <v>159</v>
      </c>
      <c r="J190" s="87"/>
      <c r="K190" s="91">
        <f t="shared" si="16"/>
        <v>188</v>
      </c>
      <c r="L190" s="87"/>
      <c r="M190" s="93">
        <f t="shared" si="15"/>
        <v>51652</v>
      </c>
      <c r="N190" s="89">
        <f t="shared" si="14"/>
        <v>51652</v>
      </c>
      <c r="O190" s="89">
        <f t="shared" si="12"/>
        <v>51652</v>
      </c>
      <c r="P190" s="94">
        <v>2193.1339020672222</v>
      </c>
      <c r="Q190" s="168"/>
      <c r="V190">
        <v>1</v>
      </c>
      <c r="W190" t="s">
        <v>33</v>
      </c>
      <c r="Y190" t="s">
        <v>33</v>
      </c>
      <c r="Z190" t="s">
        <v>34</v>
      </c>
      <c r="AA190">
        <v>1</v>
      </c>
    </row>
    <row r="191" spans="1:27" x14ac:dyDescent="0.35">
      <c r="A191" s="13">
        <f t="shared" si="13"/>
        <v>45930</v>
      </c>
      <c r="B191">
        <v>1</v>
      </c>
      <c r="D191" s="14" t="s">
        <v>31</v>
      </c>
      <c r="E191" s="15" t="s">
        <v>32</v>
      </c>
      <c r="F191" s="16" t="s">
        <v>32</v>
      </c>
      <c r="G191" s="17"/>
      <c r="H191" s="84" t="s">
        <v>59</v>
      </c>
      <c r="I191" s="84" t="s">
        <v>159</v>
      </c>
      <c r="J191" s="87"/>
      <c r="K191" s="91">
        <f t="shared" si="16"/>
        <v>189</v>
      </c>
      <c r="L191" s="87"/>
      <c r="M191" s="93">
        <f t="shared" si="15"/>
        <v>51682</v>
      </c>
      <c r="N191" s="89">
        <f t="shared" si="14"/>
        <v>51682</v>
      </c>
      <c r="O191" s="89">
        <f t="shared" si="12"/>
        <v>51682</v>
      </c>
      <c r="P191" s="94">
        <v>2193.1339020672222</v>
      </c>
      <c r="Q191" s="168"/>
      <c r="V191">
        <v>1</v>
      </c>
      <c r="W191" t="s">
        <v>33</v>
      </c>
      <c r="Y191" t="s">
        <v>33</v>
      </c>
      <c r="Z191" t="s">
        <v>34</v>
      </c>
      <c r="AA191">
        <v>1</v>
      </c>
    </row>
    <row r="192" spans="1:27" x14ac:dyDescent="0.35">
      <c r="A192" s="13">
        <f t="shared" si="13"/>
        <v>45930</v>
      </c>
      <c r="B192">
        <v>1</v>
      </c>
      <c r="D192" s="14" t="s">
        <v>31</v>
      </c>
      <c r="E192" s="15" t="s">
        <v>32</v>
      </c>
      <c r="F192" s="16" t="s">
        <v>32</v>
      </c>
      <c r="G192" s="17"/>
      <c r="H192" s="84" t="s">
        <v>59</v>
      </c>
      <c r="I192" s="84" t="s">
        <v>159</v>
      </c>
      <c r="J192" s="87"/>
      <c r="K192" s="91">
        <f t="shared" si="16"/>
        <v>190</v>
      </c>
      <c r="L192" s="87"/>
      <c r="M192" s="93">
        <f t="shared" si="15"/>
        <v>51713</v>
      </c>
      <c r="N192" s="89">
        <f t="shared" si="14"/>
        <v>51713</v>
      </c>
      <c r="O192" s="89">
        <f t="shared" si="12"/>
        <v>51713</v>
      </c>
      <c r="P192" s="94">
        <v>2193.1339020672222</v>
      </c>
      <c r="Q192" s="168"/>
      <c r="V192">
        <v>1</v>
      </c>
      <c r="W192" t="s">
        <v>33</v>
      </c>
      <c r="Y192" t="s">
        <v>33</v>
      </c>
      <c r="Z192" t="s">
        <v>34</v>
      </c>
      <c r="AA192">
        <v>1</v>
      </c>
    </row>
    <row r="193" spans="1:27" x14ac:dyDescent="0.35">
      <c r="A193" s="13">
        <f t="shared" si="13"/>
        <v>45930</v>
      </c>
      <c r="B193">
        <v>1</v>
      </c>
      <c r="D193" s="14" t="s">
        <v>31</v>
      </c>
      <c r="E193" s="15" t="s">
        <v>32</v>
      </c>
      <c r="F193" s="16" t="s">
        <v>32</v>
      </c>
      <c r="G193" s="17"/>
      <c r="H193" s="84" t="s">
        <v>59</v>
      </c>
      <c r="I193" s="84" t="s">
        <v>159</v>
      </c>
      <c r="J193" s="87"/>
      <c r="K193" s="91">
        <f t="shared" si="16"/>
        <v>191</v>
      </c>
      <c r="L193" s="87"/>
      <c r="M193" s="93">
        <f t="shared" si="15"/>
        <v>51744</v>
      </c>
      <c r="N193" s="89">
        <f t="shared" si="14"/>
        <v>51744</v>
      </c>
      <c r="O193" s="89">
        <f t="shared" si="12"/>
        <v>51744</v>
      </c>
      <c r="P193" s="94">
        <v>2193.1339020672222</v>
      </c>
      <c r="Q193" s="168"/>
      <c r="V193">
        <v>1</v>
      </c>
      <c r="W193" t="s">
        <v>33</v>
      </c>
      <c r="Y193" t="s">
        <v>33</v>
      </c>
      <c r="Z193" t="s">
        <v>34</v>
      </c>
      <c r="AA193">
        <v>1</v>
      </c>
    </row>
    <row r="194" spans="1:27" x14ac:dyDescent="0.35">
      <c r="A194" s="13">
        <f t="shared" si="13"/>
        <v>45930</v>
      </c>
      <c r="B194">
        <v>1</v>
      </c>
      <c r="D194" s="14" t="s">
        <v>31</v>
      </c>
      <c r="E194" s="15" t="s">
        <v>32</v>
      </c>
      <c r="F194" s="16" t="s">
        <v>32</v>
      </c>
      <c r="G194" s="17"/>
      <c r="H194" s="84" t="s">
        <v>59</v>
      </c>
      <c r="I194" s="84" t="s">
        <v>159</v>
      </c>
      <c r="J194" s="87"/>
      <c r="K194" s="91">
        <f t="shared" si="16"/>
        <v>192</v>
      </c>
      <c r="L194" s="87"/>
      <c r="M194" s="93">
        <f t="shared" si="15"/>
        <v>51774</v>
      </c>
      <c r="N194" s="89">
        <f t="shared" si="14"/>
        <v>51774</v>
      </c>
      <c r="O194" s="89">
        <f t="shared" si="12"/>
        <v>51774</v>
      </c>
      <c r="P194" s="94">
        <v>2193.1339020672222</v>
      </c>
      <c r="Q194" s="168"/>
      <c r="V194">
        <v>1</v>
      </c>
      <c r="W194" t="s">
        <v>33</v>
      </c>
      <c r="Y194" t="s">
        <v>33</v>
      </c>
      <c r="Z194" t="s">
        <v>34</v>
      </c>
      <c r="AA194">
        <v>1</v>
      </c>
    </row>
    <row r="195" spans="1:27" x14ac:dyDescent="0.35">
      <c r="A195" s="13">
        <f t="shared" si="13"/>
        <v>45930</v>
      </c>
      <c r="B195">
        <v>1</v>
      </c>
      <c r="D195" s="14" t="s">
        <v>31</v>
      </c>
      <c r="E195" s="15" t="s">
        <v>32</v>
      </c>
      <c r="F195" s="16" t="s">
        <v>32</v>
      </c>
      <c r="G195" s="17"/>
      <c r="H195" s="84" t="s">
        <v>59</v>
      </c>
      <c r="I195" s="84" t="s">
        <v>159</v>
      </c>
      <c r="J195" s="87"/>
      <c r="K195" s="91">
        <f t="shared" si="16"/>
        <v>193</v>
      </c>
      <c r="L195" s="87"/>
      <c r="M195" s="93">
        <f t="shared" si="15"/>
        <v>51805</v>
      </c>
      <c r="N195" s="89">
        <f t="shared" si="14"/>
        <v>51805</v>
      </c>
      <c r="O195" s="89">
        <f t="shared" ref="O195:O217" si="17">N195</f>
        <v>51805</v>
      </c>
      <c r="P195" s="94">
        <v>2193.1339020672222</v>
      </c>
      <c r="Q195" s="168"/>
      <c r="V195">
        <v>1</v>
      </c>
      <c r="W195" t="s">
        <v>33</v>
      </c>
      <c r="Y195" t="s">
        <v>33</v>
      </c>
      <c r="Z195" t="s">
        <v>34</v>
      </c>
      <c r="AA195">
        <v>1</v>
      </c>
    </row>
    <row r="196" spans="1:27" x14ac:dyDescent="0.35">
      <c r="A196" s="13">
        <f t="shared" ref="A196:A259" si="18">A195</f>
        <v>45930</v>
      </c>
      <c r="B196">
        <v>1</v>
      </c>
      <c r="D196" s="14" t="s">
        <v>31</v>
      </c>
      <c r="E196" s="15" t="s">
        <v>32</v>
      </c>
      <c r="F196" s="16" t="s">
        <v>32</v>
      </c>
      <c r="G196" s="17"/>
      <c r="H196" s="84" t="s">
        <v>59</v>
      </c>
      <c r="I196" s="84" t="s">
        <v>159</v>
      </c>
      <c r="J196" s="87"/>
      <c r="K196" s="91">
        <f t="shared" si="16"/>
        <v>194</v>
      </c>
      <c r="L196" s="87"/>
      <c r="M196" s="93">
        <f t="shared" si="15"/>
        <v>51835</v>
      </c>
      <c r="N196" s="89">
        <f t="shared" ref="N196:N217" si="19">M196</f>
        <v>51835</v>
      </c>
      <c r="O196" s="89">
        <f t="shared" si="17"/>
        <v>51835</v>
      </c>
      <c r="P196" s="94">
        <v>2193.1339020672222</v>
      </c>
      <c r="Q196" s="168"/>
      <c r="V196">
        <v>1</v>
      </c>
      <c r="W196" t="s">
        <v>33</v>
      </c>
      <c r="Y196" t="s">
        <v>33</v>
      </c>
      <c r="Z196" t="s">
        <v>34</v>
      </c>
      <c r="AA196">
        <v>1</v>
      </c>
    </row>
    <row r="197" spans="1:27" x14ac:dyDescent="0.35">
      <c r="A197" s="13">
        <f t="shared" si="18"/>
        <v>45930</v>
      </c>
      <c r="B197">
        <v>1</v>
      </c>
      <c r="D197" s="14" t="s">
        <v>31</v>
      </c>
      <c r="E197" s="15" t="s">
        <v>32</v>
      </c>
      <c r="F197" s="16" t="s">
        <v>32</v>
      </c>
      <c r="G197" s="17"/>
      <c r="H197" s="84" t="s">
        <v>59</v>
      </c>
      <c r="I197" s="84" t="s">
        <v>159</v>
      </c>
      <c r="J197" s="87"/>
      <c r="K197" s="91">
        <f t="shared" si="16"/>
        <v>195</v>
      </c>
      <c r="L197" s="87"/>
      <c r="M197" s="93">
        <f t="shared" ref="M197:M260" si="20">EOMONTH(M196,1)</f>
        <v>51866</v>
      </c>
      <c r="N197" s="89">
        <f t="shared" si="19"/>
        <v>51866</v>
      </c>
      <c r="O197" s="89">
        <f t="shared" si="17"/>
        <v>51866</v>
      </c>
      <c r="P197" s="94">
        <v>2193.1339020672222</v>
      </c>
      <c r="Q197" s="168"/>
      <c r="V197">
        <v>1</v>
      </c>
      <c r="W197" t="s">
        <v>33</v>
      </c>
      <c r="Y197" t="s">
        <v>33</v>
      </c>
      <c r="Z197" t="s">
        <v>34</v>
      </c>
      <c r="AA197">
        <v>1</v>
      </c>
    </row>
    <row r="198" spans="1:27" x14ac:dyDescent="0.35">
      <c r="A198" s="13">
        <f t="shared" si="18"/>
        <v>45930</v>
      </c>
      <c r="B198">
        <v>1</v>
      </c>
      <c r="D198" s="14" t="s">
        <v>31</v>
      </c>
      <c r="E198" s="15" t="s">
        <v>32</v>
      </c>
      <c r="F198" s="16" t="s">
        <v>32</v>
      </c>
      <c r="G198" s="17"/>
      <c r="H198" s="84" t="s">
        <v>59</v>
      </c>
      <c r="I198" s="84" t="s">
        <v>159</v>
      </c>
      <c r="J198" s="87"/>
      <c r="K198" s="91">
        <f t="shared" si="16"/>
        <v>196</v>
      </c>
      <c r="L198" s="87"/>
      <c r="M198" s="93">
        <f t="shared" si="20"/>
        <v>51897</v>
      </c>
      <c r="N198" s="89">
        <f t="shared" si="19"/>
        <v>51897</v>
      </c>
      <c r="O198" s="89">
        <f t="shared" si="17"/>
        <v>51897</v>
      </c>
      <c r="P198" s="94">
        <v>2193.1339020672222</v>
      </c>
      <c r="Q198" s="168"/>
      <c r="V198">
        <v>1</v>
      </c>
      <c r="W198" t="s">
        <v>33</v>
      </c>
      <c r="Y198" t="s">
        <v>33</v>
      </c>
      <c r="Z198" t="s">
        <v>34</v>
      </c>
      <c r="AA198">
        <v>1</v>
      </c>
    </row>
    <row r="199" spans="1:27" x14ac:dyDescent="0.35">
      <c r="A199" s="13">
        <f t="shared" si="18"/>
        <v>45930</v>
      </c>
      <c r="B199">
        <v>1</v>
      </c>
      <c r="D199" s="14" t="s">
        <v>31</v>
      </c>
      <c r="E199" s="15" t="s">
        <v>32</v>
      </c>
      <c r="F199" s="16" t="s">
        <v>32</v>
      </c>
      <c r="G199" s="17"/>
      <c r="H199" s="84" t="s">
        <v>59</v>
      </c>
      <c r="I199" s="84" t="s">
        <v>159</v>
      </c>
      <c r="J199" s="87"/>
      <c r="K199" s="91">
        <f t="shared" si="16"/>
        <v>197</v>
      </c>
      <c r="L199" s="87"/>
      <c r="M199" s="93">
        <f t="shared" si="20"/>
        <v>51925</v>
      </c>
      <c r="N199" s="89">
        <f t="shared" si="19"/>
        <v>51925</v>
      </c>
      <c r="O199" s="89">
        <f t="shared" si="17"/>
        <v>51925</v>
      </c>
      <c r="P199" s="94">
        <v>2193.1339020672222</v>
      </c>
      <c r="Q199" s="168"/>
      <c r="V199">
        <v>1</v>
      </c>
      <c r="W199" t="s">
        <v>33</v>
      </c>
      <c r="Y199" t="s">
        <v>33</v>
      </c>
      <c r="Z199" t="s">
        <v>34</v>
      </c>
      <c r="AA199">
        <v>1</v>
      </c>
    </row>
    <row r="200" spans="1:27" x14ac:dyDescent="0.35">
      <c r="A200" s="13">
        <f t="shared" si="18"/>
        <v>45930</v>
      </c>
      <c r="B200">
        <v>1</v>
      </c>
      <c r="D200" s="14" t="s">
        <v>31</v>
      </c>
      <c r="E200" s="15" t="s">
        <v>32</v>
      </c>
      <c r="F200" s="16" t="s">
        <v>32</v>
      </c>
      <c r="G200" s="17"/>
      <c r="H200" s="84" t="s">
        <v>59</v>
      </c>
      <c r="I200" s="84" t="s">
        <v>159</v>
      </c>
      <c r="J200" s="87"/>
      <c r="K200" s="91">
        <f t="shared" si="16"/>
        <v>198</v>
      </c>
      <c r="L200" s="87"/>
      <c r="M200" s="93">
        <f t="shared" si="20"/>
        <v>51956</v>
      </c>
      <c r="N200" s="89">
        <f t="shared" si="19"/>
        <v>51956</v>
      </c>
      <c r="O200" s="89">
        <f t="shared" si="17"/>
        <v>51956</v>
      </c>
      <c r="P200" s="94">
        <v>2193.1339020672222</v>
      </c>
      <c r="Q200" s="168"/>
      <c r="V200">
        <v>1</v>
      </c>
      <c r="W200" t="s">
        <v>33</v>
      </c>
      <c r="Y200" t="s">
        <v>33</v>
      </c>
      <c r="Z200" t="s">
        <v>34</v>
      </c>
      <c r="AA200">
        <v>1</v>
      </c>
    </row>
    <row r="201" spans="1:27" x14ac:dyDescent="0.35">
      <c r="A201" s="13">
        <f t="shared" si="18"/>
        <v>45930</v>
      </c>
      <c r="B201">
        <v>1</v>
      </c>
      <c r="D201" s="14" t="s">
        <v>31</v>
      </c>
      <c r="E201" s="15" t="s">
        <v>32</v>
      </c>
      <c r="F201" s="16" t="s">
        <v>32</v>
      </c>
      <c r="G201" s="17"/>
      <c r="H201" s="84" t="s">
        <v>59</v>
      </c>
      <c r="I201" s="84" t="s">
        <v>159</v>
      </c>
      <c r="J201" s="87"/>
      <c r="K201" s="91">
        <f t="shared" si="16"/>
        <v>199</v>
      </c>
      <c r="L201" s="87"/>
      <c r="M201" s="93">
        <f t="shared" si="20"/>
        <v>51986</v>
      </c>
      <c r="N201" s="89">
        <f t="shared" si="19"/>
        <v>51986</v>
      </c>
      <c r="O201" s="89">
        <f t="shared" si="17"/>
        <v>51986</v>
      </c>
      <c r="P201" s="94">
        <v>2193.1339020672222</v>
      </c>
      <c r="Q201" s="168"/>
      <c r="V201">
        <v>1</v>
      </c>
      <c r="W201" t="s">
        <v>33</v>
      </c>
      <c r="Y201" t="s">
        <v>33</v>
      </c>
      <c r="Z201" t="s">
        <v>34</v>
      </c>
      <c r="AA201">
        <v>1</v>
      </c>
    </row>
    <row r="202" spans="1:27" x14ac:dyDescent="0.35">
      <c r="A202" s="13">
        <f t="shared" si="18"/>
        <v>45930</v>
      </c>
      <c r="B202">
        <v>1</v>
      </c>
      <c r="D202" s="14" t="s">
        <v>31</v>
      </c>
      <c r="E202" s="15" t="s">
        <v>32</v>
      </c>
      <c r="F202" s="16" t="s">
        <v>32</v>
      </c>
      <c r="G202" s="17"/>
      <c r="H202" s="84" t="s">
        <v>59</v>
      </c>
      <c r="I202" s="84" t="s">
        <v>159</v>
      </c>
      <c r="J202" s="87"/>
      <c r="K202" s="91">
        <f t="shared" si="16"/>
        <v>200</v>
      </c>
      <c r="L202" s="87"/>
      <c r="M202" s="93">
        <f t="shared" si="20"/>
        <v>52017</v>
      </c>
      <c r="N202" s="89">
        <f t="shared" si="19"/>
        <v>52017</v>
      </c>
      <c r="O202" s="89">
        <f t="shared" si="17"/>
        <v>52017</v>
      </c>
      <c r="P202" s="94">
        <v>2193.1339020672222</v>
      </c>
      <c r="Q202" s="168"/>
      <c r="V202">
        <v>1</v>
      </c>
      <c r="W202" t="s">
        <v>33</v>
      </c>
      <c r="Y202" t="s">
        <v>33</v>
      </c>
      <c r="Z202" t="s">
        <v>34</v>
      </c>
      <c r="AA202">
        <v>1</v>
      </c>
    </row>
    <row r="203" spans="1:27" x14ac:dyDescent="0.35">
      <c r="A203" s="13">
        <f t="shared" si="18"/>
        <v>45930</v>
      </c>
      <c r="B203">
        <v>1</v>
      </c>
      <c r="D203" s="14" t="s">
        <v>31</v>
      </c>
      <c r="E203" s="15" t="s">
        <v>32</v>
      </c>
      <c r="F203" s="16" t="s">
        <v>32</v>
      </c>
      <c r="G203" s="17"/>
      <c r="H203" s="84" t="s">
        <v>59</v>
      </c>
      <c r="I203" s="84" t="s">
        <v>159</v>
      </c>
      <c r="J203" s="87"/>
      <c r="K203" s="91">
        <f t="shared" si="16"/>
        <v>201</v>
      </c>
      <c r="L203" s="87"/>
      <c r="M203" s="93">
        <f t="shared" si="20"/>
        <v>52047</v>
      </c>
      <c r="N203" s="89">
        <f t="shared" si="19"/>
        <v>52047</v>
      </c>
      <c r="O203" s="89">
        <f t="shared" si="17"/>
        <v>52047</v>
      </c>
      <c r="P203" s="94">
        <v>2193.1339020672222</v>
      </c>
      <c r="Q203" s="168"/>
      <c r="V203">
        <v>1</v>
      </c>
      <c r="W203" t="s">
        <v>33</v>
      </c>
      <c r="Y203" t="s">
        <v>33</v>
      </c>
      <c r="Z203" t="s">
        <v>34</v>
      </c>
      <c r="AA203">
        <v>1</v>
      </c>
    </row>
    <row r="204" spans="1:27" x14ac:dyDescent="0.35">
      <c r="A204" s="13">
        <f t="shared" si="18"/>
        <v>45930</v>
      </c>
      <c r="B204">
        <v>1</v>
      </c>
      <c r="D204" s="14" t="s">
        <v>31</v>
      </c>
      <c r="E204" s="15" t="s">
        <v>32</v>
      </c>
      <c r="F204" s="16" t="s">
        <v>32</v>
      </c>
      <c r="G204" s="17"/>
      <c r="H204" s="84" t="s">
        <v>59</v>
      </c>
      <c r="I204" s="84" t="s">
        <v>159</v>
      </c>
      <c r="J204" s="87"/>
      <c r="K204" s="91">
        <f t="shared" si="16"/>
        <v>202</v>
      </c>
      <c r="L204" s="87"/>
      <c r="M204" s="93">
        <f t="shared" si="20"/>
        <v>52078</v>
      </c>
      <c r="N204" s="89">
        <f t="shared" si="19"/>
        <v>52078</v>
      </c>
      <c r="O204" s="89">
        <f t="shared" si="17"/>
        <v>52078</v>
      </c>
      <c r="P204" s="94">
        <v>2193.1339020672222</v>
      </c>
      <c r="Q204" s="168"/>
      <c r="V204">
        <v>1</v>
      </c>
      <c r="W204" t="s">
        <v>33</v>
      </c>
      <c r="Y204" t="s">
        <v>33</v>
      </c>
      <c r="Z204" t="s">
        <v>34</v>
      </c>
      <c r="AA204">
        <v>1</v>
      </c>
    </row>
    <row r="205" spans="1:27" x14ac:dyDescent="0.35">
      <c r="A205" s="13">
        <f t="shared" si="18"/>
        <v>45930</v>
      </c>
      <c r="B205">
        <v>1</v>
      </c>
      <c r="D205" s="14" t="s">
        <v>31</v>
      </c>
      <c r="E205" s="15" t="s">
        <v>32</v>
      </c>
      <c r="F205" s="16" t="s">
        <v>32</v>
      </c>
      <c r="G205" s="17"/>
      <c r="H205" s="84" t="s">
        <v>59</v>
      </c>
      <c r="I205" s="84" t="s">
        <v>159</v>
      </c>
      <c r="J205" s="87"/>
      <c r="K205" s="91">
        <f t="shared" si="16"/>
        <v>203</v>
      </c>
      <c r="L205" s="87"/>
      <c r="M205" s="93">
        <f t="shared" si="20"/>
        <v>52109</v>
      </c>
      <c r="N205" s="89">
        <f t="shared" si="19"/>
        <v>52109</v>
      </c>
      <c r="O205" s="89">
        <f>N205</f>
        <v>52109</v>
      </c>
      <c r="P205" s="94">
        <v>2193.1339020672222</v>
      </c>
      <c r="Q205" s="168"/>
      <c r="V205">
        <v>1</v>
      </c>
      <c r="W205" t="s">
        <v>33</v>
      </c>
      <c r="Y205" t="s">
        <v>33</v>
      </c>
      <c r="Z205" t="s">
        <v>34</v>
      </c>
      <c r="AA205">
        <v>1</v>
      </c>
    </row>
    <row r="206" spans="1:27" x14ac:dyDescent="0.35">
      <c r="A206" s="13">
        <f t="shared" si="18"/>
        <v>45930</v>
      </c>
      <c r="B206">
        <v>1</v>
      </c>
      <c r="D206" s="14" t="s">
        <v>31</v>
      </c>
      <c r="E206" s="15" t="s">
        <v>32</v>
      </c>
      <c r="F206" s="16" t="s">
        <v>32</v>
      </c>
      <c r="G206" s="17"/>
      <c r="H206" s="84" t="s">
        <v>59</v>
      </c>
      <c r="I206" s="84" t="s">
        <v>159</v>
      </c>
      <c r="J206" s="87"/>
      <c r="K206" s="91">
        <f t="shared" si="16"/>
        <v>204</v>
      </c>
      <c r="L206" s="87"/>
      <c r="M206" s="93">
        <f t="shared" si="20"/>
        <v>52139</v>
      </c>
      <c r="N206" s="89">
        <f t="shared" si="19"/>
        <v>52139</v>
      </c>
      <c r="O206" s="89">
        <f t="shared" si="17"/>
        <v>52139</v>
      </c>
      <c r="P206" s="94">
        <v>2193.1339020672222</v>
      </c>
      <c r="Q206" s="168"/>
      <c r="V206">
        <v>1</v>
      </c>
      <c r="W206" t="s">
        <v>33</v>
      </c>
      <c r="Y206" t="s">
        <v>33</v>
      </c>
      <c r="Z206" t="s">
        <v>34</v>
      </c>
      <c r="AA206">
        <v>1</v>
      </c>
    </row>
    <row r="207" spans="1:27" x14ac:dyDescent="0.35">
      <c r="A207" s="13">
        <f t="shared" si="18"/>
        <v>45930</v>
      </c>
      <c r="B207">
        <v>1</v>
      </c>
      <c r="D207" s="14" t="s">
        <v>31</v>
      </c>
      <c r="E207" s="15" t="s">
        <v>32</v>
      </c>
      <c r="F207" s="16" t="s">
        <v>32</v>
      </c>
      <c r="G207" s="17"/>
      <c r="H207" s="84" t="s">
        <v>59</v>
      </c>
      <c r="I207" s="84" t="s">
        <v>159</v>
      </c>
      <c r="J207" s="87"/>
      <c r="K207" s="91">
        <f t="shared" si="16"/>
        <v>205</v>
      </c>
      <c r="L207" s="87"/>
      <c r="M207" s="93">
        <f t="shared" si="20"/>
        <v>52170</v>
      </c>
      <c r="N207" s="89">
        <f t="shared" si="19"/>
        <v>52170</v>
      </c>
      <c r="O207" s="89">
        <f t="shared" si="17"/>
        <v>52170</v>
      </c>
      <c r="P207" s="94">
        <v>1123.5902282867341</v>
      </c>
      <c r="Q207" s="168"/>
      <c r="V207">
        <v>1</v>
      </c>
      <c r="W207" t="s">
        <v>33</v>
      </c>
      <c r="Y207" t="s">
        <v>33</v>
      </c>
      <c r="Z207" t="s">
        <v>34</v>
      </c>
      <c r="AA207">
        <v>1</v>
      </c>
    </row>
    <row r="208" spans="1:27" x14ac:dyDescent="0.35">
      <c r="A208" s="13">
        <f t="shared" si="18"/>
        <v>45930</v>
      </c>
      <c r="B208">
        <v>1</v>
      </c>
      <c r="D208" s="14" t="s">
        <v>31</v>
      </c>
      <c r="E208" s="15" t="s">
        <v>32</v>
      </c>
      <c r="F208" s="16" t="s">
        <v>32</v>
      </c>
      <c r="G208" s="17"/>
      <c r="H208" s="84" t="s">
        <v>59</v>
      </c>
      <c r="I208" s="84" t="s">
        <v>159</v>
      </c>
      <c r="J208" s="87"/>
      <c r="K208" s="91">
        <f t="shared" si="16"/>
        <v>206</v>
      </c>
      <c r="L208" s="87"/>
      <c r="M208" s="93">
        <f t="shared" si="20"/>
        <v>52200</v>
      </c>
      <c r="N208" s="89">
        <f t="shared" si="19"/>
        <v>52200</v>
      </c>
      <c r="O208" s="89">
        <f t="shared" si="17"/>
        <v>52200</v>
      </c>
      <c r="P208" s="94">
        <v>0</v>
      </c>
      <c r="V208">
        <v>1</v>
      </c>
      <c r="W208" t="s">
        <v>33</v>
      </c>
      <c r="Y208" t="s">
        <v>33</v>
      </c>
      <c r="Z208" t="s">
        <v>34</v>
      </c>
      <c r="AA208">
        <v>1</v>
      </c>
    </row>
    <row r="209" spans="1:27" x14ac:dyDescent="0.35">
      <c r="A209" s="13">
        <f t="shared" si="18"/>
        <v>45930</v>
      </c>
      <c r="B209">
        <v>1</v>
      </c>
      <c r="D209" s="14" t="s">
        <v>31</v>
      </c>
      <c r="E209" s="15" t="s">
        <v>32</v>
      </c>
      <c r="F209" s="16" t="s">
        <v>32</v>
      </c>
      <c r="G209" s="17"/>
      <c r="H209" s="84" t="s">
        <v>59</v>
      </c>
      <c r="I209" s="84" t="s">
        <v>159</v>
      </c>
      <c r="J209" s="87"/>
      <c r="K209" s="91">
        <f t="shared" si="16"/>
        <v>207</v>
      </c>
      <c r="L209" s="87"/>
      <c r="M209" s="93">
        <f t="shared" si="20"/>
        <v>52231</v>
      </c>
      <c r="N209" s="89">
        <f t="shared" si="19"/>
        <v>52231</v>
      </c>
      <c r="O209" s="89">
        <f t="shared" si="17"/>
        <v>52231</v>
      </c>
      <c r="P209" s="94">
        <v>0</v>
      </c>
      <c r="V209">
        <v>1</v>
      </c>
      <c r="W209" t="s">
        <v>33</v>
      </c>
      <c r="Y209" t="s">
        <v>33</v>
      </c>
      <c r="Z209" t="s">
        <v>34</v>
      </c>
      <c r="AA209">
        <v>1</v>
      </c>
    </row>
    <row r="210" spans="1:27" x14ac:dyDescent="0.35">
      <c r="A210" s="13">
        <f t="shared" si="18"/>
        <v>45930</v>
      </c>
      <c r="B210">
        <v>1</v>
      </c>
      <c r="D210" s="14" t="s">
        <v>31</v>
      </c>
      <c r="E210" s="15" t="s">
        <v>32</v>
      </c>
      <c r="F210" s="16" t="s">
        <v>32</v>
      </c>
      <c r="G210" s="17"/>
      <c r="H210" s="84" t="s">
        <v>59</v>
      </c>
      <c r="I210" s="84" t="s">
        <v>159</v>
      </c>
      <c r="J210" s="87"/>
      <c r="K210" s="91">
        <f t="shared" si="16"/>
        <v>208</v>
      </c>
      <c r="L210" s="87"/>
      <c r="M210" s="93">
        <f t="shared" si="20"/>
        <v>52262</v>
      </c>
      <c r="N210" s="89">
        <f t="shared" si="19"/>
        <v>52262</v>
      </c>
      <c r="O210" s="89">
        <f t="shared" si="17"/>
        <v>52262</v>
      </c>
      <c r="P210" s="94">
        <v>0</v>
      </c>
      <c r="V210">
        <v>1</v>
      </c>
      <c r="W210" t="s">
        <v>33</v>
      </c>
      <c r="Y210" t="s">
        <v>33</v>
      </c>
      <c r="Z210" t="s">
        <v>34</v>
      </c>
      <c r="AA210">
        <v>1</v>
      </c>
    </row>
    <row r="211" spans="1:27" x14ac:dyDescent="0.35">
      <c r="A211" s="13">
        <f t="shared" si="18"/>
        <v>45930</v>
      </c>
      <c r="B211">
        <v>1</v>
      </c>
      <c r="D211" s="14" t="s">
        <v>31</v>
      </c>
      <c r="E211" s="15" t="s">
        <v>32</v>
      </c>
      <c r="F211" s="16" t="s">
        <v>32</v>
      </c>
      <c r="G211" s="17"/>
      <c r="H211" s="84" t="s">
        <v>59</v>
      </c>
      <c r="I211" s="84" t="s">
        <v>159</v>
      </c>
      <c r="J211" s="87"/>
      <c r="K211" s="91">
        <f t="shared" si="16"/>
        <v>209</v>
      </c>
      <c r="L211" s="87"/>
      <c r="M211" s="93">
        <f t="shared" si="20"/>
        <v>52290</v>
      </c>
      <c r="N211" s="89">
        <f t="shared" si="19"/>
        <v>52290</v>
      </c>
      <c r="O211" s="89">
        <f t="shared" si="17"/>
        <v>52290</v>
      </c>
      <c r="P211" s="94">
        <v>0</v>
      </c>
      <c r="V211">
        <v>1</v>
      </c>
      <c r="W211" t="s">
        <v>33</v>
      </c>
      <c r="Y211" t="s">
        <v>33</v>
      </c>
      <c r="Z211" t="s">
        <v>34</v>
      </c>
      <c r="AA211">
        <v>1</v>
      </c>
    </row>
    <row r="212" spans="1:27" x14ac:dyDescent="0.35">
      <c r="A212" s="13">
        <f t="shared" si="18"/>
        <v>45930</v>
      </c>
      <c r="B212">
        <v>1</v>
      </c>
      <c r="D212" s="14" t="s">
        <v>31</v>
      </c>
      <c r="E212" s="15" t="s">
        <v>32</v>
      </c>
      <c r="F212" s="16" t="s">
        <v>32</v>
      </c>
      <c r="G212" s="17"/>
      <c r="H212" s="84" t="s">
        <v>59</v>
      </c>
      <c r="I212" s="84" t="s">
        <v>159</v>
      </c>
      <c r="J212" s="87"/>
      <c r="K212" s="91">
        <f t="shared" si="16"/>
        <v>210</v>
      </c>
      <c r="L212" s="87"/>
      <c r="M212" s="93">
        <f t="shared" si="20"/>
        <v>52321</v>
      </c>
      <c r="N212" s="89">
        <f t="shared" si="19"/>
        <v>52321</v>
      </c>
      <c r="O212" s="89">
        <f t="shared" si="17"/>
        <v>52321</v>
      </c>
      <c r="P212" s="94">
        <v>0</v>
      </c>
      <c r="V212">
        <v>1</v>
      </c>
      <c r="W212" t="s">
        <v>33</v>
      </c>
      <c r="Y212" t="s">
        <v>33</v>
      </c>
      <c r="Z212" t="s">
        <v>34</v>
      </c>
      <c r="AA212">
        <v>1</v>
      </c>
    </row>
    <row r="213" spans="1:27" x14ac:dyDescent="0.35">
      <c r="A213" s="13">
        <f t="shared" si="18"/>
        <v>45930</v>
      </c>
      <c r="B213">
        <v>1</v>
      </c>
      <c r="D213" s="14" t="s">
        <v>31</v>
      </c>
      <c r="E213" s="15" t="s">
        <v>32</v>
      </c>
      <c r="F213" s="16" t="s">
        <v>32</v>
      </c>
      <c r="G213" s="17"/>
      <c r="H213" s="84" t="s">
        <v>59</v>
      </c>
      <c r="I213" s="84" t="s">
        <v>159</v>
      </c>
      <c r="J213" s="87"/>
      <c r="K213" s="91">
        <f t="shared" si="16"/>
        <v>211</v>
      </c>
      <c r="L213" s="87"/>
      <c r="M213" s="93">
        <f t="shared" si="20"/>
        <v>52351</v>
      </c>
      <c r="N213" s="89">
        <f t="shared" si="19"/>
        <v>52351</v>
      </c>
      <c r="O213" s="89">
        <f t="shared" si="17"/>
        <v>52351</v>
      </c>
      <c r="P213" s="94">
        <v>0</v>
      </c>
      <c r="V213">
        <v>1</v>
      </c>
      <c r="W213" t="s">
        <v>33</v>
      </c>
      <c r="Y213" t="s">
        <v>33</v>
      </c>
      <c r="Z213" t="s">
        <v>34</v>
      </c>
      <c r="AA213">
        <v>1</v>
      </c>
    </row>
    <row r="214" spans="1:27" x14ac:dyDescent="0.35">
      <c r="A214" s="13">
        <f t="shared" si="18"/>
        <v>45930</v>
      </c>
      <c r="B214">
        <v>1</v>
      </c>
      <c r="D214" s="14" t="s">
        <v>31</v>
      </c>
      <c r="E214" s="15" t="s">
        <v>32</v>
      </c>
      <c r="F214" s="16" t="s">
        <v>32</v>
      </c>
      <c r="G214" s="17"/>
      <c r="H214" s="84" t="s">
        <v>59</v>
      </c>
      <c r="I214" s="84" t="s">
        <v>159</v>
      </c>
      <c r="J214" s="87"/>
      <c r="K214" s="91">
        <f t="shared" si="16"/>
        <v>212</v>
      </c>
      <c r="L214" s="87"/>
      <c r="M214" s="93">
        <f t="shared" si="20"/>
        <v>52382</v>
      </c>
      <c r="N214" s="89">
        <f t="shared" si="19"/>
        <v>52382</v>
      </c>
      <c r="O214" s="89">
        <f t="shared" si="17"/>
        <v>52382</v>
      </c>
      <c r="P214" s="94">
        <v>0</v>
      </c>
      <c r="V214">
        <v>1</v>
      </c>
      <c r="W214" t="s">
        <v>33</v>
      </c>
      <c r="Y214" t="s">
        <v>33</v>
      </c>
      <c r="Z214" t="s">
        <v>34</v>
      </c>
      <c r="AA214">
        <v>1</v>
      </c>
    </row>
    <row r="215" spans="1:27" x14ac:dyDescent="0.35">
      <c r="A215" s="13">
        <f t="shared" si="18"/>
        <v>45930</v>
      </c>
      <c r="B215">
        <v>1</v>
      </c>
      <c r="D215" s="14" t="s">
        <v>31</v>
      </c>
      <c r="E215" s="15" t="s">
        <v>32</v>
      </c>
      <c r="F215" s="16" t="s">
        <v>32</v>
      </c>
      <c r="G215" s="17"/>
      <c r="H215" s="85" t="s">
        <v>59</v>
      </c>
      <c r="I215" s="85" t="s">
        <v>158</v>
      </c>
      <c r="J215" s="87"/>
      <c r="K215" s="91">
        <f t="shared" si="16"/>
        <v>213</v>
      </c>
      <c r="L215" s="87"/>
      <c r="M215" s="93">
        <f t="shared" si="20"/>
        <v>52412</v>
      </c>
      <c r="N215" s="89">
        <f t="shared" si="19"/>
        <v>52412</v>
      </c>
      <c r="O215" s="89">
        <f t="shared" si="17"/>
        <v>52412</v>
      </c>
      <c r="P215" s="94">
        <v>0</v>
      </c>
      <c r="V215">
        <v>1</v>
      </c>
      <c r="W215" t="s">
        <v>33</v>
      </c>
      <c r="Y215" t="s">
        <v>33</v>
      </c>
      <c r="Z215" t="s">
        <v>34</v>
      </c>
      <c r="AA215">
        <v>1</v>
      </c>
    </row>
    <row r="216" spans="1:27" x14ac:dyDescent="0.35">
      <c r="A216" s="13">
        <f t="shared" si="18"/>
        <v>45930</v>
      </c>
      <c r="B216">
        <v>1</v>
      </c>
      <c r="D216" s="14" t="s">
        <v>31</v>
      </c>
      <c r="E216" s="15" t="s">
        <v>32</v>
      </c>
      <c r="F216" s="16" t="s">
        <v>32</v>
      </c>
      <c r="G216" s="17"/>
      <c r="H216" s="85" t="s">
        <v>59</v>
      </c>
      <c r="I216" s="85" t="s">
        <v>158</v>
      </c>
      <c r="J216" s="87"/>
      <c r="K216" s="91">
        <f t="shared" si="16"/>
        <v>214</v>
      </c>
      <c r="L216" s="87"/>
      <c r="M216" s="93">
        <f t="shared" si="20"/>
        <v>52443</v>
      </c>
      <c r="N216" s="89">
        <f t="shared" si="19"/>
        <v>52443</v>
      </c>
      <c r="O216" s="89">
        <f t="shared" si="17"/>
        <v>52443</v>
      </c>
      <c r="P216" s="94">
        <v>0</v>
      </c>
      <c r="V216">
        <v>1</v>
      </c>
      <c r="W216" t="s">
        <v>33</v>
      </c>
      <c r="Y216" t="s">
        <v>33</v>
      </c>
      <c r="Z216" t="s">
        <v>34</v>
      </c>
      <c r="AA216">
        <v>1</v>
      </c>
    </row>
    <row r="217" spans="1:27" x14ac:dyDescent="0.35">
      <c r="A217" s="13">
        <f t="shared" si="18"/>
        <v>45930</v>
      </c>
      <c r="B217">
        <v>1</v>
      </c>
      <c r="D217" s="14" t="s">
        <v>31</v>
      </c>
      <c r="E217" s="15" t="s">
        <v>32</v>
      </c>
      <c r="F217" s="16" t="s">
        <v>32</v>
      </c>
      <c r="G217" s="17"/>
      <c r="H217" s="85" t="s">
        <v>59</v>
      </c>
      <c r="I217" s="85" t="s">
        <v>158</v>
      </c>
      <c r="J217" s="87"/>
      <c r="K217" s="91">
        <f t="shared" si="16"/>
        <v>215</v>
      </c>
      <c r="L217" s="87"/>
      <c r="M217" s="93">
        <f t="shared" si="20"/>
        <v>52474</v>
      </c>
      <c r="N217" s="89">
        <f t="shared" si="19"/>
        <v>52474</v>
      </c>
      <c r="O217" s="89">
        <f t="shared" si="17"/>
        <v>52474</v>
      </c>
      <c r="P217" s="94">
        <v>0</v>
      </c>
      <c r="V217">
        <v>1</v>
      </c>
      <c r="W217" t="s">
        <v>33</v>
      </c>
      <c r="Y217" t="s">
        <v>33</v>
      </c>
      <c r="Z217" t="s">
        <v>34</v>
      </c>
      <c r="AA217">
        <v>1</v>
      </c>
    </row>
    <row r="218" spans="1:27" x14ac:dyDescent="0.35">
      <c r="A218" s="13">
        <f t="shared" si="18"/>
        <v>45930</v>
      </c>
      <c r="B218">
        <v>1</v>
      </c>
      <c r="D218" s="14" t="s">
        <v>31</v>
      </c>
      <c r="E218" s="15" t="s">
        <v>32</v>
      </c>
      <c r="F218" s="16" t="s">
        <v>32</v>
      </c>
      <c r="G218" s="17"/>
      <c r="H218" s="85" t="s">
        <v>59</v>
      </c>
      <c r="I218" s="85" t="s">
        <v>158</v>
      </c>
      <c r="J218" s="87"/>
      <c r="K218" s="91">
        <f t="shared" si="16"/>
        <v>216</v>
      </c>
      <c r="L218" s="87"/>
      <c r="M218" s="93">
        <f t="shared" si="20"/>
        <v>52504</v>
      </c>
      <c r="N218" s="89">
        <f t="shared" ref="N218:N281" si="21">M218</f>
        <v>52504</v>
      </c>
      <c r="O218" s="89">
        <f t="shared" ref="O218:O281" si="22">N218</f>
        <v>52504</v>
      </c>
      <c r="P218" s="94">
        <v>0</v>
      </c>
      <c r="V218">
        <v>1</v>
      </c>
      <c r="W218" t="s">
        <v>33</v>
      </c>
      <c r="Y218" t="s">
        <v>33</v>
      </c>
      <c r="Z218" t="s">
        <v>34</v>
      </c>
      <c r="AA218">
        <v>1</v>
      </c>
    </row>
    <row r="219" spans="1:27" x14ac:dyDescent="0.35">
      <c r="A219" s="13">
        <f t="shared" si="18"/>
        <v>45930</v>
      </c>
      <c r="B219">
        <v>1</v>
      </c>
      <c r="D219" s="14" t="s">
        <v>31</v>
      </c>
      <c r="E219" s="15" t="s">
        <v>32</v>
      </c>
      <c r="F219" s="16" t="s">
        <v>32</v>
      </c>
      <c r="G219" s="17"/>
      <c r="H219" s="85" t="s">
        <v>59</v>
      </c>
      <c r="I219" s="85" t="s">
        <v>158</v>
      </c>
      <c r="J219" s="87"/>
      <c r="K219" s="91">
        <f t="shared" si="16"/>
        <v>217</v>
      </c>
      <c r="L219" s="87"/>
      <c r="M219" s="93">
        <f t="shared" si="20"/>
        <v>52535</v>
      </c>
      <c r="N219" s="89">
        <f t="shared" si="21"/>
        <v>52535</v>
      </c>
      <c r="O219" s="89">
        <f t="shared" si="22"/>
        <v>52535</v>
      </c>
      <c r="P219" s="94">
        <v>0</v>
      </c>
      <c r="V219">
        <v>1</v>
      </c>
      <c r="W219" t="s">
        <v>33</v>
      </c>
      <c r="Y219" t="s">
        <v>33</v>
      </c>
      <c r="Z219" t="s">
        <v>34</v>
      </c>
      <c r="AA219">
        <v>1</v>
      </c>
    </row>
    <row r="220" spans="1:27" x14ac:dyDescent="0.35">
      <c r="A220" s="13">
        <f t="shared" si="18"/>
        <v>45930</v>
      </c>
      <c r="B220">
        <v>1</v>
      </c>
      <c r="D220" s="14" t="s">
        <v>31</v>
      </c>
      <c r="E220" s="15" t="s">
        <v>32</v>
      </c>
      <c r="F220" s="16" t="s">
        <v>32</v>
      </c>
      <c r="G220" s="17"/>
      <c r="H220" s="85" t="s">
        <v>59</v>
      </c>
      <c r="I220" s="85" t="s">
        <v>158</v>
      </c>
      <c r="J220" s="87"/>
      <c r="K220" s="91">
        <f t="shared" si="16"/>
        <v>218</v>
      </c>
      <c r="L220" s="87"/>
      <c r="M220" s="93">
        <f t="shared" si="20"/>
        <v>52565</v>
      </c>
      <c r="N220" s="89">
        <f t="shared" si="21"/>
        <v>52565</v>
      </c>
      <c r="O220" s="89">
        <f t="shared" si="22"/>
        <v>52565</v>
      </c>
      <c r="P220" s="94">
        <v>0</v>
      </c>
      <c r="V220">
        <v>1</v>
      </c>
      <c r="W220" t="s">
        <v>33</v>
      </c>
      <c r="Y220" t="s">
        <v>33</v>
      </c>
      <c r="Z220" t="s">
        <v>34</v>
      </c>
      <c r="AA220">
        <v>1</v>
      </c>
    </row>
    <row r="221" spans="1:27" x14ac:dyDescent="0.35">
      <c r="A221" s="13">
        <f t="shared" si="18"/>
        <v>45930</v>
      </c>
      <c r="B221">
        <v>1</v>
      </c>
      <c r="D221" s="14" t="s">
        <v>31</v>
      </c>
      <c r="E221" s="15" t="s">
        <v>32</v>
      </c>
      <c r="F221" s="16" t="s">
        <v>32</v>
      </c>
      <c r="G221" s="17"/>
      <c r="H221" s="85" t="s">
        <v>59</v>
      </c>
      <c r="I221" s="85" t="s">
        <v>158</v>
      </c>
      <c r="J221" s="87"/>
      <c r="K221" s="91">
        <f t="shared" si="16"/>
        <v>219</v>
      </c>
      <c r="L221" s="87"/>
      <c r="M221" s="93">
        <f t="shared" si="20"/>
        <v>52596</v>
      </c>
      <c r="N221" s="89">
        <f t="shared" si="21"/>
        <v>52596</v>
      </c>
      <c r="O221" s="89">
        <f t="shared" si="22"/>
        <v>52596</v>
      </c>
      <c r="P221" s="94">
        <v>0</v>
      </c>
      <c r="V221">
        <v>1</v>
      </c>
      <c r="W221" t="s">
        <v>33</v>
      </c>
      <c r="Y221" t="s">
        <v>33</v>
      </c>
      <c r="Z221" t="s">
        <v>34</v>
      </c>
      <c r="AA221">
        <v>1</v>
      </c>
    </row>
    <row r="222" spans="1:27" x14ac:dyDescent="0.35">
      <c r="A222" s="13">
        <f t="shared" si="18"/>
        <v>45930</v>
      </c>
      <c r="B222">
        <v>1</v>
      </c>
      <c r="D222" s="14" t="s">
        <v>31</v>
      </c>
      <c r="E222" s="15" t="s">
        <v>32</v>
      </c>
      <c r="F222" s="16" t="s">
        <v>32</v>
      </c>
      <c r="G222" s="17"/>
      <c r="H222" s="85" t="s">
        <v>59</v>
      </c>
      <c r="I222" s="85" t="s">
        <v>158</v>
      </c>
      <c r="J222" s="87"/>
      <c r="K222" s="91">
        <f t="shared" si="16"/>
        <v>220</v>
      </c>
      <c r="L222" s="87"/>
      <c r="M222" s="93">
        <f t="shared" si="20"/>
        <v>52627</v>
      </c>
      <c r="N222" s="89">
        <f t="shared" si="21"/>
        <v>52627</v>
      </c>
      <c r="O222" s="89">
        <f t="shared" si="22"/>
        <v>52627</v>
      </c>
      <c r="P222" s="94">
        <v>0</v>
      </c>
      <c r="V222">
        <v>1</v>
      </c>
      <c r="W222" t="s">
        <v>33</v>
      </c>
      <c r="Y222" t="s">
        <v>33</v>
      </c>
      <c r="Z222" t="s">
        <v>34</v>
      </c>
      <c r="AA222">
        <v>1</v>
      </c>
    </row>
    <row r="223" spans="1:27" x14ac:dyDescent="0.35">
      <c r="A223" s="13">
        <f t="shared" si="18"/>
        <v>45930</v>
      </c>
      <c r="B223">
        <v>1</v>
      </c>
      <c r="D223" s="14" t="s">
        <v>31</v>
      </c>
      <c r="E223" s="15" t="s">
        <v>32</v>
      </c>
      <c r="F223" s="16" t="s">
        <v>32</v>
      </c>
      <c r="G223" s="17"/>
      <c r="H223" s="85" t="s">
        <v>59</v>
      </c>
      <c r="I223" s="85" t="s">
        <v>158</v>
      </c>
      <c r="J223" s="87"/>
      <c r="K223" s="91">
        <f t="shared" si="16"/>
        <v>221</v>
      </c>
      <c r="L223" s="87"/>
      <c r="M223" s="93">
        <f t="shared" si="20"/>
        <v>52656</v>
      </c>
      <c r="N223" s="89">
        <f t="shared" si="21"/>
        <v>52656</v>
      </c>
      <c r="O223" s="89">
        <f t="shared" si="22"/>
        <v>52656</v>
      </c>
      <c r="P223" s="94">
        <v>0</v>
      </c>
      <c r="V223">
        <v>1</v>
      </c>
      <c r="W223" t="s">
        <v>33</v>
      </c>
      <c r="Y223" t="s">
        <v>33</v>
      </c>
      <c r="Z223" t="s">
        <v>34</v>
      </c>
      <c r="AA223">
        <v>1</v>
      </c>
    </row>
    <row r="224" spans="1:27" x14ac:dyDescent="0.35">
      <c r="A224" s="13">
        <f t="shared" si="18"/>
        <v>45930</v>
      </c>
      <c r="B224">
        <v>1</v>
      </c>
      <c r="D224" s="14" t="s">
        <v>31</v>
      </c>
      <c r="E224" s="15" t="s">
        <v>32</v>
      </c>
      <c r="F224" s="16" t="s">
        <v>32</v>
      </c>
      <c r="G224" s="17"/>
      <c r="H224" s="85" t="s">
        <v>59</v>
      </c>
      <c r="I224" s="85" t="s">
        <v>158</v>
      </c>
      <c r="J224" s="87"/>
      <c r="K224" s="91">
        <f t="shared" si="16"/>
        <v>222</v>
      </c>
      <c r="L224" s="87"/>
      <c r="M224" s="93">
        <f t="shared" si="20"/>
        <v>52687</v>
      </c>
      <c r="N224" s="89">
        <f t="shared" si="21"/>
        <v>52687</v>
      </c>
      <c r="O224" s="89">
        <f t="shared" si="22"/>
        <v>52687</v>
      </c>
      <c r="P224" s="94">
        <v>0</v>
      </c>
      <c r="V224">
        <v>1</v>
      </c>
      <c r="W224" t="s">
        <v>33</v>
      </c>
      <c r="Y224" t="s">
        <v>33</v>
      </c>
      <c r="Z224" t="s">
        <v>34</v>
      </c>
      <c r="AA224">
        <v>1</v>
      </c>
    </row>
    <row r="225" spans="1:27" x14ac:dyDescent="0.35">
      <c r="A225" s="13">
        <f t="shared" si="18"/>
        <v>45930</v>
      </c>
      <c r="B225">
        <v>1</v>
      </c>
      <c r="D225" s="14" t="s">
        <v>31</v>
      </c>
      <c r="E225" s="15" t="s">
        <v>32</v>
      </c>
      <c r="F225" s="16" t="s">
        <v>32</v>
      </c>
      <c r="G225" s="17"/>
      <c r="H225" s="85" t="s">
        <v>59</v>
      </c>
      <c r="I225" s="85" t="s">
        <v>158</v>
      </c>
      <c r="J225" s="87"/>
      <c r="K225" s="91">
        <f t="shared" ref="K225:K288" si="23">K224+1</f>
        <v>223</v>
      </c>
      <c r="L225" s="87"/>
      <c r="M225" s="93">
        <f t="shared" si="20"/>
        <v>52717</v>
      </c>
      <c r="N225" s="89">
        <f t="shared" si="21"/>
        <v>52717</v>
      </c>
      <c r="O225" s="89">
        <f t="shared" si="22"/>
        <v>52717</v>
      </c>
      <c r="P225" s="94">
        <v>0</v>
      </c>
      <c r="V225">
        <v>1</v>
      </c>
      <c r="W225" t="s">
        <v>33</v>
      </c>
      <c r="Y225" t="s">
        <v>33</v>
      </c>
      <c r="Z225" t="s">
        <v>34</v>
      </c>
      <c r="AA225">
        <v>1</v>
      </c>
    </row>
    <row r="226" spans="1:27" x14ac:dyDescent="0.35">
      <c r="A226" s="13">
        <f t="shared" si="18"/>
        <v>45930</v>
      </c>
      <c r="B226">
        <v>1</v>
      </c>
      <c r="D226" s="14" t="s">
        <v>31</v>
      </c>
      <c r="E226" s="15" t="s">
        <v>32</v>
      </c>
      <c r="F226" s="16" t="s">
        <v>32</v>
      </c>
      <c r="G226" s="17"/>
      <c r="H226" s="85" t="s">
        <v>59</v>
      </c>
      <c r="I226" s="85" t="s">
        <v>158</v>
      </c>
      <c r="J226" s="87"/>
      <c r="K226" s="91">
        <f t="shared" si="23"/>
        <v>224</v>
      </c>
      <c r="L226" s="87"/>
      <c r="M226" s="93">
        <f t="shared" si="20"/>
        <v>52748</v>
      </c>
      <c r="N226" s="89">
        <f t="shared" si="21"/>
        <v>52748</v>
      </c>
      <c r="O226" s="89">
        <f t="shared" si="22"/>
        <v>52748</v>
      </c>
      <c r="P226" s="94">
        <v>0</v>
      </c>
      <c r="V226">
        <v>1</v>
      </c>
      <c r="W226" t="s">
        <v>33</v>
      </c>
      <c r="Y226" t="s">
        <v>33</v>
      </c>
      <c r="Z226" t="s">
        <v>34</v>
      </c>
      <c r="AA226">
        <v>1</v>
      </c>
    </row>
    <row r="227" spans="1:27" x14ac:dyDescent="0.35">
      <c r="A227" s="13">
        <f t="shared" si="18"/>
        <v>45930</v>
      </c>
      <c r="B227">
        <v>1</v>
      </c>
      <c r="D227" s="14" t="s">
        <v>31</v>
      </c>
      <c r="E227" s="15" t="s">
        <v>32</v>
      </c>
      <c r="F227" s="16" t="s">
        <v>32</v>
      </c>
      <c r="G227" s="17"/>
      <c r="H227" s="85" t="s">
        <v>59</v>
      </c>
      <c r="I227" s="85" t="s">
        <v>158</v>
      </c>
      <c r="J227" s="87"/>
      <c r="K227" s="91">
        <f t="shared" si="23"/>
        <v>225</v>
      </c>
      <c r="L227" s="87"/>
      <c r="M227" s="93">
        <f t="shared" si="20"/>
        <v>52778</v>
      </c>
      <c r="N227" s="89">
        <f t="shared" si="21"/>
        <v>52778</v>
      </c>
      <c r="O227" s="89">
        <f t="shared" si="22"/>
        <v>52778</v>
      </c>
      <c r="P227" s="94">
        <v>0</v>
      </c>
      <c r="V227">
        <v>1</v>
      </c>
      <c r="W227" t="s">
        <v>33</v>
      </c>
      <c r="Y227" t="s">
        <v>33</v>
      </c>
      <c r="Z227" t="s">
        <v>34</v>
      </c>
      <c r="AA227">
        <v>1</v>
      </c>
    </row>
    <row r="228" spans="1:27" x14ac:dyDescent="0.35">
      <c r="A228" s="13">
        <f t="shared" si="18"/>
        <v>45930</v>
      </c>
      <c r="B228">
        <v>1</v>
      </c>
      <c r="D228" s="14" t="s">
        <v>31</v>
      </c>
      <c r="E228" s="15" t="s">
        <v>32</v>
      </c>
      <c r="F228" s="16" t="s">
        <v>32</v>
      </c>
      <c r="G228" s="17"/>
      <c r="H228" s="85" t="s">
        <v>59</v>
      </c>
      <c r="I228" s="85" t="s">
        <v>158</v>
      </c>
      <c r="J228" s="87"/>
      <c r="K228" s="91">
        <f t="shared" si="23"/>
        <v>226</v>
      </c>
      <c r="L228" s="87"/>
      <c r="M228" s="93">
        <f t="shared" si="20"/>
        <v>52809</v>
      </c>
      <c r="N228" s="89">
        <f t="shared" si="21"/>
        <v>52809</v>
      </c>
      <c r="O228" s="89">
        <f t="shared" si="22"/>
        <v>52809</v>
      </c>
      <c r="P228" s="94">
        <v>0</v>
      </c>
      <c r="V228">
        <v>1</v>
      </c>
      <c r="W228" t="s">
        <v>33</v>
      </c>
      <c r="Y228" t="s">
        <v>33</v>
      </c>
      <c r="Z228" t="s">
        <v>34</v>
      </c>
      <c r="AA228">
        <v>1</v>
      </c>
    </row>
    <row r="229" spans="1:27" x14ac:dyDescent="0.35">
      <c r="A229" s="13">
        <f t="shared" si="18"/>
        <v>45930</v>
      </c>
      <c r="B229">
        <v>1</v>
      </c>
      <c r="D229" s="14" t="s">
        <v>31</v>
      </c>
      <c r="E229" s="15" t="s">
        <v>32</v>
      </c>
      <c r="F229" s="16" t="s">
        <v>32</v>
      </c>
      <c r="G229" s="17"/>
      <c r="H229" s="85" t="s">
        <v>59</v>
      </c>
      <c r="I229" s="85" t="s">
        <v>158</v>
      </c>
      <c r="J229" s="87"/>
      <c r="K229" s="91">
        <f t="shared" si="23"/>
        <v>227</v>
      </c>
      <c r="L229" s="87"/>
      <c r="M229" s="93">
        <f t="shared" si="20"/>
        <v>52840</v>
      </c>
      <c r="N229" s="89">
        <f t="shared" si="21"/>
        <v>52840</v>
      </c>
      <c r="O229" s="89">
        <f t="shared" si="22"/>
        <v>52840</v>
      </c>
      <c r="P229" s="94">
        <v>0</v>
      </c>
      <c r="V229">
        <v>1</v>
      </c>
      <c r="W229" t="s">
        <v>33</v>
      </c>
      <c r="Y229" t="s">
        <v>33</v>
      </c>
      <c r="Z229" t="s">
        <v>34</v>
      </c>
      <c r="AA229">
        <v>1</v>
      </c>
    </row>
    <row r="230" spans="1:27" x14ac:dyDescent="0.35">
      <c r="A230" s="13">
        <f t="shared" si="18"/>
        <v>45930</v>
      </c>
      <c r="B230">
        <v>1</v>
      </c>
      <c r="D230" s="14" t="s">
        <v>31</v>
      </c>
      <c r="E230" s="15" t="s">
        <v>32</v>
      </c>
      <c r="F230" s="16" t="s">
        <v>32</v>
      </c>
      <c r="G230" s="17"/>
      <c r="H230" s="85" t="s">
        <v>59</v>
      </c>
      <c r="I230" s="85" t="s">
        <v>158</v>
      </c>
      <c r="J230" s="87"/>
      <c r="K230" s="91">
        <f t="shared" si="23"/>
        <v>228</v>
      </c>
      <c r="L230" s="87"/>
      <c r="M230" s="93">
        <f t="shared" si="20"/>
        <v>52870</v>
      </c>
      <c r="N230" s="89">
        <f t="shared" si="21"/>
        <v>52870</v>
      </c>
      <c r="O230" s="89">
        <f t="shared" si="22"/>
        <v>52870</v>
      </c>
      <c r="P230" s="94">
        <v>0</v>
      </c>
      <c r="V230">
        <v>1</v>
      </c>
      <c r="W230" t="s">
        <v>33</v>
      </c>
      <c r="Y230" t="s">
        <v>33</v>
      </c>
      <c r="Z230" t="s">
        <v>34</v>
      </c>
      <c r="AA230">
        <v>1</v>
      </c>
    </row>
    <row r="231" spans="1:27" x14ac:dyDescent="0.35">
      <c r="A231" s="13">
        <f t="shared" si="18"/>
        <v>45930</v>
      </c>
      <c r="B231">
        <v>1</v>
      </c>
      <c r="D231" s="14" t="s">
        <v>31</v>
      </c>
      <c r="E231" s="15" t="s">
        <v>32</v>
      </c>
      <c r="F231" s="16" t="s">
        <v>32</v>
      </c>
      <c r="G231" s="17"/>
      <c r="H231" s="85" t="s">
        <v>59</v>
      </c>
      <c r="I231" s="85" t="s">
        <v>158</v>
      </c>
      <c r="J231" s="87"/>
      <c r="K231" s="91">
        <f t="shared" si="23"/>
        <v>229</v>
      </c>
      <c r="L231" s="87"/>
      <c r="M231" s="93">
        <f t="shared" si="20"/>
        <v>52901</v>
      </c>
      <c r="N231" s="89">
        <f t="shared" si="21"/>
        <v>52901</v>
      </c>
      <c r="O231" s="89">
        <f t="shared" si="22"/>
        <v>52901</v>
      </c>
      <c r="P231" s="94">
        <v>0</v>
      </c>
      <c r="V231">
        <v>1</v>
      </c>
      <c r="W231" t="s">
        <v>33</v>
      </c>
      <c r="Y231" t="s">
        <v>33</v>
      </c>
      <c r="Z231" t="s">
        <v>34</v>
      </c>
      <c r="AA231">
        <v>1</v>
      </c>
    </row>
    <row r="232" spans="1:27" x14ac:dyDescent="0.35">
      <c r="A232" s="13">
        <f t="shared" si="18"/>
        <v>45930</v>
      </c>
      <c r="B232">
        <v>1</v>
      </c>
      <c r="D232" s="14" t="s">
        <v>31</v>
      </c>
      <c r="E232" s="15" t="s">
        <v>32</v>
      </c>
      <c r="F232" s="16" t="s">
        <v>32</v>
      </c>
      <c r="G232" s="17"/>
      <c r="H232" s="85" t="s">
        <v>59</v>
      </c>
      <c r="I232" s="85" t="s">
        <v>158</v>
      </c>
      <c r="J232" s="87"/>
      <c r="K232" s="91">
        <f t="shared" si="23"/>
        <v>230</v>
      </c>
      <c r="L232" s="87"/>
      <c r="M232" s="93">
        <f t="shared" si="20"/>
        <v>52931</v>
      </c>
      <c r="N232" s="89">
        <f t="shared" si="21"/>
        <v>52931</v>
      </c>
      <c r="O232" s="89">
        <f t="shared" si="22"/>
        <v>52931</v>
      </c>
      <c r="P232" s="94">
        <v>0</v>
      </c>
      <c r="V232">
        <v>1</v>
      </c>
      <c r="W232" t="s">
        <v>33</v>
      </c>
      <c r="Y232" t="s">
        <v>33</v>
      </c>
      <c r="Z232" t="s">
        <v>34</v>
      </c>
      <c r="AA232">
        <v>1</v>
      </c>
    </row>
    <row r="233" spans="1:27" x14ac:dyDescent="0.35">
      <c r="A233" s="13">
        <f t="shared" si="18"/>
        <v>45930</v>
      </c>
      <c r="B233">
        <v>1</v>
      </c>
      <c r="D233" s="14" t="s">
        <v>31</v>
      </c>
      <c r="E233" s="15" t="s">
        <v>32</v>
      </c>
      <c r="F233" s="16" t="s">
        <v>32</v>
      </c>
      <c r="G233" s="17"/>
      <c r="H233" s="85" t="s">
        <v>59</v>
      </c>
      <c r="I233" s="85" t="s">
        <v>158</v>
      </c>
      <c r="J233" s="87"/>
      <c r="K233" s="91">
        <f t="shared" si="23"/>
        <v>231</v>
      </c>
      <c r="L233" s="87"/>
      <c r="M233" s="93">
        <f t="shared" si="20"/>
        <v>52962</v>
      </c>
      <c r="N233" s="89">
        <f t="shared" si="21"/>
        <v>52962</v>
      </c>
      <c r="O233" s="89">
        <f t="shared" si="22"/>
        <v>52962</v>
      </c>
      <c r="P233" s="94">
        <v>0</v>
      </c>
      <c r="V233">
        <v>1</v>
      </c>
      <c r="W233" t="s">
        <v>33</v>
      </c>
      <c r="Y233" t="s">
        <v>33</v>
      </c>
      <c r="Z233" t="s">
        <v>34</v>
      </c>
      <c r="AA233">
        <v>1</v>
      </c>
    </row>
    <row r="234" spans="1:27" x14ac:dyDescent="0.35">
      <c r="A234" s="13">
        <f t="shared" si="18"/>
        <v>45930</v>
      </c>
      <c r="B234">
        <v>1</v>
      </c>
      <c r="D234" s="14" t="s">
        <v>31</v>
      </c>
      <c r="E234" s="15" t="s">
        <v>32</v>
      </c>
      <c r="F234" s="16" t="s">
        <v>32</v>
      </c>
      <c r="G234" s="17"/>
      <c r="H234" s="85" t="s">
        <v>59</v>
      </c>
      <c r="I234" s="85" t="s">
        <v>158</v>
      </c>
      <c r="J234" s="87"/>
      <c r="K234" s="91">
        <f t="shared" si="23"/>
        <v>232</v>
      </c>
      <c r="L234" s="87"/>
      <c r="M234" s="93">
        <f t="shared" si="20"/>
        <v>52993</v>
      </c>
      <c r="N234" s="89">
        <f t="shared" si="21"/>
        <v>52993</v>
      </c>
      <c r="O234" s="89">
        <f t="shared" si="22"/>
        <v>52993</v>
      </c>
      <c r="P234" s="94">
        <v>0</v>
      </c>
      <c r="V234">
        <v>1</v>
      </c>
      <c r="W234" t="s">
        <v>33</v>
      </c>
      <c r="Y234" t="s">
        <v>33</v>
      </c>
      <c r="Z234" t="s">
        <v>34</v>
      </c>
      <c r="AA234">
        <v>1</v>
      </c>
    </row>
    <row r="235" spans="1:27" x14ac:dyDescent="0.35">
      <c r="A235" s="13">
        <f t="shared" si="18"/>
        <v>45930</v>
      </c>
      <c r="B235">
        <v>1</v>
      </c>
      <c r="D235" s="14" t="s">
        <v>31</v>
      </c>
      <c r="E235" s="15" t="s">
        <v>32</v>
      </c>
      <c r="F235" s="16" t="s">
        <v>32</v>
      </c>
      <c r="G235" s="17"/>
      <c r="H235" s="85" t="s">
        <v>59</v>
      </c>
      <c r="I235" s="85" t="s">
        <v>158</v>
      </c>
      <c r="J235" s="87"/>
      <c r="K235" s="91">
        <f t="shared" si="23"/>
        <v>233</v>
      </c>
      <c r="L235" s="87"/>
      <c r="M235" s="93">
        <f t="shared" si="20"/>
        <v>53021</v>
      </c>
      <c r="N235" s="89">
        <f t="shared" si="21"/>
        <v>53021</v>
      </c>
      <c r="O235" s="89">
        <f t="shared" si="22"/>
        <v>53021</v>
      </c>
      <c r="P235" s="94">
        <v>0</v>
      </c>
      <c r="V235">
        <v>1</v>
      </c>
      <c r="W235" t="s">
        <v>33</v>
      </c>
      <c r="Y235" t="s">
        <v>33</v>
      </c>
      <c r="Z235" t="s">
        <v>34</v>
      </c>
      <c r="AA235">
        <v>1</v>
      </c>
    </row>
    <row r="236" spans="1:27" x14ac:dyDescent="0.35">
      <c r="A236" s="13">
        <f t="shared" si="18"/>
        <v>45930</v>
      </c>
      <c r="B236">
        <v>1</v>
      </c>
      <c r="D236" s="14" t="s">
        <v>31</v>
      </c>
      <c r="E236" s="15" t="s">
        <v>32</v>
      </c>
      <c r="F236" s="16" t="s">
        <v>32</v>
      </c>
      <c r="G236" s="17"/>
      <c r="H236" s="85" t="s">
        <v>59</v>
      </c>
      <c r="I236" s="85" t="s">
        <v>158</v>
      </c>
      <c r="J236" s="87"/>
      <c r="K236" s="91">
        <f t="shared" si="23"/>
        <v>234</v>
      </c>
      <c r="L236" s="87"/>
      <c r="M236" s="93">
        <f t="shared" si="20"/>
        <v>53052</v>
      </c>
      <c r="N236" s="89">
        <f t="shared" si="21"/>
        <v>53052</v>
      </c>
      <c r="O236" s="89">
        <f t="shared" si="22"/>
        <v>53052</v>
      </c>
      <c r="P236" s="94">
        <v>0</v>
      </c>
      <c r="V236">
        <v>1</v>
      </c>
      <c r="W236" t="s">
        <v>33</v>
      </c>
      <c r="Y236" t="s">
        <v>33</v>
      </c>
      <c r="Z236" t="s">
        <v>34</v>
      </c>
      <c r="AA236">
        <v>1</v>
      </c>
    </row>
    <row r="237" spans="1:27" x14ac:dyDescent="0.35">
      <c r="A237" s="13">
        <f t="shared" si="18"/>
        <v>45930</v>
      </c>
      <c r="B237">
        <v>1</v>
      </c>
      <c r="D237" s="14" t="s">
        <v>31</v>
      </c>
      <c r="E237" s="15" t="s">
        <v>32</v>
      </c>
      <c r="F237" s="16" t="s">
        <v>32</v>
      </c>
      <c r="G237" s="17"/>
      <c r="H237" s="85" t="s">
        <v>59</v>
      </c>
      <c r="I237" s="85" t="s">
        <v>158</v>
      </c>
      <c r="J237" s="87"/>
      <c r="K237" s="91">
        <f t="shared" si="23"/>
        <v>235</v>
      </c>
      <c r="L237" s="87"/>
      <c r="M237" s="93">
        <f t="shared" si="20"/>
        <v>53082</v>
      </c>
      <c r="N237" s="89">
        <f t="shared" si="21"/>
        <v>53082</v>
      </c>
      <c r="O237" s="89">
        <f t="shared" si="22"/>
        <v>53082</v>
      </c>
      <c r="P237" s="94">
        <v>0</v>
      </c>
      <c r="V237">
        <v>1</v>
      </c>
      <c r="W237" t="s">
        <v>33</v>
      </c>
      <c r="Y237" t="s">
        <v>33</v>
      </c>
      <c r="Z237" t="s">
        <v>34</v>
      </c>
      <c r="AA237">
        <v>1</v>
      </c>
    </row>
    <row r="238" spans="1:27" x14ac:dyDescent="0.35">
      <c r="A238" s="13">
        <f t="shared" si="18"/>
        <v>45930</v>
      </c>
      <c r="B238">
        <v>1</v>
      </c>
      <c r="D238" s="14" t="s">
        <v>31</v>
      </c>
      <c r="E238" s="15" t="s">
        <v>32</v>
      </c>
      <c r="F238" s="16" t="s">
        <v>32</v>
      </c>
      <c r="G238" s="17"/>
      <c r="H238" s="85" t="s">
        <v>59</v>
      </c>
      <c r="I238" s="85" t="s">
        <v>158</v>
      </c>
      <c r="J238" s="87"/>
      <c r="K238" s="91">
        <f t="shared" si="23"/>
        <v>236</v>
      </c>
      <c r="L238" s="87"/>
      <c r="M238" s="93">
        <f t="shared" si="20"/>
        <v>53113</v>
      </c>
      <c r="N238" s="89">
        <f t="shared" si="21"/>
        <v>53113</v>
      </c>
      <c r="O238" s="89">
        <f t="shared" si="22"/>
        <v>53113</v>
      </c>
      <c r="P238" s="94">
        <v>0</v>
      </c>
      <c r="V238">
        <v>1</v>
      </c>
      <c r="W238" t="s">
        <v>33</v>
      </c>
      <c r="Y238" t="s">
        <v>33</v>
      </c>
      <c r="Z238" t="s">
        <v>34</v>
      </c>
      <c r="AA238">
        <v>1</v>
      </c>
    </row>
    <row r="239" spans="1:27" x14ac:dyDescent="0.35">
      <c r="A239" s="13">
        <f t="shared" si="18"/>
        <v>45930</v>
      </c>
      <c r="B239">
        <v>1</v>
      </c>
      <c r="D239" s="14" t="s">
        <v>31</v>
      </c>
      <c r="E239" s="15" t="s">
        <v>32</v>
      </c>
      <c r="F239" s="16" t="s">
        <v>32</v>
      </c>
      <c r="G239" s="17"/>
      <c r="H239" s="85" t="s">
        <v>59</v>
      </c>
      <c r="I239" s="85" t="s">
        <v>158</v>
      </c>
      <c r="J239" s="87"/>
      <c r="K239" s="91">
        <f t="shared" si="23"/>
        <v>237</v>
      </c>
      <c r="L239" s="87"/>
      <c r="M239" s="93">
        <f t="shared" si="20"/>
        <v>53143</v>
      </c>
      <c r="N239" s="89">
        <f t="shared" si="21"/>
        <v>53143</v>
      </c>
      <c r="O239" s="89">
        <f t="shared" si="22"/>
        <v>53143</v>
      </c>
      <c r="P239" s="94">
        <v>0</v>
      </c>
      <c r="V239">
        <v>1</v>
      </c>
      <c r="W239" t="s">
        <v>33</v>
      </c>
      <c r="Y239" t="s">
        <v>33</v>
      </c>
      <c r="Z239" t="s">
        <v>34</v>
      </c>
      <c r="AA239">
        <v>1</v>
      </c>
    </row>
    <row r="240" spans="1:27" x14ac:dyDescent="0.35">
      <c r="A240" s="13">
        <f t="shared" si="18"/>
        <v>45930</v>
      </c>
      <c r="B240">
        <v>1</v>
      </c>
      <c r="D240" s="14" t="s">
        <v>31</v>
      </c>
      <c r="E240" s="15" t="s">
        <v>32</v>
      </c>
      <c r="F240" s="16" t="s">
        <v>32</v>
      </c>
      <c r="G240" s="17"/>
      <c r="H240" s="85" t="s">
        <v>59</v>
      </c>
      <c r="I240" s="85" t="s">
        <v>158</v>
      </c>
      <c r="J240" s="87"/>
      <c r="K240" s="91">
        <f t="shared" si="23"/>
        <v>238</v>
      </c>
      <c r="L240" s="87"/>
      <c r="M240" s="93">
        <f t="shared" si="20"/>
        <v>53174</v>
      </c>
      <c r="N240" s="89">
        <f t="shared" si="21"/>
        <v>53174</v>
      </c>
      <c r="O240" s="89">
        <f t="shared" si="22"/>
        <v>53174</v>
      </c>
      <c r="P240" s="94">
        <v>0</v>
      </c>
      <c r="V240">
        <v>1</v>
      </c>
      <c r="W240" t="s">
        <v>33</v>
      </c>
      <c r="Y240" t="s">
        <v>33</v>
      </c>
      <c r="Z240" t="s">
        <v>34</v>
      </c>
      <c r="AA240">
        <v>1</v>
      </c>
    </row>
    <row r="241" spans="1:27" x14ac:dyDescent="0.35">
      <c r="A241" s="13">
        <f t="shared" si="18"/>
        <v>45930</v>
      </c>
      <c r="B241">
        <v>1</v>
      </c>
      <c r="D241" s="14" t="s">
        <v>31</v>
      </c>
      <c r="E241" s="15" t="s">
        <v>32</v>
      </c>
      <c r="F241" s="16" t="s">
        <v>32</v>
      </c>
      <c r="G241" s="17"/>
      <c r="H241" s="85" t="s">
        <v>59</v>
      </c>
      <c r="I241" s="85" t="s">
        <v>158</v>
      </c>
      <c r="J241" s="87"/>
      <c r="K241" s="91">
        <f t="shared" si="23"/>
        <v>239</v>
      </c>
      <c r="L241" s="87"/>
      <c r="M241" s="93">
        <f t="shared" si="20"/>
        <v>53205</v>
      </c>
      <c r="N241" s="89">
        <f t="shared" si="21"/>
        <v>53205</v>
      </c>
      <c r="O241" s="89">
        <f t="shared" si="22"/>
        <v>53205</v>
      </c>
      <c r="P241" s="94">
        <v>0</v>
      </c>
      <c r="V241">
        <v>1</v>
      </c>
      <c r="W241" t="s">
        <v>33</v>
      </c>
      <c r="Y241" t="s">
        <v>33</v>
      </c>
      <c r="Z241" t="s">
        <v>34</v>
      </c>
      <c r="AA241">
        <v>1</v>
      </c>
    </row>
    <row r="242" spans="1:27" x14ac:dyDescent="0.35">
      <c r="A242" s="13">
        <f t="shared" si="18"/>
        <v>45930</v>
      </c>
      <c r="B242">
        <v>1</v>
      </c>
      <c r="D242" s="14" t="s">
        <v>31</v>
      </c>
      <c r="E242" s="15" t="s">
        <v>32</v>
      </c>
      <c r="F242" s="16" t="s">
        <v>32</v>
      </c>
      <c r="G242" s="17"/>
      <c r="H242" s="85" t="s">
        <v>59</v>
      </c>
      <c r="I242" s="85" t="s">
        <v>158</v>
      </c>
      <c r="J242" s="87"/>
      <c r="K242" s="91">
        <f t="shared" si="23"/>
        <v>240</v>
      </c>
      <c r="L242" s="87"/>
      <c r="M242" s="93">
        <f t="shared" si="20"/>
        <v>53235</v>
      </c>
      <c r="N242" s="89">
        <f t="shared" si="21"/>
        <v>53235</v>
      </c>
      <c r="O242" s="89">
        <f t="shared" si="22"/>
        <v>53235</v>
      </c>
      <c r="P242" s="94">
        <v>0</v>
      </c>
      <c r="V242">
        <v>1</v>
      </c>
      <c r="W242" t="s">
        <v>33</v>
      </c>
      <c r="Y242" t="s">
        <v>33</v>
      </c>
      <c r="Z242" t="s">
        <v>34</v>
      </c>
      <c r="AA242">
        <v>1</v>
      </c>
    </row>
    <row r="243" spans="1:27" x14ac:dyDescent="0.35">
      <c r="A243" s="13">
        <f t="shared" si="18"/>
        <v>45930</v>
      </c>
      <c r="B243">
        <v>1</v>
      </c>
      <c r="D243" s="14" t="s">
        <v>31</v>
      </c>
      <c r="E243" s="15" t="s">
        <v>32</v>
      </c>
      <c r="F243" s="16" t="s">
        <v>32</v>
      </c>
      <c r="G243" s="17"/>
      <c r="H243" s="85" t="s">
        <v>59</v>
      </c>
      <c r="I243" s="85" t="s">
        <v>158</v>
      </c>
      <c r="J243" s="87"/>
      <c r="K243" s="91">
        <f t="shared" si="23"/>
        <v>241</v>
      </c>
      <c r="L243" s="87"/>
      <c r="M243" s="93">
        <f t="shared" si="20"/>
        <v>53266</v>
      </c>
      <c r="N243" s="89">
        <f t="shared" si="21"/>
        <v>53266</v>
      </c>
      <c r="O243" s="89">
        <f t="shared" si="22"/>
        <v>53266</v>
      </c>
      <c r="P243" s="94">
        <v>0</v>
      </c>
      <c r="V243">
        <v>1</v>
      </c>
      <c r="W243" t="s">
        <v>33</v>
      </c>
      <c r="Y243" t="s">
        <v>33</v>
      </c>
      <c r="Z243" t="s">
        <v>34</v>
      </c>
      <c r="AA243">
        <v>1</v>
      </c>
    </row>
    <row r="244" spans="1:27" x14ac:dyDescent="0.35">
      <c r="A244" s="13">
        <f t="shared" si="18"/>
        <v>45930</v>
      </c>
      <c r="B244">
        <v>1</v>
      </c>
      <c r="D244" s="14" t="s">
        <v>31</v>
      </c>
      <c r="E244" s="15" t="s">
        <v>32</v>
      </c>
      <c r="F244" s="16" t="s">
        <v>32</v>
      </c>
      <c r="G244" s="17"/>
      <c r="H244" s="85" t="s">
        <v>59</v>
      </c>
      <c r="I244" s="85" t="s">
        <v>158</v>
      </c>
      <c r="J244" s="87"/>
      <c r="K244" s="91">
        <f t="shared" si="23"/>
        <v>242</v>
      </c>
      <c r="L244" s="87"/>
      <c r="M244" s="93">
        <f t="shared" si="20"/>
        <v>53296</v>
      </c>
      <c r="N244" s="89">
        <f t="shared" si="21"/>
        <v>53296</v>
      </c>
      <c r="O244" s="89">
        <f t="shared" si="22"/>
        <v>53296</v>
      </c>
      <c r="P244" s="94">
        <v>0</v>
      </c>
      <c r="V244">
        <v>1</v>
      </c>
      <c r="W244" t="s">
        <v>33</v>
      </c>
      <c r="Y244" t="s">
        <v>33</v>
      </c>
      <c r="Z244" t="s">
        <v>34</v>
      </c>
      <c r="AA244">
        <v>1</v>
      </c>
    </row>
    <row r="245" spans="1:27" x14ac:dyDescent="0.35">
      <c r="A245" s="13">
        <f t="shared" si="18"/>
        <v>45930</v>
      </c>
      <c r="B245">
        <v>1</v>
      </c>
      <c r="D245" s="14" t="s">
        <v>31</v>
      </c>
      <c r="E245" s="15" t="s">
        <v>32</v>
      </c>
      <c r="F245" s="16" t="s">
        <v>32</v>
      </c>
      <c r="G245" s="17"/>
      <c r="H245" s="85" t="s">
        <v>59</v>
      </c>
      <c r="I245" s="85" t="s">
        <v>158</v>
      </c>
      <c r="J245" s="87"/>
      <c r="K245" s="91">
        <f t="shared" si="23"/>
        <v>243</v>
      </c>
      <c r="L245" s="87"/>
      <c r="M245" s="93">
        <f t="shared" si="20"/>
        <v>53327</v>
      </c>
      <c r="N245" s="89">
        <f t="shared" si="21"/>
        <v>53327</v>
      </c>
      <c r="O245" s="89">
        <f t="shared" si="22"/>
        <v>53327</v>
      </c>
      <c r="P245" s="94">
        <v>0</v>
      </c>
      <c r="V245">
        <v>1</v>
      </c>
      <c r="W245" t="s">
        <v>33</v>
      </c>
      <c r="Y245" t="s">
        <v>33</v>
      </c>
      <c r="Z245" t="s">
        <v>34</v>
      </c>
      <c r="AA245">
        <v>1</v>
      </c>
    </row>
    <row r="246" spans="1:27" x14ac:dyDescent="0.35">
      <c r="A246" s="13">
        <f t="shared" si="18"/>
        <v>45930</v>
      </c>
      <c r="B246">
        <v>1</v>
      </c>
      <c r="D246" s="14" t="s">
        <v>31</v>
      </c>
      <c r="E246" s="15" t="s">
        <v>32</v>
      </c>
      <c r="F246" s="16" t="s">
        <v>32</v>
      </c>
      <c r="G246" s="17"/>
      <c r="H246" s="85" t="s">
        <v>59</v>
      </c>
      <c r="I246" s="85" t="s">
        <v>158</v>
      </c>
      <c r="J246" s="87"/>
      <c r="K246" s="91">
        <f t="shared" si="23"/>
        <v>244</v>
      </c>
      <c r="L246" s="87"/>
      <c r="M246" s="93">
        <f t="shared" si="20"/>
        <v>53358</v>
      </c>
      <c r="N246" s="89">
        <f t="shared" si="21"/>
        <v>53358</v>
      </c>
      <c r="O246" s="89">
        <f t="shared" si="22"/>
        <v>53358</v>
      </c>
      <c r="P246" s="94">
        <v>0</v>
      </c>
      <c r="V246">
        <v>1</v>
      </c>
      <c r="W246" t="s">
        <v>33</v>
      </c>
      <c r="Y246" t="s">
        <v>33</v>
      </c>
      <c r="Z246" t="s">
        <v>34</v>
      </c>
      <c r="AA246">
        <v>1</v>
      </c>
    </row>
    <row r="247" spans="1:27" x14ac:dyDescent="0.35">
      <c r="A247" s="13">
        <f t="shared" si="18"/>
        <v>45930</v>
      </c>
      <c r="B247">
        <v>1</v>
      </c>
      <c r="D247" s="14" t="s">
        <v>31</v>
      </c>
      <c r="E247" s="15" t="s">
        <v>32</v>
      </c>
      <c r="F247" s="16" t="s">
        <v>32</v>
      </c>
      <c r="G247" s="17"/>
      <c r="H247" s="85" t="s">
        <v>59</v>
      </c>
      <c r="I247" s="85" t="s">
        <v>158</v>
      </c>
      <c r="J247" s="87"/>
      <c r="K247" s="91">
        <f t="shared" si="23"/>
        <v>245</v>
      </c>
      <c r="L247" s="87"/>
      <c r="M247" s="93">
        <f t="shared" si="20"/>
        <v>53386</v>
      </c>
      <c r="N247" s="89">
        <f t="shared" si="21"/>
        <v>53386</v>
      </c>
      <c r="O247" s="89">
        <f t="shared" si="22"/>
        <v>53386</v>
      </c>
      <c r="P247" s="94">
        <v>0</v>
      </c>
      <c r="V247">
        <v>1</v>
      </c>
      <c r="W247" t="s">
        <v>33</v>
      </c>
      <c r="Y247" t="s">
        <v>33</v>
      </c>
      <c r="Z247" t="s">
        <v>34</v>
      </c>
      <c r="AA247">
        <v>1</v>
      </c>
    </row>
    <row r="248" spans="1:27" x14ac:dyDescent="0.35">
      <c r="A248" s="13">
        <f t="shared" si="18"/>
        <v>45930</v>
      </c>
      <c r="B248">
        <v>1</v>
      </c>
      <c r="D248" s="14" t="s">
        <v>31</v>
      </c>
      <c r="E248" s="15" t="s">
        <v>32</v>
      </c>
      <c r="F248" s="16" t="s">
        <v>32</v>
      </c>
      <c r="G248" s="17"/>
      <c r="H248" s="85" t="s">
        <v>59</v>
      </c>
      <c r="I248" s="85" t="s">
        <v>158</v>
      </c>
      <c r="J248" s="87"/>
      <c r="K248" s="91">
        <f t="shared" si="23"/>
        <v>246</v>
      </c>
      <c r="L248" s="87"/>
      <c r="M248" s="93">
        <f t="shared" si="20"/>
        <v>53417</v>
      </c>
      <c r="N248" s="89">
        <f t="shared" si="21"/>
        <v>53417</v>
      </c>
      <c r="O248" s="89">
        <f t="shared" si="22"/>
        <v>53417</v>
      </c>
      <c r="P248" s="94">
        <v>0</v>
      </c>
      <c r="V248">
        <v>1</v>
      </c>
      <c r="W248" t="s">
        <v>33</v>
      </c>
      <c r="Y248" t="s">
        <v>33</v>
      </c>
      <c r="Z248" t="s">
        <v>34</v>
      </c>
      <c r="AA248">
        <v>1</v>
      </c>
    </row>
    <row r="249" spans="1:27" x14ac:dyDescent="0.35">
      <c r="A249" s="13">
        <f t="shared" si="18"/>
        <v>45930</v>
      </c>
      <c r="B249">
        <v>1</v>
      </c>
      <c r="D249" s="14" t="s">
        <v>31</v>
      </c>
      <c r="E249" s="15" t="s">
        <v>32</v>
      </c>
      <c r="F249" s="16" t="s">
        <v>32</v>
      </c>
      <c r="G249" s="17"/>
      <c r="H249" s="85" t="s">
        <v>59</v>
      </c>
      <c r="I249" s="85" t="s">
        <v>158</v>
      </c>
      <c r="J249" s="87"/>
      <c r="K249" s="91">
        <f t="shared" si="23"/>
        <v>247</v>
      </c>
      <c r="L249" s="87"/>
      <c r="M249" s="93">
        <f t="shared" si="20"/>
        <v>53447</v>
      </c>
      <c r="N249" s="89">
        <f t="shared" si="21"/>
        <v>53447</v>
      </c>
      <c r="O249" s="89">
        <f t="shared" si="22"/>
        <v>53447</v>
      </c>
      <c r="P249" s="94">
        <v>0</v>
      </c>
      <c r="V249">
        <v>1</v>
      </c>
      <c r="W249" t="s">
        <v>33</v>
      </c>
      <c r="Y249" t="s">
        <v>33</v>
      </c>
      <c r="Z249" t="s">
        <v>34</v>
      </c>
      <c r="AA249">
        <v>1</v>
      </c>
    </row>
    <row r="250" spans="1:27" x14ac:dyDescent="0.35">
      <c r="A250" s="13">
        <f t="shared" si="18"/>
        <v>45930</v>
      </c>
      <c r="B250">
        <v>1</v>
      </c>
      <c r="D250" s="14" t="s">
        <v>31</v>
      </c>
      <c r="E250" s="15" t="s">
        <v>32</v>
      </c>
      <c r="F250" s="16" t="s">
        <v>32</v>
      </c>
      <c r="G250" s="17"/>
      <c r="H250" s="85" t="s">
        <v>59</v>
      </c>
      <c r="I250" s="85" t="s">
        <v>158</v>
      </c>
      <c r="J250" s="87"/>
      <c r="K250" s="91">
        <f t="shared" si="23"/>
        <v>248</v>
      </c>
      <c r="L250" s="87"/>
      <c r="M250" s="93">
        <f t="shared" si="20"/>
        <v>53478</v>
      </c>
      <c r="N250" s="89">
        <f t="shared" si="21"/>
        <v>53478</v>
      </c>
      <c r="O250" s="89">
        <f t="shared" si="22"/>
        <v>53478</v>
      </c>
      <c r="P250" s="94">
        <v>0</v>
      </c>
      <c r="V250">
        <v>1</v>
      </c>
      <c r="W250" t="s">
        <v>33</v>
      </c>
      <c r="Y250" t="s">
        <v>33</v>
      </c>
      <c r="Z250" t="s">
        <v>34</v>
      </c>
      <c r="AA250">
        <v>1</v>
      </c>
    </row>
    <row r="251" spans="1:27" x14ac:dyDescent="0.35">
      <c r="A251" s="13">
        <f t="shared" si="18"/>
        <v>45930</v>
      </c>
      <c r="B251">
        <v>1</v>
      </c>
      <c r="D251" s="14" t="s">
        <v>31</v>
      </c>
      <c r="E251" s="15" t="s">
        <v>32</v>
      </c>
      <c r="F251" s="16" t="s">
        <v>32</v>
      </c>
      <c r="G251" s="17"/>
      <c r="H251" s="85" t="s">
        <v>59</v>
      </c>
      <c r="I251" s="85" t="s">
        <v>158</v>
      </c>
      <c r="J251" s="87"/>
      <c r="K251" s="91">
        <f t="shared" si="23"/>
        <v>249</v>
      </c>
      <c r="L251" s="87"/>
      <c r="M251" s="93">
        <f t="shared" si="20"/>
        <v>53508</v>
      </c>
      <c r="N251" s="89">
        <f t="shared" si="21"/>
        <v>53508</v>
      </c>
      <c r="O251" s="89">
        <f t="shared" si="22"/>
        <v>53508</v>
      </c>
      <c r="P251" s="94">
        <v>0</v>
      </c>
      <c r="V251">
        <v>1</v>
      </c>
      <c r="W251" t="s">
        <v>33</v>
      </c>
      <c r="Y251" t="s">
        <v>33</v>
      </c>
      <c r="Z251" t="s">
        <v>34</v>
      </c>
      <c r="AA251">
        <v>1</v>
      </c>
    </row>
    <row r="252" spans="1:27" x14ac:dyDescent="0.35">
      <c r="A252" s="13">
        <f t="shared" si="18"/>
        <v>45930</v>
      </c>
      <c r="B252">
        <v>1</v>
      </c>
      <c r="D252" s="14" t="s">
        <v>31</v>
      </c>
      <c r="E252" s="15" t="s">
        <v>32</v>
      </c>
      <c r="F252" s="16" t="s">
        <v>32</v>
      </c>
      <c r="G252" s="17"/>
      <c r="H252" s="85" t="s">
        <v>59</v>
      </c>
      <c r="I252" s="85" t="s">
        <v>158</v>
      </c>
      <c r="J252" s="87"/>
      <c r="K252" s="91">
        <f t="shared" si="23"/>
        <v>250</v>
      </c>
      <c r="L252" s="87"/>
      <c r="M252" s="93">
        <f t="shared" si="20"/>
        <v>53539</v>
      </c>
      <c r="N252" s="89">
        <f t="shared" si="21"/>
        <v>53539</v>
      </c>
      <c r="O252" s="89">
        <f t="shared" si="22"/>
        <v>53539</v>
      </c>
      <c r="P252" s="94">
        <v>0</v>
      </c>
      <c r="V252">
        <v>1</v>
      </c>
      <c r="W252" t="s">
        <v>33</v>
      </c>
      <c r="Y252" t="s">
        <v>33</v>
      </c>
      <c r="Z252" t="s">
        <v>34</v>
      </c>
      <c r="AA252">
        <v>1</v>
      </c>
    </row>
    <row r="253" spans="1:27" x14ac:dyDescent="0.35">
      <c r="A253" s="13">
        <f t="shared" si="18"/>
        <v>45930</v>
      </c>
      <c r="B253">
        <v>1</v>
      </c>
      <c r="D253" s="14" t="s">
        <v>31</v>
      </c>
      <c r="E253" s="15" t="s">
        <v>32</v>
      </c>
      <c r="F253" s="16" t="s">
        <v>32</v>
      </c>
      <c r="G253" s="17"/>
      <c r="H253" s="85" t="s">
        <v>59</v>
      </c>
      <c r="I253" s="85" t="s">
        <v>158</v>
      </c>
      <c r="J253" s="87"/>
      <c r="K253" s="91">
        <f t="shared" si="23"/>
        <v>251</v>
      </c>
      <c r="L253" s="87"/>
      <c r="M253" s="93">
        <f t="shared" si="20"/>
        <v>53570</v>
      </c>
      <c r="N253" s="89">
        <f t="shared" si="21"/>
        <v>53570</v>
      </c>
      <c r="O253" s="89">
        <f t="shared" si="22"/>
        <v>53570</v>
      </c>
      <c r="P253" s="94">
        <v>0</v>
      </c>
      <c r="V253">
        <v>1</v>
      </c>
      <c r="W253" t="s">
        <v>33</v>
      </c>
      <c r="Y253" t="s">
        <v>33</v>
      </c>
      <c r="Z253" t="s">
        <v>34</v>
      </c>
      <c r="AA253">
        <v>1</v>
      </c>
    </row>
    <row r="254" spans="1:27" x14ac:dyDescent="0.35">
      <c r="A254" s="13">
        <f t="shared" si="18"/>
        <v>45930</v>
      </c>
      <c r="B254">
        <v>1</v>
      </c>
      <c r="D254" s="14" t="s">
        <v>31</v>
      </c>
      <c r="E254" s="15" t="s">
        <v>32</v>
      </c>
      <c r="F254" s="16" t="s">
        <v>32</v>
      </c>
      <c r="G254" s="17"/>
      <c r="H254" s="85" t="s">
        <v>59</v>
      </c>
      <c r="I254" s="85" t="s">
        <v>158</v>
      </c>
      <c r="J254" s="87"/>
      <c r="K254" s="91">
        <f t="shared" si="23"/>
        <v>252</v>
      </c>
      <c r="L254" s="87"/>
      <c r="M254" s="93">
        <f t="shared" si="20"/>
        <v>53600</v>
      </c>
      <c r="N254" s="89">
        <f t="shared" si="21"/>
        <v>53600</v>
      </c>
      <c r="O254" s="89">
        <f t="shared" si="22"/>
        <v>53600</v>
      </c>
      <c r="P254" s="94">
        <v>0</v>
      </c>
      <c r="V254">
        <v>1</v>
      </c>
      <c r="W254" t="s">
        <v>33</v>
      </c>
      <c r="Y254" t="s">
        <v>33</v>
      </c>
      <c r="Z254" t="s">
        <v>34</v>
      </c>
      <c r="AA254">
        <v>1</v>
      </c>
    </row>
    <row r="255" spans="1:27" x14ac:dyDescent="0.35">
      <c r="A255" s="13">
        <f t="shared" si="18"/>
        <v>45930</v>
      </c>
      <c r="B255">
        <v>1</v>
      </c>
      <c r="D255" s="14" t="s">
        <v>31</v>
      </c>
      <c r="E255" s="15" t="s">
        <v>32</v>
      </c>
      <c r="F255" s="16" t="s">
        <v>32</v>
      </c>
      <c r="G255" s="17"/>
      <c r="H255" s="85" t="s">
        <v>59</v>
      </c>
      <c r="I255" s="85" t="s">
        <v>158</v>
      </c>
      <c r="J255" s="87"/>
      <c r="K255" s="91">
        <f t="shared" si="23"/>
        <v>253</v>
      </c>
      <c r="L255" s="87"/>
      <c r="M255" s="93">
        <f t="shared" si="20"/>
        <v>53631</v>
      </c>
      <c r="N255" s="89">
        <f t="shared" si="21"/>
        <v>53631</v>
      </c>
      <c r="O255" s="89">
        <f t="shared" si="22"/>
        <v>53631</v>
      </c>
      <c r="P255" s="94">
        <v>0</v>
      </c>
      <c r="V255">
        <v>1</v>
      </c>
      <c r="W255" t="s">
        <v>33</v>
      </c>
      <c r="Y255" t="s">
        <v>33</v>
      </c>
      <c r="Z255" t="s">
        <v>34</v>
      </c>
      <c r="AA255">
        <v>1</v>
      </c>
    </row>
    <row r="256" spans="1:27" x14ac:dyDescent="0.35">
      <c r="A256" s="13">
        <f t="shared" si="18"/>
        <v>45930</v>
      </c>
      <c r="B256">
        <v>1</v>
      </c>
      <c r="D256" s="14" t="s">
        <v>31</v>
      </c>
      <c r="E256" s="15" t="s">
        <v>32</v>
      </c>
      <c r="F256" s="16" t="s">
        <v>32</v>
      </c>
      <c r="G256" s="17"/>
      <c r="H256" s="85" t="s">
        <v>59</v>
      </c>
      <c r="I256" s="85" t="s">
        <v>158</v>
      </c>
      <c r="J256" s="87"/>
      <c r="K256" s="91">
        <f t="shared" si="23"/>
        <v>254</v>
      </c>
      <c r="L256" s="87"/>
      <c r="M256" s="93">
        <f t="shared" si="20"/>
        <v>53661</v>
      </c>
      <c r="N256" s="89">
        <f t="shared" si="21"/>
        <v>53661</v>
      </c>
      <c r="O256" s="89">
        <f t="shared" si="22"/>
        <v>53661</v>
      </c>
      <c r="P256" s="94">
        <v>0</v>
      </c>
      <c r="V256">
        <v>1</v>
      </c>
      <c r="W256" t="s">
        <v>33</v>
      </c>
      <c r="Y256" t="s">
        <v>33</v>
      </c>
      <c r="Z256" t="s">
        <v>34</v>
      </c>
      <c r="AA256">
        <v>1</v>
      </c>
    </row>
    <row r="257" spans="1:27" x14ac:dyDescent="0.35">
      <c r="A257" s="13">
        <f t="shared" si="18"/>
        <v>45930</v>
      </c>
      <c r="B257">
        <v>1</v>
      </c>
      <c r="D257" s="14" t="s">
        <v>31</v>
      </c>
      <c r="E257" s="15" t="s">
        <v>32</v>
      </c>
      <c r="F257" s="16" t="s">
        <v>32</v>
      </c>
      <c r="G257" s="17"/>
      <c r="H257" s="85" t="s">
        <v>59</v>
      </c>
      <c r="I257" s="85" t="s">
        <v>158</v>
      </c>
      <c r="J257" s="87"/>
      <c r="K257" s="91">
        <f t="shared" si="23"/>
        <v>255</v>
      </c>
      <c r="L257" s="87"/>
      <c r="M257" s="93">
        <f t="shared" si="20"/>
        <v>53692</v>
      </c>
      <c r="N257" s="89">
        <f t="shared" si="21"/>
        <v>53692</v>
      </c>
      <c r="O257" s="89">
        <f t="shared" si="22"/>
        <v>53692</v>
      </c>
      <c r="P257" s="94">
        <v>0</v>
      </c>
      <c r="V257">
        <v>1</v>
      </c>
      <c r="W257" t="s">
        <v>33</v>
      </c>
      <c r="Y257" t="s">
        <v>33</v>
      </c>
      <c r="Z257" t="s">
        <v>34</v>
      </c>
      <c r="AA257">
        <v>1</v>
      </c>
    </row>
    <row r="258" spans="1:27" x14ac:dyDescent="0.35">
      <c r="A258" s="13">
        <f t="shared" si="18"/>
        <v>45930</v>
      </c>
      <c r="B258">
        <v>1</v>
      </c>
      <c r="D258" s="14" t="s">
        <v>31</v>
      </c>
      <c r="E258" s="15" t="s">
        <v>32</v>
      </c>
      <c r="F258" s="16" t="s">
        <v>32</v>
      </c>
      <c r="G258" s="17"/>
      <c r="H258" s="85" t="s">
        <v>59</v>
      </c>
      <c r="I258" s="85" t="s">
        <v>158</v>
      </c>
      <c r="J258" s="87"/>
      <c r="K258" s="91">
        <f t="shared" si="23"/>
        <v>256</v>
      </c>
      <c r="L258" s="87"/>
      <c r="M258" s="93">
        <f t="shared" si="20"/>
        <v>53723</v>
      </c>
      <c r="N258" s="89">
        <f t="shared" si="21"/>
        <v>53723</v>
      </c>
      <c r="O258" s="89">
        <f t="shared" si="22"/>
        <v>53723</v>
      </c>
      <c r="P258" s="94">
        <v>0</v>
      </c>
      <c r="V258">
        <v>1</v>
      </c>
      <c r="W258" t="s">
        <v>33</v>
      </c>
      <c r="Y258" t="s">
        <v>33</v>
      </c>
      <c r="Z258" t="s">
        <v>34</v>
      </c>
      <c r="AA258">
        <v>1</v>
      </c>
    </row>
    <row r="259" spans="1:27" x14ac:dyDescent="0.35">
      <c r="A259" s="13">
        <f t="shared" si="18"/>
        <v>45930</v>
      </c>
      <c r="B259">
        <v>1</v>
      </c>
      <c r="D259" s="14" t="s">
        <v>31</v>
      </c>
      <c r="E259" s="15" t="s">
        <v>32</v>
      </c>
      <c r="F259" s="16" t="s">
        <v>32</v>
      </c>
      <c r="G259" s="17"/>
      <c r="H259" s="85" t="s">
        <v>59</v>
      </c>
      <c r="I259" s="85" t="s">
        <v>158</v>
      </c>
      <c r="J259" s="87"/>
      <c r="K259" s="91">
        <f t="shared" si="23"/>
        <v>257</v>
      </c>
      <c r="L259" s="87"/>
      <c r="M259" s="93">
        <f t="shared" si="20"/>
        <v>53751</v>
      </c>
      <c r="N259" s="89">
        <f t="shared" si="21"/>
        <v>53751</v>
      </c>
      <c r="O259" s="89">
        <f t="shared" si="22"/>
        <v>53751</v>
      </c>
      <c r="P259" s="94">
        <v>0</v>
      </c>
      <c r="V259">
        <v>1</v>
      </c>
      <c r="W259" t="s">
        <v>33</v>
      </c>
      <c r="Y259" t="s">
        <v>33</v>
      </c>
      <c r="Z259" t="s">
        <v>34</v>
      </c>
      <c r="AA259">
        <v>1</v>
      </c>
    </row>
    <row r="260" spans="1:27" x14ac:dyDescent="0.35">
      <c r="A260" s="13">
        <f t="shared" ref="A260:A296" si="24">A259</f>
        <v>45930</v>
      </c>
      <c r="B260">
        <v>1</v>
      </c>
      <c r="D260" s="14" t="s">
        <v>31</v>
      </c>
      <c r="E260" s="15" t="s">
        <v>32</v>
      </c>
      <c r="F260" s="16" t="s">
        <v>32</v>
      </c>
      <c r="G260" s="17"/>
      <c r="H260" s="85" t="s">
        <v>59</v>
      </c>
      <c r="I260" s="85" t="s">
        <v>158</v>
      </c>
      <c r="J260" s="87"/>
      <c r="K260" s="91">
        <f t="shared" si="23"/>
        <v>258</v>
      </c>
      <c r="L260" s="87"/>
      <c r="M260" s="93">
        <f t="shared" si="20"/>
        <v>53782</v>
      </c>
      <c r="N260" s="89">
        <f t="shared" si="21"/>
        <v>53782</v>
      </c>
      <c r="O260" s="89">
        <f t="shared" si="22"/>
        <v>53782</v>
      </c>
      <c r="P260" s="94">
        <v>0</v>
      </c>
      <c r="V260">
        <v>1</v>
      </c>
      <c r="W260" t="s">
        <v>33</v>
      </c>
      <c r="Y260" t="s">
        <v>33</v>
      </c>
      <c r="Z260" t="s">
        <v>34</v>
      </c>
      <c r="AA260">
        <v>1</v>
      </c>
    </row>
    <row r="261" spans="1:27" x14ac:dyDescent="0.35">
      <c r="A261" s="13">
        <f t="shared" si="24"/>
        <v>45930</v>
      </c>
      <c r="B261">
        <v>1</v>
      </c>
      <c r="D261" s="14" t="s">
        <v>31</v>
      </c>
      <c r="E261" s="15" t="s">
        <v>32</v>
      </c>
      <c r="F261" s="16" t="s">
        <v>32</v>
      </c>
      <c r="G261" s="17"/>
      <c r="H261" s="85" t="s">
        <v>59</v>
      </c>
      <c r="I261" s="85" t="s">
        <v>158</v>
      </c>
      <c r="J261" s="87"/>
      <c r="K261" s="91">
        <f t="shared" si="23"/>
        <v>259</v>
      </c>
      <c r="L261" s="87"/>
      <c r="M261" s="93">
        <f t="shared" ref="M261:M296" si="25">EOMONTH(M260,1)</f>
        <v>53812</v>
      </c>
      <c r="N261" s="89">
        <f t="shared" si="21"/>
        <v>53812</v>
      </c>
      <c r="O261" s="89">
        <f t="shared" si="22"/>
        <v>53812</v>
      </c>
      <c r="P261" s="94">
        <v>0</v>
      </c>
      <c r="V261">
        <v>1</v>
      </c>
      <c r="W261" t="s">
        <v>33</v>
      </c>
      <c r="Y261" t="s">
        <v>33</v>
      </c>
      <c r="Z261" t="s">
        <v>34</v>
      </c>
      <c r="AA261">
        <v>1</v>
      </c>
    </row>
    <row r="262" spans="1:27" x14ac:dyDescent="0.35">
      <c r="A262" s="13">
        <f t="shared" si="24"/>
        <v>45930</v>
      </c>
      <c r="B262">
        <v>1</v>
      </c>
      <c r="D262" s="14" t="s">
        <v>31</v>
      </c>
      <c r="E262" s="15" t="s">
        <v>32</v>
      </c>
      <c r="F262" s="16" t="s">
        <v>32</v>
      </c>
      <c r="G262" s="17"/>
      <c r="H262" s="85" t="s">
        <v>59</v>
      </c>
      <c r="I262" s="85" t="s">
        <v>158</v>
      </c>
      <c r="J262" s="87"/>
      <c r="K262" s="91">
        <f t="shared" si="23"/>
        <v>260</v>
      </c>
      <c r="L262" s="87"/>
      <c r="M262" s="93">
        <f t="shared" si="25"/>
        <v>53843</v>
      </c>
      <c r="N262" s="89">
        <f t="shared" si="21"/>
        <v>53843</v>
      </c>
      <c r="O262" s="89">
        <f t="shared" si="22"/>
        <v>53843</v>
      </c>
      <c r="P262" s="94">
        <v>0</v>
      </c>
      <c r="V262">
        <v>1</v>
      </c>
      <c r="W262" t="s">
        <v>33</v>
      </c>
      <c r="Y262" t="s">
        <v>33</v>
      </c>
      <c r="Z262" t="s">
        <v>34</v>
      </c>
      <c r="AA262">
        <v>1</v>
      </c>
    </row>
    <row r="263" spans="1:27" x14ac:dyDescent="0.35">
      <c r="A263" s="13">
        <f t="shared" si="24"/>
        <v>45930</v>
      </c>
      <c r="B263">
        <v>1</v>
      </c>
      <c r="D263" s="14" t="s">
        <v>31</v>
      </c>
      <c r="E263" s="15" t="s">
        <v>32</v>
      </c>
      <c r="F263" s="16" t="s">
        <v>32</v>
      </c>
      <c r="G263" s="17"/>
      <c r="H263" s="85" t="s">
        <v>59</v>
      </c>
      <c r="I263" s="85" t="s">
        <v>158</v>
      </c>
      <c r="J263" s="87"/>
      <c r="K263" s="91">
        <f t="shared" si="23"/>
        <v>261</v>
      </c>
      <c r="L263" s="87"/>
      <c r="M263" s="93">
        <f t="shared" si="25"/>
        <v>53873</v>
      </c>
      <c r="N263" s="89">
        <f t="shared" si="21"/>
        <v>53873</v>
      </c>
      <c r="O263" s="89">
        <f t="shared" si="22"/>
        <v>53873</v>
      </c>
      <c r="P263" s="94">
        <v>0</v>
      </c>
      <c r="V263">
        <v>1</v>
      </c>
      <c r="W263" t="s">
        <v>33</v>
      </c>
      <c r="Y263" t="s">
        <v>33</v>
      </c>
      <c r="Z263" t="s">
        <v>34</v>
      </c>
      <c r="AA263">
        <v>1</v>
      </c>
    </row>
    <row r="264" spans="1:27" x14ac:dyDescent="0.35">
      <c r="A264" s="13">
        <f t="shared" si="24"/>
        <v>45930</v>
      </c>
      <c r="B264">
        <v>1</v>
      </c>
      <c r="D264" s="14" t="s">
        <v>31</v>
      </c>
      <c r="E264" s="15" t="s">
        <v>32</v>
      </c>
      <c r="F264" s="16" t="s">
        <v>32</v>
      </c>
      <c r="G264" s="17"/>
      <c r="H264" s="85" t="s">
        <v>59</v>
      </c>
      <c r="I264" s="85" t="s">
        <v>158</v>
      </c>
      <c r="J264" s="87"/>
      <c r="K264" s="91">
        <f t="shared" si="23"/>
        <v>262</v>
      </c>
      <c r="L264" s="87"/>
      <c r="M264" s="93">
        <f t="shared" si="25"/>
        <v>53904</v>
      </c>
      <c r="N264" s="89">
        <f t="shared" si="21"/>
        <v>53904</v>
      </c>
      <c r="O264" s="89">
        <f t="shared" si="22"/>
        <v>53904</v>
      </c>
      <c r="P264" s="94">
        <v>0</v>
      </c>
      <c r="V264">
        <v>1</v>
      </c>
      <c r="W264" t="s">
        <v>33</v>
      </c>
      <c r="Y264" t="s">
        <v>33</v>
      </c>
      <c r="Z264" t="s">
        <v>34</v>
      </c>
      <c r="AA264">
        <v>1</v>
      </c>
    </row>
    <row r="265" spans="1:27" x14ac:dyDescent="0.35">
      <c r="A265" s="13">
        <f t="shared" si="24"/>
        <v>45930</v>
      </c>
      <c r="B265">
        <v>1</v>
      </c>
      <c r="D265" s="14" t="s">
        <v>31</v>
      </c>
      <c r="E265" s="15" t="s">
        <v>32</v>
      </c>
      <c r="F265" s="16" t="s">
        <v>32</v>
      </c>
      <c r="G265" s="17"/>
      <c r="H265" s="85" t="s">
        <v>59</v>
      </c>
      <c r="I265" s="85" t="s">
        <v>158</v>
      </c>
      <c r="J265" s="87"/>
      <c r="K265" s="91">
        <f t="shared" si="23"/>
        <v>263</v>
      </c>
      <c r="L265" s="87"/>
      <c r="M265" s="93">
        <f t="shared" si="25"/>
        <v>53935</v>
      </c>
      <c r="N265" s="89">
        <f t="shared" si="21"/>
        <v>53935</v>
      </c>
      <c r="O265" s="89">
        <f t="shared" si="22"/>
        <v>53935</v>
      </c>
      <c r="P265" s="94">
        <v>0</v>
      </c>
      <c r="V265">
        <v>1</v>
      </c>
      <c r="W265" t="s">
        <v>33</v>
      </c>
      <c r="Y265" t="s">
        <v>33</v>
      </c>
      <c r="Z265" t="s">
        <v>34</v>
      </c>
      <c r="AA265">
        <v>1</v>
      </c>
    </row>
    <row r="266" spans="1:27" x14ac:dyDescent="0.35">
      <c r="A266" s="13">
        <f t="shared" si="24"/>
        <v>45930</v>
      </c>
      <c r="B266">
        <v>1</v>
      </c>
      <c r="D266" s="14" t="s">
        <v>31</v>
      </c>
      <c r="E266" s="15" t="s">
        <v>32</v>
      </c>
      <c r="F266" s="16" t="s">
        <v>32</v>
      </c>
      <c r="G266" s="17"/>
      <c r="H266" s="85" t="s">
        <v>59</v>
      </c>
      <c r="I266" s="85" t="s">
        <v>158</v>
      </c>
      <c r="J266" s="87"/>
      <c r="K266" s="91">
        <f t="shared" si="23"/>
        <v>264</v>
      </c>
      <c r="L266" s="87"/>
      <c r="M266" s="93">
        <f t="shared" si="25"/>
        <v>53965</v>
      </c>
      <c r="N266" s="89">
        <f t="shared" si="21"/>
        <v>53965</v>
      </c>
      <c r="O266" s="89">
        <f t="shared" si="22"/>
        <v>53965</v>
      </c>
      <c r="P266" s="94">
        <v>0</v>
      </c>
      <c r="V266">
        <v>1</v>
      </c>
      <c r="W266" t="s">
        <v>33</v>
      </c>
      <c r="Y266" t="s">
        <v>33</v>
      </c>
      <c r="Z266" t="s">
        <v>34</v>
      </c>
      <c r="AA266">
        <v>1</v>
      </c>
    </row>
    <row r="267" spans="1:27" x14ac:dyDescent="0.35">
      <c r="A267" s="13">
        <f t="shared" si="24"/>
        <v>45930</v>
      </c>
      <c r="B267">
        <v>1</v>
      </c>
      <c r="D267" s="14" t="s">
        <v>31</v>
      </c>
      <c r="E267" s="15" t="s">
        <v>32</v>
      </c>
      <c r="F267" s="16" t="s">
        <v>32</v>
      </c>
      <c r="G267" s="17"/>
      <c r="H267" s="85" t="s">
        <v>59</v>
      </c>
      <c r="I267" s="85" t="s">
        <v>158</v>
      </c>
      <c r="J267" s="87"/>
      <c r="K267" s="91">
        <f t="shared" si="23"/>
        <v>265</v>
      </c>
      <c r="L267" s="87"/>
      <c r="M267" s="93">
        <f t="shared" si="25"/>
        <v>53996</v>
      </c>
      <c r="N267" s="89">
        <f t="shared" si="21"/>
        <v>53996</v>
      </c>
      <c r="O267" s="89">
        <f t="shared" si="22"/>
        <v>53996</v>
      </c>
      <c r="P267" s="94">
        <v>0</v>
      </c>
      <c r="V267">
        <v>1</v>
      </c>
      <c r="W267" t="s">
        <v>33</v>
      </c>
      <c r="Y267" t="s">
        <v>33</v>
      </c>
      <c r="Z267" t="s">
        <v>34</v>
      </c>
      <c r="AA267">
        <v>1</v>
      </c>
    </row>
    <row r="268" spans="1:27" x14ac:dyDescent="0.35">
      <c r="A268" s="13">
        <f t="shared" si="24"/>
        <v>45930</v>
      </c>
      <c r="B268">
        <v>1</v>
      </c>
      <c r="D268" s="14" t="s">
        <v>31</v>
      </c>
      <c r="E268" s="15" t="s">
        <v>32</v>
      </c>
      <c r="F268" s="16" t="s">
        <v>32</v>
      </c>
      <c r="G268" s="17"/>
      <c r="H268" s="85" t="s">
        <v>59</v>
      </c>
      <c r="I268" s="85" t="s">
        <v>158</v>
      </c>
      <c r="J268" s="87"/>
      <c r="K268" s="91">
        <f t="shared" si="23"/>
        <v>266</v>
      </c>
      <c r="L268" s="87"/>
      <c r="M268" s="93">
        <f t="shared" si="25"/>
        <v>54026</v>
      </c>
      <c r="N268" s="89">
        <f t="shared" si="21"/>
        <v>54026</v>
      </c>
      <c r="O268" s="89">
        <f t="shared" si="22"/>
        <v>54026</v>
      </c>
      <c r="P268" s="94">
        <v>0</v>
      </c>
      <c r="V268">
        <v>1</v>
      </c>
      <c r="W268" t="s">
        <v>33</v>
      </c>
      <c r="Y268" t="s">
        <v>33</v>
      </c>
      <c r="Z268" t="s">
        <v>34</v>
      </c>
      <c r="AA268">
        <v>1</v>
      </c>
    </row>
    <row r="269" spans="1:27" x14ac:dyDescent="0.35">
      <c r="A269" s="13">
        <f t="shared" si="24"/>
        <v>45930</v>
      </c>
      <c r="B269">
        <v>1</v>
      </c>
      <c r="D269" s="14" t="s">
        <v>31</v>
      </c>
      <c r="E269" s="15" t="s">
        <v>32</v>
      </c>
      <c r="F269" s="16" t="s">
        <v>32</v>
      </c>
      <c r="G269" s="17"/>
      <c r="H269" s="85" t="s">
        <v>59</v>
      </c>
      <c r="I269" s="85" t="s">
        <v>158</v>
      </c>
      <c r="J269" s="87"/>
      <c r="K269" s="91">
        <f t="shared" si="23"/>
        <v>267</v>
      </c>
      <c r="L269" s="87"/>
      <c r="M269" s="93">
        <f t="shared" si="25"/>
        <v>54057</v>
      </c>
      <c r="N269" s="89">
        <f t="shared" si="21"/>
        <v>54057</v>
      </c>
      <c r="O269" s="89">
        <f t="shared" si="22"/>
        <v>54057</v>
      </c>
      <c r="P269" s="94">
        <v>0</v>
      </c>
      <c r="V269">
        <v>1</v>
      </c>
      <c r="W269" t="s">
        <v>33</v>
      </c>
      <c r="Y269" t="s">
        <v>33</v>
      </c>
      <c r="Z269" t="s">
        <v>34</v>
      </c>
      <c r="AA269">
        <v>1</v>
      </c>
    </row>
    <row r="270" spans="1:27" x14ac:dyDescent="0.35">
      <c r="A270" s="13">
        <f t="shared" si="24"/>
        <v>45930</v>
      </c>
      <c r="B270">
        <v>1</v>
      </c>
      <c r="D270" s="14" t="s">
        <v>31</v>
      </c>
      <c r="E270" s="15" t="s">
        <v>32</v>
      </c>
      <c r="F270" s="16" t="s">
        <v>32</v>
      </c>
      <c r="G270" s="17"/>
      <c r="H270" s="85" t="s">
        <v>59</v>
      </c>
      <c r="I270" s="85" t="s">
        <v>158</v>
      </c>
      <c r="J270" s="87"/>
      <c r="K270" s="91">
        <f t="shared" si="23"/>
        <v>268</v>
      </c>
      <c r="L270" s="87"/>
      <c r="M270" s="93">
        <f t="shared" si="25"/>
        <v>54088</v>
      </c>
      <c r="N270" s="89">
        <f t="shared" si="21"/>
        <v>54088</v>
      </c>
      <c r="O270" s="89">
        <f t="shared" si="22"/>
        <v>54088</v>
      </c>
      <c r="P270" s="94">
        <v>0</v>
      </c>
      <c r="V270">
        <v>1</v>
      </c>
      <c r="W270" t="s">
        <v>33</v>
      </c>
      <c r="Y270" t="s">
        <v>33</v>
      </c>
      <c r="Z270" t="s">
        <v>34</v>
      </c>
      <c r="AA270">
        <v>1</v>
      </c>
    </row>
    <row r="271" spans="1:27" x14ac:dyDescent="0.35">
      <c r="A271" s="13">
        <f t="shared" si="24"/>
        <v>45930</v>
      </c>
      <c r="B271">
        <v>1</v>
      </c>
      <c r="D271" s="14" t="s">
        <v>31</v>
      </c>
      <c r="E271" s="15" t="s">
        <v>32</v>
      </c>
      <c r="F271" s="16" t="s">
        <v>32</v>
      </c>
      <c r="G271" s="17"/>
      <c r="H271" s="85" t="s">
        <v>59</v>
      </c>
      <c r="I271" s="85" t="s">
        <v>158</v>
      </c>
      <c r="J271" s="87"/>
      <c r="K271" s="91">
        <f t="shared" si="23"/>
        <v>269</v>
      </c>
      <c r="L271" s="87"/>
      <c r="M271" s="93">
        <f t="shared" si="25"/>
        <v>54117</v>
      </c>
      <c r="N271" s="89">
        <f t="shared" si="21"/>
        <v>54117</v>
      </c>
      <c r="O271" s="89">
        <f t="shared" si="22"/>
        <v>54117</v>
      </c>
      <c r="P271" s="94">
        <v>0</v>
      </c>
      <c r="V271">
        <v>1</v>
      </c>
      <c r="W271" t="s">
        <v>33</v>
      </c>
      <c r="Y271" t="s">
        <v>33</v>
      </c>
      <c r="Z271" t="s">
        <v>34</v>
      </c>
      <c r="AA271">
        <v>1</v>
      </c>
    </row>
    <row r="272" spans="1:27" x14ac:dyDescent="0.35">
      <c r="A272" s="13">
        <f t="shared" si="24"/>
        <v>45930</v>
      </c>
      <c r="B272">
        <v>1</v>
      </c>
      <c r="D272" s="14" t="s">
        <v>31</v>
      </c>
      <c r="E272" s="15" t="s">
        <v>32</v>
      </c>
      <c r="F272" s="16" t="s">
        <v>32</v>
      </c>
      <c r="G272" s="17"/>
      <c r="H272" s="85" t="s">
        <v>59</v>
      </c>
      <c r="I272" s="85" t="s">
        <v>158</v>
      </c>
      <c r="J272" s="87"/>
      <c r="K272" s="91">
        <f t="shared" si="23"/>
        <v>270</v>
      </c>
      <c r="L272" s="87"/>
      <c r="M272" s="93">
        <f t="shared" si="25"/>
        <v>54148</v>
      </c>
      <c r="N272" s="89">
        <f t="shared" si="21"/>
        <v>54148</v>
      </c>
      <c r="O272" s="89">
        <f t="shared" si="22"/>
        <v>54148</v>
      </c>
      <c r="P272" s="94">
        <v>0</v>
      </c>
      <c r="V272">
        <v>1</v>
      </c>
      <c r="W272" t="s">
        <v>33</v>
      </c>
      <c r="Y272" t="s">
        <v>33</v>
      </c>
      <c r="Z272" t="s">
        <v>34</v>
      </c>
      <c r="AA272">
        <v>1</v>
      </c>
    </row>
    <row r="273" spans="1:27" x14ac:dyDescent="0.35">
      <c r="A273" s="13">
        <f t="shared" si="24"/>
        <v>45930</v>
      </c>
      <c r="B273">
        <v>1</v>
      </c>
      <c r="D273" s="14" t="s">
        <v>31</v>
      </c>
      <c r="E273" s="15" t="s">
        <v>32</v>
      </c>
      <c r="F273" s="16" t="s">
        <v>32</v>
      </c>
      <c r="G273" s="17"/>
      <c r="H273" s="85" t="s">
        <v>59</v>
      </c>
      <c r="I273" s="85" t="s">
        <v>158</v>
      </c>
      <c r="J273" s="87"/>
      <c r="K273" s="91">
        <f t="shared" si="23"/>
        <v>271</v>
      </c>
      <c r="L273" s="87"/>
      <c r="M273" s="93">
        <f t="shared" si="25"/>
        <v>54178</v>
      </c>
      <c r="N273" s="89">
        <f t="shared" si="21"/>
        <v>54178</v>
      </c>
      <c r="O273" s="89">
        <f t="shared" si="22"/>
        <v>54178</v>
      </c>
      <c r="P273" s="94">
        <v>0</v>
      </c>
      <c r="V273">
        <v>1</v>
      </c>
      <c r="W273" t="s">
        <v>33</v>
      </c>
      <c r="Y273" t="s">
        <v>33</v>
      </c>
      <c r="Z273" t="s">
        <v>34</v>
      </c>
      <c r="AA273">
        <v>1</v>
      </c>
    </row>
    <row r="274" spans="1:27" x14ac:dyDescent="0.35">
      <c r="A274" s="13">
        <f t="shared" si="24"/>
        <v>45930</v>
      </c>
      <c r="B274">
        <v>1</v>
      </c>
      <c r="D274" s="14" t="s">
        <v>31</v>
      </c>
      <c r="E274" s="15" t="s">
        <v>32</v>
      </c>
      <c r="F274" s="16" t="s">
        <v>32</v>
      </c>
      <c r="G274" s="17"/>
      <c r="H274" s="85" t="s">
        <v>59</v>
      </c>
      <c r="I274" s="85" t="s">
        <v>158</v>
      </c>
      <c r="J274" s="87"/>
      <c r="K274" s="91">
        <f t="shared" si="23"/>
        <v>272</v>
      </c>
      <c r="L274" s="87"/>
      <c r="M274" s="93">
        <f t="shared" si="25"/>
        <v>54209</v>
      </c>
      <c r="N274" s="89">
        <f t="shared" si="21"/>
        <v>54209</v>
      </c>
      <c r="O274" s="89">
        <f t="shared" si="22"/>
        <v>54209</v>
      </c>
      <c r="P274" s="94">
        <v>0</v>
      </c>
      <c r="V274">
        <v>1</v>
      </c>
      <c r="W274" t="s">
        <v>33</v>
      </c>
      <c r="Y274" t="s">
        <v>33</v>
      </c>
      <c r="Z274" t="s">
        <v>34</v>
      </c>
      <c r="AA274">
        <v>1</v>
      </c>
    </row>
    <row r="275" spans="1:27" x14ac:dyDescent="0.35">
      <c r="A275" s="13">
        <f t="shared" si="24"/>
        <v>45930</v>
      </c>
      <c r="B275">
        <v>1</v>
      </c>
      <c r="D275" s="14" t="s">
        <v>31</v>
      </c>
      <c r="E275" s="15" t="s">
        <v>32</v>
      </c>
      <c r="F275" s="16" t="s">
        <v>32</v>
      </c>
      <c r="G275" s="17"/>
      <c r="H275" s="85" t="s">
        <v>59</v>
      </c>
      <c r="I275" s="85" t="s">
        <v>158</v>
      </c>
      <c r="J275" s="87"/>
      <c r="K275" s="91">
        <f t="shared" si="23"/>
        <v>273</v>
      </c>
      <c r="L275" s="87"/>
      <c r="M275" s="93">
        <f t="shared" si="25"/>
        <v>54239</v>
      </c>
      <c r="N275" s="89">
        <f t="shared" si="21"/>
        <v>54239</v>
      </c>
      <c r="O275" s="89">
        <f t="shared" si="22"/>
        <v>54239</v>
      </c>
      <c r="P275" s="94">
        <v>0</v>
      </c>
      <c r="V275">
        <v>1</v>
      </c>
      <c r="W275" t="s">
        <v>33</v>
      </c>
      <c r="Y275" t="s">
        <v>33</v>
      </c>
      <c r="Z275" t="s">
        <v>34</v>
      </c>
      <c r="AA275">
        <v>1</v>
      </c>
    </row>
    <row r="276" spans="1:27" x14ac:dyDescent="0.35">
      <c r="A276" s="13">
        <f t="shared" si="24"/>
        <v>45930</v>
      </c>
      <c r="B276">
        <v>1</v>
      </c>
      <c r="D276" s="14" t="s">
        <v>31</v>
      </c>
      <c r="E276" s="15" t="s">
        <v>32</v>
      </c>
      <c r="F276" s="16" t="s">
        <v>32</v>
      </c>
      <c r="G276" s="17"/>
      <c r="H276" s="85" t="s">
        <v>59</v>
      </c>
      <c r="I276" s="85" t="s">
        <v>158</v>
      </c>
      <c r="J276" s="87"/>
      <c r="K276" s="91">
        <f t="shared" si="23"/>
        <v>274</v>
      </c>
      <c r="L276" s="87"/>
      <c r="M276" s="93">
        <f t="shared" si="25"/>
        <v>54270</v>
      </c>
      <c r="N276" s="89">
        <f t="shared" si="21"/>
        <v>54270</v>
      </c>
      <c r="O276" s="89">
        <f t="shared" si="22"/>
        <v>54270</v>
      </c>
      <c r="P276" s="94">
        <v>0</v>
      </c>
      <c r="V276">
        <v>1</v>
      </c>
      <c r="W276" t="s">
        <v>33</v>
      </c>
      <c r="Y276" t="s">
        <v>33</v>
      </c>
      <c r="Z276" t="s">
        <v>34</v>
      </c>
      <c r="AA276">
        <v>1</v>
      </c>
    </row>
    <row r="277" spans="1:27" x14ac:dyDescent="0.35">
      <c r="A277" s="13">
        <f t="shared" si="24"/>
        <v>45930</v>
      </c>
      <c r="B277">
        <v>1</v>
      </c>
      <c r="D277" s="14" t="s">
        <v>31</v>
      </c>
      <c r="E277" s="15" t="s">
        <v>32</v>
      </c>
      <c r="F277" s="16" t="s">
        <v>32</v>
      </c>
      <c r="G277" s="17"/>
      <c r="H277" s="85" t="s">
        <v>59</v>
      </c>
      <c r="I277" s="85" t="s">
        <v>158</v>
      </c>
      <c r="J277" s="87"/>
      <c r="K277" s="91">
        <f t="shared" si="23"/>
        <v>275</v>
      </c>
      <c r="L277" s="87"/>
      <c r="M277" s="93">
        <f t="shared" si="25"/>
        <v>54301</v>
      </c>
      <c r="N277" s="89">
        <f t="shared" si="21"/>
        <v>54301</v>
      </c>
      <c r="O277" s="89">
        <f t="shared" si="22"/>
        <v>54301</v>
      </c>
      <c r="P277" s="94">
        <v>0</v>
      </c>
      <c r="V277">
        <v>1</v>
      </c>
      <c r="W277" t="s">
        <v>33</v>
      </c>
      <c r="Y277" t="s">
        <v>33</v>
      </c>
      <c r="Z277" t="s">
        <v>34</v>
      </c>
      <c r="AA277">
        <v>1</v>
      </c>
    </row>
    <row r="278" spans="1:27" x14ac:dyDescent="0.35">
      <c r="A278" s="13">
        <f t="shared" si="24"/>
        <v>45930</v>
      </c>
      <c r="B278">
        <v>1</v>
      </c>
      <c r="D278" s="14" t="s">
        <v>31</v>
      </c>
      <c r="E278" s="15" t="s">
        <v>32</v>
      </c>
      <c r="F278" s="16" t="s">
        <v>32</v>
      </c>
      <c r="G278" s="17"/>
      <c r="H278" s="85" t="s">
        <v>59</v>
      </c>
      <c r="I278" s="85" t="s">
        <v>158</v>
      </c>
      <c r="J278" s="87"/>
      <c r="K278" s="91">
        <f t="shared" si="23"/>
        <v>276</v>
      </c>
      <c r="L278" s="87"/>
      <c r="M278" s="93">
        <f t="shared" si="25"/>
        <v>54331</v>
      </c>
      <c r="N278" s="89">
        <f t="shared" si="21"/>
        <v>54331</v>
      </c>
      <c r="O278" s="89">
        <f t="shared" si="22"/>
        <v>54331</v>
      </c>
      <c r="P278" s="94">
        <v>0</v>
      </c>
      <c r="V278">
        <v>1</v>
      </c>
      <c r="W278" t="s">
        <v>33</v>
      </c>
      <c r="Y278" t="s">
        <v>33</v>
      </c>
      <c r="Z278" t="s">
        <v>34</v>
      </c>
      <c r="AA278">
        <v>1</v>
      </c>
    </row>
    <row r="279" spans="1:27" x14ac:dyDescent="0.35">
      <c r="A279" s="13">
        <f t="shared" si="24"/>
        <v>45930</v>
      </c>
      <c r="B279">
        <v>1</v>
      </c>
      <c r="D279" s="14" t="s">
        <v>31</v>
      </c>
      <c r="E279" s="15" t="s">
        <v>32</v>
      </c>
      <c r="F279" s="16" t="s">
        <v>32</v>
      </c>
      <c r="G279" s="17"/>
      <c r="H279" s="85" t="s">
        <v>59</v>
      </c>
      <c r="I279" s="85" t="s">
        <v>158</v>
      </c>
      <c r="J279" s="87"/>
      <c r="K279" s="91">
        <f t="shared" si="23"/>
        <v>277</v>
      </c>
      <c r="L279" s="87"/>
      <c r="M279" s="93">
        <f t="shared" si="25"/>
        <v>54362</v>
      </c>
      <c r="N279" s="89">
        <f t="shared" si="21"/>
        <v>54362</v>
      </c>
      <c r="O279" s="89">
        <f t="shared" si="22"/>
        <v>54362</v>
      </c>
      <c r="P279" s="94">
        <v>0</v>
      </c>
      <c r="V279">
        <v>1</v>
      </c>
      <c r="W279" t="s">
        <v>33</v>
      </c>
      <c r="Y279" t="s">
        <v>33</v>
      </c>
      <c r="Z279" t="s">
        <v>34</v>
      </c>
      <c r="AA279">
        <v>1</v>
      </c>
    </row>
    <row r="280" spans="1:27" x14ac:dyDescent="0.35">
      <c r="A280" s="13">
        <f t="shared" si="24"/>
        <v>45930</v>
      </c>
      <c r="B280">
        <v>1</v>
      </c>
      <c r="D280" s="14" t="s">
        <v>31</v>
      </c>
      <c r="E280" s="15" t="s">
        <v>32</v>
      </c>
      <c r="F280" s="16" t="s">
        <v>32</v>
      </c>
      <c r="G280" s="17"/>
      <c r="H280" s="85" t="s">
        <v>59</v>
      </c>
      <c r="I280" s="85" t="s">
        <v>158</v>
      </c>
      <c r="J280" s="87"/>
      <c r="K280" s="91">
        <f t="shared" si="23"/>
        <v>278</v>
      </c>
      <c r="L280" s="87"/>
      <c r="M280" s="93">
        <f t="shared" si="25"/>
        <v>54392</v>
      </c>
      <c r="N280" s="89">
        <f t="shared" si="21"/>
        <v>54392</v>
      </c>
      <c r="O280" s="89">
        <f t="shared" si="22"/>
        <v>54392</v>
      </c>
      <c r="P280" s="94">
        <v>0</v>
      </c>
      <c r="V280">
        <v>1</v>
      </c>
      <c r="W280" t="s">
        <v>33</v>
      </c>
      <c r="Y280" t="s">
        <v>33</v>
      </c>
      <c r="Z280" t="s">
        <v>34</v>
      </c>
      <c r="AA280">
        <v>1</v>
      </c>
    </row>
    <row r="281" spans="1:27" x14ac:dyDescent="0.35">
      <c r="A281" s="13">
        <f t="shared" si="24"/>
        <v>45930</v>
      </c>
      <c r="B281">
        <v>1</v>
      </c>
      <c r="D281" s="14" t="s">
        <v>31</v>
      </c>
      <c r="E281" s="15" t="s">
        <v>32</v>
      </c>
      <c r="F281" s="16" t="s">
        <v>32</v>
      </c>
      <c r="G281" s="17"/>
      <c r="H281" s="85" t="s">
        <v>59</v>
      </c>
      <c r="I281" s="85" t="s">
        <v>158</v>
      </c>
      <c r="J281" s="87"/>
      <c r="K281" s="91">
        <f t="shared" si="23"/>
        <v>279</v>
      </c>
      <c r="L281" s="87"/>
      <c r="M281" s="93">
        <f t="shared" si="25"/>
        <v>54423</v>
      </c>
      <c r="N281" s="89">
        <f t="shared" si="21"/>
        <v>54423</v>
      </c>
      <c r="O281" s="89">
        <f t="shared" si="22"/>
        <v>54423</v>
      </c>
      <c r="P281" s="94">
        <v>0</v>
      </c>
      <c r="V281">
        <v>1</v>
      </c>
      <c r="W281" t="s">
        <v>33</v>
      </c>
      <c r="Y281" t="s">
        <v>33</v>
      </c>
      <c r="Z281" t="s">
        <v>34</v>
      </c>
      <c r="AA281">
        <v>1</v>
      </c>
    </row>
    <row r="282" spans="1:27" x14ac:dyDescent="0.35">
      <c r="A282" s="13">
        <f t="shared" si="24"/>
        <v>45930</v>
      </c>
      <c r="B282">
        <v>1</v>
      </c>
      <c r="D282" s="14" t="s">
        <v>31</v>
      </c>
      <c r="E282" s="15" t="s">
        <v>32</v>
      </c>
      <c r="F282" s="16" t="s">
        <v>32</v>
      </c>
      <c r="G282" s="17"/>
      <c r="H282" s="85" t="s">
        <v>59</v>
      </c>
      <c r="I282" s="85" t="s">
        <v>158</v>
      </c>
      <c r="J282" s="87"/>
      <c r="K282" s="91">
        <f t="shared" si="23"/>
        <v>280</v>
      </c>
      <c r="L282" s="87"/>
      <c r="M282" s="93">
        <f t="shared" si="25"/>
        <v>54454</v>
      </c>
      <c r="N282" s="89">
        <f t="shared" ref="N282:N296" si="26">M282</f>
        <v>54454</v>
      </c>
      <c r="O282" s="89">
        <f t="shared" ref="O282:O296" si="27">N282</f>
        <v>54454</v>
      </c>
      <c r="P282" s="94">
        <v>0</v>
      </c>
      <c r="V282">
        <v>1</v>
      </c>
      <c r="W282" t="s">
        <v>33</v>
      </c>
      <c r="Y282" t="s">
        <v>33</v>
      </c>
      <c r="Z282" t="s">
        <v>34</v>
      </c>
      <c r="AA282">
        <v>1</v>
      </c>
    </row>
    <row r="283" spans="1:27" x14ac:dyDescent="0.35">
      <c r="A283" s="13">
        <f t="shared" si="24"/>
        <v>45930</v>
      </c>
      <c r="B283">
        <v>1</v>
      </c>
      <c r="D283" s="14" t="s">
        <v>31</v>
      </c>
      <c r="E283" s="15" t="s">
        <v>32</v>
      </c>
      <c r="F283" s="16" t="s">
        <v>32</v>
      </c>
      <c r="G283" s="17"/>
      <c r="H283" s="85" t="s">
        <v>59</v>
      </c>
      <c r="I283" s="85" t="s">
        <v>158</v>
      </c>
      <c r="J283" s="87"/>
      <c r="K283" s="91">
        <f t="shared" si="23"/>
        <v>281</v>
      </c>
      <c r="L283" s="87"/>
      <c r="M283" s="93">
        <f t="shared" si="25"/>
        <v>54482</v>
      </c>
      <c r="N283" s="89">
        <f t="shared" si="26"/>
        <v>54482</v>
      </c>
      <c r="O283" s="89">
        <f t="shared" si="27"/>
        <v>54482</v>
      </c>
      <c r="P283" s="94">
        <v>0</v>
      </c>
      <c r="V283">
        <v>1</v>
      </c>
      <c r="W283" t="s">
        <v>33</v>
      </c>
      <c r="Y283" t="s">
        <v>33</v>
      </c>
      <c r="Z283" t="s">
        <v>34</v>
      </c>
      <c r="AA283">
        <v>1</v>
      </c>
    </row>
    <row r="284" spans="1:27" x14ac:dyDescent="0.35">
      <c r="A284" s="13">
        <f t="shared" si="24"/>
        <v>45930</v>
      </c>
      <c r="B284">
        <v>1</v>
      </c>
      <c r="D284" s="14" t="s">
        <v>31</v>
      </c>
      <c r="E284" s="15" t="s">
        <v>32</v>
      </c>
      <c r="F284" s="16" t="s">
        <v>32</v>
      </c>
      <c r="G284" s="17"/>
      <c r="H284" s="85" t="s">
        <v>59</v>
      </c>
      <c r="I284" s="85" t="s">
        <v>158</v>
      </c>
      <c r="J284" s="87"/>
      <c r="K284" s="91">
        <f t="shared" si="23"/>
        <v>282</v>
      </c>
      <c r="L284" s="87"/>
      <c r="M284" s="93">
        <f t="shared" si="25"/>
        <v>54513</v>
      </c>
      <c r="N284" s="89">
        <f t="shared" si="26"/>
        <v>54513</v>
      </c>
      <c r="O284" s="89">
        <f t="shared" si="27"/>
        <v>54513</v>
      </c>
      <c r="P284" s="94">
        <v>0</v>
      </c>
      <c r="V284">
        <v>1</v>
      </c>
      <c r="W284" t="s">
        <v>33</v>
      </c>
      <c r="Y284" t="s">
        <v>33</v>
      </c>
      <c r="Z284" t="s">
        <v>34</v>
      </c>
      <c r="AA284">
        <v>1</v>
      </c>
    </row>
    <row r="285" spans="1:27" x14ac:dyDescent="0.35">
      <c r="A285" s="13">
        <f t="shared" si="24"/>
        <v>45930</v>
      </c>
      <c r="B285">
        <v>1</v>
      </c>
      <c r="D285" s="14" t="s">
        <v>31</v>
      </c>
      <c r="E285" s="15" t="s">
        <v>32</v>
      </c>
      <c r="F285" s="16" t="s">
        <v>32</v>
      </c>
      <c r="G285" s="17"/>
      <c r="H285" s="85" t="s">
        <v>59</v>
      </c>
      <c r="I285" s="85" t="s">
        <v>158</v>
      </c>
      <c r="J285" s="87"/>
      <c r="K285" s="91">
        <f t="shared" si="23"/>
        <v>283</v>
      </c>
      <c r="L285" s="87"/>
      <c r="M285" s="93">
        <f t="shared" si="25"/>
        <v>54543</v>
      </c>
      <c r="N285" s="89">
        <f t="shared" si="26"/>
        <v>54543</v>
      </c>
      <c r="O285" s="89">
        <f t="shared" si="27"/>
        <v>54543</v>
      </c>
      <c r="P285" s="94">
        <v>0</v>
      </c>
      <c r="V285">
        <v>1</v>
      </c>
      <c r="W285" t="s">
        <v>33</v>
      </c>
      <c r="Y285" t="s">
        <v>33</v>
      </c>
      <c r="Z285" t="s">
        <v>34</v>
      </c>
      <c r="AA285">
        <v>1</v>
      </c>
    </row>
    <row r="286" spans="1:27" x14ac:dyDescent="0.35">
      <c r="A286" s="13">
        <f t="shared" si="24"/>
        <v>45930</v>
      </c>
      <c r="B286">
        <v>1</v>
      </c>
      <c r="D286" s="14" t="s">
        <v>31</v>
      </c>
      <c r="E286" s="15" t="s">
        <v>32</v>
      </c>
      <c r="F286" s="16" t="s">
        <v>32</v>
      </c>
      <c r="G286" s="17"/>
      <c r="H286" s="85" t="s">
        <v>59</v>
      </c>
      <c r="I286" s="85" t="s">
        <v>158</v>
      </c>
      <c r="J286" s="87"/>
      <c r="K286" s="91">
        <f t="shared" si="23"/>
        <v>284</v>
      </c>
      <c r="L286" s="87"/>
      <c r="M286" s="93">
        <f t="shared" si="25"/>
        <v>54574</v>
      </c>
      <c r="N286" s="89">
        <f t="shared" si="26"/>
        <v>54574</v>
      </c>
      <c r="O286" s="89">
        <f t="shared" si="27"/>
        <v>54574</v>
      </c>
      <c r="P286" s="94">
        <v>0</v>
      </c>
      <c r="V286">
        <v>1</v>
      </c>
      <c r="W286" t="s">
        <v>33</v>
      </c>
      <c r="Y286" t="s">
        <v>33</v>
      </c>
      <c r="Z286" t="s">
        <v>34</v>
      </c>
      <c r="AA286">
        <v>1</v>
      </c>
    </row>
    <row r="287" spans="1:27" x14ac:dyDescent="0.35">
      <c r="A287" s="13">
        <f t="shared" si="24"/>
        <v>45930</v>
      </c>
      <c r="B287">
        <v>1</v>
      </c>
      <c r="D287" s="14" t="s">
        <v>31</v>
      </c>
      <c r="E287" s="15" t="s">
        <v>32</v>
      </c>
      <c r="F287" s="16" t="s">
        <v>32</v>
      </c>
      <c r="G287" s="17"/>
      <c r="H287" s="85" t="s">
        <v>59</v>
      </c>
      <c r="I287" s="85" t="s">
        <v>158</v>
      </c>
      <c r="J287" s="87"/>
      <c r="K287" s="91">
        <f t="shared" si="23"/>
        <v>285</v>
      </c>
      <c r="L287" s="87"/>
      <c r="M287" s="93">
        <f t="shared" si="25"/>
        <v>54604</v>
      </c>
      <c r="N287" s="89">
        <f t="shared" si="26"/>
        <v>54604</v>
      </c>
      <c r="O287" s="89">
        <f t="shared" si="27"/>
        <v>54604</v>
      </c>
      <c r="P287" s="94">
        <v>0</v>
      </c>
      <c r="V287">
        <v>1</v>
      </c>
      <c r="W287" t="s">
        <v>33</v>
      </c>
      <c r="Y287" t="s">
        <v>33</v>
      </c>
      <c r="Z287" t="s">
        <v>34</v>
      </c>
      <c r="AA287">
        <v>1</v>
      </c>
    </row>
    <row r="288" spans="1:27" x14ac:dyDescent="0.35">
      <c r="A288" s="13">
        <f t="shared" si="24"/>
        <v>45930</v>
      </c>
      <c r="B288">
        <v>1</v>
      </c>
      <c r="D288" s="14" t="s">
        <v>31</v>
      </c>
      <c r="E288" s="15" t="s">
        <v>32</v>
      </c>
      <c r="F288" s="16" t="s">
        <v>32</v>
      </c>
      <c r="G288" s="17"/>
      <c r="H288" s="85" t="s">
        <v>59</v>
      </c>
      <c r="I288" s="85" t="s">
        <v>158</v>
      </c>
      <c r="J288" s="87"/>
      <c r="K288" s="91">
        <f t="shared" si="23"/>
        <v>286</v>
      </c>
      <c r="L288" s="87"/>
      <c r="M288" s="93">
        <f t="shared" si="25"/>
        <v>54635</v>
      </c>
      <c r="N288" s="89">
        <f t="shared" si="26"/>
        <v>54635</v>
      </c>
      <c r="O288" s="89">
        <f t="shared" si="27"/>
        <v>54635</v>
      </c>
      <c r="P288" s="94">
        <v>0</v>
      </c>
      <c r="V288">
        <v>1</v>
      </c>
      <c r="W288" t="s">
        <v>33</v>
      </c>
      <c r="Y288" t="s">
        <v>33</v>
      </c>
      <c r="Z288" t="s">
        <v>34</v>
      </c>
      <c r="AA288">
        <v>1</v>
      </c>
    </row>
    <row r="289" spans="1:27" x14ac:dyDescent="0.35">
      <c r="A289" s="13">
        <f t="shared" si="24"/>
        <v>45930</v>
      </c>
      <c r="B289">
        <v>1</v>
      </c>
      <c r="D289" s="14" t="s">
        <v>31</v>
      </c>
      <c r="E289" s="15" t="s">
        <v>32</v>
      </c>
      <c r="F289" s="16" t="s">
        <v>32</v>
      </c>
      <c r="G289" s="17"/>
      <c r="H289" s="85" t="s">
        <v>59</v>
      </c>
      <c r="I289" s="85" t="s">
        <v>158</v>
      </c>
      <c r="J289" s="87"/>
      <c r="K289" s="91">
        <f t="shared" ref="K289:K296" si="28">K288+1</f>
        <v>287</v>
      </c>
      <c r="L289" s="87"/>
      <c r="M289" s="93">
        <f t="shared" si="25"/>
        <v>54666</v>
      </c>
      <c r="N289" s="89">
        <f t="shared" si="26"/>
        <v>54666</v>
      </c>
      <c r="O289" s="89">
        <f t="shared" si="27"/>
        <v>54666</v>
      </c>
      <c r="P289" s="94">
        <v>0</v>
      </c>
      <c r="V289">
        <v>1</v>
      </c>
      <c r="W289" t="s">
        <v>33</v>
      </c>
      <c r="Y289" t="s">
        <v>33</v>
      </c>
      <c r="Z289" t="s">
        <v>34</v>
      </c>
      <c r="AA289">
        <v>1</v>
      </c>
    </row>
    <row r="290" spans="1:27" x14ac:dyDescent="0.35">
      <c r="A290" s="13">
        <f t="shared" si="24"/>
        <v>45930</v>
      </c>
      <c r="B290">
        <v>1</v>
      </c>
      <c r="D290" s="14" t="s">
        <v>31</v>
      </c>
      <c r="E290" s="15" t="s">
        <v>32</v>
      </c>
      <c r="F290" s="16" t="s">
        <v>32</v>
      </c>
      <c r="G290" s="17"/>
      <c r="H290" s="85" t="s">
        <v>59</v>
      </c>
      <c r="I290" s="85" t="s">
        <v>158</v>
      </c>
      <c r="J290" s="87"/>
      <c r="K290" s="91">
        <f t="shared" si="28"/>
        <v>288</v>
      </c>
      <c r="L290" s="87"/>
      <c r="M290" s="93">
        <f t="shared" si="25"/>
        <v>54696</v>
      </c>
      <c r="N290" s="89">
        <f t="shared" si="26"/>
        <v>54696</v>
      </c>
      <c r="O290" s="89">
        <f t="shared" si="27"/>
        <v>54696</v>
      </c>
      <c r="P290" s="94">
        <v>0</v>
      </c>
      <c r="V290">
        <v>1</v>
      </c>
      <c r="W290" t="s">
        <v>33</v>
      </c>
      <c r="Y290" t="s">
        <v>33</v>
      </c>
      <c r="Z290" t="s">
        <v>34</v>
      </c>
      <c r="AA290">
        <v>1</v>
      </c>
    </row>
    <row r="291" spans="1:27" x14ac:dyDescent="0.35">
      <c r="A291" s="13">
        <f t="shared" si="24"/>
        <v>45930</v>
      </c>
      <c r="B291">
        <v>1</v>
      </c>
      <c r="D291" s="14" t="s">
        <v>31</v>
      </c>
      <c r="E291" s="15" t="s">
        <v>32</v>
      </c>
      <c r="F291" s="16" t="s">
        <v>32</v>
      </c>
      <c r="G291" s="17"/>
      <c r="H291" s="85" t="s">
        <v>59</v>
      </c>
      <c r="I291" s="85" t="s">
        <v>158</v>
      </c>
      <c r="J291" s="87"/>
      <c r="K291" s="91">
        <f t="shared" si="28"/>
        <v>289</v>
      </c>
      <c r="L291" s="87"/>
      <c r="M291" s="93">
        <f t="shared" si="25"/>
        <v>54727</v>
      </c>
      <c r="N291" s="89">
        <f t="shared" si="26"/>
        <v>54727</v>
      </c>
      <c r="O291" s="89">
        <f t="shared" si="27"/>
        <v>54727</v>
      </c>
      <c r="P291" s="94">
        <v>0</v>
      </c>
      <c r="V291">
        <v>1</v>
      </c>
      <c r="W291" t="s">
        <v>33</v>
      </c>
      <c r="Y291" t="s">
        <v>33</v>
      </c>
      <c r="Z291" t="s">
        <v>34</v>
      </c>
      <c r="AA291">
        <v>1</v>
      </c>
    </row>
    <row r="292" spans="1:27" x14ac:dyDescent="0.35">
      <c r="A292" s="13">
        <f t="shared" si="24"/>
        <v>45930</v>
      </c>
      <c r="B292">
        <v>1</v>
      </c>
      <c r="D292" s="14" t="s">
        <v>31</v>
      </c>
      <c r="E292" s="15" t="s">
        <v>32</v>
      </c>
      <c r="F292" s="16" t="s">
        <v>32</v>
      </c>
      <c r="G292" s="17"/>
      <c r="H292" s="85" t="s">
        <v>59</v>
      </c>
      <c r="I292" s="85" t="s">
        <v>158</v>
      </c>
      <c r="J292" s="87"/>
      <c r="K292" s="91">
        <f t="shared" si="28"/>
        <v>290</v>
      </c>
      <c r="L292" s="87"/>
      <c r="M292" s="93">
        <f t="shared" si="25"/>
        <v>54757</v>
      </c>
      <c r="N292" s="89">
        <f t="shared" si="26"/>
        <v>54757</v>
      </c>
      <c r="O292" s="89">
        <f t="shared" si="27"/>
        <v>54757</v>
      </c>
      <c r="P292" s="94">
        <v>0</v>
      </c>
      <c r="V292">
        <v>1</v>
      </c>
      <c r="W292" t="s">
        <v>33</v>
      </c>
      <c r="Y292" t="s">
        <v>33</v>
      </c>
      <c r="Z292" t="s">
        <v>34</v>
      </c>
      <c r="AA292">
        <v>1</v>
      </c>
    </row>
    <row r="293" spans="1:27" x14ac:dyDescent="0.35">
      <c r="A293" s="13">
        <f t="shared" si="24"/>
        <v>45930</v>
      </c>
      <c r="B293">
        <v>1</v>
      </c>
      <c r="D293" s="14" t="s">
        <v>31</v>
      </c>
      <c r="E293" s="15" t="s">
        <v>32</v>
      </c>
      <c r="F293" s="16" t="s">
        <v>32</v>
      </c>
      <c r="G293" s="17"/>
      <c r="H293" s="85" t="s">
        <v>59</v>
      </c>
      <c r="I293" s="85" t="s">
        <v>158</v>
      </c>
      <c r="J293" s="87"/>
      <c r="K293" s="91">
        <f t="shared" si="28"/>
        <v>291</v>
      </c>
      <c r="L293" s="87"/>
      <c r="M293" s="93">
        <f t="shared" si="25"/>
        <v>54788</v>
      </c>
      <c r="N293" s="89">
        <f t="shared" si="26"/>
        <v>54788</v>
      </c>
      <c r="O293" s="89">
        <f t="shared" si="27"/>
        <v>54788</v>
      </c>
      <c r="P293" s="94">
        <v>0</v>
      </c>
      <c r="V293">
        <v>1</v>
      </c>
      <c r="W293" t="s">
        <v>33</v>
      </c>
      <c r="Y293" t="s">
        <v>33</v>
      </c>
      <c r="Z293" t="s">
        <v>34</v>
      </c>
      <c r="AA293">
        <v>1</v>
      </c>
    </row>
    <row r="294" spans="1:27" x14ac:dyDescent="0.35">
      <c r="A294" s="13">
        <f t="shared" si="24"/>
        <v>45930</v>
      </c>
      <c r="B294">
        <v>1</v>
      </c>
      <c r="D294" s="14" t="s">
        <v>31</v>
      </c>
      <c r="E294" s="15" t="s">
        <v>32</v>
      </c>
      <c r="F294" s="16" t="s">
        <v>32</v>
      </c>
      <c r="G294" s="17"/>
      <c r="H294" s="85" t="s">
        <v>59</v>
      </c>
      <c r="I294" s="85" t="s">
        <v>158</v>
      </c>
      <c r="J294" s="87"/>
      <c r="K294" s="91">
        <f t="shared" si="28"/>
        <v>292</v>
      </c>
      <c r="L294" s="87"/>
      <c r="M294" s="93">
        <f t="shared" si="25"/>
        <v>54819</v>
      </c>
      <c r="N294" s="89">
        <f t="shared" si="26"/>
        <v>54819</v>
      </c>
      <c r="O294" s="89">
        <f t="shared" si="27"/>
        <v>54819</v>
      </c>
      <c r="P294" s="94">
        <v>0</v>
      </c>
      <c r="V294">
        <v>1</v>
      </c>
      <c r="W294" t="s">
        <v>33</v>
      </c>
      <c r="Y294" t="s">
        <v>33</v>
      </c>
      <c r="Z294" t="s">
        <v>34</v>
      </c>
      <c r="AA294">
        <v>1</v>
      </c>
    </row>
    <row r="295" spans="1:27" x14ac:dyDescent="0.35">
      <c r="A295" s="13">
        <f t="shared" si="24"/>
        <v>45930</v>
      </c>
      <c r="B295">
        <v>1</v>
      </c>
      <c r="D295" s="14" t="s">
        <v>31</v>
      </c>
      <c r="E295" s="15" t="s">
        <v>32</v>
      </c>
      <c r="F295" s="16" t="s">
        <v>32</v>
      </c>
      <c r="G295" s="17"/>
      <c r="H295" s="85" t="s">
        <v>59</v>
      </c>
      <c r="I295" s="85" t="s">
        <v>158</v>
      </c>
      <c r="J295" s="87"/>
      <c r="K295" s="91">
        <f t="shared" si="28"/>
        <v>293</v>
      </c>
      <c r="L295" s="87"/>
      <c r="M295" s="93">
        <f t="shared" si="25"/>
        <v>54847</v>
      </c>
      <c r="N295" s="89">
        <f t="shared" si="26"/>
        <v>54847</v>
      </c>
      <c r="O295" s="89">
        <f t="shared" si="27"/>
        <v>54847</v>
      </c>
      <c r="P295" s="94">
        <v>0</v>
      </c>
      <c r="V295">
        <v>1</v>
      </c>
      <c r="W295" t="s">
        <v>33</v>
      </c>
      <c r="Y295" t="s">
        <v>33</v>
      </c>
      <c r="Z295" t="s">
        <v>34</v>
      </c>
      <c r="AA295">
        <v>1</v>
      </c>
    </row>
    <row r="296" spans="1:27" x14ac:dyDescent="0.35">
      <c r="A296" s="13">
        <f t="shared" si="24"/>
        <v>45930</v>
      </c>
      <c r="B296">
        <v>1</v>
      </c>
      <c r="D296" s="14" t="s">
        <v>31</v>
      </c>
      <c r="E296" s="15" t="s">
        <v>32</v>
      </c>
      <c r="F296" s="16" t="s">
        <v>32</v>
      </c>
      <c r="G296" s="17"/>
      <c r="H296" s="85" t="s">
        <v>59</v>
      </c>
      <c r="I296" s="85" t="s">
        <v>158</v>
      </c>
      <c r="J296" s="87"/>
      <c r="K296" s="91">
        <f t="shared" si="28"/>
        <v>294</v>
      </c>
      <c r="L296" s="87"/>
      <c r="M296" s="93">
        <f t="shared" si="25"/>
        <v>54878</v>
      </c>
      <c r="N296" s="89">
        <f t="shared" si="26"/>
        <v>54878</v>
      </c>
      <c r="O296" s="89">
        <f t="shared" si="27"/>
        <v>54878</v>
      </c>
      <c r="P296" s="94">
        <f>IF(K296&gt;Montos!$C$44,0,Montos!$D$44/Montos!$C$44)</f>
        <v>0</v>
      </c>
      <c r="V296">
        <v>1</v>
      </c>
      <c r="W296" t="s">
        <v>33</v>
      </c>
      <c r="Y296" t="s">
        <v>33</v>
      </c>
      <c r="Z296" t="s">
        <v>34</v>
      </c>
      <c r="AA296">
        <v>1</v>
      </c>
    </row>
    <row r="297" spans="1:27" x14ac:dyDescent="0.35">
      <c r="A297" s="13"/>
      <c r="D297" s="14"/>
      <c r="E297" s="15"/>
      <c r="F297" s="16"/>
      <c r="G297" s="17"/>
      <c r="H297" s="31"/>
      <c r="I297" s="31"/>
      <c r="K297" s="20"/>
      <c r="M297" s="13"/>
      <c r="N297" s="13"/>
      <c r="O297" s="13"/>
      <c r="P297" s="24"/>
    </row>
    <row r="298" spans="1:27" x14ac:dyDescent="0.35">
      <c r="A298" s="13"/>
      <c r="D298" s="14"/>
      <c r="E298" s="15"/>
      <c r="F298" s="16"/>
      <c r="G298" s="17"/>
      <c r="H298" s="31"/>
      <c r="I298" s="31"/>
      <c r="K298" s="20"/>
      <c r="M298" s="13"/>
      <c r="N298" s="13"/>
      <c r="O298" s="13"/>
      <c r="P298" s="24"/>
    </row>
    <row r="299" spans="1:27" x14ac:dyDescent="0.35">
      <c r="A299" s="13"/>
      <c r="D299" s="14"/>
      <c r="E299" s="15"/>
      <c r="F299" s="16"/>
      <c r="G299" s="17"/>
      <c r="H299" s="31"/>
      <c r="I299" s="31"/>
      <c r="K299" s="20"/>
      <c r="M299" s="13"/>
      <c r="N299" s="13"/>
      <c r="O299" s="13"/>
      <c r="P299" s="24"/>
    </row>
    <row r="300" spans="1:27" x14ac:dyDescent="0.35">
      <c r="A300" s="13"/>
      <c r="D300" s="14"/>
      <c r="E300" s="15"/>
      <c r="F300" s="16"/>
      <c r="G300" s="17"/>
      <c r="H300" s="31"/>
      <c r="I300" s="31"/>
      <c r="K300" s="20"/>
      <c r="M300" s="13"/>
      <c r="N300" s="13"/>
      <c r="O300" s="13"/>
      <c r="P300" s="24"/>
    </row>
    <row r="301" spans="1:27" x14ac:dyDescent="0.35">
      <c r="A301" s="13"/>
      <c r="D301" s="14"/>
      <c r="E301" s="15"/>
      <c r="F301" s="16"/>
      <c r="G301" s="17"/>
      <c r="H301" s="31"/>
      <c r="I301" s="31"/>
      <c r="K301" s="20"/>
      <c r="M301" s="13"/>
      <c r="N301" s="13"/>
      <c r="O301" s="13"/>
      <c r="P301" s="24"/>
    </row>
    <row r="302" spans="1:27" x14ac:dyDescent="0.35">
      <c r="A302" s="13"/>
      <c r="D302" s="14"/>
      <c r="E302" s="15"/>
      <c r="F302" s="16"/>
      <c r="G302" s="17"/>
      <c r="H302" s="31"/>
      <c r="I302" s="31"/>
      <c r="K302" s="20"/>
      <c r="M302" s="13"/>
      <c r="N302" s="13"/>
      <c r="O302" s="13"/>
      <c r="P302" s="24"/>
    </row>
    <row r="303" spans="1:27" x14ac:dyDescent="0.35">
      <c r="A303" s="13"/>
      <c r="D303" s="14"/>
      <c r="E303" s="15"/>
      <c r="F303" s="16"/>
      <c r="G303" s="17"/>
      <c r="H303" s="31"/>
      <c r="I303" s="31"/>
      <c r="K303" s="20"/>
      <c r="M303" s="13"/>
      <c r="N303" s="13"/>
      <c r="O303" s="13"/>
      <c r="P303" s="24"/>
    </row>
    <row r="304" spans="1:27" x14ac:dyDescent="0.35">
      <c r="A304" s="13"/>
      <c r="D304" s="14"/>
      <c r="E304" s="15"/>
      <c r="F304" s="16"/>
      <c r="G304" s="17"/>
      <c r="H304" s="31"/>
      <c r="I304" s="31"/>
      <c r="K304" s="20"/>
      <c r="M304" s="13"/>
      <c r="N304" s="13"/>
      <c r="O304" s="13"/>
      <c r="P304" s="24"/>
    </row>
    <row r="305" spans="1:16" x14ac:dyDescent="0.35">
      <c r="A305" s="13"/>
      <c r="D305" s="14"/>
      <c r="E305" s="15"/>
      <c r="F305" s="16"/>
      <c r="G305" s="17"/>
      <c r="H305" s="31"/>
      <c r="I305" s="31"/>
      <c r="K305" s="20"/>
      <c r="M305" s="13"/>
      <c r="N305" s="13"/>
      <c r="O305" s="13"/>
      <c r="P305" s="24"/>
    </row>
    <row r="306" spans="1:16" x14ac:dyDescent="0.35">
      <c r="A306" s="13"/>
      <c r="D306" s="14"/>
      <c r="E306" s="15"/>
      <c r="F306" s="16"/>
      <c r="G306" s="17"/>
      <c r="H306" s="31"/>
      <c r="I306" s="31"/>
      <c r="K306" s="20"/>
      <c r="M306" s="13"/>
      <c r="N306" s="13"/>
      <c r="O306" s="13"/>
      <c r="P306" s="24"/>
    </row>
    <row r="307" spans="1:16" x14ac:dyDescent="0.35">
      <c r="A307" s="13"/>
      <c r="D307" s="14"/>
      <c r="E307" s="15"/>
      <c r="F307" s="16"/>
      <c r="G307" s="17"/>
      <c r="H307" s="31"/>
      <c r="I307" s="31"/>
      <c r="K307" s="20"/>
      <c r="M307" s="13"/>
      <c r="N307" s="13"/>
      <c r="O307" s="13"/>
      <c r="P307" s="24"/>
    </row>
    <row r="308" spans="1:16" x14ac:dyDescent="0.35">
      <c r="A308" s="13"/>
      <c r="D308" s="14"/>
      <c r="E308" s="15"/>
      <c r="F308" s="16"/>
      <c r="G308" s="17"/>
      <c r="H308" s="31"/>
      <c r="I308" s="31"/>
      <c r="K308" s="20"/>
      <c r="M308" s="13"/>
      <c r="N308" s="13"/>
      <c r="O308" s="13"/>
      <c r="P308" s="24"/>
    </row>
    <row r="309" spans="1:16" x14ac:dyDescent="0.35">
      <c r="A309" s="13"/>
      <c r="D309" s="14"/>
      <c r="E309" s="15"/>
      <c r="F309" s="16"/>
      <c r="G309" s="17"/>
      <c r="H309" s="31"/>
      <c r="I309" s="31"/>
      <c r="K309" s="20"/>
      <c r="M309" s="13"/>
      <c r="N309" s="13"/>
      <c r="O309" s="13"/>
      <c r="P309" s="24"/>
    </row>
    <row r="310" spans="1:16" x14ac:dyDescent="0.35">
      <c r="A310" s="13"/>
      <c r="D310" s="14"/>
      <c r="E310" s="15"/>
      <c r="F310" s="16"/>
      <c r="G310" s="17"/>
      <c r="H310" s="31"/>
      <c r="I310" s="31"/>
      <c r="K310" s="20"/>
      <c r="M310" s="13"/>
      <c r="N310" s="13"/>
      <c r="O310" s="13"/>
      <c r="P310" s="24"/>
    </row>
    <row r="311" spans="1:16" x14ac:dyDescent="0.35">
      <c r="A311" s="13"/>
      <c r="D311" s="14"/>
      <c r="E311" s="15"/>
      <c r="F311" s="16"/>
      <c r="G311" s="17"/>
      <c r="H311" s="31"/>
      <c r="I311" s="31"/>
      <c r="K311" s="20"/>
      <c r="M311" s="13"/>
      <c r="N311" s="13"/>
      <c r="O311" s="13"/>
      <c r="P311" s="24"/>
    </row>
    <row r="312" spans="1:16" x14ac:dyDescent="0.35">
      <c r="A312" s="13"/>
      <c r="D312" s="14"/>
      <c r="E312" s="15"/>
      <c r="F312" s="16"/>
      <c r="G312" s="17"/>
      <c r="H312" s="31"/>
      <c r="I312" s="31"/>
      <c r="K312" s="20"/>
      <c r="M312" s="13"/>
      <c r="N312" s="13"/>
      <c r="O312" s="13"/>
      <c r="P312" s="24"/>
    </row>
    <row r="313" spans="1:16" x14ac:dyDescent="0.35">
      <c r="A313" s="13"/>
      <c r="D313" s="14"/>
      <c r="E313" s="15"/>
      <c r="F313" s="16"/>
      <c r="G313" s="17"/>
      <c r="H313" s="31"/>
      <c r="I313" s="31"/>
      <c r="K313" s="20"/>
      <c r="M313" s="13"/>
      <c r="N313" s="13"/>
      <c r="O313" s="13"/>
      <c r="P313" s="24"/>
    </row>
    <row r="314" spans="1:16" x14ac:dyDescent="0.35">
      <c r="A314" s="13"/>
      <c r="D314" s="14"/>
      <c r="E314" s="15"/>
      <c r="F314" s="16"/>
      <c r="G314" s="17"/>
      <c r="H314" s="31"/>
      <c r="I314" s="31"/>
      <c r="K314" s="20"/>
      <c r="M314" s="13"/>
      <c r="N314" s="13"/>
      <c r="O314" s="13"/>
      <c r="P314" s="24"/>
    </row>
    <row r="315" spans="1:16" x14ac:dyDescent="0.35">
      <c r="A315" s="13"/>
      <c r="D315" s="14"/>
      <c r="E315" s="15"/>
      <c r="F315" s="16"/>
      <c r="G315" s="17"/>
      <c r="H315" s="31"/>
      <c r="I315" s="31"/>
      <c r="K315" s="20"/>
      <c r="M315" s="13"/>
      <c r="N315" s="13"/>
      <c r="O315" s="13"/>
      <c r="P315" s="24"/>
    </row>
    <row r="316" spans="1:16" x14ac:dyDescent="0.35">
      <c r="A316" s="13"/>
      <c r="D316" s="14"/>
      <c r="E316" s="15"/>
      <c r="F316" s="16"/>
      <c r="G316" s="17"/>
      <c r="H316" s="31"/>
      <c r="I316" s="31"/>
      <c r="K316" s="20"/>
      <c r="M316" s="13"/>
      <c r="N316" s="13"/>
      <c r="O316" s="13"/>
      <c r="P316" s="24"/>
    </row>
    <row r="317" spans="1:16" x14ac:dyDescent="0.35">
      <c r="A317" s="13"/>
      <c r="D317" s="14"/>
      <c r="E317" s="15"/>
      <c r="F317" s="16"/>
      <c r="G317" s="17"/>
      <c r="H317" s="31"/>
      <c r="I317" s="31"/>
      <c r="K317" s="20"/>
      <c r="M317" s="13"/>
      <c r="N317" s="13"/>
      <c r="O317" s="13"/>
      <c r="P317" s="24"/>
    </row>
    <row r="318" spans="1:16" x14ac:dyDescent="0.35">
      <c r="A318" s="13"/>
      <c r="D318" s="14"/>
      <c r="E318" s="15"/>
      <c r="F318" s="16"/>
      <c r="G318" s="17"/>
      <c r="H318" s="31"/>
      <c r="I318" s="31"/>
      <c r="K318" s="20"/>
      <c r="M318" s="13"/>
      <c r="N318" s="13"/>
      <c r="O318" s="13"/>
      <c r="P318" s="24"/>
    </row>
    <row r="319" spans="1:16" x14ac:dyDescent="0.35">
      <c r="A319" s="13"/>
      <c r="D319" s="14"/>
      <c r="E319" s="15"/>
      <c r="F319" s="16"/>
      <c r="G319" s="17"/>
      <c r="H319" s="31"/>
      <c r="I319" s="31"/>
      <c r="K319" s="20"/>
      <c r="M319" s="13"/>
      <c r="N319" s="13"/>
      <c r="O319" s="13"/>
      <c r="P319" s="24"/>
    </row>
    <row r="320" spans="1:16" x14ac:dyDescent="0.35">
      <c r="A320" s="13"/>
      <c r="D320" s="14"/>
      <c r="E320" s="15"/>
      <c r="F320" s="16"/>
      <c r="G320" s="17"/>
      <c r="H320" s="31"/>
      <c r="I320" s="31"/>
      <c r="K320" s="20"/>
      <c r="M320" s="13"/>
      <c r="N320" s="13"/>
      <c r="O320" s="13"/>
      <c r="P320" s="24"/>
    </row>
    <row r="321" spans="1:16" x14ac:dyDescent="0.35">
      <c r="A321" s="13"/>
      <c r="D321" s="14"/>
      <c r="E321" s="15"/>
      <c r="F321" s="16"/>
      <c r="G321" s="17"/>
      <c r="H321" s="31"/>
      <c r="I321" s="31"/>
      <c r="K321" s="20"/>
      <c r="M321" s="13"/>
      <c r="N321" s="13"/>
      <c r="O321" s="13"/>
      <c r="P321" s="24"/>
    </row>
    <row r="322" spans="1:16" x14ac:dyDescent="0.35">
      <c r="A322" s="13"/>
      <c r="D322" s="14"/>
      <c r="E322" s="15"/>
      <c r="F322" s="16"/>
      <c r="G322" s="17"/>
      <c r="H322" s="31"/>
      <c r="I322" s="31"/>
      <c r="K322" s="20"/>
      <c r="M322" s="13"/>
      <c r="N322" s="13"/>
      <c r="O322" s="13"/>
      <c r="P322" s="24"/>
    </row>
    <row r="323" spans="1:16" x14ac:dyDescent="0.35">
      <c r="A323" s="13"/>
      <c r="D323" s="14"/>
      <c r="E323" s="15"/>
      <c r="F323" s="16"/>
      <c r="G323" s="17"/>
      <c r="H323" s="31"/>
      <c r="I323" s="31"/>
      <c r="K323" s="20"/>
      <c r="M323" s="13"/>
      <c r="N323" s="13"/>
      <c r="O323" s="13"/>
      <c r="P323" s="24"/>
    </row>
    <row r="324" spans="1:16" x14ac:dyDescent="0.35">
      <c r="A324" s="13"/>
      <c r="D324" s="14"/>
      <c r="E324" s="15"/>
      <c r="F324" s="16"/>
      <c r="G324" s="17"/>
      <c r="H324" s="31"/>
      <c r="I324" s="31"/>
      <c r="K324" s="20"/>
      <c r="M324" s="13"/>
      <c r="N324" s="13"/>
      <c r="O324" s="13"/>
      <c r="P324" s="24"/>
    </row>
    <row r="325" spans="1:16" x14ac:dyDescent="0.35">
      <c r="A325" s="13"/>
      <c r="D325" s="14"/>
      <c r="E325" s="15"/>
      <c r="F325" s="16"/>
      <c r="G325" s="17"/>
      <c r="H325" s="31"/>
      <c r="I325" s="31"/>
      <c r="K325" s="20"/>
      <c r="M325" s="13"/>
      <c r="N325" s="13"/>
      <c r="O325" s="13"/>
      <c r="P325" s="24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6">
    <tabColor rgb="FFFFFF00"/>
  </sheetPr>
  <dimension ref="A1:AE325"/>
  <sheetViews>
    <sheetView workbookViewId="0">
      <selection activeCell="A2" sqref="A2:AE296"/>
    </sheetView>
  </sheetViews>
  <sheetFormatPr baseColWidth="10" defaultRowHeight="14.5" x14ac:dyDescent="0.35"/>
  <cols>
    <col min="8" max="8" width="19.1796875" bestFit="1" customWidth="1"/>
    <col min="9" max="9" width="30.453125" bestFit="1" customWidth="1"/>
  </cols>
  <sheetData>
    <row r="1" spans="1:31" x14ac:dyDescent="0.35">
      <c r="A1" s="1" t="s">
        <v>0</v>
      </c>
      <c r="B1" s="2" t="s">
        <v>1</v>
      </c>
      <c r="C1" s="2" t="s">
        <v>2</v>
      </c>
      <c r="D1" s="3" t="s">
        <v>3</v>
      </c>
      <c r="E1" s="4" t="s">
        <v>4</v>
      </c>
      <c r="F1" s="5" t="s">
        <v>5</v>
      </c>
      <c r="G1" s="6" t="s">
        <v>6</v>
      </c>
      <c r="H1" s="1" t="s">
        <v>7</v>
      </c>
      <c r="I1" s="7" t="s">
        <v>8</v>
      </c>
      <c r="J1" s="8" t="s">
        <v>9</v>
      </c>
      <c r="K1" s="9" t="s">
        <v>10</v>
      </c>
      <c r="L1" s="10" t="s">
        <v>11</v>
      </c>
      <c r="M1" s="1" t="s">
        <v>12</v>
      </c>
      <c r="N1" s="11" t="s">
        <v>13</v>
      </c>
      <c r="O1" s="11" t="s">
        <v>14</v>
      </c>
      <c r="P1" s="7" t="s">
        <v>15</v>
      </c>
      <c r="Q1" s="7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12" t="s">
        <v>21</v>
      </c>
      <c r="W1" s="12" t="s">
        <v>22</v>
      </c>
      <c r="X1" s="2" t="s">
        <v>23</v>
      </c>
      <c r="Y1" s="12" t="s">
        <v>24</v>
      </c>
      <c r="Z1" s="2" t="s">
        <v>25</v>
      </c>
      <c r="AA1" s="2" t="s">
        <v>26</v>
      </c>
      <c r="AB1" s="2" t="s">
        <v>27</v>
      </c>
      <c r="AC1" s="4" t="s">
        <v>28</v>
      </c>
      <c r="AD1" s="2" t="s">
        <v>29</v>
      </c>
      <c r="AE1" s="2" t="s">
        <v>30</v>
      </c>
    </row>
    <row r="2" spans="1:31" x14ac:dyDescent="0.35">
      <c r="A2" s="13">
        <f>Cta_Cte!A3</f>
        <v>45930</v>
      </c>
      <c r="B2">
        <v>1</v>
      </c>
      <c r="D2" s="14" t="s">
        <v>31</v>
      </c>
      <c r="E2" s="15" t="s">
        <v>32</v>
      </c>
      <c r="F2" s="16" t="s">
        <v>32</v>
      </c>
      <c r="G2" s="17"/>
      <c r="H2" s="31" t="s">
        <v>59</v>
      </c>
      <c r="I2" s="31" t="s">
        <v>61</v>
      </c>
      <c r="J2" s="19"/>
      <c r="K2" s="20"/>
      <c r="L2" s="21"/>
      <c r="M2" s="13">
        <f>A2+1</f>
        <v>45931</v>
      </c>
      <c r="N2" s="13">
        <f>M2</f>
        <v>45931</v>
      </c>
      <c r="O2" s="13">
        <f>N2</f>
        <v>45931</v>
      </c>
      <c r="P2" s="18">
        <f>Montos!E6</f>
        <v>36724</v>
      </c>
      <c r="Q2" s="18"/>
      <c r="V2">
        <v>1</v>
      </c>
      <c r="W2" t="s">
        <v>33</v>
      </c>
      <c r="Y2" t="s">
        <v>33</v>
      </c>
      <c r="Z2" t="s">
        <v>34</v>
      </c>
      <c r="AA2">
        <v>1</v>
      </c>
      <c r="AC2" s="15"/>
    </row>
    <row r="3" spans="1:31" x14ac:dyDescent="0.35">
      <c r="A3" s="13">
        <f>A2</f>
        <v>45930</v>
      </c>
      <c r="B3">
        <v>1</v>
      </c>
      <c r="D3" s="14" t="s">
        <v>31</v>
      </c>
      <c r="E3" s="15" t="s">
        <v>32</v>
      </c>
      <c r="F3" s="16" t="s">
        <v>32</v>
      </c>
      <c r="G3" s="17"/>
      <c r="H3" s="84" t="s">
        <v>59</v>
      </c>
      <c r="I3" s="84" t="s">
        <v>160</v>
      </c>
      <c r="J3" s="19"/>
      <c r="K3" s="20">
        <v>1</v>
      </c>
      <c r="L3" s="21"/>
      <c r="M3" s="13">
        <f>Cta_Cte!M4</f>
        <v>45961</v>
      </c>
      <c r="N3" s="13">
        <f t="shared" ref="N3:O67" si="0">M3</f>
        <v>45961</v>
      </c>
      <c r="O3" s="13">
        <f t="shared" si="0"/>
        <v>45961</v>
      </c>
      <c r="P3" s="24">
        <v>8390.977733491969</v>
      </c>
      <c r="Q3" s="168"/>
      <c r="V3">
        <v>1</v>
      </c>
      <c r="W3" t="s">
        <v>33</v>
      </c>
      <c r="Y3" t="s">
        <v>33</v>
      </c>
      <c r="Z3" t="s">
        <v>34</v>
      </c>
      <c r="AA3">
        <v>1</v>
      </c>
      <c r="AC3" s="15"/>
    </row>
    <row r="4" spans="1:31" x14ac:dyDescent="0.35">
      <c r="A4" s="13">
        <f t="shared" ref="A4:A67" si="1">A3</f>
        <v>45930</v>
      </c>
      <c r="B4">
        <v>1</v>
      </c>
      <c r="D4" s="14" t="s">
        <v>31</v>
      </c>
      <c r="E4" s="15" t="s">
        <v>32</v>
      </c>
      <c r="F4" s="16" t="s">
        <v>32</v>
      </c>
      <c r="G4" s="17"/>
      <c r="H4" s="84" t="s">
        <v>59</v>
      </c>
      <c r="I4" s="84" t="s">
        <v>160</v>
      </c>
      <c r="K4" s="20">
        <f>K3+1</f>
        <v>2</v>
      </c>
      <c r="M4" s="13">
        <f>EOMONTH(M3,1)</f>
        <v>45991</v>
      </c>
      <c r="N4" s="13">
        <f t="shared" si="0"/>
        <v>45991</v>
      </c>
      <c r="O4" s="13">
        <f t="shared" si="0"/>
        <v>45991</v>
      </c>
      <c r="P4" s="24">
        <v>8390.977733491969</v>
      </c>
      <c r="Q4" s="168"/>
      <c r="V4">
        <v>1</v>
      </c>
      <c r="W4" t="s">
        <v>33</v>
      </c>
      <c r="Y4" t="s">
        <v>33</v>
      </c>
      <c r="Z4" t="s">
        <v>34</v>
      </c>
      <c r="AA4">
        <v>1</v>
      </c>
      <c r="AC4" s="15"/>
    </row>
    <row r="5" spans="1:31" x14ac:dyDescent="0.35">
      <c r="A5" s="13">
        <f t="shared" si="1"/>
        <v>45930</v>
      </c>
      <c r="B5">
        <v>1</v>
      </c>
      <c r="D5" s="14" t="s">
        <v>31</v>
      </c>
      <c r="E5" s="15" t="s">
        <v>32</v>
      </c>
      <c r="F5" s="16" t="s">
        <v>32</v>
      </c>
      <c r="G5" s="17"/>
      <c r="H5" s="84" t="s">
        <v>59</v>
      </c>
      <c r="I5" s="84" t="s">
        <v>160</v>
      </c>
      <c r="K5" s="20">
        <f t="shared" ref="K5:K32" si="2">K4+1</f>
        <v>3</v>
      </c>
      <c r="M5" s="13">
        <f t="shared" ref="M5:M68" si="3">EOMONTH(M4,1)</f>
        <v>46022</v>
      </c>
      <c r="N5" s="13">
        <f t="shared" si="0"/>
        <v>46022</v>
      </c>
      <c r="O5" s="13">
        <f t="shared" si="0"/>
        <v>46022</v>
      </c>
      <c r="P5" s="24">
        <v>8390.977733491969</v>
      </c>
      <c r="Q5" s="168"/>
      <c r="V5">
        <v>1</v>
      </c>
      <c r="W5" t="s">
        <v>33</v>
      </c>
      <c r="Y5" t="s">
        <v>33</v>
      </c>
      <c r="Z5" t="s">
        <v>34</v>
      </c>
      <c r="AA5">
        <v>1</v>
      </c>
      <c r="AC5" s="15"/>
    </row>
    <row r="6" spans="1:31" x14ac:dyDescent="0.35">
      <c r="A6" s="13">
        <f t="shared" si="1"/>
        <v>45930</v>
      </c>
      <c r="B6">
        <v>1</v>
      </c>
      <c r="D6" s="14" t="s">
        <v>31</v>
      </c>
      <c r="E6" s="15" t="s">
        <v>32</v>
      </c>
      <c r="F6" s="16" t="s">
        <v>32</v>
      </c>
      <c r="G6" s="17"/>
      <c r="H6" s="84" t="s">
        <v>59</v>
      </c>
      <c r="I6" s="84" t="s">
        <v>160</v>
      </c>
      <c r="K6" s="20">
        <f t="shared" si="2"/>
        <v>4</v>
      </c>
      <c r="M6" s="13">
        <f t="shared" si="3"/>
        <v>46053</v>
      </c>
      <c r="N6" s="13">
        <f t="shared" si="0"/>
        <v>46053</v>
      </c>
      <c r="O6" s="13">
        <f t="shared" si="0"/>
        <v>46053</v>
      </c>
      <c r="P6" s="24">
        <v>8390.977733491969</v>
      </c>
      <c r="Q6" s="168"/>
      <c r="V6">
        <v>1</v>
      </c>
      <c r="W6" t="s">
        <v>33</v>
      </c>
      <c r="Y6" t="s">
        <v>33</v>
      </c>
      <c r="Z6" t="s">
        <v>34</v>
      </c>
      <c r="AA6">
        <v>1</v>
      </c>
      <c r="AC6" s="15"/>
    </row>
    <row r="7" spans="1:31" x14ac:dyDescent="0.35">
      <c r="A7" s="13">
        <f t="shared" si="1"/>
        <v>45930</v>
      </c>
      <c r="B7">
        <v>1</v>
      </c>
      <c r="D7" s="14" t="s">
        <v>31</v>
      </c>
      <c r="E7" s="15" t="s">
        <v>32</v>
      </c>
      <c r="F7" s="16" t="s">
        <v>32</v>
      </c>
      <c r="G7" s="17"/>
      <c r="H7" s="84" t="s">
        <v>59</v>
      </c>
      <c r="I7" s="84" t="s">
        <v>160</v>
      </c>
      <c r="K7" s="20">
        <f t="shared" si="2"/>
        <v>5</v>
      </c>
      <c r="M7" s="13">
        <f t="shared" si="3"/>
        <v>46081</v>
      </c>
      <c r="N7" s="13">
        <f t="shared" si="0"/>
        <v>46081</v>
      </c>
      <c r="O7" s="13">
        <f t="shared" si="0"/>
        <v>46081</v>
      </c>
      <c r="P7" s="24">
        <v>8390.977733491969</v>
      </c>
      <c r="Q7" s="168"/>
      <c r="V7">
        <v>1</v>
      </c>
      <c r="W7" t="s">
        <v>33</v>
      </c>
      <c r="Y7" t="s">
        <v>33</v>
      </c>
      <c r="Z7" t="s">
        <v>34</v>
      </c>
      <c r="AA7">
        <v>1</v>
      </c>
      <c r="AC7" s="15"/>
    </row>
    <row r="8" spans="1:31" x14ac:dyDescent="0.35">
      <c r="A8" s="13">
        <f t="shared" si="1"/>
        <v>45930</v>
      </c>
      <c r="B8">
        <v>1</v>
      </c>
      <c r="D8" s="14" t="s">
        <v>31</v>
      </c>
      <c r="E8" s="15" t="s">
        <v>32</v>
      </c>
      <c r="F8" s="16" t="s">
        <v>32</v>
      </c>
      <c r="G8" s="17"/>
      <c r="H8" s="84" t="s">
        <v>59</v>
      </c>
      <c r="I8" s="84" t="s">
        <v>160</v>
      </c>
      <c r="K8" s="20">
        <f t="shared" si="2"/>
        <v>6</v>
      </c>
      <c r="M8" s="13">
        <f t="shared" si="3"/>
        <v>46112</v>
      </c>
      <c r="N8" s="13">
        <f t="shared" si="0"/>
        <v>46112</v>
      </c>
      <c r="O8" s="13">
        <f t="shared" si="0"/>
        <v>46112</v>
      </c>
      <c r="P8" s="24">
        <v>8390.977733491969</v>
      </c>
      <c r="Q8" s="168"/>
      <c r="V8">
        <v>1</v>
      </c>
      <c r="W8" t="s">
        <v>33</v>
      </c>
      <c r="Y8" t="s">
        <v>33</v>
      </c>
      <c r="Z8" t="s">
        <v>34</v>
      </c>
      <c r="AA8">
        <v>1</v>
      </c>
      <c r="AC8" s="15"/>
    </row>
    <row r="9" spans="1:31" x14ac:dyDescent="0.35">
      <c r="A9" s="13">
        <f t="shared" si="1"/>
        <v>45930</v>
      </c>
      <c r="B9">
        <v>1</v>
      </c>
      <c r="D9" s="14" t="s">
        <v>31</v>
      </c>
      <c r="E9" s="15" t="s">
        <v>32</v>
      </c>
      <c r="F9" s="16" t="s">
        <v>32</v>
      </c>
      <c r="G9" s="17"/>
      <c r="H9" s="84" t="s">
        <v>59</v>
      </c>
      <c r="I9" s="84" t="s">
        <v>160</v>
      </c>
      <c r="K9" s="20">
        <f t="shared" si="2"/>
        <v>7</v>
      </c>
      <c r="M9" s="13">
        <f t="shared" si="3"/>
        <v>46142</v>
      </c>
      <c r="N9" s="13">
        <f t="shared" si="0"/>
        <v>46142</v>
      </c>
      <c r="O9" s="13">
        <f t="shared" si="0"/>
        <v>46142</v>
      </c>
      <c r="P9" s="24">
        <v>8390.977733491969</v>
      </c>
      <c r="Q9" s="168"/>
      <c r="V9">
        <v>1</v>
      </c>
      <c r="W9" t="s">
        <v>33</v>
      </c>
      <c r="Y9" t="s">
        <v>33</v>
      </c>
      <c r="Z9" t="s">
        <v>34</v>
      </c>
      <c r="AA9">
        <v>1</v>
      </c>
      <c r="AC9" s="15"/>
    </row>
    <row r="10" spans="1:31" x14ac:dyDescent="0.35">
      <c r="A10" s="13">
        <f t="shared" si="1"/>
        <v>45930</v>
      </c>
      <c r="B10">
        <v>1</v>
      </c>
      <c r="D10" s="14" t="s">
        <v>31</v>
      </c>
      <c r="E10" s="15" t="s">
        <v>32</v>
      </c>
      <c r="F10" s="16" t="s">
        <v>32</v>
      </c>
      <c r="G10" s="17"/>
      <c r="H10" s="84" t="s">
        <v>59</v>
      </c>
      <c r="I10" s="84" t="s">
        <v>160</v>
      </c>
      <c r="K10" s="20">
        <f t="shared" si="2"/>
        <v>8</v>
      </c>
      <c r="M10" s="13">
        <f t="shared" si="3"/>
        <v>46173</v>
      </c>
      <c r="N10" s="13">
        <f t="shared" si="0"/>
        <v>46173</v>
      </c>
      <c r="O10" s="13">
        <f t="shared" si="0"/>
        <v>46173</v>
      </c>
      <c r="P10" s="24">
        <v>8390.977733491969</v>
      </c>
      <c r="Q10" s="168"/>
      <c r="V10">
        <v>1</v>
      </c>
      <c r="W10" t="s">
        <v>33</v>
      </c>
      <c r="Y10" t="s">
        <v>33</v>
      </c>
      <c r="Z10" t="s">
        <v>34</v>
      </c>
      <c r="AA10">
        <v>1</v>
      </c>
      <c r="AC10" s="15"/>
    </row>
    <row r="11" spans="1:31" x14ac:dyDescent="0.35">
      <c r="A11" s="13">
        <f t="shared" si="1"/>
        <v>45930</v>
      </c>
      <c r="B11">
        <v>1</v>
      </c>
      <c r="D11" s="14" t="s">
        <v>31</v>
      </c>
      <c r="E11" s="15" t="s">
        <v>32</v>
      </c>
      <c r="F11" s="16" t="s">
        <v>32</v>
      </c>
      <c r="G11" s="17"/>
      <c r="H11" s="84" t="s">
        <v>59</v>
      </c>
      <c r="I11" s="84" t="s">
        <v>160</v>
      </c>
      <c r="K11" s="20">
        <f t="shared" si="2"/>
        <v>9</v>
      </c>
      <c r="M11" s="13">
        <f t="shared" si="3"/>
        <v>46203</v>
      </c>
      <c r="N11" s="13">
        <f t="shared" si="0"/>
        <v>46203</v>
      </c>
      <c r="O11" s="13">
        <f t="shared" si="0"/>
        <v>46203</v>
      </c>
      <c r="P11" s="24">
        <v>8390.977733491969</v>
      </c>
      <c r="Q11" s="168"/>
      <c r="V11">
        <v>1</v>
      </c>
      <c r="W11" t="s">
        <v>33</v>
      </c>
      <c r="Y11" t="s">
        <v>33</v>
      </c>
      <c r="Z11" t="s">
        <v>34</v>
      </c>
      <c r="AA11">
        <v>1</v>
      </c>
      <c r="AC11" s="15"/>
    </row>
    <row r="12" spans="1:31" x14ac:dyDescent="0.35">
      <c r="A12" s="13">
        <f t="shared" si="1"/>
        <v>45930</v>
      </c>
      <c r="B12">
        <v>1</v>
      </c>
      <c r="D12" s="14" t="s">
        <v>31</v>
      </c>
      <c r="E12" s="15" t="s">
        <v>32</v>
      </c>
      <c r="F12" s="16" t="s">
        <v>32</v>
      </c>
      <c r="G12" s="17"/>
      <c r="H12" s="84" t="s">
        <v>59</v>
      </c>
      <c r="I12" s="84" t="s">
        <v>160</v>
      </c>
      <c r="K12" s="20">
        <f t="shared" si="2"/>
        <v>10</v>
      </c>
      <c r="M12" s="13">
        <f t="shared" si="3"/>
        <v>46234</v>
      </c>
      <c r="N12" s="13">
        <f t="shared" si="0"/>
        <v>46234</v>
      </c>
      <c r="O12" s="13">
        <f t="shared" si="0"/>
        <v>46234</v>
      </c>
      <c r="P12" s="24">
        <v>8390.977733491969</v>
      </c>
      <c r="Q12" s="168"/>
      <c r="V12">
        <v>1</v>
      </c>
      <c r="W12" t="s">
        <v>33</v>
      </c>
      <c r="Y12" t="s">
        <v>33</v>
      </c>
      <c r="Z12" t="s">
        <v>34</v>
      </c>
      <c r="AA12">
        <v>1</v>
      </c>
      <c r="AC12" s="15"/>
    </row>
    <row r="13" spans="1:31" x14ac:dyDescent="0.35">
      <c r="A13" s="13">
        <f t="shared" si="1"/>
        <v>45930</v>
      </c>
      <c r="B13">
        <v>1</v>
      </c>
      <c r="D13" s="14" t="s">
        <v>31</v>
      </c>
      <c r="E13" s="15" t="s">
        <v>32</v>
      </c>
      <c r="F13" s="16" t="s">
        <v>32</v>
      </c>
      <c r="G13" s="17"/>
      <c r="H13" s="84" t="s">
        <v>59</v>
      </c>
      <c r="I13" s="84" t="s">
        <v>160</v>
      </c>
      <c r="K13" s="20">
        <f t="shared" si="2"/>
        <v>11</v>
      </c>
      <c r="M13" s="13">
        <f t="shared" si="3"/>
        <v>46265</v>
      </c>
      <c r="N13" s="13">
        <f t="shared" si="0"/>
        <v>46265</v>
      </c>
      <c r="O13" s="13">
        <f t="shared" si="0"/>
        <v>46265</v>
      </c>
      <c r="P13" s="24">
        <v>8390.977733491969</v>
      </c>
      <c r="Q13" s="168"/>
      <c r="V13">
        <v>1</v>
      </c>
      <c r="W13" t="s">
        <v>33</v>
      </c>
      <c r="Y13" t="s">
        <v>33</v>
      </c>
      <c r="Z13" t="s">
        <v>34</v>
      </c>
      <c r="AA13">
        <v>1</v>
      </c>
      <c r="AC13" s="15"/>
    </row>
    <row r="14" spans="1:31" x14ac:dyDescent="0.35">
      <c r="A14" s="13">
        <f t="shared" si="1"/>
        <v>45930</v>
      </c>
      <c r="B14">
        <v>1</v>
      </c>
      <c r="D14" s="14" t="s">
        <v>31</v>
      </c>
      <c r="E14" s="15" t="s">
        <v>32</v>
      </c>
      <c r="F14" s="16" t="s">
        <v>32</v>
      </c>
      <c r="G14" s="17"/>
      <c r="H14" s="84" t="s">
        <v>59</v>
      </c>
      <c r="I14" s="84" t="s">
        <v>160</v>
      </c>
      <c r="K14" s="20">
        <f t="shared" si="2"/>
        <v>12</v>
      </c>
      <c r="M14" s="13">
        <f t="shared" si="3"/>
        <v>46295</v>
      </c>
      <c r="N14" s="13">
        <f t="shared" si="0"/>
        <v>46295</v>
      </c>
      <c r="O14" s="13">
        <f t="shared" si="0"/>
        <v>46295</v>
      </c>
      <c r="P14" s="24">
        <v>8390.977733491969</v>
      </c>
      <c r="Q14" s="168"/>
      <c r="V14">
        <v>1</v>
      </c>
      <c r="W14" t="s">
        <v>33</v>
      </c>
      <c r="Y14" t="s">
        <v>33</v>
      </c>
      <c r="Z14" t="s">
        <v>34</v>
      </c>
      <c r="AA14">
        <v>1</v>
      </c>
      <c r="AC14" s="15"/>
    </row>
    <row r="15" spans="1:31" x14ac:dyDescent="0.35">
      <c r="A15" s="13">
        <f t="shared" si="1"/>
        <v>45930</v>
      </c>
      <c r="B15">
        <v>1</v>
      </c>
      <c r="D15" s="14" t="s">
        <v>31</v>
      </c>
      <c r="E15" s="15" t="s">
        <v>32</v>
      </c>
      <c r="F15" s="16" t="s">
        <v>32</v>
      </c>
      <c r="G15" s="17"/>
      <c r="H15" s="84" t="s">
        <v>59</v>
      </c>
      <c r="I15" s="84" t="s">
        <v>160</v>
      </c>
      <c r="K15" s="20">
        <f t="shared" si="2"/>
        <v>13</v>
      </c>
      <c r="M15" s="13">
        <f t="shared" si="3"/>
        <v>46326</v>
      </c>
      <c r="N15" s="13">
        <f t="shared" si="0"/>
        <v>46326</v>
      </c>
      <c r="O15" s="13">
        <f t="shared" si="0"/>
        <v>46326</v>
      </c>
      <c r="P15" s="24">
        <v>8390.977733491969</v>
      </c>
      <c r="Q15" s="168"/>
      <c r="V15">
        <v>1</v>
      </c>
      <c r="W15" t="s">
        <v>33</v>
      </c>
      <c r="Y15" t="s">
        <v>33</v>
      </c>
      <c r="Z15" t="s">
        <v>34</v>
      </c>
      <c r="AA15">
        <v>1</v>
      </c>
      <c r="AC15" s="15"/>
    </row>
    <row r="16" spans="1:31" x14ac:dyDescent="0.35">
      <c r="A16" s="13">
        <f t="shared" si="1"/>
        <v>45930</v>
      </c>
      <c r="B16">
        <v>1</v>
      </c>
      <c r="D16" s="14" t="s">
        <v>31</v>
      </c>
      <c r="E16" s="15" t="s">
        <v>32</v>
      </c>
      <c r="F16" s="16" t="s">
        <v>32</v>
      </c>
      <c r="G16" s="17"/>
      <c r="H16" s="84" t="s">
        <v>59</v>
      </c>
      <c r="I16" s="84" t="s">
        <v>160</v>
      </c>
      <c r="K16" s="20">
        <f t="shared" si="2"/>
        <v>14</v>
      </c>
      <c r="M16" s="13">
        <f t="shared" si="3"/>
        <v>46356</v>
      </c>
      <c r="N16" s="13">
        <f t="shared" si="0"/>
        <v>46356</v>
      </c>
      <c r="O16" s="13">
        <f t="shared" si="0"/>
        <v>46356</v>
      </c>
      <c r="P16" s="24">
        <v>8390.977733491969</v>
      </c>
      <c r="Q16" s="168"/>
      <c r="V16">
        <v>1</v>
      </c>
      <c r="W16" t="s">
        <v>33</v>
      </c>
      <c r="Y16" t="s">
        <v>33</v>
      </c>
      <c r="Z16" t="s">
        <v>34</v>
      </c>
      <c r="AA16">
        <v>1</v>
      </c>
      <c r="AC16" s="15"/>
    </row>
    <row r="17" spans="1:29" x14ac:dyDescent="0.35">
      <c r="A17" s="13">
        <f t="shared" si="1"/>
        <v>45930</v>
      </c>
      <c r="B17">
        <v>1</v>
      </c>
      <c r="D17" s="14" t="s">
        <v>31</v>
      </c>
      <c r="E17" s="15" t="s">
        <v>32</v>
      </c>
      <c r="F17" s="16" t="s">
        <v>32</v>
      </c>
      <c r="G17" s="17"/>
      <c r="H17" s="84" t="s">
        <v>59</v>
      </c>
      <c r="I17" s="84" t="s">
        <v>160</v>
      </c>
      <c r="K17" s="20">
        <f t="shared" si="2"/>
        <v>15</v>
      </c>
      <c r="M17" s="13">
        <f t="shared" si="3"/>
        <v>46387</v>
      </c>
      <c r="N17" s="13">
        <f t="shared" si="0"/>
        <v>46387</v>
      </c>
      <c r="O17" s="13">
        <f t="shared" si="0"/>
        <v>46387</v>
      </c>
      <c r="P17" s="24">
        <v>8390.977733491969</v>
      </c>
      <c r="Q17" s="168"/>
      <c r="V17">
        <v>1</v>
      </c>
      <c r="W17" t="s">
        <v>33</v>
      </c>
      <c r="Y17" t="s">
        <v>33</v>
      </c>
      <c r="Z17" t="s">
        <v>34</v>
      </c>
      <c r="AA17">
        <v>1</v>
      </c>
      <c r="AC17" s="15"/>
    </row>
    <row r="18" spans="1:29" x14ac:dyDescent="0.35">
      <c r="A18" s="13">
        <f t="shared" si="1"/>
        <v>45930</v>
      </c>
      <c r="B18">
        <v>1</v>
      </c>
      <c r="D18" s="14" t="s">
        <v>31</v>
      </c>
      <c r="E18" s="15" t="s">
        <v>32</v>
      </c>
      <c r="F18" s="16" t="s">
        <v>32</v>
      </c>
      <c r="G18" s="17"/>
      <c r="H18" s="84" t="s">
        <v>59</v>
      </c>
      <c r="I18" s="84" t="s">
        <v>160</v>
      </c>
      <c r="K18" s="20">
        <f t="shared" si="2"/>
        <v>16</v>
      </c>
      <c r="M18" s="13">
        <f t="shared" si="3"/>
        <v>46418</v>
      </c>
      <c r="N18" s="13">
        <f t="shared" si="0"/>
        <v>46418</v>
      </c>
      <c r="O18" s="13">
        <f t="shared" si="0"/>
        <v>46418</v>
      </c>
      <c r="P18" s="24">
        <v>8390.977733491969</v>
      </c>
      <c r="Q18" s="168"/>
      <c r="V18">
        <v>1</v>
      </c>
      <c r="W18" t="s">
        <v>33</v>
      </c>
      <c r="Y18" t="s">
        <v>33</v>
      </c>
      <c r="Z18" t="s">
        <v>34</v>
      </c>
      <c r="AA18">
        <v>1</v>
      </c>
      <c r="AC18" s="15"/>
    </row>
    <row r="19" spans="1:29" x14ac:dyDescent="0.35">
      <c r="A19" s="13">
        <f t="shared" si="1"/>
        <v>45930</v>
      </c>
      <c r="B19">
        <v>1</v>
      </c>
      <c r="D19" s="14" t="s">
        <v>31</v>
      </c>
      <c r="E19" s="15" t="s">
        <v>32</v>
      </c>
      <c r="F19" s="16" t="s">
        <v>32</v>
      </c>
      <c r="G19" s="17"/>
      <c r="H19" s="84" t="s">
        <v>59</v>
      </c>
      <c r="I19" s="84" t="s">
        <v>160</v>
      </c>
      <c r="K19" s="20">
        <f t="shared" si="2"/>
        <v>17</v>
      </c>
      <c r="M19" s="13">
        <f t="shared" si="3"/>
        <v>46446</v>
      </c>
      <c r="N19" s="13">
        <f t="shared" si="0"/>
        <v>46446</v>
      </c>
      <c r="O19" s="13">
        <f t="shared" si="0"/>
        <v>46446</v>
      </c>
      <c r="P19" s="24">
        <v>8390.977733491969</v>
      </c>
      <c r="Q19" s="168"/>
      <c r="V19">
        <v>1</v>
      </c>
      <c r="W19" t="s">
        <v>33</v>
      </c>
      <c r="Y19" t="s">
        <v>33</v>
      </c>
      <c r="Z19" t="s">
        <v>34</v>
      </c>
      <c r="AA19">
        <v>1</v>
      </c>
      <c r="AC19" s="15"/>
    </row>
    <row r="20" spans="1:29" x14ac:dyDescent="0.35">
      <c r="A20" s="13">
        <f t="shared" si="1"/>
        <v>45930</v>
      </c>
      <c r="B20">
        <v>1</v>
      </c>
      <c r="D20" s="14" t="s">
        <v>31</v>
      </c>
      <c r="E20" s="15" t="s">
        <v>32</v>
      </c>
      <c r="F20" s="16" t="s">
        <v>32</v>
      </c>
      <c r="G20" s="17"/>
      <c r="H20" s="84" t="s">
        <v>59</v>
      </c>
      <c r="I20" s="84" t="s">
        <v>160</v>
      </c>
      <c r="K20" s="20">
        <f t="shared" si="2"/>
        <v>18</v>
      </c>
      <c r="M20" s="13">
        <f t="shared" si="3"/>
        <v>46477</v>
      </c>
      <c r="N20" s="13">
        <f t="shared" si="0"/>
        <v>46477</v>
      </c>
      <c r="O20" s="13">
        <f t="shared" si="0"/>
        <v>46477</v>
      </c>
      <c r="P20" s="24">
        <v>8390.977733491969</v>
      </c>
      <c r="Q20" s="168"/>
      <c r="V20">
        <v>1</v>
      </c>
      <c r="W20" t="s">
        <v>33</v>
      </c>
      <c r="Y20" t="s">
        <v>33</v>
      </c>
      <c r="Z20" t="s">
        <v>34</v>
      </c>
      <c r="AA20">
        <v>1</v>
      </c>
    </row>
    <row r="21" spans="1:29" x14ac:dyDescent="0.35">
      <c r="A21" s="13">
        <f t="shared" si="1"/>
        <v>45930</v>
      </c>
      <c r="B21">
        <v>1</v>
      </c>
      <c r="D21" s="14" t="s">
        <v>31</v>
      </c>
      <c r="E21" s="15" t="s">
        <v>32</v>
      </c>
      <c r="F21" s="16" t="s">
        <v>32</v>
      </c>
      <c r="G21" s="17"/>
      <c r="H21" s="84" t="s">
        <v>59</v>
      </c>
      <c r="I21" s="84" t="s">
        <v>160</v>
      </c>
      <c r="K21" s="20">
        <f t="shared" si="2"/>
        <v>19</v>
      </c>
      <c r="M21" s="13">
        <f t="shared" si="3"/>
        <v>46507</v>
      </c>
      <c r="N21" s="13">
        <f t="shared" si="0"/>
        <v>46507</v>
      </c>
      <c r="O21" s="13">
        <f t="shared" si="0"/>
        <v>46507</v>
      </c>
      <c r="P21" s="24">
        <v>8390.977733491969</v>
      </c>
      <c r="Q21" s="168"/>
      <c r="V21">
        <v>1</v>
      </c>
      <c r="W21" t="s">
        <v>33</v>
      </c>
      <c r="Y21" t="s">
        <v>33</v>
      </c>
      <c r="Z21" t="s">
        <v>34</v>
      </c>
      <c r="AA21">
        <v>1</v>
      </c>
    </row>
    <row r="22" spans="1:29" x14ac:dyDescent="0.35">
      <c r="A22" s="13">
        <f t="shared" si="1"/>
        <v>45930</v>
      </c>
      <c r="B22">
        <v>1</v>
      </c>
      <c r="D22" s="14" t="s">
        <v>31</v>
      </c>
      <c r="E22" s="15" t="s">
        <v>32</v>
      </c>
      <c r="F22" s="16" t="s">
        <v>32</v>
      </c>
      <c r="G22" s="17"/>
      <c r="H22" s="84" t="s">
        <v>59</v>
      </c>
      <c r="I22" s="84" t="s">
        <v>160</v>
      </c>
      <c r="K22" s="20">
        <f t="shared" si="2"/>
        <v>20</v>
      </c>
      <c r="M22" s="13">
        <f t="shared" si="3"/>
        <v>46538</v>
      </c>
      <c r="N22" s="13">
        <f t="shared" si="0"/>
        <v>46538</v>
      </c>
      <c r="O22" s="13">
        <f t="shared" si="0"/>
        <v>46538</v>
      </c>
      <c r="P22" s="24">
        <v>8390.977733491969</v>
      </c>
      <c r="Q22" s="168"/>
      <c r="V22">
        <v>1</v>
      </c>
      <c r="W22" t="s">
        <v>33</v>
      </c>
      <c r="Y22" t="s">
        <v>33</v>
      </c>
      <c r="Z22" t="s">
        <v>34</v>
      </c>
      <c r="AA22">
        <v>1</v>
      </c>
    </row>
    <row r="23" spans="1:29" x14ac:dyDescent="0.35">
      <c r="A23" s="13">
        <f t="shared" si="1"/>
        <v>45930</v>
      </c>
      <c r="B23">
        <v>1</v>
      </c>
      <c r="D23" s="14" t="s">
        <v>31</v>
      </c>
      <c r="E23" s="15" t="s">
        <v>32</v>
      </c>
      <c r="F23" s="16" t="s">
        <v>32</v>
      </c>
      <c r="G23" s="17"/>
      <c r="H23" s="84" t="s">
        <v>59</v>
      </c>
      <c r="I23" s="84" t="s">
        <v>160</v>
      </c>
      <c r="K23" s="20">
        <f t="shared" si="2"/>
        <v>21</v>
      </c>
      <c r="M23" s="13">
        <f t="shared" si="3"/>
        <v>46568</v>
      </c>
      <c r="N23" s="13">
        <f t="shared" si="0"/>
        <v>46568</v>
      </c>
      <c r="O23" s="13">
        <f t="shared" si="0"/>
        <v>46568</v>
      </c>
      <c r="P23" s="24">
        <v>8390.977733491969</v>
      </c>
      <c r="Q23" s="168"/>
      <c r="V23">
        <v>1</v>
      </c>
      <c r="W23" t="s">
        <v>33</v>
      </c>
      <c r="Y23" t="s">
        <v>33</v>
      </c>
      <c r="Z23" t="s">
        <v>34</v>
      </c>
      <c r="AA23">
        <v>1</v>
      </c>
    </row>
    <row r="24" spans="1:29" x14ac:dyDescent="0.35">
      <c r="A24" s="13">
        <f t="shared" si="1"/>
        <v>45930</v>
      </c>
      <c r="B24">
        <v>1</v>
      </c>
      <c r="D24" s="14" t="s">
        <v>31</v>
      </c>
      <c r="E24" s="15" t="s">
        <v>32</v>
      </c>
      <c r="F24" s="16" t="s">
        <v>32</v>
      </c>
      <c r="G24" s="17"/>
      <c r="H24" s="84" t="s">
        <v>59</v>
      </c>
      <c r="I24" s="84" t="s">
        <v>160</v>
      </c>
      <c r="K24" s="20">
        <f t="shared" si="2"/>
        <v>22</v>
      </c>
      <c r="M24" s="13">
        <f t="shared" si="3"/>
        <v>46599</v>
      </c>
      <c r="N24" s="13">
        <f t="shared" si="0"/>
        <v>46599</v>
      </c>
      <c r="O24" s="13">
        <f t="shared" si="0"/>
        <v>46599</v>
      </c>
      <c r="P24" s="24">
        <v>8390.977733491969</v>
      </c>
      <c r="Q24" s="168"/>
      <c r="V24">
        <v>1</v>
      </c>
      <c r="W24" t="s">
        <v>33</v>
      </c>
      <c r="Y24" t="s">
        <v>33</v>
      </c>
      <c r="Z24" t="s">
        <v>34</v>
      </c>
      <c r="AA24">
        <v>1</v>
      </c>
    </row>
    <row r="25" spans="1:29" x14ac:dyDescent="0.35">
      <c r="A25" s="13">
        <f t="shared" si="1"/>
        <v>45930</v>
      </c>
      <c r="B25">
        <v>1</v>
      </c>
      <c r="D25" s="14" t="s">
        <v>31</v>
      </c>
      <c r="E25" s="15" t="s">
        <v>32</v>
      </c>
      <c r="F25" s="16" t="s">
        <v>32</v>
      </c>
      <c r="G25" s="17"/>
      <c r="H25" s="84" t="s">
        <v>59</v>
      </c>
      <c r="I25" s="84" t="s">
        <v>160</v>
      </c>
      <c r="K25" s="20">
        <f t="shared" si="2"/>
        <v>23</v>
      </c>
      <c r="M25" s="13">
        <f t="shared" si="3"/>
        <v>46630</v>
      </c>
      <c r="N25" s="13">
        <f t="shared" si="0"/>
        <v>46630</v>
      </c>
      <c r="O25" s="13">
        <f t="shared" si="0"/>
        <v>46630</v>
      </c>
      <c r="P25" s="24">
        <v>8390.977733491969</v>
      </c>
      <c r="Q25" s="168"/>
      <c r="V25">
        <v>1</v>
      </c>
      <c r="W25" t="s">
        <v>33</v>
      </c>
      <c r="Y25" t="s">
        <v>33</v>
      </c>
      <c r="Z25" t="s">
        <v>34</v>
      </c>
      <c r="AA25">
        <v>1</v>
      </c>
    </row>
    <row r="26" spans="1:29" x14ac:dyDescent="0.35">
      <c r="A26" s="13">
        <f t="shared" si="1"/>
        <v>45930</v>
      </c>
      <c r="B26">
        <v>1</v>
      </c>
      <c r="D26" s="14" t="s">
        <v>31</v>
      </c>
      <c r="E26" s="15" t="s">
        <v>32</v>
      </c>
      <c r="F26" s="16" t="s">
        <v>32</v>
      </c>
      <c r="G26" s="17"/>
      <c r="H26" s="84" t="s">
        <v>59</v>
      </c>
      <c r="I26" s="84" t="s">
        <v>160</v>
      </c>
      <c r="K26" s="20">
        <f t="shared" si="2"/>
        <v>24</v>
      </c>
      <c r="M26" s="13">
        <f t="shared" si="3"/>
        <v>46660</v>
      </c>
      <c r="N26" s="13">
        <f t="shared" si="0"/>
        <v>46660</v>
      </c>
      <c r="O26" s="13">
        <f t="shared" si="0"/>
        <v>46660</v>
      </c>
      <c r="P26" s="24">
        <v>8390.977733491969</v>
      </c>
      <c r="Q26" s="168"/>
      <c r="V26">
        <v>1</v>
      </c>
      <c r="W26" t="s">
        <v>33</v>
      </c>
      <c r="Y26" t="s">
        <v>33</v>
      </c>
      <c r="Z26" t="s">
        <v>34</v>
      </c>
      <c r="AA26">
        <v>1</v>
      </c>
    </row>
    <row r="27" spans="1:29" x14ac:dyDescent="0.35">
      <c r="A27" s="13">
        <f t="shared" si="1"/>
        <v>45930</v>
      </c>
      <c r="B27">
        <v>1</v>
      </c>
      <c r="D27" s="14" t="s">
        <v>31</v>
      </c>
      <c r="E27" s="15" t="s">
        <v>32</v>
      </c>
      <c r="F27" s="16" t="s">
        <v>32</v>
      </c>
      <c r="G27" s="17"/>
      <c r="H27" s="84" t="s">
        <v>59</v>
      </c>
      <c r="I27" s="84" t="s">
        <v>160</v>
      </c>
      <c r="K27" s="20">
        <f t="shared" si="2"/>
        <v>25</v>
      </c>
      <c r="M27" s="13">
        <f t="shared" si="3"/>
        <v>46691</v>
      </c>
      <c r="N27" s="13">
        <f t="shared" si="0"/>
        <v>46691</v>
      </c>
      <c r="O27" s="13">
        <f t="shared" si="0"/>
        <v>46691</v>
      </c>
      <c r="P27" s="24">
        <v>8390.977733491969</v>
      </c>
      <c r="Q27" s="168"/>
      <c r="V27">
        <v>1</v>
      </c>
      <c r="W27" t="s">
        <v>33</v>
      </c>
      <c r="Y27" t="s">
        <v>33</v>
      </c>
      <c r="Z27" t="s">
        <v>34</v>
      </c>
      <c r="AA27">
        <v>1</v>
      </c>
    </row>
    <row r="28" spans="1:29" x14ac:dyDescent="0.35">
      <c r="A28" s="13">
        <f t="shared" si="1"/>
        <v>45930</v>
      </c>
      <c r="B28">
        <v>1</v>
      </c>
      <c r="D28" s="14" t="s">
        <v>31</v>
      </c>
      <c r="E28" s="15" t="s">
        <v>32</v>
      </c>
      <c r="F28" s="16" t="s">
        <v>32</v>
      </c>
      <c r="G28" s="17"/>
      <c r="H28" s="84" t="s">
        <v>59</v>
      </c>
      <c r="I28" s="84" t="s">
        <v>160</v>
      </c>
      <c r="K28" s="20">
        <f t="shared" si="2"/>
        <v>26</v>
      </c>
      <c r="M28" s="13">
        <f t="shared" si="3"/>
        <v>46721</v>
      </c>
      <c r="N28" s="13">
        <f t="shared" si="0"/>
        <v>46721</v>
      </c>
      <c r="O28" s="13">
        <f t="shared" si="0"/>
        <v>46721</v>
      </c>
      <c r="P28" s="24">
        <v>8390.977733491969</v>
      </c>
      <c r="Q28" s="168"/>
      <c r="V28">
        <v>1</v>
      </c>
      <c r="W28" t="s">
        <v>33</v>
      </c>
      <c r="Y28" t="s">
        <v>33</v>
      </c>
      <c r="Z28" t="s">
        <v>34</v>
      </c>
      <c r="AA28">
        <v>1</v>
      </c>
    </row>
    <row r="29" spans="1:29" x14ac:dyDescent="0.35">
      <c r="A29" s="13">
        <f t="shared" si="1"/>
        <v>45930</v>
      </c>
      <c r="B29">
        <v>1</v>
      </c>
      <c r="D29" s="14" t="s">
        <v>31</v>
      </c>
      <c r="E29" s="15" t="s">
        <v>32</v>
      </c>
      <c r="F29" s="16" t="s">
        <v>32</v>
      </c>
      <c r="G29" s="17"/>
      <c r="H29" s="84" t="s">
        <v>59</v>
      </c>
      <c r="I29" s="84" t="s">
        <v>160</v>
      </c>
      <c r="K29" s="20">
        <f t="shared" si="2"/>
        <v>27</v>
      </c>
      <c r="M29" s="13">
        <f t="shared" si="3"/>
        <v>46752</v>
      </c>
      <c r="N29" s="13">
        <f t="shared" si="0"/>
        <v>46752</v>
      </c>
      <c r="O29" s="13">
        <f t="shared" si="0"/>
        <v>46752</v>
      </c>
      <c r="P29" s="24">
        <v>8390.977733491969</v>
      </c>
      <c r="Q29" s="168"/>
      <c r="V29">
        <v>1</v>
      </c>
      <c r="W29" t="s">
        <v>33</v>
      </c>
      <c r="Y29" t="s">
        <v>33</v>
      </c>
      <c r="Z29" t="s">
        <v>34</v>
      </c>
      <c r="AA29">
        <v>1</v>
      </c>
    </row>
    <row r="30" spans="1:29" x14ac:dyDescent="0.35">
      <c r="A30" s="13">
        <f t="shared" si="1"/>
        <v>45930</v>
      </c>
      <c r="B30">
        <v>1</v>
      </c>
      <c r="D30" s="14" t="s">
        <v>31</v>
      </c>
      <c r="E30" s="15" t="s">
        <v>32</v>
      </c>
      <c r="F30" s="16" t="s">
        <v>32</v>
      </c>
      <c r="G30" s="17"/>
      <c r="H30" s="84" t="s">
        <v>59</v>
      </c>
      <c r="I30" s="84" t="s">
        <v>160</v>
      </c>
      <c r="K30" s="20">
        <f t="shared" si="2"/>
        <v>28</v>
      </c>
      <c r="M30" s="13">
        <f t="shared" si="3"/>
        <v>46783</v>
      </c>
      <c r="N30" s="13">
        <f t="shared" si="0"/>
        <v>46783</v>
      </c>
      <c r="O30" s="13">
        <f t="shared" si="0"/>
        <v>46783</v>
      </c>
      <c r="P30" s="24">
        <v>8390.977733491969</v>
      </c>
      <c r="Q30" s="168"/>
      <c r="V30">
        <v>1</v>
      </c>
      <c r="W30" t="s">
        <v>33</v>
      </c>
      <c r="Y30" t="s">
        <v>33</v>
      </c>
      <c r="Z30" t="s">
        <v>34</v>
      </c>
      <c r="AA30">
        <v>1</v>
      </c>
    </row>
    <row r="31" spans="1:29" x14ac:dyDescent="0.35">
      <c r="A31" s="13">
        <f t="shared" si="1"/>
        <v>45930</v>
      </c>
      <c r="B31">
        <v>1</v>
      </c>
      <c r="D31" s="14" t="s">
        <v>31</v>
      </c>
      <c r="E31" s="15" t="s">
        <v>32</v>
      </c>
      <c r="F31" s="16" t="s">
        <v>32</v>
      </c>
      <c r="G31" s="17"/>
      <c r="H31" s="84" t="s">
        <v>59</v>
      </c>
      <c r="I31" s="84" t="s">
        <v>160</v>
      </c>
      <c r="K31" s="20">
        <f t="shared" si="2"/>
        <v>29</v>
      </c>
      <c r="M31" s="13">
        <f t="shared" si="3"/>
        <v>46812</v>
      </c>
      <c r="N31" s="13">
        <f t="shared" si="0"/>
        <v>46812</v>
      </c>
      <c r="O31" s="13">
        <f t="shared" si="0"/>
        <v>46812</v>
      </c>
      <c r="P31" s="24">
        <v>8390.977733491969</v>
      </c>
      <c r="Q31" s="168"/>
      <c r="V31">
        <v>1</v>
      </c>
      <c r="W31" t="s">
        <v>33</v>
      </c>
      <c r="Y31" t="s">
        <v>33</v>
      </c>
      <c r="Z31" t="s">
        <v>34</v>
      </c>
      <c r="AA31">
        <v>1</v>
      </c>
    </row>
    <row r="32" spans="1:29" x14ac:dyDescent="0.35">
      <c r="A32" s="13">
        <f t="shared" si="1"/>
        <v>45930</v>
      </c>
      <c r="B32">
        <v>1</v>
      </c>
      <c r="D32" s="14" t="s">
        <v>31</v>
      </c>
      <c r="E32" s="15" t="s">
        <v>32</v>
      </c>
      <c r="F32" s="16" t="s">
        <v>32</v>
      </c>
      <c r="G32" s="17"/>
      <c r="H32" s="84" t="s">
        <v>59</v>
      </c>
      <c r="I32" s="84" t="s">
        <v>160</v>
      </c>
      <c r="K32" s="20">
        <f t="shared" si="2"/>
        <v>30</v>
      </c>
      <c r="M32" s="13">
        <f t="shared" si="3"/>
        <v>46843</v>
      </c>
      <c r="N32" s="13">
        <f t="shared" si="0"/>
        <v>46843</v>
      </c>
      <c r="O32" s="13">
        <f t="shared" si="0"/>
        <v>46843</v>
      </c>
      <c r="P32" s="24">
        <v>8390.977733491969</v>
      </c>
      <c r="Q32" s="168"/>
      <c r="V32">
        <v>1</v>
      </c>
      <c r="W32" t="s">
        <v>33</v>
      </c>
      <c r="Y32" t="s">
        <v>33</v>
      </c>
      <c r="Z32" t="s">
        <v>34</v>
      </c>
      <c r="AA32">
        <v>1</v>
      </c>
    </row>
    <row r="33" spans="1:27" x14ac:dyDescent="0.35">
      <c r="A33" s="13">
        <f t="shared" si="1"/>
        <v>45930</v>
      </c>
      <c r="B33">
        <v>1</v>
      </c>
      <c r="D33" s="14" t="s">
        <v>31</v>
      </c>
      <c r="E33" s="15" t="s">
        <v>32</v>
      </c>
      <c r="F33" s="16" t="s">
        <v>32</v>
      </c>
      <c r="G33" s="17"/>
      <c r="H33" s="84" t="s">
        <v>59</v>
      </c>
      <c r="I33" s="84" t="s">
        <v>160</v>
      </c>
      <c r="K33" s="20">
        <f t="shared" ref="K33:K96" si="4">K32+1</f>
        <v>31</v>
      </c>
      <c r="M33" s="13">
        <f t="shared" si="3"/>
        <v>46873</v>
      </c>
      <c r="N33" s="13">
        <f t="shared" si="0"/>
        <v>46873</v>
      </c>
      <c r="O33" s="13">
        <f t="shared" si="0"/>
        <v>46873</v>
      </c>
      <c r="P33" s="24">
        <v>8390.977733491969</v>
      </c>
      <c r="Q33" s="168"/>
      <c r="V33">
        <v>1</v>
      </c>
      <c r="W33" t="s">
        <v>33</v>
      </c>
      <c r="Y33" t="s">
        <v>33</v>
      </c>
      <c r="Z33" t="s">
        <v>34</v>
      </c>
      <c r="AA33">
        <v>1</v>
      </c>
    </row>
    <row r="34" spans="1:27" x14ac:dyDescent="0.35">
      <c r="A34" s="13">
        <f t="shared" si="1"/>
        <v>45930</v>
      </c>
      <c r="B34">
        <v>1</v>
      </c>
      <c r="D34" s="14" t="s">
        <v>31</v>
      </c>
      <c r="E34" s="15" t="s">
        <v>32</v>
      </c>
      <c r="F34" s="16" t="s">
        <v>32</v>
      </c>
      <c r="G34" s="17"/>
      <c r="H34" s="84" t="s">
        <v>59</v>
      </c>
      <c r="I34" s="84" t="s">
        <v>160</v>
      </c>
      <c r="K34" s="20">
        <f t="shared" si="4"/>
        <v>32</v>
      </c>
      <c r="M34" s="13">
        <f t="shared" si="3"/>
        <v>46904</v>
      </c>
      <c r="N34" s="13">
        <f t="shared" si="0"/>
        <v>46904</v>
      </c>
      <c r="O34" s="13">
        <f t="shared" si="0"/>
        <v>46904</v>
      </c>
      <c r="P34" s="24">
        <v>8390.977733491969</v>
      </c>
      <c r="Q34" s="168"/>
      <c r="V34">
        <v>1</v>
      </c>
      <c r="W34" t="s">
        <v>33</v>
      </c>
      <c r="Y34" t="s">
        <v>33</v>
      </c>
      <c r="Z34" t="s">
        <v>34</v>
      </c>
      <c r="AA34">
        <v>1</v>
      </c>
    </row>
    <row r="35" spans="1:27" x14ac:dyDescent="0.35">
      <c r="A35" s="13">
        <f t="shared" si="1"/>
        <v>45930</v>
      </c>
      <c r="B35">
        <v>1</v>
      </c>
      <c r="D35" s="14" t="s">
        <v>31</v>
      </c>
      <c r="E35" s="15" t="s">
        <v>32</v>
      </c>
      <c r="F35" s="16" t="s">
        <v>32</v>
      </c>
      <c r="G35" s="17"/>
      <c r="H35" s="84" t="s">
        <v>59</v>
      </c>
      <c r="I35" s="84" t="s">
        <v>160</v>
      </c>
      <c r="K35" s="20">
        <f t="shared" si="4"/>
        <v>33</v>
      </c>
      <c r="M35" s="13">
        <f t="shared" si="3"/>
        <v>46934</v>
      </c>
      <c r="N35" s="13">
        <f t="shared" si="0"/>
        <v>46934</v>
      </c>
      <c r="O35" s="13">
        <f t="shared" si="0"/>
        <v>46934</v>
      </c>
      <c r="P35" s="24">
        <v>8390.977733491969</v>
      </c>
      <c r="Q35" s="168"/>
      <c r="V35">
        <v>1</v>
      </c>
      <c r="W35" t="s">
        <v>33</v>
      </c>
      <c r="Y35" t="s">
        <v>33</v>
      </c>
      <c r="Z35" t="s">
        <v>34</v>
      </c>
      <c r="AA35">
        <v>1</v>
      </c>
    </row>
    <row r="36" spans="1:27" x14ac:dyDescent="0.35">
      <c r="A36" s="13">
        <f t="shared" si="1"/>
        <v>45930</v>
      </c>
      <c r="B36">
        <v>1</v>
      </c>
      <c r="D36" s="14" t="s">
        <v>31</v>
      </c>
      <c r="E36" s="15" t="s">
        <v>32</v>
      </c>
      <c r="F36" s="16" t="s">
        <v>32</v>
      </c>
      <c r="G36" s="17"/>
      <c r="H36" s="84" t="s">
        <v>59</v>
      </c>
      <c r="I36" s="84" t="s">
        <v>160</v>
      </c>
      <c r="K36" s="20">
        <f t="shared" si="4"/>
        <v>34</v>
      </c>
      <c r="M36" s="13">
        <f t="shared" si="3"/>
        <v>46965</v>
      </c>
      <c r="N36" s="13">
        <f t="shared" si="0"/>
        <v>46965</v>
      </c>
      <c r="O36" s="13">
        <f t="shared" si="0"/>
        <v>46965</v>
      </c>
      <c r="P36" s="24">
        <v>8390.977733491969</v>
      </c>
      <c r="Q36" s="168"/>
      <c r="V36">
        <v>1</v>
      </c>
      <c r="W36" t="s">
        <v>33</v>
      </c>
      <c r="Y36" t="s">
        <v>33</v>
      </c>
      <c r="Z36" t="s">
        <v>34</v>
      </c>
      <c r="AA36">
        <v>1</v>
      </c>
    </row>
    <row r="37" spans="1:27" x14ac:dyDescent="0.35">
      <c r="A37" s="13">
        <f t="shared" si="1"/>
        <v>45930</v>
      </c>
      <c r="B37">
        <v>1</v>
      </c>
      <c r="D37" s="14" t="s">
        <v>31</v>
      </c>
      <c r="E37" s="15" t="s">
        <v>32</v>
      </c>
      <c r="F37" s="16" t="s">
        <v>32</v>
      </c>
      <c r="G37" s="17"/>
      <c r="H37" s="84" t="s">
        <v>59</v>
      </c>
      <c r="I37" s="84" t="s">
        <v>160</v>
      </c>
      <c r="K37" s="20">
        <f t="shared" si="4"/>
        <v>35</v>
      </c>
      <c r="M37" s="13">
        <f t="shared" si="3"/>
        <v>46996</v>
      </c>
      <c r="N37" s="13">
        <f t="shared" si="0"/>
        <v>46996</v>
      </c>
      <c r="O37" s="13">
        <f t="shared" si="0"/>
        <v>46996</v>
      </c>
      <c r="P37" s="24">
        <v>8390.977733491969</v>
      </c>
      <c r="Q37" s="168"/>
      <c r="V37">
        <v>1</v>
      </c>
      <c r="W37" t="s">
        <v>33</v>
      </c>
      <c r="Y37" t="s">
        <v>33</v>
      </c>
      <c r="Z37" t="s">
        <v>34</v>
      </c>
      <c r="AA37">
        <v>1</v>
      </c>
    </row>
    <row r="38" spans="1:27" x14ac:dyDescent="0.35">
      <c r="A38" s="13">
        <f t="shared" si="1"/>
        <v>45930</v>
      </c>
      <c r="B38">
        <v>1</v>
      </c>
      <c r="D38" s="14" t="s">
        <v>31</v>
      </c>
      <c r="E38" s="15" t="s">
        <v>32</v>
      </c>
      <c r="F38" s="16" t="s">
        <v>32</v>
      </c>
      <c r="G38" s="17"/>
      <c r="H38" s="84" t="s">
        <v>59</v>
      </c>
      <c r="I38" s="84" t="s">
        <v>160</v>
      </c>
      <c r="K38" s="20">
        <f t="shared" si="4"/>
        <v>36</v>
      </c>
      <c r="M38" s="13">
        <f t="shared" si="3"/>
        <v>47026</v>
      </c>
      <c r="N38" s="13">
        <f t="shared" si="0"/>
        <v>47026</v>
      </c>
      <c r="O38" s="13">
        <f t="shared" si="0"/>
        <v>47026</v>
      </c>
      <c r="P38" s="24">
        <v>8390.977733491969</v>
      </c>
      <c r="Q38" s="168"/>
      <c r="V38">
        <v>1</v>
      </c>
      <c r="W38" t="s">
        <v>33</v>
      </c>
      <c r="Y38" t="s">
        <v>33</v>
      </c>
      <c r="Z38" t="s">
        <v>34</v>
      </c>
      <c r="AA38">
        <v>1</v>
      </c>
    </row>
    <row r="39" spans="1:27" x14ac:dyDescent="0.35">
      <c r="A39" s="13">
        <f t="shared" si="1"/>
        <v>45930</v>
      </c>
      <c r="B39">
        <v>1</v>
      </c>
      <c r="D39" s="14" t="s">
        <v>31</v>
      </c>
      <c r="E39" s="15" t="s">
        <v>32</v>
      </c>
      <c r="F39" s="16" t="s">
        <v>32</v>
      </c>
      <c r="G39" s="17"/>
      <c r="H39" s="84" t="s">
        <v>59</v>
      </c>
      <c r="I39" s="84" t="s">
        <v>160</v>
      </c>
      <c r="K39" s="20">
        <f t="shared" si="4"/>
        <v>37</v>
      </c>
      <c r="M39" s="13">
        <f t="shared" si="3"/>
        <v>47057</v>
      </c>
      <c r="N39" s="13">
        <f t="shared" si="0"/>
        <v>47057</v>
      </c>
      <c r="O39" s="13">
        <f t="shared" si="0"/>
        <v>47057</v>
      </c>
      <c r="P39" s="24">
        <v>8390.977733491969</v>
      </c>
      <c r="Q39" s="168"/>
      <c r="V39">
        <v>1</v>
      </c>
      <c r="W39" t="s">
        <v>33</v>
      </c>
      <c r="Y39" t="s">
        <v>33</v>
      </c>
      <c r="Z39" t="s">
        <v>34</v>
      </c>
      <c r="AA39">
        <v>1</v>
      </c>
    </row>
    <row r="40" spans="1:27" x14ac:dyDescent="0.35">
      <c r="A40" s="13">
        <f t="shared" si="1"/>
        <v>45930</v>
      </c>
      <c r="B40">
        <v>1</v>
      </c>
      <c r="D40" s="14" t="s">
        <v>31</v>
      </c>
      <c r="E40" s="15" t="s">
        <v>32</v>
      </c>
      <c r="F40" s="16" t="s">
        <v>32</v>
      </c>
      <c r="G40" s="17"/>
      <c r="H40" s="84" t="s">
        <v>59</v>
      </c>
      <c r="I40" s="84" t="s">
        <v>160</v>
      </c>
      <c r="K40" s="20">
        <f t="shared" si="4"/>
        <v>38</v>
      </c>
      <c r="M40" s="13">
        <f t="shared" si="3"/>
        <v>47087</v>
      </c>
      <c r="N40" s="13">
        <f t="shared" si="0"/>
        <v>47087</v>
      </c>
      <c r="O40" s="13">
        <f t="shared" si="0"/>
        <v>47087</v>
      </c>
      <c r="P40" s="24">
        <v>8390.977733491969</v>
      </c>
      <c r="Q40" s="168"/>
      <c r="V40">
        <v>1</v>
      </c>
      <c r="W40" t="s">
        <v>33</v>
      </c>
      <c r="Y40" t="s">
        <v>33</v>
      </c>
      <c r="Z40" t="s">
        <v>34</v>
      </c>
      <c r="AA40">
        <v>1</v>
      </c>
    </row>
    <row r="41" spans="1:27" x14ac:dyDescent="0.35">
      <c r="A41" s="13">
        <f t="shared" si="1"/>
        <v>45930</v>
      </c>
      <c r="B41">
        <v>1</v>
      </c>
      <c r="D41" s="14" t="s">
        <v>31</v>
      </c>
      <c r="E41" s="15" t="s">
        <v>32</v>
      </c>
      <c r="F41" s="16" t="s">
        <v>32</v>
      </c>
      <c r="G41" s="17"/>
      <c r="H41" s="84" t="s">
        <v>59</v>
      </c>
      <c r="I41" s="84" t="s">
        <v>160</v>
      </c>
      <c r="K41" s="20">
        <f t="shared" si="4"/>
        <v>39</v>
      </c>
      <c r="M41" s="13">
        <f t="shared" si="3"/>
        <v>47118</v>
      </c>
      <c r="N41" s="13">
        <f t="shared" si="0"/>
        <v>47118</v>
      </c>
      <c r="O41" s="13">
        <f t="shared" si="0"/>
        <v>47118</v>
      </c>
      <c r="P41" s="24">
        <v>8390.977733491969</v>
      </c>
      <c r="Q41" s="168"/>
      <c r="V41">
        <v>1</v>
      </c>
      <c r="W41" t="s">
        <v>33</v>
      </c>
      <c r="Y41" t="s">
        <v>33</v>
      </c>
      <c r="Z41" t="s">
        <v>34</v>
      </c>
      <c r="AA41">
        <v>1</v>
      </c>
    </row>
    <row r="42" spans="1:27" x14ac:dyDescent="0.35">
      <c r="A42" s="13">
        <f t="shared" si="1"/>
        <v>45930</v>
      </c>
      <c r="B42">
        <v>1</v>
      </c>
      <c r="D42" s="14" t="s">
        <v>31</v>
      </c>
      <c r="E42" s="15" t="s">
        <v>32</v>
      </c>
      <c r="F42" s="16" t="s">
        <v>32</v>
      </c>
      <c r="G42" s="17"/>
      <c r="H42" s="84" t="s">
        <v>59</v>
      </c>
      <c r="I42" s="84" t="s">
        <v>160</v>
      </c>
      <c r="K42" s="20">
        <f t="shared" si="4"/>
        <v>40</v>
      </c>
      <c r="M42" s="13">
        <f t="shared" si="3"/>
        <v>47149</v>
      </c>
      <c r="N42" s="13">
        <f t="shared" si="0"/>
        <v>47149</v>
      </c>
      <c r="O42" s="13">
        <f t="shared" si="0"/>
        <v>47149</v>
      </c>
      <c r="P42" s="24">
        <v>8390.977733491969</v>
      </c>
      <c r="Q42" s="168"/>
      <c r="V42">
        <v>1</v>
      </c>
      <c r="W42" t="s">
        <v>33</v>
      </c>
      <c r="Y42" t="s">
        <v>33</v>
      </c>
      <c r="Z42" t="s">
        <v>34</v>
      </c>
      <c r="AA42">
        <v>1</v>
      </c>
    </row>
    <row r="43" spans="1:27" x14ac:dyDescent="0.35">
      <c r="A43" s="13">
        <f t="shared" si="1"/>
        <v>45930</v>
      </c>
      <c r="B43">
        <v>1</v>
      </c>
      <c r="D43" s="14" t="s">
        <v>31</v>
      </c>
      <c r="E43" s="15" t="s">
        <v>32</v>
      </c>
      <c r="F43" s="16" t="s">
        <v>32</v>
      </c>
      <c r="G43" s="17"/>
      <c r="H43" s="84" t="s">
        <v>59</v>
      </c>
      <c r="I43" s="84" t="s">
        <v>160</v>
      </c>
      <c r="K43" s="20">
        <f t="shared" si="4"/>
        <v>41</v>
      </c>
      <c r="M43" s="13">
        <f t="shared" si="3"/>
        <v>47177</v>
      </c>
      <c r="N43" s="13">
        <f t="shared" si="0"/>
        <v>47177</v>
      </c>
      <c r="O43" s="13">
        <f t="shared" si="0"/>
        <v>47177</v>
      </c>
      <c r="P43" s="24">
        <v>8390.977733491969</v>
      </c>
      <c r="Q43" s="168"/>
      <c r="V43">
        <v>1</v>
      </c>
      <c r="W43" t="s">
        <v>33</v>
      </c>
      <c r="Y43" t="s">
        <v>33</v>
      </c>
      <c r="Z43" t="s">
        <v>34</v>
      </c>
      <c r="AA43">
        <v>1</v>
      </c>
    </row>
    <row r="44" spans="1:27" x14ac:dyDescent="0.35">
      <c r="A44" s="13">
        <f t="shared" si="1"/>
        <v>45930</v>
      </c>
      <c r="B44">
        <v>1</v>
      </c>
      <c r="D44" s="14" t="s">
        <v>31</v>
      </c>
      <c r="E44" s="15" t="s">
        <v>32</v>
      </c>
      <c r="F44" s="16" t="s">
        <v>32</v>
      </c>
      <c r="G44" s="17"/>
      <c r="H44" s="84" t="s">
        <v>59</v>
      </c>
      <c r="I44" s="84" t="s">
        <v>160</v>
      </c>
      <c r="K44" s="20">
        <f t="shared" si="4"/>
        <v>42</v>
      </c>
      <c r="M44" s="13">
        <f t="shared" si="3"/>
        <v>47208</v>
      </c>
      <c r="N44" s="13">
        <f t="shared" si="0"/>
        <v>47208</v>
      </c>
      <c r="O44" s="13">
        <f t="shared" si="0"/>
        <v>47208</v>
      </c>
      <c r="P44" s="24">
        <v>8390.977733491969</v>
      </c>
      <c r="Q44" s="168"/>
      <c r="V44">
        <v>1</v>
      </c>
      <c r="W44" t="s">
        <v>33</v>
      </c>
      <c r="Y44" t="s">
        <v>33</v>
      </c>
      <c r="Z44" t="s">
        <v>34</v>
      </c>
      <c r="AA44">
        <v>1</v>
      </c>
    </row>
    <row r="45" spans="1:27" x14ac:dyDescent="0.35">
      <c r="A45" s="13">
        <f t="shared" si="1"/>
        <v>45930</v>
      </c>
      <c r="B45">
        <v>1</v>
      </c>
      <c r="D45" s="14" t="s">
        <v>31</v>
      </c>
      <c r="E45" s="15" t="s">
        <v>32</v>
      </c>
      <c r="F45" s="16" t="s">
        <v>32</v>
      </c>
      <c r="G45" s="17"/>
      <c r="H45" s="84" t="s">
        <v>59</v>
      </c>
      <c r="I45" s="84" t="s">
        <v>160</v>
      </c>
      <c r="K45" s="20">
        <f t="shared" si="4"/>
        <v>43</v>
      </c>
      <c r="M45" s="13">
        <f t="shared" si="3"/>
        <v>47238</v>
      </c>
      <c r="N45" s="13">
        <f t="shared" si="0"/>
        <v>47238</v>
      </c>
      <c r="O45" s="13">
        <f t="shared" si="0"/>
        <v>47238</v>
      </c>
      <c r="P45" s="24">
        <v>8390.977733491969</v>
      </c>
      <c r="Q45" s="168"/>
      <c r="V45">
        <v>1</v>
      </c>
      <c r="W45" t="s">
        <v>33</v>
      </c>
      <c r="Y45" t="s">
        <v>33</v>
      </c>
      <c r="Z45" t="s">
        <v>34</v>
      </c>
      <c r="AA45">
        <v>1</v>
      </c>
    </row>
    <row r="46" spans="1:27" x14ac:dyDescent="0.35">
      <c r="A46" s="13">
        <f t="shared" si="1"/>
        <v>45930</v>
      </c>
      <c r="B46">
        <v>1</v>
      </c>
      <c r="D46" s="14" t="s">
        <v>31</v>
      </c>
      <c r="E46" s="15" t="s">
        <v>32</v>
      </c>
      <c r="F46" s="16" t="s">
        <v>32</v>
      </c>
      <c r="G46" s="17"/>
      <c r="H46" s="84" t="s">
        <v>59</v>
      </c>
      <c r="I46" s="84" t="s">
        <v>160</v>
      </c>
      <c r="K46" s="20">
        <f t="shared" si="4"/>
        <v>44</v>
      </c>
      <c r="M46" s="13">
        <f t="shared" si="3"/>
        <v>47269</v>
      </c>
      <c r="N46" s="13">
        <f t="shared" si="0"/>
        <v>47269</v>
      </c>
      <c r="O46" s="13">
        <f t="shared" si="0"/>
        <v>47269</v>
      </c>
      <c r="P46" s="24">
        <v>8390.977733491969</v>
      </c>
      <c r="Q46" s="168"/>
      <c r="V46">
        <v>1</v>
      </c>
      <c r="W46" t="s">
        <v>33</v>
      </c>
      <c r="Y46" t="s">
        <v>33</v>
      </c>
      <c r="Z46" t="s">
        <v>34</v>
      </c>
      <c r="AA46">
        <v>1</v>
      </c>
    </row>
    <row r="47" spans="1:27" x14ac:dyDescent="0.35">
      <c r="A47" s="13">
        <f t="shared" si="1"/>
        <v>45930</v>
      </c>
      <c r="B47">
        <v>1</v>
      </c>
      <c r="D47" s="14" t="s">
        <v>31</v>
      </c>
      <c r="E47" s="15" t="s">
        <v>32</v>
      </c>
      <c r="F47" s="16" t="s">
        <v>32</v>
      </c>
      <c r="G47" s="17"/>
      <c r="H47" s="84" t="s">
        <v>59</v>
      </c>
      <c r="I47" s="84" t="s">
        <v>160</v>
      </c>
      <c r="K47" s="20">
        <f t="shared" si="4"/>
        <v>45</v>
      </c>
      <c r="M47" s="13">
        <f t="shared" si="3"/>
        <v>47299</v>
      </c>
      <c r="N47" s="13">
        <f t="shared" si="0"/>
        <v>47299</v>
      </c>
      <c r="O47" s="13">
        <f t="shared" si="0"/>
        <v>47299</v>
      </c>
      <c r="P47" s="24">
        <v>8390.977733491969</v>
      </c>
      <c r="Q47" s="168"/>
      <c r="V47">
        <v>1</v>
      </c>
      <c r="W47" t="s">
        <v>33</v>
      </c>
      <c r="Y47" t="s">
        <v>33</v>
      </c>
      <c r="Z47" t="s">
        <v>34</v>
      </c>
      <c r="AA47">
        <v>1</v>
      </c>
    </row>
    <row r="48" spans="1:27" x14ac:dyDescent="0.35">
      <c r="A48" s="13">
        <f t="shared" si="1"/>
        <v>45930</v>
      </c>
      <c r="B48">
        <v>1</v>
      </c>
      <c r="D48" s="14" t="s">
        <v>31</v>
      </c>
      <c r="E48" s="15" t="s">
        <v>32</v>
      </c>
      <c r="F48" s="16" t="s">
        <v>32</v>
      </c>
      <c r="G48" s="17"/>
      <c r="H48" s="84" t="s">
        <v>59</v>
      </c>
      <c r="I48" s="84" t="s">
        <v>160</v>
      </c>
      <c r="K48" s="20">
        <f t="shared" si="4"/>
        <v>46</v>
      </c>
      <c r="M48" s="13">
        <f t="shared" si="3"/>
        <v>47330</v>
      </c>
      <c r="N48" s="13">
        <f t="shared" si="0"/>
        <v>47330</v>
      </c>
      <c r="O48" s="13">
        <f t="shared" si="0"/>
        <v>47330</v>
      </c>
      <c r="P48" s="24">
        <v>8390.977733491969</v>
      </c>
      <c r="Q48" s="168"/>
      <c r="V48">
        <v>1</v>
      </c>
      <c r="W48" t="s">
        <v>33</v>
      </c>
      <c r="Y48" t="s">
        <v>33</v>
      </c>
      <c r="Z48" t="s">
        <v>34</v>
      </c>
      <c r="AA48">
        <v>1</v>
      </c>
    </row>
    <row r="49" spans="1:27" x14ac:dyDescent="0.35">
      <c r="A49" s="13">
        <f t="shared" si="1"/>
        <v>45930</v>
      </c>
      <c r="B49">
        <v>1</v>
      </c>
      <c r="D49" s="14" t="s">
        <v>31</v>
      </c>
      <c r="E49" s="15" t="s">
        <v>32</v>
      </c>
      <c r="F49" s="16" t="s">
        <v>32</v>
      </c>
      <c r="G49" s="17"/>
      <c r="H49" s="84" t="s">
        <v>59</v>
      </c>
      <c r="I49" s="84" t="s">
        <v>160</v>
      </c>
      <c r="K49" s="20">
        <f t="shared" si="4"/>
        <v>47</v>
      </c>
      <c r="M49" s="13">
        <f t="shared" si="3"/>
        <v>47361</v>
      </c>
      <c r="N49" s="13">
        <f t="shared" si="0"/>
        <v>47361</v>
      </c>
      <c r="O49" s="13">
        <f t="shared" si="0"/>
        <v>47361</v>
      </c>
      <c r="P49" s="24">
        <v>8390.977733491969</v>
      </c>
      <c r="Q49" s="168"/>
      <c r="V49">
        <v>1</v>
      </c>
      <c r="W49" t="s">
        <v>33</v>
      </c>
      <c r="Y49" t="s">
        <v>33</v>
      </c>
      <c r="Z49" t="s">
        <v>34</v>
      </c>
      <c r="AA49">
        <v>1</v>
      </c>
    </row>
    <row r="50" spans="1:27" x14ac:dyDescent="0.35">
      <c r="A50" s="13">
        <f t="shared" si="1"/>
        <v>45930</v>
      </c>
      <c r="B50">
        <v>1</v>
      </c>
      <c r="D50" s="14" t="s">
        <v>31</v>
      </c>
      <c r="E50" s="15" t="s">
        <v>32</v>
      </c>
      <c r="F50" s="16" t="s">
        <v>32</v>
      </c>
      <c r="G50" s="17"/>
      <c r="H50" s="84" t="s">
        <v>59</v>
      </c>
      <c r="I50" s="84" t="s">
        <v>160</v>
      </c>
      <c r="K50" s="20">
        <f t="shared" si="4"/>
        <v>48</v>
      </c>
      <c r="M50" s="13">
        <f t="shared" si="3"/>
        <v>47391</v>
      </c>
      <c r="N50" s="13">
        <f t="shared" si="0"/>
        <v>47391</v>
      </c>
      <c r="O50" s="13">
        <f t="shared" si="0"/>
        <v>47391</v>
      </c>
      <c r="P50" s="24">
        <v>8390.977733491969</v>
      </c>
      <c r="Q50" s="168"/>
      <c r="V50">
        <v>1</v>
      </c>
      <c r="W50" t="s">
        <v>33</v>
      </c>
      <c r="Y50" t="s">
        <v>33</v>
      </c>
      <c r="Z50" t="s">
        <v>34</v>
      </c>
      <c r="AA50">
        <v>1</v>
      </c>
    </row>
    <row r="51" spans="1:27" x14ac:dyDescent="0.35">
      <c r="A51" s="13">
        <f t="shared" si="1"/>
        <v>45930</v>
      </c>
      <c r="B51">
        <v>1</v>
      </c>
      <c r="D51" s="14" t="s">
        <v>31</v>
      </c>
      <c r="E51" s="15" t="s">
        <v>32</v>
      </c>
      <c r="F51" s="16" t="s">
        <v>32</v>
      </c>
      <c r="G51" s="17"/>
      <c r="H51" s="84" t="s">
        <v>59</v>
      </c>
      <c r="I51" s="84" t="s">
        <v>160</v>
      </c>
      <c r="K51" s="20">
        <f t="shared" si="4"/>
        <v>49</v>
      </c>
      <c r="M51" s="13">
        <f t="shared" si="3"/>
        <v>47422</v>
      </c>
      <c r="N51" s="13">
        <f t="shared" si="0"/>
        <v>47422</v>
      </c>
      <c r="O51" s="13">
        <f t="shared" si="0"/>
        <v>47422</v>
      </c>
      <c r="P51" s="24">
        <v>8390.977733491969</v>
      </c>
      <c r="Q51" s="168"/>
      <c r="V51">
        <v>1</v>
      </c>
      <c r="W51" t="s">
        <v>33</v>
      </c>
      <c r="Y51" t="s">
        <v>33</v>
      </c>
      <c r="Z51" t="s">
        <v>34</v>
      </c>
      <c r="AA51">
        <v>1</v>
      </c>
    </row>
    <row r="52" spans="1:27" x14ac:dyDescent="0.35">
      <c r="A52" s="13">
        <f t="shared" si="1"/>
        <v>45930</v>
      </c>
      <c r="B52">
        <v>1</v>
      </c>
      <c r="D52" s="14" t="s">
        <v>31</v>
      </c>
      <c r="E52" s="15" t="s">
        <v>32</v>
      </c>
      <c r="F52" s="16" t="s">
        <v>32</v>
      </c>
      <c r="G52" s="17"/>
      <c r="H52" s="84" t="s">
        <v>59</v>
      </c>
      <c r="I52" s="84" t="s">
        <v>160</v>
      </c>
      <c r="K52" s="20">
        <f t="shared" si="4"/>
        <v>50</v>
      </c>
      <c r="M52" s="13">
        <f t="shared" si="3"/>
        <v>47452</v>
      </c>
      <c r="N52" s="13">
        <f t="shared" si="0"/>
        <v>47452</v>
      </c>
      <c r="O52" s="13">
        <f t="shared" si="0"/>
        <v>47452</v>
      </c>
      <c r="P52" s="24">
        <v>8390.977733491969</v>
      </c>
      <c r="Q52" s="168"/>
      <c r="V52">
        <v>1</v>
      </c>
      <c r="W52" t="s">
        <v>33</v>
      </c>
      <c r="Y52" t="s">
        <v>33</v>
      </c>
      <c r="Z52" t="s">
        <v>34</v>
      </c>
      <c r="AA52">
        <v>1</v>
      </c>
    </row>
    <row r="53" spans="1:27" x14ac:dyDescent="0.35">
      <c r="A53" s="13">
        <f t="shared" si="1"/>
        <v>45930</v>
      </c>
      <c r="B53">
        <v>1</v>
      </c>
      <c r="D53" s="14" t="s">
        <v>31</v>
      </c>
      <c r="E53" s="15" t="s">
        <v>32</v>
      </c>
      <c r="F53" s="16" t="s">
        <v>32</v>
      </c>
      <c r="G53" s="17"/>
      <c r="H53" s="84" t="s">
        <v>59</v>
      </c>
      <c r="I53" s="84" t="s">
        <v>160</v>
      </c>
      <c r="K53" s="20">
        <f t="shared" si="4"/>
        <v>51</v>
      </c>
      <c r="M53" s="13">
        <f t="shared" si="3"/>
        <v>47483</v>
      </c>
      <c r="N53" s="13">
        <f t="shared" si="0"/>
        <v>47483</v>
      </c>
      <c r="O53" s="13">
        <f t="shared" si="0"/>
        <v>47483</v>
      </c>
      <c r="P53" s="24">
        <v>8390.977733491969</v>
      </c>
      <c r="Q53" s="168"/>
      <c r="V53">
        <v>1</v>
      </c>
      <c r="W53" t="s">
        <v>33</v>
      </c>
      <c r="Y53" t="s">
        <v>33</v>
      </c>
      <c r="Z53" t="s">
        <v>34</v>
      </c>
      <c r="AA53">
        <v>1</v>
      </c>
    </row>
    <row r="54" spans="1:27" x14ac:dyDescent="0.35">
      <c r="A54" s="13">
        <f t="shared" si="1"/>
        <v>45930</v>
      </c>
      <c r="B54">
        <v>1</v>
      </c>
      <c r="D54" s="14" t="s">
        <v>31</v>
      </c>
      <c r="E54" s="15" t="s">
        <v>32</v>
      </c>
      <c r="F54" s="16" t="s">
        <v>32</v>
      </c>
      <c r="G54" s="17"/>
      <c r="H54" s="84" t="s">
        <v>59</v>
      </c>
      <c r="I54" s="84" t="s">
        <v>160</v>
      </c>
      <c r="K54" s="20">
        <f t="shared" si="4"/>
        <v>52</v>
      </c>
      <c r="M54" s="13">
        <f t="shared" si="3"/>
        <v>47514</v>
      </c>
      <c r="N54" s="13">
        <f t="shared" si="0"/>
        <v>47514</v>
      </c>
      <c r="O54" s="13">
        <f t="shared" si="0"/>
        <v>47514</v>
      </c>
      <c r="P54" s="24">
        <v>8390.977733491969</v>
      </c>
      <c r="Q54" s="168"/>
      <c r="V54">
        <v>1</v>
      </c>
      <c r="W54" t="s">
        <v>33</v>
      </c>
      <c r="Y54" t="s">
        <v>33</v>
      </c>
      <c r="Z54" t="s">
        <v>34</v>
      </c>
      <c r="AA54">
        <v>1</v>
      </c>
    </row>
    <row r="55" spans="1:27" x14ac:dyDescent="0.35">
      <c r="A55" s="13">
        <f t="shared" si="1"/>
        <v>45930</v>
      </c>
      <c r="B55">
        <v>1</v>
      </c>
      <c r="D55" s="14" t="s">
        <v>31</v>
      </c>
      <c r="E55" s="15" t="s">
        <v>32</v>
      </c>
      <c r="F55" s="16" t="s">
        <v>32</v>
      </c>
      <c r="G55" s="17"/>
      <c r="H55" s="84" t="s">
        <v>59</v>
      </c>
      <c r="I55" s="84" t="s">
        <v>160</v>
      </c>
      <c r="K55" s="20">
        <f t="shared" si="4"/>
        <v>53</v>
      </c>
      <c r="M55" s="13">
        <f t="shared" si="3"/>
        <v>47542</v>
      </c>
      <c r="N55" s="13">
        <f t="shared" si="0"/>
        <v>47542</v>
      </c>
      <c r="O55" s="13">
        <f t="shared" si="0"/>
        <v>47542</v>
      </c>
      <c r="P55" s="24">
        <v>8390.977733491969</v>
      </c>
      <c r="Q55" s="168"/>
      <c r="V55">
        <v>1</v>
      </c>
      <c r="W55" t="s">
        <v>33</v>
      </c>
      <c r="Y55" t="s">
        <v>33</v>
      </c>
      <c r="Z55" t="s">
        <v>34</v>
      </c>
      <c r="AA55">
        <v>1</v>
      </c>
    </row>
    <row r="56" spans="1:27" x14ac:dyDescent="0.35">
      <c r="A56" s="13">
        <f t="shared" si="1"/>
        <v>45930</v>
      </c>
      <c r="B56">
        <v>1</v>
      </c>
      <c r="D56" s="14" t="s">
        <v>31</v>
      </c>
      <c r="E56" s="15" t="s">
        <v>32</v>
      </c>
      <c r="F56" s="16" t="s">
        <v>32</v>
      </c>
      <c r="G56" s="17"/>
      <c r="H56" s="84" t="s">
        <v>59</v>
      </c>
      <c r="I56" s="84" t="s">
        <v>160</v>
      </c>
      <c r="K56" s="20">
        <f t="shared" si="4"/>
        <v>54</v>
      </c>
      <c r="M56" s="13">
        <f t="shared" si="3"/>
        <v>47573</v>
      </c>
      <c r="N56" s="13">
        <f t="shared" si="0"/>
        <v>47573</v>
      </c>
      <c r="O56" s="13">
        <f t="shared" si="0"/>
        <v>47573</v>
      </c>
      <c r="P56" s="24">
        <v>8390.977733491969</v>
      </c>
      <c r="Q56" s="168"/>
      <c r="V56">
        <v>1</v>
      </c>
      <c r="W56" t="s">
        <v>33</v>
      </c>
      <c r="Y56" t="s">
        <v>33</v>
      </c>
      <c r="Z56" t="s">
        <v>34</v>
      </c>
      <c r="AA56">
        <v>1</v>
      </c>
    </row>
    <row r="57" spans="1:27" x14ac:dyDescent="0.35">
      <c r="A57" s="13">
        <f t="shared" si="1"/>
        <v>45930</v>
      </c>
      <c r="B57">
        <v>1</v>
      </c>
      <c r="D57" s="14" t="s">
        <v>31</v>
      </c>
      <c r="E57" s="15" t="s">
        <v>32</v>
      </c>
      <c r="F57" s="16" t="s">
        <v>32</v>
      </c>
      <c r="G57" s="17"/>
      <c r="H57" s="84" t="s">
        <v>59</v>
      </c>
      <c r="I57" s="84" t="s">
        <v>160</v>
      </c>
      <c r="K57" s="20">
        <f t="shared" si="4"/>
        <v>55</v>
      </c>
      <c r="M57" s="13">
        <f t="shared" si="3"/>
        <v>47603</v>
      </c>
      <c r="N57" s="13">
        <f t="shared" si="0"/>
        <v>47603</v>
      </c>
      <c r="O57" s="13">
        <f t="shared" si="0"/>
        <v>47603</v>
      </c>
      <c r="P57" s="24">
        <v>8390.977733491969</v>
      </c>
      <c r="Q57" s="168"/>
      <c r="V57">
        <v>1</v>
      </c>
      <c r="W57" t="s">
        <v>33</v>
      </c>
      <c r="Y57" t="s">
        <v>33</v>
      </c>
      <c r="Z57" t="s">
        <v>34</v>
      </c>
      <c r="AA57">
        <v>1</v>
      </c>
    </row>
    <row r="58" spans="1:27" x14ac:dyDescent="0.35">
      <c r="A58" s="13">
        <f t="shared" si="1"/>
        <v>45930</v>
      </c>
      <c r="B58">
        <v>1</v>
      </c>
      <c r="D58" s="14" t="s">
        <v>31</v>
      </c>
      <c r="E58" s="15" t="s">
        <v>32</v>
      </c>
      <c r="F58" s="16" t="s">
        <v>32</v>
      </c>
      <c r="G58" s="17"/>
      <c r="H58" s="84" t="s">
        <v>59</v>
      </c>
      <c r="I58" s="84" t="s">
        <v>160</v>
      </c>
      <c r="K58" s="20">
        <f t="shared" si="4"/>
        <v>56</v>
      </c>
      <c r="M58" s="13">
        <f t="shared" si="3"/>
        <v>47634</v>
      </c>
      <c r="N58" s="13">
        <f t="shared" si="0"/>
        <v>47634</v>
      </c>
      <c r="O58" s="13">
        <f t="shared" si="0"/>
        <v>47634</v>
      </c>
      <c r="P58" s="24">
        <v>8390.977733491969</v>
      </c>
      <c r="Q58" s="168"/>
      <c r="V58">
        <v>1</v>
      </c>
      <c r="W58" t="s">
        <v>33</v>
      </c>
      <c r="Y58" t="s">
        <v>33</v>
      </c>
      <c r="Z58" t="s">
        <v>34</v>
      </c>
      <c r="AA58">
        <v>1</v>
      </c>
    </row>
    <row r="59" spans="1:27" x14ac:dyDescent="0.35">
      <c r="A59" s="13">
        <f t="shared" si="1"/>
        <v>45930</v>
      </c>
      <c r="B59">
        <v>1</v>
      </c>
      <c r="D59" s="14" t="s">
        <v>31</v>
      </c>
      <c r="E59" s="15" t="s">
        <v>32</v>
      </c>
      <c r="F59" s="16" t="s">
        <v>32</v>
      </c>
      <c r="G59" s="17"/>
      <c r="H59" s="84" t="s">
        <v>59</v>
      </c>
      <c r="I59" s="84" t="s">
        <v>160</v>
      </c>
      <c r="K59" s="20">
        <f t="shared" si="4"/>
        <v>57</v>
      </c>
      <c r="M59" s="13">
        <f t="shared" si="3"/>
        <v>47664</v>
      </c>
      <c r="N59" s="13">
        <f t="shared" si="0"/>
        <v>47664</v>
      </c>
      <c r="O59" s="13">
        <f t="shared" si="0"/>
        <v>47664</v>
      </c>
      <c r="P59" s="24">
        <v>8390.977733491969</v>
      </c>
      <c r="Q59" s="168"/>
      <c r="V59">
        <v>1</v>
      </c>
      <c r="W59" t="s">
        <v>33</v>
      </c>
      <c r="Y59" t="s">
        <v>33</v>
      </c>
      <c r="Z59" t="s">
        <v>34</v>
      </c>
      <c r="AA59">
        <v>1</v>
      </c>
    </row>
    <row r="60" spans="1:27" x14ac:dyDescent="0.35">
      <c r="A60" s="13">
        <f t="shared" si="1"/>
        <v>45930</v>
      </c>
      <c r="B60">
        <v>1</v>
      </c>
      <c r="D60" s="14" t="s">
        <v>31</v>
      </c>
      <c r="E60" s="15" t="s">
        <v>32</v>
      </c>
      <c r="F60" s="16" t="s">
        <v>32</v>
      </c>
      <c r="G60" s="17"/>
      <c r="H60" s="84" t="s">
        <v>59</v>
      </c>
      <c r="I60" s="84" t="s">
        <v>160</v>
      </c>
      <c r="K60" s="20">
        <f t="shared" si="4"/>
        <v>58</v>
      </c>
      <c r="M60" s="13">
        <f t="shared" si="3"/>
        <v>47695</v>
      </c>
      <c r="N60" s="13">
        <f t="shared" si="0"/>
        <v>47695</v>
      </c>
      <c r="O60" s="13">
        <f t="shared" si="0"/>
        <v>47695</v>
      </c>
      <c r="P60" s="24">
        <v>8390.977733491969</v>
      </c>
      <c r="Q60" s="168"/>
      <c r="V60">
        <v>1</v>
      </c>
      <c r="W60" t="s">
        <v>33</v>
      </c>
      <c r="Y60" t="s">
        <v>33</v>
      </c>
      <c r="Z60" t="s">
        <v>34</v>
      </c>
      <c r="AA60">
        <v>1</v>
      </c>
    </row>
    <row r="61" spans="1:27" x14ac:dyDescent="0.35">
      <c r="A61" s="13">
        <f t="shared" si="1"/>
        <v>45930</v>
      </c>
      <c r="B61">
        <v>1</v>
      </c>
      <c r="D61" s="14" t="s">
        <v>31</v>
      </c>
      <c r="E61" s="15" t="s">
        <v>32</v>
      </c>
      <c r="F61" s="16" t="s">
        <v>32</v>
      </c>
      <c r="G61" s="17"/>
      <c r="H61" s="84" t="s">
        <v>59</v>
      </c>
      <c r="I61" s="84" t="s">
        <v>160</v>
      </c>
      <c r="K61" s="20">
        <f t="shared" si="4"/>
        <v>59</v>
      </c>
      <c r="M61" s="13">
        <f t="shared" si="3"/>
        <v>47726</v>
      </c>
      <c r="N61" s="13">
        <f t="shared" si="0"/>
        <v>47726</v>
      </c>
      <c r="O61" s="13">
        <f t="shared" si="0"/>
        <v>47726</v>
      </c>
      <c r="P61" s="24">
        <v>8390.977733491969</v>
      </c>
      <c r="Q61" s="168"/>
      <c r="V61">
        <v>1</v>
      </c>
      <c r="W61" t="s">
        <v>33</v>
      </c>
      <c r="Y61" t="s">
        <v>33</v>
      </c>
      <c r="Z61" t="s">
        <v>34</v>
      </c>
      <c r="AA61">
        <v>1</v>
      </c>
    </row>
    <row r="62" spans="1:27" x14ac:dyDescent="0.35">
      <c r="A62" s="13">
        <f t="shared" si="1"/>
        <v>45930</v>
      </c>
      <c r="B62">
        <v>1</v>
      </c>
      <c r="D62" s="14" t="s">
        <v>31</v>
      </c>
      <c r="E62" s="15" t="s">
        <v>32</v>
      </c>
      <c r="F62" s="16" t="s">
        <v>32</v>
      </c>
      <c r="G62" s="17"/>
      <c r="H62" s="84" t="s">
        <v>59</v>
      </c>
      <c r="I62" s="84" t="s">
        <v>160</v>
      </c>
      <c r="K62" s="20">
        <f t="shared" si="4"/>
        <v>60</v>
      </c>
      <c r="M62" s="13">
        <f t="shared" si="3"/>
        <v>47756</v>
      </c>
      <c r="N62" s="13">
        <f t="shared" si="0"/>
        <v>47756</v>
      </c>
      <c r="O62" s="13">
        <f t="shared" si="0"/>
        <v>47756</v>
      </c>
      <c r="P62" s="24">
        <v>8390.977733491969</v>
      </c>
      <c r="Q62" s="168"/>
      <c r="V62">
        <v>1</v>
      </c>
      <c r="W62" t="s">
        <v>33</v>
      </c>
      <c r="Y62" t="s">
        <v>33</v>
      </c>
      <c r="Z62" t="s">
        <v>34</v>
      </c>
      <c r="AA62">
        <v>1</v>
      </c>
    </row>
    <row r="63" spans="1:27" x14ac:dyDescent="0.35">
      <c r="A63" s="13">
        <f t="shared" si="1"/>
        <v>45930</v>
      </c>
      <c r="B63">
        <v>1</v>
      </c>
      <c r="D63" s="14" t="s">
        <v>31</v>
      </c>
      <c r="E63" s="15" t="s">
        <v>32</v>
      </c>
      <c r="F63" s="16" t="s">
        <v>32</v>
      </c>
      <c r="G63" s="17"/>
      <c r="H63" s="84" t="s">
        <v>59</v>
      </c>
      <c r="I63" s="84" t="s">
        <v>160</v>
      </c>
      <c r="K63" s="20">
        <f t="shared" si="4"/>
        <v>61</v>
      </c>
      <c r="M63" s="13">
        <f t="shared" si="3"/>
        <v>47787</v>
      </c>
      <c r="N63" s="13">
        <f t="shared" si="0"/>
        <v>47787</v>
      </c>
      <c r="O63" s="13">
        <f t="shared" si="0"/>
        <v>47787</v>
      </c>
      <c r="P63" s="24">
        <v>8390.977733491969</v>
      </c>
      <c r="Q63" s="168"/>
      <c r="V63">
        <v>1</v>
      </c>
      <c r="W63" t="s">
        <v>33</v>
      </c>
      <c r="Y63" t="s">
        <v>33</v>
      </c>
      <c r="Z63" t="s">
        <v>34</v>
      </c>
      <c r="AA63">
        <v>1</v>
      </c>
    </row>
    <row r="64" spans="1:27" x14ac:dyDescent="0.35">
      <c r="A64" s="13">
        <f t="shared" si="1"/>
        <v>45930</v>
      </c>
      <c r="B64">
        <v>1</v>
      </c>
      <c r="D64" s="14" t="s">
        <v>31</v>
      </c>
      <c r="E64" s="15" t="s">
        <v>32</v>
      </c>
      <c r="F64" s="16" t="s">
        <v>32</v>
      </c>
      <c r="G64" s="17"/>
      <c r="H64" s="84" t="s">
        <v>59</v>
      </c>
      <c r="I64" s="84" t="s">
        <v>160</v>
      </c>
      <c r="K64" s="20">
        <f t="shared" si="4"/>
        <v>62</v>
      </c>
      <c r="M64" s="13">
        <f t="shared" si="3"/>
        <v>47817</v>
      </c>
      <c r="N64" s="13">
        <f t="shared" si="0"/>
        <v>47817</v>
      </c>
      <c r="O64" s="13">
        <f t="shared" si="0"/>
        <v>47817</v>
      </c>
      <c r="P64" s="24">
        <v>8390.977733491969</v>
      </c>
      <c r="Q64" s="168"/>
      <c r="V64">
        <v>1</v>
      </c>
      <c r="W64" t="s">
        <v>33</v>
      </c>
      <c r="Y64" t="s">
        <v>33</v>
      </c>
      <c r="Z64" t="s">
        <v>34</v>
      </c>
      <c r="AA64">
        <v>1</v>
      </c>
    </row>
    <row r="65" spans="1:27" x14ac:dyDescent="0.35">
      <c r="A65" s="13">
        <f t="shared" si="1"/>
        <v>45930</v>
      </c>
      <c r="B65">
        <v>1</v>
      </c>
      <c r="D65" s="14" t="s">
        <v>31</v>
      </c>
      <c r="E65" s="15" t="s">
        <v>32</v>
      </c>
      <c r="F65" s="16" t="s">
        <v>32</v>
      </c>
      <c r="G65" s="17"/>
      <c r="H65" s="84" t="s">
        <v>59</v>
      </c>
      <c r="I65" s="84" t="s">
        <v>160</v>
      </c>
      <c r="K65" s="20">
        <f t="shared" si="4"/>
        <v>63</v>
      </c>
      <c r="M65" s="13">
        <f t="shared" si="3"/>
        <v>47848</v>
      </c>
      <c r="N65" s="13">
        <f t="shared" si="0"/>
        <v>47848</v>
      </c>
      <c r="O65" s="13">
        <f t="shared" si="0"/>
        <v>47848</v>
      </c>
      <c r="P65" s="24">
        <v>8390.977733491969</v>
      </c>
      <c r="Q65" s="168"/>
      <c r="V65">
        <v>1</v>
      </c>
      <c r="W65" t="s">
        <v>33</v>
      </c>
      <c r="Y65" t="s">
        <v>33</v>
      </c>
      <c r="Z65" t="s">
        <v>34</v>
      </c>
      <c r="AA65">
        <v>1</v>
      </c>
    </row>
    <row r="66" spans="1:27" x14ac:dyDescent="0.35">
      <c r="A66" s="13">
        <f t="shared" si="1"/>
        <v>45930</v>
      </c>
      <c r="B66">
        <v>1</v>
      </c>
      <c r="D66" s="14" t="s">
        <v>31</v>
      </c>
      <c r="E66" s="15" t="s">
        <v>32</v>
      </c>
      <c r="F66" s="16" t="s">
        <v>32</v>
      </c>
      <c r="G66" s="17"/>
      <c r="H66" s="84" t="s">
        <v>59</v>
      </c>
      <c r="I66" s="84" t="s">
        <v>160</v>
      </c>
      <c r="K66" s="20">
        <f t="shared" si="4"/>
        <v>64</v>
      </c>
      <c r="M66" s="13">
        <f t="shared" si="3"/>
        <v>47879</v>
      </c>
      <c r="N66" s="13">
        <f t="shared" si="0"/>
        <v>47879</v>
      </c>
      <c r="O66" s="13">
        <f t="shared" si="0"/>
        <v>47879</v>
      </c>
      <c r="P66" s="24">
        <v>8390.977733491969</v>
      </c>
      <c r="Q66" s="168"/>
      <c r="V66">
        <v>1</v>
      </c>
      <c r="W66" t="s">
        <v>33</v>
      </c>
      <c r="Y66" t="s">
        <v>33</v>
      </c>
      <c r="Z66" t="s">
        <v>34</v>
      </c>
      <c r="AA66">
        <v>1</v>
      </c>
    </row>
    <row r="67" spans="1:27" x14ac:dyDescent="0.35">
      <c r="A67" s="13">
        <f t="shared" si="1"/>
        <v>45930</v>
      </c>
      <c r="B67">
        <v>1</v>
      </c>
      <c r="D67" s="14" t="s">
        <v>31</v>
      </c>
      <c r="E67" s="15" t="s">
        <v>32</v>
      </c>
      <c r="F67" s="16" t="s">
        <v>32</v>
      </c>
      <c r="G67" s="17"/>
      <c r="H67" s="84" t="s">
        <v>59</v>
      </c>
      <c r="I67" s="84" t="s">
        <v>160</v>
      </c>
      <c r="K67" s="20">
        <f t="shared" si="4"/>
        <v>65</v>
      </c>
      <c r="M67" s="13">
        <f t="shared" si="3"/>
        <v>47907</v>
      </c>
      <c r="N67" s="13">
        <f t="shared" si="0"/>
        <v>47907</v>
      </c>
      <c r="O67" s="13">
        <f t="shared" si="0"/>
        <v>47907</v>
      </c>
      <c r="P67" s="24">
        <v>8390.977733491969</v>
      </c>
      <c r="Q67" s="168"/>
      <c r="V67">
        <v>1</v>
      </c>
      <c r="W67" t="s">
        <v>33</v>
      </c>
      <c r="Y67" t="s">
        <v>33</v>
      </c>
      <c r="Z67" t="s">
        <v>34</v>
      </c>
      <c r="AA67">
        <v>1</v>
      </c>
    </row>
    <row r="68" spans="1:27" x14ac:dyDescent="0.35">
      <c r="A68" s="13">
        <f t="shared" ref="A68:A131" si="5">A67</f>
        <v>45930</v>
      </c>
      <c r="B68">
        <v>1</v>
      </c>
      <c r="D68" s="14" t="s">
        <v>31</v>
      </c>
      <c r="E68" s="15" t="s">
        <v>32</v>
      </c>
      <c r="F68" s="16" t="s">
        <v>32</v>
      </c>
      <c r="G68" s="17"/>
      <c r="H68" s="84" t="s">
        <v>59</v>
      </c>
      <c r="I68" s="84" t="s">
        <v>160</v>
      </c>
      <c r="K68" s="20">
        <f t="shared" si="4"/>
        <v>66</v>
      </c>
      <c r="M68" s="13">
        <f t="shared" si="3"/>
        <v>47938</v>
      </c>
      <c r="N68" s="13">
        <f t="shared" ref="N68:O131" si="6">M68</f>
        <v>47938</v>
      </c>
      <c r="O68" s="13">
        <f t="shared" si="6"/>
        <v>47938</v>
      </c>
      <c r="P68" s="24">
        <v>8390.977733491969</v>
      </c>
      <c r="Q68" s="168"/>
      <c r="V68">
        <v>1</v>
      </c>
      <c r="W68" t="s">
        <v>33</v>
      </c>
      <c r="Y68" t="s">
        <v>33</v>
      </c>
      <c r="Z68" t="s">
        <v>34</v>
      </c>
      <c r="AA68">
        <v>1</v>
      </c>
    </row>
    <row r="69" spans="1:27" x14ac:dyDescent="0.35">
      <c r="A69" s="13">
        <f t="shared" si="5"/>
        <v>45930</v>
      </c>
      <c r="B69">
        <v>1</v>
      </c>
      <c r="D69" s="14" t="s">
        <v>31</v>
      </c>
      <c r="E69" s="15" t="s">
        <v>32</v>
      </c>
      <c r="F69" s="16" t="s">
        <v>32</v>
      </c>
      <c r="G69" s="17"/>
      <c r="H69" s="84" t="s">
        <v>59</v>
      </c>
      <c r="I69" s="84" t="s">
        <v>160</v>
      </c>
      <c r="K69" s="20">
        <f t="shared" si="4"/>
        <v>67</v>
      </c>
      <c r="M69" s="13">
        <f t="shared" ref="M69:M132" si="7">EOMONTH(M68,1)</f>
        <v>47968</v>
      </c>
      <c r="N69" s="13">
        <f t="shared" si="6"/>
        <v>47968</v>
      </c>
      <c r="O69" s="13">
        <f t="shared" si="6"/>
        <v>47968</v>
      </c>
      <c r="P69" s="24">
        <v>8390.977733491969</v>
      </c>
      <c r="Q69" s="168"/>
      <c r="V69">
        <v>1</v>
      </c>
      <c r="W69" t="s">
        <v>33</v>
      </c>
      <c r="Y69" t="s">
        <v>33</v>
      </c>
      <c r="Z69" t="s">
        <v>34</v>
      </c>
      <c r="AA69">
        <v>1</v>
      </c>
    </row>
    <row r="70" spans="1:27" x14ac:dyDescent="0.35">
      <c r="A70" s="13">
        <f t="shared" si="5"/>
        <v>45930</v>
      </c>
      <c r="B70">
        <v>1</v>
      </c>
      <c r="D70" s="14" t="s">
        <v>31</v>
      </c>
      <c r="E70" s="15" t="s">
        <v>32</v>
      </c>
      <c r="F70" s="16" t="s">
        <v>32</v>
      </c>
      <c r="G70" s="17"/>
      <c r="H70" s="84" t="s">
        <v>59</v>
      </c>
      <c r="I70" s="84" t="s">
        <v>160</v>
      </c>
      <c r="K70" s="20">
        <f t="shared" si="4"/>
        <v>68</v>
      </c>
      <c r="M70" s="13">
        <f t="shared" si="7"/>
        <v>47999</v>
      </c>
      <c r="N70" s="13">
        <f t="shared" si="6"/>
        <v>47999</v>
      </c>
      <c r="O70" s="13">
        <f t="shared" si="6"/>
        <v>47999</v>
      </c>
      <c r="P70" s="24">
        <v>8390.977733491969</v>
      </c>
      <c r="Q70" s="168"/>
      <c r="V70">
        <v>1</v>
      </c>
      <c r="W70" t="s">
        <v>33</v>
      </c>
      <c r="Y70" t="s">
        <v>33</v>
      </c>
      <c r="Z70" t="s">
        <v>34</v>
      </c>
      <c r="AA70">
        <v>1</v>
      </c>
    </row>
    <row r="71" spans="1:27" x14ac:dyDescent="0.35">
      <c r="A71" s="13">
        <f t="shared" si="5"/>
        <v>45930</v>
      </c>
      <c r="B71">
        <v>1</v>
      </c>
      <c r="D71" s="14" t="s">
        <v>31</v>
      </c>
      <c r="E71" s="15" t="s">
        <v>32</v>
      </c>
      <c r="F71" s="16" t="s">
        <v>32</v>
      </c>
      <c r="G71" s="17"/>
      <c r="H71" s="84" t="s">
        <v>59</v>
      </c>
      <c r="I71" s="84" t="s">
        <v>160</v>
      </c>
      <c r="K71" s="20">
        <f t="shared" si="4"/>
        <v>69</v>
      </c>
      <c r="M71" s="13">
        <f t="shared" si="7"/>
        <v>48029</v>
      </c>
      <c r="N71" s="13">
        <f t="shared" si="6"/>
        <v>48029</v>
      </c>
      <c r="O71" s="13">
        <f t="shared" si="6"/>
        <v>48029</v>
      </c>
      <c r="P71" s="24">
        <v>8390.977733491969</v>
      </c>
      <c r="Q71" s="168"/>
      <c r="V71">
        <v>1</v>
      </c>
      <c r="W71" t="s">
        <v>33</v>
      </c>
      <c r="Y71" t="s">
        <v>33</v>
      </c>
      <c r="Z71" t="s">
        <v>34</v>
      </c>
      <c r="AA71">
        <v>1</v>
      </c>
    </row>
    <row r="72" spans="1:27" x14ac:dyDescent="0.35">
      <c r="A72" s="13">
        <f t="shared" si="5"/>
        <v>45930</v>
      </c>
      <c r="B72">
        <v>1</v>
      </c>
      <c r="D72" s="14" t="s">
        <v>31</v>
      </c>
      <c r="E72" s="15" t="s">
        <v>32</v>
      </c>
      <c r="F72" s="16" t="s">
        <v>32</v>
      </c>
      <c r="G72" s="17"/>
      <c r="H72" s="84" t="s">
        <v>59</v>
      </c>
      <c r="I72" s="84" t="s">
        <v>160</v>
      </c>
      <c r="K72" s="20">
        <f t="shared" si="4"/>
        <v>70</v>
      </c>
      <c r="M72" s="13">
        <f t="shared" si="7"/>
        <v>48060</v>
      </c>
      <c r="N72" s="13">
        <f t="shared" si="6"/>
        <v>48060</v>
      </c>
      <c r="O72" s="13">
        <f t="shared" si="6"/>
        <v>48060</v>
      </c>
      <c r="P72" s="24">
        <v>8390.977733491969</v>
      </c>
      <c r="Q72" s="168"/>
      <c r="V72">
        <v>1</v>
      </c>
      <c r="W72" t="s">
        <v>33</v>
      </c>
      <c r="Y72" t="s">
        <v>33</v>
      </c>
      <c r="Z72" t="s">
        <v>34</v>
      </c>
      <c r="AA72">
        <v>1</v>
      </c>
    </row>
    <row r="73" spans="1:27" x14ac:dyDescent="0.35">
      <c r="A73" s="13">
        <f t="shared" si="5"/>
        <v>45930</v>
      </c>
      <c r="B73">
        <v>1</v>
      </c>
      <c r="D73" s="14" t="s">
        <v>31</v>
      </c>
      <c r="E73" s="15" t="s">
        <v>32</v>
      </c>
      <c r="F73" s="16" t="s">
        <v>32</v>
      </c>
      <c r="G73" s="17"/>
      <c r="H73" s="84" t="s">
        <v>59</v>
      </c>
      <c r="I73" s="84" t="s">
        <v>160</v>
      </c>
      <c r="K73" s="20">
        <f t="shared" si="4"/>
        <v>71</v>
      </c>
      <c r="M73" s="13">
        <f t="shared" si="7"/>
        <v>48091</v>
      </c>
      <c r="N73" s="13">
        <f t="shared" si="6"/>
        <v>48091</v>
      </c>
      <c r="O73" s="13">
        <f t="shared" si="6"/>
        <v>48091</v>
      </c>
      <c r="P73" s="24">
        <v>8390.977733491969</v>
      </c>
      <c r="Q73" s="168"/>
      <c r="V73">
        <v>1</v>
      </c>
      <c r="W73" t="s">
        <v>33</v>
      </c>
      <c r="Y73" t="s">
        <v>33</v>
      </c>
      <c r="Z73" t="s">
        <v>34</v>
      </c>
      <c r="AA73">
        <v>1</v>
      </c>
    </row>
    <row r="74" spans="1:27" x14ac:dyDescent="0.35">
      <c r="A74" s="13">
        <f t="shared" si="5"/>
        <v>45930</v>
      </c>
      <c r="B74">
        <v>1</v>
      </c>
      <c r="D74" s="14" t="s">
        <v>31</v>
      </c>
      <c r="E74" s="15" t="s">
        <v>32</v>
      </c>
      <c r="F74" s="16" t="s">
        <v>32</v>
      </c>
      <c r="G74" s="17"/>
      <c r="H74" s="84" t="s">
        <v>59</v>
      </c>
      <c r="I74" s="84" t="s">
        <v>160</v>
      </c>
      <c r="K74" s="20">
        <f t="shared" si="4"/>
        <v>72</v>
      </c>
      <c r="M74" s="13">
        <f t="shared" si="7"/>
        <v>48121</v>
      </c>
      <c r="N74" s="13">
        <f t="shared" si="6"/>
        <v>48121</v>
      </c>
      <c r="O74" s="13">
        <f t="shared" si="6"/>
        <v>48121</v>
      </c>
      <c r="P74" s="24">
        <v>8390.977733491969</v>
      </c>
      <c r="Q74" s="168"/>
      <c r="V74">
        <v>1</v>
      </c>
      <c r="W74" t="s">
        <v>33</v>
      </c>
      <c r="Y74" t="s">
        <v>33</v>
      </c>
      <c r="Z74" t="s">
        <v>34</v>
      </c>
      <c r="AA74">
        <v>1</v>
      </c>
    </row>
    <row r="75" spans="1:27" x14ac:dyDescent="0.35">
      <c r="A75" s="13">
        <f t="shared" si="5"/>
        <v>45930</v>
      </c>
      <c r="B75">
        <v>1</v>
      </c>
      <c r="D75" s="14" t="s">
        <v>31</v>
      </c>
      <c r="E75" s="15" t="s">
        <v>32</v>
      </c>
      <c r="F75" s="16" t="s">
        <v>32</v>
      </c>
      <c r="G75" s="17"/>
      <c r="H75" s="84" t="s">
        <v>59</v>
      </c>
      <c r="I75" s="84" t="s">
        <v>160</v>
      </c>
      <c r="K75" s="20">
        <f t="shared" si="4"/>
        <v>73</v>
      </c>
      <c r="M75" s="13">
        <f t="shared" si="7"/>
        <v>48152</v>
      </c>
      <c r="N75" s="13">
        <f t="shared" si="6"/>
        <v>48152</v>
      </c>
      <c r="O75" s="13">
        <f t="shared" si="6"/>
        <v>48152</v>
      </c>
      <c r="P75" s="24">
        <v>8390.977733491969</v>
      </c>
      <c r="Q75" s="168"/>
      <c r="V75">
        <v>1</v>
      </c>
      <c r="W75" t="s">
        <v>33</v>
      </c>
      <c r="Y75" t="s">
        <v>33</v>
      </c>
      <c r="Z75" t="s">
        <v>34</v>
      </c>
      <c r="AA75">
        <v>1</v>
      </c>
    </row>
    <row r="76" spans="1:27" x14ac:dyDescent="0.35">
      <c r="A76" s="13">
        <f t="shared" si="5"/>
        <v>45930</v>
      </c>
      <c r="B76">
        <v>1</v>
      </c>
      <c r="D76" s="14" t="s">
        <v>31</v>
      </c>
      <c r="E76" s="15" t="s">
        <v>32</v>
      </c>
      <c r="F76" s="16" t="s">
        <v>32</v>
      </c>
      <c r="G76" s="17"/>
      <c r="H76" s="84" t="s">
        <v>59</v>
      </c>
      <c r="I76" s="84" t="s">
        <v>160</v>
      </c>
      <c r="K76" s="20">
        <f t="shared" si="4"/>
        <v>74</v>
      </c>
      <c r="M76" s="13">
        <f t="shared" si="7"/>
        <v>48182</v>
      </c>
      <c r="N76" s="13">
        <f t="shared" si="6"/>
        <v>48182</v>
      </c>
      <c r="O76" s="13">
        <f t="shared" si="6"/>
        <v>48182</v>
      </c>
      <c r="P76" s="24">
        <v>8390.977733491969</v>
      </c>
      <c r="Q76" s="168"/>
      <c r="V76">
        <v>1</v>
      </c>
      <c r="W76" t="s">
        <v>33</v>
      </c>
      <c r="Y76" t="s">
        <v>33</v>
      </c>
      <c r="Z76" t="s">
        <v>34</v>
      </c>
      <c r="AA76">
        <v>1</v>
      </c>
    </row>
    <row r="77" spans="1:27" x14ac:dyDescent="0.35">
      <c r="A77" s="13">
        <f t="shared" si="5"/>
        <v>45930</v>
      </c>
      <c r="B77">
        <v>1</v>
      </c>
      <c r="D77" s="14" t="s">
        <v>31</v>
      </c>
      <c r="E77" s="15" t="s">
        <v>32</v>
      </c>
      <c r="F77" s="16" t="s">
        <v>32</v>
      </c>
      <c r="G77" s="17"/>
      <c r="H77" s="84" t="s">
        <v>59</v>
      </c>
      <c r="I77" s="84" t="s">
        <v>160</v>
      </c>
      <c r="K77" s="20">
        <f t="shared" si="4"/>
        <v>75</v>
      </c>
      <c r="M77" s="13">
        <f t="shared" si="7"/>
        <v>48213</v>
      </c>
      <c r="N77" s="13">
        <f t="shared" si="6"/>
        <v>48213</v>
      </c>
      <c r="O77" s="13">
        <f t="shared" si="6"/>
        <v>48213</v>
      </c>
      <c r="P77" s="24">
        <v>8390.977733491969</v>
      </c>
      <c r="Q77" s="168"/>
      <c r="V77">
        <v>1</v>
      </c>
      <c r="W77" t="s">
        <v>33</v>
      </c>
      <c r="Y77" t="s">
        <v>33</v>
      </c>
      <c r="Z77" t="s">
        <v>34</v>
      </c>
      <c r="AA77">
        <v>1</v>
      </c>
    </row>
    <row r="78" spans="1:27" x14ac:dyDescent="0.35">
      <c r="A78" s="13">
        <f t="shared" si="5"/>
        <v>45930</v>
      </c>
      <c r="B78">
        <v>1</v>
      </c>
      <c r="D78" s="14" t="s">
        <v>31</v>
      </c>
      <c r="E78" s="15" t="s">
        <v>32</v>
      </c>
      <c r="F78" s="16" t="s">
        <v>32</v>
      </c>
      <c r="G78" s="17"/>
      <c r="H78" s="84" t="s">
        <v>59</v>
      </c>
      <c r="I78" s="84" t="s">
        <v>160</v>
      </c>
      <c r="K78" s="20">
        <f t="shared" si="4"/>
        <v>76</v>
      </c>
      <c r="M78" s="13">
        <f t="shared" si="7"/>
        <v>48244</v>
      </c>
      <c r="N78" s="13">
        <f t="shared" si="6"/>
        <v>48244</v>
      </c>
      <c r="O78" s="13">
        <f t="shared" si="6"/>
        <v>48244</v>
      </c>
      <c r="P78" s="24">
        <v>8390.977733491969</v>
      </c>
      <c r="Q78" s="168"/>
      <c r="V78">
        <v>1</v>
      </c>
      <c r="W78" t="s">
        <v>33</v>
      </c>
      <c r="Y78" t="s">
        <v>33</v>
      </c>
      <c r="Z78" t="s">
        <v>34</v>
      </c>
      <c r="AA78">
        <v>1</v>
      </c>
    </row>
    <row r="79" spans="1:27" x14ac:dyDescent="0.35">
      <c r="A79" s="13">
        <f t="shared" si="5"/>
        <v>45930</v>
      </c>
      <c r="B79">
        <v>1</v>
      </c>
      <c r="D79" s="14" t="s">
        <v>31</v>
      </c>
      <c r="E79" s="15" t="s">
        <v>32</v>
      </c>
      <c r="F79" s="16" t="s">
        <v>32</v>
      </c>
      <c r="G79" s="17"/>
      <c r="H79" s="84" t="s">
        <v>59</v>
      </c>
      <c r="I79" s="84" t="s">
        <v>160</v>
      </c>
      <c r="K79" s="20">
        <f t="shared" si="4"/>
        <v>77</v>
      </c>
      <c r="M79" s="13">
        <f t="shared" si="7"/>
        <v>48273</v>
      </c>
      <c r="N79" s="13">
        <f t="shared" si="6"/>
        <v>48273</v>
      </c>
      <c r="O79" s="13">
        <f t="shared" si="6"/>
        <v>48273</v>
      </c>
      <c r="P79" s="24">
        <v>8390.977733491969</v>
      </c>
      <c r="Q79" s="168"/>
      <c r="V79">
        <v>1</v>
      </c>
      <c r="W79" t="s">
        <v>33</v>
      </c>
      <c r="Y79" t="s">
        <v>33</v>
      </c>
      <c r="Z79" t="s">
        <v>34</v>
      </c>
      <c r="AA79">
        <v>1</v>
      </c>
    </row>
    <row r="80" spans="1:27" x14ac:dyDescent="0.35">
      <c r="A80" s="13">
        <f t="shared" si="5"/>
        <v>45930</v>
      </c>
      <c r="B80">
        <v>1</v>
      </c>
      <c r="D80" s="14" t="s">
        <v>31</v>
      </c>
      <c r="E80" s="15" t="s">
        <v>32</v>
      </c>
      <c r="F80" s="16" t="s">
        <v>32</v>
      </c>
      <c r="G80" s="17"/>
      <c r="H80" s="84" t="s">
        <v>59</v>
      </c>
      <c r="I80" s="84" t="s">
        <v>160</v>
      </c>
      <c r="K80" s="20">
        <f t="shared" si="4"/>
        <v>78</v>
      </c>
      <c r="M80" s="13">
        <f t="shared" si="7"/>
        <v>48304</v>
      </c>
      <c r="N80" s="13">
        <f t="shared" si="6"/>
        <v>48304</v>
      </c>
      <c r="O80" s="13">
        <f t="shared" si="6"/>
        <v>48304</v>
      </c>
      <c r="P80" s="24">
        <v>8390.977733491969</v>
      </c>
      <c r="Q80" s="168"/>
      <c r="V80">
        <v>1</v>
      </c>
      <c r="W80" t="s">
        <v>33</v>
      </c>
      <c r="Y80" t="s">
        <v>33</v>
      </c>
      <c r="Z80" t="s">
        <v>34</v>
      </c>
      <c r="AA80">
        <v>1</v>
      </c>
    </row>
    <row r="81" spans="1:27" x14ac:dyDescent="0.35">
      <c r="A81" s="13">
        <f t="shared" si="5"/>
        <v>45930</v>
      </c>
      <c r="B81">
        <v>1</v>
      </c>
      <c r="D81" s="14" t="s">
        <v>31</v>
      </c>
      <c r="E81" s="15" t="s">
        <v>32</v>
      </c>
      <c r="F81" s="16" t="s">
        <v>32</v>
      </c>
      <c r="G81" s="17"/>
      <c r="H81" s="84" t="s">
        <v>59</v>
      </c>
      <c r="I81" s="84" t="s">
        <v>160</v>
      </c>
      <c r="K81" s="20">
        <f t="shared" si="4"/>
        <v>79</v>
      </c>
      <c r="M81" s="13">
        <f t="shared" si="7"/>
        <v>48334</v>
      </c>
      <c r="N81" s="13">
        <f t="shared" si="6"/>
        <v>48334</v>
      </c>
      <c r="O81" s="13">
        <f t="shared" si="6"/>
        <v>48334</v>
      </c>
      <c r="P81" s="24">
        <v>8390.977733491969</v>
      </c>
      <c r="Q81" s="168"/>
      <c r="V81">
        <v>1</v>
      </c>
      <c r="W81" t="s">
        <v>33</v>
      </c>
      <c r="Y81" t="s">
        <v>33</v>
      </c>
      <c r="Z81" t="s">
        <v>34</v>
      </c>
      <c r="AA81">
        <v>1</v>
      </c>
    </row>
    <row r="82" spans="1:27" x14ac:dyDescent="0.35">
      <c r="A82" s="13">
        <f t="shared" si="5"/>
        <v>45930</v>
      </c>
      <c r="B82">
        <v>1</v>
      </c>
      <c r="D82" s="14" t="s">
        <v>31</v>
      </c>
      <c r="E82" s="15" t="s">
        <v>32</v>
      </c>
      <c r="F82" s="16" t="s">
        <v>32</v>
      </c>
      <c r="G82" s="17"/>
      <c r="H82" s="84" t="s">
        <v>59</v>
      </c>
      <c r="I82" s="84" t="s">
        <v>160</v>
      </c>
      <c r="K82" s="20">
        <f t="shared" si="4"/>
        <v>80</v>
      </c>
      <c r="M82" s="13">
        <f t="shared" si="7"/>
        <v>48365</v>
      </c>
      <c r="N82" s="13">
        <f t="shared" si="6"/>
        <v>48365</v>
      </c>
      <c r="O82" s="13">
        <f t="shared" si="6"/>
        <v>48365</v>
      </c>
      <c r="P82" s="24">
        <v>8390.977733491969</v>
      </c>
      <c r="Q82" s="168"/>
      <c r="V82">
        <v>1</v>
      </c>
      <c r="W82" t="s">
        <v>33</v>
      </c>
      <c r="Y82" t="s">
        <v>33</v>
      </c>
      <c r="Z82" t="s">
        <v>34</v>
      </c>
      <c r="AA82">
        <v>1</v>
      </c>
    </row>
    <row r="83" spans="1:27" x14ac:dyDescent="0.35">
      <c r="A83" s="13">
        <f t="shared" si="5"/>
        <v>45930</v>
      </c>
      <c r="B83">
        <v>1</v>
      </c>
      <c r="D83" s="14" t="s">
        <v>31</v>
      </c>
      <c r="E83" s="15" t="s">
        <v>32</v>
      </c>
      <c r="F83" s="16" t="s">
        <v>32</v>
      </c>
      <c r="G83" s="17"/>
      <c r="H83" s="84" t="s">
        <v>59</v>
      </c>
      <c r="I83" s="84" t="s">
        <v>160</v>
      </c>
      <c r="K83" s="20">
        <f t="shared" si="4"/>
        <v>81</v>
      </c>
      <c r="M83" s="13">
        <f t="shared" si="7"/>
        <v>48395</v>
      </c>
      <c r="N83" s="13">
        <f t="shared" si="6"/>
        <v>48395</v>
      </c>
      <c r="O83" s="13">
        <f t="shared" si="6"/>
        <v>48395</v>
      </c>
      <c r="P83" s="24">
        <v>8390.977733491969</v>
      </c>
      <c r="Q83" s="168"/>
      <c r="V83">
        <v>1</v>
      </c>
      <c r="W83" t="s">
        <v>33</v>
      </c>
      <c r="Y83" t="s">
        <v>33</v>
      </c>
      <c r="Z83" t="s">
        <v>34</v>
      </c>
      <c r="AA83">
        <v>1</v>
      </c>
    </row>
    <row r="84" spans="1:27" x14ac:dyDescent="0.35">
      <c r="A84" s="13">
        <f t="shared" si="5"/>
        <v>45930</v>
      </c>
      <c r="B84">
        <v>1</v>
      </c>
      <c r="D84" s="14" t="s">
        <v>31</v>
      </c>
      <c r="E84" s="15" t="s">
        <v>32</v>
      </c>
      <c r="F84" s="16" t="s">
        <v>32</v>
      </c>
      <c r="G84" s="17"/>
      <c r="H84" s="84" t="s">
        <v>59</v>
      </c>
      <c r="I84" s="84" t="s">
        <v>160</v>
      </c>
      <c r="K84" s="20">
        <f t="shared" si="4"/>
        <v>82</v>
      </c>
      <c r="M84" s="13">
        <f t="shared" si="7"/>
        <v>48426</v>
      </c>
      <c r="N84" s="13">
        <f t="shared" si="6"/>
        <v>48426</v>
      </c>
      <c r="O84" s="13">
        <f t="shared" si="6"/>
        <v>48426</v>
      </c>
      <c r="P84" s="24">
        <v>8390.977733491969</v>
      </c>
      <c r="Q84" s="168"/>
      <c r="V84">
        <v>1</v>
      </c>
      <c r="W84" t="s">
        <v>33</v>
      </c>
      <c r="Y84" t="s">
        <v>33</v>
      </c>
      <c r="Z84" t="s">
        <v>34</v>
      </c>
      <c r="AA84">
        <v>1</v>
      </c>
    </row>
    <row r="85" spans="1:27" x14ac:dyDescent="0.35">
      <c r="A85" s="13">
        <f t="shared" si="5"/>
        <v>45930</v>
      </c>
      <c r="B85">
        <v>1</v>
      </c>
      <c r="D85" s="14" t="s">
        <v>31</v>
      </c>
      <c r="E85" s="15" t="s">
        <v>32</v>
      </c>
      <c r="F85" s="16" t="s">
        <v>32</v>
      </c>
      <c r="G85" s="17"/>
      <c r="H85" s="84" t="s">
        <v>59</v>
      </c>
      <c r="I85" s="84" t="s">
        <v>160</v>
      </c>
      <c r="K85" s="20">
        <f t="shared" si="4"/>
        <v>83</v>
      </c>
      <c r="M85" s="13">
        <f t="shared" si="7"/>
        <v>48457</v>
      </c>
      <c r="N85" s="13">
        <f t="shared" si="6"/>
        <v>48457</v>
      </c>
      <c r="O85" s="13">
        <f t="shared" si="6"/>
        <v>48457</v>
      </c>
      <c r="P85" s="24">
        <v>8390.977733491969</v>
      </c>
      <c r="Q85" s="168"/>
      <c r="V85">
        <v>1</v>
      </c>
      <c r="W85" t="s">
        <v>33</v>
      </c>
      <c r="Y85" t="s">
        <v>33</v>
      </c>
      <c r="Z85" t="s">
        <v>34</v>
      </c>
      <c r="AA85">
        <v>1</v>
      </c>
    </row>
    <row r="86" spans="1:27" x14ac:dyDescent="0.35">
      <c r="A86" s="13">
        <f t="shared" si="5"/>
        <v>45930</v>
      </c>
      <c r="B86">
        <v>1</v>
      </c>
      <c r="D86" s="14" t="s">
        <v>31</v>
      </c>
      <c r="E86" s="15" t="s">
        <v>32</v>
      </c>
      <c r="F86" s="16" t="s">
        <v>32</v>
      </c>
      <c r="G86" s="17"/>
      <c r="H86" s="84" t="s">
        <v>59</v>
      </c>
      <c r="I86" s="84" t="s">
        <v>160</v>
      </c>
      <c r="K86" s="20">
        <f t="shared" si="4"/>
        <v>84</v>
      </c>
      <c r="M86" s="13">
        <f t="shared" si="7"/>
        <v>48487</v>
      </c>
      <c r="N86" s="13">
        <f t="shared" si="6"/>
        <v>48487</v>
      </c>
      <c r="O86" s="13">
        <f t="shared" si="6"/>
        <v>48487</v>
      </c>
      <c r="P86" s="24">
        <v>8390.977733491969</v>
      </c>
      <c r="Q86" s="168"/>
      <c r="V86">
        <v>1</v>
      </c>
      <c r="W86" t="s">
        <v>33</v>
      </c>
      <c r="Y86" t="s">
        <v>33</v>
      </c>
      <c r="Z86" t="s">
        <v>34</v>
      </c>
      <c r="AA86">
        <v>1</v>
      </c>
    </row>
    <row r="87" spans="1:27" x14ac:dyDescent="0.35">
      <c r="A87" s="13">
        <f t="shared" si="5"/>
        <v>45930</v>
      </c>
      <c r="B87">
        <v>1</v>
      </c>
      <c r="D87" s="14" t="s">
        <v>31</v>
      </c>
      <c r="E87" s="15" t="s">
        <v>32</v>
      </c>
      <c r="F87" s="16" t="s">
        <v>32</v>
      </c>
      <c r="G87" s="17"/>
      <c r="H87" s="84" t="s">
        <v>59</v>
      </c>
      <c r="I87" s="84" t="s">
        <v>160</v>
      </c>
      <c r="K87" s="20">
        <f t="shared" si="4"/>
        <v>85</v>
      </c>
      <c r="M87" s="13">
        <f t="shared" si="7"/>
        <v>48518</v>
      </c>
      <c r="N87" s="13">
        <f t="shared" si="6"/>
        <v>48518</v>
      </c>
      <c r="O87" s="13">
        <f t="shared" si="6"/>
        <v>48518</v>
      </c>
      <c r="P87" s="24">
        <v>8390.977733491969</v>
      </c>
      <c r="Q87" s="168"/>
      <c r="V87">
        <v>1</v>
      </c>
      <c r="W87" t="s">
        <v>33</v>
      </c>
      <c r="Y87" t="s">
        <v>33</v>
      </c>
      <c r="Z87" t="s">
        <v>34</v>
      </c>
      <c r="AA87">
        <v>1</v>
      </c>
    </row>
    <row r="88" spans="1:27" x14ac:dyDescent="0.35">
      <c r="A88" s="13">
        <f t="shared" si="5"/>
        <v>45930</v>
      </c>
      <c r="B88">
        <v>1</v>
      </c>
      <c r="D88" s="14" t="s">
        <v>31</v>
      </c>
      <c r="E88" s="15" t="s">
        <v>32</v>
      </c>
      <c r="F88" s="16" t="s">
        <v>32</v>
      </c>
      <c r="G88" s="17"/>
      <c r="H88" s="84" t="s">
        <v>59</v>
      </c>
      <c r="I88" s="84" t="s">
        <v>160</v>
      </c>
      <c r="K88" s="20">
        <f t="shared" si="4"/>
        <v>86</v>
      </c>
      <c r="M88" s="13">
        <f t="shared" si="7"/>
        <v>48548</v>
      </c>
      <c r="N88" s="13">
        <f t="shared" si="6"/>
        <v>48548</v>
      </c>
      <c r="O88" s="13">
        <f t="shared" si="6"/>
        <v>48548</v>
      </c>
      <c r="P88" s="24">
        <v>8390.977733491969</v>
      </c>
      <c r="Q88" s="168"/>
      <c r="V88">
        <v>1</v>
      </c>
      <c r="W88" t="s">
        <v>33</v>
      </c>
      <c r="Y88" t="s">
        <v>33</v>
      </c>
      <c r="Z88" t="s">
        <v>34</v>
      </c>
      <c r="AA88">
        <v>1</v>
      </c>
    </row>
    <row r="89" spans="1:27" x14ac:dyDescent="0.35">
      <c r="A89" s="13">
        <f t="shared" si="5"/>
        <v>45930</v>
      </c>
      <c r="B89">
        <v>1</v>
      </c>
      <c r="D89" s="14" t="s">
        <v>31</v>
      </c>
      <c r="E89" s="15" t="s">
        <v>32</v>
      </c>
      <c r="F89" s="16" t="s">
        <v>32</v>
      </c>
      <c r="G89" s="17"/>
      <c r="H89" s="84" t="s">
        <v>59</v>
      </c>
      <c r="I89" s="84" t="s">
        <v>160</v>
      </c>
      <c r="K89" s="20">
        <f t="shared" si="4"/>
        <v>87</v>
      </c>
      <c r="M89" s="13">
        <f t="shared" si="7"/>
        <v>48579</v>
      </c>
      <c r="N89" s="13">
        <f t="shared" si="6"/>
        <v>48579</v>
      </c>
      <c r="O89" s="13">
        <f t="shared" si="6"/>
        <v>48579</v>
      </c>
      <c r="P89" s="24">
        <v>8390.977733491969</v>
      </c>
      <c r="Q89" s="168"/>
      <c r="V89">
        <v>1</v>
      </c>
      <c r="W89" t="s">
        <v>33</v>
      </c>
      <c r="Y89" t="s">
        <v>33</v>
      </c>
      <c r="Z89" t="s">
        <v>34</v>
      </c>
      <c r="AA89">
        <v>1</v>
      </c>
    </row>
    <row r="90" spans="1:27" x14ac:dyDescent="0.35">
      <c r="A90" s="13">
        <f t="shared" si="5"/>
        <v>45930</v>
      </c>
      <c r="B90">
        <v>1</v>
      </c>
      <c r="D90" s="14" t="s">
        <v>31</v>
      </c>
      <c r="E90" s="15" t="s">
        <v>32</v>
      </c>
      <c r="F90" s="16" t="s">
        <v>32</v>
      </c>
      <c r="G90" s="17"/>
      <c r="H90" s="84" t="s">
        <v>59</v>
      </c>
      <c r="I90" s="84" t="s">
        <v>160</v>
      </c>
      <c r="K90" s="20">
        <f t="shared" si="4"/>
        <v>88</v>
      </c>
      <c r="M90" s="13">
        <f t="shared" si="7"/>
        <v>48610</v>
      </c>
      <c r="N90" s="13">
        <f t="shared" si="6"/>
        <v>48610</v>
      </c>
      <c r="O90" s="13">
        <f t="shared" si="6"/>
        <v>48610</v>
      </c>
      <c r="P90" s="24">
        <v>8390.977733491969</v>
      </c>
      <c r="Q90" s="168"/>
      <c r="V90">
        <v>1</v>
      </c>
      <c r="W90" t="s">
        <v>33</v>
      </c>
      <c r="Y90" t="s">
        <v>33</v>
      </c>
      <c r="Z90" t="s">
        <v>34</v>
      </c>
      <c r="AA90">
        <v>1</v>
      </c>
    </row>
    <row r="91" spans="1:27" x14ac:dyDescent="0.35">
      <c r="A91" s="13">
        <f t="shared" si="5"/>
        <v>45930</v>
      </c>
      <c r="B91">
        <v>1</v>
      </c>
      <c r="D91" s="14" t="s">
        <v>31</v>
      </c>
      <c r="E91" s="15" t="s">
        <v>32</v>
      </c>
      <c r="F91" s="16" t="s">
        <v>32</v>
      </c>
      <c r="G91" s="17"/>
      <c r="H91" s="84" t="s">
        <v>59</v>
      </c>
      <c r="I91" s="84" t="s">
        <v>160</v>
      </c>
      <c r="K91" s="20">
        <f t="shared" si="4"/>
        <v>89</v>
      </c>
      <c r="M91" s="13">
        <f t="shared" si="7"/>
        <v>48638</v>
      </c>
      <c r="N91" s="13">
        <f t="shared" si="6"/>
        <v>48638</v>
      </c>
      <c r="O91" s="13">
        <f t="shared" si="6"/>
        <v>48638</v>
      </c>
      <c r="P91" s="24">
        <v>8390.977733491969</v>
      </c>
      <c r="Q91" s="168"/>
      <c r="V91">
        <v>1</v>
      </c>
      <c r="W91" t="s">
        <v>33</v>
      </c>
      <c r="Y91" t="s">
        <v>33</v>
      </c>
      <c r="Z91" t="s">
        <v>34</v>
      </c>
      <c r="AA91">
        <v>1</v>
      </c>
    </row>
    <row r="92" spans="1:27" x14ac:dyDescent="0.35">
      <c r="A92" s="13">
        <f t="shared" si="5"/>
        <v>45930</v>
      </c>
      <c r="B92">
        <v>1</v>
      </c>
      <c r="D92" s="14" t="s">
        <v>31</v>
      </c>
      <c r="E92" s="15" t="s">
        <v>32</v>
      </c>
      <c r="F92" s="16" t="s">
        <v>32</v>
      </c>
      <c r="G92" s="17"/>
      <c r="H92" s="84" t="s">
        <v>59</v>
      </c>
      <c r="I92" s="84" t="s">
        <v>160</v>
      </c>
      <c r="K92" s="20">
        <f t="shared" si="4"/>
        <v>90</v>
      </c>
      <c r="M92" s="13">
        <f t="shared" si="7"/>
        <v>48669</v>
      </c>
      <c r="N92" s="13">
        <f t="shared" si="6"/>
        <v>48669</v>
      </c>
      <c r="O92" s="13">
        <f t="shared" si="6"/>
        <v>48669</v>
      </c>
      <c r="P92" s="24">
        <v>8390.977733491969</v>
      </c>
      <c r="Q92" s="168"/>
      <c r="V92">
        <v>1</v>
      </c>
      <c r="W92" t="s">
        <v>33</v>
      </c>
      <c r="Y92" t="s">
        <v>33</v>
      </c>
      <c r="Z92" t="s">
        <v>34</v>
      </c>
      <c r="AA92">
        <v>1</v>
      </c>
    </row>
    <row r="93" spans="1:27" x14ac:dyDescent="0.35">
      <c r="A93" s="13">
        <f t="shared" si="5"/>
        <v>45930</v>
      </c>
      <c r="B93">
        <v>1</v>
      </c>
      <c r="D93" s="14" t="s">
        <v>31</v>
      </c>
      <c r="E93" s="15" t="s">
        <v>32</v>
      </c>
      <c r="F93" s="16" t="s">
        <v>32</v>
      </c>
      <c r="G93" s="17"/>
      <c r="H93" s="84" t="s">
        <v>59</v>
      </c>
      <c r="I93" s="84" t="s">
        <v>160</v>
      </c>
      <c r="K93" s="20">
        <f t="shared" si="4"/>
        <v>91</v>
      </c>
      <c r="M93" s="13">
        <f t="shared" si="7"/>
        <v>48699</v>
      </c>
      <c r="N93" s="13">
        <f t="shared" si="6"/>
        <v>48699</v>
      </c>
      <c r="O93" s="13">
        <f t="shared" si="6"/>
        <v>48699</v>
      </c>
      <c r="P93" s="24">
        <v>8390.977733491969</v>
      </c>
      <c r="Q93" s="168"/>
      <c r="V93">
        <v>1</v>
      </c>
      <c r="W93" t="s">
        <v>33</v>
      </c>
      <c r="Y93" t="s">
        <v>33</v>
      </c>
      <c r="Z93" t="s">
        <v>34</v>
      </c>
      <c r="AA93">
        <v>1</v>
      </c>
    </row>
    <row r="94" spans="1:27" x14ac:dyDescent="0.35">
      <c r="A94" s="13">
        <f t="shared" si="5"/>
        <v>45930</v>
      </c>
      <c r="B94">
        <v>1</v>
      </c>
      <c r="D94" s="14" t="s">
        <v>31</v>
      </c>
      <c r="E94" s="15" t="s">
        <v>32</v>
      </c>
      <c r="F94" s="16" t="s">
        <v>32</v>
      </c>
      <c r="G94" s="17"/>
      <c r="H94" s="84" t="s">
        <v>59</v>
      </c>
      <c r="I94" s="84" t="s">
        <v>160</v>
      </c>
      <c r="K94" s="20">
        <f t="shared" si="4"/>
        <v>92</v>
      </c>
      <c r="M94" s="13">
        <f t="shared" si="7"/>
        <v>48730</v>
      </c>
      <c r="N94" s="13">
        <f t="shared" si="6"/>
        <v>48730</v>
      </c>
      <c r="O94" s="13">
        <f t="shared" si="6"/>
        <v>48730</v>
      </c>
      <c r="P94" s="24">
        <v>8390.977733491969</v>
      </c>
      <c r="Q94" s="168"/>
      <c r="V94">
        <v>1</v>
      </c>
      <c r="W94" t="s">
        <v>33</v>
      </c>
      <c r="Y94" t="s">
        <v>33</v>
      </c>
      <c r="Z94" t="s">
        <v>34</v>
      </c>
      <c r="AA94">
        <v>1</v>
      </c>
    </row>
    <row r="95" spans="1:27" x14ac:dyDescent="0.35">
      <c r="A95" s="13">
        <f t="shared" si="5"/>
        <v>45930</v>
      </c>
      <c r="B95">
        <v>1</v>
      </c>
      <c r="D95" s="14" t="s">
        <v>31</v>
      </c>
      <c r="E95" s="15" t="s">
        <v>32</v>
      </c>
      <c r="F95" s="16" t="s">
        <v>32</v>
      </c>
      <c r="G95" s="17"/>
      <c r="H95" s="84" t="s">
        <v>59</v>
      </c>
      <c r="I95" s="84" t="s">
        <v>160</v>
      </c>
      <c r="K95" s="20">
        <f t="shared" si="4"/>
        <v>93</v>
      </c>
      <c r="M95" s="13">
        <f t="shared" si="7"/>
        <v>48760</v>
      </c>
      <c r="N95" s="13">
        <f t="shared" si="6"/>
        <v>48760</v>
      </c>
      <c r="O95" s="13">
        <f t="shared" si="6"/>
        <v>48760</v>
      </c>
      <c r="P95" s="24">
        <v>8390.977733491969</v>
      </c>
      <c r="Q95" s="168"/>
      <c r="V95">
        <v>1</v>
      </c>
      <c r="W95" t="s">
        <v>33</v>
      </c>
      <c r="Y95" t="s">
        <v>33</v>
      </c>
      <c r="Z95" t="s">
        <v>34</v>
      </c>
      <c r="AA95">
        <v>1</v>
      </c>
    </row>
    <row r="96" spans="1:27" x14ac:dyDescent="0.35">
      <c r="A96" s="13">
        <f t="shared" si="5"/>
        <v>45930</v>
      </c>
      <c r="B96">
        <v>1</v>
      </c>
      <c r="D96" s="14" t="s">
        <v>31</v>
      </c>
      <c r="E96" s="15" t="s">
        <v>32</v>
      </c>
      <c r="F96" s="16" t="s">
        <v>32</v>
      </c>
      <c r="G96" s="17"/>
      <c r="H96" s="84" t="s">
        <v>59</v>
      </c>
      <c r="I96" s="84" t="s">
        <v>160</v>
      </c>
      <c r="K96" s="20">
        <f t="shared" si="4"/>
        <v>94</v>
      </c>
      <c r="M96" s="13">
        <f t="shared" si="7"/>
        <v>48791</v>
      </c>
      <c r="N96" s="13">
        <f t="shared" si="6"/>
        <v>48791</v>
      </c>
      <c r="O96" s="13">
        <f t="shared" si="6"/>
        <v>48791</v>
      </c>
      <c r="P96" s="24">
        <v>8390.977733491969</v>
      </c>
      <c r="Q96" s="168"/>
      <c r="V96">
        <v>1</v>
      </c>
      <c r="W96" t="s">
        <v>33</v>
      </c>
      <c r="Y96" t="s">
        <v>33</v>
      </c>
      <c r="Z96" t="s">
        <v>34</v>
      </c>
      <c r="AA96">
        <v>1</v>
      </c>
    </row>
    <row r="97" spans="1:27" x14ac:dyDescent="0.35">
      <c r="A97" s="13">
        <f t="shared" si="5"/>
        <v>45930</v>
      </c>
      <c r="B97">
        <v>1</v>
      </c>
      <c r="D97" s="14" t="s">
        <v>31</v>
      </c>
      <c r="E97" s="15" t="s">
        <v>32</v>
      </c>
      <c r="F97" s="16" t="s">
        <v>32</v>
      </c>
      <c r="G97" s="17"/>
      <c r="H97" s="84" t="s">
        <v>59</v>
      </c>
      <c r="I97" s="84" t="s">
        <v>160</v>
      </c>
      <c r="K97" s="20">
        <f t="shared" ref="K97:K160" si="8">K96+1</f>
        <v>95</v>
      </c>
      <c r="M97" s="13">
        <f t="shared" si="7"/>
        <v>48822</v>
      </c>
      <c r="N97" s="13">
        <f t="shared" si="6"/>
        <v>48822</v>
      </c>
      <c r="O97" s="13">
        <f t="shared" si="6"/>
        <v>48822</v>
      </c>
      <c r="P97" s="24">
        <v>8390.977733491969</v>
      </c>
      <c r="Q97" s="168"/>
      <c r="V97">
        <v>1</v>
      </c>
      <c r="W97" t="s">
        <v>33</v>
      </c>
      <c r="Y97" t="s">
        <v>33</v>
      </c>
      <c r="Z97" t="s">
        <v>34</v>
      </c>
      <c r="AA97">
        <v>1</v>
      </c>
    </row>
    <row r="98" spans="1:27" x14ac:dyDescent="0.35">
      <c r="A98" s="13">
        <f t="shared" si="5"/>
        <v>45930</v>
      </c>
      <c r="B98">
        <v>1</v>
      </c>
      <c r="D98" s="14" t="s">
        <v>31</v>
      </c>
      <c r="E98" s="15" t="s">
        <v>32</v>
      </c>
      <c r="F98" s="16" t="s">
        <v>32</v>
      </c>
      <c r="G98" s="17"/>
      <c r="H98" s="84" t="s">
        <v>59</v>
      </c>
      <c r="I98" s="84" t="s">
        <v>160</v>
      </c>
      <c r="K98" s="20">
        <f t="shared" si="8"/>
        <v>96</v>
      </c>
      <c r="M98" s="13">
        <f t="shared" si="7"/>
        <v>48852</v>
      </c>
      <c r="N98" s="13">
        <f t="shared" si="6"/>
        <v>48852</v>
      </c>
      <c r="O98" s="13">
        <f t="shared" si="6"/>
        <v>48852</v>
      </c>
      <c r="P98" s="24">
        <v>8390.977733491969</v>
      </c>
      <c r="Q98" s="168"/>
      <c r="V98">
        <v>1</v>
      </c>
      <c r="W98" t="s">
        <v>33</v>
      </c>
      <c r="Y98" t="s">
        <v>33</v>
      </c>
      <c r="Z98" t="s">
        <v>34</v>
      </c>
      <c r="AA98">
        <v>1</v>
      </c>
    </row>
    <row r="99" spans="1:27" x14ac:dyDescent="0.35">
      <c r="A99" s="13">
        <f t="shared" si="5"/>
        <v>45930</v>
      </c>
      <c r="B99">
        <v>1</v>
      </c>
      <c r="D99" s="14" t="s">
        <v>31</v>
      </c>
      <c r="E99" s="15" t="s">
        <v>32</v>
      </c>
      <c r="F99" s="16" t="s">
        <v>32</v>
      </c>
      <c r="G99" s="17"/>
      <c r="H99" s="84" t="s">
        <v>59</v>
      </c>
      <c r="I99" s="84" t="s">
        <v>160</v>
      </c>
      <c r="K99" s="20">
        <f t="shared" si="8"/>
        <v>97</v>
      </c>
      <c r="M99" s="13">
        <f t="shared" si="7"/>
        <v>48883</v>
      </c>
      <c r="N99" s="13">
        <f t="shared" si="6"/>
        <v>48883</v>
      </c>
      <c r="O99" s="13">
        <f t="shared" si="6"/>
        <v>48883</v>
      </c>
      <c r="P99" s="24">
        <v>8390.977733491969</v>
      </c>
      <c r="Q99" s="168"/>
      <c r="V99">
        <v>1</v>
      </c>
      <c r="W99" t="s">
        <v>33</v>
      </c>
      <c r="Y99" t="s">
        <v>33</v>
      </c>
      <c r="Z99" t="s">
        <v>34</v>
      </c>
      <c r="AA99">
        <v>1</v>
      </c>
    </row>
    <row r="100" spans="1:27" x14ac:dyDescent="0.35">
      <c r="A100" s="13">
        <f t="shared" si="5"/>
        <v>45930</v>
      </c>
      <c r="B100">
        <v>1</v>
      </c>
      <c r="D100" s="14" t="s">
        <v>31</v>
      </c>
      <c r="E100" s="15" t="s">
        <v>32</v>
      </c>
      <c r="F100" s="16" t="s">
        <v>32</v>
      </c>
      <c r="G100" s="17"/>
      <c r="H100" s="84" t="s">
        <v>59</v>
      </c>
      <c r="I100" s="84" t="s">
        <v>160</v>
      </c>
      <c r="K100" s="20">
        <f t="shared" si="8"/>
        <v>98</v>
      </c>
      <c r="M100" s="13">
        <f t="shared" si="7"/>
        <v>48913</v>
      </c>
      <c r="N100" s="13">
        <f t="shared" si="6"/>
        <v>48913</v>
      </c>
      <c r="O100" s="13">
        <f t="shared" si="6"/>
        <v>48913</v>
      </c>
      <c r="P100" s="24">
        <v>8390.977733491969</v>
      </c>
      <c r="Q100" s="168"/>
      <c r="V100">
        <v>1</v>
      </c>
      <c r="W100" t="s">
        <v>33</v>
      </c>
      <c r="Y100" t="s">
        <v>33</v>
      </c>
      <c r="Z100" t="s">
        <v>34</v>
      </c>
      <c r="AA100">
        <v>1</v>
      </c>
    </row>
    <row r="101" spans="1:27" x14ac:dyDescent="0.35">
      <c r="A101" s="13">
        <f t="shared" si="5"/>
        <v>45930</v>
      </c>
      <c r="B101">
        <v>1</v>
      </c>
      <c r="D101" s="14" t="s">
        <v>31</v>
      </c>
      <c r="E101" s="15" t="s">
        <v>32</v>
      </c>
      <c r="F101" s="16" t="s">
        <v>32</v>
      </c>
      <c r="G101" s="17"/>
      <c r="H101" s="84" t="s">
        <v>59</v>
      </c>
      <c r="I101" s="84" t="s">
        <v>160</v>
      </c>
      <c r="K101" s="20">
        <f t="shared" si="8"/>
        <v>99</v>
      </c>
      <c r="M101" s="13">
        <f t="shared" si="7"/>
        <v>48944</v>
      </c>
      <c r="N101" s="13">
        <f t="shared" si="6"/>
        <v>48944</v>
      </c>
      <c r="O101" s="13">
        <f t="shared" si="6"/>
        <v>48944</v>
      </c>
      <c r="P101" s="24">
        <v>8390.977733491969</v>
      </c>
      <c r="Q101" s="168"/>
      <c r="V101">
        <v>1</v>
      </c>
      <c r="W101" t="s">
        <v>33</v>
      </c>
      <c r="Y101" t="s">
        <v>33</v>
      </c>
      <c r="Z101" t="s">
        <v>34</v>
      </c>
      <c r="AA101">
        <v>1</v>
      </c>
    </row>
    <row r="102" spans="1:27" x14ac:dyDescent="0.35">
      <c r="A102" s="13">
        <f t="shared" si="5"/>
        <v>45930</v>
      </c>
      <c r="B102">
        <v>1</v>
      </c>
      <c r="D102" s="14" t="s">
        <v>31</v>
      </c>
      <c r="E102" s="15" t="s">
        <v>32</v>
      </c>
      <c r="F102" s="16" t="s">
        <v>32</v>
      </c>
      <c r="G102" s="17"/>
      <c r="H102" s="84" t="s">
        <v>59</v>
      </c>
      <c r="I102" s="84" t="s">
        <v>160</v>
      </c>
      <c r="K102" s="20">
        <f t="shared" si="8"/>
        <v>100</v>
      </c>
      <c r="M102" s="13">
        <f t="shared" si="7"/>
        <v>48975</v>
      </c>
      <c r="N102" s="13">
        <f t="shared" si="6"/>
        <v>48975</v>
      </c>
      <c r="O102" s="13">
        <f t="shared" si="6"/>
        <v>48975</v>
      </c>
      <c r="P102" s="24">
        <v>8390.977733491969</v>
      </c>
      <c r="Q102" s="168"/>
      <c r="V102">
        <v>1</v>
      </c>
      <c r="W102" t="s">
        <v>33</v>
      </c>
      <c r="Y102" t="s">
        <v>33</v>
      </c>
      <c r="Z102" t="s">
        <v>34</v>
      </c>
      <c r="AA102">
        <v>1</v>
      </c>
    </row>
    <row r="103" spans="1:27" x14ac:dyDescent="0.35">
      <c r="A103" s="13">
        <f t="shared" si="5"/>
        <v>45930</v>
      </c>
      <c r="B103">
        <v>1</v>
      </c>
      <c r="D103" s="14" t="s">
        <v>31</v>
      </c>
      <c r="E103" s="15" t="s">
        <v>32</v>
      </c>
      <c r="F103" s="16" t="s">
        <v>32</v>
      </c>
      <c r="G103" s="17"/>
      <c r="H103" s="84" t="s">
        <v>59</v>
      </c>
      <c r="I103" s="84" t="s">
        <v>160</v>
      </c>
      <c r="K103" s="20">
        <f t="shared" si="8"/>
        <v>101</v>
      </c>
      <c r="M103" s="13">
        <f t="shared" si="7"/>
        <v>49003</v>
      </c>
      <c r="N103" s="13">
        <f t="shared" si="6"/>
        <v>49003</v>
      </c>
      <c r="O103" s="13">
        <f t="shared" si="6"/>
        <v>49003</v>
      </c>
      <c r="P103" s="24">
        <v>8390.977733491969</v>
      </c>
      <c r="Q103" s="168"/>
      <c r="V103">
        <v>1</v>
      </c>
      <c r="W103" t="s">
        <v>33</v>
      </c>
      <c r="Y103" t="s">
        <v>33</v>
      </c>
      <c r="Z103" t="s">
        <v>34</v>
      </c>
      <c r="AA103">
        <v>1</v>
      </c>
    </row>
    <row r="104" spans="1:27" x14ac:dyDescent="0.35">
      <c r="A104" s="13">
        <f t="shared" si="5"/>
        <v>45930</v>
      </c>
      <c r="B104">
        <v>1</v>
      </c>
      <c r="D104" s="14" t="s">
        <v>31</v>
      </c>
      <c r="E104" s="15" t="s">
        <v>32</v>
      </c>
      <c r="F104" s="16" t="s">
        <v>32</v>
      </c>
      <c r="G104" s="17"/>
      <c r="H104" s="84" t="s">
        <v>59</v>
      </c>
      <c r="I104" s="84" t="s">
        <v>160</v>
      </c>
      <c r="K104" s="20">
        <f t="shared" si="8"/>
        <v>102</v>
      </c>
      <c r="M104" s="13">
        <f t="shared" si="7"/>
        <v>49034</v>
      </c>
      <c r="N104" s="13">
        <f t="shared" si="6"/>
        <v>49034</v>
      </c>
      <c r="O104" s="13">
        <f t="shared" si="6"/>
        <v>49034</v>
      </c>
      <c r="P104" s="24">
        <v>8390.977733491969</v>
      </c>
      <c r="Q104" s="168"/>
      <c r="V104">
        <v>1</v>
      </c>
      <c r="W104" t="s">
        <v>33</v>
      </c>
      <c r="Y104" t="s">
        <v>33</v>
      </c>
      <c r="Z104" t="s">
        <v>34</v>
      </c>
      <c r="AA104">
        <v>1</v>
      </c>
    </row>
    <row r="105" spans="1:27" x14ac:dyDescent="0.35">
      <c r="A105" s="13">
        <f t="shared" si="5"/>
        <v>45930</v>
      </c>
      <c r="B105">
        <v>1</v>
      </c>
      <c r="D105" s="14" t="s">
        <v>31</v>
      </c>
      <c r="E105" s="15" t="s">
        <v>32</v>
      </c>
      <c r="F105" s="16" t="s">
        <v>32</v>
      </c>
      <c r="G105" s="17"/>
      <c r="H105" s="84" t="s">
        <v>59</v>
      </c>
      <c r="I105" s="84" t="s">
        <v>160</v>
      </c>
      <c r="K105" s="20">
        <f t="shared" si="8"/>
        <v>103</v>
      </c>
      <c r="M105" s="13">
        <f t="shared" si="7"/>
        <v>49064</v>
      </c>
      <c r="N105" s="13">
        <f t="shared" si="6"/>
        <v>49064</v>
      </c>
      <c r="O105" s="13">
        <f t="shared" si="6"/>
        <v>49064</v>
      </c>
      <c r="P105" s="24">
        <v>8390.977733491969</v>
      </c>
      <c r="Q105" s="168"/>
      <c r="V105">
        <v>1</v>
      </c>
      <c r="W105" t="s">
        <v>33</v>
      </c>
      <c r="Y105" t="s">
        <v>33</v>
      </c>
      <c r="Z105" t="s">
        <v>34</v>
      </c>
      <c r="AA105">
        <v>1</v>
      </c>
    </row>
    <row r="106" spans="1:27" x14ac:dyDescent="0.35">
      <c r="A106" s="13">
        <f t="shared" si="5"/>
        <v>45930</v>
      </c>
      <c r="B106">
        <v>1</v>
      </c>
      <c r="D106" s="14" t="s">
        <v>31</v>
      </c>
      <c r="E106" s="15" t="s">
        <v>32</v>
      </c>
      <c r="F106" s="16" t="s">
        <v>32</v>
      </c>
      <c r="G106" s="17"/>
      <c r="H106" s="84" t="s">
        <v>59</v>
      </c>
      <c r="I106" s="84" t="s">
        <v>160</v>
      </c>
      <c r="K106" s="20">
        <f t="shared" si="8"/>
        <v>104</v>
      </c>
      <c r="M106" s="13">
        <f t="shared" si="7"/>
        <v>49095</v>
      </c>
      <c r="N106" s="13">
        <f t="shared" si="6"/>
        <v>49095</v>
      </c>
      <c r="O106" s="13">
        <f t="shared" si="6"/>
        <v>49095</v>
      </c>
      <c r="P106" s="24">
        <v>8390.977733491969</v>
      </c>
      <c r="Q106" s="168"/>
      <c r="V106">
        <v>1</v>
      </c>
      <c r="W106" t="s">
        <v>33</v>
      </c>
      <c r="Y106" t="s">
        <v>33</v>
      </c>
      <c r="Z106" t="s">
        <v>34</v>
      </c>
      <c r="AA106">
        <v>1</v>
      </c>
    </row>
    <row r="107" spans="1:27" x14ac:dyDescent="0.35">
      <c r="A107" s="13">
        <f t="shared" si="5"/>
        <v>45930</v>
      </c>
      <c r="B107">
        <v>1</v>
      </c>
      <c r="D107" s="14" t="s">
        <v>31</v>
      </c>
      <c r="E107" s="15" t="s">
        <v>32</v>
      </c>
      <c r="F107" s="16" t="s">
        <v>32</v>
      </c>
      <c r="G107" s="17"/>
      <c r="H107" s="84" t="s">
        <v>59</v>
      </c>
      <c r="I107" s="84" t="s">
        <v>160</v>
      </c>
      <c r="K107" s="20">
        <f t="shared" si="8"/>
        <v>105</v>
      </c>
      <c r="M107" s="13">
        <f t="shared" si="7"/>
        <v>49125</v>
      </c>
      <c r="N107" s="13">
        <f t="shared" si="6"/>
        <v>49125</v>
      </c>
      <c r="O107" s="13">
        <f t="shared" si="6"/>
        <v>49125</v>
      </c>
      <c r="P107" s="24">
        <v>8390.977733491969</v>
      </c>
      <c r="Q107" s="168"/>
      <c r="V107">
        <v>1</v>
      </c>
      <c r="W107" t="s">
        <v>33</v>
      </c>
      <c r="Y107" t="s">
        <v>33</v>
      </c>
      <c r="Z107" t="s">
        <v>34</v>
      </c>
      <c r="AA107">
        <v>1</v>
      </c>
    </row>
    <row r="108" spans="1:27" x14ac:dyDescent="0.35">
      <c r="A108" s="13">
        <f t="shared" si="5"/>
        <v>45930</v>
      </c>
      <c r="B108">
        <v>1</v>
      </c>
      <c r="D108" s="14" t="s">
        <v>31</v>
      </c>
      <c r="E108" s="15" t="s">
        <v>32</v>
      </c>
      <c r="F108" s="16" t="s">
        <v>32</v>
      </c>
      <c r="G108" s="17"/>
      <c r="H108" s="84" t="s">
        <v>59</v>
      </c>
      <c r="I108" s="84" t="s">
        <v>160</v>
      </c>
      <c r="K108" s="20">
        <f t="shared" si="8"/>
        <v>106</v>
      </c>
      <c r="M108" s="13">
        <f t="shared" si="7"/>
        <v>49156</v>
      </c>
      <c r="N108" s="13">
        <f t="shared" si="6"/>
        <v>49156</v>
      </c>
      <c r="O108" s="13">
        <f t="shared" si="6"/>
        <v>49156</v>
      </c>
      <c r="P108" s="24">
        <v>8390.977733491969</v>
      </c>
      <c r="Q108" s="168"/>
      <c r="V108">
        <v>1</v>
      </c>
      <c r="W108" t="s">
        <v>33</v>
      </c>
      <c r="Y108" t="s">
        <v>33</v>
      </c>
      <c r="Z108" t="s">
        <v>34</v>
      </c>
      <c r="AA108">
        <v>1</v>
      </c>
    </row>
    <row r="109" spans="1:27" x14ac:dyDescent="0.35">
      <c r="A109" s="13">
        <f t="shared" si="5"/>
        <v>45930</v>
      </c>
      <c r="B109">
        <v>1</v>
      </c>
      <c r="D109" s="14" t="s">
        <v>31</v>
      </c>
      <c r="E109" s="15" t="s">
        <v>32</v>
      </c>
      <c r="F109" s="16" t="s">
        <v>32</v>
      </c>
      <c r="G109" s="17"/>
      <c r="H109" s="84" t="s">
        <v>59</v>
      </c>
      <c r="I109" s="84" t="s">
        <v>160</v>
      </c>
      <c r="K109" s="20">
        <f t="shared" si="8"/>
        <v>107</v>
      </c>
      <c r="M109" s="13">
        <f t="shared" si="7"/>
        <v>49187</v>
      </c>
      <c r="N109" s="13">
        <f t="shared" si="6"/>
        <v>49187</v>
      </c>
      <c r="O109" s="13">
        <f t="shared" si="6"/>
        <v>49187</v>
      </c>
      <c r="P109" s="24">
        <v>8390.977733491969</v>
      </c>
      <c r="Q109" s="168"/>
      <c r="V109">
        <v>1</v>
      </c>
      <c r="W109" t="s">
        <v>33</v>
      </c>
      <c r="Y109" t="s">
        <v>33</v>
      </c>
      <c r="Z109" t="s">
        <v>34</v>
      </c>
      <c r="AA109">
        <v>1</v>
      </c>
    </row>
    <row r="110" spans="1:27" x14ac:dyDescent="0.35">
      <c r="A110" s="13">
        <f t="shared" si="5"/>
        <v>45930</v>
      </c>
      <c r="B110">
        <v>1</v>
      </c>
      <c r="D110" s="14" t="s">
        <v>31</v>
      </c>
      <c r="E110" s="15" t="s">
        <v>32</v>
      </c>
      <c r="F110" s="16" t="s">
        <v>32</v>
      </c>
      <c r="G110" s="17"/>
      <c r="H110" s="84" t="s">
        <v>59</v>
      </c>
      <c r="I110" s="84" t="s">
        <v>160</v>
      </c>
      <c r="K110" s="20">
        <f t="shared" si="8"/>
        <v>108</v>
      </c>
      <c r="M110" s="13">
        <f t="shared" si="7"/>
        <v>49217</v>
      </c>
      <c r="N110" s="13">
        <f t="shared" si="6"/>
        <v>49217</v>
      </c>
      <c r="O110" s="13">
        <f t="shared" si="6"/>
        <v>49217</v>
      </c>
      <c r="P110" s="24">
        <v>8390.977733491969</v>
      </c>
      <c r="Q110" s="168"/>
      <c r="V110">
        <v>1</v>
      </c>
      <c r="W110" t="s">
        <v>33</v>
      </c>
      <c r="Y110" t="s">
        <v>33</v>
      </c>
      <c r="Z110" t="s">
        <v>34</v>
      </c>
      <c r="AA110">
        <v>1</v>
      </c>
    </row>
    <row r="111" spans="1:27" x14ac:dyDescent="0.35">
      <c r="A111" s="13">
        <f t="shared" si="5"/>
        <v>45930</v>
      </c>
      <c r="B111">
        <v>1</v>
      </c>
      <c r="D111" s="14" t="s">
        <v>31</v>
      </c>
      <c r="E111" s="15" t="s">
        <v>32</v>
      </c>
      <c r="F111" s="16" t="s">
        <v>32</v>
      </c>
      <c r="G111" s="17"/>
      <c r="H111" s="84" t="s">
        <v>59</v>
      </c>
      <c r="I111" s="84" t="s">
        <v>160</v>
      </c>
      <c r="K111" s="20">
        <f t="shared" si="8"/>
        <v>109</v>
      </c>
      <c r="M111" s="13">
        <f t="shared" si="7"/>
        <v>49248</v>
      </c>
      <c r="N111" s="13">
        <f t="shared" si="6"/>
        <v>49248</v>
      </c>
      <c r="O111" s="13">
        <f t="shared" si="6"/>
        <v>49248</v>
      </c>
      <c r="P111" s="24">
        <v>8390.977733491969</v>
      </c>
      <c r="Q111" s="168"/>
      <c r="V111">
        <v>1</v>
      </c>
      <c r="W111" t="s">
        <v>33</v>
      </c>
      <c r="Y111" t="s">
        <v>33</v>
      </c>
      <c r="Z111" t="s">
        <v>34</v>
      </c>
      <c r="AA111">
        <v>1</v>
      </c>
    </row>
    <row r="112" spans="1:27" x14ac:dyDescent="0.35">
      <c r="A112" s="13">
        <f t="shared" si="5"/>
        <v>45930</v>
      </c>
      <c r="B112">
        <v>1</v>
      </c>
      <c r="D112" s="14" t="s">
        <v>31</v>
      </c>
      <c r="E112" s="15" t="s">
        <v>32</v>
      </c>
      <c r="F112" s="16" t="s">
        <v>32</v>
      </c>
      <c r="G112" s="17"/>
      <c r="H112" s="84" t="s">
        <v>59</v>
      </c>
      <c r="I112" s="84" t="s">
        <v>160</v>
      </c>
      <c r="K112" s="20">
        <f t="shared" si="8"/>
        <v>110</v>
      </c>
      <c r="M112" s="13">
        <f t="shared" si="7"/>
        <v>49278</v>
      </c>
      <c r="N112" s="13">
        <f t="shared" si="6"/>
        <v>49278</v>
      </c>
      <c r="O112" s="13">
        <f t="shared" si="6"/>
        <v>49278</v>
      </c>
      <c r="P112" s="24">
        <v>8390.977733491969</v>
      </c>
      <c r="Q112" s="168"/>
      <c r="V112">
        <v>1</v>
      </c>
      <c r="W112" t="s">
        <v>33</v>
      </c>
      <c r="Y112" t="s">
        <v>33</v>
      </c>
      <c r="Z112" t="s">
        <v>34</v>
      </c>
      <c r="AA112">
        <v>1</v>
      </c>
    </row>
    <row r="113" spans="1:27" x14ac:dyDescent="0.35">
      <c r="A113" s="13">
        <f t="shared" si="5"/>
        <v>45930</v>
      </c>
      <c r="B113">
        <v>1</v>
      </c>
      <c r="D113" s="14" t="s">
        <v>31</v>
      </c>
      <c r="E113" s="15" t="s">
        <v>32</v>
      </c>
      <c r="F113" s="16" t="s">
        <v>32</v>
      </c>
      <c r="G113" s="17"/>
      <c r="H113" s="84" t="s">
        <v>59</v>
      </c>
      <c r="I113" s="84" t="s">
        <v>160</v>
      </c>
      <c r="K113" s="20">
        <f t="shared" si="8"/>
        <v>111</v>
      </c>
      <c r="M113" s="13">
        <f t="shared" si="7"/>
        <v>49309</v>
      </c>
      <c r="N113" s="13">
        <f t="shared" si="6"/>
        <v>49309</v>
      </c>
      <c r="O113" s="13">
        <f t="shared" si="6"/>
        <v>49309</v>
      </c>
      <c r="P113" s="24">
        <v>8390.977733491969</v>
      </c>
      <c r="Q113" s="168"/>
      <c r="V113">
        <v>1</v>
      </c>
      <c r="W113" t="s">
        <v>33</v>
      </c>
      <c r="Y113" t="s">
        <v>33</v>
      </c>
      <c r="Z113" t="s">
        <v>34</v>
      </c>
      <c r="AA113">
        <v>1</v>
      </c>
    </row>
    <row r="114" spans="1:27" x14ac:dyDescent="0.35">
      <c r="A114" s="13">
        <f t="shared" si="5"/>
        <v>45930</v>
      </c>
      <c r="B114">
        <v>1</v>
      </c>
      <c r="D114" s="14" t="s">
        <v>31</v>
      </c>
      <c r="E114" s="15" t="s">
        <v>32</v>
      </c>
      <c r="F114" s="16" t="s">
        <v>32</v>
      </c>
      <c r="G114" s="17"/>
      <c r="H114" s="84" t="s">
        <v>59</v>
      </c>
      <c r="I114" s="84" t="s">
        <v>160</v>
      </c>
      <c r="K114" s="20">
        <f t="shared" si="8"/>
        <v>112</v>
      </c>
      <c r="M114" s="13">
        <f t="shared" si="7"/>
        <v>49340</v>
      </c>
      <c r="N114" s="13">
        <f t="shared" si="6"/>
        <v>49340</v>
      </c>
      <c r="O114" s="13">
        <f t="shared" si="6"/>
        <v>49340</v>
      </c>
      <c r="P114" s="24">
        <v>8390.977733491969</v>
      </c>
      <c r="Q114" s="168"/>
      <c r="V114">
        <v>1</v>
      </c>
      <c r="W114" t="s">
        <v>33</v>
      </c>
      <c r="Y114" t="s">
        <v>33</v>
      </c>
      <c r="Z114" t="s">
        <v>34</v>
      </c>
      <c r="AA114">
        <v>1</v>
      </c>
    </row>
    <row r="115" spans="1:27" x14ac:dyDescent="0.35">
      <c r="A115" s="13">
        <f t="shared" si="5"/>
        <v>45930</v>
      </c>
      <c r="B115">
        <v>1</v>
      </c>
      <c r="D115" s="14" t="s">
        <v>31</v>
      </c>
      <c r="E115" s="15" t="s">
        <v>32</v>
      </c>
      <c r="F115" s="16" t="s">
        <v>32</v>
      </c>
      <c r="G115" s="17"/>
      <c r="H115" s="84" t="s">
        <v>59</v>
      </c>
      <c r="I115" s="84" t="s">
        <v>160</v>
      </c>
      <c r="K115" s="20">
        <f t="shared" si="8"/>
        <v>113</v>
      </c>
      <c r="M115" s="13">
        <f t="shared" si="7"/>
        <v>49368</v>
      </c>
      <c r="N115" s="13">
        <f t="shared" si="6"/>
        <v>49368</v>
      </c>
      <c r="O115" s="13">
        <f t="shared" si="6"/>
        <v>49368</v>
      </c>
      <c r="P115" s="24">
        <v>8390.977733491969</v>
      </c>
      <c r="Q115" s="168"/>
      <c r="V115">
        <v>1</v>
      </c>
      <c r="W115" t="s">
        <v>33</v>
      </c>
      <c r="Y115" t="s">
        <v>33</v>
      </c>
      <c r="Z115" t="s">
        <v>34</v>
      </c>
      <c r="AA115">
        <v>1</v>
      </c>
    </row>
    <row r="116" spans="1:27" x14ac:dyDescent="0.35">
      <c r="A116" s="13">
        <f t="shared" si="5"/>
        <v>45930</v>
      </c>
      <c r="B116">
        <v>1</v>
      </c>
      <c r="D116" s="14" t="s">
        <v>31</v>
      </c>
      <c r="E116" s="15" t="s">
        <v>32</v>
      </c>
      <c r="F116" s="16" t="s">
        <v>32</v>
      </c>
      <c r="G116" s="17"/>
      <c r="H116" s="84" t="s">
        <v>59</v>
      </c>
      <c r="I116" s="84" t="s">
        <v>160</v>
      </c>
      <c r="K116" s="20">
        <f t="shared" si="8"/>
        <v>114</v>
      </c>
      <c r="M116" s="13">
        <f t="shared" si="7"/>
        <v>49399</v>
      </c>
      <c r="N116" s="13">
        <f t="shared" si="6"/>
        <v>49399</v>
      </c>
      <c r="O116" s="13">
        <f t="shared" si="6"/>
        <v>49399</v>
      </c>
      <c r="P116" s="24">
        <v>8390.977733491969</v>
      </c>
      <c r="Q116" s="168"/>
      <c r="V116">
        <v>1</v>
      </c>
      <c r="W116" t="s">
        <v>33</v>
      </c>
      <c r="Y116" t="s">
        <v>33</v>
      </c>
      <c r="Z116" t="s">
        <v>34</v>
      </c>
      <c r="AA116">
        <v>1</v>
      </c>
    </row>
    <row r="117" spans="1:27" x14ac:dyDescent="0.35">
      <c r="A117" s="13">
        <f t="shared" si="5"/>
        <v>45930</v>
      </c>
      <c r="B117">
        <v>1</v>
      </c>
      <c r="D117" s="14" t="s">
        <v>31</v>
      </c>
      <c r="E117" s="15" t="s">
        <v>32</v>
      </c>
      <c r="F117" s="16" t="s">
        <v>32</v>
      </c>
      <c r="G117" s="17"/>
      <c r="H117" s="84" t="s">
        <v>59</v>
      </c>
      <c r="I117" s="84" t="s">
        <v>160</v>
      </c>
      <c r="K117" s="20">
        <f t="shared" si="8"/>
        <v>115</v>
      </c>
      <c r="M117" s="13">
        <f t="shared" si="7"/>
        <v>49429</v>
      </c>
      <c r="N117" s="13">
        <f t="shared" si="6"/>
        <v>49429</v>
      </c>
      <c r="O117" s="13">
        <f t="shared" si="6"/>
        <v>49429</v>
      </c>
      <c r="P117" s="24">
        <v>8390.977733491969</v>
      </c>
      <c r="Q117" s="168"/>
      <c r="V117">
        <v>1</v>
      </c>
      <c r="W117" t="s">
        <v>33</v>
      </c>
      <c r="Y117" t="s">
        <v>33</v>
      </c>
      <c r="Z117" t="s">
        <v>34</v>
      </c>
      <c r="AA117">
        <v>1</v>
      </c>
    </row>
    <row r="118" spans="1:27" x14ac:dyDescent="0.35">
      <c r="A118" s="13">
        <f t="shared" si="5"/>
        <v>45930</v>
      </c>
      <c r="B118">
        <v>1</v>
      </c>
      <c r="D118" s="14" t="s">
        <v>31</v>
      </c>
      <c r="E118" s="15" t="s">
        <v>32</v>
      </c>
      <c r="F118" s="16" t="s">
        <v>32</v>
      </c>
      <c r="G118" s="17"/>
      <c r="H118" s="84" t="s">
        <v>59</v>
      </c>
      <c r="I118" s="84" t="s">
        <v>160</v>
      </c>
      <c r="K118" s="20">
        <f t="shared" si="8"/>
        <v>116</v>
      </c>
      <c r="M118" s="13">
        <f t="shared" si="7"/>
        <v>49460</v>
      </c>
      <c r="N118" s="13">
        <f t="shared" si="6"/>
        <v>49460</v>
      </c>
      <c r="O118" s="13">
        <f t="shared" si="6"/>
        <v>49460</v>
      </c>
      <c r="P118" s="24">
        <v>8390.977733491969</v>
      </c>
      <c r="Q118" s="168"/>
      <c r="V118">
        <v>1</v>
      </c>
      <c r="W118" t="s">
        <v>33</v>
      </c>
      <c r="Y118" t="s">
        <v>33</v>
      </c>
      <c r="Z118" t="s">
        <v>34</v>
      </c>
      <c r="AA118">
        <v>1</v>
      </c>
    </row>
    <row r="119" spans="1:27" x14ac:dyDescent="0.35">
      <c r="A119" s="13">
        <f t="shared" si="5"/>
        <v>45930</v>
      </c>
      <c r="B119">
        <v>1</v>
      </c>
      <c r="D119" s="14" t="s">
        <v>31</v>
      </c>
      <c r="E119" s="15" t="s">
        <v>32</v>
      </c>
      <c r="F119" s="16" t="s">
        <v>32</v>
      </c>
      <c r="G119" s="17"/>
      <c r="H119" s="84" t="s">
        <v>59</v>
      </c>
      <c r="I119" s="84" t="s">
        <v>160</v>
      </c>
      <c r="K119" s="20">
        <f t="shared" si="8"/>
        <v>117</v>
      </c>
      <c r="M119" s="13">
        <f t="shared" si="7"/>
        <v>49490</v>
      </c>
      <c r="N119" s="13">
        <f t="shared" si="6"/>
        <v>49490</v>
      </c>
      <c r="O119" s="13">
        <f t="shared" si="6"/>
        <v>49490</v>
      </c>
      <c r="P119" s="24">
        <v>8390.977733491969</v>
      </c>
      <c r="Q119" s="168"/>
      <c r="V119">
        <v>1</v>
      </c>
      <c r="W119" t="s">
        <v>33</v>
      </c>
      <c r="Y119" t="s">
        <v>33</v>
      </c>
      <c r="Z119" t="s">
        <v>34</v>
      </c>
      <c r="AA119">
        <v>1</v>
      </c>
    </row>
    <row r="120" spans="1:27" x14ac:dyDescent="0.35">
      <c r="A120" s="13">
        <f t="shared" si="5"/>
        <v>45930</v>
      </c>
      <c r="B120">
        <v>1</v>
      </c>
      <c r="D120" s="14" t="s">
        <v>31</v>
      </c>
      <c r="E120" s="15" t="s">
        <v>32</v>
      </c>
      <c r="F120" s="16" t="s">
        <v>32</v>
      </c>
      <c r="G120" s="17"/>
      <c r="H120" s="84" t="s">
        <v>59</v>
      </c>
      <c r="I120" s="84" t="s">
        <v>160</v>
      </c>
      <c r="K120" s="20">
        <f t="shared" si="8"/>
        <v>118</v>
      </c>
      <c r="M120" s="13">
        <f t="shared" si="7"/>
        <v>49521</v>
      </c>
      <c r="N120" s="13">
        <f t="shared" si="6"/>
        <v>49521</v>
      </c>
      <c r="O120" s="13">
        <f t="shared" si="6"/>
        <v>49521</v>
      </c>
      <c r="P120" s="24">
        <v>8390.977733491969</v>
      </c>
      <c r="Q120" s="168"/>
      <c r="V120">
        <v>1</v>
      </c>
      <c r="W120" t="s">
        <v>33</v>
      </c>
      <c r="Y120" t="s">
        <v>33</v>
      </c>
      <c r="Z120" t="s">
        <v>34</v>
      </c>
      <c r="AA120">
        <v>1</v>
      </c>
    </row>
    <row r="121" spans="1:27" x14ac:dyDescent="0.35">
      <c r="A121" s="13">
        <f t="shared" si="5"/>
        <v>45930</v>
      </c>
      <c r="B121">
        <v>1</v>
      </c>
      <c r="D121" s="14" t="s">
        <v>31</v>
      </c>
      <c r="E121" s="15" t="s">
        <v>32</v>
      </c>
      <c r="F121" s="16" t="s">
        <v>32</v>
      </c>
      <c r="G121" s="17"/>
      <c r="H121" s="84" t="s">
        <v>59</v>
      </c>
      <c r="I121" s="84" t="s">
        <v>160</v>
      </c>
      <c r="K121" s="20">
        <f t="shared" si="8"/>
        <v>119</v>
      </c>
      <c r="M121" s="13">
        <f t="shared" si="7"/>
        <v>49552</v>
      </c>
      <c r="N121" s="13">
        <f t="shared" si="6"/>
        <v>49552</v>
      </c>
      <c r="O121" s="13">
        <f t="shared" si="6"/>
        <v>49552</v>
      </c>
      <c r="P121" s="24">
        <v>8390.977733491969</v>
      </c>
      <c r="Q121" s="168"/>
      <c r="V121">
        <v>1</v>
      </c>
      <c r="W121" t="s">
        <v>33</v>
      </c>
      <c r="Y121" t="s">
        <v>33</v>
      </c>
      <c r="Z121" t="s">
        <v>34</v>
      </c>
      <c r="AA121">
        <v>1</v>
      </c>
    </row>
    <row r="122" spans="1:27" x14ac:dyDescent="0.35">
      <c r="A122" s="13">
        <f t="shared" si="5"/>
        <v>45930</v>
      </c>
      <c r="B122">
        <v>1</v>
      </c>
      <c r="D122" s="14" t="s">
        <v>31</v>
      </c>
      <c r="E122" s="15" t="s">
        <v>32</v>
      </c>
      <c r="F122" s="16" t="s">
        <v>32</v>
      </c>
      <c r="G122" s="17"/>
      <c r="H122" s="84" t="s">
        <v>59</v>
      </c>
      <c r="I122" s="84" t="s">
        <v>160</v>
      </c>
      <c r="K122" s="20">
        <f t="shared" si="8"/>
        <v>120</v>
      </c>
      <c r="M122" s="13">
        <f t="shared" si="7"/>
        <v>49582</v>
      </c>
      <c r="N122" s="13">
        <f t="shared" si="6"/>
        <v>49582</v>
      </c>
      <c r="O122" s="13">
        <f t="shared" si="6"/>
        <v>49582</v>
      </c>
      <c r="P122" s="24">
        <v>8390.977733491969</v>
      </c>
      <c r="Q122" s="168"/>
      <c r="V122">
        <v>1</v>
      </c>
      <c r="W122" t="s">
        <v>33</v>
      </c>
      <c r="Y122" t="s">
        <v>33</v>
      </c>
      <c r="Z122" t="s">
        <v>34</v>
      </c>
      <c r="AA122">
        <v>1</v>
      </c>
    </row>
    <row r="123" spans="1:27" x14ac:dyDescent="0.35">
      <c r="A123" s="13">
        <f t="shared" si="5"/>
        <v>45930</v>
      </c>
      <c r="B123">
        <v>1</v>
      </c>
      <c r="D123" s="14" t="s">
        <v>31</v>
      </c>
      <c r="E123" s="15" t="s">
        <v>32</v>
      </c>
      <c r="F123" s="16" t="s">
        <v>32</v>
      </c>
      <c r="G123" s="17"/>
      <c r="H123" s="84" t="s">
        <v>59</v>
      </c>
      <c r="I123" s="84" t="s">
        <v>160</v>
      </c>
      <c r="K123" s="20">
        <f t="shared" si="8"/>
        <v>121</v>
      </c>
      <c r="M123" s="13">
        <f t="shared" si="7"/>
        <v>49613</v>
      </c>
      <c r="N123" s="13">
        <f t="shared" si="6"/>
        <v>49613</v>
      </c>
      <c r="O123" s="13">
        <f t="shared" si="6"/>
        <v>49613</v>
      </c>
      <c r="P123" s="24">
        <v>8390.977733491969</v>
      </c>
      <c r="Q123" s="168"/>
      <c r="V123">
        <v>1</v>
      </c>
      <c r="W123" t="s">
        <v>33</v>
      </c>
      <c r="Y123" t="s">
        <v>33</v>
      </c>
      <c r="Z123" t="s">
        <v>34</v>
      </c>
      <c r="AA123">
        <v>1</v>
      </c>
    </row>
    <row r="124" spans="1:27" x14ac:dyDescent="0.35">
      <c r="A124" s="13">
        <f t="shared" si="5"/>
        <v>45930</v>
      </c>
      <c r="B124">
        <v>1</v>
      </c>
      <c r="D124" s="14" t="s">
        <v>31</v>
      </c>
      <c r="E124" s="15" t="s">
        <v>32</v>
      </c>
      <c r="F124" s="16" t="s">
        <v>32</v>
      </c>
      <c r="G124" s="17"/>
      <c r="H124" s="84" t="s">
        <v>59</v>
      </c>
      <c r="I124" s="84" t="s">
        <v>160</v>
      </c>
      <c r="K124" s="20">
        <f t="shared" si="8"/>
        <v>122</v>
      </c>
      <c r="M124" s="13">
        <f t="shared" si="7"/>
        <v>49643</v>
      </c>
      <c r="N124" s="13">
        <f t="shared" si="6"/>
        <v>49643</v>
      </c>
      <c r="O124" s="13">
        <f t="shared" si="6"/>
        <v>49643</v>
      </c>
      <c r="P124" s="24">
        <v>8390.977733491969</v>
      </c>
      <c r="Q124" s="168"/>
      <c r="V124">
        <v>1</v>
      </c>
      <c r="W124" t="s">
        <v>33</v>
      </c>
      <c r="Y124" t="s">
        <v>33</v>
      </c>
      <c r="Z124" t="s">
        <v>34</v>
      </c>
      <c r="AA124">
        <v>1</v>
      </c>
    </row>
    <row r="125" spans="1:27" x14ac:dyDescent="0.35">
      <c r="A125" s="13">
        <f t="shared" si="5"/>
        <v>45930</v>
      </c>
      <c r="B125">
        <v>1</v>
      </c>
      <c r="D125" s="14" t="s">
        <v>31</v>
      </c>
      <c r="E125" s="15" t="s">
        <v>32</v>
      </c>
      <c r="F125" s="16" t="s">
        <v>32</v>
      </c>
      <c r="G125" s="17"/>
      <c r="H125" s="84" t="s">
        <v>59</v>
      </c>
      <c r="I125" s="84" t="s">
        <v>160</v>
      </c>
      <c r="K125" s="20">
        <f t="shared" si="8"/>
        <v>123</v>
      </c>
      <c r="M125" s="13">
        <f t="shared" si="7"/>
        <v>49674</v>
      </c>
      <c r="N125" s="13">
        <f t="shared" si="6"/>
        <v>49674</v>
      </c>
      <c r="O125" s="13">
        <f t="shared" si="6"/>
        <v>49674</v>
      </c>
      <c r="P125" s="24">
        <v>8390.977733491969</v>
      </c>
      <c r="Q125" s="168"/>
      <c r="V125">
        <v>1</v>
      </c>
      <c r="W125" t="s">
        <v>33</v>
      </c>
      <c r="Y125" t="s">
        <v>33</v>
      </c>
      <c r="Z125" t="s">
        <v>34</v>
      </c>
      <c r="AA125">
        <v>1</v>
      </c>
    </row>
    <row r="126" spans="1:27" x14ac:dyDescent="0.35">
      <c r="A126" s="13">
        <f t="shared" si="5"/>
        <v>45930</v>
      </c>
      <c r="B126">
        <v>1</v>
      </c>
      <c r="D126" s="14" t="s">
        <v>31</v>
      </c>
      <c r="E126" s="15" t="s">
        <v>32</v>
      </c>
      <c r="F126" s="16" t="s">
        <v>32</v>
      </c>
      <c r="G126" s="17"/>
      <c r="H126" s="84" t="s">
        <v>59</v>
      </c>
      <c r="I126" s="84" t="s">
        <v>160</v>
      </c>
      <c r="K126" s="20">
        <f t="shared" si="8"/>
        <v>124</v>
      </c>
      <c r="M126" s="13">
        <f t="shared" si="7"/>
        <v>49705</v>
      </c>
      <c r="N126" s="13">
        <f t="shared" si="6"/>
        <v>49705</v>
      </c>
      <c r="O126" s="13">
        <f t="shared" si="6"/>
        <v>49705</v>
      </c>
      <c r="P126" s="24">
        <v>8390.977733491969</v>
      </c>
      <c r="Q126" s="168"/>
      <c r="V126">
        <v>1</v>
      </c>
      <c r="W126" t="s">
        <v>33</v>
      </c>
      <c r="Y126" t="s">
        <v>33</v>
      </c>
      <c r="Z126" t="s">
        <v>34</v>
      </c>
      <c r="AA126">
        <v>1</v>
      </c>
    </row>
    <row r="127" spans="1:27" x14ac:dyDescent="0.35">
      <c r="A127" s="13">
        <f t="shared" si="5"/>
        <v>45930</v>
      </c>
      <c r="B127">
        <v>1</v>
      </c>
      <c r="D127" s="14" t="s">
        <v>31</v>
      </c>
      <c r="E127" s="15" t="s">
        <v>32</v>
      </c>
      <c r="F127" s="16" t="s">
        <v>32</v>
      </c>
      <c r="G127" s="17"/>
      <c r="H127" s="84" t="s">
        <v>59</v>
      </c>
      <c r="I127" s="84" t="s">
        <v>160</v>
      </c>
      <c r="K127" s="20">
        <f t="shared" si="8"/>
        <v>125</v>
      </c>
      <c r="M127" s="13">
        <f t="shared" si="7"/>
        <v>49734</v>
      </c>
      <c r="N127" s="13">
        <f t="shared" si="6"/>
        <v>49734</v>
      </c>
      <c r="O127" s="13">
        <f t="shared" si="6"/>
        <v>49734</v>
      </c>
      <c r="P127" s="24">
        <v>8390.977733491969</v>
      </c>
      <c r="Q127" s="168"/>
      <c r="V127">
        <v>1</v>
      </c>
      <c r="W127" t="s">
        <v>33</v>
      </c>
      <c r="Y127" t="s">
        <v>33</v>
      </c>
      <c r="Z127" t="s">
        <v>34</v>
      </c>
      <c r="AA127">
        <v>1</v>
      </c>
    </row>
    <row r="128" spans="1:27" x14ac:dyDescent="0.35">
      <c r="A128" s="13">
        <f t="shared" si="5"/>
        <v>45930</v>
      </c>
      <c r="B128">
        <v>1</v>
      </c>
      <c r="D128" s="14" t="s">
        <v>31</v>
      </c>
      <c r="E128" s="15" t="s">
        <v>32</v>
      </c>
      <c r="F128" s="16" t="s">
        <v>32</v>
      </c>
      <c r="G128" s="17"/>
      <c r="H128" s="84" t="s">
        <v>59</v>
      </c>
      <c r="I128" s="84" t="s">
        <v>160</v>
      </c>
      <c r="K128" s="20">
        <f t="shared" si="8"/>
        <v>126</v>
      </c>
      <c r="M128" s="13">
        <f t="shared" si="7"/>
        <v>49765</v>
      </c>
      <c r="N128" s="13">
        <f t="shared" si="6"/>
        <v>49765</v>
      </c>
      <c r="O128" s="13">
        <f t="shared" si="6"/>
        <v>49765</v>
      </c>
      <c r="P128" s="24">
        <v>8390.977733491969</v>
      </c>
      <c r="Q128" s="168"/>
      <c r="V128">
        <v>1</v>
      </c>
      <c r="W128" t="s">
        <v>33</v>
      </c>
      <c r="Y128" t="s">
        <v>33</v>
      </c>
      <c r="Z128" t="s">
        <v>34</v>
      </c>
      <c r="AA128">
        <v>1</v>
      </c>
    </row>
    <row r="129" spans="1:27" x14ac:dyDescent="0.35">
      <c r="A129" s="13">
        <f t="shared" si="5"/>
        <v>45930</v>
      </c>
      <c r="B129">
        <v>1</v>
      </c>
      <c r="D129" s="14" t="s">
        <v>31</v>
      </c>
      <c r="E129" s="15" t="s">
        <v>32</v>
      </c>
      <c r="F129" s="16" t="s">
        <v>32</v>
      </c>
      <c r="G129" s="17"/>
      <c r="H129" s="84" t="s">
        <v>59</v>
      </c>
      <c r="I129" s="84" t="s">
        <v>160</v>
      </c>
      <c r="K129" s="20">
        <f t="shared" si="8"/>
        <v>127</v>
      </c>
      <c r="M129" s="13">
        <f t="shared" si="7"/>
        <v>49795</v>
      </c>
      <c r="N129" s="13">
        <f t="shared" si="6"/>
        <v>49795</v>
      </c>
      <c r="O129" s="13">
        <f t="shared" si="6"/>
        <v>49795</v>
      </c>
      <c r="P129" s="24">
        <v>104.66523349196908</v>
      </c>
      <c r="Q129" s="168"/>
      <c r="V129">
        <v>1</v>
      </c>
      <c r="W129" t="s">
        <v>33</v>
      </c>
      <c r="Y129" t="s">
        <v>33</v>
      </c>
      <c r="Z129" t="s">
        <v>34</v>
      </c>
      <c r="AA129">
        <v>1</v>
      </c>
    </row>
    <row r="130" spans="1:27" x14ac:dyDescent="0.35">
      <c r="A130" s="13">
        <f t="shared" si="5"/>
        <v>45930</v>
      </c>
      <c r="B130">
        <v>1</v>
      </c>
      <c r="D130" s="14" t="s">
        <v>31</v>
      </c>
      <c r="E130" s="15" t="s">
        <v>32</v>
      </c>
      <c r="F130" s="16" t="s">
        <v>32</v>
      </c>
      <c r="G130" s="17"/>
      <c r="H130" s="84" t="s">
        <v>59</v>
      </c>
      <c r="I130" s="84" t="s">
        <v>160</v>
      </c>
      <c r="K130" s="20">
        <f t="shared" si="8"/>
        <v>128</v>
      </c>
      <c r="M130" s="13">
        <f t="shared" si="7"/>
        <v>49826</v>
      </c>
      <c r="N130" s="13">
        <f t="shared" si="6"/>
        <v>49826</v>
      </c>
      <c r="O130" s="13">
        <f t="shared" si="6"/>
        <v>49826</v>
      </c>
      <c r="P130" s="24">
        <v>104.66523349196908</v>
      </c>
      <c r="Q130" s="168"/>
      <c r="V130">
        <v>1</v>
      </c>
      <c r="W130" t="s">
        <v>33</v>
      </c>
      <c r="Y130" t="s">
        <v>33</v>
      </c>
      <c r="Z130" t="s">
        <v>34</v>
      </c>
      <c r="AA130">
        <v>1</v>
      </c>
    </row>
    <row r="131" spans="1:27" x14ac:dyDescent="0.35">
      <c r="A131" s="13">
        <f t="shared" si="5"/>
        <v>45930</v>
      </c>
      <c r="B131">
        <v>1</v>
      </c>
      <c r="D131" s="14" t="s">
        <v>31</v>
      </c>
      <c r="E131" s="15" t="s">
        <v>32</v>
      </c>
      <c r="F131" s="16" t="s">
        <v>32</v>
      </c>
      <c r="G131" s="17"/>
      <c r="H131" s="84" t="s">
        <v>59</v>
      </c>
      <c r="I131" s="84" t="s">
        <v>160</v>
      </c>
      <c r="K131" s="20">
        <f t="shared" si="8"/>
        <v>129</v>
      </c>
      <c r="M131" s="13">
        <f t="shared" si="7"/>
        <v>49856</v>
      </c>
      <c r="N131" s="13">
        <f t="shared" si="6"/>
        <v>49856</v>
      </c>
      <c r="O131" s="13">
        <f t="shared" si="6"/>
        <v>49856</v>
      </c>
      <c r="P131" s="24">
        <v>104.66523349196908</v>
      </c>
      <c r="Q131" s="168"/>
      <c r="V131">
        <v>1</v>
      </c>
      <c r="W131" t="s">
        <v>33</v>
      </c>
      <c r="Y131" t="s">
        <v>33</v>
      </c>
      <c r="Z131" t="s">
        <v>34</v>
      </c>
      <c r="AA131">
        <v>1</v>
      </c>
    </row>
    <row r="132" spans="1:27" x14ac:dyDescent="0.35">
      <c r="A132" s="13">
        <f t="shared" ref="A132:A195" si="9">A131</f>
        <v>45930</v>
      </c>
      <c r="B132">
        <v>1</v>
      </c>
      <c r="D132" s="14" t="s">
        <v>31</v>
      </c>
      <c r="E132" s="15" t="s">
        <v>32</v>
      </c>
      <c r="F132" s="16" t="s">
        <v>32</v>
      </c>
      <c r="G132" s="17"/>
      <c r="H132" s="84" t="s">
        <v>59</v>
      </c>
      <c r="I132" s="84" t="s">
        <v>160</v>
      </c>
      <c r="K132" s="20">
        <f t="shared" si="8"/>
        <v>130</v>
      </c>
      <c r="M132" s="13">
        <f t="shared" si="7"/>
        <v>49887</v>
      </c>
      <c r="N132" s="13">
        <f t="shared" ref="N132:O195" si="10">M132</f>
        <v>49887</v>
      </c>
      <c r="O132" s="13">
        <f t="shared" si="10"/>
        <v>49887</v>
      </c>
      <c r="P132" s="24">
        <v>104.66523349196908</v>
      </c>
      <c r="Q132" s="168"/>
      <c r="V132">
        <v>1</v>
      </c>
      <c r="W132" t="s">
        <v>33</v>
      </c>
      <c r="Y132" t="s">
        <v>33</v>
      </c>
      <c r="Z132" t="s">
        <v>34</v>
      </c>
      <c r="AA132">
        <v>1</v>
      </c>
    </row>
    <row r="133" spans="1:27" x14ac:dyDescent="0.35">
      <c r="A133" s="13">
        <f t="shared" si="9"/>
        <v>45930</v>
      </c>
      <c r="B133">
        <v>1</v>
      </c>
      <c r="D133" s="14" t="s">
        <v>31</v>
      </c>
      <c r="E133" s="15" t="s">
        <v>32</v>
      </c>
      <c r="F133" s="16" t="s">
        <v>32</v>
      </c>
      <c r="G133" s="17"/>
      <c r="H133" s="84" t="s">
        <v>59</v>
      </c>
      <c r="I133" s="84" t="s">
        <v>160</v>
      </c>
      <c r="K133" s="20">
        <f t="shared" si="8"/>
        <v>131</v>
      </c>
      <c r="M133" s="13">
        <f t="shared" ref="M133:M196" si="11">EOMONTH(M132,1)</f>
        <v>49918</v>
      </c>
      <c r="N133" s="13">
        <f t="shared" si="10"/>
        <v>49918</v>
      </c>
      <c r="O133" s="13">
        <f t="shared" si="10"/>
        <v>49918</v>
      </c>
      <c r="P133" s="24">
        <v>104.66523349196908</v>
      </c>
      <c r="Q133" s="168"/>
      <c r="V133">
        <v>1</v>
      </c>
      <c r="W133" t="s">
        <v>33</v>
      </c>
      <c r="Y133" t="s">
        <v>33</v>
      </c>
      <c r="Z133" t="s">
        <v>34</v>
      </c>
      <c r="AA133">
        <v>1</v>
      </c>
    </row>
    <row r="134" spans="1:27" x14ac:dyDescent="0.35">
      <c r="A134" s="13">
        <f t="shared" si="9"/>
        <v>45930</v>
      </c>
      <c r="B134">
        <v>1</v>
      </c>
      <c r="D134" s="14" t="s">
        <v>31</v>
      </c>
      <c r="E134" s="15" t="s">
        <v>32</v>
      </c>
      <c r="F134" s="16" t="s">
        <v>32</v>
      </c>
      <c r="G134" s="17"/>
      <c r="H134" s="84" t="s">
        <v>59</v>
      </c>
      <c r="I134" s="84" t="s">
        <v>160</v>
      </c>
      <c r="K134" s="20">
        <f t="shared" si="8"/>
        <v>132</v>
      </c>
      <c r="M134" s="13">
        <f t="shared" si="11"/>
        <v>49948</v>
      </c>
      <c r="N134" s="13">
        <f t="shared" si="10"/>
        <v>49948</v>
      </c>
      <c r="O134" s="13">
        <f t="shared" si="10"/>
        <v>49948</v>
      </c>
      <c r="P134" s="24">
        <v>104.66523349196908</v>
      </c>
      <c r="Q134" s="168"/>
      <c r="V134">
        <v>1</v>
      </c>
      <c r="W134" t="s">
        <v>33</v>
      </c>
      <c r="Y134" t="s">
        <v>33</v>
      </c>
      <c r="Z134" t="s">
        <v>34</v>
      </c>
      <c r="AA134">
        <v>1</v>
      </c>
    </row>
    <row r="135" spans="1:27" x14ac:dyDescent="0.35">
      <c r="A135" s="13">
        <f t="shared" si="9"/>
        <v>45930</v>
      </c>
      <c r="B135">
        <v>1</v>
      </c>
      <c r="D135" s="14" t="s">
        <v>31</v>
      </c>
      <c r="E135" s="15" t="s">
        <v>32</v>
      </c>
      <c r="F135" s="16" t="s">
        <v>32</v>
      </c>
      <c r="G135" s="17"/>
      <c r="H135" s="84" t="s">
        <v>59</v>
      </c>
      <c r="I135" s="84" t="s">
        <v>160</v>
      </c>
      <c r="K135" s="20">
        <f t="shared" si="8"/>
        <v>133</v>
      </c>
      <c r="M135" s="13">
        <f t="shared" si="11"/>
        <v>49979</v>
      </c>
      <c r="N135" s="13">
        <f t="shared" si="10"/>
        <v>49979</v>
      </c>
      <c r="O135" s="13">
        <f t="shared" si="10"/>
        <v>49979</v>
      </c>
      <c r="P135" s="24">
        <v>104.66523349196908</v>
      </c>
      <c r="Q135" s="168"/>
      <c r="V135">
        <v>1</v>
      </c>
      <c r="W135" t="s">
        <v>33</v>
      </c>
      <c r="Y135" t="s">
        <v>33</v>
      </c>
      <c r="Z135" t="s">
        <v>34</v>
      </c>
      <c r="AA135">
        <v>1</v>
      </c>
    </row>
    <row r="136" spans="1:27" x14ac:dyDescent="0.35">
      <c r="A136" s="13">
        <f t="shared" si="9"/>
        <v>45930</v>
      </c>
      <c r="B136">
        <v>1</v>
      </c>
      <c r="D136" s="14" t="s">
        <v>31</v>
      </c>
      <c r="E136" s="15" t="s">
        <v>32</v>
      </c>
      <c r="F136" s="16" t="s">
        <v>32</v>
      </c>
      <c r="G136" s="17"/>
      <c r="H136" s="84" t="s">
        <v>59</v>
      </c>
      <c r="I136" s="84" t="s">
        <v>160</v>
      </c>
      <c r="K136" s="20">
        <f t="shared" si="8"/>
        <v>134</v>
      </c>
      <c r="M136" s="13">
        <f t="shared" si="11"/>
        <v>50009</v>
      </c>
      <c r="N136" s="13">
        <f t="shared" si="10"/>
        <v>50009</v>
      </c>
      <c r="O136" s="13">
        <f t="shared" si="10"/>
        <v>50009</v>
      </c>
      <c r="P136" s="24">
        <v>104.66523349196908</v>
      </c>
      <c r="Q136" s="168"/>
      <c r="V136">
        <v>1</v>
      </c>
      <c r="W136" t="s">
        <v>33</v>
      </c>
      <c r="Y136" t="s">
        <v>33</v>
      </c>
      <c r="Z136" t="s">
        <v>34</v>
      </c>
      <c r="AA136">
        <v>1</v>
      </c>
    </row>
    <row r="137" spans="1:27" x14ac:dyDescent="0.35">
      <c r="A137" s="13">
        <f t="shared" si="9"/>
        <v>45930</v>
      </c>
      <c r="B137">
        <v>1</v>
      </c>
      <c r="D137" s="14" t="s">
        <v>31</v>
      </c>
      <c r="E137" s="15" t="s">
        <v>32</v>
      </c>
      <c r="F137" s="16" t="s">
        <v>32</v>
      </c>
      <c r="G137" s="17"/>
      <c r="H137" s="84" t="s">
        <v>59</v>
      </c>
      <c r="I137" s="84" t="s">
        <v>160</v>
      </c>
      <c r="K137" s="20">
        <f t="shared" si="8"/>
        <v>135</v>
      </c>
      <c r="M137" s="13">
        <f t="shared" si="11"/>
        <v>50040</v>
      </c>
      <c r="N137" s="13">
        <f t="shared" si="10"/>
        <v>50040</v>
      </c>
      <c r="O137" s="13">
        <f t="shared" si="10"/>
        <v>50040</v>
      </c>
      <c r="P137" s="24">
        <v>104.66523349196908</v>
      </c>
      <c r="Q137" s="168"/>
      <c r="V137">
        <v>1</v>
      </c>
      <c r="W137" t="s">
        <v>33</v>
      </c>
      <c r="Y137" t="s">
        <v>33</v>
      </c>
      <c r="Z137" t="s">
        <v>34</v>
      </c>
      <c r="AA137">
        <v>1</v>
      </c>
    </row>
    <row r="138" spans="1:27" x14ac:dyDescent="0.35">
      <c r="A138" s="13">
        <f t="shared" si="9"/>
        <v>45930</v>
      </c>
      <c r="B138">
        <v>1</v>
      </c>
      <c r="D138" s="14" t="s">
        <v>31</v>
      </c>
      <c r="E138" s="15" t="s">
        <v>32</v>
      </c>
      <c r="F138" s="16" t="s">
        <v>32</v>
      </c>
      <c r="G138" s="17"/>
      <c r="H138" s="84" t="s">
        <v>59</v>
      </c>
      <c r="I138" s="84" t="s">
        <v>160</v>
      </c>
      <c r="K138" s="20">
        <f t="shared" si="8"/>
        <v>136</v>
      </c>
      <c r="M138" s="13">
        <f t="shared" si="11"/>
        <v>50071</v>
      </c>
      <c r="N138" s="13">
        <f t="shared" si="10"/>
        <v>50071</v>
      </c>
      <c r="O138" s="13">
        <f t="shared" si="10"/>
        <v>50071</v>
      </c>
      <c r="P138" s="24">
        <v>104.66523349196908</v>
      </c>
      <c r="Q138" s="168"/>
      <c r="V138">
        <v>1</v>
      </c>
      <c r="W138" t="s">
        <v>33</v>
      </c>
      <c r="Y138" t="s">
        <v>33</v>
      </c>
      <c r="Z138" t="s">
        <v>34</v>
      </c>
      <c r="AA138">
        <v>1</v>
      </c>
    </row>
    <row r="139" spans="1:27" x14ac:dyDescent="0.35">
      <c r="A139" s="13">
        <f t="shared" si="9"/>
        <v>45930</v>
      </c>
      <c r="B139">
        <v>1</v>
      </c>
      <c r="D139" s="14" t="s">
        <v>31</v>
      </c>
      <c r="E139" s="15" t="s">
        <v>32</v>
      </c>
      <c r="F139" s="16" t="s">
        <v>32</v>
      </c>
      <c r="G139" s="17"/>
      <c r="H139" s="84" t="s">
        <v>59</v>
      </c>
      <c r="I139" s="84" t="s">
        <v>160</v>
      </c>
      <c r="K139" s="20">
        <f t="shared" si="8"/>
        <v>137</v>
      </c>
      <c r="M139" s="13">
        <f t="shared" si="11"/>
        <v>50099</v>
      </c>
      <c r="N139" s="13">
        <f t="shared" si="10"/>
        <v>50099</v>
      </c>
      <c r="O139" s="13">
        <f t="shared" si="10"/>
        <v>50099</v>
      </c>
      <c r="P139" s="24">
        <v>104.66523349196908</v>
      </c>
      <c r="Q139" s="168"/>
      <c r="V139">
        <v>1</v>
      </c>
      <c r="W139" t="s">
        <v>33</v>
      </c>
      <c r="Y139" t="s">
        <v>33</v>
      </c>
      <c r="Z139" t="s">
        <v>34</v>
      </c>
      <c r="AA139">
        <v>1</v>
      </c>
    </row>
    <row r="140" spans="1:27" x14ac:dyDescent="0.35">
      <c r="A140" s="13">
        <f t="shared" si="9"/>
        <v>45930</v>
      </c>
      <c r="B140">
        <v>1</v>
      </c>
      <c r="D140" s="14" t="s">
        <v>31</v>
      </c>
      <c r="E140" s="15" t="s">
        <v>32</v>
      </c>
      <c r="F140" s="16" t="s">
        <v>32</v>
      </c>
      <c r="G140" s="17"/>
      <c r="H140" s="84" t="s">
        <v>59</v>
      </c>
      <c r="I140" s="84" t="s">
        <v>160</v>
      </c>
      <c r="K140" s="20">
        <f t="shared" si="8"/>
        <v>138</v>
      </c>
      <c r="M140" s="13">
        <f t="shared" si="11"/>
        <v>50130</v>
      </c>
      <c r="N140" s="13">
        <f t="shared" si="10"/>
        <v>50130</v>
      </c>
      <c r="O140" s="13">
        <f t="shared" si="10"/>
        <v>50130</v>
      </c>
      <c r="P140" s="24">
        <v>104.66523349196908</v>
      </c>
      <c r="Q140" s="168"/>
      <c r="V140">
        <v>1</v>
      </c>
      <c r="W140" t="s">
        <v>33</v>
      </c>
      <c r="Y140" t="s">
        <v>33</v>
      </c>
      <c r="Z140" t="s">
        <v>34</v>
      </c>
      <c r="AA140">
        <v>1</v>
      </c>
    </row>
    <row r="141" spans="1:27" x14ac:dyDescent="0.35">
      <c r="A141" s="13">
        <f t="shared" si="9"/>
        <v>45930</v>
      </c>
      <c r="B141">
        <v>1</v>
      </c>
      <c r="D141" s="14" t="s">
        <v>31</v>
      </c>
      <c r="E141" s="15" t="s">
        <v>32</v>
      </c>
      <c r="F141" s="16" t="s">
        <v>32</v>
      </c>
      <c r="G141" s="17"/>
      <c r="H141" s="84" t="s">
        <v>59</v>
      </c>
      <c r="I141" s="84" t="s">
        <v>160</v>
      </c>
      <c r="K141" s="20">
        <f t="shared" si="8"/>
        <v>139</v>
      </c>
      <c r="M141" s="13">
        <f t="shared" si="11"/>
        <v>50160</v>
      </c>
      <c r="N141" s="13">
        <f t="shared" si="10"/>
        <v>50160</v>
      </c>
      <c r="O141" s="13">
        <f t="shared" si="10"/>
        <v>50160</v>
      </c>
      <c r="P141" s="24">
        <v>104.66523349196908</v>
      </c>
      <c r="Q141" s="168"/>
      <c r="V141">
        <v>1</v>
      </c>
      <c r="W141" t="s">
        <v>33</v>
      </c>
      <c r="Y141" t="s">
        <v>33</v>
      </c>
      <c r="Z141" t="s">
        <v>34</v>
      </c>
      <c r="AA141">
        <v>1</v>
      </c>
    </row>
    <row r="142" spans="1:27" x14ac:dyDescent="0.35">
      <c r="A142" s="13">
        <f t="shared" si="9"/>
        <v>45930</v>
      </c>
      <c r="B142">
        <v>1</v>
      </c>
      <c r="D142" s="14" t="s">
        <v>31</v>
      </c>
      <c r="E142" s="15" t="s">
        <v>32</v>
      </c>
      <c r="F142" s="16" t="s">
        <v>32</v>
      </c>
      <c r="G142" s="17"/>
      <c r="H142" s="84" t="s">
        <v>59</v>
      </c>
      <c r="I142" s="84" t="s">
        <v>160</v>
      </c>
      <c r="K142" s="20">
        <f t="shared" si="8"/>
        <v>140</v>
      </c>
      <c r="M142" s="13">
        <f t="shared" si="11"/>
        <v>50191</v>
      </c>
      <c r="N142" s="13">
        <f t="shared" si="10"/>
        <v>50191</v>
      </c>
      <c r="O142" s="13">
        <f t="shared" si="10"/>
        <v>50191</v>
      </c>
      <c r="P142" s="24">
        <v>104.66523349196908</v>
      </c>
      <c r="Q142" s="168"/>
      <c r="V142">
        <v>1</v>
      </c>
      <c r="W142" t="s">
        <v>33</v>
      </c>
      <c r="Y142" t="s">
        <v>33</v>
      </c>
      <c r="Z142" t="s">
        <v>34</v>
      </c>
      <c r="AA142">
        <v>1</v>
      </c>
    </row>
    <row r="143" spans="1:27" x14ac:dyDescent="0.35">
      <c r="A143" s="13">
        <f t="shared" si="9"/>
        <v>45930</v>
      </c>
      <c r="B143">
        <v>1</v>
      </c>
      <c r="D143" s="14" t="s">
        <v>31</v>
      </c>
      <c r="E143" s="15" t="s">
        <v>32</v>
      </c>
      <c r="F143" s="16" t="s">
        <v>32</v>
      </c>
      <c r="G143" s="17"/>
      <c r="H143" s="84" t="s">
        <v>59</v>
      </c>
      <c r="I143" s="84" t="s">
        <v>160</v>
      </c>
      <c r="K143" s="20">
        <f t="shared" si="8"/>
        <v>141</v>
      </c>
      <c r="M143" s="13">
        <f t="shared" si="11"/>
        <v>50221</v>
      </c>
      <c r="N143" s="13">
        <f t="shared" si="10"/>
        <v>50221</v>
      </c>
      <c r="O143" s="13">
        <f t="shared" si="10"/>
        <v>50221</v>
      </c>
      <c r="P143" s="24">
        <v>104.66523349196908</v>
      </c>
      <c r="Q143" s="168"/>
      <c r="V143">
        <v>1</v>
      </c>
      <c r="W143" t="s">
        <v>33</v>
      </c>
      <c r="Y143" t="s">
        <v>33</v>
      </c>
      <c r="Z143" t="s">
        <v>34</v>
      </c>
      <c r="AA143">
        <v>1</v>
      </c>
    </row>
    <row r="144" spans="1:27" x14ac:dyDescent="0.35">
      <c r="A144" s="13">
        <f t="shared" si="9"/>
        <v>45930</v>
      </c>
      <c r="B144">
        <v>1</v>
      </c>
      <c r="D144" s="14" t="s">
        <v>31</v>
      </c>
      <c r="E144" s="15" t="s">
        <v>32</v>
      </c>
      <c r="F144" s="16" t="s">
        <v>32</v>
      </c>
      <c r="G144" s="17"/>
      <c r="H144" s="84" t="s">
        <v>59</v>
      </c>
      <c r="I144" s="84" t="s">
        <v>160</v>
      </c>
      <c r="K144" s="20">
        <f t="shared" si="8"/>
        <v>142</v>
      </c>
      <c r="M144" s="13">
        <f t="shared" si="11"/>
        <v>50252</v>
      </c>
      <c r="N144" s="13">
        <f t="shared" si="10"/>
        <v>50252</v>
      </c>
      <c r="O144" s="13">
        <f t="shared" si="10"/>
        <v>50252</v>
      </c>
      <c r="P144" s="24">
        <v>104.66523349196908</v>
      </c>
      <c r="Q144" s="168"/>
      <c r="V144">
        <v>1</v>
      </c>
      <c r="W144" t="s">
        <v>33</v>
      </c>
      <c r="Y144" t="s">
        <v>33</v>
      </c>
      <c r="Z144" t="s">
        <v>34</v>
      </c>
      <c r="AA144">
        <v>1</v>
      </c>
    </row>
    <row r="145" spans="1:27" x14ac:dyDescent="0.35">
      <c r="A145" s="13">
        <f t="shared" si="9"/>
        <v>45930</v>
      </c>
      <c r="B145">
        <v>1</v>
      </c>
      <c r="D145" s="14" t="s">
        <v>31</v>
      </c>
      <c r="E145" s="15" t="s">
        <v>32</v>
      </c>
      <c r="F145" s="16" t="s">
        <v>32</v>
      </c>
      <c r="G145" s="17"/>
      <c r="H145" s="84" t="s">
        <v>59</v>
      </c>
      <c r="I145" s="84" t="s">
        <v>160</v>
      </c>
      <c r="K145" s="20">
        <f t="shared" si="8"/>
        <v>143</v>
      </c>
      <c r="M145" s="13">
        <f t="shared" si="11"/>
        <v>50283</v>
      </c>
      <c r="N145" s="13">
        <f t="shared" si="10"/>
        <v>50283</v>
      </c>
      <c r="O145" s="13">
        <f t="shared" si="10"/>
        <v>50283</v>
      </c>
      <c r="P145" s="24">
        <v>104.66523349196908</v>
      </c>
      <c r="Q145" s="168"/>
      <c r="V145">
        <v>1</v>
      </c>
      <c r="W145" t="s">
        <v>33</v>
      </c>
      <c r="Y145" t="s">
        <v>33</v>
      </c>
      <c r="Z145" t="s">
        <v>34</v>
      </c>
      <c r="AA145">
        <v>1</v>
      </c>
    </row>
    <row r="146" spans="1:27" x14ac:dyDescent="0.35">
      <c r="A146" s="13">
        <f t="shared" si="9"/>
        <v>45930</v>
      </c>
      <c r="B146">
        <v>1</v>
      </c>
      <c r="D146" s="14" t="s">
        <v>31</v>
      </c>
      <c r="E146" s="15" t="s">
        <v>32</v>
      </c>
      <c r="F146" s="16" t="s">
        <v>32</v>
      </c>
      <c r="G146" s="17"/>
      <c r="H146" s="84" t="s">
        <v>59</v>
      </c>
      <c r="I146" s="84" t="s">
        <v>160</v>
      </c>
      <c r="K146" s="20">
        <f t="shared" si="8"/>
        <v>144</v>
      </c>
      <c r="M146" s="13">
        <f t="shared" si="11"/>
        <v>50313</v>
      </c>
      <c r="N146" s="13">
        <f t="shared" si="10"/>
        <v>50313</v>
      </c>
      <c r="O146" s="13">
        <f t="shared" si="10"/>
        <v>50313</v>
      </c>
      <c r="P146" s="24">
        <v>104.66523349196908</v>
      </c>
      <c r="Q146" s="168"/>
      <c r="V146">
        <v>1</v>
      </c>
      <c r="W146" t="s">
        <v>33</v>
      </c>
      <c r="Y146" t="s">
        <v>33</v>
      </c>
      <c r="Z146" t="s">
        <v>34</v>
      </c>
      <c r="AA146">
        <v>1</v>
      </c>
    </row>
    <row r="147" spans="1:27" x14ac:dyDescent="0.35">
      <c r="A147" s="13">
        <f t="shared" si="9"/>
        <v>45930</v>
      </c>
      <c r="B147">
        <v>1</v>
      </c>
      <c r="D147" s="14" t="s">
        <v>31</v>
      </c>
      <c r="E147" s="15" t="s">
        <v>32</v>
      </c>
      <c r="F147" s="16" t="s">
        <v>32</v>
      </c>
      <c r="G147" s="17"/>
      <c r="H147" s="84" t="s">
        <v>59</v>
      </c>
      <c r="I147" s="84" t="s">
        <v>160</v>
      </c>
      <c r="K147" s="20">
        <f t="shared" si="8"/>
        <v>145</v>
      </c>
      <c r="M147" s="13">
        <f t="shared" si="11"/>
        <v>50344</v>
      </c>
      <c r="N147" s="13">
        <f t="shared" si="10"/>
        <v>50344</v>
      </c>
      <c r="O147" s="13">
        <f t="shared" si="10"/>
        <v>50344</v>
      </c>
      <c r="P147" s="24">
        <v>104.66523349196908</v>
      </c>
      <c r="Q147" s="168"/>
      <c r="V147">
        <v>1</v>
      </c>
      <c r="W147" t="s">
        <v>33</v>
      </c>
      <c r="Y147" t="s">
        <v>33</v>
      </c>
      <c r="Z147" t="s">
        <v>34</v>
      </c>
      <c r="AA147">
        <v>1</v>
      </c>
    </row>
    <row r="148" spans="1:27" x14ac:dyDescent="0.35">
      <c r="A148" s="13">
        <f t="shared" si="9"/>
        <v>45930</v>
      </c>
      <c r="B148">
        <v>1</v>
      </c>
      <c r="D148" s="14" t="s">
        <v>31</v>
      </c>
      <c r="E148" s="15" t="s">
        <v>32</v>
      </c>
      <c r="F148" s="16" t="s">
        <v>32</v>
      </c>
      <c r="G148" s="17"/>
      <c r="H148" s="84" t="s">
        <v>59</v>
      </c>
      <c r="I148" s="84" t="s">
        <v>160</v>
      </c>
      <c r="K148" s="20">
        <f t="shared" si="8"/>
        <v>146</v>
      </c>
      <c r="M148" s="13">
        <f t="shared" si="11"/>
        <v>50374</v>
      </c>
      <c r="N148" s="13">
        <f t="shared" si="10"/>
        <v>50374</v>
      </c>
      <c r="O148" s="13">
        <f t="shared" si="10"/>
        <v>50374</v>
      </c>
      <c r="P148" s="24">
        <v>104.66523349196908</v>
      </c>
      <c r="Q148" s="168"/>
      <c r="V148">
        <v>1</v>
      </c>
      <c r="W148" t="s">
        <v>33</v>
      </c>
      <c r="Y148" t="s">
        <v>33</v>
      </c>
      <c r="Z148" t="s">
        <v>34</v>
      </c>
      <c r="AA148">
        <v>1</v>
      </c>
    </row>
    <row r="149" spans="1:27" x14ac:dyDescent="0.35">
      <c r="A149" s="13">
        <f t="shared" si="9"/>
        <v>45930</v>
      </c>
      <c r="B149">
        <v>1</v>
      </c>
      <c r="D149" s="14" t="s">
        <v>31</v>
      </c>
      <c r="E149" s="15" t="s">
        <v>32</v>
      </c>
      <c r="F149" s="16" t="s">
        <v>32</v>
      </c>
      <c r="G149" s="17"/>
      <c r="H149" s="84" t="s">
        <v>59</v>
      </c>
      <c r="I149" s="84" t="s">
        <v>160</v>
      </c>
      <c r="K149" s="20">
        <f t="shared" si="8"/>
        <v>147</v>
      </c>
      <c r="M149" s="13">
        <f t="shared" si="11"/>
        <v>50405</v>
      </c>
      <c r="N149" s="13">
        <f t="shared" si="10"/>
        <v>50405</v>
      </c>
      <c r="O149" s="13">
        <f t="shared" si="10"/>
        <v>50405</v>
      </c>
      <c r="P149" s="24">
        <v>104.66523349196908</v>
      </c>
      <c r="Q149" s="168"/>
      <c r="V149">
        <v>1</v>
      </c>
      <c r="W149" t="s">
        <v>33</v>
      </c>
      <c r="Y149" t="s">
        <v>33</v>
      </c>
      <c r="Z149" t="s">
        <v>34</v>
      </c>
      <c r="AA149">
        <v>1</v>
      </c>
    </row>
    <row r="150" spans="1:27" x14ac:dyDescent="0.35">
      <c r="A150" s="13">
        <f t="shared" si="9"/>
        <v>45930</v>
      </c>
      <c r="B150">
        <v>1</v>
      </c>
      <c r="D150" s="14" t="s">
        <v>31</v>
      </c>
      <c r="E150" s="15" t="s">
        <v>32</v>
      </c>
      <c r="F150" s="16" t="s">
        <v>32</v>
      </c>
      <c r="G150" s="17"/>
      <c r="H150" s="84" t="s">
        <v>59</v>
      </c>
      <c r="I150" s="84" t="s">
        <v>160</v>
      </c>
      <c r="K150" s="20">
        <f t="shared" si="8"/>
        <v>148</v>
      </c>
      <c r="M150" s="13">
        <f t="shared" si="11"/>
        <v>50436</v>
      </c>
      <c r="N150" s="13">
        <f t="shared" si="10"/>
        <v>50436</v>
      </c>
      <c r="O150" s="13">
        <f t="shared" si="10"/>
        <v>50436</v>
      </c>
      <c r="P150" s="24">
        <v>104.66523349196908</v>
      </c>
      <c r="Q150" s="168"/>
      <c r="V150">
        <v>1</v>
      </c>
      <c r="W150" t="s">
        <v>33</v>
      </c>
      <c r="Y150" t="s">
        <v>33</v>
      </c>
      <c r="Z150" t="s">
        <v>34</v>
      </c>
      <c r="AA150">
        <v>1</v>
      </c>
    </row>
    <row r="151" spans="1:27" x14ac:dyDescent="0.35">
      <c r="A151" s="13">
        <f t="shared" si="9"/>
        <v>45930</v>
      </c>
      <c r="B151">
        <v>1</v>
      </c>
      <c r="D151" s="14" t="s">
        <v>31</v>
      </c>
      <c r="E151" s="15" t="s">
        <v>32</v>
      </c>
      <c r="F151" s="16" t="s">
        <v>32</v>
      </c>
      <c r="G151" s="17"/>
      <c r="H151" s="84" t="s">
        <v>59</v>
      </c>
      <c r="I151" s="84" t="s">
        <v>160</v>
      </c>
      <c r="K151" s="20">
        <f t="shared" si="8"/>
        <v>149</v>
      </c>
      <c r="M151" s="13">
        <f t="shared" si="11"/>
        <v>50464</v>
      </c>
      <c r="N151" s="13">
        <f t="shared" si="10"/>
        <v>50464</v>
      </c>
      <c r="O151" s="13">
        <f t="shared" si="10"/>
        <v>50464</v>
      </c>
      <c r="P151" s="24">
        <v>104.66523349196908</v>
      </c>
      <c r="Q151" s="168"/>
      <c r="V151">
        <v>1</v>
      </c>
      <c r="W151" t="s">
        <v>33</v>
      </c>
      <c r="Y151" t="s">
        <v>33</v>
      </c>
      <c r="Z151" t="s">
        <v>34</v>
      </c>
      <c r="AA151">
        <v>1</v>
      </c>
    </row>
    <row r="152" spans="1:27" x14ac:dyDescent="0.35">
      <c r="A152" s="13">
        <f t="shared" si="9"/>
        <v>45930</v>
      </c>
      <c r="B152">
        <v>1</v>
      </c>
      <c r="D152" s="14" t="s">
        <v>31</v>
      </c>
      <c r="E152" s="15" t="s">
        <v>32</v>
      </c>
      <c r="F152" s="16" t="s">
        <v>32</v>
      </c>
      <c r="G152" s="17"/>
      <c r="H152" s="84" t="s">
        <v>59</v>
      </c>
      <c r="I152" s="84" t="s">
        <v>160</v>
      </c>
      <c r="K152" s="20">
        <f t="shared" si="8"/>
        <v>150</v>
      </c>
      <c r="M152" s="13">
        <f t="shared" si="11"/>
        <v>50495</v>
      </c>
      <c r="N152" s="13">
        <f t="shared" si="10"/>
        <v>50495</v>
      </c>
      <c r="O152" s="13">
        <f t="shared" si="10"/>
        <v>50495</v>
      </c>
      <c r="P152" s="24">
        <v>104.66523349196908</v>
      </c>
      <c r="Q152" s="168"/>
      <c r="V152">
        <v>1</v>
      </c>
      <c r="W152" t="s">
        <v>33</v>
      </c>
      <c r="Y152" t="s">
        <v>33</v>
      </c>
      <c r="Z152" t="s">
        <v>34</v>
      </c>
      <c r="AA152">
        <v>1</v>
      </c>
    </row>
    <row r="153" spans="1:27" x14ac:dyDescent="0.35">
      <c r="A153" s="13">
        <f t="shared" si="9"/>
        <v>45930</v>
      </c>
      <c r="B153">
        <v>1</v>
      </c>
      <c r="D153" s="14" t="s">
        <v>31</v>
      </c>
      <c r="E153" s="15" t="s">
        <v>32</v>
      </c>
      <c r="F153" s="16" t="s">
        <v>32</v>
      </c>
      <c r="G153" s="17"/>
      <c r="H153" s="84" t="s">
        <v>59</v>
      </c>
      <c r="I153" s="84" t="s">
        <v>160</v>
      </c>
      <c r="K153" s="20">
        <f t="shared" si="8"/>
        <v>151</v>
      </c>
      <c r="M153" s="13">
        <f t="shared" si="11"/>
        <v>50525</v>
      </c>
      <c r="N153" s="13">
        <f t="shared" si="10"/>
        <v>50525</v>
      </c>
      <c r="O153" s="13">
        <f t="shared" si="10"/>
        <v>50525</v>
      </c>
      <c r="P153" s="24">
        <v>104.66523349196908</v>
      </c>
      <c r="Q153" s="168"/>
      <c r="V153">
        <v>1</v>
      </c>
      <c r="W153" t="s">
        <v>33</v>
      </c>
      <c r="Y153" t="s">
        <v>33</v>
      </c>
      <c r="Z153" t="s">
        <v>34</v>
      </c>
      <c r="AA153">
        <v>1</v>
      </c>
    </row>
    <row r="154" spans="1:27" x14ac:dyDescent="0.35">
      <c r="A154" s="13">
        <f t="shared" si="9"/>
        <v>45930</v>
      </c>
      <c r="B154">
        <v>1</v>
      </c>
      <c r="D154" s="14" t="s">
        <v>31</v>
      </c>
      <c r="E154" s="15" t="s">
        <v>32</v>
      </c>
      <c r="F154" s="16" t="s">
        <v>32</v>
      </c>
      <c r="G154" s="17"/>
      <c r="H154" s="84" t="s">
        <v>59</v>
      </c>
      <c r="I154" s="84" t="s">
        <v>160</v>
      </c>
      <c r="K154" s="20">
        <f t="shared" si="8"/>
        <v>152</v>
      </c>
      <c r="M154" s="13">
        <f t="shared" si="11"/>
        <v>50556</v>
      </c>
      <c r="N154" s="13">
        <f t="shared" si="10"/>
        <v>50556</v>
      </c>
      <c r="O154" s="13">
        <f t="shared" si="10"/>
        <v>50556</v>
      </c>
      <c r="P154" s="24">
        <v>104.66523349196908</v>
      </c>
      <c r="Q154" s="168"/>
      <c r="V154">
        <v>1</v>
      </c>
      <c r="W154" t="s">
        <v>33</v>
      </c>
      <c r="Y154" t="s">
        <v>33</v>
      </c>
      <c r="Z154" t="s">
        <v>34</v>
      </c>
      <c r="AA154">
        <v>1</v>
      </c>
    </row>
    <row r="155" spans="1:27" x14ac:dyDescent="0.35">
      <c r="A155" s="13">
        <f t="shared" si="9"/>
        <v>45930</v>
      </c>
      <c r="B155">
        <v>1</v>
      </c>
      <c r="D155" s="14" t="s">
        <v>31</v>
      </c>
      <c r="E155" s="15" t="s">
        <v>32</v>
      </c>
      <c r="F155" s="16" t="s">
        <v>32</v>
      </c>
      <c r="G155" s="17"/>
      <c r="H155" s="84" t="s">
        <v>59</v>
      </c>
      <c r="I155" s="84" t="s">
        <v>160</v>
      </c>
      <c r="K155" s="20">
        <f t="shared" si="8"/>
        <v>153</v>
      </c>
      <c r="M155" s="13">
        <f t="shared" si="11"/>
        <v>50586</v>
      </c>
      <c r="N155" s="13">
        <f t="shared" si="10"/>
        <v>50586</v>
      </c>
      <c r="O155" s="13">
        <f t="shared" si="10"/>
        <v>50586</v>
      </c>
      <c r="P155" s="24">
        <v>104.66523349196908</v>
      </c>
      <c r="Q155" s="168"/>
      <c r="V155">
        <v>1</v>
      </c>
      <c r="W155" t="s">
        <v>33</v>
      </c>
      <c r="Y155" t="s">
        <v>33</v>
      </c>
      <c r="Z155" t="s">
        <v>34</v>
      </c>
      <c r="AA155">
        <v>1</v>
      </c>
    </row>
    <row r="156" spans="1:27" x14ac:dyDescent="0.35">
      <c r="A156" s="13">
        <f t="shared" si="9"/>
        <v>45930</v>
      </c>
      <c r="B156">
        <v>1</v>
      </c>
      <c r="D156" s="14" t="s">
        <v>31</v>
      </c>
      <c r="E156" s="15" t="s">
        <v>32</v>
      </c>
      <c r="F156" s="16" t="s">
        <v>32</v>
      </c>
      <c r="G156" s="17"/>
      <c r="H156" s="84" t="s">
        <v>59</v>
      </c>
      <c r="I156" s="84" t="s">
        <v>160</v>
      </c>
      <c r="K156" s="20">
        <f t="shared" si="8"/>
        <v>154</v>
      </c>
      <c r="M156" s="13">
        <f t="shared" si="11"/>
        <v>50617</v>
      </c>
      <c r="N156" s="13">
        <f t="shared" si="10"/>
        <v>50617</v>
      </c>
      <c r="O156" s="13">
        <f t="shared" si="10"/>
        <v>50617</v>
      </c>
      <c r="P156" s="24">
        <v>104.66523349196908</v>
      </c>
      <c r="Q156" s="168"/>
      <c r="V156">
        <v>1</v>
      </c>
      <c r="W156" t="s">
        <v>33</v>
      </c>
      <c r="Y156" t="s">
        <v>33</v>
      </c>
      <c r="Z156" t="s">
        <v>34</v>
      </c>
      <c r="AA156">
        <v>1</v>
      </c>
    </row>
    <row r="157" spans="1:27" x14ac:dyDescent="0.35">
      <c r="A157" s="13">
        <f t="shared" si="9"/>
        <v>45930</v>
      </c>
      <c r="B157">
        <v>1</v>
      </c>
      <c r="D157" s="14" t="s">
        <v>31</v>
      </c>
      <c r="E157" s="15" t="s">
        <v>32</v>
      </c>
      <c r="F157" s="16" t="s">
        <v>32</v>
      </c>
      <c r="G157" s="17"/>
      <c r="H157" s="84" t="s">
        <v>59</v>
      </c>
      <c r="I157" s="84" t="s">
        <v>160</v>
      </c>
      <c r="K157" s="20">
        <f t="shared" si="8"/>
        <v>155</v>
      </c>
      <c r="M157" s="13">
        <f t="shared" si="11"/>
        <v>50648</v>
      </c>
      <c r="N157" s="13">
        <f t="shared" si="10"/>
        <v>50648</v>
      </c>
      <c r="O157" s="13">
        <f t="shared" si="10"/>
        <v>50648</v>
      </c>
      <c r="P157" s="24">
        <v>104.66523349196908</v>
      </c>
      <c r="Q157" s="168"/>
      <c r="V157">
        <v>1</v>
      </c>
      <c r="W157" t="s">
        <v>33</v>
      </c>
      <c r="Y157" t="s">
        <v>33</v>
      </c>
      <c r="Z157" t="s">
        <v>34</v>
      </c>
      <c r="AA157">
        <v>1</v>
      </c>
    </row>
    <row r="158" spans="1:27" x14ac:dyDescent="0.35">
      <c r="A158" s="13">
        <f t="shared" si="9"/>
        <v>45930</v>
      </c>
      <c r="B158">
        <v>1</v>
      </c>
      <c r="D158" s="14" t="s">
        <v>31</v>
      </c>
      <c r="E158" s="15" t="s">
        <v>32</v>
      </c>
      <c r="F158" s="16" t="s">
        <v>32</v>
      </c>
      <c r="G158" s="17"/>
      <c r="H158" s="84" t="s">
        <v>59</v>
      </c>
      <c r="I158" s="84" t="s">
        <v>160</v>
      </c>
      <c r="K158" s="20">
        <f t="shared" si="8"/>
        <v>156</v>
      </c>
      <c r="M158" s="13">
        <f t="shared" si="11"/>
        <v>50678</v>
      </c>
      <c r="N158" s="13">
        <f t="shared" si="10"/>
        <v>50678</v>
      </c>
      <c r="O158" s="13">
        <f t="shared" si="10"/>
        <v>50678</v>
      </c>
      <c r="P158" s="24">
        <v>104.66523349196908</v>
      </c>
      <c r="Q158" s="168"/>
      <c r="V158">
        <v>1</v>
      </c>
      <c r="W158" t="s">
        <v>33</v>
      </c>
      <c r="Y158" t="s">
        <v>33</v>
      </c>
      <c r="Z158" t="s">
        <v>34</v>
      </c>
      <c r="AA158">
        <v>1</v>
      </c>
    </row>
    <row r="159" spans="1:27" x14ac:dyDescent="0.35">
      <c r="A159" s="13">
        <f t="shared" si="9"/>
        <v>45930</v>
      </c>
      <c r="B159">
        <v>1</v>
      </c>
      <c r="D159" s="14" t="s">
        <v>31</v>
      </c>
      <c r="E159" s="15" t="s">
        <v>32</v>
      </c>
      <c r="F159" s="16" t="s">
        <v>32</v>
      </c>
      <c r="G159" s="17"/>
      <c r="H159" s="84" t="s">
        <v>59</v>
      </c>
      <c r="I159" s="84" t="s">
        <v>160</v>
      </c>
      <c r="K159" s="20">
        <f t="shared" si="8"/>
        <v>157</v>
      </c>
      <c r="M159" s="13">
        <f t="shared" si="11"/>
        <v>50709</v>
      </c>
      <c r="N159" s="13">
        <f t="shared" si="10"/>
        <v>50709</v>
      </c>
      <c r="O159" s="13">
        <f t="shared" si="10"/>
        <v>50709</v>
      </c>
      <c r="P159" s="24">
        <v>104.66523349196908</v>
      </c>
      <c r="Q159" s="168"/>
      <c r="V159">
        <v>1</v>
      </c>
      <c r="W159" t="s">
        <v>33</v>
      </c>
      <c r="Y159" t="s">
        <v>33</v>
      </c>
      <c r="Z159" t="s">
        <v>34</v>
      </c>
      <c r="AA159">
        <v>1</v>
      </c>
    </row>
    <row r="160" spans="1:27" x14ac:dyDescent="0.35">
      <c r="A160" s="13">
        <f t="shared" si="9"/>
        <v>45930</v>
      </c>
      <c r="B160">
        <v>1</v>
      </c>
      <c r="D160" s="14" t="s">
        <v>31</v>
      </c>
      <c r="E160" s="15" t="s">
        <v>32</v>
      </c>
      <c r="F160" s="16" t="s">
        <v>32</v>
      </c>
      <c r="G160" s="17"/>
      <c r="H160" s="84" t="s">
        <v>59</v>
      </c>
      <c r="I160" s="84" t="s">
        <v>160</v>
      </c>
      <c r="K160" s="20">
        <f t="shared" si="8"/>
        <v>158</v>
      </c>
      <c r="M160" s="13">
        <f t="shared" si="11"/>
        <v>50739</v>
      </c>
      <c r="N160" s="13">
        <f t="shared" si="10"/>
        <v>50739</v>
      </c>
      <c r="O160" s="13">
        <f t="shared" si="10"/>
        <v>50739</v>
      </c>
      <c r="P160" s="24">
        <v>104.66523349196908</v>
      </c>
      <c r="Q160" s="168"/>
      <c r="V160">
        <v>1</v>
      </c>
      <c r="W160" t="s">
        <v>33</v>
      </c>
      <c r="Y160" t="s">
        <v>33</v>
      </c>
      <c r="Z160" t="s">
        <v>34</v>
      </c>
      <c r="AA160">
        <v>1</v>
      </c>
    </row>
    <row r="161" spans="1:27" x14ac:dyDescent="0.35">
      <c r="A161" s="13">
        <f t="shared" si="9"/>
        <v>45930</v>
      </c>
      <c r="B161">
        <v>1</v>
      </c>
      <c r="D161" s="14" t="s">
        <v>31</v>
      </c>
      <c r="E161" s="15" t="s">
        <v>32</v>
      </c>
      <c r="F161" s="16" t="s">
        <v>32</v>
      </c>
      <c r="G161" s="17"/>
      <c r="H161" s="84" t="s">
        <v>59</v>
      </c>
      <c r="I161" s="84" t="s">
        <v>160</v>
      </c>
      <c r="K161" s="20">
        <f t="shared" ref="K161:K224" si="12">K160+1</f>
        <v>159</v>
      </c>
      <c r="M161" s="13">
        <f t="shared" si="11"/>
        <v>50770</v>
      </c>
      <c r="N161" s="13">
        <f t="shared" si="10"/>
        <v>50770</v>
      </c>
      <c r="O161" s="13">
        <f t="shared" si="10"/>
        <v>50770</v>
      </c>
      <c r="P161" s="24">
        <v>104.66523349196908</v>
      </c>
      <c r="Q161" s="168"/>
      <c r="V161">
        <v>1</v>
      </c>
      <c r="W161" t="s">
        <v>33</v>
      </c>
      <c r="Y161" t="s">
        <v>33</v>
      </c>
      <c r="Z161" t="s">
        <v>34</v>
      </c>
      <c r="AA161">
        <v>1</v>
      </c>
    </row>
    <row r="162" spans="1:27" x14ac:dyDescent="0.35">
      <c r="A162" s="13">
        <f t="shared" si="9"/>
        <v>45930</v>
      </c>
      <c r="B162">
        <v>1</v>
      </c>
      <c r="D162" s="14" t="s">
        <v>31</v>
      </c>
      <c r="E162" s="15" t="s">
        <v>32</v>
      </c>
      <c r="F162" s="16" t="s">
        <v>32</v>
      </c>
      <c r="G162" s="17"/>
      <c r="H162" s="84" t="s">
        <v>59</v>
      </c>
      <c r="I162" s="84" t="s">
        <v>160</v>
      </c>
      <c r="K162" s="20">
        <f t="shared" si="12"/>
        <v>160</v>
      </c>
      <c r="M162" s="13">
        <f t="shared" si="11"/>
        <v>50801</v>
      </c>
      <c r="N162" s="13">
        <f t="shared" si="10"/>
        <v>50801</v>
      </c>
      <c r="O162" s="13">
        <f t="shared" si="10"/>
        <v>50801</v>
      </c>
      <c r="P162" s="24">
        <v>104.66523349196908</v>
      </c>
      <c r="Q162" s="168"/>
      <c r="V162">
        <v>1</v>
      </c>
      <c r="W162" t="s">
        <v>33</v>
      </c>
      <c r="Y162" t="s">
        <v>33</v>
      </c>
      <c r="Z162" t="s">
        <v>34</v>
      </c>
      <c r="AA162">
        <v>1</v>
      </c>
    </row>
    <row r="163" spans="1:27" x14ac:dyDescent="0.35">
      <c r="A163" s="13">
        <f t="shared" si="9"/>
        <v>45930</v>
      </c>
      <c r="B163">
        <v>1</v>
      </c>
      <c r="D163" s="14" t="s">
        <v>31</v>
      </c>
      <c r="E163" s="15" t="s">
        <v>32</v>
      </c>
      <c r="F163" s="16" t="s">
        <v>32</v>
      </c>
      <c r="G163" s="17"/>
      <c r="H163" s="84" t="s">
        <v>59</v>
      </c>
      <c r="I163" s="84" t="s">
        <v>160</v>
      </c>
      <c r="K163" s="20">
        <f t="shared" si="12"/>
        <v>161</v>
      </c>
      <c r="M163" s="13">
        <f t="shared" si="11"/>
        <v>50829</v>
      </c>
      <c r="N163" s="13">
        <f t="shared" si="10"/>
        <v>50829</v>
      </c>
      <c r="O163" s="13">
        <f t="shared" si="10"/>
        <v>50829</v>
      </c>
      <c r="P163" s="24">
        <v>104.66523349196908</v>
      </c>
      <c r="Q163" s="168"/>
      <c r="V163">
        <v>1</v>
      </c>
      <c r="W163" t="s">
        <v>33</v>
      </c>
      <c r="Y163" t="s">
        <v>33</v>
      </c>
      <c r="Z163" t="s">
        <v>34</v>
      </c>
      <c r="AA163">
        <v>1</v>
      </c>
    </row>
    <row r="164" spans="1:27" x14ac:dyDescent="0.35">
      <c r="A164" s="13">
        <f t="shared" si="9"/>
        <v>45930</v>
      </c>
      <c r="B164">
        <v>1</v>
      </c>
      <c r="D164" s="14" t="s">
        <v>31</v>
      </c>
      <c r="E164" s="15" t="s">
        <v>32</v>
      </c>
      <c r="F164" s="16" t="s">
        <v>32</v>
      </c>
      <c r="G164" s="17"/>
      <c r="H164" s="84" t="s">
        <v>59</v>
      </c>
      <c r="I164" s="84" t="s">
        <v>160</v>
      </c>
      <c r="K164" s="20">
        <f t="shared" si="12"/>
        <v>162</v>
      </c>
      <c r="M164" s="13">
        <f t="shared" si="11"/>
        <v>50860</v>
      </c>
      <c r="N164" s="13">
        <f t="shared" si="10"/>
        <v>50860</v>
      </c>
      <c r="O164" s="13">
        <f t="shared" si="10"/>
        <v>50860</v>
      </c>
      <c r="P164" s="24">
        <v>104.66523349196908</v>
      </c>
      <c r="Q164" s="168"/>
      <c r="V164">
        <v>1</v>
      </c>
      <c r="W164" t="s">
        <v>33</v>
      </c>
      <c r="Y164" t="s">
        <v>33</v>
      </c>
      <c r="Z164" t="s">
        <v>34</v>
      </c>
      <c r="AA164">
        <v>1</v>
      </c>
    </row>
    <row r="165" spans="1:27" x14ac:dyDescent="0.35">
      <c r="A165" s="13">
        <f t="shared" si="9"/>
        <v>45930</v>
      </c>
      <c r="B165">
        <v>1</v>
      </c>
      <c r="D165" s="14" t="s">
        <v>31</v>
      </c>
      <c r="E165" s="15" t="s">
        <v>32</v>
      </c>
      <c r="F165" s="16" t="s">
        <v>32</v>
      </c>
      <c r="G165" s="17"/>
      <c r="H165" s="84" t="s">
        <v>59</v>
      </c>
      <c r="I165" s="84" t="s">
        <v>160</v>
      </c>
      <c r="K165" s="20">
        <f t="shared" si="12"/>
        <v>163</v>
      </c>
      <c r="M165" s="13">
        <f t="shared" si="11"/>
        <v>50890</v>
      </c>
      <c r="N165" s="13">
        <f t="shared" si="10"/>
        <v>50890</v>
      </c>
      <c r="O165" s="13">
        <f t="shared" si="10"/>
        <v>50890</v>
      </c>
      <c r="P165" s="24">
        <v>104.66523349196908</v>
      </c>
      <c r="Q165" s="168"/>
      <c r="V165">
        <v>1</v>
      </c>
      <c r="W165" t="s">
        <v>33</v>
      </c>
      <c r="Y165" t="s">
        <v>33</v>
      </c>
      <c r="Z165" t="s">
        <v>34</v>
      </c>
      <c r="AA165">
        <v>1</v>
      </c>
    </row>
    <row r="166" spans="1:27" x14ac:dyDescent="0.35">
      <c r="A166" s="13">
        <f t="shared" si="9"/>
        <v>45930</v>
      </c>
      <c r="B166">
        <v>1</v>
      </c>
      <c r="D166" s="14" t="s">
        <v>31</v>
      </c>
      <c r="E166" s="15" t="s">
        <v>32</v>
      </c>
      <c r="F166" s="16" t="s">
        <v>32</v>
      </c>
      <c r="G166" s="17"/>
      <c r="H166" s="84" t="s">
        <v>59</v>
      </c>
      <c r="I166" s="84" t="s">
        <v>160</v>
      </c>
      <c r="K166" s="20">
        <f t="shared" si="12"/>
        <v>164</v>
      </c>
      <c r="M166" s="13">
        <f t="shared" si="11"/>
        <v>50921</v>
      </c>
      <c r="N166" s="13">
        <f t="shared" si="10"/>
        <v>50921</v>
      </c>
      <c r="O166" s="13">
        <f t="shared" si="10"/>
        <v>50921</v>
      </c>
      <c r="P166" s="24">
        <v>104.66523349196908</v>
      </c>
      <c r="Q166" s="168"/>
      <c r="V166">
        <v>1</v>
      </c>
      <c r="W166" t="s">
        <v>33</v>
      </c>
      <c r="Y166" t="s">
        <v>33</v>
      </c>
      <c r="Z166" t="s">
        <v>34</v>
      </c>
      <c r="AA166">
        <v>1</v>
      </c>
    </row>
    <row r="167" spans="1:27" x14ac:dyDescent="0.35">
      <c r="A167" s="13">
        <f t="shared" si="9"/>
        <v>45930</v>
      </c>
      <c r="B167">
        <v>1</v>
      </c>
      <c r="D167" s="14" t="s">
        <v>31</v>
      </c>
      <c r="E167" s="15" t="s">
        <v>32</v>
      </c>
      <c r="F167" s="16" t="s">
        <v>32</v>
      </c>
      <c r="G167" s="17"/>
      <c r="H167" s="84" t="s">
        <v>59</v>
      </c>
      <c r="I167" s="84" t="s">
        <v>160</v>
      </c>
      <c r="K167" s="20">
        <f t="shared" si="12"/>
        <v>165</v>
      </c>
      <c r="M167" s="13">
        <f t="shared" si="11"/>
        <v>50951</v>
      </c>
      <c r="N167" s="13">
        <f t="shared" si="10"/>
        <v>50951</v>
      </c>
      <c r="O167" s="13">
        <f t="shared" si="10"/>
        <v>50951</v>
      </c>
      <c r="P167" s="24">
        <v>104.66523349196908</v>
      </c>
      <c r="Q167" s="168"/>
      <c r="V167">
        <v>1</v>
      </c>
      <c r="W167" t="s">
        <v>33</v>
      </c>
      <c r="Y167" t="s">
        <v>33</v>
      </c>
      <c r="Z167" t="s">
        <v>34</v>
      </c>
      <c r="AA167">
        <v>1</v>
      </c>
    </row>
    <row r="168" spans="1:27" x14ac:dyDescent="0.35">
      <c r="A168" s="13">
        <f t="shared" si="9"/>
        <v>45930</v>
      </c>
      <c r="B168">
        <v>1</v>
      </c>
      <c r="D168" s="14" t="s">
        <v>31</v>
      </c>
      <c r="E168" s="15" t="s">
        <v>32</v>
      </c>
      <c r="F168" s="16" t="s">
        <v>32</v>
      </c>
      <c r="G168" s="17"/>
      <c r="H168" s="84" t="s">
        <v>59</v>
      </c>
      <c r="I168" s="84" t="s">
        <v>160</v>
      </c>
      <c r="K168" s="20">
        <f t="shared" si="12"/>
        <v>166</v>
      </c>
      <c r="M168" s="13">
        <f t="shared" si="11"/>
        <v>50982</v>
      </c>
      <c r="N168" s="13">
        <f t="shared" si="10"/>
        <v>50982</v>
      </c>
      <c r="O168" s="13">
        <f t="shared" si="10"/>
        <v>50982</v>
      </c>
      <c r="P168" s="24">
        <v>104.66523349196908</v>
      </c>
      <c r="Q168" s="168"/>
      <c r="V168">
        <v>1</v>
      </c>
      <c r="W168" t="s">
        <v>33</v>
      </c>
      <c r="Y168" t="s">
        <v>33</v>
      </c>
      <c r="Z168" t="s">
        <v>34</v>
      </c>
      <c r="AA168">
        <v>1</v>
      </c>
    </row>
    <row r="169" spans="1:27" x14ac:dyDescent="0.35">
      <c r="A169" s="13">
        <f t="shared" si="9"/>
        <v>45930</v>
      </c>
      <c r="B169">
        <v>1</v>
      </c>
      <c r="D169" s="14" t="s">
        <v>31</v>
      </c>
      <c r="E169" s="15" t="s">
        <v>32</v>
      </c>
      <c r="F169" s="16" t="s">
        <v>32</v>
      </c>
      <c r="G169" s="17"/>
      <c r="H169" s="84" t="s">
        <v>59</v>
      </c>
      <c r="I169" s="84" t="s">
        <v>160</v>
      </c>
      <c r="K169" s="20">
        <f t="shared" si="12"/>
        <v>167</v>
      </c>
      <c r="M169" s="13">
        <f t="shared" si="11"/>
        <v>51013</v>
      </c>
      <c r="N169" s="13">
        <f t="shared" si="10"/>
        <v>51013</v>
      </c>
      <c r="O169" s="13">
        <f t="shared" si="10"/>
        <v>51013</v>
      </c>
      <c r="P169" s="24">
        <v>104.66523349196908</v>
      </c>
      <c r="Q169" s="168"/>
      <c r="V169">
        <v>1</v>
      </c>
      <c r="W169" t="s">
        <v>33</v>
      </c>
      <c r="Y169" t="s">
        <v>33</v>
      </c>
      <c r="Z169" t="s">
        <v>34</v>
      </c>
      <c r="AA169">
        <v>1</v>
      </c>
    </row>
    <row r="170" spans="1:27" x14ac:dyDescent="0.35">
      <c r="A170" s="13">
        <f t="shared" si="9"/>
        <v>45930</v>
      </c>
      <c r="B170">
        <v>1</v>
      </c>
      <c r="D170" s="14" t="s">
        <v>31</v>
      </c>
      <c r="E170" s="15" t="s">
        <v>32</v>
      </c>
      <c r="F170" s="16" t="s">
        <v>32</v>
      </c>
      <c r="G170" s="17"/>
      <c r="H170" s="84" t="s">
        <v>59</v>
      </c>
      <c r="I170" s="84" t="s">
        <v>160</v>
      </c>
      <c r="K170" s="20">
        <f t="shared" si="12"/>
        <v>168</v>
      </c>
      <c r="M170" s="13">
        <f t="shared" si="11"/>
        <v>51043</v>
      </c>
      <c r="N170" s="13">
        <f t="shared" si="10"/>
        <v>51043</v>
      </c>
      <c r="O170" s="13">
        <f t="shared" si="10"/>
        <v>51043</v>
      </c>
      <c r="P170" s="24">
        <v>104.66523349196908</v>
      </c>
      <c r="Q170" s="168"/>
      <c r="V170">
        <v>1</v>
      </c>
      <c r="W170" t="s">
        <v>33</v>
      </c>
      <c r="Y170" t="s">
        <v>33</v>
      </c>
      <c r="Z170" t="s">
        <v>34</v>
      </c>
      <c r="AA170">
        <v>1</v>
      </c>
    </row>
    <row r="171" spans="1:27" x14ac:dyDescent="0.35">
      <c r="A171" s="13">
        <f t="shared" si="9"/>
        <v>45930</v>
      </c>
      <c r="B171">
        <v>1</v>
      </c>
      <c r="D171" s="14" t="s">
        <v>31</v>
      </c>
      <c r="E171" s="15" t="s">
        <v>32</v>
      </c>
      <c r="F171" s="16" t="s">
        <v>32</v>
      </c>
      <c r="G171" s="17"/>
      <c r="H171" s="84" t="s">
        <v>59</v>
      </c>
      <c r="I171" s="84" t="s">
        <v>160</v>
      </c>
      <c r="K171" s="20">
        <f t="shared" si="12"/>
        <v>169</v>
      </c>
      <c r="M171" s="13">
        <f t="shared" si="11"/>
        <v>51074</v>
      </c>
      <c r="N171" s="13">
        <f t="shared" si="10"/>
        <v>51074</v>
      </c>
      <c r="O171" s="13">
        <f t="shared" si="10"/>
        <v>51074</v>
      </c>
      <c r="P171" s="24">
        <v>104.66523349196908</v>
      </c>
      <c r="Q171" s="168"/>
      <c r="V171">
        <v>1</v>
      </c>
      <c r="W171" t="s">
        <v>33</v>
      </c>
      <c r="Y171" t="s">
        <v>33</v>
      </c>
      <c r="Z171" t="s">
        <v>34</v>
      </c>
      <c r="AA171">
        <v>1</v>
      </c>
    </row>
    <row r="172" spans="1:27" x14ac:dyDescent="0.35">
      <c r="A172" s="13">
        <f t="shared" si="9"/>
        <v>45930</v>
      </c>
      <c r="B172">
        <v>1</v>
      </c>
      <c r="D172" s="14" t="s">
        <v>31</v>
      </c>
      <c r="E172" s="15" t="s">
        <v>32</v>
      </c>
      <c r="F172" s="16" t="s">
        <v>32</v>
      </c>
      <c r="G172" s="17"/>
      <c r="H172" s="84" t="s">
        <v>59</v>
      </c>
      <c r="I172" s="84" t="s">
        <v>160</v>
      </c>
      <c r="K172" s="20">
        <f t="shared" si="12"/>
        <v>170</v>
      </c>
      <c r="M172" s="13">
        <f t="shared" si="11"/>
        <v>51104</v>
      </c>
      <c r="N172" s="13">
        <f t="shared" si="10"/>
        <v>51104</v>
      </c>
      <c r="O172" s="13">
        <f t="shared" si="10"/>
        <v>51104</v>
      </c>
      <c r="P172" s="24">
        <v>104.66523349196908</v>
      </c>
      <c r="Q172" s="168"/>
      <c r="V172">
        <v>1</v>
      </c>
      <c r="W172" t="s">
        <v>33</v>
      </c>
      <c r="Y172" t="s">
        <v>33</v>
      </c>
      <c r="Z172" t="s">
        <v>34</v>
      </c>
      <c r="AA172">
        <v>1</v>
      </c>
    </row>
    <row r="173" spans="1:27" x14ac:dyDescent="0.35">
      <c r="A173" s="13">
        <f t="shared" si="9"/>
        <v>45930</v>
      </c>
      <c r="B173">
        <v>1</v>
      </c>
      <c r="D173" s="14" t="s">
        <v>31</v>
      </c>
      <c r="E173" s="15" t="s">
        <v>32</v>
      </c>
      <c r="F173" s="16" t="s">
        <v>32</v>
      </c>
      <c r="G173" s="17"/>
      <c r="H173" s="84" t="s">
        <v>59</v>
      </c>
      <c r="I173" s="84" t="s">
        <v>160</v>
      </c>
      <c r="K173" s="20">
        <f t="shared" si="12"/>
        <v>171</v>
      </c>
      <c r="M173" s="13">
        <f t="shared" si="11"/>
        <v>51135</v>
      </c>
      <c r="N173" s="13">
        <f t="shared" si="10"/>
        <v>51135</v>
      </c>
      <c r="O173" s="13">
        <f t="shared" si="10"/>
        <v>51135</v>
      </c>
      <c r="P173" s="24">
        <v>104.66523349196908</v>
      </c>
      <c r="Q173" s="168"/>
      <c r="V173">
        <v>1</v>
      </c>
      <c r="W173" t="s">
        <v>33</v>
      </c>
      <c r="Y173" t="s">
        <v>33</v>
      </c>
      <c r="Z173" t="s">
        <v>34</v>
      </c>
      <c r="AA173">
        <v>1</v>
      </c>
    </row>
    <row r="174" spans="1:27" x14ac:dyDescent="0.35">
      <c r="A174" s="13">
        <f t="shared" si="9"/>
        <v>45930</v>
      </c>
      <c r="B174">
        <v>1</v>
      </c>
      <c r="D174" s="14" t="s">
        <v>31</v>
      </c>
      <c r="E174" s="15" t="s">
        <v>32</v>
      </c>
      <c r="F174" s="16" t="s">
        <v>32</v>
      </c>
      <c r="G174" s="17"/>
      <c r="H174" s="84" t="s">
        <v>59</v>
      </c>
      <c r="I174" s="84" t="s">
        <v>160</v>
      </c>
      <c r="K174" s="20">
        <f t="shared" si="12"/>
        <v>172</v>
      </c>
      <c r="M174" s="13">
        <f t="shared" si="11"/>
        <v>51166</v>
      </c>
      <c r="N174" s="13">
        <f t="shared" si="10"/>
        <v>51166</v>
      </c>
      <c r="O174" s="13">
        <f t="shared" si="10"/>
        <v>51166</v>
      </c>
      <c r="P174" s="24">
        <v>104.66523349196908</v>
      </c>
      <c r="Q174" s="168"/>
      <c r="V174">
        <v>1</v>
      </c>
      <c r="W174" t="s">
        <v>33</v>
      </c>
      <c r="Y174" t="s">
        <v>33</v>
      </c>
      <c r="Z174" t="s">
        <v>34</v>
      </c>
      <c r="AA174">
        <v>1</v>
      </c>
    </row>
    <row r="175" spans="1:27" x14ac:dyDescent="0.35">
      <c r="A175" s="13">
        <f t="shared" si="9"/>
        <v>45930</v>
      </c>
      <c r="B175">
        <v>1</v>
      </c>
      <c r="D175" s="14" t="s">
        <v>31</v>
      </c>
      <c r="E175" s="15" t="s">
        <v>32</v>
      </c>
      <c r="F175" s="16" t="s">
        <v>32</v>
      </c>
      <c r="G175" s="17"/>
      <c r="H175" s="84" t="s">
        <v>59</v>
      </c>
      <c r="I175" s="84" t="s">
        <v>160</v>
      </c>
      <c r="K175" s="20">
        <f t="shared" si="12"/>
        <v>173</v>
      </c>
      <c r="M175" s="13">
        <f t="shared" si="11"/>
        <v>51195</v>
      </c>
      <c r="N175" s="13">
        <f t="shared" si="10"/>
        <v>51195</v>
      </c>
      <c r="O175" s="13">
        <f t="shared" si="10"/>
        <v>51195</v>
      </c>
      <c r="P175" s="24">
        <v>104.66523349196908</v>
      </c>
      <c r="Q175" s="168"/>
      <c r="V175">
        <v>1</v>
      </c>
      <c r="W175" t="s">
        <v>33</v>
      </c>
      <c r="Y175" t="s">
        <v>33</v>
      </c>
      <c r="Z175" t="s">
        <v>34</v>
      </c>
      <c r="AA175">
        <v>1</v>
      </c>
    </row>
    <row r="176" spans="1:27" x14ac:dyDescent="0.35">
      <c r="A176" s="13">
        <f t="shared" si="9"/>
        <v>45930</v>
      </c>
      <c r="B176">
        <v>1</v>
      </c>
      <c r="D176" s="14" t="s">
        <v>31</v>
      </c>
      <c r="E176" s="15" t="s">
        <v>32</v>
      </c>
      <c r="F176" s="16" t="s">
        <v>32</v>
      </c>
      <c r="G176" s="17"/>
      <c r="H176" s="84" t="s">
        <v>59</v>
      </c>
      <c r="I176" s="84" t="s">
        <v>160</v>
      </c>
      <c r="K176" s="20">
        <f t="shared" si="12"/>
        <v>174</v>
      </c>
      <c r="M176" s="13">
        <f t="shared" si="11"/>
        <v>51226</v>
      </c>
      <c r="N176" s="13">
        <f t="shared" si="10"/>
        <v>51226</v>
      </c>
      <c r="O176" s="13">
        <f t="shared" si="10"/>
        <v>51226</v>
      </c>
      <c r="P176" s="24">
        <v>104.66523349196908</v>
      </c>
      <c r="Q176" s="168"/>
      <c r="V176">
        <v>1</v>
      </c>
      <c r="W176" t="s">
        <v>33</v>
      </c>
      <c r="Y176" t="s">
        <v>33</v>
      </c>
      <c r="Z176" t="s">
        <v>34</v>
      </c>
      <c r="AA176">
        <v>1</v>
      </c>
    </row>
    <row r="177" spans="1:27" x14ac:dyDescent="0.35">
      <c r="A177" s="13">
        <f t="shared" si="9"/>
        <v>45930</v>
      </c>
      <c r="B177">
        <v>1</v>
      </c>
      <c r="D177" s="14" t="s">
        <v>31</v>
      </c>
      <c r="E177" s="15" t="s">
        <v>32</v>
      </c>
      <c r="F177" s="16" t="s">
        <v>32</v>
      </c>
      <c r="G177" s="17"/>
      <c r="H177" s="84" t="s">
        <v>59</v>
      </c>
      <c r="I177" s="84" t="s">
        <v>160</v>
      </c>
      <c r="K177" s="20">
        <f t="shared" si="12"/>
        <v>175</v>
      </c>
      <c r="M177" s="13">
        <f t="shared" si="11"/>
        <v>51256</v>
      </c>
      <c r="N177" s="13">
        <f t="shared" si="10"/>
        <v>51256</v>
      </c>
      <c r="O177" s="13">
        <f t="shared" si="10"/>
        <v>51256</v>
      </c>
      <c r="P177" s="24">
        <v>104.66523349196908</v>
      </c>
      <c r="Q177" s="168"/>
      <c r="V177">
        <v>1</v>
      </c>
      <c r="W177" t="s">
        <v>33</v>
      </c>
      <c r="Y177" t="s">
        <v>33</v>
      </c>
      <c r="Z177" t="s">
        <v>34</v>
      </c>
      <c r="AA177">
        <v>1</v>
      </c>
    </row>
    <row r="178" spans="1:27" x14ac:dyDescent="0.35">
      <c r="A178" s="13">
        <f t="shared" si="9"/>
        <v>45930</v>
      </c>
      <c r="B178">
        <v>1</v>
      </c>
      <c r="D178" s="14" t="s">
        <v>31</v>
      </c>
      <c r="E178" s="15" t="s">
        <v>32</v>
      </c>
      <c r="F178" s="16" t="s">
        <v>32</v>
      </c>
      <c r="G178" s="17"/>
      <c r="H178" s="84" t="s">
        <v>59</v>
      </c>
      <c r="I178" s="84" t="s">
        <v>160</v>
      </c>
      <c r="K178" s="20">
        <f t="shared" si="12"/>
        <v>176</v>
      </c>
      <c r="M178" s="13">
        <f t="shared" si="11"/>
        <v>51287</v>
      </c>
      <c r="N178" s="13">
        <f t="shared" si="10"/>
        <v>51287</v>
      </c>
      <c r="O178" s="13">
        <f t="shared" si="10"/>
        <v>51287</v>
      </c>
      <c r="P178" s="24">
        <v>104.66523349196908</v>
      </c>
      <c r="Q178" s="168"/>
      <c r="V178">
        <v>1</v>
      </c>
      <c r="W178" t="s">
        <v>33</v>
      </c>
      <c r="Y178" t="s">
        <v>33</v>
      </c>
      <c r="Z178" t="s">
        <v>34</v>
      </c>
      <c r="AA178">
        <v>1</v>
      </c>
    </row>
    <row r="179" spans="1:27" x14ac:dyDescent="0.35">
      <c r="A179" s="13">
        <f t="shared" si="9"/>
        <v>45930</v>
      </c>
      <c r="B179">
        <v>1</v>
      </c>
      <c r="D179" s="14" t="s">
        <v>31</v>
      </c>
      <c r="E179" s="15" t="s">
        <v>32</v>
      </c>
      <c r="F179" s="16" t="s">
        <v>32</v>
      </c>
      <c r="G179" s="17"/>
      <c r="H179" s="84" t="s">
        <v>59</v>
      </c>
      <c r="I179" s="84" t="s">
        <v>160</v>
      </c>
      <c r="K179" s="20">
        <f t="shared" si="12"/>
        <v>177</v>
      </c>
      <c r="M179" s="13">
        <f t="shared" si="11"/>
        <v>51317</v>
      </c>
      <c r="N179" s="13">
        <f t="shared" si="10"/>
        <v>51317</v>
      </c>
      <c r="O179" s="13">
        <f t="shared" si="10"/>
        <v>51317</v>
      </c>
      <c r="P179" s="24">
        <v>104.66523349196908</v>
      </c>
      <c r="Q179" s="168"/>
      <c r="V179">
        <v>1</v>
      </c>
      <c r="W179" t="s">
        <v>33</v>
      </c>
      <c r="Y179" t="s">
        <v>33</v>
      </c>
      <c r="Z179" t="s">
        <v>34</v>
      </c>
      <c r="AA179">
        <v>1</v>
      </c>
    </row>
    <row r="180" spans="1:27" x14ac:dyDescent="0.35">
      <c r="A180" s="13">
        <f t="shared" si="9"/>
        <v>45930</v>
      </c>
      <c r="B180">
        <v>1</v>
      </c>
      <c r="D180" s="14" t="s">
        <v>31</v>
      </c>
      <c r="E180" s="15" t="s">
        <v>32</v>
      </c>
      <c r="F180" s="16" t="s">
        <v>32</v>
      </c>
      <c r="G180" s="17"/>
      <c r="H180" s="84" t="s">
        <v>59</v>
      </c>
      <c r="I180" s="84" t="s">
        <v>160</v>
      </c>
      <c r="K180" s="20">
        <f t="shared" si="12"/>
        <v>178</v>
      </c>
      <c r="M180" s="13">
        <f t="shared" si="11"/>
        <v>51348</v>
      </c>
      <c r="N180" s="13">
        <f t="shared" si="10"/>
        <v>51348</v>
      </c>
      <c r="O180" s="13">
        <f t="shared" si="10"/>
        <v>51348</v>
      </c>
      <c r="P180" s="24">
        <v>104.66523349196908</v>
      </c>
      <c r="Q180" s="168"/>
      <c r="V180">
        <v>1</v>
      </c>
      <c r="W180" t="s">
        <v>33</v>
      </c>
      <c r="Y180" t="s">
        <v>33</v>
      </c>
      <c r="Z180" t="s">
        <v>34</v>
      </c>
      <c r="AA180">
        <v>1</v>
      </c>
    </row>
    <row r="181" spans="1:27" x14ac:dyDescent="0.35">
      <c r="A181" s="13">
        <f t="shared" si="9"/>
        <v>45930</v>
      </c>
      <c r="B181">
        <v>1</v>
      </c>
      <c r="D181" s="14" t="s">
        <v>31</v>
      </c>
      <c r="E181" s="15" t="s">
        <v>32</v>
      </c>
      <c r="F181" s="16" t="s">
        <v>32</v>
      </c>
      <c r="G181" s="17"/>
      <c r="H181" s="84" t="s">
        <v>59</v>
      </c>
      <c r="I181" s="84" t="s">
        <v>160</v>
      </c>
      <c r="K181" s="20">
        <f t="shared" si="12"/>
        <v>179</v>
      </c>
      <c r="M181" s="13">
        <f t="shared" si="11"/>
        <v>51379</v>
      </c>
      <c r="N181" s="13">
        <f t="shared" si="10"/>
        <v>51379</v>
      </c>
      <c r="O181" s="13">
        <f t="shared" si="10"/>
        <v>51379</v>
      </c>
      <c r="P181" s="24">
        <v>104.66523349196908</v>
      </c>
      <c r="Q181" s="168"/>
      <c r="V181">
        <v>1</v>
      </c>
      <c r="W181" t="s">
        <v>33</v>
      </c>
      <c r="Y181" t="s">
        <v>33</v>
      </c>
      <c r="Z181" t="s">
        <v>34</v>
      </c>
      <c r="AA181">
        <v>1</v>
      </c>
    </row>
    <row r="182" spans="1:27" x14ac:dyDescent="0.35">
      <c r="A182" s="13">
        <f t="shared" si="9"/>
        <v>45930</v>
      </c>
      <c r="B182">
        <v>1</v>
      </c>
      <c r="D182" s="14" t="s">
        <v>31</v>
      </c>
      <c r="E182" s="15" t="s">
        <v>32</v>
      </c>
      <c r="F182" s="16" t="s">
        <v>32</v>
      </c>
      <c r="G182" s="17"/>
      <c r="H182" s="84" t="s">
        <v>59</v>
      </c>
      <c r="I182" s="84" t="s">
        <v>160</v>
      </c>
      <c r="K182" s="20">
        <f t="shared" si="12"/>
        <v>180</v>
      </c>
      <c r="M182" s="13">
        <f t="shared" si="11"/>
        <v>51409</v>
      </c>
      <c r="N182" s="13">
        <f t="shared" si="10"/>
        <v>51409</v>
      </c>
      <c r="O182" s="13">
        <f t="shared" si="10"/>
        <v>51409</v>
      </c>
      <c r="P182" s="24">
        <v>104.66523349196908</v>
      </c>
      <c r="Q182" s="168"/>
      <c r="V182">
        <v>1</v>
      </c>
      <c r="W182" t="s">
        <v>33</v>
      </c>
      <c r="Y182" t="s">
        <v>33</v>
      </c>
      <c r="Z182" t="s">
        <v>34</v>
      </c>
      <c r="AA182">
        <v>1</v>
      </c>
    </row>
    <row r="183" spans="1:27" x14ac:dyDescent="0.35">
      <c r="A183" s="13">
        <f t="shared" si="9"/>
        <v>45930</v>
      </c>
      <c r="B183">
        <v>1</v>
      </c>
      <c r="D183" s="14" t="s">
        <v>31</v>
      </c>
      <c r="E183" s="15" t="s">
        <v>32</v>
      </c>
      <c r="F183" s="16" t="s">
        <v>32</v>
      </c>
      <c r="G183" s="17"/>
      <c r="H183" s="84" t="s">
        <v>59</v>
      </c>
      <c r="I183" s="84" t="s">
        <v>160</v>
      </c>
      <c r="K183" s="20">
        <f t="shared" si="12"/>
        <v>181</v>
      </c>
      <c r="M183" s="13">
        <f t="shared" si="11"/>
        <v>51440</v>
      </c>
      <c r="N183" s="13">
        <f t="shared" si="10"/>
        <v>51440</v>
      </c>
      <c r="O183" s="13">
        <f t="shared" si="10"/>
        <v>51440</v>
      </c>
      <c r="P183" s="24">
        <v>104.66523349196908</v>
      </c>
      <c r="Q183" s="168"/>
      <c r="V183">
        <v>1</v>
      </c>
      <c r="W183" t="s">
        <v>33</v>
      </c>
      <c r="Y183" t="s">
        <v>33</v>
      </c>
      <c r="Z183" t="s">
        <v>34</v>
      </c>
      <c r="AA183">
        <v>1</v>
      </c>
    </row>
    <row r="184" spans="1:27" x14ac:dyDescent="0.35">
      <c r="A184" s="13">
        <f t="shared" si="9"/>
        <v>45930</v>
      </c>
      <c r="B184">
        <v>1</v>
      </c>
      <c r="D184" s="14" t="s">
        <v>31</v>
      </c>
      <c r="E184" s="15" t="s">
        <v>32</v>
      </c>
      <c r="F184" s="16" t="s">
        <v>32</v>
      </c>
      <c r="G184" s="17"/>
      <c r="H184" s="84" t="s">
        <v>59</v>
      </c>
      <c r="I184" s="84" t="s">
        <v>160</v>
      </c>
      <c r="K184" s="20">
        <f t="shared" si="12"/>
        <v>182</v>
      </c>
      <c r="M184" s="13">
        <f t="shared" si="11"/>
        <v>51470</v>
      </c>
      <c r="N184" s="13">
        <f t="shared" si="10"/>
        <v>51470</v>
      </c>
      <c r="O184" s="13">
        <f t="shared" si="10"/>
        <v>51470</v>
      </c>
      <c r="P184" s="24">
        <v>104.66523349196908</v>
      </c>
      <c r="Q184" s="168"/>
      <c r="V184">
        <v>1</v>
      </c>
      <c r="W184" t="s">
        <v>33</v>
      </c>
      <c r="Y184" t="s">
        <v>33</v>
      </c>
      <c r="Z184" t="s">
        <v>34</v>
      </c>
      <c r="AA184">
        <v>1</v>
      </c>
    </row>
    <row r="185" spans="1:27" x14ac:dyDescent="0.35">
      <c r="A185" s="13">
        <f t="shared" si="9"/>
        <v>45930</v>
      </c>
      <c r="B185">
        <v>1</v>
      </c>
      <c r="D185" s="14" t="s">
        <v>31</v>
      </c>
      <c r="E185" s="15" t="s">
        <v>32</v>
      </c>
      <c r="F185" s="16" t="s">
        <v>32</v>
      </c>
      <c r="G185" s="17"/>
      <c r="H185" s="84" t="s">
        <v>59</v>
      </c>
      <c r="I185" s="84" t="s">
        <v>160</v>
      </c>
      <c r="K185" s="20">
        <f t="shared" si="12"/>
        <v>183</v>
      </c>
      <c r="L185" s="96"/>
      <c r="M185" s="13">
        <f t="shared" si="11"/>
        <v>51501</v>
      </c>
      <c r="N185" s="42">
        <f t="shared" si="10"/>
        <v>51501</v>
      </c>
      <c r="O185" s="42">
        <f t="shared" si="10"/>
        <v>51501</v>
      </c>
      <c r="P185" s="24">
        <v>104.66523349196908</v>
      </c>
      <c r="Q185" s="168"/>
      <c r="V185">
        <v>1</v>
      </c>
      <c r="W185" t="s">
        <v>33</v>
      </c>
      <c r="Y185" t="s">
        <v>33</v>
      </c>
      <c r="Z185" t="s">
        <v>34</v>
      </c>
      <c r="AA185">
        <v>1</v>
      </c>
    </row>
    <row r="186" spans="1:27" x14ac:dyDescent="0.35">
      <c r="A186" s="13">
        <f t="shared" si="9"/>
        <v>45930</v>
      </c>
      <c r="B186">
        <v>1</v>
      </c>
      <c r="D186" s="14" t="s">
        <v>31</v>
      </c>
      <c r="E186" s="15" t="s">
        <v>32</v>
      </c>
      <c r="F186" s="16" t="s">
        <v>32</v>
      </c>
      <c r="G186" s="17"/>
      <c r="H186" s="84" t="s">
        <v>59</v>
      </c>
      <c r="I186" s="84" t="s">
        <v>160</v>
      </c>
      <c r="K186" s="20">
        <f t="shared" si="12"/>
        <v>184</v>
      </c>
      <c r="L186" s="96"/>
      <c r="M186" s="13">
        <f t="shared" si="11"/>
        <v>51532</v>
      </c>
      <c r="N186" s="42">
        <f t="shared" si="10"/>
        <v>51532</v>
      </c>
      <c r="O186" s="42">
        <f t="shared" si="10"/>
        <v>51532</v>
      </c>
      <c r="P186" s="24">
        <v>104.66523349196908</v>
      </c>
      <c r="Q186" s="168"/>
      <c r="V186">
        <v>1</v>
      </c>
      <c r="W186" t="s">
        <v>33</v>
      </c>
      <c r="Y186" t="s">
        <v>33</v>
      </c>
      <c r="Z186" t="s">
        <v>34</v>
      </c>
      <c r="AA186">
        <v>1</v>
      </c>
    </row>
    <row r="187" spans="1:27" x14ac:dyDescent="0.35">
      <c r="A187" s="13">
        <f t="shared" si="9"/>
        <v>45930</v>
      </c>
      <c r="B187">
        <v>1</v>
      </c>
      <c r="D187" s="14" t="s">
        <v>31</v>
      </c>
      <c r="E187" s="15" t="s">
        <v>32</v>
      </c>
      <c r="F187" s="16" t="s">
        <v>32</v>
      </c>
      <c r="G187" s="17"/>
      <c r="H187" s="84" t="s">
        <v>59</v>
      </c>
      <c r="I187" s="84" t="s">
        <v>160</v>
      </c>
      <c r="K187" s="20">
        <f t="shared" si="12"/>
        <v>185</v>
      </c>
      <c r="L187" s="96"/>
      <c r="M187" s="13">
        <f t="shared" si="11"/>
        <v>51560</v>
      </c>
      <c r="N187" s="42">
        <f t="shared" si="10"/>
        <v>51560</v>
      </c>
      <c r="O187" s="42">
        <f t="shared" si="10"/>
        <v>51560</v>
      </c>
      <c r="P187" s="24">
        <v>104.66523349196908</v>
      </c>
      <c r="Q187" s="168"/>
      <c r="V187">
        <v>1</v>
      </c>
      <c r="W187" t="s">
        <v>33</v>
      </c>
      <c r="Y187" t="s">
        <v>33</v>
      </c>
      <c r="Z187" t="s">
        <v>34</v>
      </c>
      <c r="AA187">
        <v>1</v>
      </c>
    </row>
    <row r="188" spans="1:27" x14ac:dyDescent="0.35">
      <c r="A188" s="13">
        <f t="shared" si="9"/>
        <v>45930</v>
      </c>
      <c r="B188">
        <v>1</v>
      </c>
      <c r="D188" s="14" t="s">
        <v>31</v>
      </c>
      <c r="E188" s="15" t="s">
        <v>32</v>
      </c>
      <c r="F188" s="16" t="s">
        <v>32</v>
      </c>
      <c r="G188" s="17"/>
      <c r="H188" s="84" t="s">
        <v>59</v>
      </c>
      <c r="I188" s="84" t="s">
        <v>160</v>
      </c>
      <c r="K188" s="20">
        <f t="shared" si="12"/>
        <v>186</v>
      </c>
      <c r="L188" s="96"/>
      <c r="M188" s="13">
        <f t="shared" si="11"/>
        <v>51591</v>
      </c>
      <c r="N188" s="42">
        <f t="shared" si="10"/>
        <v>51591</v>
      </c>
      <c r="O188" s="42">
        <f t="shared" si="10"/>
        <v>51591</v>
      </c>
      <c r="P188" s="24">
        <v>104.66523349196908</v>
      </c>
      <c r="Q188" s="168"/>
      <c r="V188">
        <v>1</v>
      </c>
      <c r="W188" t="s">
        <v>33</v>
      </c>
      <c r="Y188" t="s">
        <v>33</v>
      </c>
      <c r="Z188" t="s">
        <v>34</v>
      </c>
      <c r="AA188">
        <v>1</v>
      </c>
    </row>
    <row r="189" spans="1:27" x14ac:dyDescent="0.35">
      <c r="A189" s="13">
        <f t="shared" si="9"/>
        <v>45930</v>
      </c>
      <c r="B189">
        <v>1</v>
      </c>
      <c r="D189" s="14" t="s">
        <v>31</v>
      </c>
      <c r="E189" s="15" t="s">
        <v>32</v>
      </c>
      <c r="F189" s="16" t="s">
        <v>32</v>
      </c>
      <c r="G189" s="17"/>
      <c r="H189" s="84" t="s">
        <v>59</v>
      </c>
      <c r="I189" s="84" t="s">
        <v>160</v>
      </c>
      <c r="K189" s="20">
        <f t="shared" si="12"/>
        <v>187</v>
      </c>
      <c r="L189" s="96"/>
      <c r="M189" s="13">
        <f t="shared" si="11"/>
        <v>51621</v>
      </c>
      <c r="N189" s="42">
        <f t="shared" si="10"/>
        <v>51621</v>
      </c>
      <c r="O189" s="42">
        <f t="shared" si="10"/>
        <v>51621</v>
      </c>
      <c r="P189" s="24">
        <v>104.66523349196908</v>
      </c>
      <c r="Q189" s="168"/>
      <c r="V189">
        <v>1</v>
      </c>
      <c r="W189" t="s">
        <v>33</v>
      </c>
      <c r="Y189" t="s">
        <v>33</v>
      </c>
      <c r="Z189" t="s">
        <v>34</v>
      </c>
      <c r="AA189">
        <v>1</v>
      </c>
    </row>
    <row r="190" spans="1:27" x14ac:dyDescent="0.35">
      <c r="A190" s="13">
        <f t="shared" si="9"/>
        <v>45930</v>
      </c>
      <c r="B190">
        <v>1</v>
      </c>
      <c r="D190" s="14" t="s">
        <v>31</v>
      </c>
      <c r="E190" s="15" t="s">
        <v>32</v>
      </c>
      <c r="F190" s="16" t="s">
        <v>32</v>
      </c>
      <c r="G190" s="17"/>
      <c r="H190" s="84" t="s">
        <v>59</v>
      </c>
      <c r="I190" s="84" t="s">
        <v>160</v>
      </c>
      <c r="K190" s="20">
        <f t="shared" si="12"/>
        <v>188</v>
      </c>
      <c r="L190" s="96"/>
      <c r="M190" s="13">
        <f t="shared" si="11"/>
        <v>51652</v>
      </c>
      <c r="N190" s="42">
        <f t="shared" si="10"/>
        <v>51652</v>
      </c>
      <c r="O190" s="42">
        <f t="shared" si="10"/>
        <v>51652</v>
      </c>
      <c r="P190" s="24">
        <v>104.66523349196908</v>
      </c>
      <c r="Q190" s="168"/>
      <c r="V190">
        <v>1</v>
      </c>
      <c r="W190" t="s">
        <v>33</v>
      </c>
      <c r="Y190" t="s">
        <v>33</v>
      </c>
      <c r="Z190" t="s">
        <v>34</v>
      </c>
      <c r="AA190">
        <v>1</v>
      </c>
    </row>
    <row r="191" spans="1:27" x14ac:dyDescent="0.35">
      <c r="A191" s="13">
        <f t="shared" si="9"/>
        <v>45930</v>
      </c>
      <c r="B191">
        <v>1</v>
      </c>
      <c r="D191" s="14" t="s">
        <v>31</v>
      </c>
      <c r="E191" s="15" t="s">
        <v>32</v>
      </c>
      <c r="F191" s="16" t="s">
        <v>32</v>
      </c>
      <c r="G191" s="17"/>
      <c r="H191" s="84" t="s">
        <v>59</v>
      </c>
      <c r="I191" s="84" t="s">
        <v>160</v>
      </c>
      <c r="K191" s="20">
        <f t="shared" si="12"/>
        <v>189</v>
      </c>
      <c r="L191" s="96"/>
      <c r="M191" s="13">
        <f t="shared" si="11"/>
        <v>51682</v>
      </c>
      <c r="N191" s="42">
        <f t="shared" si="10"/>
        <v>51682</v>
      </c>
      <c r="O191" s="42">
        <f t="shared" si="10"/>
        <v>51682</v>
      </c>
      <c r="P191" s="24">
        <v>104.66523349196908</v>
      </c>
      <c r="Q191" s="168"/>
      <c r="V191">
        <v>1</v>
      </c>
      <c r="W191" t="s">
        <v>33</v>
      </c>
      <c r="Y191" t="s">
        <v>33</v>
      </c>
      <c r="Z191" t="s">
        <v>34</v>
      </c>
      <c r="AA191">
        <v>1</v>
      </c>
    </row>
    <row r="192" spans="1:27" x14ac:dyDescent="0.35">
      <c r="A192" s="13">
        <f t="shared" si="9"/>
        <v>45930</v>
      </c>
      <c r="B192">
        <v>1</v>
      </c>
      <c r="D192" s="14" t="s">
        <v>31</v>
      </c>
      <c r="E192" s="15" t="s">
        <v>32</v>
      </c>
      <c r="F192" s="16" t="s">
        <v>32</v>
      </c>
      <c r="G192" s="17"/>
      <c r="H192" s="84" t="s">
        <v>59</v>
      </c>
      <c r="I192" s="84" t="s">
        <v>160</v>
      </c>
      <c r="K192" s="20">
        <f t="shared" si="12"/>
        <v>190</v>
      </c>
      <c r="L192" s="96"/>
      <c r="M192" s="13">
        <f t="shared" si="11"/>
        <v>51713</v>
      </c>
      <c r="N192" s="42">
        <f t="shared" si="10"/>
        <v>51713</v>
      </c>
      <c r="O192" s="42">
        <f t="shared" si="10"/>
        <v>51713</v>
      </c>
      <c r="P192" s="24">
        <v>104.66523349196908</v>
      </c>
      <c r="Q192" s="168"/>
      <c r="V192">
        <v>1</v>
      </c>
      <c r="W192" t="s">
        <v>33</v>
      </c>
      <c r="Y192" t="s">
        <v>33</v>
      </c>
      <c r="Z192" t="s">
        <v>34</v>
      </c>
      <c r="AA192">
        <v>1</v>
      </c>
    </row>
    <row r="193" spans="1:27" x14ac:dyDescent="0.35">
      <c r="A193" s="13">
        <f t="shared" si="9"/>
        <v>45930</v>
      </c>
      <c r="B193">
        <v>1</v>
      </c>
      <c r="D193" s="14" t="s">
        <v>31</v>
      </c>
      <c r="E193" s="15" t="s">
        <v>32</v>
      </c>
      <c r="F193" s="16" t="s">
        <v>32</v>
      </c>
      <c r="G193" s="17"/>
      <c r="H193" s="84" t="s">
        <v>59</v>
      </c>
      <c r="I193" s="84" t="s">
        <v>160</v>
      </c>
      <c r="K193" s="20">
        <f t="shared" si="12"/>
        <v>191</v>
      </c>
      <c r="L193" s="96"/>
      <c r="M193" s="13">
        <f t="shared" si="11"/>
        <v>51744</v>
      </c>
      <c r="N193" s="42">
        <f t="shared" si="10"/>
        <v>51744</v>
      </c>
      <c r="O193" s="42">
        <f t="shared" si="10"/>
        <v>51744</v>
      </c>
      <c r="P193" s="24">
        <v>104.66523349196908</v>
      </c>
      <c r="Q193" s="168"/>
      <c r="V193">
        <v>1</v>
      </c>
      <c r="W193" t="s">
        <v>33</v>
      </c>
      <c r="Y193" t="s">
        <v>33</v>
      </c>
      <c r="Z193" t="s">
        <v>34</v>
      </c>
      <c r="AA193">
        <v>1</v>
      </c>
    </row>
    <row r="194" spans="1:27" x14ac:dyDescent="0.35">
      <c r="A194" s="13">
        <f t="shared" si="9"/>
        <v>45930</v>
      </c>
      <c r="B194">
        <v>1</v>
      </c>
      <c r="D194" s="14" t="s">
        <v>31</v>
      </c>
      <c r="E194" s="15" t="s">
        <v>32</v>
      </c>
      <c r="F194" s="16" t="s">
        <v>32</v>
      </c>
      <c r="G194" s="17"/>
      <c r="H194" s="84" t="s">
        <v>59</v>
      </c>
      <c r="I194" s="84" t="s">
        <v>160</v>
      </c>
      <c r="K194" s="20">
        <f t="shared" si="12"/>
        <v>192</v>
      </c>
      <c r="L194" s="96"/>
      <c r="M194" s="13">
        <f t="shared" si="11"/>
        <v>51774</v>
      </c>
      <c r="N194" s="42">
        <f t="shared" si="10"/>
        <v>51774</v>
      </c>
      <c r="O194" s="42">
        <f t="shared" si="10"/>
        <v>51774</v>
      </c>
      <c r="P194" s="24">
        <v>104.66523349196908</v>
      </c>
      <c r="Q194" s="168"/>
      <c r="V194">
        <v>1</v>
      </c>
      <c r="W194" t="s">
        <v>33</v>
      </c>
      <c r="Y194" t="s">
        <v>33</v>
      </c>
      <c r="Z194" t="s">
        <v>34</v>
      </c>
      <c r="AA194">
        <v>1</v>
      </c>
    </row>
    <row r="195" spans="1:27" x14ac:dyDescent="0.35">
      <c r="A195" s="13">
        <f t="shared" si="9"/>
        <v>45930</v>
      </c>
      <c r="B195">
        <v>1</v>
      </c>
      <c r="D195" s="14" t="s">
        <v>31</v>
      </c>
      <c r="E195" s="15" t="s">
        <v>32</v>
      </c>
      <c r="F195" s="16" t="s">
        <v>32</v>
      </c>
      <c r="G195" s="17"/>
      <c r="H195" s="84" t="s">
        <v>59</v>
      </c>
      <c r="I195" s="84" t="s">
        <v>160</v>
      </c>
      <c r="K195" s="20">
        <f t="shared" si="12"/>
        <v>193</v>
      </c>
      <c r="L195" s="96"/>
      <c r="M195" s="13">
        <f t="shared" si="11"/>
        <v>51805</v>
      </c>
      <c r="N195" s="42">
        <f t="shared" si="10"/>
        <v>51805</v>
      </c>
      <c r="O195" s="42">
        <f t="shared" si="10"/>
        <v>51805</v>
      </c>
      <c r="P195" s="24">
        <v>104.66523349196908</v>
      </c>
      <c r="Q195" s="168"/>
      <c r="V195">
        <v>1</v>
      </c>
      <c r="W195" t="s">
        <v>33</v>
      </c>
      <c r="Y195" t="s">
        <v>33</v>
      </c>
      <c r="Z195" t="s">
        <v>34</v>
      </c>
      <c r="AA195">
        <v>1</v>
      </c>
    </row>
    <row r="196" spans="1:27" x14ac:dyDescent="0.35">
      <c r="A196" s="13">
        <f t="shared" ref="A196:A259" si="13">A195</f>
        <v>45930</v>
      </c>
      <c r="B196">
        <v>1</v>
      </c>
      <c r="D196" s="14" t="s">
        <v>31</v>
      </c>
      <c r="E196" s="15" t="s">
        <v>32</v>
      </c>
      <c r="F196" s="16" t="s">
        <v>32</v>
      </c>
      <c r="G196" s="17"/>
      <c r="H196" s="84" t="s">
        <v>59</v>
      </c>
      <c r="I196" s="84" t="s">
        <v>160</v>
      </c>
      <c r="K196" s="20">
        <f t="shared" si="12"/>
        <v>194</v>
      </c>
      <c r="L196" s="96"/>
      <c r="M196" s="13">
        <f t="shared" si="11"/>
        <v>51835</v>
      </c>
      <c r="N196" s="42">
        <f t="shared" ref="N196:O217" si="14">M196</f>
        <v>51835</v>
      </c>
      <c r="O196" s="42">
        <f t="shared" si="14"/>
        <v>51835</v>
      </c>
      <c r="P196" s="24">
        <v>104.66523349196908</v>
      </c>
      <c r="Q196" s="168"/>
      <c r="V196">
        <v>1</v>
      </c>
      <c r="W196" t="s">
        <v>33</v>
      </c>
      <c r="Y196" t="s">
        <v>33</v>
      </c>
      <c r="Z196" t="s">
        <v>34</v>
      </c>
      <c r="AA196">
        <v>1</v>
      </c>
    </row>
    <row r="197" spans="1:27" x14ac:dyDescent="0.35">
      <c r="A197" s="13">
        <f t="shared" si="13"/>
        <v>45930</v>
      </c>
      <c r="B197">
        <v>1</v>
      </c>
      <c r="D197" s="14" t="s">
        <v>31</v>
      </c>
      <c r="E197" s="15" t="s">
        <v>32</v>
      </c>
      <c r="F197" s="16" t="s">
        <v>32</v>
      </c>
      <c r="G197" s="17"/>
      <c r="H197" s="84" t="s">
        <v>59</v>
      </c>
      <c r="I197" s="84" t="s">
        <v>160</v>
      </c>
      <c r="K197" s="20">
        <f t="shared" si="12"/>
        <v>195</v>
      </c>
      <c r="L197" s="96"/>
      <c r="M197" s="13">
        <f t="shared" ref="M197:M260" si="15">EOMONTH(M196,1)</f>
        <v>51866</v>
      </c>
      <c r="N197" s="42">
        <f t="shared" si="14"/>
        <v>51866</v>
      </c>
      <c r="O197" s="42">
        <f t="shared" si="14"/>
        <v>51866</v>
      </c>
      <c r="P197" s="24">
        <v>104.66523349196908</v>
      </c>
      <c r="Q197" s="168"/>
      <c r="V197">
        <v>1</v>
      </c>
      <c r="W197" t="s">
        <v>33</v>
      </c>
      <c r="Y197" t="s">
        <v>33</v>
      </c>
      <c r="Z197" t="s">
        <v>34</v>
      </c>
      <c r="AA197">
        <v>1</v>
      </c>
    </row>
    <row r="198" spans="1:27" x14ac:dyDescent="0.35">
      <c r="A198" s="13">
        <f t="shared" si="13"/>
        <v>45930</v>
      </c>
      <c r="B198">
        <v>1</v>
      </c>
      <c r="D198" s="14" t="s">
        <v>31</v>
      </c>
      <c r="E198" s="15" t="s">
        <v>32</v>
      </c>
      <c r="F198" s="16" t="s">
        <v>32</v>
      </c>
      <c r="G198" s="17"/>
      <c r="H198" s="84" t="s">
        <v>59</v>
      </c>
      <c r="I198" s="84" t="s">
        <v>160</v>
      </c>
      <c r="K198" s="20">
        <f t="shared" si="12"/>
        <v>196</v>
      </c>
      <c r="L198" s="96"/>
      <c r="M198" s="13">
        <f t="shared" si="15"/>
        <v>51897</v>
      </c>
      <c r="N198" s="42">
        <f t="shared" si="14"/>
        <v>51897</v>
      </c>
      <c r="O198" s="42">
        <f t="shared" si="14"/>
        <v>51897</v>
      </c>
      <c r="P198" s="24">
        <v>104.66523349196908</v>
      </c>
      <c r="Q198" s="168"/>
      <c r="V198">
        <v>1</v>
      </c>
      <c r="W198" t="s">
        <v>33</v>
      </c>
      <c r="Y198" t="s">
        <v>33</v>
      </c>
      <c r="Z198" t="s">
        <v>34</v>
      </c>
      <c r="AA198">
        <v>1</v>
      </c>
    </row>
    <row r="199" spans="1:27" x14ac:dyDescent="0.35">
      <c r="A199" s="13">
        <f t="shared" si="13"/>
        <v>45930</v>
      </c>
      <c r="B199">
        <v>1</v>
      </c>
      <c r="D199" s="14" t="s">
        <v>31</v>
      </c>
      <c r="E199" s="15" t="s">
        <v>32</v>
      </c>
      <c r="F199" s="16" t="s">
        <v>32</v>
      </c>
      <c r="G199" s="17"/>
      <c r="H199" s="84" t="s">
        <v>59</v>
      </c>
      <c r="I199" s="84" t="s">
        <v>160</v>
      </c>
      <c r="K199" s="20">
        <f t="shared" si="12"/>
        <v>197</v>
      </c>
      <c r="L199" s="96"/>
      <c r="M199" s="13">
        <f t="shared" si="15"/>
        <v>51925</v>
      </c>
      <c r="N199" s="42">
        <f t="shared" si="14"/>
        <v>51925</v>
      </c>
      <c r="O199" s="42">
        <f t="shared" si="14"/>
        <v>51925</v>
      </c>
      <c r="P199" s="24">
        <v>104.66523349196908</v>
      </c>
      <c r="Q199" s="168"/>
      <c r="V199">
        <v>1</v>
      </c>
      <c r="W199" t="s">
        <v>33</v>
      </c>
      <c r="Y199" t="s">
        <v>33</v>
      </c>
      <c r="Z199" t="s">
        <v>34</v>
      </c>
      <c r="AA199">
        <v>1</v>
      </c>
    </row>
    <row r="200" spans="1:27" x14ac:dyDescent="0.35">
      <c r="A200" s="13">
        <f t="shared" si="13"/>
        <v>45930</v>
      </c>
      <c r="B200">
        <v>1</v>
      </c>
      <c r="D200" s="14" t="s">
        <v>31</v>
      </c>
      <c r="E200" s="15" t="s">
        <v>32</v>
      </c>
      <c r="F200" s="16" t="s">
        <v>32</v>
      </c>
      <c r="G200" s="17"/>
      <c r="H200" s="84" t="s">
        <v>59</v>
      </c>
      <c r="I200" s="84" t="s">
        <v>160</v>
      </c>
      <c r="K200" s="20">
        <f t="shared" si="12"/>
        <v>198</v>
      </c>
      <c r="L200" s="96"/>
      <c r="M200" s="13">
        <f t="shared" si="15"/>
        <v>51956</v>
      </c>
      <c r="N200" s="42">
        <f t="shared" si="14"/>
        <v>51956</v>
      </c>
      <c r="O200" s="42">
        <f t="shared" si="14"/>
        <v>51956</v>
      </c>
      <c r="P200" s="24">
        <v>104.66523349196908</v>
      </c>
      <c r="Q200" s="168"/>
      <c r="V200">
        <v>1</v>
      </c>
      <c r="W200" t="s">
        <v>33</v>
      </c>
      <c r="Y200" t="s">
        <v>33</v>
      </c>
      <c r="Z200" t="s">
        <v>34</v>
      </c>
      <c r="AA200">
        <v>1</v>
      </c>
    </row>
    <row r="201" spans="1:27" x14ac:dyDescent="0.35">
      <c r="A201" s="13">
        <f t="shared" si="13"/>
        <v>45930</v>
      </c>
      <c r="B201">
        <v>1</v>
      </c>
      <c r="D201" s="14" t="s">
        <v>31</v>
      </c>
      <c r="E201" s="15" t="s">
        <v>32</v>
      </c>
      <c r="F201" s="16" t="s">
        <v>32</v>
      </c>
      <c r="G201" s="17"/>
      <c r="H201" s="84" t="s">
        <v>59</v>
      </c>
      <c r="I201" s="84" t="s">
        <v>160</v>
      </c>
      <c r="K201" s="20">
        <f t="shared" si="12"/>
        <v>199</v>
      </c>
      <c r="L201" s="96"/>
      <c r="M201" s="13">
        <f t="shared" si="15"/>
        <v>51986</v>
      </c>
      <c r="N201" s="42">
        <f t="shared" si="14"/>
        <v>51986</v>
      </c>
      <c r="O201" s="42">
        <f t="shared" si="14"/>
        <v>51986</v>
      </c>
      <c r="P201" s="24">
        <v>104.66523349196908</v>
      </c>
      <c r="Q201" s="168"/>
      <c r="V201">
        <v>1</v>
      </c>
      <c r="W201" t="s">
        <v>33</v>
      </c>
      <c r="Y201" t="s">
        <v>33</v>
      </c>
      <c r="Z201" t="s">
        <v>34</v>
      </c>
      <c r="AA201">
        <v>1</v>
      </c>
    </row>
    <row r="202" spans="1:27" x14ac:dyDescent="0.35">
      <c r="A202" s="13">
        <f t="shared" si="13"/>
        <v>45930</v>
      </c>
      <c r="B202">
        <v>1</v>
      </c>
      <c r="D202" s="14" t="s">
        <v>31</v>
      </c>
      <c r="E202" s="15" t="s">
        <v>32</v>
      </c>
      <c r="F202" s="16" t="s">
        <v>32</v>
      </c>
      <c r="G202" s="17"/>
      <c r="H202" s="84" t="s">
        <v>59</v>
      </c>
      <c r="I202" s="84" t="s">
        <v>160</v>
      </c>
      <c r="K202" s="20">
        <f t="shared" si="12"/>
        <v>200</v>
      </c>
      <c r="L202" s="96"/>
      <c r="M202" s="13">
        <f t="shared" si="15"/>
        <v>52017</v>
      </c>
      <c r="N202" s="42">
        <f t="shared" si="14"/>
        <v>52017</v>
      </c>
      <c r="O202" s="42">
        <f t="shared" si="14"/>
        <v>52017</v>
      </c>
      <c r="P202" s="24">
        <v>104.66523349196908</v>
      </c>
      <c r="Q202" s="168"/>
      <c r="V202">
        <v>1</v>
      </c>
      <c r="W202" t="s">
        <v>33</v>
      </c>
      <c r="Y202" t="s">
        <v>33</v>
      </c>
      <c r="Z202" t="s">
        <v>34</v>
      </c>
      <c r="AA202">
        <v>1</v>
      </c>
    </row>
    <row r="203" spans="1:27" x14ac:dyDescent="0.35">
      <c r="A203" s="13">
        <f t="shared" si="13"/>
        <v>45930</v>
      </c>
      <c r="B203">
        <v>1</v>
      </c>
      <c r="D203" s="14" t="s">
        <v>31</v>
      </c>
      <c r="E203" s="15" t="s">
        <v>32</v>
      </c>
      <c r="F203" s="16" t="s">
        <v>32</v>
      </c>
      <c r="G203" s="17"/>
      <c r="H203" s="84" t="s">
        <v>59</v>
      </c>
      <c r="I203" s="84" t="s">
        <v>160</v>
      </c>
      <c r="K203" s="20">
        <f t="shared" si="12"/>
        <v>201</v>
      </c>
      <c r="L203" s="96"/>
      <c r="M203" s="13">
        <f t="shared" si="15"/>
        <v>52047</v>
      </c>
      <c r="N203" s="42">
        <f t="shared" si="14"/>
        <v>52047</v>
      </c>
      <c r="O203" s="42">
        <f t="shared" si="14"/>
        <v>52047</v>
      </c>
      <c r="P203" s="24">
        <v>104.66523349196908</v>
      </c>
      <c r="Q203" s="168"/>
      <c r="V203">
        <v>1</v>
      </c>
      <c r="W203" t="s">
        <v>33</v>
      </c>
      <c r="Y203" t="s">
        <v>33</v>
      </c>
      <c r="Z203" t="s">
        <v>34</v>
      </c>
      <c r="AA203">
        <v>1</v>
      </c>
    </row>
    <row r="204" spans="1:27" x14ac:dyDescent="0.35">
      <c r="A204" s="13">
        <f t="shared" si="13"/>
        <v>45930</v>
      </c>
      <c r="B204">
        <v>1</v>
      </c>
      <c r="D204" s="14" t="s">
        <v>31</v>
      </c>
      <c r="E204" s="15" t="s">
        <v>32</v>
      </c>
      <c r="F204" s="16" t="s">
        <v>32</v>
      </c>
      <c r="G204" s="17"/>
      <c r="H204" s="84" t="s">
        <v>59</v>
      </c>
      <c r="I204" s="84" t="s">
        <v>160</v>
      </c>
      <c r="K204" s="20">
        <f t="shared" si="12"/>
        <v>202</v>
      </c>
      <c r="L204" s="96"/>
      <c r="M204" s="13">
        <f t="shared" si="15"/>
        <v>52078</v>
      </c>
      <c r="N204" s="42">
        <f t="shared" si="14"/>
        <v>52078</v>
      </c>
      <c r="O204" s="42">
        <f t="shared" si="14"/>
        <v>52078</v>
      </c>
      <c r="P204" s="24">
        <v>104.66523349196908</v>
      </c>
      <c r="Q204" s="168"/>
      <c r="V204">
        <v>1</v>
      </c>
      <c r="W204" t="s">
        <v>33</v>
      </c>
      <c r="Y204" t="s">
        <v>33</v>
      </c>
      <c r="Z204" t="s">
        <v>34</v>
      </c>
      <c r="AA204">
        <v>1</v>
      </c>
    </row>
    <row r="205" spans="1:27" x14ac:dyDescent="0.35">
      <c r="A205" s="13">
        <f t="shared" si="13"/>
        <v>45930</v>
      </c>
      <c r="B205">
        <v>1</v>
      </c>
      <c r="D205" s="14" t="s">
        <v>31</v>
      </c>
      <c r="E205" s="15" t="s">
        <v>32</v>
      </c>
      <c r="F205" s="16" t="s">
        <v>32</v>
      </c>
      <c r="G205" s="17"/>
      <c r="H205" s="84" t="s">
        <v>59</v>
      </c>
      <c r="I205" s="84" t="s">
        <v>160</v>
      </c>
      <c r="K205" s="20">
        <f t="shared" si="12"/>
        <v>203</v>
      </c>
      <c r="L205" s="96"/>
      <c r="M205" s="13">
        <f t="shared" si="15"/>
        <v>52109</v>
      </c>
      <c r="N205" s="42">
        <f t="shared" si="14"/>
        <v>52109</v>
      </c>
      <c r="O205" s="42">
        <f t="shared" si="14"/>
        <v>52109</v>
      </c>
      <c r="P205" s="24">
        <v>104.66523349196908</v>
      </c>
      <c r="Q205" s="168"/>
      <c r="V205">
        <v>1</v>
      </c>
      <c r="W205" t="s">
        <v>33</v>
      </c>
      <c r="Y205" t="s">
        <v>33</v>
      </c>
      <c r="Z205" t="s">
        <v>34</v>
      </c>
      <c r="AA205">
        <v>1</v>
      </c>
    </row>
    <row r="206" spans="1:27" x14ac:dyDescent="0.35">
      <c r="A206" s="13">
        <f t="shared" si="13"/>
        <v>45930</v>
      </c>
      <c r="B206">
        <v>1</v>
      </c>
      <c r="D206" s="14" t="s">
        <v>31</v>
      </c>
      <c r="E206" s="15" t="s">
        <v>32</v>
      </c>
      <c r="F206" s="16" t="s">
        <v>32</v>
      </c>
      <c r="G206" s="17"/>
      <c r="H206" s="84" t="s">
        <v>59</v>
      </c>
      <c r="I206" s="84" t="s">
        <v>160</v>
      </c>
      <c r="K206" s="20">
        <f t="shared" si="12"/>
        <v>204</v>
      </c>
      <c r="L206" s="96"/>
      <c r="M206" s="13">
        <f t="shared" si="15"/>
        <v>52139</v>
      </c>
      <c r="N206" s="42">
        <f t="shared" si="14"/>
        <v>52139</v>
      </c>
      <c r="O206" s="42">
        <f t="shared" si="14"/>
        <v>52139</v>
      </c>
      <c r="P206" s="24">
        <v>104.66523349196908</v>
      </c>
      <c r="Q206" s="168"/>
      <c r="V206">
        <v>1</v>
      </c>
      <c r="W206" t="s">
        <v>33</v>
      </c>
      <c r="Y206" t="s">
        <v>33</v>
      </c>
      <c r="Z206" t="s">
        <v>34</v>
      </c>
      <c r="AA206">
        <v>1</v>
      </c>
    </row>
    <row r="207" spans="1:27" x14ac:dyDescent="0.35">
      <c r="A207" s="13">
        <f t="shared" si="13"/>
        <v>45930</v>
      </c>
      <c r="B207">
        <v>1</v>
      </c>
      <c r="D207" s="14" t="s">
        <v>31</v>
      </c>
      <c r="E207" s="15" t="s">
        <v>32</v>
      </c>
      <c r="F207" s="16" t="s">
        <v>32</v>
      </c>
      <c r="G207" s="17"/>
      <c r="H207" s="84" t="s">
        <v>59</v>
      </c>
      <c r="I207" s="84" t="s">
        <v>160</v>
      </c>
      <c r="K207" s="20">
        <f t="shared" si="12"/>
        <v>205</v>
      </c>
      <c r="L207" s="96"/>
      <c r="M207" s="13">
        <f t="shared" si="15"/>
        <v>52170</v>
      </c>
      <c r="N207" s="42">
        <f t="shared" si="14"/>
        <v>52170</v>
      </c>
      <c r="O207" s="42">
        <f t="shared" si="14"/>
        <v>52170</v>
      </c>
      <c r="P207" s="24">
        <v>90.917367638310537</v>
      </c>
      <c r="Q207" s="168"/>
      <c r="V207">
        <v>1</v>
      </c>
      <c r="W207" t="s">
        <v>33</v>
      </c>
      <c r="Y207" t="s">
        <v>33</v>
      </c>
      <c r="Z207" t="s">
        <v>34</v>
      </c>
      <c r="AA207">
        <v>1</v>
      </c>
    </row>
    <row r="208" spans="1:27" x14ac:dyDescent="0.35">
      <c r="A208" s="13">
        <f t="shared" si="13"/>
        <v>45930</v>
      </c>
      <c r="B208">
        <v>1</v>
      </c>
      <c r="D208" s="14" t="s">
        <v>31</v>
      </c>
      <c r="E208" s="15" t="s">
        <v>32</v>
      </c>
      <c r="F208" s="16" t="s">
        <v>32</v>
      </c>
      <c r="G208" s="17"/>
      <c r="H208" s="84" t="s">
        <v>59</v>
      </c>
      <c r="I208" s="84" t="s">
        <v>160</v>
      </c>
      <c r="K208" s="20">
        <f t="shared" si="12"/>
        <v>206</v>
      </c>
      <c r="L208" s="96"/>
      <c r="M208" s="13">
        <f t="shared" si="15"/>
        <v>52200</v>
      </c>
      <c r="N208" s="42">
        <f t="shared" si="14"/>
        <v>52200</v>
      </c>
      <c r="O208" s="42">
        <f t="shared" si="14"/>
        <v>52200</v>
      </c>
      <c r="P208" s="24">
        <v>0</v>
      </c>
      <c r="V208">
        <v>1</v>
      </c>
      <c r="W208" t="s">
        <v>33</v>
      </c>
      <c r="Y208" t="s">
        <v>33</v>
      </c>
      <c r="Z208" t="s">
        <v>34</v>
      </c>
      <c r="AA208">
        <v>1</v>
      </c>
    </row>
    <row r="209" spans="1:27" x14ac:dyDescent="0.35">
      <c r="A209" s="13">
        <f t="shared" si="13"/>
        <v>45930</v>
      </c>
      <c r="B209">
        <v>1</v>
      </c>
      <c r="D209" s="14" t="s">
        <v>31</v>
      </c>
      <c r="E209" s="15" t="s">
        <v>32</v>
      </c>
      <c r="F209" s="16" t="s">
        <v>32</v>
      </c>
      <c r="G209" s="17"/>
      <c r="H209" s="84" t="s">
        <v>59</v>
      </c>
      <c r="I209" s="84" t="s">
        <v>160</v>
      </c>
      <c r="K209" s="20">
        <f t="shared" si="12"/>
        <v>207</v>
      </c>
      <c r="L209" s="96"/>
      <c r="M209" s="13">
        <f t="shared" si="15"/>
        <v>52231</v>
      </c>
      <c r="N209" s="42">
        <f t="shared" si="14"/>
        <v>52231</v>
      </c>
      <c r="O209" s="42">
        <f t="shared" si="14"/>
        <v>52231</v>
      </c>
      <c r="P209" s="24">
        <v>0</v>
      </c>
      <c r="V209">
        <v>1</v>
      </c>
      <c r="W209" t="s">
        <v>33</v>
      </c>
      <c r="Y209" t="s">
        <v>33</v>
      </c>
      <c r="Z209" t="s">
        <v>34</v>
      </c>
      <c r="AA209">
        <v>1</v>
      </c>
    </row>
    <row r="210" spans="1:27" x14ac:dyDescent="0.35">
      <c r="A210" s="13">
        <f t="shared" si="13"/>
        <v>45930</v>
      </c>
      <c r="B210">
        <v>1</v>
      </c>
      <c r="D210" s="14" t="s">
        <v>31</v>
      </c>
      <c r="E210" s="15" t="s">
        <v>32</v>
      </c>
      <c r="F210" s="16" t="s">
        <v>32</v>
      </c>
      <c r="G210" s="17"/>
      <c r="H210" s="84" t="s">
        <v>59</v>
      </c>
      <c r="I210" s="84" t="s">
        <v>160</v>
      </c>
      <c r="K210" s="20">
        <f t="shared" si="12"/>
        <v>208</v>
      </c>
      <c r="L210" s="96"/>
      <c r="M210" s="13">
        <f t="shared" si="15"/>
        <v>52262</v>
      </c>
      <c r="N210" s="42">
        <f t="shared" si="14"/>
        <v>52262</v>
      </c>
      <c r="O210" s="42">
        <f t="shared" si="14"/>
        <v>52262</v>
      </c>
      <c r="P210" s="24">
        <v>0</v>
      </c>
      <c r="V210">
        <v>1</v>
      </c>
      <c r="W210" t="s">
        <v>33</v>
      </c>
      <c r="Y210" t="s">
        <v>33</v>
      </c>
      <c r="Z210" t="s">
        <v>34</v>
      </c>
      <c r="AA210">
        <v>1</v>
      </c>
    </row>
    <row r="211" spans="1:27" x14ac:dyDescent="0.35">
      <c r="A211" s="13">
        <f t="shared" si="13"/>
        <v>45930</v>
      </c>
      <c r="B211">
        <v>1</v>
      </c>
      <c r="D211" s="14" t="s">
        <v>31</v>
      </c>
      <c r="E211" s="15" t="s">
        <v>32</v>
      </c>
      <c r="F211" s="16" t="s">
        <v>32</v>
      </c>
      <c r="G211" s="17"/>
      <c r="H211" s="84" t="s">
        <v>59</v>
      </c>
      <c r="I211" s="84" t="s">
        <v>160</v>
      </c>
      <c r="K211" s="20">
        <f t="shared" si="12"/>
        <v>209</v>
      </c>
      <c r="L211" s="96"/>
      <c r="M211" s="13">
        <f t="shared" si="15"/>
        <v>52290</v>
      </c>
      <c r="N211" s="42">
        <f t="shared" si="14"/>
        <v>52290</v>
      </c>
      <c r="O211" s="42">
        <f t="shared" si="14"/>
        <v>52290</v>
      </c>
      <c r="P211" s="24">
        <v>0</v>
      </c>
      <c r="V211">
        <v>1</v>
      </c>
      <c r="W211" t="s">
        <v>33</v>
      </c>
      <c r="Y211" t="s">
        <v>33</v>
      </c>
      <c r="Z211" t="s">
        <v>34</v>
      </c>
      <c r="AA211">
        <v>1</v>
      </c>
    </row>
    <row r="212" spans="1:27" x14ac:dyDescent="0.35">
      <c r="A212" s="13">
        <f t="shared" si="13"/>
        <v>45930</v>
      </c>
      <c r="B212">
        <v>1</v>
      </c>
      <c r="D212" s="14" t="s">
        <v>31</v>
      </c>
      <c r="E212" s="15" t="s">
        <v>32</v>
      </c>
      <c r="F212" s="16" t="s">
        <v>32</v>
      </c>
      <c r="G212" s="17"/>
      <c r="H212" s="84" t="s">
        <v>59</v>
      </c>
      <c r="I212" s="84" t="s">
        <v>160</v>
      </c>
      <c r="K212" s="20">
        <f t="shared" si="12"/>
        <v>210</v>
      </c>
      <c r="L212" s="96"/>
      <c r="M212" s="13">
        <f t="shared" si="15"/>
        <v>52321</v>
      </c>
      <c r="N212" s="42">
        <f t="shared" si="14"/>
        <v>52321</v>
      </c>
      <c r="O212" s="42">
        <f t="shared" si="14"/>
        <v>52321</v>
      </c>
      <c r="P212" s="24">
        <v>0</v>
      </c>
      <c r="V212">
        <v>1</v>
      </c>
      <c r="W212" t="s">
        <v>33</v>
      </c>
      <c r="Y212" t="s">
        <v>33</v>
      </c>
      <c r="Z212" t="s">
        <v>34</v>
      </c>
      <c r="AA212">
        <v>1</v>
      </c>
    </row>
    <row r="213" spans="1:27" x14ac:dyDescent="0.35">
      <c r="A213" s="13">
        <f t="shared" si="13"/>
        <v>45930</v>
      </c>
      <c r="B213">
        <v>1</v>
      </c>
      <c r="D213" s="14" t="s">
        <v>31</v>
      </c>
      <c r="E213" s="15" t="s">
        <v>32</v>
      </c>
      <c r="F213" s="16" t="s">
        <v>32</v>
      </c>
      <c r="G213" s="17"/>
      <c r="H213" s="84" t="s">
        <v>59</v>
      </c>
      <c r="I213" s="84" t="s">
        <v>160</v>
      </c>
      <c r="K213" s="20">
        <f t="shared" si="12"/>
        <v>211</v>
      </c>
      <c r="L213" s="96"/>
      <c r="M213" s="13">
        <f t="shared" si="15"/>
        <v>52351</v>
      </c>
      <c r="N213" s="42">
        <f t="shared" si="14"/>
        <v>52351</v>
      </c>
      <c r="O213" s="42">
        <f t="shared" si="14"/>
        <v>52351</v>
      </c>
      <c r="P213" s="24">
        <v>0</v>
      </c>
      <c r="V213">
        <v>1</v>
      </c>
      <c r="W213" t="s">
        <v>33</v>
      </c>
      <c r="Y213" t="s">
        <v>33</v>
      </c>
      <c r="Z213" t="s">
        <v>34</v>
      </c>
      <c r="AA213">
        <v>1</v>
      </c>
    </row>
    <row r="214" spans="1:27" x14ac:dyDescent="0.35">
      <c r="A214" s="13">
        <f t="shared" si="13"/>
        <v>45930</v>
      </c>
      <c r="B214">
        <v>1</v>
      </c>
      <c r="D214" s="14" t="s">
        <v>31</v>
      </c>
      <c r="E214" s="15" t="s">
        <v>32</v>
      </c>
      <c r="F214" s="16" t="s">
        <v>32</v>
      </c>
      <c r="G214" s="17"/>
      <c r="H214" s="84" t="s">
        <v>59</v>
      </c>
      <c r="I214" s="84" t="s">
        <v>160</v>
      </c>
      <c r="K214" s="20">
        <f t="shared" si="12"/>
        <v>212</v>
      </c>
      <c r="L214" s="96"/>
      <c r="M214" s="13">
        <f t="shared" si="15"/>
        <v>52382</v>
      </c>
      <c r="N214" s="42">
        <f t="shared" si="14"/>
        <v>52382</v>
      </c>
      <c r="O214" s="42">
        <f t="shared" si="14"/>
        <v>52382</v>
      </c>
      <c r="P214" s="24">
        <v>0</v>
      </c>
      <c r="V214">
        <v>1</v>
      </c>
      <c r="W214" t="s">
        <v>33</v>
      </c>
      <c r="Y214" t="s">
        <v>33</v>
      </c>
      <c r="Z214" t="s">
        <v>34</v>
      </c>
      <c r="AA214">
        <v>1</v>
      </c>
    </row>
    <row r="215" spans="1:27" x14ac:dyDescent="0.35">
      <c r="A215" s="13">
        <f t="shared" si="13"/>
        <v>45930</v>
      </c>
      <c r="B215">
        <v>1</v>
      </c>
      <c r="D215" s="14" t="s">
        <v>31</v>
      </c>
      <c r="E215" s="15" t="s">
        <v>32</v>
      </c>
      <c r="F215" s="16" t="s">
        <v>32</v>
      </c>
      <c r="G215" s="17"/>
      <c r="H215" s="84" t="s">
        <v>59</v>
      </c>
      <c r="I215" s="84" t="s">
        <v>160</v>
      </c>
      <c r="K215" s="20">
        <f t="shared" si="12"/>
        <v>213</v>
      </c>
      <c r="M215" s="13">
        <f t="shared" si="15"/>
        <v>52412</v>
      </c>
      <c r="N215" s="13">
        <f t="shared" si="14"/>
        <v>52412</v>
      </c>
      <c r="O215" s="13">
        <f t="shared" si="14"/>
        <v>52412</v>
      </c>
      <c r="P215" s="24">
        <v>0</v>
      </c>
      <c r="V215">
        <v>1</v>
      </c>
      <c r="W215" t="s">
        <v>33</v>
      </c>
      <c r="Y215" t="s">
        <v>33</v>
      </c>
      <c r="Z215" t="s">
        <v>34</v>
      </c>
      <c r="AA215">
        <v>1</v>
      </c>
    </row>
    <row r="216" spans="1:27" x14ac:dyDescent="0.35">
      <c r="A216" s="13">
        <f t="shared" si="13"/>
        <v>45930</v>
      </c>
      <c r="B216">
        <v>1</v>
      </c>
      <c r="D216" s="14" t="s">
        <v>31</v>
      </c>
      <c r="E216" s="15" t="s">
        <v>32</v>
      </c>
      <c r="F216" s="16" t="s">
        <v>32</v>
      </c>
      <c r="G216" s="17"/>
      <c r="H216" s="84" t="s">
        <v>59</v>
      </c>
      <c r="I216" s="84" t="s">
        <v>160</v>
      </c>
      <c r="K216" s="20">
        <f t="shared" si="12"/>
        <v>214</v>
      </c>
      <c r="M216" s="13">
        <f t="shared" si="15"/>
        <v>52443</v>
      </c>
      <c r="N216" s="13">
        <f t="shared" si="14"/>
        <v>52443</v>
      </c>
      <c r="O216" s="13">
        <f t="shared" si="14"/>
        <v>52443</v>
      </c>
      <c r="P216" s="24">
        <v>0</v>
      </c>
      <c r="V216">
        <v>1</v>
      </c>
      <c r="W216" t="s">
        <v>33</v>
      </c>
      <c r="Y216" t="s">
        <v>33</v>
      </c>
      <c r="Z216" t="s">
        <v>34</v>
      </c>
      <c r="AA216">
        <v>1</v>
      </c>
    </row>
    <row r="217" spans="1:27" x14ac:dyDescent="0.35">
      <c r="A217" s="13">
        <f t="shared" si="13"/>
        <v>45930</v>
      </c>
      <c r="B217">
        <v>1</v>
      </c>
      <c r="D217" s="14" t="s">
        <v>31</v>
      </c>
      <c r="E217" s="15" t="s">
        <v>32</v>
      </c>
      <c r="F217" s="16" t="s">
        <v>32</v>
      </c>
      <c r="G217" s="17"/>
      <c r="H217" s="84" t="s">
        <v>59</v>
      </c>
      <c r="I217" s="84" t="s">
        <v>160</v>
      </c>
      <c r="K217" s="20">
        <f t="shared" si="12"/>
        <v>215</v>
      </c>
      <c r="M217" s="13">
        <f t="shared" si="15"/>
        <v>52474</v>
      </c>
      <c r="N217" s="13">
        <f t="shared" si="14"/>
        <v>52474</v>
      </c>
      <c r="O217" s="13">
        <f t="shared" si="14"/>
        <v>52474</v>
      </c>
      <c r="P217" s="24">
        <v>0</v>
      </c>
      <c r="V217">
        <v>1</v>
      </c>
      <c r="W217" t="s">
        <v>33</v>
      </c>
      <c r="Y217" t="s">
        <v>33</v>
      </c>
      <c r="Z217" t="s">
        <v>34</v>
      </c>
      <c r="AA217">
        <v>1</v>
      </c>
    </row>
    <row r="218" spans="1:27" x14ac:dyDescent="0.35">
      <c r="A218" s="13">
        <f t="shared" si="13"/>
        <v>45930</v>
      </c>
      <c r="B218">
        <v>1</v>
      </c>
      <c r="D218" s="14" t="s">
        <v>31</v>
      </c>
      <c r="E218" s="15" t="s">
        <v>32</v>
      </c>
      <c r="F218" s="16" t="s">
        <v>32</v>
      </c>
      <c r="G218" s="17"/>
      <c r="H218" s="84" t="s">
        <v>59</v>
      </c>
      <c r="I218" s="84" t="s">
        <v>160</v>
      </c>
      <c r="K218" s="20">
        <f t="shared" si="12"/>
        <v>216</v>
      </c>
      <c r="M218" s="13">
        <f t="shared" si="15"/>
        <v>52504</v>
      </c>
      <c r="N218" s="13">
        <f t="shared" ref="N218:N281" si="16">M218</f>
        <v>52504</v>
      </c>
      <c r="O218" s="13">
        <f t="shared" ref="O218:O281" si="17">N218</f>
        <v>52504</v>
      </c>
      <c r="P218" s="24">
        <v>0</v>
      </c>
      <c r="V218">
        <v>1</v>
      </c>
      <c r="W218" t="s">
        <v>33</v>
      </c>
      <c r="Y218" t="s">
        <v>33</v>
      </c>
      <c r="Z218" t="s">
        <v>34</v>
      </c>
      <c r="AA218">
        <v>1</v>
      </c>
    </row>
    <row r="219" spans="1:27" x14ac:dyDescent="0.35">
      <c r="A219" s="13">
        <f t="shared" si="13"/>
        <v>45930</v>
      </c>
      <c r="B219">
        <v>1</v>
      </c>
      <c r="D219" s="14" t="s">
        <v>31</v>
      </c>
      <c r="E219" s="15" t="s">
        <v>32</v>
      </c>
      <c r="F219" s="16" t="s">
        <v>32</v>
      </c>
      <c r="G219" s="17"/>
      <c r="H219" s="85" t="s">
        <v>59</v>
      </c>
      <c r="I219" s="85" t="s">
        <v>161</v>
      </c>
      <c r="K219" s="20">
        <f t="shared" si="12"/>
        <v>217</v>
      </c>
      <c r="M219" s="13">
        <f t="shared" si="15"/>
        <v>52535</v>
      </c>
      <c r="N219" s="13">
        <f t="shared" si="16"/>
        <v>52535</v>
      </c>
      <c r="O219" s="13">
        <f t="shared" si="17"/>
        <v>52535</v>
      </c>
      <c r="P219" s="24">
        <v>0</v>
      </c>
      <c r="V219">
        <v>1</v>
      </c>
      <c r="W219" t="s">
        <v>33</v>
      </c>
      <c r="Y219" t="s">
        <v>33</v>
      </c>
      <c r="Z219" t="s">
        <v>34</v>
      </c>
      <c r="AA219">
        <v>1</v>
      </c>
    </row>
    <row r="220" spans="1:27" x14ac:dyDescent="0.35">
      <c r="A220" s="13">
        <f t="shared" si="13"/>
        <v>45930</v>
      </c>
      <c r="B220">
        <v>1</v>
      </c>
      <c r="D220" s="14" t="s">
        <v>31</v>
      </c>
      <c r="E220" s="15" t="s">
        <v>32</v>
      </c>
      <c r="F220" s="16" t="s">
        <v>32</v>
      </c>
      <c r="G220" s="17"/>
      <c r="H220" s="85" t="s">
        <v>59</v>
      </c>
      <c r="I220" s="85" t="s">
        <v>161</v>
      </c>
      <c r="K220" s="20">
        <f t="shared" si="12"/>
        <v>218</v>
      </c>
      <c r="M220" s="13">
        <f t="shared" si="15"/>
        <v>52565</v>
      </c>
      <c r="N220" s="13">
        <f t="shared" si="16"/>
        <v>52565</v>
      </c>
      <c r="O220" s="13">
        <f t="shared" si="17"/>
        <v>52565</v>
      </c>
      <c r="P220" s="24">
        <v>0</v>
      </c>
      <c r="V220">
        <v>1</v>
      </c>
      <c r="W220" t="s">
        <v>33</v>
      </c>
      <c r="Y220" t="s">
        <v>33</v>
      </c>
      <c r="Z220" t="s">
        <v>34</v>
      </c>
      <c r="AA220">
        <v>1</v>
      </c>
    </row>
    <row r="221" spans="1:27" x14ac:dyDescent="0.35">
      <c r="A221" s="13">
        <f t="shared" si="13"/>
        <v>45930</v>
      </c>
      <c r="B221">
        <v>1</v>
      </c>
      <c r="D221" s="14" t="s">
        <v>31</v>
      </c>
      <c r="E221" s="15" t="s">
        <v>32</v>
      </c>
      <c r="F221" s="16" t="s">
        <v>32</v>
      </c>
      <c r="G221" s="17"/>
      <c r="H221" s="85" t="s">
        <v>59</v>
      </c>
      <c r="I221" s="85" t="s">
        <v>161</v>
      </c>
      <c r="K221" s="20">
        <f t="shared" si="12"/>
        <v>219</v>
      </c>
      <c r="M221" s="13">
        <f t="shared" si="15"/>
        <v>52596</v>
      </c>
      <c r="N221" s="13">
        <f t="shared" si="16"/>
        <v>52596</v>
      </c>
      <c r="O221" s="13">
        <f t="shared" si="17"/>
        <v>52596</v>
      </c>
      <c r="P221" s="24">
        <v>0</v>
      </c>
      <c r="V221">
        <v>1</v>
      </c>
      <c r="W221" t="s">
        <v>33</v>
      </c>
      <c r="Y221" t="s">
        <v>33</v>
      </c>
      <c r="Z221" t="s">
        <v>34</v>
      </c>
      <c r="AA221">
        <v>1</v>
      </c>
    </row>
    <row r="222" spans="1:27" x14ac:dyDescent="0.35">
      <c r="A222" s="13">
        <f t="shared" si="13"/>
        <v>45930</v>
      </c>
      <c r="B222">
        <v>1</v>
      </c>
      <c r="D222" s="14" t="s">
        <v>31</v>
      </c>
      <c r="E222" s="15" t="s">
        <v>32</v>
      </c>
      <c r="F222" s="16" t="s">
        <v>32</v>
      </c>
      <c r="G222" s="17"/>
      <c r="H222" s="85" t="s">
        <v>59</v>
      </c>
      <c r="I222" s="85" t="s">
        <v>161</v>
      </c>
      <c r="K222" s="20">
        <f t="shared" si="12"/>
        <v>220</v>
      </c>
      <c r="M222" s="13">
        <f t="shared" si="15"/>
        <v>52627</v>
      </c>
      <c r="N222" s="13">
        <f t="shared" si="16"/>
        <v>52627</v>
      </c>
      <c r="O222" s="13">
        <f t="shared" si="17"/>
        <v>52627</v>
      </c>
      <c r="P222" s="24">
        <v>0</v>
      </c>
      <c r="V222">
        <v>1</v>
      </c>
      <c r="W222" t="s">
        <v>33</v>
      </c>
      <c r="Y222" t="s">
        <v>33</v>
      </c>
      <c r="Z222" t="s">
        <v>34</v>
      </c>
      <c r="AA222">
        <v>1</v>
      </c>
    </row>
    <row r="223" spans="1:27" x14ac:dyDescent="0.35">
      <c r="A223" s="13">
        <f t="shared" si="13"/>
        <v>45930</v>
      </c>
      <c r="B223">
        <v>1</v>
      </c>
      <c r="D223" s="14" t="s">
        <v>31</v>
      </c>
      <c r="E223" s="15" t="s">
        <v>32</v>
      </c>
      <c r="F223" s="16" t="s">
        <v>32</v>
      </c>
      <c r="G223" s="17"/>
      <c r="H223" s="85" t="s">
        <v>59</v>
      </c>
      <c r="I223" s="85" t="s">
        <v>161</v>
      </c>
      <c r="K223" s="20">
        <f t="shared" si="12"/>
        <v>221</v>
      </c>
      <c r="M223" s="13">
        <f t="shared" si="15"/>
        <v>52656</v>
      </c>
      <c r="N223" s="13">
        <f t="shared" si="16"/>
        <v>52656</v>
      </c>
      <c r="O223" s="13">
        <f t="shared" si="17"/>
        <v>52656</v>
      </c>
      <c r="P223" s="24">
        <v>0</v>
      </c>
      <c r="V223">
        <v>1</v>
      </c>
      <c r="W223" t="s">
        <v>33</v>
      </c>
      <c r="Y223" t="s">
        <v>33</v>
      </c>
      <c r="Z223" t="s">
        <v>34</v>
      </c>
      <c r="AA223">
        <v>1</v>
      </c>
    </row>
    <row r="224" spans="1:27" x14ac:dyDescent="0.35">
      <c r="A224" s="13">
        <f t="shared" si="13"/>
        <v>45930</v>
      </c>
      <c r="B224">
        <v>1</v>
      </c>
      <c r="D224" s="14" t="s">
        <v>31</v>
      </c>
      <c r="E224" s="15" t="s">
        <v>32</v>
      </c>
      <c r="F224" s="16" t="s">
        <v>32</v>
      </c>
      <c r="G224" s="17"/>
      <c r="H224" s="85" t="s">
        <v>59</v>
      </c>
      <c r="I224" s="85" t="s">
        <v>161</v>
      </c>
      <c r="K224" s="20">
        <f t="shared" si="12"/>
        <v>222</v>
      </c>
      <c r="M224" s="13">
        <f t="shared" si="15"/>
        <v>52687</v>
      </c>
      <c r="N224" s="13">
        <f t="shared" si="16"/>
        <v>52687</v>
      </c>
      <c r="O224" s="13">
        <f t="shared" si="17"/>
        <v>52687</v>
      </c>
      <c r="P224" s="24">
        <v>0</v>
      </c>
      <c r="V224">
        <v>1</v>
      </c>
      <c r="W224" t="s">
        <v>33</v>
      </c>
      <c r="Y224" t="s">
        <v>33</v>
      </c>
      <c r="Z224" t="s">
        <v>34</v>
      </c>
      <c r="AA224">
        <v>1</v>
      </c>
    </row>
    <row r="225" spans="1:27" x14ac:dyDescent="0.35">
      <c r="A225" s="13">
        <f t="shared" si="13"/>
        <v>45930</v>
      </c>
      <c r="B225">
        <v>1</v>
      </c>
      <c r="D225" s="14" t="s">
        <v>31</v>
      </c>
      <c r="E225" s="15" t="s">
        <v>32</v>
      </c>
      <c r="F225" s="16" t="s">
        <v>32</v>
      </c>
      <c r="G225" s="17"/>
      <c r="H225" s="85" t="s">
        <v>59</v>
      </c>
      <c r="I225" s="85" t="s">
        <v>161</v>
      </c>
      <c r="K225" s="20">
        <f t="shared" ref="K225:K288" si="18">K224+1</f>
        <v>223</v>
      </c>
      <c r="M225" s="13">
        <f t="shared" si="15"/>
        <v>52717</v>
      </c>
      <c r="N225" s="13">
        <f t="shared" si="16"/>
        <v>52717</v>
      </c>
      <c r="O225" s="13">
        <f t="shared" si="17"/>
        <v>52717</v>
      </c>
      <c r="P225" s="24">
        <v>0</v>
      </c>
      <c r="V225">
        <v>1</v>
      </c>
      <c r="W225" t="s">
        <v>33</v>
      </c>
      <c r="Y225" t="s">
        <v>33</v>
      </c>
      <c r="Z225" t="s">
        <v>34</v>
      </c>
      <c r="AA225">
        <v>1</v>
      </c>
    </row>
    <row r="226" spans="1:27" x14ac:dyDescent="0.35">
      <c r="A226" s="13">
        <f t="shared" si="13"/>
        <v>45930</v>
      </c>
      <c r="B226">
        <v>1</v>
      </c>
      <c r="D226" s="14" t="s">
        <v>31</v>
      </c>
      <c r="E226" s="15" t="s">
        <v>32</v>
      </c>
      <c r="F226" s="16" t="s">
        <v>32</v>
      </c>
      <c r="G226" s="17"/>
      <c r="H226" s="85" t="s">
        <v>59</v>
      </c>
      <c r="I226" s="85" t="s">
        <v>161</v>
      </c>
      <c r="K226" s="20">
        <f t="shared" si="18"/>
        <v>224</v>
      </c>
      <c r="M226" s="13">
        <f t="shared" si="15"/>
        <v>52748</v>
      </c>
      <c r="N226" s="13">
        <f t="shared" si="16"/>
        <v>52748</v>
      </c>
      <c r="O226" s="13">
        <f t="shared" si="17"/>
        <v>52748</v>
      </c>
      <c r="P226" s="24">
        <v>0</v>
      </c>
      <c r="V226">
        <v>1</v>
      </c>
      <c r="W226" t="s">
        <v>33</v>
      </c>
      <c r="Y226" t="s">
        <v>33</v>
      </c>
      <c r="Z226" t="s">
        <v>34</v>
      </c>
      <c r="AA226">
        <v>1</v>
      </c>
    </row>
    <row r="227" spans="1:27" x14ac:dyDescent="0.35">
      <c r="A227" s="13">
        <f t="shared" si="13"/>
        <v>45930</v>
      </c>
      <c r="B227">
        <v>1</v>
      </c>
      <c r="D227" s="14" t="s">
        <v>31</v>
      </c>
      <c r="E227" s="15" t="s">
        <v>32</v>
      </c>
      <c r="F227" s="16" t="s">
        <v>32</v>
      </c>
      <c r="G227" s="17"/>
      <c r="H227" s="85" t="s">
        <v>59</v>
      </c>
      <c r="I227" s="85" t="s">
        <v>161</v>
      </c>
      <c r="K227" s="20">
        <f t="shared" si="18"/>
        <v>225</v>
      </c>
      <c r="M227" s="13">
        <f t="shared" si="15"/>
        <v>52778</v>
      </c>
      <c r="N227" s="13">
        <f t="shared" si="16"/>
        <v>52778</v>
      </c>
      <c r="O227" s="13">
        <f t="shared" si="17"/>
        <v>52778</v>
      </c>
      <c r="P227" s="24">
        <v>0</v>
      </c>
      <c r="V227">
        <v>1</v>
      </c>
      <c r="W227" t="s">
        <v>33</v>
      </c>
      <c r="Y227" t="s">
        <v>33</v>
      </c>
      <c r="Z227" t="s">
        <v>34</v>
      </c>
      <c r="AA227">
        <v>1</v>
      </c>
    </row>
    <row r="228" spans="1:27" x14ac:dyDescent="0.35">
      <c r="A228" s="13">
        <f t="shared" si="13"/>
        <v>45930</v>
      </c>
      <c r="B228">
        <v>1</v>
      </c>
      <c r="D228" s="14" t="s">
        <v>31</v>
      </c>
      <c r="E228" s="15" t="s">
        <v>32</v>
      </c>
      <c r="F228" s="16" t="s">
        <v>32</v>
      </c>
      <c r="G228" s="17"/>
      <c r="H228" s="85" t="s">
        <v>59</v>
      </c>
      <c r="I228" s="85" t="s">
        <v>161</v>
      </c>
      <c r="K228" s="20">
        <f t="shared" si="18"/>
        <v>226</v>
      </c>
      <c r="M228" s="13">
        <f t="shared" si="15"/>
        <v>52809</v>
      </c>
      <c r="N228" s="13">
        <f t="shared" si="16"/>
        <v>52809</v>
      </c>
      <c r="O228" s="13">
        <f t="shared" si="17"/>
        <v>52809</v>
      </c>
      <c r="P228" s="24">
        <v>0</v>
      </c>
      <c r="V228">
        <v>1</v>
      </c>
      <c r="W228" t="s">
        <v>33</v>
      </c>
      <c r="Y228" t="s">
        <v>33</v>
      </c>
      <c r="Z228" t="s">
        <v>34</v>
      </c>
      <c r="AA228">
        <v>1</v>
      </c>
    </row>
    <row r="229" spans="1:27" x14ac:dyDescent="0.35">
      <c r="A229" s="13">
        <f t="shared" si="13"/>
        <v>45930</v>
      </c>
      <c r="B229">
        <v>1</v>
      </c>
      <c r="D229" s="14" t="s">
        <v>31</v>
      </c>
      <c r="E229" s="15" t="s">
        <v>32</v>
      </c>
      <c r="F229" s="16" t="s">
        <v>32</v>
      </c>
      <c r="G229" s="17"/>
      <c r="H229" s="85" t="s">
        <v>59</v>
      </c>
      <c r="I229" s="85" t="s">
        <v>161</v>
      </c>
      <c r="K229" s="20">
        <f t="shared" si="18"/>
        <v>227</v>
      </c>
      <c r="M229" s="13">
        <f t="shared" si="15"/>
        <v>52840</v>
      </c>
      <c r="N229" s="13">
        <f t="shared" si="16"/>
        <v>52840</v>
      </c>
      <c r="O229" s="13">
        <f t="shared" si="17"/>
        <v>52840</v>
      </c>
      <c r="P229" s="24">
        <v>0</v>
      </c>
      <c r="V229">
        <v>1</v>
      </c>
      <c r="W229" t="s">
        <v>33</v>
      </c>
      <c r="Y229" t="s">
        <v>33</v>
      </c>
      <c r="Z229" t="s">
        <v>34</v>
      </c>
      <c r="AA229">
        <v>1</v>
      </c>
    </row>
    <row r="230" spans="1:27" x14ac:dyDescent="0.35">
      <c r="A230" s="13">
        <f t="shared" si="13"/>
        <v>45930</v>
      </c>
      <c r="B230">
        <v>1</v>
      </c>
      <c r="D230" s="14" t="s">
        <v>31</v>
      </c>
      <c r="E230" s="15" t="s">
        <v>32</v>
      </c>
      <c r="F230" s="16" t="s">
        <v>32</v>
      </c>
      <c r="G230" s="17"/>
      <c r="H230" s="85" t="s">
        <v>59</v>
      </c>
      <c r="I230" s="85" t="s">
        <v>161</v>
      </c>
      <c r="K230" s="20">
        <f t="shared" si="18"/>
        <v>228</v>
      </c>
      <c r="M230" s="13">
        <f t="shared" si="15"/>
        <v>52870</v>
      </c>
      <c r="N230" s="13">
        <f t="shared" si="16"/>
        <v>52870</v>
      </c>
      <c r="O230" s="13">
        <f t="shared" si="17"/>
        <v>52870</v>
      </c>
      <c r="P230" s="24">
        <v>0</v>
      </c>
      <c r="V230">
        <v>1</v>
      </c>
      <c r="W230" t="s">
        <v>33</v>
      </c>
      <c r="Y230" t="s">
        <v>33</v>
      </c>
      <c r="Z230" t="s">
        <v>34</v>
      </c>
      <c r="AA230">
        <v>1</v>
      </c>
    </row>
    <row r="231" spans="1:27" x14ac:dyDescent="0.35">
      <c r="A231" s="13">
        <f t="shared" si="13"/>
        <v>45930</v>
      </c>
      <c r="B231">
        <v>1</v>
      </c>
      <c r="D231" s="14" t="s">
        <v>31</v>
      </c>
      <c r="E231" s="15" t="s">
        <v>32</v>
      </c>
      <c r="F231" s="16" t="s">
        <v>32</v>
      </c>
      <c r="G231" s="17"/>
      <c r="H231" s="85" t="s">
        <v>59</v>
      </c>
      <c r="I231" s="85" t="s">
        <v>161</v>
      </c>
      <c r="K231" s="20">
        <f t="shared" si="18"/>
        <v>229</v>
      </c>
      <c r="M231" s="13">
        <f t="shared" si="15"/>
        <v>52901</v>
      </c>
      <c r="N231" s="13">
        <f t="shared" si="16"/>
        <v>52901</v>
      </c>
      <c r="O231" s="13">
        <f t="shared" si="17"/>
        <v>52901</v>
      </c>
      <c r="P231" s="24">
        <v>0</v>
      </c>
      <c r="V231">
        <v>1</v>
      </c>
      <c r="W231" t="s">
        <v>33</v>
      </c>
      <c r="Y231" t="s">
        <v>33</v>
      </c>
      <c r="Z231" t="s">
        <v>34</v>
      </c>
      <c r="AA231">
        <v>1</v>
      </c>
    </row>
    <row r="232" spans="1:27" x14ac:dyDescent="0.35">
      <c r="A232" s="13">
        <f t="shared" si="13"/>
        <v>45930</v>
      </c>
      <c r="B232">
        <v>1</v>
      </c>
      <c r="D232" s="14" t="s">
        <v>31</v>
      </c>
      <c r="E232" s="15" t="s">
        <v>32</v>
      </c>
      <c r="F232" s="16" t="s">
        <v>32</v>
      </c>
      <c r="G232" s="17"/>
      <c r="H232" s="85" t="s">
        <v>59</v>
      </c>
      <c r="I232" s="85" t="s">
        <v>161</v>
      </c>
      <c r="K232" s="20">
        <f t="shared" si="18"/>
        <v>230</v>
      </c>
      <c r="M232" s="13">
        <f t="shared" si="15"/>
        <v>52931</v>
      </c>
      <c r="N232" s="13">
        <f t="shared" si="16"/>
        <v>52931</v>
      </c>
      <c r="O232" s="13">
        <f t="shared" si="17"/>
        <v>52931</v>
      </c>
      <c r="P232" s="24">
        <v>0</v>
      </c>
      <c r="V232">
        <v>1</v>
      </c>
      <c r="W232" t="s">
        <v>33</v>
      </c>
      <c r="Y232" t="s">
        <v>33</v>
      </c>
      <c r="Z232" t="s">
        <v>34</v>
      </c>
      <c r="AA232">
        <v>1</v>
      </c>
    </row>
    <row r="233" spans="1:27" x14ac:dyDescent="0.35">
      <c r="A233" s="13">
        <f t="shared" si="13"/>
        <v>45930</v>
      </c>
      <c r="B233">
        <v>1</v>
      </c>
      <c r="D233" s="14" t="s">
        <v>31</v>
      </c>
      <c r="E233" s="15" t="s">
        <v>32</v>
      </c>
      <c r="F233" s="16" t="s">
        <v>32</v>
      </c>
      <c r="G233" s="17"/>
      <c r="H233" s="85" t="s">
        <v>59</v>
      </c>
      <c r="I233" s="85" t="s">
        <v>161</v>
      </c>
      <c r="K233" s="20">
        <f t="shared" si="18"/>
        <v>231</v>
      </c>
      <c r="M233" s="13">
        <f t="shared" si="15"/>
        <v>52962</v>
      </c>
      <c r="N233" s="13">
        <f t="shared" si="16"/>
        <v>52962</v>
      </c>
      <c r="O233" s="13">
        <f t="shared" si="17"/>
        <v>52962</v>
      </c>
      <c r="P233" s="24">
        <v>0</v>
      </c>
      <c r="V233">
        <v>1</v>
      </c>
      <c r="W233" t="s">
        <v>33</v>
      </c>
      <c r="Y233" t="s">
        <v>33</v>
      </c>
      <c r="Z233" t="s">
        <v>34</v>
      </c>
      <c r="AA233">
        <v>1</v>
      </c>
    </row>
    <row r="234" spans="1:27" x14ac:dyDescent="0.35">
      <c r="A234" s="13">
        <f t="shared" si="13"/>
        <v>45930</v>
      </c>
      <c r="B234">
        <v>1</v>
      </c>
      <c r="D234" s="14" t="s">
        <v>31</v>
      </c>
      <c r="E234" s="15" t="s">
        <v>32</v>
      </c>
      <c r="F234" s="16" t="s">
        <v>32</v>
      </c>
      <c r="G234" s="17"/>
      <c r="H234" s="85" t="s">
        <v>59</v>
      </c>
      <c r="I234" s="85" t="s">
        <v>161</v>
      </c>
      <c r="K234" s="20">
        <f t="shared" si="18"/>
        <v>232</v>
      </c>
      <c r="M234" s="13">
        <f t="shared" si="15"/>
        <v>52993</v>
      </c>
      <c r="N234" s="13">
        <f t="shared" si="16"/>
        <v>52993</v>
      </c>
      <c r="O234" s="13">
        <f t="shared" si="17"/>
        <v>52993</v>
      </c>
      <c r="P234" s="24">
        <v>0</v>
      </c>
      <c r="V234">
        <v>1</v>
      </c>
      <c r="W234" t="s">
        <v>33</v>
      </c>
      <c r="Y234" t="s">
        <v>33</v>
      </c>
      <c r="Z234" t="s">
        <v>34</v>
      </c>
      <c r="AA234">
        <v>1</v>
      </c>
    </row>
    <row r="235" spans="1:27" x14ac:dyDescent="0.35">
      <c r="A235" s="13">
        <f t="shared" si="13"/>
        <v>45930</v>
      </c>
      <c r="B235">
        <v>1</v>
      </c>
      <c r="D235" s="14" t="s">
        <v>31</v>
      </c>
      <c r="E235" s="15" t="s">
        <v>32</v>
      </c>
      <c r="F235" s="16" t="s">
        <v>32</v>
      </c>
      <c r="G235" s="17"/>
      <c r="H235" s="85" t="s">
        <v>59</v>
      </c>
      <c r="I235" s="85" t="s">
        <v>161</v>
      </c>
      <c r="K235" s="20">
        <f t="shared" si="18"/>
        <v>233</v>
      </c>
      <c r="M235" s="13">
        <f t="shared" si="15"/>
        <v>53021</v>
      </c>
      <c r="N235" s="13">
        <f t="shared" si="16"/>
        <v>53021</v>
      </c>
      <c r="O235" s="13">
        <f t="shared" si="17"/>
        <v>53021</v>
      </c>
      <c r="P235" s="24">
        <v>0</v>
      </c>
      <c r="V235">
        <v>1</v>
      </c>
      <c r="W235" t="s">
        <v>33</v>
      </c>
      <c r="Y235" t="s">
        <v>33</v>
      </c>
      <c r="Z235" t="s">
        <v>34</v>
      </c>
      <c r="AA235">
        <v>1</v>
      </c>
    </row>
    <row r="236" spans="1:27" x14ac:dyDescent="0.35">
      <c r="A236" s="13">
        <f t="shared" si="13"/>
        <v>45930</v>
      </c>
      <c r="B236">
        <v>1</v>
      </c>
      <c r="D236" s="14" t="s">
        <v>31</v>
      </c>
      <c r="E236" s="15" t="s">
        <v>32</v>
      </c>
      <c r="F236" s="16" t="s">
        <v>32</v>
      </c>
      <c r="G236" s="17"/>
      <c r="H236" s="85" t="s">
        <v>59</v>
      </c>
      <c r="I236" s="85" t="s">
        <v>161</v>
      </c>
      <c r="K236" s="20">
        <f t="shared" si="18"/>
        <v>234</v>
      </c>
      <c r="M236" s="13">
        <f t="shared" si="15"/>
        <v>53052</v>
      </c>
      <c r="N236" s="13">
        <f t="shared" si="16"/>
        <v>53052</v>
      </c>
      <c r="O236" s="13">
        <f t="shared" si="17"/>
        <v>53052</v>
      </c>
      <c r="P236" s="24">
        <v>0</v>
      </c>
      <c r="V236">
        <v>1</v>
      </c>
      <c r="W236" t="s">
        <v>33</v>
      </c>
      <c r="Y236" t="s">
        <v>33</v>
      </c>
      <c r="Z236" t="s">
        <v>34</v>
      </c>
      <c r="AA236">
        <v>1</v>
      </c>
    </row>
    <row r="237" spans="1:27" x14ac:dyDescent="0.35">
      <c r="A237" s="13">
        <f t="shared" si="13"/>
        <v>45930</v>
      </c>
      <c r="B237">
        <v>1</v>
      </c>
      <c r="D237" s="14" t="s">
        <v>31</v>
      </c>
      <c r="E237" s="15" t="s">
        <v>32</v>
      </c>
      <c r="F237" s="16" t="s">
        <v>32</v>
      </c>
      <c r="G237" s="17"/>
      <c r="H237" s="85" t="s">
        <v>59</v>
      </c>
      <c r="I237" s="85" t="s">
        <v>161</v>
      </c>
      <c r="K237" s="20">
        <f t="shared" si="18"/>
        <v>235</v>
      </c>
      <c r="M237" s="13">
        <f t="shared" si="15"/>
        <v>53082</v>
      </c>
      <c r="N237" s="13">
        <f t="shared" si="16"/>
        <v>53082</v>
      </c>
      <c r="O237" s="13">
        <f t="shared" si="17"/>
        <v>53082</v>
      </c>
      <c r="P237" s="24">
        <v>0</v>
      </c>
      <c r="V237">
        <v>1</v>
      </c>
      <c r="W237" t="s">
        <v>33</v>
      </c>
      <c r="Y237" t="s">
        <v>33</v>
      </c>
      <c r="Z237" t="s">
        <v>34</v>
      </c>
      <c r="AA237">
        <v>1</v>
      </c>
    </row>
    <row r="238" spans="1:27" x14ac:dyDescent="0.35">
      <c r="A238" s="13">
        <f t="shared" si="13"/>
        <v>45930</v>
      </c>
      <c r="B238">
        <v>1</v>
      </c>
      <c r="D238" s="14" t="s">
        <v>31</v>
      </c>
      <c r="E238" s="15" t="s">
        <v>32</v>
      </c>
      <c r="F238" s="16" t="s">
        <v>32</v>
      </c>
      <c r="G238" s="17"/>
      <c r="H238" s="85" t="s">
        <v>59</v>
      </c>
      <c r="I238" s="85" t="s">
        <v>161</v>
      </c>
      <c r="K238" s="20">
        <f t="shared" si="18"/>
        <v>236</v>
      </c>
      <c r="M238" s="13">
        <f t="shared" si="15"/>
        <v>53113</v>
      </c>
      <c r="N238" s="13">
        <f t="shared" si="16"/>
        <v>53113</v>
      </c>
      <c r="O238" s="13">
        <f t="shared" si="17"/>
        <v>53113</v>
      </c>
      <c r="P238" s="24">
        <v>0</v>
      </c>
      <c r="V238">
        <v>1</v>
      </c>
      <c r="W238" t="s">
        <v>33</v>
      </c>
      <c r="Y238" t="s">
        <v>33</v>
      </c>
      <c r="Z238" t="s">
        <v>34</v>
      </c>
      <c r="AA238">
        <v>1</v>
      </c>
    </row>
    <row r="239" spans="1:27" x14ac:dyDescent="0.35">
      <c r="A239" s="13">
        <f t="shared" si="13"/>
        <v>45930</v>
      </c>
      <c r="B239">
        <v>1</v>
      </c>
      <c r="D239" s="14" t="s">
        <v>31</v>
      </c>
      <c r="E239" s="15" t="s">
        <v>32</v>
      </c>
      <c r="F239" s="16" t="s">
        <v>32</v>
      </c>
      <c r="G239" s="17"/>
      <c r="H239" s="85" t="s">
        <v>59</v>
      </c>
      <c r="I239" s="85" t="s">
        <v>161</v>
      </c>
      <c r="K239" s="20">
        <f t="shared" si="18"/>
        <v>237</v>
      </c>
      <c r="M239" s="13">
        <f t="shared" si="15"/>
        <v>53143</v>
      </c>
      <c r="N239" s="13">
        <f t="shared" si="16"/>
        <v>53143</v>
      </c>
      <c r="O239" s="13">
        <f t="shared" si="17"/>
        <v>53143</v>
      </c>
      <c r="P239" s="24">
        <v>0</v>
      </c>
      <c r="V239">
        <v>1</v>
      </c>
      <c r="W239" t="s">
        <v>33</v>
      </c>
      <c r="Y239" t="s">
        <v>33</v>
      </c>
      <c r="Z239" t="s">
        <v>34</v>
      </c>
      <c r="AA239">
        <v>1</v>
      </c>
    </row>
    <row r="240" spans="1:27" x14ac:dyDescent="0.35">
      <c r="A240" s="13">
        <f t="shared" si="13"/>
        <v>45930</v>
      </c>
      <c r="B240">
        <v>1</v>
      </c>
      <c r="D240" s="14" t="s">
        <v>31</v>
      </c>
      <c r="E240" s="15" t="s">
        <v>32</v>
      </c>
      <c r="F240" s="16" t="s">
        <v>32</v>
      </c>
      <c r="G240" s="17"/>
      <c r="H240" s="85" t="s">
        <v>59</v>
      </c>
      <c r="I240" s="85" t="s">
        <v>161</v>
      </c>
      <c r="K240" s="20">
        <f t="shared" si="18"/>
        <v>238</v>
      </c>
      <c r="M240" s="13">
        <f t="shared" si="15"/>
        <v>53174</v>
      </c>
      <c r="N240" s="13">
        <f t="shared" si="16"/>
        <v>53174</v>
      </c>
      <c r="O240" s="13">
        <f t="shared" si="17"/>
        <v>53174</v>
      </c>
      <c r="P240" s="24">
        <v>0</v>
      </c>
      <c r="V240">
        <v>1</v>
      </c>
      <c r="W240" t="s">
        <v>33</v>
      </c>
      <c r="Y240" t="s">
        <v>33</v>
      </c>
      <c r="Z240" t="s">
        <v>34</v>
      </c>
      <c r="AA240">
        <v>1</v>
      </c>
    </row>
    <row r="241" spans="1:27" x14ac:dyDescent="0.35">
      <c r="A241" s="13">
        <f t="shared" si="13"/>
        <v>45930</v>
      </c>
      <c r="B241">
        <v>1</v>
      </c>
      <c r="D241" s="14" t="s">
        <v>31</v>
      </c>
      <c r="E241" s="15" t="s">
        <v>32</v>
      </c>
      <c r="F241" s="16" t="s">
        <v>32</v>
      </c>
      <c r="G241" s="17"/>
      <c r="H241" s="85" t="s">
        <v>59</v>
      </c>
      <c r="I241" s="85" t="s">
        <v>161</v>
      </c>
      <c r="K241" s="20">
        <f t="shared" si="18"/>
        <v>239</v>
      </c>
      <c r="M241" s="13">
        <f t="shared" si="15"/>
        <v>53205</v>
      </c>
      <c r="N241" s="13">
        <f t="shared" si="16"/>
        <v>53205</v>
      </c>
      <c r="O241" s="13">
        <f t="shared" si="17"/>
        <v>53205</v>
      </c>
      <c r="P241" s="24">
        <v>0</v>
      </c>
      <c r="V241">
        <v>1</v>
      </c>
      <c r="W241" t="s">
        <v>33</v>
      </c>
      <c r="Y241" t="s">
        <v>33</v>
      </c>
      <c r="Z241" t="s">
        <v>34</v>
      </c>
      <c r="AA241">
        <v>1</v>
      </c>
    </row>
    <row r="242" spans="1:27" x14ac:dyDescent="0.35">
      <c r="A242" s="13">
        <f t="shared" si="13"/>
        <v>45930</v>
      </c>
      <c r="B242">
        <v>1</v>
      </c>
      <c r="D242" s="14" t="s">
        <v>31</v>
      </c>
      <c r="E242" s="15" t="s">
        <v>32</v>
      </c>
      <c r="F242" s="16" t="s">
        <v>32</v>
      </c>
      <c r="G242" s="17"/>
      <c r="H242" s="85" t="s">
        <v>59</v>
      </c>
      <c r="I242" s="85" t="s">
        <v>161</v>
      </c>
      <c r="K242" s="20">
        <f t="shared" si="18"/>
        <v>240</v>
      </c>
      <c r="M242" s="13">
        <f t="shared" si="15"/>
        <v>53235</v>
      </c>
      <c r="N242" s="13">
        <f t="shared" si="16"/>
        <v>53235</v>
      </c>
      <c r="O242" s="13">
        <f t="shared" si="17"/>
        <v>53235</v>
      </c>
      <c r="P242" s="24">
        <v>0</v>
      </c>
      <c r="V242">
        <v>1</v>
      </c>
      <c r="W242" t="s">
        <v>33</v>
      </c>
      <c r="Y242" t="s">
        <v>33</v>
      </c>
      <c r="Z242" t="s">
        <v>34</v>
      </c>
      <c r="AA242">
        <v>1</v>
      </c>
    </row>
    <row r="243" spans="1:27" x14ac:dyDescent="0.35">
      <c r="A243" s="13">
        <f t="shared" si="13"/>
        <v>45930</v>
      </c>
      <c r="B243">
        <v>1</v>
      </c>
      <c r="D243" s="14" t="s">
        <v>31</v>
      </c>
      <c r="E243" s="15" t="s">
        <v>32</v>
      </c>
      <c r="F243" s="16" t="s">
        <v>32</v>
      </c>
      <c r="G243" s="17"/>
      <c r="H243" s="85" t="s">
        <v>59</v>
      </c>
      <c r="I243" s="85" t="s">
        <v>161</v>
      </c>
      <c r="K243" s="20">
        <f t="shared" si="18"/>
        <v>241</v>
      </c>
      <c r="M243" s="13">
        <f t="shared" si="15"/>
        <v>53266</v>
      </c>
      <c r="N243" s="13">
        <f t="shared" si="16"/>
        <v>53266</v>
      </c>
      <c r="O243" s="13">
        <f t="shared" si="17"/>
        <v>53266</v>
      </c>
      <c r="P243" s="24">
        <v>0</v>
      </c>
      <c r="V243">
        <v>1</v>
      </c>
      <c r="W243" t="s">
        <v>33</v>
      </c>
      <c r="Y243" t="s">
        <v>33</v>
      </c>
      <c r="Z243" t="s">
        <v>34</v>
      </c>
      <c r="AA243">
        <v>1</v>
      </c>
    </row>
    <row r="244" spans="1:27" x14ac:dyDescent="0.35">
      <c r="A244" s="13">
        <f t="shared" si="13"/>
        <v>45930</v>
      </c>
      <c r="B244">
        <v>1</v>
      </c>
      <c r="D244" s="14" t="s">
        <v>31</v>
      </c>
      <c r="E244" s="15" t="s">
        <v>32</v>
      </c>
      <c r="F244" s="16" t="s">
        <v>32</v>
      </c>
      <c r="G244" s="17"/>
      <c r="H244" s="85" t="s">
        <v>59</v>
      </c>
      <c r="I244" s="85" t="s">
        <v>161</v>
      </c>
      <c r="K244" s="20">
        <f t="shared" si="18"/>
        <v>242</v>
      </c>
      <c r="M244" s="13">
        <f t="shared" si="15"/>
        <v>53296</v>
      </c>
      <c r="N244" s="13">
        <f t="shared" si="16"/>
        <v>53296</v>
      </c>
      <c r="O244" s="13">
        <f t="shared" si="17"/>
        <v>53296</v>
      </c>
      <c r="P244" s="24">
        <v>0</v>
      </c>
      <c r="V244">
        <v>1</v>
      </c>
      <c r="W244" t="s">
        <v>33</v>
      </c>
      <c r="Y244" t="s">
        <v>33</v>
      </c>
      <c r="Z244" t="s">
        <v>34</v>
      </c>
      <c r="AA244">
        <v>1</v>
      </c>
    </row>
    <row r="245" spans="1:27" x14ac:dyDescent="0.35">
      <c r="A245" s="13">
        <f t="shared" si="13"/>
        <v>45930</v>
      </c>
      <c r="B245">
        <v>1</v>
      </c>
      <c r="D245" s="14" t="s">
        <v>31</v>
      </c>
      <c r="E245" s="15" t="s">
        <v>32</v>
      </c>
      <c r="F245" s="16" t="s">
        <v>32</v>
      </c>
      <c r="G245" s="17"/>
      <c r="H245" s="85" t="s">
        <v>59</v>
      </c>
      <c r="I245" s="85" t="s">
        <v>161</v>
      </c>
      <c r="K245" s="20">
        <f t="shared" si="18"/>
        <v>243</v>
      </c>
      <c r="M245" s="13">
        <f t="shared" si="15"/>
        <v>53327</v>
      </c>
      <c r="N245" s="13">
        <f t="shared" si="16"/>
        <v>53327</v>
      </c>
      <c r="O245" s="13">
        <f t="shared" si="17"/>
        <v>53327</v>
      </c>
      <c r="P245" s="24">
        <v>0</v>
      </c>
      <c r="V245">
        <v>1</v>
      </c>
      <c r="W245" t="s">
        <v>33</v>
      </c>
      <c r="Y245" t="s">
        <v>33</v>
      </c>
      <c r="Z245" t="s">
        <v>34</v>
      </c>
      <c r="AA245">
        <v>1</v>
      </c>
    </row>
    <row r="246" spans="1:27" x14ac:dyDescent="0.35">
      <c r="A246" s="13">
        <f t="shared" si="13"/>
        <v>45930</v>
      </c>
      <c r="B246">
        <v>1</v>
      </c>
      <c r="D246" s="14" t="s">
        <v>31</v>
      </c>
      <c r="E246" s="15" t="s">
        <v>32</v>
      </c>
      <c r="F246" s="16" t="s">
        <v>32</v>
      </c>
      <c r="G246" s="17"/>
      <c r="H246" s="85" t="s">
        <v>59</v>
      </c>
      <c r="I246" s="85" t="s">
        <v>161</v>
      </c>
      <c r="K246" s="20">
        <f t="shared" si="18"/>
        <v>244</v>
      </c>
      <c r="M246" s="13">
        <f t="shared" si="15"/>
        <v>53358</v>
      </c>
      <c r="N246" s="13">
        <f t="shared" si="16"/>
        <v>53358</v>
      </c>
      <c r="O246" s="13">
        <f t="shared" si="17"/>
        <v>53358</v>
      </c>
      <c r="P246" s="24">
        <v>0</v>
      </c>
      <c r="V246">
        <v>1</v>
      </c>
      <c r="W246" t="s">
        <v>33</v>
      </c>
      <c r="Y246" t="s">
        <v>33</v>
      </c>
      <c r="Z246" t="s">
        <v>34</v>
      </c>
      <c r="AA246">
        <v>1</v>
      </c>
    </row>
    <row r="247" spans="1:27" x14ac:dyDescent="0.35">
      <c r="A247" s="13">
        <f t="shared" si="13"/>
        <v>45930</v>
      </c>
      <c r="B247">
        <v>1</v>
      </c>
      <c r="D247" s="14" t="s">
        <v>31</v>
      </c>
      <c r="E247" s="15" t="s">
        <v>32</v>
      </c>
      <c r="F247" s="16" t="s">
        <v>32</v>
      </c>
      <c r="G247" s="17"/>
      <c r="H247" s="85" t="s">
        <v>59</v>
      </c>
      <c r="I247" s="85" t="s">
        <v>161</v>
      </c>
      <c r="K247" s="20">
        <f t="shared" si="18"/>
        <v>245</v>
      </c>
      <c r="M247" s="13">
        <f t="shared" si="15"/>
        <v>53386</v>
      </c>
      <c r="N247" s="13">
        <f t="shared" si="16"/>
        <v>53386</v>
      </c>
      <c r="O247" s="13">
        <f t="shared" si="17"/>
        <v>53386</v>
      </c>
      <c r="P247" s="24">
        <v>0</v>
      </c>
      <c r="V247">
        <v>1</v>
      </c>
      <c r="W247" t="s">
        <v>33</v>
      </c>
      <c r="Y247" t="s">
        <v>33</v>
      </c>
      <c r="Z247" t="s">
        <v>34</v>
      </c>
      <c r="AA247">
        <v>1</v>
      </c>
    </row>
    <row r="248" spans="1:27" x14ac:dyDescent="0.35">
      <c r="A248" s="13">
        <f t="shared" si="13"/>
        <v>45930</v>
      </c>
      <c r="B248">
        <v>1</v>
      </c>
      <c r="D248" s="14" t="s">
        <v>31</v>
      </c>
      <c r="E248" s="15" t="s">
        <v>32</v>
      </c>
      <c r="F248" s="16" t="s">
        <v>32</v>
      </c>
      <c r="G248" s="17"/>
      <c r="H248" s="85" t="s">
        <v>59</v>
      </c>
      <c r="I248" s="85" t="s">
        <v>161</v>
      </c>
      <c r="K248" s="20">
        <f t="shared" si="18"/>
        <v>246</v>
      </c>
      <c r="M248" s="13">
        <f t="shared" si="15"/>
        <v>53417</v>
      </c>
      <c r="N248" s="13">
        <f t="shared" si="16"/>
        <v>53417</v>
      </c>
      <c r="O248" s="13">
        <f t="shared" si="17"/>
        <v>53417</v>
      </c>
      <c r="P248" s="24">
        <v>0</v>
      </c>
      <c r="V248">
        <v>1</v>
      </c>
      <c r="W248" t="s">
        <v>33</v>
      </c>
      <c r="Y248" t="s">
        <v>33</v>
      </c>
      <c r="Z248" t="s">
        <v>34</v>
      </c>
      <c r="AA248">
        <v>1</v>
      </c>
    </row>
    <row r="249" spans="1:27" x14ac:dyDescent="0.35">
      <c r="A249" s="13">
        <f t="shared" si="13"/>
        <v>45930</v>
      </c>
      <c r="B249">
        <v>1</v>
      </c>
      <c r="D249" s="14" t="s">
        <v>31</v>
      </c>
      <c r="E249" s="15" t="s">
        <v>32</v>
      </c>
      <c r="F249" s="16" t="s">
        <v>32</v>
      </c>
      <c r="G249" s="17"/>
      <c r="H249" s="85" t="s">
        <v>59</v>
      </c>
      <c r="I249" s="85" t="s">
        <v>161</v>
      </c>
      <c r="K249" s="20">
        <f t="shared" si="18"/>
        <v>247</v>
      </c>
      <c r="M249" s="13">
        <f t="shared" si="15"/>
        <v>53447</v>
      </c>
      <c r="N249" s="13">
        <f t="shared" si="16"/>
        <v>53447</v>
      </c>
      <c r="O249" s="13">
        <f t="shared" si="17"/>
        <v>53447</v>
      </c>
      <c r="P249" s="24">
        <v>0</v>
      </c>
      <c r="V249">
        <v>1</v>
      </c>
      <c r="W249" t="s">
        <v>33</v>
      </c>
      <c r="Y249" t="s">
        <v>33</v>
      </c>
      <c r="Z249" t="s">
        <v>34</v>
      </c>
      <c r="AA249">
        <v>1</v>
      </c>
    </row>
    <row r="250" spans="1:27" x14ac:dyDescent="0.35">
      <c r="A250" s="13">
        <f t="shared" si="13"/>
        <v>45930</v>
      </c>
      <c r="B250">
        <v>1</v>
      </c>
      <c r="D250" s="14" t="s">
        <v>31</v>
      </c>
      <c r="E250" s="15" t="s">
        <v>32</v>
      </c>
      <c r="F250" s="16" t="s">
        <v>32</v>
      </c>
      <c r="G250" s="17"/>
      <c r="H250" s="85" t="s">
        <v>59</v>
      </c>
      <c r="I250" s="85" t="s">
        <v>161</v>
      </c>
      <c r="K250" s="20">
        <f t="shared" si="18"/>
        <v>248</v>
      </c>
      <c r="M250" s="13">
        <f t="shared" si="15"/>
        <v>53478</v>
      </c>
      <c r="N250" s="13">
        <f t="shared" si="16"/>
        <v>53478</v>
      </c>
      <c r="O250" s="13">
        <f t="shared" si="17"/>
        <v>53478</v>
      </c>
      <c r="P250" s="24">
        <v>0</v>
      </c>
      <c r="V250">
        <v>1</v>
      </c>
      <c r="W250" t="s">
        <v>33</v>
      </c>
      <c r="Y250" t="s">
        <v>33</v>
      </c>
      <c r="Z250" t="s">
        <v>34</v>
      </c>
      <c r="AA250">
        <v>1</v>
      </c>
    </row>
    <row r="251" spans="1:27" x14ac:dyDescent="0.35">
      <c r="A251" s="13">
        <f t="shared" si="13"/>
        <v>45930</v>
      </c>
      <c r="B251">
        <v>1</v>
      </c>
      <c r="D251" s="14" t="s">
        <v>31</v>
      </c>
      <c r="E251" s="15" t="s">
        <v>32</v>
      </c>
      <c r="F251" s="16" t="s">
        <v>32</v>
      </c>
      <c r="G251" s="17"/>
      <c r="H251" s="85" t="s">
        <v>59</v>
      </c>
      <c r="I251" s="85" t="s">
        <v>161</v>
      </c>
      <c r="K251" s="20">
        <f t="shared" si="18"/>
        <v>249</v>
      </c>
      <c r="M251" s="13">
        <f t="shared" si="15"/>
        <v>53508</v>
      </c>
      <c r="N251" s="13">
        <f t="shared" si="16"/>
        <v>53508</v>
      </c>
      <c r="O251" s="13">
        <f t="shared" si="17"/>
        <v>53508</v>
      </c>
      <c r="P251" s="24">
        <v>0</v>
      </c>
      <c r="V251">
        <v>1</v>
      </c>
      <c r="W251" t="s">
        <v>33</v>
      </c>
      <c r="Y251" t="s">
        <v>33</v>
      </c>
      <c r="Z251" t="s">
        <v>34</v>
      </c>
      <c r="AA251">
        <v>1</v>
      </c>
    </row>
    <row r="252" spans="1:27" x14ac:dyDescent="0.35">
      <c r="A252" s="13">
        <f t="shared" si="13"/>
        <v>45930</v>
      </c>
      <c r="B252">
        <v>1</v>
      </c>
      <c r="D252" s="14" t="s">
        <v>31</v>
      </c>
      <c r="E252" s="15" t="s">
        <v>32</v>
      </c>
      <c r="F252" s="16" t="s">
        <v>32</v>
      </c>
      <c r="G252" s="17"/>
      <c r="H252" s="85" t="s">
        <v>59</v>
      </c>
      <c r="I252" s="85" t="s">
        <v>161</v>
      </c>
      <c r="K252" s="20">
        <f t="shared" si="18"/>
        <v>250</v>
      </c>
      <c r="M252" s="13">
        <f t="shared" si="15"/>
        <v>53539</v>
      </c>
      <c r="N252" s="13">
        <f t="shared" si="16"/>
        <v>53539</v>
      </c>
      <c r="O252" s="13">
        <f t="shared" si="17"/>
        <v>53539</v>
      </c>
      <c r="P252" s="24">
        <v>0</v>
      </c>
      <c r="V252">
        <v>1</v>
      </c>
      <c r="W252" t="s">
        <v>33</v>
      </c>
      <c r="Y252" t="s">
        <v>33</v>
      </c>
      <c r="Z252" t="s">
        <v>34</v>
      </c>
      <c r="AA252">
        <v>1</v>
      </c>
    </row>
    <row r="253" spans="1:27" x14ac:dyDescent="0.35">
      <c r="A253" s="13">
        <f t="shared" si="13"/>
        <v>45930</v>
      </c>
      <c r="B253">
        <v>1</v>
      </c>
      <c r="D253" s="14" t="s">
        <v>31</v>
      </c>
      <c r="E253" s="15" t="s">
        <v>32</v>
      </c>
      <c r="F253" s="16" t="s">
        <v>32</v>
      </c>
      <c r="G253" s="17"/>
      <c r="H253" s="85" t="s">
        <v>59</v>
      </c>
      <c r="I253" s="85" t="s">
        <v>161</v>
      </c>
      <c r="K253" s="20">
        <f t="shared" si="18"/>
        <v>251</v>
      </c>
      <c r="M253" s="13">
        <f t="shared" si="15"/>
        <v>53570</v>
      </c>
      <c r="N253" s="13">
        <f t="shared" si="16"/>
        <v>53570</v>
      </c>
      <c r="O253" s="13">
        <f t="shared" si="17"/>
        <v>53570</v>
      </c>
      <c r="P253" s="24">
        <v>0</v>
      </c>
      <c r="V253">
        <v>1</v>
      </c>
      <c r="W253" t="s">
        <v>33</v>
      </c>
      <c r="Y253" t="s">
        <v>33</v>
      </c>
      <c r="Z253" t="s">
        <v>34</v>
      </c>
      <c r="AA253">
        <v>1</v>
      </c>
    </row>
    <row r="254" spans="1:27" x14ac:dyDescent="0.35">
      <c r="A254" s="13">
        <f t="shared" si="13"/>
        <v>45930</v>
      </c>
      <c r="B254">
        <v>1</v>
      </c>
      <c r="D254" s="14" t="s">
        <v>31</v>
      </c>
      <c r="E254" s="15" t="s">
        <v>32</v>
      </c>
      <c r="F254" s="16" t="s">
        <v>32</v>
      </c>
      <c r="G254" s="17"/>
      <c r="H254" s="85" t="s">
        <v>59</v>
      </c>
      <c r="I254" s="85" t="s">
        <v>161</v>
      </c>
      <c r="K254" s="20">
        <f t="shared" si="18"/>
        <v>252</v>
      </c>
      <c r="M254" s="13">
        <f t="shared" si="15"/>
        <v>53600</v>
      </c>
      <c r="N254" s="13">
        <f t="shared" si="16"/>
        <v>53600</v>
      </c>
      <c r="O254" s="13">
        <f t="shared" si="17"/>
        <v>53600</v>
      </c>
      <c r="P254" s="24">
        <v>0</v>
      </c>
      <c r="V254">
        <v>1</v>
      </c>
      <c r="W254" t="s">
        <v>33</v>
      </c>
      <c r="Y254" t="s">
        <v>33</v>
      </c>
      <c r="Z254" t="s">
        <v>34</v>
      </c>
      <c r="AA254">
        <v>1</v>
      </c>
    </row>
    <row r="255" spans="1:27" x14ac:dyDescent="0.35">
      <c r="A255" s="13">
        <f t="shared" si="13"/>
        <v>45930</v>
      </c>
      <c r="B255">
        <v>1</v>
      </c>
      <c r="D255" s="14" t="s">
        <v>31</v>
      </c>
      <c r="E255" s="15" t="s">
        <v>32</v>
      </c>
      <c r="F255" s="16" t="s">
        <v>32</v>
      </c>
      <c r="G255" s="17"/>
      <c r="H255" s="85" t="s">
        <v>59</v>
      </c>
      <c r="I255" s="85" t="s">
        <v>161</v>
      </c>
      <c r="K255" s="20">
        <f t="shared" si="18"/>
        <v>253</v>
      </c>
      <c r="M255" s="13">
        <f t="shared" si="15"/>
        <v>53631</v>
      </c>
      <c r="N255" s="13">
        <f t="shared" si="16"/>
        <v>53631</v>
      </c>
      <c r="O255" s="13">
        <f t="shared" si="17"/>
        <v>53631</v>
      </c>
      <c r="P255" s="24">
        <v>0</v>
      </c>
      <c r="V255">
        <v>1</v>
      </c>
      <c r="W255" t="s">
        <v>33</v>
      </c>
      <c r="Y255" t="s">
        <v>33</v>
      </c>
      <c r="Z255" t="s">
        <v>34</v>
      </c>
      <c r="AA255">
        <v>1</v>
      </c>
    </row>
    <row r="256" spans="1:27" x14ac:dyDescent="0.35">
      <c r="A256" s="13">
        <f t="shared" si="13"/>
        <v>45930</v>
      </c>
      <c r="B256">
        <v>1</v>
      </c>
      <c r="D256" s="14" t="s">
        <v>31</v>
      </c>
      <c r="E256" s="15" t="s">
        <v>32</v>
      </c>
      <c r="F256" s="16" t="s">
        <v>32</v>
      </c>
      <c r="G256" s="17"/>
      <c r="H256" s="85" t="s">
        <v>59</v>
      </c>
      <c r="I256" s="85" t="s">
        <v>161</v>
      </c>
      <c r="K256" s="20">
        <f t="shared" si="18"/>
        <v>254</v>
      </c>
      <c r="M256" s="13">
        <f t="shared" si="15"/>
        <v>53661</v>
      </c>
      <c r="N256" s="13">
        <f t="shared" si="16"/>
        <v>53661</v>
      </c>
      <c r="O256" s="13">
        <f t="shared" si="17"/>
        <v>53661</v>
      </c>
      <c r="P256" s="24">
        <v>0</v>
      </c>
      <c r="V256">
        <v>1</v>
      </c>
      <c r="W256" t="s">
        <v>33</v>
      </c>
      <c r="Y256" t="s">
        <v>33</v>
      </c>
      <c r="Z256" t="s">
        <v>34</v>
      </c>
      <c r="AA256">
        <v>1</v>
      </c>
    </row>
    <row r="257" spans="1:27" x14ac:dyDescent="0.35">
      <c r="A257" s="13">
        <f t="shared" si="13"/>
        <v>45930</v>
      </c>
      <c r="B257">
        <v>1</v>
      </c>
      <c r="D257" s="14" t="s">
        <v>31</v>
      </c>
      <c r="E257" s="15" t="s">
        <v>32</v>
      </c>
      <c r="F257" s="16" t="s">
        <v>32</v>
      </c>
      <c r="G257" s="17"/>
      <c r="H257" s="85" t="s">
        <v>59</v>
      </c>
      <c r="I257" s="85" t="s">
        <v>161</v>
      </c>
      <c r="K257" s="20">
        <f t="shared" si="18"/>
        <v>255</v>
      </c>
      <c r="M257" s="13">
        <f t="shared" si="15"/>
        <v>53692</v>
      </c>
      <c r="N257" s="13">
        <f t="shared" si="16"/>
        <v>53692</v>
      </c>
      <c r="O257" s="13">
        <f t="shared" si="17"/>
        <v>53692</v>
      </c>
      <c r="P257" s="24">
        <v>0</v>
      </c>
      <c r="V257">
        <v>1</v>
      </c>
      <c r="W257" t="s">
        <v>33</v>
      </c>
      <c r="Y257" t="s">
        <v>33</v>
      </c>
      <c r="Z257" t="s">
        <v>34</v>
      </c>
      <c r="AA257">
        <v>1</v>
      </c>
    </row>
    <row r="258" spans="1:27" x14ac:dyDescent="0.35">
      <c r="A258" s="13">
        <f t="shared" si="13"/>
        <v>45930</v>
      </c>
      <c r="B258">
        <v>1</v>
      </c>
      <c r="D258" s="14" t="s">
        <v>31</v>
      </c>
      <c r="E258" s="15" t="s">
        <v>32</v>
      </c>
      <c r="F258" s="16" t="s">
        <v>32</v>
      </c>
      <c r="G258" s="17"/>
      <c r="H258" s="85" t="s">
        <v>59</v>
      </c>
      <c r="I258" s="85" t="s">
        <v>161</v>
      </c>
      <c r="K258" s="20">
        <f t="shared" si="18"/>
        <v>256</v>
      </c>
      <c r="M258" s="13">
        <f t="shared" si="15"/>
        <v>53723</v>
      </c>
      <c r="N258" s="13">
        <f t="shared" si="16"/>
        <v>53723</v>
      </c>
      <c r="O258" s="13">
        <f t="shared" si="17"/>
        <v>53723</v>
      </c>
      <c r="P258" s="24">
        <v>0</v>
      </c>
      <c r="V258">
        <v>1</v>
      </c>
      <c r="W258" t="s">
        <v>33</v>
      </c>
      <c r="Y258" t="s">
        <v>33</v>
      </c>
      <c r="Z258" t="s">
        <v>34</v>
      </c>
      <c r="AA258">
        <v>1</v>
      </c>
    </row>
    <row r="259" spans="1:27" x14ac:dyDescent="0.35">
      <c r="A259" s="13">
        <f t="shared" si="13"/>
        <v>45930</v>
      </c>
      <c r="B259">
        <v>1</v>
      </c>
      <c r="D259" s="14" t="s">
        <v>31</v>
      </c>
      <c r="E259" s="15" t="s">
        <v>32</v>
      </c>
      <c r="F259" s="16" t="s">
        <v>32</v>
      </c>
      <c r="G259" s="17"/>
      <c r="H259" s="85" t="s">
        <v>59</v>
      </c>
      <c r="I259" s="85" t="s">
        <v>161</v>
      </c>
      <c r="K259" s="20">
        <f t="shared" si="18"/>
        <v>257</v>
      </c>
      <c r="M259" s="13">
        <f t="shared" si="15"/>
        <v>53751</v>
      </c>
      <c r="N259" s="13">
        <f t="shared" si="16"/>
        <v>53751</v>
      </c>
      <c r="O259" s="13">
        <f t="shared" si="17"/>
        <v>53751</v>
      </c>
      <c r="P259" s="24">
        <v>0</v>
      </c>
      <c r="V259">
        <v>1</v>
      </c>
      <c r="W259" t="s">
        <v>33</v>
      </c>
      <c r="Y259" t="s">
        <v>33</v>
      </c>
      <c r="Z259" t="s">
        <v>34</v>
      </c>
      <c r="AA259">
        <v>1</v>
      </c>
    </row>
    <row r="260" spans="1:27" x14ac:dyDescent="0.35">
      <c r="A260" s="13">
        <f t="shared" ref="A260:A296" si="19">A259</f>
        <v>45930</v>
      </c>
      <c r="B260">
        <v>1</v>
      </c>
      <c r="D260" s="14" t="s">
        <v>31</v>
      </c>
      <c r="E260" s="15" t="s">
        <v>32</v>
      </c>
      <c r="F260" s="16" t="s">
        <v>32</v>
      </c>
      <c r="G260" s="17"/>
      <c r="H260" s="85" t="s">
        <v>59</v>
      </c>
      <c r="I260" s="85" t="s">
        <v>161</v>
      </c>
      <c r="K260" s="20">
        <f t="shared" si="18"/>
        <v>258</v>
      </c>
      <c r="M260" s="13">
        <f t="shared" si="15"/>
        <v>53782</v>
      </c>
      <c r="N260" s="13">
        <f t="shared" si="16"/>
        <v>53782</v>
      </c>
      <c r="O260" s="13">
        <f t="shared" si="17"/>
        <v>53782</v>
      </c>
      <c r="P260" s="24">
        <v>0</v>
      </c>
      <c r="V260">
        <v>1</v>
      </c>
      <c r="W260" t="s">
        <v>33</v>
      </c>
      <c r="Y260" t="s">
        <v>33</v>
      </c>
      <c r="Z260" t="s">
        <v>34</v>
      </c>
      <c r="AA260">
        <v>1</v>
      </c>
    </row>
    <row r="261" spans="1:27" x14ac:dyDescent="0.35">
      <c r="A261" s="13">
        <f t="shared" si="19"/>
        <v>45930</v>
      </c>
      <c r="B261">
        <v>1</v>
      </c>
      <c r="D261" s="14" t="s">
        <v>31</v>
      </c>
      <c r="E261" s="15" t="s">
        <v>32</v>
      </c>
      <c r="F261" s="16" t="s">
        <v>32</v>
      </c>
      <c r="G261" s="17"/>
      <c r="H261" s="85" t="s">
        <v>59</v>
      </c>
      <c r="I261" s="85" t="s">
        <v>161</v>
      </c>
      <c r="K261" s="20">
        <f t="shared" si="18"/>
        <v>259</v>
      </c>
      <c r="M261" s="13">
        <f t="shared" ref="M261:M296" si="20">EOMONTH(M260,1)</f>
        <v>53812</v>
      </c>
      <c r="N261" s="13">
        <f t="shared" si="16"/>
        <v>53812</v>
      </c>
      <c r="O261" s="13">
        <f t="shared" si="17"/>
        <v>53812</v>
      </c>
      <c r="P261" s="24">
        <v>0</v>
      </c>
      <c r="V261">
        <v>1</v>
      </c>
      <c r="W261" t="s">
        <v>33</v>
      </c>
      <c r="Y261" t="s">
        <v>33</v>
      </c>
      <c r="Z261" t="s">
        <v>34</v>
      </c>
      <c r="AA261">
        <v>1</v>
      </c>
    </row>
    <row r="262" spans="1:27" x14ac:dyDescent="0.35">
      <c r="A262" s="13">
        <f t="shared" si="19"/>
        <v>45930</v>
      </c>
      <c r="B262">
        <v>1</v>
      </c>
      <c r="D262" s="14" t="s">
        <v>31</v>
      </c>
      <c r="E262" s="15" t="s">
        <v>32</v>
      </c>
      <c r="F262" s="16" t="s">
        <v>32</v>
      </c>
      <c r="G262" s="17"/>
      <c r="H262" s="85" t="s">
        <v>59</v>
      </c>
      <c r="I262" s="85" t="s">
        <v>161</v>
      </c>
      <c r="K262" s="20">
        <f t="shared" si="18"/>
        <v>260</v>
      </c>
      <c r="M262" s="13">
        <f t="shared" si="20"/>
        <v>53843</v>
      </c>
      <c r="N262" s="13">
        <f t="shared" si="16"/>
        <v>53843</v>
      </c>
      <c r="O262" s="13">
        <f t="shared" si="17"/>
        <v>53843</v>
      </c>
      <c r="P262" s="24">
        <v>0</v>
      </c>
      <c r="V262">
        <v>1</v>
      </c>
      <c r="W262" t="s">
        <v>33</v>
      </c>
      <c r="Y262" t="s">
        <v>33</v>
      </c>
      <c r="Z262" t="s">
        <v>34</v>
      </c>
      <c r="AA262">
        <v>1</v>
      </c>
    </row>
    <row r="263" spans="1:27" x14ac:dyDescent="0.35">
      <c r="A263" s="13">
        <f t="shared" si="19"/>
        <v>45930</v>
      </c>
      <c r="B263">
        <v>1</v>
      </c>
      <c r="D263" s="14" t="s">
        <v>31</v>
      </c>
      <c r="E263" s="15" t="s">
        <v>32</v>
      </c>
      <c r="F263" s="16" t="s">
        <v>32</v>
      </c>
      <c r="G263" s="17"/>
      <c r="H263" s="85" t="s">
        <v>59</v>
      </c>
      <c r="I263" s="85" t="s">
        <v>161</v>
      </c>
      <c r="K263" s="20">
        <f t="shared" si="18"/>
        <v>261</v>
      </c>
      <c r="M263" s="13">
        <f t="shared" si="20"/>
        <v>53873</v>
      </c>
      <c r="N263" s="13">
        <f t="shared" si="16"/>
        <v>53873</v>
      </c>
      <c r="O263" s="13">
        <f t="shared" si="17"/>
        <v>53873</v>
      </c>
      <c r="P263" s="24">
        <v>0</v>
      </c>
      <c r="V263">
        <v>1</v>
      </c>
      <c r="W263" t="s">
        <v>33</v>
      </c>
      <c r="Y263" t="s">
        <v>33</v>
      </c>
      <c r="Z263" t="s">
        <v>34</v>
      </c>
      <c r="AA263">
        <v>1</v>
      </c>
    </row>
    <row r="264" spans="1:27" x14ac:dyDescent="0.35">
      <c r="A264" s="13">
        <f t="shared" si="19"/>
        <v>45930</v>
      </c>
      <c r="B264">
        <v>1</v>
      </c>
      <c r="D264" s="14" t="s">
        <v>31</v>
      </c>
      <c r="E264" s="15" t="s">
        <v>32</v>
      </c>
      <c r="F264" s="16" t="s">
        <v>32</v>
      </c>
      <c r="G264" s="17"/>
      <c r="H264" s="85" t="s">
        <v>59</v>
      </c>
      <c r="I264" s="85" t="s">
        <v>161</v>
      </c>
      <c r="K264" s="20">
        <f t="shared" si="18"/>
        <v>262</v>
      </c>
      <c r="M264" s="13">
        <f t="shared" si="20"/>
        <v>53904</v>
      </c>
      <c r="N264" s="13">
        <f t="shared" si="16"/>
        <v>53904</v>
      </c>
      <c r="O264" s="13">
        <f t="shared" si="17"/>
        <v>53904</v>
      </c>
      <c r="P264" s="24">
        <v>0</v>
      </c>
      <c r="V264">
        <v>1</v>
      </c>
      <c r="W264" t="s">
        <v>33</v>
      </c>
      <c r="Y264" t="s">
        <v>33</v>
      </c>
      <c r="Z264" t="s">
        <v>34</v>
      </c>
      <c r="AA264">
        <v>1</v>
      </c>
    </row>
    <row r="265" spans="1:27" x14ac:dyDescent="0.35">
      <c r="A265" s="13">
        <f t="shared" si="19"/>
        <v>45930</v>
      </c>
      <c r="B265">
        <v>1</v>
      </c>
      <c r="D265" s="14" t="s">
        <v>31</v>
      </c>
      <c r="E265" s="15" t="s">
        <v>32</v>
      </c>
      <c r="F265" s="16" t="s">
        <v>32</v>
      </c>
      <c r="G265" s="17"/>
      <c r="H265" s="85" t="s">
        <v>59</v>
      </c>
      <c r="I265" s="85" t="s">
        <v>161</v>
      </c>
      <c r="K265" s="20">
        <f t="shared" si="18"/>
        <v>263</v>
      </c>
      <c r="M265" s="13">
        <f t="shared" si="20"/>
        <v>53935</v>
      </c>
      <c r="N265" s="13">
        <f t="shared" si="16"/>
        <v>53935</v>
      </c>
      <c r="O265" s="13">
        <f t="shared" si="17"/>
        <v>53935</v>
      </c>
      <c r="P265" s="24">
        <v>0</v>
      </c>
      <c r="V265">
        <v>1</v>
      </c>
      <c r="W265" t="s">
        <v>33</v>
      </c>
      <c r="Y265" t="s">
        <v>33</v>
      </c>
      <c r="Z265" t="s">
        <v>34</v>
      </c>
      <c r="AA265">
        <v>1</v>
      </c>
    </row>
    <row r="266" spans="1:27" x14ac:dyDescent="0.35">
      <c r="A266" s="13">
        <f t="shared" si="19"/>
        <v>45930</v>
      </c>
      <c r="B266">
        <v>1</v>
      </c>
      <c r="D266" s="14" t="s">
        <v>31</v>
      </c>
      <c r="E266" s="15" t="s">
        <v>32</v>
      </c>
      <c r="F266" s="16" t="s">
        <v>32</v>
      </c>
      <c r="G266" s="17"/>
      <c r="H266" s="85" t="s">
        <v>59</v>
      </c>
      <c r="I266" s="85" t="s">
        <v>161</v>
      </c>
      <c r="K266" s="20">
        <f t="shared" si="18"/>
        <v>264</v>
      </c>
      <c r="M266" s="13">
        <f t="shared" si="20"/>
        <v>53965</v>
      </c>
      <c r="N266" s="13">
        <f t="shared" si="16"/>
        <v>53965</v>
      </c>
      <c r="O266" s="13">
        <f t="shared" si="17"/>
        <v>53965</v>
      </c>
      <c r="P266" s="24">
        <v>0</v>
      </c>
      <c r="V266">
        <v>1</v>
      </c>
      <c r="W266" t="s">
        <v>33</v>
      </c>
      <c r="Y266" t="s">
        <v>33</v>
      </c>
      <c r="Z266" t="s">
        <v>34</v>
      </c>
      <c r="AA266">
        <v>1</v>
      </c>
    </row>
    <row r="267" spans="1:27" x14ac:dyDescent="0.35">
      <c r="A267" s="13">
        <f t="shared" si="19"/>
        <v>45930</v>
      </c>
      <c r="B267">
        <v>1</v>
      </c>
      <c r="D267" s="14" t="s">
        <v>31</v>
      </c>
      <c r="E267" s="15" t="s">
        <v>32</v>
      </c>
      <c r="F267" s="16" t="s">
        <v>32</v>
      </c>
      <c r="G267" s="17"/>
      <c r="H267" s="85" t="s">
        <v>59</v>
      </c>
      <c r="I267" s="85" t="s">
        <v>161</v>
      </c>
      <c r="K267" s="20">
        <f t="shared" si="18"/>
        <v>265</v>
      </c>
      <c r="M267" s="13">
        <f t="shared" si="20"/>
        <v>53996</v>
      </c>
      <c r="N267" s="13">
        <f t="shared" si="16"/>
        <v>53996</v>
      </c>
      <c r="O267" s="13">
        <f t="shared" si="17"/>
        <v>53996</v>
      </c>
      <c r="P267" s="24">
        <v>0</v>
      </c>
      <c r="V267">
        <v>1</v>
      </c>
      <c r="W267" t="s">
        <v>33</v>
      </c>
      <c r="Y267" t="s">
        <v>33</v>
      </c>
      <c r="Z267" t="s">
        <v>34</v>
      </c>
      <c r="AA267">
        <v>1</v>
      </c>
    </row>
    <row r="268" spans="1:27" x14ac:dyDescent="0.35">
      <c r="A268" s="13">
        <f t="shared" si="19"/>
        <v>45930</v>
      </c>
      <c r="B268">
        <v>1</v>
      </c>
      <c r="D268" s="14" t="s">
        <v>31</v>
      </c>
      <c r="E268" s="15" t="s">
        <v>32</v>
      </c>
      <c r="F268" s="16" t="s">
        <v>32</v>
      </c>
      <c r="G268" s="17"/>
      <c r="H268" s="85" t="s">
        <v>59</v>
      </c>
      <c r="I268" s="85" t="s">
        <v>161</v>
      </c>
      <c r="K268" s="20">
        <f t="shared" si="18"/>
        <v>266</v>
      </c>
      <c r="M268" s="13">
        <f t="shared" si="20"/>
        <v>54026</v>
      </c>
      <c r="N268" s="13">
        <f t="shared" si="16"/>
        <v>54026</v>
      </c>
      <c r="O268" s="13">
        <f t="shared" si="17"/>
        <v>54026</v>
      </c>
      <c r="P268" s="24">
        <v>0</v>
      </c>
      <c r="V268">
        <v>1</v>
      </c>
      <c r="W268" t="s">
        <v>33</v>
      </c>
      <c r="Y268" t="s">
        <v>33</v>
      </c>
      <c r="Z268" t="s">
        <v>34</v>
      </c>
      <c r="AA268">
        <v>1</v>
      </c>
    </row>
    <row r="269" spans="1:27" x14ac:dyDescent="0.35">
      <c r="A269" s="13">
        <f t="shared" si="19"/>
        <v>45930</v>
      </c>
      <c r="B269">
        <v>1</v>
      </c>
      <c r="D269" s="14" t="s">
        <v>31</v>
      </c>
      <c r="E269" s="15" t="s">
        <v>32</v>
      </c>
      <c r="F269" s="16" t="s">
        <v>32</v>
      </c>
      <c r="G269" s="17"/>
      <c r="H269" s="85" t="s">
        <v>59</v>
      </c>
      <c r="I269" s="85" t="s">
        <v>161</v>
      </c>
      <c r="K269" s="20">
        <f t="shared" si="18"/>
        <v>267</v>
      </c>
      <c r="M269" s="13">
        <f t="shared" si="20"/>
        <v>54057</v>
      </c>
      <c r="N269" s="13">
        <f t="shared" si="16"/>
        <v>54057</v>
      </c>
      <c r="O269" s="13">
        <f t="shared" si="17"/>
        <v>54057</v>
      </c>
      <c r="P269" s="24">
        <v>0</v>
      </c>
      <c r="V269">
        <v>1</v>
      </c>
      <c r="W269" t="s">
        <v>33</v>
      </c>
      <c r="Y269" t="s">
        <v>33</v>
      </c>
      <c r="Z269" t="s">
        <v>34</v>
      </c>
      <c r="AA269">
        <v>1</v>
      </c>
    </row>
    <row r="270" spans="1:27" x14ac:dyDescent="0.35">
      <c r="A270" s="13">
        <f t="shared" si="19"/>
        <v>45930</v>
      </c>
      <c r="B270">
        <v>1</v>
      </c>
      <c r="D270" s="14" t="s">
        <v>31</v>
      </c>
      <c r="E270" s="15" t="s">
        <v>32</v>
      </c>
      <c r="F270" s="16" t="s">
        <v>32</v>
      </c>
      <c r="G270" s="17"/>
      <c r="H270" s="85" t="s">
        <v>59</v>
      </c>
      <c r="I270" s="85" t="s">
        <v>161</v>
      </c>
      <c r="K270" s="20">
        <f t="shared" si="18"/>
        <v>268</v>
      </c>
      <c r="M270" s="13">
        <f t="shared" si="20"/>
        <v>54088</v>
      </c>
      <c r="N270" s="13">
        <f t="shared" si="16"/>
        <v>54088</v>
      </c>
      <c r="O270" s="13">
        <f t="shared" si="17"/>
        <v>54088</v>
      </c>
      <c r="P270" s="24">
        <v>0</v>
      </c>
      <c r="V270">
        <v>1</v>
      </c>
      <c r="W270" t="s">
        <v>33</v>
      </c>
      <c r="Y270" t="s">
        <v>33</v>
      </c>
      <c r="Z270" t="s">
        <v>34</v>
      </c>
      <c r="AA270">
        <v>1</v>
      </c>
    </row>
    <row r="271" spans="1:27" x14ac:dyDescent="0.35">
      <c r="A271" s="13">
        <f t="shared" si="19"/>
        <v>45930</v>
      </c>
      <c r="B271">
        <v>1</v>
      </c>
      <c r="D271" s="14" t="s">
        <v>31</v>
      </c>
      <c r="E271" s="15" t="s">
        <v>32</v>
      </c>
      <c r="F271" s="16" t="s">
        <v>32</v>
      </c>
      <c r="G271" s="17"/>
      <c r="H271" s="85" t="s">
        <v>59</v>
      </c>
      <c r="I271" s="85" t="s">
        <v>161</v>
      </c>
      <c r="K271" s="20">
        <f t="shared" si="18"/>
        <v>269</v>
      </c>
      <c r="M271" s="13">
        <f t="shared" si="20"/>
        <v>54117</v>
      </c>
      <c r="N271" s="13">
        <f t="shared" si="16"/>
        <v>54117</v>
      </c>
      <c r="O271" s="13">
        <f t="shared" si="17"/>
        <v>54117</v>
      </c>
      <c r="P271" s="24">
        <v>0</v>
      </c>
      <c r="V271">
        <v>1</v>
      </c>
      <c r="W271" t="s">
        <v>33</v>
      </c>
      <c r="Y271" t="s">
        <v>33</v>
      </c>
      <c r="Z271" t="s">
        <v>34</v>
      </c>
      <c r="AA271">
        <v>1</v>
      </c>
    </row>
    <row r="272" spans="1:27" x14ac:dyDescent="0.35">
      <c r="A272" s="13">
        <f t="shared" si="19"/>
        <v>45930</v>
      </c>
      <c r="B272">
        <v>1</v>
      </c>
      <c r="D272" s="14" t="s">
        <v>31</v>
      </c>
      <c r="E272" s="15" t="s">
        <v>32</v>
      </c>
      <c r="F272" s="16" t="s">
        <v>32</v>
      </c>
      <c r="G272" s="17"/>
      <c r="H272" s="85" t="s">
        <v>59</v>
      </c>
      <c r="I272" s="85" t="s">
        <v>161</v>
      </c>
      <c r="K272" s="20">
        <f t="shared" si="18"/>
        <v>270</v>
      </c>
      <c r="M272" s="13">
        <f t="shared" si="20"/>
        <v>54148</v>
      </c>
      <c r="N272" s="13">
        <f t="shared" si="16"/>
        <v>54148</v>
      </c>
      <c r="O272" s="13">
        <f t="shared" si="17"/>
        <v>54148</v>
      </c>
      <c r="P272" s="24">
        <v>0</v>
      </c>
      <c r="V272">
        <v>1</v>
      </c>
      <c r="W272" t="s">
        <v>33</v>
      </c>
      <c r="Y272" t="s">
        <v>33</v>
      </c>
      <c r="Z272" t="s">
        <v>34</v>
      </c>
      <c r="AA272">
        <v>1</v>
      </c>
    </row>
    <row r="273" spans="1:27" x14ac:dyDescent="0.35">
      <c r="A273" s="13">
        <f t="shared" si="19"/>
        <v>45930</v>
      </c>
      <c r="B273">
        <v>1</v>
      </c>
      <c r="D273" s="14" t="s">
        <v>31</v>
      </c>
      <c r="E273" s="15" t="s">
        <v>32</v>
      </c>
      <c r="F273" s="16" t="s">
        <v>32</v>
      </c>
      <c r="G273" s="17"/>
      <c r="H273" s="85" t="s">
        <v>59</v>
      </c>
      <c r="I273" s="85" t="s">
        <v>161</v>
      </c>
      <c r="K273" s="20">
        <f t="shared" si="18"/>
        <v>271</v>
      </c>
      <c r="M273" s="13">
        <f t="shared" si="20"/>
        <v>54178</v>
      </c>
      <c r="N273" s="13">
        <f t="shared" si="16"/>
        <v>54178</v>
      </c>
      <c r="O273" s="13">
        <f t="shared" si="17"/>
        <v>54178</v>
      </c>
      <c r="P273" s="24">
        <v>0</v>
      </c>
      <c r="V273">
        <v>1</v>
      </c>
      <c r="W273" t="s">
        <v>33</v>
      </c>
      <c r="Y273" t="s">
        <v>33</v>
      </c>
      <c r="Z273" t="s">
        <v>34</v>
      </c>
      <c r="AA273">
        <v>1</v>
      </c>
    </row>
    <row r="274" spans="1:27" x14ac:dyDescent="0.35">
      <c r="A274" s="13">
        <f t="shared" si="19"/>
        <v>45930</v>
      </c>
      <c r="B274">
        <v>1</v>
      </c>
      <c r="D274" s="14" t="s">
        <v>31</v>
      </c>
      <c r="E274" s="15" t="s">
        <v>32</v>
      </c>
      <c r="F274" s="16" t="s">
        <v>32</v>
      </c>
      <c r="G274" s="17"/>
      <c r="H274" s="85" t="s">
        <v>59</v>
      </c>
      <c r="I274" s="85" t="s">
        <v>161</v>
      </c>
      <c r="K274" s="20">
        <f t="shared" si="18"/>
        <v>272</v>
      </c>
      <c r="M274" s="13">
        <f t="shared" si="20"/>
        <v>54209</v>
      </c>
      <c r="N274" s="13">
        <f t="shared" si="16"/>
        <v>54209</v>
      </c>
      <c r="O274" s="13">
        <f t="shared" si="17"/>
        <v>54209</v>
      </c>
      <c r="P274" s="24">
        <v>0</v>
      </c>
      <c r="V274">
        <v>1</v>
      </c>
      <c r="W274" t="s">
        <v>33</v>
      </c>
      <c r="Y274" t="s">
        <v>33</v>
      </c>
      <c r="Z274" t="s">
        <v>34</v>
      </c>
      <c r="AA274">
        <v>1</v>
      </c>
    </row>
    <row r="275" spans="1:27" x14ac:dyDescent="0.35">
      <c r="A275" s="13">
        <f t="shared" si="19"/>
        <v>45930</v>
      </c>
      <c r="B275">
        <v>1</v>
      </c>
      <c r="D275" s="14" t="s">
        <v>31</v>
      </c>
      <c r="E275" s="15" t="s">
        <v>32</v>
      </c>
      <c r="F275" s="16" t="s">
        <v>32</v>
      </c>
      <c r="G275" s="17"/>
      <c r="H275" s="85" t="s">
        <v>59</v>
      </c>
      <c r="I275" s="85" t="s">
        <v>161</v>
      </c>
      <c r="K275" s="20">
        <f t="shared" si="18"/>
        <v>273</v>
      </c>
      <c r="M275" s="13">
        <f t="shared" si="20"/>
        <v>54239</v>
      </c>
      <c r="N275" s="13">
        <f t="shared" si="16"/>
        <v>54239</v>
      </c>
      <c r="O275" s="13">
        <f t="shared" si="17"/>
        <v>54239</v>
      </c>
      <c r="P275" s="24">
        <v>0</v>
      </c>
      <c r="V275">
        <v>1</v>
      </c>
      <c r="W275" t="s">
        <v>33</v>
      </c>
      <c r="Y275" t="s">
        <v>33</v>
      </c>
      <c r="Z275" t="s">
        <v>34</v>
      </c>
      <c r="AA275">
        <v>1</v>
      </c>
    </row>
    <row r="276" spans="1:27" x14ac:dyDescent="0.35">
      <c r="A276" s="13">
        <f t="shared" si="19"/>
        <v>45930</v>
      </c>
      <c r="B276">
        <v>1</v>
      </c>
      <c r="D276" s="14" t="s">
        <v>31</v>
      </c>
      <c r="E276" s="15" t="s">
        <v>32</v>
      </c>
      <c r="F276" s="16" t="s">
        <v>32</v>
      </c>
      <c r="G276" s="17"/>
      <c r="H276" s="85" t="s">
        <v>59</v>
      </c>
      <c r="I276" s="85" t="s">
        <v>161</v>
      </c>
      <c r="K276" s="20">
        <f t="shared" si="18"/>
        <v>274</v>
      </c>
      <c r="M276" s="13">
        <f t="shared" si="20"/>
        <v>54270</v>
      </c>
      <c r="N276" s="13">
        <f t="shared" si="16"/>
        <v>54270</v>
      </c>
      <c r="O276" s="13">
        <f t="shared" si="17"/>
        <v>54270</v>
      </c>
      <c r="P276" s="24">
        <v>0</v>
      </c>
      <c r="V276">
        <v>1</v>
      </c>
      <c r="W276" t="s">
        <v>33</v>
      </c>
      <c r="Y276" t="s">
        <v>33</v>
      </c>
      <c r="Z276" t="s">
        <v>34</v>
      </c>
      <c r="AA276">
        <v>1</v>
      </c>
    </row>
    <row r="277" spans="1:27" x14ac:dyDescent="0.35">
      <c r="A277" s="13">
        <f t="shared" si="19"/>
        <v>45930</v>
      </c>
      <c r="B277">
        <v>1</v>
      </c>
      <c r="D277" s="14" t="s">
        <v>31</v>
      </c>
      <c r="E277" s="15" t="s">
        <v>32</v>
      </c>
      <c r="F277" s="16" t="s">
        <v>32</v>
      </c>
      <c r="G277" s="17"/>
      <c r="H277" s="85" t="s">
        <v>59</v>
      </c>
      <c r="I277" s="85" t="s">
        <v>161</v>
      </c>
      <c r="K277" s="20">
        <f t="shared" si="18"/>
        <v>275</v>
      </c>
      <c r="M277" s="13">
        <f t="shared" si="20"/>
        <v>54301</v>
      </c>
      <c r="N277" s="13">
        <f t="shared" si="16"/>
        <v>54301</v>
      </c>
      <c r="O277" s="13">
        <f t="shared" si="17"/>
        <v>54301</v>
      </c>
      <c r="P277" s="24">
        <v>0</v>
      </c>
      <c r="V277">
        <v>1</v>
      </c>
      <c r="W277" t="s">
        <v>33</v>
      </c>
      <c r="Y277" t="s">
        <v>33</v>
      </c>
      <c r="Z277" t="s">
        <v>34</v>
      </c>
      <c r="AA277">
        <v>1</v>
      </c>
    </row>
    <row r="278" spans="1:27" x14ac:dyDescent="0.35">
      <c r="A278" s="13">
        <f t="shared" si="19"/>
        <v>45930</v>
      </c>
      <c r="B278">
        <v>1</v>
      </c>
      <c r="D278" s="14" t="s">
        <v>31</v>
      </c>
      <c r="E278" s="15" t="s">
        <v>32</v>
      </c>
      <c r="F278" s="16" t="s">
        <v>32</v>
      </c>
      <c r="G278" s="17"/>
      <c r="H278" s="85" t="s">
        <v>59</v>
      </c>
      <c r="I278" s="85" t="s">
        <v>161</v>
      </c>
      <c r="K278" s="20">
        <f t="shared" si="18"/>
        <v>276</v>
      </c>
      <c r="M278" s="13">
        <f t="shared" si="20"/>
        <v>54331</v>
      </c>
      <c r="N278" s="13">
        <f t="shared" si="16"/>
        <v>54331</v>
      </c>
      <c r="O278" s="13">
        <f t="shared" si="17"/>
        <v>54331</v>
      </c>
      <c r="P278" s="24">
        <v>0</v>
      </c>
      <c r="V278">
        <v>1</v>
      </c>
      <c r="W278" t="s">
        <v>33</v>
      </c>
      <c r="Y278" t="s">
        <v>33</v>
      </c>
      <c r="Z278" t="s">
        <v>34</v>
      </c>
      <c r="AA278">
        <v>1</v>
      </c>
    </row>
    <row r="279" spans="1:27" x14ac:dyDescent="0.35">
      <c r="A279" s="13">
        <f t="shared" si="19"/>
        <v>45930</v>
      </c>
      <c r="B279">
        <v>1</v>
      </c>
      <c r="D279" s="14" t="s">
        <v>31</v>
      </c>
      <c r="E279" s="15" t="s">
        <v>32</v>
      </c>
      <c r="F279" s="16" t="s">
        <v>32</v>
      </c>
      <c r="G279" s="17"/>
      <c r="H279" s="85" t="s">
        <v>59</v>
      </c>
      <c r="I279" s="85" t="s">
        <v>161</v>
      </c>
      <c r="K279" s="20">
        <f t="shared" si="18"/>
        <v>277</v>
      </c>
      <c r="M279" s="13">
        <f t="shared" si="20"/>
        <v>54362</v>
      </c>
      <c r="N279" s="13">
        <f t="shared" si="16"/>
        <v>54362</v>
      </c>
      <c r="O279" s="13">
        <f t="shared" si="17"/>
        <v>54362</v>
      </c>
      <c r="P279" s="24">
        <v>0</v>
      </c>
      <c r="V279">
        <v>1</v>
      </c>
      <c r="W279" t="s">
        <v>33</v>
      </c>
      <c r="Y279" t="s">
        <v>33</v>
      </c>
      <c r="Z279" t="s">
        <v>34</v>
      </c>
      <c r="AA279">
        <v>1</v>
      </c>
    </row>
    <row r="280" spans="1:27" x14ac:dyDescent="0.35">
      <c r="A280" s="13">
        <f t="shared" si="19"/>
        <v>45930</v>
      </c>
      <c r="B280">
        <v>1</v>
      </c>
      <c r="D280" s="14" t="s">
        <v>31</v>
      </c>
      <c r="E280" s="15" t="s">
        <v>32</v>
      </c>
      <c r="F280" s="16" t="s">
        <v>32</v>
      </c>
      <c r="G280" s="17"/>
      <c r="H280" s="85" t="s">
        <v>59</v>
      </c>
      <c r="I280" s="85" t="s">
        <v>161</v>
      </c>
      <c r="K280" s="20">
        <f t="shared" si="18"/>
        <v>278</v>
      </c>
      <c r="M280" s="13">
        <f t="shared" si="20"/>
        <v>54392</v>
      </c>
      <c r="N280" s="13">
        <f t="shared" si="16"/>
        <v>54392</v>
      </c>
      <c r="O280" s="13">
        <f t="shared" si="17"/>
        <v>54392</v>
      </c>
      <c r="P280" s="24">
        <v>0</v>
      </c>
      <c r="V280">
        <v>1</v>
      </c>
      <c r="W280" t="s">
        <v>33</v>
      </c>
      <c r="Y280" t="s">
        <v>33</v>
      </c>
      <c r="Z280" t="s">
        <v>34</v>
      </c>
      <c r="AA280">
        <v>1</v>
      </c>
    </row>
    <row r="281" spans="1:27" x14ac:dyDescent="0.35">
      <c r="A281" s="13">
        <f t="shared" si="19"/>
        <v>45930</v>
      </c>
      <c r="B281">
        <v>1</v>
      </c>
      <c r="D281" s="14" t="s">
        <v>31</v>
      </c>
      <c r="E281" s="15" t="s">
        <v>32</v>
      </c>
      <c r="F281" s="16" t="s">
        <v>32</v>
      </c>
      <c r="G281" s="17"/>
      <c r="H281" s="85" t="s">
        <v>59</v>
      </c>
      <c r="I281" s="85" t="s">
        <v>161</v>
      </c>
      <c r="K281" s="20">
        <f t="shared" si="18"/>
        <v>279</v>
      </c>
      <c r="M281" s="13">
        <f t="shared" si="20"/>
        <v>54423</v>
      </c>
      <c r="N281" s="13">
        <f t="shared" si="16"/>
        <v>54423</v>
      </c>
      <c r="O281" s="13">
        <f t="shared" si="17"/>
        <v>54423</v>
      </c>
      <c r="P281" s="24">
        <v>0</v>
      </c>
      <c r="V281">
        <v>1</v>
      </c>
      <c r="W281" t="s">
        <v>33</v>
      </c>
      <c r="Y281" t="s">
        <v>33</v>
      </c>
      <c r="Z281" t="s">
        <v>34</v>
      </c>
      <c r="AA281">
        <v>1</v>
      </c>
    </row>
    <row r="282" spans="1:27" x14ac:dyDescent="0.35">
      <c r="A282" s="13">
        <f t="shared" si="19"/>
        <v>45930</v>
      </c>
      <c r="B282">
        <v>1</v>
      </c>
      <c r="D282" s="14" t="s">
        <v>31</v>
      </c>
      <c r="E282" s="15" t="s">
        <v>32</v>
      </c>
      <c r="F282" s="16" t="s">
        <v>32</v>
      </c>
      <c r="G282" s="17"/>
      <c r="H282" s="85" t="s">
        <v>59</v>
      </c>
      <c r="I282" s="85" t="s">
        <v>161</v>
      </c>
      <c r="K282" s="20">
        <f t="shared" si="18"/>
        <v>280</v>
      </c>
      <c r="M282" s="13">
        <f t="shared" si="20"/>
        <v>54454</v>
      </c>
      <c r="N282" s="13">
        <f t="shared" ref="N282:N296" si="21">M282</f>
        <v>54454</v>
      </c>
      <c r="O282" s="13">
        <f t="shared" ref="O282:O296" si="22">N282</f>
        <v>54454</v>
      </c>
      <c r="P282" s="24">
        <v>0</v>
      </c>
      <c r="V282">
        <v>1</v>
      </c>
      <c r="W282" t="s">
        <v>33</v>
      </c>
      <c r="Y282" t="s">
        <v>33</v>
      </c>
      <c r="Z282" t="s">
        <v>34</v>
      </c>
      <c r="AA282">
        <v>1</v>
      </c>
    </row>
    <row r="283" spans="1:27" x14ac:dyDescent="0.35">
      <c r="A283" s="13">
        <f t="shared" si="19"/>
        <v>45930</v>
      </c>
      <c r="B283">
        <v>1</v>
      </c>
      <c r="D283" s="14" t="s">
        <v>31</v>
      </c>
      <c r="E283" s="15" t="s">
        <v>32</v>
      </c>
      <c r="F283" s="16" t="s">
        <v>32</v>
      </c>
      <c r="G283" s="17"/>
      <c r="H283" s="85" t="s">
        <v>59</v>
      </c>
      <c r="I283" s="85" t="s">
        <v>161</v>
      </c>
      <c r="K283" s="20">
        <f t="shared" si="18"/>
        <v>281</v>
      </c>
      <c r="M283" s="13">
        <f t="shared" si="20"/>
        <v>54482</v>
      </c>
      <c r="N283" s="13">
        <f t="shared" si="21"/>
        <v>54482</v>
      </c>
      <c r="O283" s="13">
        <f t="shared" si="22"/>
        <v>54482</v>
      </c>
      <c r="P283" s="24">
        <v>0</v>
      </c>
      <c r="V283">
        <v>1</v>
      </c>
      <c r="W283" t="s">
        <v>33</v>
      </c>
      <c r="Y283" t="s">
        <v>33</v>
      </c>
      <c r="Z283" t="s">
        <v>34</v>
      </c>
      <c r="AA283">
        <v>1</v>
      </c>
    </row>
    <row r="284" spans="1:27" x14ac:dyDescent="0.35">
      <c r="A284" s="13">
        <f t="shared" si="19"/>
        <v>45930</v>
      </c>
      <c r="B284">
        <v>1</v>
      </c>
      <c r="D284" s="14" t="s">
        <v>31</v>
      </c>
      <c r="E284" s="15" t="s">
        <v>32</v>
      </c>
      <c r="F284" s="16" t="s">
        <v>32</v>
      </c>
      <c r="G284" s="17"/>
      <c r="H284" s="85" t="s">
        <v>59</v>
      </c>
      <c r="I284" s="85" t="s">
        <v>161</v>
      </c>
      <c r="K284" s="20">
        <f t="shared" si="18"/>
        <v>282</v>
      </c>
      <c r="M284" s="13">
        <f t="shared" si="20"/>
        <v>54513</v>
      </c>
      <c r="N284" s="13">
        <f t="shared" si="21"/>
        <v>54513</v>
      </c>
      <c r="O284" s="13">
        <f t="shared" si="22"/>
        <v>54513</v>
      </c>
      <c r="P284" s="24">
        <v>0</v>
      </c>
      <c r="V284">
        <v>1</v>
      </c>
      <c r="W284" t="s">
        <v>33</v>
      </c>
      <c r="Y284" t="s">
        <v>33</v>
      </c>
      <c r="Z284" t="s">
        <v>34</v>
      </c>
      <c r="AA284">
        <v>1</v>
      </c>
    </row>
    <row r="285" spans="1:27" x14ac:dyDescent="0.35">
      <c r="A285" s="13">
        <f t="shared" si="19"/>
        <v>45930</v>
      </c>
      <c r="B285">
        <v>1</v>
      </c>
      <c r="D285" s="14" t="s">
        <v>31</v>
      </c>
      <c r="E285" s="15" t="s">
        <v>32</v>
      </c>
      <c r="F285" s="16" t="s">
        <v>32</v>
      </c>
      <c r="G285" s="17"/>
      <c r="H285" s="85" t="s">
        <v>59</v>
      </c>
      <c r="I285" s="85" t="s">
        <v>161</v>
      </c>
      <c r="K285" s="20">
        <f t="shared" si="18"/>
        <v>283</v>
      </c>
      <c r="M285" s="13">
        <f t="shared" si="20"/>
        <v>54543</v>
      </c>
      <c r="N285" s="13">
        <f t="shared" si="21"/>
        <v>54543</v>
      </c>
      <c r="O285" s="13">
        <f t="shared" si="22"/>
        <v>54543</v>
      </c>
      <c r="P285" s="24">
        <v>0</v>
      </c>
      <c r="V285">
        <v>1</v>
      </c>
      <c r="W285" t="s">
        <v>33</v>
      </c>
      <c r="Y285" t="s">
        <v>33</v>
      </c>
      <c r="Z285" t="s">
        <v>34</v>
      </c>
      <c r="AA285">
        <v>1</v>
      </c>
    </row>
    <row r="286" spans="1:27" x14ac:dyDescent="0.35">
      <c r="A286" s="13">
        <f t="shared" si="19"/>
        <v>45930</v>
      </c>
      <c r="B286">
        <v>1</v>
      </c>
      <c r="D286" s="14" t="s">
        <v>31</v>
      </c>
      <c r="E286" s="15" t="s">
        <v>32</v>
      </c>
      <c r="F286" s="16" t="s">
        <v>32</v>
      </c>
      <c r="G286" s="17"/>
      <c r="H286" s="85" t="s">
        <v>59</v>
      </c>
      <c r="I286" s="85" t="s">
        <v>161</v>
      </c>
      <c r="K286" s="20">
        <f t="shared" si="18"/>
        <v>284</v>
      </c>
      <c r="M286" s="13">
        <f t="shared" si="20"/>
        <v>54574</v>
      </c>
      <c r="N286" s="13">
        <f t="shared" si="21"/>
        <v>54574</v>
      </c>
      <c r="O286" s="13">
        <f t="shared" si="22"/>
        <v>54574</v>
      </c>
      <c r="P286" s="24">
        <v>0</v>
      </c>
      <c r="V286">
        <v>1</v>
      </c>
      <c r="W286" t="s">
        <v>33</v>
      </c>
      <c r="Y286" t="s">
        <v>33</v>
      </c>
      <c r="Z286" t="s">
        <v>34</v>
      </c>
      <c r="AA286">
        <v>1</v>
      </c>
    </row>
    <row r="287" spans="1:27" x14ac:dyDescent="0.35">
      <c r="A287" s="13">
        <f t="shared" si="19"/>
        <v>45930</v>
      </c>
      <c r="B287">
        <v>1</v>
      </c>
      <c r="D287" s="14" t="s">
        <v>31</v>
      </c>
      <c r="E287" s="15" t="s">
        <v>32</v>
      </c>
      <c r="F287" s="16" t="s">
        <v>32</v>
      </c>
      <c r="G287" s="17"/>
      <c r="H287" s="85" t="s">
        <v>59</v>
      </c>
      <c r="I287" s="85" t="s">
        <v>161</v>
      </c>
      <c r="K287" s="20">
        <f t="shared" si="18"/>
        <v>285</v>
      </c>
      <c r="M287" s="13">
        <f t="shared" si="20"/>
        <v>54604</v>
      </c>
      <c r="N287" s="13">
        <f t="shared" si="21"/>
        <v>54604</v>
      </c>
      <c r="O287" s="13">
        <f t="shared" si="22"/>
        <v>54604</v>
      </c>
      <c r="P287" s="24">
        <v>0</v>
      </c>
      <c r="V287">
        <v>1</v>
      </c>
      <c r="W287" t="s">
        <v>33</v>
      </c>
      <c r="Y287" t="s">
        <v>33</v>
      </c>
      <c r="Z287" t="s">
        <v>34</v>
      </c>
      <c r="AA287">
        <v>1</v>
      </c>
    </row>
    <row r="288" spans="1:27" x14ac:dyDescent="0.35">
      <c r="A288" s="13">
        <f t="shared" si="19"/>
        <v>45930</v>
      </c>
      <c r="B288">
        <v>1</v>
      </c>
      <c r="D288" s="14" t="s">
        <v>31</v>
      </c>
      <c r="E288" s="15" t="s">
        <v>32</v>
      </c>
      <c r="F288" s="16" t="s">
        <v>32</v>
      </c>
      <c r="G288" s="17"/>
      <c r="H288" s="85" t="s">
        <v>59</v>
      </c>
      <c r="I288" s="85" t="s">
        <v>161</v>
      </c>
      <c r="K288" s="20">
        <f t="shared" si="18"/>
        <v>286</v>
      </c>
      <c r="M288" s="13">
        <f t="shared" si="20"/>
        <v>54635</v>
      </c>
      <c r="N288" s="13">
        <f t="shared" si="21"/>
        <v>54635</v>
      </c>
      <c r="O288" s="13">
        <f t="shared" si="22"/>
        <v>54635</v>
      </c>
      <c r="P288" s="24">
        <v>0</v>
      </c>
      <c r="V288">
        <v>1</v>
      </c>
      <c r="W288" t="s">
        <v>33</v>
      </c>
      <c r="Y288" t="s">
        <v>33</v>
      </c>
      <c r="Z288" t="s">
        <v>34</v>
      </c>
      <c r="AA288">
        <v>1</v>
      </c>
    </row>
    <row r="289" spans="1:27" x14ac:dyDescent="0.35">
      <c r="A289" s="13">
        <f t="shared" si="19"/>
        <v>45930</v>
      </c>
      <c r="B289">
        <v>1</v>
      </c>
      <c r="D289" s="14" t="s">
        <v>31</v>
      </c>
      <c r="E289" s="15" t="s">
        <v>32</v>
      </c>
      <c r="F289" s="16" t="s">
        <v>32</v>
      </c>
      <c r="G289" s="17"/>
      <c r="H289" s="85" t="s">
        <v>59</v>
      </c>
      <c r="I289" s="85" t="s">
        <v>161</v>
      </c>
      <c r="K289" s="20">
        <f t="shared" ref="K289:K296" si="23">K288+1</f>
        <v>287</v>
      </c>
      <c r="M289" s="13">
        <f t="shared" si="20"/>
        <v>54666</v>
      </c>
      <c r="N289" s="13">
        <f t="shared" si="21"/>
        <v>54666</v>
      </c>
      <c r="O289" s="13">
        <f t="shared" si="22"/>
        <v>54666</v>
      </c>
      <c r="P289" s="24">
        <v>0</v>
      </c>
      <c r="V289">
        <v>1</v>
      </c>
      <c r="W289" t="s">
        <v>33</v>
      </c>
      <c r="Y289" t="s">
        <v>33</v>
      </c>
      <c r="Z289" t="s">
        <v>34</v>
      </c>
      <c r="AA289">
        <v>1</v>
      </c>
    </row>
    <row r="290" spans="1:27" x14ac:dyDescent="0.35">
      <c r="A290" s="13">
        <f t="shared" si="19"/>
        <v>45930</v>
      </c>
      <c r="B290">
        <v>1</v>
      </c>
      <c r="D290" s="14" t="s">
        <v>31</v>
      </c>
      <c r="E290" s="15" t="s">
        <v>32</v>
      </c>
      <c r="F290" s="16" t="s">
        <v>32</v>
      </c>
      <c r="G290" s="17"/>
      <c r="H290" s="85" t="s">
        <v>59</v>
      </c>
      <c r="I290" s="85" t="s">
        <v>161</v>
      </c>
      <c r="K290" s="20">
        <f t="shared" si="23"/>
        <v>288</v>
      </c>
      <c r="M290" s="13">
        <f t="shared" si="20"/>
        <v>54696</v>
      </c>
      <c r="N290" s="13">
        <f t="shared" si="21"/>
        <v>54696</v>
      </c>
      <c r="O290" s="13">
        <f t="shared" si="22"/>
        <v>54696</v>
      </c>
      <c r="P290" s="24">
        <v>0</v>
      </c>
      <c r="V290">
        <v>1</v>
      </c>
      <c r="W290" t="s">
        <v>33</v>
      </c>
      <c r="Y290" t="s">
        <v>33</v>
      </c>
      <c r="Z290" t="s">
        <v>34</v>
      </c>
      <c r="AA290">
        <v>1</v>
      </c>
    </row>
    <row r="291" spans="1:27" x14ac:dyDescent="0.35">
      <c r="A291" s="13">
        <f t="shared" si="19"/>
        <v>45930</v>
      </c>
      <c r="B291">
        <v>1</v>
      </c>
      <c r="D291" s="14" t="s">
        <v>31</v>
      </c>
      <c r="E291" s="15" t="s">
        <v>32</v>
      </c>
      <c r="F291" s="16" t="s">
        <v>32</v>
      </c>
      <c r="G291" s="17"/>
      <c r="H291" s="85" t="s">
        <v>59</v>
      </c>
      <c r="I291" s="85" t="s">
        <v>161</v>
      </c>
      <c r="K291" s="20">
        <f t="shared" si="23"/>
        <v>289</v>
      </c>
      <c r="M291" s="13">
        <f t="shared" si="20"/>
        <v>54727</v>
      </c>
      <c r="N291" s="13">
        <f t="shared" si="21"/>
        <v>54727</v>
      </c>
      <c r="O291" s="13">
        <f t="shared" si="22"/>
        <v>54727</v>
      </c>
      <c r="P291" s="24">
        <v>0</v>
      </c>
      <c r="V291">
        <v>1</v>
      </c>
      <c r="W291" t="s">
        <v>33</v>
      </c>
      <c r="Y291" t="s">
        <v>33</v>
      </c>
      <c r="Z291" t="s">
        <v>34</v>
      </c>
      <c r="AA291">
        <v>1</v>
      </c>
    </row>
    <row r="292" spans="1:27" x14ac:dyDescent="0.35">
      <c r="A292" s="13">
        <f t="shared" si="19"/>
        <v>45930</v>
      </c>
      <c r="B292">
        <v>1</v>
      </c>
      <c r="D292" s="14" t="s">
        <v>31</v>
      </c>
      <c r="E292" s="15" t="s">
        <v>32</v>
      </c>
      <c r="F292" s="16" t="s">
        <v>32</v>
      </c>
      <c r="G292" s="17"/>
      <c r="H292" s="85" t="s">
        <v>59</v>
      </c>
      <c r="I292" s="85" t="s">
        <v>161</v>
      </c>
      <c r="K292" s="20">
        <f t="shared" si="23"/>
        <v>290</v>
      </c>
      <c r="M292" s="13">
        <f t="shared" si="20"/>
        <v>54757</v>
      </c>
      <c r="N292" s="13">
        <f t="shared" si="21"/>
        <v>54757</v>
      </c>
      <c r="O292" s="13">
        <f t="shared" si="22"/>
        <v>54757</v>
      </c>
      <c r="P292" s="24">
        <v>0</v>
      </c>
      <c r="V292">
        <v>1</v>
      </c>
      <c r="W292" t="s">
        <v>33</v>
      </c>
      <c r="Y292" t="s">
        <v>33</v>
      </c>
      <c r="Z292" t="s">
        <v>34</v>
      </c>
      <c r="AA292">
        <v>1</v>
      </c>
    </row>
    <row r="293" spans="1:27" x14ac:dyDescent="0.35">
      <c r="A293" s="13">
        <f t="shared" si="19"/>
        <v>45930</v>
      </c>
      <c r="B293">
        <v>1</v>
      </c>
      <c r="D293" s="14" t="s">
        <v>31</v>
      </c>
      <c r="E293" s="15" t="s">
        <v>32</v>
      </c>
      <c r="F293" s="16" t="s">
        <v>32</v>
      </c>
      <c r="G293" s="17"/>
      <c r="H293" s="85" t="s">
        <v>59</v>
      </c>
      <c r="I293" s="85" t="s">
        <v>161</v>
      </c>
      <c r="K293" s="20">
        <f t="shared" si="23"/>
        <v>291</v>
      </c>
      <c r="M293" s="13">
        <f t="shared" si="20"/>
        <v>54788</v>
      </c>
      <c r="N293" s="13">
        <f t="shared" si="21"/>
        <v>54788</v>
      </c>
      <c r="O293" s="13">
        <f t="shared" si="22"/>
        <v>54788</v>
      </c>
      <c r="P293" s="24">
        <v>0</v>
      </c>
      <c r="V293">
        <v>1</v>
      </c>
      <c r="W293" t="s">
        <v>33</v>
      </c>
      <c r="Y293" t="s">
        <v>33</v>
      </c>
      <c r="Z293" t="s">
        <v>34</v>
      </c>
      <c r="AA293">
        <v>1</v>
      </c>
    </row>
    <row r="294" spans="1:27" x14ac:dyDescent="0.35">
      <c r="A294" s="13">
        <f t="shared" si="19"/>
        <v>45930</v>
      </c>
      <c r="B294">
        <v>1</v>
      </c>
      <c r="D294" s="14" t="s">
        <v>31</v>
      </c>
      <c r="E294" s="15" t="s">
        <v>32</v>
      </c>
      <c r="F294" s="16" t="s">
        <v>32</v>
      </c>
      <c r="G294" s="17"/>
      <c r="H294" s="85" t="s">
        <v>59</v>
      </c>
      <c r="I294" s="85" t="s">
        <v>161</v>
      </c>
      <c r="K294" s="20">
        <f t="shared" si="23"/>
        <v>292</v>
      </c>
      <c r="M294" s="13">
        <f t="shared" si="20"/>
        <v>54819</v>
      </c>
      <c r="N294" s="13">
        <f t="shared" si="21"/>
        <v>54819</v>
      </c>
      <c r="O294" s="13">
        <f t="shared" si="22"/>
        <v>54819</v>
      </c>
      <c r="P294" s="24">
        <v>0</v>
      </c>
      <c r="V294">
        <v>1</v>
      </c>
      <c r="W294" t="s">
        <v>33</v>
      </c>
      <c r="Y294" t="s">
        <v>33</v>
      </c>
      <c r="Z294" t="s">
        <v>34</v>
      </c>
      <c r="AA294">
        <v>1</v>
      </c>
    </row>
    <row r="295" spans="1:27" x14ac:dyDescent="0.35">
      <c r="A295" s="13">
        <f t="shared" si="19"/>
        <v>45930</v>
      </c>
      <c r="B295">
        <v>1</v>
      </c>
      <c r="D295" s="14" t="s">
        <v>31</v>
      </c>
      <c r="E295" s="15" t="s">
        <v>32</v>
      </c>
      <c r="F295" s="16" t="s">
        <v>32</v>
      </c>
      <c r="G295" s="17"/>
      <c r="H295" s="85" t="s">
        <v>59</v>
      </c>
      <c r="I295" s="85" t="s">
        <v>161</v>
      </c>
      <c r="K295" s="20">
        <f t="shared" si="23"/>
        <v>293</v>
      </c>
      <c r="M295" s="13">
        <f t="shared" si="20"/>
        <v>54847</v>
      </c>
      <c r="N295" s="13">
        <f t="shared" si="21"/>
        <v>54847</v>
      </c>
      <c r="O295" s="13">
        <f t="shared" si="22"/>
        <v>54847</v>
      </c>
      <c r="P295" s="24">
        <v>0</v>
      </c>
      <c r="V295">
        <v>1</v>
      </c>
      <c r="W295" t="s">
        <v>33</v>
      </c>
      <c r="Y295" t="s">
        <v>33</v>
      </c>
      <c r="Z295" t="s">
        <v>34</v>
      </c>
      <c r="AA295">
        <v>1</v>
      </c>
    </row>
    <row r="296" spans="1:27" x14ac:dyDescent="0.35">
      <c r="A296" s="13">
        <f t="shared" si="19"/>
        <v>45930</v>
      </c>
      <c r="B296">
        <v>1</v>
      </c>
      <c r="D296" s="14" t="s">
        <v>31</v>
      </c>
      <c r="E296" s="15" t="s">
        <v>32</v>
      </c>
      <c r="F296" s="16" t="s">
        <v>32</v>
      </c>
      <c r="G296" s="17"/>
      <c r="H296" s="85" t="s">
        <v>59</v>
      </c>
      <c r="I296" s="85" t="s">
        <v>161</v>
      </c>
      <c r="K296" s="20">
        <f t="shared" si="23"/>
        <v>294</v>
      </c>
      <c r="M296" s="13">
        <f t="shared" si="20"/>
        <v>54878</v>
      </c>
      <c r="N296" s="13">
        <f t="shared" si="21"/>
        <v>54878</v>
      </c>
      <c r="O296" s="13">
        <f t="shared" si="22"/>
        <v>54878</v>
      </c>
      <c r="P296" s="24">
        <f>IF(K296&gt;Montos!$C$45,0,Montos!$D$45/Montos!$C$45)</f>
        <v>0</v>
      </c>
      <c r="V296">
        <v>1</v>
      </c>
      <c r="W296" t="s">
        <v>33</v>
      </c>
      <c r="Y296" t="s">
        <v>33</v>
      </c>
      <c r="Z296" t="s">
        <v>34</v>
      </c>
      <c r="AA296">
        <v>1</v>
      </c>
    </row>
    <row r="297" spans="1:27" x14ac:dyDescent="0.35">
      <c r="A297" s="13"/>
      <c r="D297" s="14"/>
      <c r="E297" s="15"/>
      <c r="F297" s="16"/>
      <c r="G297" s="17"/>
      <c r="H297" s="31"/>
      <c r="I297" s="31"/>
      <c r="K297" s="20"/>
      <c r="M297" s="13"/>
      <c r="N297" s="13"/>
      <c r="O297" s="13"/>
      <c r="P297" s="24"/>
    </row>
    <row r="298" spans="1:27" x14ac:dyDescent="0.35">
      <c r="A298" s="13"/>
      <c r="D298" s="14"/>
      <c r="E298" s="15"/>
      <c r="F298" s="16"/>
      <c r="G298" s="17"/>
      <c r="H298" s="31"/>
      <c r="I298" s="31"/>
      <c r="K298" s="20"/>
      <c r="M298" s="13"/>
      <c r="N298" s="13"/>
      <c r="O298" s="13"/>
      <c r="P298" s="24"/>
    </row>
    <row r="299" spans="1:27" x14ac:dyDescent="0.35">
      <c r="A299" s="13"/>
      <c r="D299" s="14"/>
      <c r="E299" s="15"/>
      <c r="F299" s="16"/>
      <c r="G299" s="17"/>
      <c r="H299" s="31"/>
      <c r="I299" s="31"/>
      <c r="K299" s="20"/>
      <c r="M299" s="13"/>
      <c r="N299" s="13"/>
      <c r="O299" s="13"/>
      <c r="P299" s="24"/>
    </row>
    <row r="300" spans="1:27" x14ac:dyDescent="0.35">
      <c r="A300" s="13"/>
      <c r="D300" s="14"/>
      <c r="E300" s="15"/>
      <c r="F300" s="16"/>
      <c r="G300" s="17"/>
      <c r="H300" s="31"/>
      <c r="I300" s="31"/>
      <c r="K300" s="20"/>
      <c r="M300" s="13"/>
      <c r="N300" s="13"/>
      <c r="O300" s="13"/>
      <c r="P300" s="24"/>
    </row>
    <row r="301" spans="1:27" x14ac:dyDescent="0.35">
      <c r="A301" s="13"/>
      <c r="D301" s="14"/>
      <c r="E301" s="15"/>
      <c r="F301" s="16"/>
      <c r="G301" s="17"/>
      <c r="H301" s="31"/>
      <c r="I301" s="31"/>
      <c r="K301" s="20"/>
      <c r="M301" s="13"/>
      <c r="N301" s="13"/>
      <c r="O301" s="13"/>
      <c r="P301" s="24"/>
    </row>
    <row r="302" spans="1:27" x14ac:dyDescent="0.35">
      <c r="A302" s="13"/>
      <c r="D302" s="14"/>
      <c r="E302" s="15"/>
      <c r="F302" s="16"/>
      <c r="G302" s="17"/>
      <c r="H302" s="31"/>
      <c r="I302" s="31"/>
      <c r="K302" s="20"/>
      <c r="M302" s="13"/>
      <c r="N302" s="13"/>
      <c r="O302" s="13"/>
      <c r="P302" s="24"/>
    </row>
    <row r="303" spans="1:27" x14ac:dyDescent="0.35">
      <c r="A303" s="13"/>
      <c r="D303" s="14"/>
      <c r="E303" s="15"/>
      <c r="F303" s="16"/>
      <c r="G303" s="17"/>
      <c r="H303" s="31"/>
      <c r="I303" s="31"/>
      <c r="K303" s="20"/>
      <c r="M303" s="13"/>
      <c r="N303" s="13"/>
      <c r="O303" s="13"/>
      <c r="P303" s="24"/>
    </row>
    <row r="304" spans="1:27" x14ac:dyDescent="0.35">
      <c r="A304" s="13"/>
      <c r="D304" s="14"/>
      <c r="E304" s="15"/>
      <c r="F304" s="16"/>
      <c r="G304" s="17"/>
      <c r="H304" s="31"/>
      <c r="I304" s="31"/>
      <c r="K304" s="20"/>
      <c r="M304" s="13"/>
      <c r="N304" s="13"/>
      <c r="O304" s="13"/>
      <c r="P304" s="24"/>
    </row>
    <row r="305" spans="1:16" x14ac:dyDescent="0.35">
      <c r="A305" s="13"/>
      <c r="D305" s="14"/>
      <c r="E305" s="15"/>
      <c r="F305" s="16"/>
      <c r="G305" s="17"/>
      <c r="H305" s="31"/>
      <c r="I305" s="31"/>
      <c r="K305" s="20"/>
      <c r="M305" s="13"/>
      <c r="N305" s="13"/>
      <c r="O305" s="13"/>
      <c r="P305" s="24"/>
    </row>
    <row r="306" spans="1:16" x14ac:dyDescent="0.35">
      <c r="A306" s="13"/>
      <c r="D306" s="14"/>
      <c r="E306" s="15"/>
      <c r="F306" s="16"/>
      <c r="G306" s="17"/>
      <c r="H306" s="31"/>
      <c r="I306" s="31"/>
      <c r="K306" s="20"/>
      <c r="M306" s="13"/>
      <c r="N306" s="13"/>
      <c r="O306" s="13"/>
      <c r="P306" s="24"/>
    </row>
    <row r="307" spans="1:16" x14ac:dyDescent="0.35">
      <c r="A307" s="13"/>
      <c r="D307" s="14"/>
      <c r="E307" s="15"/>
      <c r="F307" s="16"/>
      <c r="G307" s="17"/>
      <c r="H307" s="31"/>
      <c r="I307" s="31"/>
      <c r="K307" s="20"/>
      <c r="M307" s="13"/>
      <c r="N307" s="13"/>
      <c r="O307" s="13"/>
      <c r="P307" s="24"/>
    </row>
    <row r="308" spans="1:16" x14ac:dyDescent="0.35">
      <c r="A308" s="13"/>
      <c r="D308" s="14"/>
      <c r="E308" s="15"/>
      <c r="F308" s="16"/>
      <c r="G308" s="17"/>
      <c r="H308" s="31"/>
      <c r="I308" s="31"/>
      <c r="K308" s="20"/>
      <c r="M308" s="13"/>
      <c r="N308" s="13"/>
      <c r="O308" s="13"/>
      <c r="P308" s="24"/>
    </row>
    <row r="309" spans="1:16" x14ac:dyDescent="0.35">
      <c r="A309" s="13"/>
      <c r="D309" s="14"/>
      <c r="E309" s="15"/>
      <c r="F309" s="16"/>
      <c r="G309" s="17"/>
      <c r="H309" s="31"/>
      <c r="I309" s="31"/>
      <c r="K309" s="20"/>
      <c r="M309" s="13"/>
      <c r="N309" s="13"/>
      <c r="O309" s="13"/>
      <c r="P309" s="24"/>
    </row>
    <row r="310" spans="1:16" x14ac:dyDescent="0.35">
      <c r="A310" s="13"/>
      <c r="D310" s="14"/>
      <c r="E310" s="15"/>
      <c r="F310" s="16"/>
      <c r="G310" s="17"/>
      <c r="H310" s="31"/>
      <c r="I310" s="31"/>
      <c r="K310" s="20"/>
      <c r="M310" s="13"/>
      <c r="N310" s="13"/>
      <c r="O310" s="13"/>
      <c r="P310" s="24"/>
    </row>
    <row r="311" spans="1:16" x14ac:dyDescent="0.35">
      <c r="A311" s="13"/>
      <c r="D311" s="14"/>
      <c r="E311" s="15"/>
      <c r="F311" s="16"/>
      <c r="G311" s="17"/>
      <c r="H311" s="31"/>
      <c r="I311" s="31"/>
      <c r="K311" s="20"/>
      <c r="M311" s="13"/>
      <c r="N311" s="13"/>
      <c r="O311" s="13"/>
      <c r="P311" s="24"/>
    </row>
    <row r="312" spans="1:16" x14ac:dyDescent="0.35">
      <c r="A312" s="13"/>
      <c r="D312" s="14"/>
      <c r="E312" s="15"/>
      <c r="F312" s="16"/>
      <c r="G312" s="17"/>
      <c r="H312" s="31"/>
      <c r="I312" s="31"/>
      <c r="K312" s="20"/>
      <c r="M312" s="13"/>
      <c r="N312" s="13"/>
      <c r="O312" s="13"/>
      <c r="P312" s="24"/>
    </row>
    <row r="313" spans="1:16" x14ac:dyDescent="0.35">
      <c r="A313" s="13"/>
      <c r="D313" s="14"/>
      <c r="E313" s="15"/>
      <c r="F313" s="16"/>
      <c r="G313" s="17"/>
      <c r="H313" s="31"/>
      <c r="I313" s="31"/>
      <c r="K313" s="20"/>
      <c r="M313" s="13"/>
      <c r="N313" s="13"/>
      <c r="O313" s="13"/>
      <c r="P313" s="24"/>
    </row>
    <row r="314" spans="1:16" x14ac:dyDescent="0.35">
      <c r="A314" s="13"/>
      <c r="D314" s="14"/>
      <c r="E314" s="15"/>
      <c r="F314" s="16"/>
      <c r="G314" s="17"/>
      <c r="H314" s="31"/>
      <c r="I314" s="31"/>
      <c r="K314" s="20"/>
      <c r="M314" s="13"/>
      <c r="N314" s="13"/>
      <c r="O314" s="13"/>
      <c r="P314" s="24"/>
    </row>
    <row r="315" spans="1:16" x14ac:dyDescent="0.35">
      <c r="A315" s="13"/>
      <c r="D315" s="14"/>
      <c r="E315" s="15"/>
      <c r="F315" s="16"/>
      <c r="G315" s="17"/>
      <c r="H315" s="31"/>
      <c r="I315" s="31"/>
      <c r="K315" s="20"/>
      <c r="M315" s="13"/>
      <c r="N315" s="13"/>
      <c r="O315" s="13"/>
      <c r="P315" s="24"/>
    </row>
    <row r="316" spans="1:16" x14ac:dyDescent="0.35">
      <c r="A316" s="13"/>
      <c r="D316" s="14"/>
      <c r="E316" s="15"/>
      <c r="F316" s="16"/>
      <c r="G316" s="17"/>
      <c r="H316" s="31"/>
      <c r="I316" s="31"/>
      <c r="K316" s="20"/>
      <c r="M316" s="13"/>
      <c r="N316" s="13"/>
      <c r="O316" s="13"/>
      <c r="P316" s="24"/>
    </row>
    <row r="317" spans="1:16" x14ac:dyDescent="0.35">
      <c r="A317" s="13"/>
      <c r="D317" s="14"/>
      <c r="E317" s="15"/>
      <c r="F317" s="16"/>
      <c r="G317" s="17"/>
      <c r="H317" s="31"/>
      <c r="I317" s="31"/>
      <c r="K317" s="20"/>
      <c r="M317" s="13"/>
      <c r="N317" s="13"/>
      <c r="O317" s="13"/>
      <c r="P317" s="24"/>
    </row>
    <row r="318" spans="1:16" x14ac:dyDescent="0.35">
      <c r="A318" s="13"/>
      <c r="D318" s="14"/>
      <c r="E318" s="15"/>
      <c r="F318" s="16"/>
      <c r="G318" s="17"/>
      <c r="H318" s="31"/>
      <c r="I318" s="31"/>
      <c r="K318" s="20"/>
      <c r="M318" s="13"/>
      <c r="N318" s="13"/>
      <c r="O318" s="13"/>
      <c r="P318" s="24"/>
    </row>
    <row r="319" spans="1:16" x14ac:dyDescent="0.35">
      <c r="A319" s="13"/>
      <c r="D319" s="14"/>
      <c r="E319" s="15"/>
      <c r="F319" s="16"/>
      <c r="G319" s="17"/>
      <c r="H319" s="31"/>
      <c r="I319" s="31"/>
      <c r="K319" s="20"/>
      <c r="M319" s="13"/>
      <c r="N319" s="13"/>
      <c r="O319" s="13"/>
      <c r="P319" s="24"/>
    </row>
    <row r="320" spans="1:16" x14ac:dyDescent="0.35">
      <c r="A320" s="13"/>
      <c r="D320" s="14"/>
      <c r="E320" s="15"/>
      <c r="F320" s="16"/>
      <c r="G320" s="17"/>
      <c r="H320" s="31"/>
      <c r="I320" s="31"/>
      <c r="K320" s="20"/>
      <c r="M320" s="13"/>
      <c r="N320" s="13"/>
      <c r="O320" s="13"/>
      <c r="P320" s="24"/>
    </row>
    <row r="321" spans="1:16" x14ac:dyDescent="0.35">
      <c r="A321" s="13"/>
      <c r="D321" s="14"/>
      <c r="E321" s="15"/>
      <c r="F321" s="16"/>
      <c r="G321" s="17"/>
      <c r="H321" s="31"/>
      <c r="I321" s="31"/>
      <c r="K321" s="20"/>
      <c r="M321" s="13"/>
      <c r="N321" s="13"/>
      <c r="O321" s="13"/>
      <c r="P321" s="24"/>
    </row>
    <row r="322" spans="1:16" x14ac:dyDescent="0.35">
      <c r="A322" s="13"/>
      <c r="D322" s="14"/>
      <c r="E322" s="15"/>
      <c r="F322" s="16"/>
      <c r="G322" s="17"/>
      <c r="H322" s="31"/>
      <c r="I322" s="31"/>
      <c r="K322" s="20"/>
      <c r="M322" s="13"/>
      <c r="N322" s="13"/>
      <c r="O322" s="13"/>
      <c r="P322" s="24"/>
    </row>
    <row r="323" spans="1:16" x14ac:dyDescent="0.35">
      <c r="A323" s="13"/>
      <c r="D323" s="14"/>
      <c r="E323" s="15"/>
      <c r="F323" s="16"/>
      <c r="G323" s="17"/>
      <c r="H323" s="31"/>
      <c r="I323" s="31"/>
      <c r="K323" s="20"/>
      <c r="M323" s="13"/>
      <c r="N323" s="13"/>
      <c r="O323" s="13"/>
      <c r="P323" s="24"/>
    </row>
    <row r="324" spans="1:16" x14ac:dyDescent="0.35">
      <c r="A324" s="13"/>
      <c r="D324" s="14"/>
      <c r="E324" s="15"/>
      <c r="F324" s="16"/>
      <c r="G324" s="17"/>
      <c r="H324" s="31"/>
      <c r="I324" s="31"/>
      <c r="K324" s="20"/>
      <c r="M324" s="13"/>
      <c r="N324" s="13"/>
      <c r="O324" s="13"/>
      <c r="P324" s="24"/>
    </row>
    <row r="325" spans="1:16" x14ac:dyDescent="0.35">
      <c r="A325" s="13"/>
      <c r="D325" s="14"/>
      <c r="E325" s="15"/>
      <c r="F325" s="16"/>
      <c r="G325" s="17"/>
      <c r="H325" s="31"/>
      <c r="I325" s="31"/>
      <c r="K325" s="20"/>
      <c r="M325" s="13"/>
      <c r="N325" s="13"/>
      <c r="O325" s="13"/>
      <c r="P325" s="24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8"/>
  <dimension ref="A1:B30"/>
  <sheetViews>
    <sheetView workbookViewId="0"/>
  </sheetViews>
  <sheetFormatPr baseColWidth="10" defaultRowHeight="14.5" x14ac:dyDescent="0.35"/>
  <cols>
    <col min="1" max="1" width="32.453125" customWidth="1"/>
    <col min="2" max="2" width="27.1796875" bestFit="1" customWidth="1"/>
  </cols>
  <sheetData>
    <row r="1" spans="1:2" x14ac:dyDescent="0.35">
      <c r="A1" s="36" t="s">
        <v>7</v>
      </c>
      <c r="B1" s="36" t="s">
        <v>8</v>
      </c>
    </row>
    <row r="2" spans="1:2" x14ac:dyDescent="0.35">
      <c r="A2" s="31" t="s">
        <v>59</v>
      </c>
      <c r="B2" s="31" t="s">
        <v>60</v>
      </c>
    </row>
    <row r="3" spans="1:2" x14ac:dyDescent="0.35">
      <c r="A3" s="31" t="s">
        <v>59</v>
      </c>
      <c r="B3" s="31" t="s">
        <v>61</v>
      </c>
    </row>
    <row r="4" spans="1:2" x14ac:dyDescent="0.35">
      <c r="A4" s="31" t="s">
        <v>56</v>
      </c>
      <c r="B4" s="31" t="s">
        <v>62</v>
      </c>
    </row>
    <row r="5" spans="1:2" x14ac:dyDescent="0.35">
      <c r="A5" s="31" t="s">
        <v>56</v>
      </c>
      <c r="B5" s="31" t="s">
        <v>57</v>
      </c>
    </row>
    <row r="6" spans="1:2" x14ac:dyDescent="0.35">
      <c r="A6" s="31" t="s">
        <v>58</v>
      </c>
      <c r="B6" s="31" t="s">
        <v>44</v>
      </c>
    </row>
    <row r="7" spans="1:2" x14ac:dyDescent="0.35">
      <c r="A7" s="32" t="s">
        <v>59</v>
      </c>
      <c r="B7" s="32" t="s">
        <v>60</v>
      </c>
    </row>
    <row r="8" spans="1:2" x14ac:dyDescent="0.35">
      <c r="A8" s="32" t="s">
        <v>59</v>
      </c>
      <c r="B8" s="32" t="s">
        <v>61</v>
      </c>
    </row>
    <row r="9" spans="1:2" x14ac:dyDescent="0.35">
      <c r="A9" s="32" t="s">
        <v>56</v>
      </c>
      <c r="B9" s="32" t="s">
        <v>62</v>
      </c>
    </row>
    <row r="10" spans="1:2" x14ac:dyDescent="0.35">
      <c r="A10" s="32" t="s">
        <v>56</v>
      </c>
      <c r="B10" s="32" t="s">
        <v>57</v>
      </c>
    </row>
    <row r="11" spans="1:2" x14ac:dyDescent="0.35">
      <c r="A11" s="32" t="s">
        <v>58</v>
      </c>
      <c r="B11" s="32" t="s">
        <v>44</v>
      </c>
    </row>
    <row r="12" spans="1:2" x14ac:dyDescent="0.35">
      <c r="A12" s="31" t="s">
        <v>59</v>
      </c>
      <c r="B12" s="31" t="s">
        <v>60</v>
      </c>
    </row>
    <row r="13" spans="1:2" x14ac:dyDescent="0.35">
      <c r="A13" s="31" t="s">
        <v>59</v>
      </c>
      <c r="B13" s="31" t="s">
        <v>61</v>
      </c>
    </row>
    <row r="14" spans="1:2" x14ac:dyDescent="0.35">
      <c r="A14" s="31" t="s">
        <v>56</v>
      </c>
      <c r="B14" s="31" t="s">
        <v>62</v>
      </c>
    </row>
    <row r="15" spans="1:2" x14ac:dyDescent="0.35">
      <c r="A15" s="31" t="s">
        <v>56</v>
      </c>
      <c r="B15" s="31" t="s">
        <v>57</v>
      </c>
    </row>
    <row r="16" spans="1:2" x14ac:dyDescent="0.35">
      <c r="A16" s="31" t="s">
        <v>58</v>
      </c>
      <c r="B16" s="31" t="s">
        <v>44</v>
      </c>
    </row>
    <row r="17" spans="1:2" x14ac:dyDescent="0.35">
      <c r="A17" s="33" t="s">
        <v>63</v>
      </c>
      <c r="B17" s="33" t="s">
        <v>63</v>
      </c>
    </row>
    <row r="18" spans="1:2" x14ac:dyDescent="0.35">
      <c r="A18" s="33" t="s">
        <v>64</v>
      </c>
      <c r="B18" s="33" t="s">
        <v>64</v>
      </c>
    </row>
    <row r="19" spans="1:2" x14ac:dyDescent="0.35">
      <c r="A19" s="33" t="s">
        <v>65</v>
      </c>
      <c r="B19" s="33" t="s">
        <v>65</v>
      </c>
    </row>
    <row r="20" spans="1:2" x14ac:dyDescent="0.35">
      <c r="A20" s="33" t="s">
        <v>63</v>
      </c>
      <c r="B20" s="33" t="s">
        <v>63</v>
      </c>
    </row>
    <row r="21" spans="1:2" x14ac:dyDescent="0.35">
      <c r="A21" s="33" t="s">
        <v>64</v>
      </c>
      <c r="B21" s="33" t="s">
        <v>64</v>
      </c>
    </row>
    <row r="22" spans="1:2" x14ac:dyDescent="0.35">
      <c r="A22" s="33" t="s">
        <v>65</v>
      </c>
      <c r="B22" s="33" t="s">
        <v>65</v>
      </c>
    </row>
    <row r="23" spans="1:2" x14ac:dyDescent="0.35">
      <c r="A23" s="34" t="s">
        <v>59</v>
      </c>
      <c r="B23" s="34" t="s">
        <v>60</v>
      </c>
    </row>
    <row r="24" spans="1:2" x14ac:dyDescent="0.35">
      <c r="A24" s="34" t="s">
        <v>59</v>
      </c>
      <c r="B24" s="34" t="s">
        <v>61</v>
      </c>
    </row>
    <row r="25" spans="1:2" x14ac:dyDescent="0.35">
      <c r="A25" s="34" t="s">
        <v>56</v>
      </c>
      <c r="B25" s="34" t="s">
        <v>62</v>
      </c>
    </row>
    <row r="26" spans="1:2" x14ac:dyDescent="0.35">
      <c r="A26" s="34" t="s">
        <v>56</v>
      </c>
      <c r="B26" s="34" t="s">
        <v>57</v>
      </c>
    </row>
    <row r="27" spans="1:2" x14ac:dyDescent="0.35">
      <c r="A27" s="34" t="s">
        <v>58</v>
      </c>
      <c r="B27" s="34" t="s">
        <v>44</v>
      </c>
    </row>
    <row r="28" spans="1:2" x14ac:dyDescent="0.35">
      <c r="A28" s="35" t="s">
        <v>63</v>
      </c>
      <c r="B28" s="35" t="s">
        <v>63</v>
      </c>
    </row>
    <row r="29" spans="1:2" x14ac:dyDescent="0.35">
      <c r="A29" s="35" t="s">
        <v>64</v>
      </c>
      <c r="B29" s="35" t="s">
        <v>64</v>
      </c>
    </row>
    <row r="30" spans="1:2" x14ac:dyDescent="0.35">
      <c r="A30" s="35" t="s">
        <v>65</v>
      </c>
      <c r="B30" s="35" t="s">
        <v>65</v>
      </c>
    </row>
  </sheetData>
  <autoFilter ref="A1:B30" xr:uid="{00000000-0009-0000-0000-000013000000}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20</vt:i4>
      </vt:variant>
    </vt:vector>
  </HeadingPairs>
  <TitlesOfParts>
    <vt:vector size="20" baseType="lpstr">
      <vt:lpstr>DESARROLLO</vt:lpstr>
      <vt:lpstr>Control</vt:lpstr>
      <vt:lpstr>Control_Core</vt:lpstr>
      <vt:lpstr>CartAdcnl</vt:lpstr>
      <vt:lpstr>Montos</vt:lpstr>
      <vt:lpstr>Salida_R</vt:lpstr>
      <vt:lpstr>Data_Bce</vt:lpstr>
      <vt:lpstr>R13_Cta_Cte</vt:lpstr>
      <vt:lpstr>R13_Cta_Vta</vt:lpstr>
      <vt:lpstr>R13_AGD</vt:lpstr>
      <vt:lpstr>R13_AGI</vt:lpstr>
      <vt:lpstr>C40-AGI</vt:lpstr>
      <vt:lpstr>C40-AGD</vt:lpstr>
      <vt:lpstr>C40-Cta_Vta</vt:lpstr>
      <vt:lpstr>C40-Cta_Cte</vt:lpstr>
      <vt:lpstr>Cta_Cte</vt:lpstr>
      <vt:lpstr>Cta_Vta</vt:lpstr>
      <vt:lpstr>AGD</vt:lpstr>
      <vt:lpstr>AGI</vt:lpstr>
      <vt:lpstr>GLOSAS</vt:lpstr>
    </vt:vector>
  </TitlesOfParts>
  <Company>Banco Falabella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Luis Giordano C.</dc:creator>
  <cp:lastModifiedBy>Rodrigo Ignacio Muñoz Bozo</cp:lastModifiedBy>
  <dcterms:created xsi:type="dcterms:W3CDTF">2020-11-19T21:07:47Z</dcterms:created>
  <dcterms:modified xsi:type="dcterms:W3CDTF">2025-10-01T19:26:57Z</dcterms:modified>
</cp:coreProperties>
</file>